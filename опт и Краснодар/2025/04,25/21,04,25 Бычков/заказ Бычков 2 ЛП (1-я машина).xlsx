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Бычков\"/>
    </mc:Choice>
  </mc:AlternateContent>
  <xr:revisionPtr revIDLastSave="0" documentId="13_ncr:1_{93068EC7-37E6-46B8-A091-E9E9B66754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O514" i="1"/>
  <c r="BM514" i="1"/>
  <c r="Y514" i="1"/>
  <c r="BO513" i="1"/>
  <c r="BM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BP481" i="1" s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O434" i="1"/>
  <c r="BM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X365" i="1"/>
  <c r="X364" i="1"/>
  <c r="BO363" i="1"/>
  <c r="BM363" i="1"/>
  <c r="Y363" i="1"/>
  <c r="Y365" i="1" s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BN294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2" i="1" s="1"/>
  <c r="P286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BP242" i="1" s="1"/>
  <c r="P242" i="1"/>
  <c r="BO241" i="1"/>
  <c r="BM241" i="1"/>
  <c r="Y241" i="1"/>
  <c r="Y243" i="1" s="1"/>
  <c r="X239" i="1"/>
  <c r="X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Y221" i="1" s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Y62" i="1" s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Y56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Y29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Y262" i="1" l="1"/>
  <c r="BP81" i="1"/>
  <c r="BN81" i="1"/>
  <c r="Z81" i="1"/>
  <c r="BP119" i="1"/>
  <c r="BN119" i="1"/>
  <c r="Z119" i="1"/>
  <c r="Z128" i="1" s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BP309" i="1"/>
  <c r="BN309" i="1"/>
  <c r="Z309" i="1"/>
  <c r="BP339" i="1"/>
  <c r="BN339" i="1"/>
  <c r="Z339" i="1"/>
  <c r="BP382" i="1"/>
  <c r="BN382" i="1"/>
  <c r="Z382" i="1"/>
  <c r="BP437" i="1"/>
  <c r="BN437" i="1"/>
  <c r="Z437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X596" i="1"/>
  <c r="Z38" i="1"/>
  <c r="BN38" i="1"/>
  <c r="Z53" i="1"/>
  <c r="BN53" i="1"/>
  <c r="Z67" i="1"/>
  <c r="BN67" i="1"/>
  <c r="Y77" i="1"/>
  <c r="BP107" i="1"/>
  <c r="BN107" i="1"/>
  <c r="Z107" i="1"/>
  <c r="BP120" i="1"/>
  <c r="BN120" i="1"/>
  <c r="Z120" i="1"/>
  <c r="BP175" i="1"/>
  <c r="BN175" i="1"/>
  <c r="Z175" i="1"/>
  <c r="BP192" i="1"/>
  <c r="BN192" i="1"/>
  <c r="Z192" i="1"/>
  <c r="BP216" i="1"/>
  <c r="BN216" i="1"/>
  <c r="Z216" i="1"/>
  <c r="BP259" i="1"/>
  <c r="BN259" i="1"/>
  <c r="Z259" i="1"/>
  <c r="BP329" i="1"/>
  <c r="BN329" i="1"/>
  <c r="Z329" i="1"/>
  <c r="BP368" i="1"/>
  <c r="BN368" i="1"/>
  <c r="Z368" i="1"/>
  <c r="BP406" i="1"/>
  <c r="BN406" i="1"/>
  <c r="Z406" i="1"/>
  <c r="BP440" i="1"/>
  <c r="BN440" i="1"/>
  <c r="Z440" i="1"/>
  <c r="BP507" i="1"/>
  <c r="BN507" i="1"/>
  <c r="Z507" i="1"/>
  <c r="BP509" i="1"/>
  <c r="BN509" i="1"/>
  <c r="Z509" i="1"/>
  <c r="BP513" i="1"/>
  <c r="BN513" i="1"/>
  <c r="Z513" i="1"/>
  <c r="BP517" i="1"/>
  <c r="BN517" i="1"/>
  <c r="Z517" i="1"/>
  <c r="E602" i="1"/>
  <c r="BP319" i="1"/>
  <c r="BN319" i="1"/>
  <c r="BP323" i="1"/>
  <c r="BN323" i="1"/>
  <c r="Z323" i="1"/>
  <c r="BP337" i="1"/>
  <c r="BN337" i="1"/>
  <c r="Z337" i="1"/>
  <c r="BP351" i="1"/>
  <c r="Z351" i="1"/>
  <c r="BP380" i="1"/>
  <c r="BN380" i="1"/>
  <c r="Z380" i="1"/>
  <c r="BP404" i="1"/>
  <c r="BN404" i="1"/>
  <c r="Z404" i="1"/>
  <c r="BP419" i="1"/>
  <c r="BN419" i="1"/>
  <c r="Z419" i="1"/>
  <c r="BP435" i="1"/>
  <c r="BN435" i="1"/>
  <c r="Z435" i="1"/>
  <c r="AA602" i="1"/>
  <c r="Y466" i="1"/>
  <c r="BP464" i="1"/>
  <c r="BN464" i="1"/>
  <c r="Z464" i="1"/>
  <c r="BP484" i="1"/>
  <c r="BN484" i="1"/>
  <c r="Z484" i="1"/>
  <c r="BP494" i="1"/>
  <c r="BN494" i="1"/>
  <c r="Z494" i="1"/>
  <c r="Z26" i="1"/>
  <c r="BN26" i="1"/>
  <c r="C602" i="1"/>
  <c r="Z40" i="1"/>
  <c r="BN40" i="1"/>
  <c r="Z51" i="1"/>
  <c r="BN51" i="1"/>
  <c r="Z59" i="1"/>
  <c r="BN59" i="1"/>
  <c r="Z65" i="1"/>
  <c r="BN65" i="1"/>
  <c r="BP65" i="1"/>
  <c r="Y68" i="1"/>
  <c r="Z71" i="1"/>
  <c r="BN71" i="1"/>
  <c r="BP71" i="1"/>
  <c r="Y78" i="1"/>
  <c r="Z75" i="1"/>
  <c r="BN75" i="1"/>
  <c r="Y84" i="1"/>
  <c r="Z88" i="1"/>
  <c r="BN88" i="1"/>
  <c r="Y103" i="1"/>
  <c r="Z100" i="1"/>
  <c r="BN100" i="1"/>
  <c r="F602" i="1"/>
  <c r="Z109" i="1"/>
  <c r="BN109" i="1"/>
  <c r="Y117" i="1"/>
  <c r="Z115" i="1"/>
  <c r="BN115" i="1"/>
  <c r="Z122" i="1"/>
  <c r="BN122" i="1"/>
  <c r="Z123" i="1"/>
  <c r="BN123" i="1"/>
  <c r="Z126" i="1"/>
  <c r="BN126" i="1"/>
  <c r="Z127" i="1"/>
  <c r="BN127" i="1"/>
  <c r="Z138" i="1"/>
  <c r="BN138" i="1"/>
  <c r="Y144" i="1"/>
  <c r="Z148" i="1"/>
  <c r="BN148" i="1"/>
  <c r="Y161" i="1"/>
  <c r="Z159" i="1"/>
  <c r="BN159" i="1"/>
  <c r="I602" i="1"/>
  <c r="Y183" i="1"/>
  <c r="Z177" i="1"/>
  <c r="BN177" i="1"/>
  <c r="Z180" i="1"/>
  <c r="BN180" i="1"/>
  <c r="J602" i="1"/>
  <c r="Z196" i="1"/>
  <c r="BN196" i="1"/>
  <c r="BP196" i="1"/>
  <c r="Y199" i="1"/>
  <c r="Y209" i="1"/>
  <c r="Z204" i="1"/>
  <c r="BN204" i="1"/>
  <c r="Z208" i="1"/>
  <c r="BN208" i="1"/>
  <c r="Y222" i="1"/>
  <c r="Z214" i="1"/>
  <c r="BN214" i="1"/>
  <c r="Z218" i="1"/>
  <c r="BN218" i="1"/>
  <c r="Z224" i="1"/>
  <c r="BN224" i="1"/>
  <c r="BP224" i="1"/>
  <c r="Y227" i="1"/>
  <c r="K602" i="1"/>
  <c r="Z233" i="1"/>
  <c r="BN233" i="1"/>
  <c r="Z237" i="1"/>
  <c r="BN237" i="1"/>
  <c r="Z242" i="1"/>
  <c r="BN242" i="1"/>
  <c r="Z257" i="1"/>
  <c r="BN257" i="1"/>
  <c r="Z271" i="1"/>
  <c r="BN271" i="1"/>
  <c r="P602" i="1"/>
  <c r="Z280" i="1"/>
  <c r="BN280" i="1"/>
  <c r="Z314" i="1"/>
  <c r="Z315" i="1" s="1"/>
  <c r="BN314" i="1"/>
  <c r="BP314" i="1"/>
  <c r="Y315" i="1"/>
  <c r="Z319" i="1"/>
  <c r="BP331" i="1"/>
  <c r="BN331" i="1"/>
  <c r="Z331" i="1"/>
  <c r="Y346" i="1"/>
  <c r="BP343" i="1"/>
  <c r="BN343" i="1"/>
  <c r="Z343" i="1"/>
  <c r="Y385" i="1"/>
  <c r="BP376" i="1"/>
  <c r="BN376" i="1"/>
  <c r="Z376" i="1"/>
  <c r="BP384" i="1"/>
  <c r="BN384" i="1"/>
  <c r="Z38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65" i="1"/>
  <c r="BN465" i="1"/>
  <c r="Z465" i="1"/>
  <c r="Y47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80" i="1"/>
  <c r="BN480" i="1"/>
  <c r="Z480" i="1"/>
  <c r="BP487" i="1"/>
  <c r="BN487" i="1"/>
  <c r="Z487" i="1"/>
  <c r="BP522" i="1"/>
  <c r="BN522" i="1"/>
  <c r="Z522" i="1"/>
  <c r="Y332" i="1"/>
  <c r="Y340" i="1"/>
  <c r="Y354" i="1"/>
  <c r="Y390" i="1"/>
  <c r="Y421" i="1"/>
  <c r="Y602" i="1"/>
  <c r="Z602" i="1"/>
  <c r="Y461" i="1"/>
  <c r="Y503" i="1"/>
  <c r="H9" i="1"/>
  <c r="A10" i="1"/>
  <c r="B602" i="1"/>
  <c r="X593" i="1"/>
  <c r="X594" i="1"/>
  <c r="Z23" i="1"/>
  <c r="BN23" i="1"/>
  <c r="BP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BN50" i="1"/>
  <c r="BP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Z116" i="1" s="1"/>
  <c r="BN114" i="1"/>
  <c r="BP114" i="1"/>
  <c r="Y129" i="1"/>
  <c r="Z121" i="1"/>
  <c r="BN121" i="1"/>
  <c r="Z124" i="1"/>
  <c r="BN124" i="1"/>
  <c r="Z125" i="1"/>
  <c r="BN125" i="1"/>
  <c r="Y133" i="1"/>
  <c r="BP143" i="1"/>
  <c r="BN143" i="1"/>
  <c r="Z143" i="1"/>
  <c r="Z144" i="1" s="1"/>
  <c r="Y145" i="1"/>
  <c r="Y149" i="1"/>
  <c r="Y150" i="1"/>
  <c r="BP147" i="1"/>
  <c r="BN147" i="1"/>
  <c r="Z147" i="1"/>
  <c r="Z149" i="1" s="1"/>
  <c r="F9" i="1"/>
  <c r="J9" i="1"/>
  <c r="Y41" i="1"/>
  <c r="Y91" i="1"/>
  <c r="Y110" i="1"/>
  <c r="Y128" i="1"/>
  <c r="BP132" i="1"/>
  <c r="BN132" i="1"/>
  <c r="Z132" i="1"/>
  <c r="Z133" i="1" s="1"/>
  <c r="Y134" i="1"/>
  <c r="G602" i="1"/>
  <c r="Y140" i="1"/>
  <c r="BP137" i="1"/>
  <c r="BN137" i="1"/>
  <c r="Z137" i="1"/>
  <c r="H602" i="1"/>
  <c r="Y155" i="1"/>
  <c r="Z158" i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Z256" i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Y172" i="1"/>
  <c r="Y193" i="1"/>
  <c r="Y238" i="1"/>
  <c r="Y267" i="1"/>
  <c r="Y274" i="1"/>
  <c r="Y283" i="1"/>
  <c r="Y288" i="1"/>
  <c r="Y295" i="1"/>
  <c r="BP294" i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0" i="1"/>
  <c r="Y311" i="1"/>
  <c r="BP308" i="1"/>
  <c r="BN308" i="1"/>
  <c r="Z308" i="1"/>
  <c r="Z310" i="1" s="1"/>
  <c r="Y316" i="1"/>
  <c r="U602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Z338" i="1"/>
  <c r="BN338" i="1"/>
  <c r="Y341" i="1"/>
  <c r="Z344" i="1"/>
  <c r="BN344" i="1"/>
  <c r="Y347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70" i="1"/>
  <c r="BP367" i="1"/>
  <c r="BN367" i="1"/>
  <c r="Z367" i="1"/>
  <c r="BP377" i="1"/>
  <c r="BN377" i="1"/>
  <c r="Z377" i="1"/>
  <c r="BP381" i="1"/>
  <c r="BN381" i="1"/>
  <c r="Z381" i="1"/>
  <c r="BP389" i="1"/>
  <c r="BN389" i="1"/>
  <c r="Z389" i="1"/>
  <c r="Z390" i="1" s="1"/>
  <c r="Y391" i="1"/>
  <c r="Y399" i="1"/>
  <c r="BP398" i="1"/>
  <c r="BN398" i="1"/>
  <c r="Z398" i="1"/>
  <c r="Z399" i="1" s="1"/>
  <c r="Y400" i="1"/>
  <c r="Y408" i="1"/>
  <c r="BP403" i="1"/>
  <c r="BN403" i="1"/>
  <c r="Z403" i="1"/>
  <c r="X602" i="1"/>
  <c r="BP407" i="1"/>
  <c r="BN407" i="1"/>
  <c r="Z407" i="1"/>
  <c r="Y409" i="1"/>
  <c r="Y414" i="1"/>
  <c r="BP411" i="1"/>
  <c r="BN411" i="1"/>
  <c r="Z411" i="1"/>
  <c r="Z413" i="1" s="1"/>
  <c r="Y413" i="1"/>
  <c r="Y326" i="1"/>
  <c r="BN351" i="1"/>
  <c r="Z357" i="1"/>
  <c r="BN357" i="1"/>
  <c r="V602" i="1"/>
  <c r="Y364" i="1"/>
  <c r="BP369" i="1"/>
  <c r="BN369" i="1"/>
  <c r="Z369" i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BP405" i="1"/>
  <c r="BN405" i="1"/>
  <c r="Z405" i="1"/>
  <c r="Y422" i="1"/>
  <c r="Y443" i="1"/>
  <c r="Y447" i="1"/>
  <c r="Y454" i="1"/>
  <c r="Y460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AB602" i="1"/>
  <c r="Z418" i="1"/>
  <c r="BN418" i="1"/>
  <c r="Z420" i="1"/>
  <c r="BN420" i="1"/>
  <c r="Z430" i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BN445" i="1"/>
  <c r="BP445" i="1"/>
  <c r="Z452" i="1"/>
  <c r="Z453" i="1" s="1"/>
  <c r="BN452" i="1"/>
  <c r="Y453" i="1"/>
  <c r="Z457" i="1"/>
  <c r="BN457" i="1"/>
  <c r="Z458" i="1"/>
  <c r="BN458" i="1"/>
  <c r="Y467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BN499" i="1"/>
  <c r="BP499" i="1"/>
  <c r="Z500" i="1"/>
  <c r="BN500" i="1"/>
  <c r="Z501" i="1"/>
  <c r="BN501" i="1"/>
  <c r="Z502" i="1"/>
  <c r="BN502" i="1"/>
  <c r="Y518" i="1"/>
  <c r="Z511" i="1"/>
  <c r="BN511" i="1"/>
  <c r="Z512" i="1"/>
  <c r="BN512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346" i="1" l="1"/>
  <c r="Z282" i="1"/>
  <c r="Z273" i="1"/>
  <c r="Z261" i="1"/>
  <c r="Z193" i="1"/>
  <c r="Z183" i="1"/>
  <c r="Z161" i="1"/>
  <c r="Z139" i="1"/>
  <c r="Z77" i="1"/>
  <c r="Z518" i="1"/>
  <c r="Z325" i="1"/>
  <c r="Y594" i="1"/>
  <c r="Z496" i="1"/>
  <c r="Z460" i="1"/>
  <c r="Z447" i="1"/>
  <c r="Z442" i="1"/>
  <c r="Z421" i="1"/>
  <c r="Z340" i="1"/>
  <c r="Z221" i="1"/>
  <c r="Z110" i="1"/>
  <c r="Z102" i="1"/>
  <c r="Y593" i="1"/>
  <c r="Y595" i="1" s="1"/>
  <c r="Z90" i="1"/>
  <c r="Z83" i="1"/>
  <c r="Z62" i="1"/>
  <c r="Z55" i="1"/>
  <c r="Y592" i="1"/>
  <c r="Z28" i="1"/>
  <c r="X595" i="1"/>
  <c r="Z466" i="1"/>
  <c r="Z566" i="1"/>
  <c r="Z408" i="1"/>
  <c r="Z503" i="1"/>
  <c r="Z548" i="1"/>
  <c r="Z524" i="1"/>
  <c r="Z385" i="1"/>
  <c r="Z370" i="1"/>
  <c r="Z359" i="1"/>
  <c r="Z353" i="1"/>
  <c r="Z332" i="1"/>
  <c r="Z238" i="1"/>
  <c r="Z209" i="1"/>
  <c r="Z41" i="1"/>
  <c r="Y596" i="1"/>
  <c r="Z597" i="1" l="1"/>
</calcChain>
</file>

<file path=xl/sharedStrings.xml><?xml version="1.0" encoding="utf-8"?>
<sst xmlns="http://schemas.openxmlformats.org/spreadsheetml/2006/main" count="2737" uniqueCount="969">
  <si>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</si>
  <si>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</si>
  <si>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</si>
  <si>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</si>
  <si>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</si>
  <si>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</si>
  <si>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</si>
  <si>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</si>
  <si>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</si>
  <si>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</si>
  <si>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</si>
  <si>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</si>
  <si>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</si>
  <si>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</si>
  <si>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</si>
  <si>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</si>
  <si>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</si>
  <si>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</si>
  <si>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</si>
  <si>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</si>
  <si>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</si>
  <si>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</si>
  <si>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</si>
  <si>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</si>
  <si>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</si>
  <si>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</si>
  <si>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</si>
  <si>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</si>
  <si>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</si>
  <si>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</si>
  <si>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</si>
  <si>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</si>
  <si>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</si>
  <si>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</si>
  <si>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</si>
  <si>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</si>
  <si>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</si>
  <si>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</si>
  <si>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</si>
  <si>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</si>
  <si>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</si>
  <si>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</si>
  <si>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</si>
  <si>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</si>
  <si>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</si>
  <si>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</si>
  <si>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</si>
  <si>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</si>
  <si>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</si>
  <si>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</si>
  <si>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</si>
  <si>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</si>
  <si>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</si>
  <si>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</si>
  <si>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</si>
  <si>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</si>
  <si>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</si>
  <si>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</si>
  <si>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</si>
  <si>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</si>
  <si>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</si>
  <si>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</si>
  <si>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</si>
  <si>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</si>
  <si>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</si>
  <si>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</si>
  <si>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</si>
  <si>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</si>
  <si>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</si>
  <si>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</si>
  <si>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</si>
  <si>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</si>
  <si>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</si>
  <si>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</si>
  <si>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</si>
  <si>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</si>
  <si>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</si>
  <si>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</si>
  <si>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</si>
  <si>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</si>
  <si>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</si>
  <si>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</si>
  <si>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</si>
  <si>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</si>
  <si>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</si>
  <si>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</si>
  <si>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</si>
  <si>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</si>
  <si>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</si>
  <si>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</si>
  <si>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</si>
  <si>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</si>
  <si>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</si>
  <si>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</si>
  <si>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</si>
  <si>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</si>
  <si>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</si>
  <si>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</si>
  <si>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</si>
  <si>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</si>
  <si>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</si>
  <si>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</si>
  <si>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</si>
  <si>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</si>
  <si>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</si>
  <si>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</si>
  <si>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</si>
  <si>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</si>
  <si>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</si>
  <si>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</si>
  <si>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</si>
  <si>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</si>
  <si>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</si>
  <si>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</si>
  <si>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</si>
  <si>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</si>
  <si>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</si>
  <si>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</si>
  <si>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</si>
  <si>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</si>
  <si>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</si>
  <si>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</si>
  <si>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</si>
  <si>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</si>
  <si>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</si>
  <si>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</si>
  <si>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</si>
  <si>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</si>
  <si>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</si>
  <si>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</si>
  <si>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</si>
  <si>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</si>
  <si>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</si>
  <si>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</si>
  <si>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</si>
  <si>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</si>
  <si>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</si>
  <si>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</si>
  <si>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</si>
  <si>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</si>
  <si>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</si>
  <si>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</si>
  <si>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</si>
  <si>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</si>
  <si>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</si>
  <si>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</si>
  <si>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</si>
  <si>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</si>
  <si>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</si>
  <si>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</si>
  <si>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</si>
  <si>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</si>
  <si>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</si>
  <si>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</si>
  <si>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</si>
  <si>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</si>
  <si>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</si>
  <si>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</si>
  <si>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</si>
  <si>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</si>
  <si>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</si>
  <si>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</si>
  <si>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</si>
  <si>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</si>
  <si>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</si>
  <si>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</si>
  <si>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</si>
  <si>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</si>
  <si>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</si>
  <si>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</si>
  <si>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</si>
  <si>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</si>
  <si>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</si>
  <si>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</si>
  <si>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</si>
  <si>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</si>
  <si>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</si>
  <si>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</si>
  <si>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</si>
  <si>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</si>
  <si>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</si>
  <si>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</si>
  <si>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</si>
  <si>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</si>
  <si>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</si>
  <si>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</si>
  <si>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</si>
  <si>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</si>
  <si>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</si>
  <si>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</si>
  <si>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</si>
  <si>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</si>
  <si>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</si>
  <si>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</si>
  <si>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</si>
  <si>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</si>
  <si>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</si>
  <si>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</si>
  <si>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</si>
  <si>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</si>
  <si>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</si>
  <si>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</si>
  <si>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</si>
  <si>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</si>
  <si>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</si>
  <si>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</si>
  <si>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</si>
  <si>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</si>
  <si>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</si>
  <si>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</si>
  <si>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</si>
  <si>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</si>
  <si>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</si>
  <si>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</si>
  <si>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</si>
  <si>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</si>
  <si>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</si>
  <si>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</si>
  <si>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</si>
  <si>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</si>
  <si>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</si>
  <si>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</si>
  <si>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</si>
  <si>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</si>
  <si>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</si>
  <si>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</si>
  <si>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</si>
  <si>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</si>
  <si>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</si>
  <si>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</si>
  <si>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</si>
  <si>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</si>
  <si>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</si>
  <si>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</si>
  <si>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</si>
  <si>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</si>
  <si>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</si>
  <si>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</si>
  <si>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</si>
  <si>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</si>
  <si>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</si>
  <si>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</si>
  <si>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</si>
  <si>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</si>
  <si>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</si>
  <si>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</si>
  <si>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</si>
  <si>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</si>
  <si>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</si>
  <si>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</si>
  <si>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</si>
  <si>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</si>
  <si>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</si>
  <si>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</si>
  <si>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</si>
  <si>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</si>
  <si>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</si>
  <si>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</si>
  <si>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</si>
  <si>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</si>
  <si>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</si>
  <si>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</si>
  <si>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</si>
  <si>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</si>
  <si>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</si>
  <si>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</si>
  <si>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</si>
  <si>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</si>
  <si>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</si>
  <si>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</si>
  <si>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</si>
  <si>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</si>
  <si>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</si>
  <si>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</si>
  <si>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</si>
  <si>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</si>
  <si>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</si>
  <si>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</si>
  <si>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</si>
  <si>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</si>
  <si>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</si>
  <si>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</si>
  <si>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</si>
  <si>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</si>
  <si>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</si>
  <si>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</si>
  <si>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</si>
  <si>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</si>
  <si>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</si>
  <si>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</si>
  <si>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</si>
  <si>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</si>
  <si>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</si>
  <si>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</si>
  <si>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</si>
  <si>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</si>
  <si>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</si>
  <si>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</si>
  <si>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</si>
  <si>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</si>
  <si>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</si>
  <si>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</si>
  <si>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</si>
  <si>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</si>
  <si>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</si>
  <si>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</si>
  <si>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</si>
  <si>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</si>
  <si>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</si>
  <si>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</si>
  <si>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</si>
  <si>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</si>
  <si>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</si>
  <si>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</si>
  <si>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</si>
  <si>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</si>
  <si>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</si>
  <si>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</si>
  <si>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</si>
  <si>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</si>
  <si>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</si>
  <si>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</si>
  <si>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</si>
  <si>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</si>
  <si>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</si>
  <si>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</si>
  <si>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</si>
  <si>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</si>
  <si>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</si>
  <si>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</si>
  <si>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</si>
  <si>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</si>
  <si>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</si>
  <si>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</si>
  <si>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</si>
  <si>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</si>
  <si>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</si>
  <si>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</si>
  <si>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</si>
  <si>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</si>
  <si>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</si>
  <si>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</si>
  <si>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</si>
  <si>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</si>
  <si>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</si>
  <si>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</si>
  <si>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</si>
  <si>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</si>
  <si>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</si>
  <si>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</si>
  <si>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</si>
  <si>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</si>
  <si>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</si>
  <si>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</si>
  <si>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</si>
  <si>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</si>
  <si>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</si>
  <si>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</si>
  <si>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</si>
  <si>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</si>
  <si>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</si>
  <si>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</si>
  <si>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</si>
  <si>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</si>
  <si>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</si>
  <si>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</si>
  <si>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</si>
  <si>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</si>
  <si>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</si>
  <si>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</si>
  <si>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</si>
  <si>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</si>
  <si>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</si>
  <si>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</si>
  <si>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</si>
  <si>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</si>
  <si>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</si>
  <si>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</si>
  <si>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</si>
  <si>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</si>
  <si>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</si>
  <si>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</si>
  <si>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</si>
  <si>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</si>
  <si>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</si>
  <si>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</si>
  <si>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</si>
  <si>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</si>
  <si>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</si>
  <si>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</si>
  <si>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</si>
  <si>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</si>
  <si>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</si>
  <si>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</si>
  <si>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</si>
  <si>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</si>
  <si>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</si>
  <si>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</si>
  <si>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</si>
  <si>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</si>
  <si>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</si>
  <si>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</si>
  <si>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</si>
  <si>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</si>
  <si>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</si>
  <si>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</si>
  <si>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</si>
  <si>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</si>
  <si>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</si>
  <si>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</si>
  <si>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</si>
  <si>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</si>
  <si>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</si>
  <si>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</si>
  <si>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</si>
  <si>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</si>
  <si>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</si>
  <si>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</si>
  <si>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</si>
  <si>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</si>
  <si>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</si>
  <si>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</si>
  <si>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</si>
  <si>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</si>
  <si>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</si>
  <si>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</si>
  <si>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</si>
  <si>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</si>
  <si>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</si>
  <si>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</si>
  <si>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</si>
  <si>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</si>
  <si>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</si>
  <si>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</si>
  <si>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</si>
  <si>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</si>
  <si>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</si>
  <si>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</si>
  <si>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</si>
  <si>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</si>
  <si>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</si>
  <si>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</si>
  <si>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</si>
  <si>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</si>
  <si>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</si>
  <si>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</si>
  <si>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</si>
  <si>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</si>
  <si>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</si>
  <si>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</si>
  <si>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</si>
  <si>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</si>
  <si>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</si>
  <si>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</si>
  <si>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</si>
  <si>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</si>
  <si>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</si>
  <si>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</si>
  <si>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</si>
  <si>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</si>
  <si>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</si>
  <si>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</si>
  <si>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</si>
  <si>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</si>
  <si>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</si>
  <si>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</si>
  <si>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</si>
  <si>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</si>
  <si>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</si>
  <si>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</si>
  <si>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</si>
  <si>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</si>
  <si>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</si>
  <si>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</si>
  <si>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</si>
  <si>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</si>
  <si>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</si>
  <si>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</si>
  <si>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</si>
  <si>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</si>
  <si>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</si>
  <si>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</si>
  <si>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</si>
  <si>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</si>
  <si>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</si>
  <si>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</si>
  <si>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</si>
  <si>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</si>
  <si>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</si>
  <si>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</si>
  <si>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</si>
  <si>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</si>
  <si>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</si>
  <si>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</si>
  <si>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</si>
  <si>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</si>
  <si>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</si>
  <si>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</si>
  <si>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</si>
  <si>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</si>
  <si>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</si>
  <si>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</si>
  <si>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</si>
  <si>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</si>
  <si>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</si>
  <si>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</si>
  <si>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</si>
  <si>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</si>
  <si>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</si>
  <si>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</si>
  <si>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</si>
  <si>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</si>
  <si>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</si>
  <si>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</si>
  <si>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</si>
  <si>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</si>
  <si>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</si>
  <si>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</si>
  <si>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</si>
  <si>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</si>
  <si>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</si>
  <si>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</si>
  <si>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</si>
  <si>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</si>
  <si>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</si>
  <si>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</si>
  <si>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</si>
  <si>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</si>
  <si>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</si>
  <si>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</si>
  <si>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</si>
  <si>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</si>
  <si>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</si>
  <si>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</si>
  <si>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</si>
  <si>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</si>
  <si>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</si>
  <si>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</si>
  <si>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</si>
  <si>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</si>
  <si>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</si>
  <si>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</si>
  <si>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</si>
  <si>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</si>
  <si>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</si>
  <si>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</si>
  <si>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</si>
  <si>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</si>
  <si>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</si>
  <si>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</si>
  <si>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</si>
  <si>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</si>
  <si>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</si>
  <si>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</si>
  <si>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</si>
  <si>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</si>
  <si>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</si>
  <si>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</si>
  <si>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</si>
  <si>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</si>
  <si>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</si>
  <si>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</si>
  <si>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</si>
  <si>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</si>
  <si>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</si>
  <si>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</si>
  <si>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</si>
  <si>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</si>
  <si>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</si>
  <si>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</si>
  <si>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</si>
  <si>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</si>
  <si>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</si>
  <si>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</si>
  <si>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</si>
  <si>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</si>
  <si>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</si>
  <si>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</si>
  <si>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</si>
  <si>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</si>
  <si>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</si>
  <si>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</si>
  <si>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</si>
  <si>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</si>
  <si>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</si>
  <si>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</si>
  <si>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</si>
  <si>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</si>
  <si>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</si>
  <si>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</si>
  <si>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</si>
  <si>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</si>
  <si>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</si>
  <si>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</si>
  <si>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</si>
  <si>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</si>
  <si>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</si>
  <si>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</si>
  <si>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</si>
  <si>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</si>
  <si>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</si>
  <si>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</si>
  <si>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</si>
  <si>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</si>
  <si>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</si>
  <si>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</si>
  <si>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</si>
  <si>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</si>
  <si>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</si>
  <si>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</si>
  <si>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</si>
  <si>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</si>
  <si>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</si>
  <si>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</si>
  <si>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</si>
  <si>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</si>
  <si>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</si>
  <si>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</si>
  <si>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</si>
  <si>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</si>
  <si>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</si>
  <si>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</si>
  <si>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</si>
  <si>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</si>
  <si>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</si>
  <si>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</si>
  <si>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</si>
  <si>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</si>
  <si>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</si>
  <si>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</si>
  <si>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</si>
  <si>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</si>
  <si>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</si>
  <si>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</si>
  <si>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</si>
  <si>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</si>
  <si>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</si>
  <si>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</si>
  <si>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</si>
  <si>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</si>
  <si>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</si>
  <si>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</si>
  <si>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</si>
  <si>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</si>
  <si>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</si>
  <si>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</si>
  <si>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</si>
  <si>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</si>
  <si>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</si>
  <si>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</si>
  <si>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</si>
  <si>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</si>
  <si>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</si>
  <si>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</si>
  <si>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</si>
  <si>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</si>
  <si>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</si>
  <si>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</si>
  <si>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</si>
  <si>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</si>
  <si>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</si>
  <si>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</si>
  <si>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</si>
  <si>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</si>
  <si>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</si>
  <si>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</si>
  <si>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</si>
  <si>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</si>
  <si>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</si>
  <si>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</si>
  <si>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</si>
  <si>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</si>
  <si>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</si>
  <si>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</si>
  <si>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</si>
  <si>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</si>
  <si>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</si>
  <si>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</si>
  <si>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</si>
  <si>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</si>
  <si>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</si>
  <si>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</si>
  <si>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</si>
  <si>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</si>
  <si>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</si>
  <si>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</si>
  <si>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</si>
  <si>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</si>
  <si>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</si>
  <si>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</si>
  <si>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</si>
  <si>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</si>
  <si>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</si>
  <si>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</si>
  <si>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</si>
  <si>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</si>
  <si>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</si>
  <si>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</si>
  <si>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</si>
  <si>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</si>
  <si>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</si>
  <si>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</si>
  <si>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</si>
  <si>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</si>
  <si>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</si>
  <si>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</si>
  <si>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</si>
  <si>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</si>
  <si>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</si>
  <si>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</si>
  <si>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</si>
  <si>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</si>
  <si>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</si>
  <si>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</si>
  <si>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</si>
  <si>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</si>
  <si>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</si>
  <si>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</si>
  <si>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</si>
  <si>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</si>
  <si>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</si>
  <si>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</si>
  <si>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</si>
  <si>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</si>
  <si>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</si>
  <si>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</si>
  <si>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</si>
  <si>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</si>
  <si>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</si>
  <si>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</si>
  <si>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</si>
  <si>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</si>
  <si>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</si>
  <si>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</si>
  <si>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</si>
  <si>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</si>
  <si>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</si>
  <si>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</si>
  <si>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</si>
  <si>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</si>
  <si>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</si>
  <si>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</si>
  <si>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</si>
  <si>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</si>
  <si>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</si>
  <si>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</si>
  <si>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</si>
  <si>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</si>
  <si>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</si>
  <si>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</si>
  <si>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</si>
  <si>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</si>
  <si>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</si>
  <si>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</si>
  <si>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</si>
  <si>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</si>
  <si>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</si>
  <si>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</si>
  <si>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</si>
  <si>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</si>
  <si>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</si>
  <si>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</si>
  <si>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</si>
  <si>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</si>
  <si>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</si>
  <si>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</si>
  <si>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</si>
  <si>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</si>
  <si>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</si>
  <si>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</si>
  <si>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</si>
  <si>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</si>
  <si>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</si>
  <si>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</si>
  <si>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</si>
  <si>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</si>
  <si>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</si>
  <si>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</si>
  <si>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</si>
  <si>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</si>
  <si>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</si>
  <si>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</si>
  <si>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</si>
  <si>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</si>
  <si>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</si>
  <si>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</si>
  <si>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</si>
  <si>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</si>
  <si>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</si>
  <si>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</si>
  <si>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</si>
  <si>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</si>
  <si>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</si>
  <si>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</si>
  <si>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</si>
  <si>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</si>
  <si>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</si>
  <si>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</si>
  <si>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</si>
  <si>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</si>
  <si>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</si>
  <si>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</si>
  <si>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</si>
  <si>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P004692</t>
  </si>
  <si>
    <t>ЕАЭС N RU Д-RU.РА05.В.41862/23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</si>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</sst>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6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965" t="s">
        <v>0</v>
      </c>
      <c r="E1" s="699"/>
      <c r="F1" s="699"/>
      <c r="G1" s="12" t="s">
        <v>1</v>
      </c>
      <c r="H1" s="965" t="s">
        <v>2</v>
      </c>
      <c r="I1" s="699"/>
      <c r="J1" s="699"/>
      <c r="K1" s="699"/>
      <c r="L1" s="699"/>
      <c r="M1" s="699"/>
      <c r="N1" s="699"/>
      <c r="O1" s="699"/>
      <c r="P1" s="699"/>
      <c r="Q1" s="699"/>
      <c r="R1" s="1043" t="s">
        <v>3</v>
      </c>
      <c r="S1" s="699"/>
      <c r="T1" s="6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1"/>
      <c r="R2" s="681"/>
      <c r="S2" s="681"/>
      <c r="T2" s="681"/>
      <c r="U2" s="681"/>
      <c r="V2" s="681"/>
      <c r="W2" s="681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1"/>
      <c r="Q3" s="681"/>
      <c r="R3" s="681"/>
      <c r="S3" s="681"/>
      <c r="T3" s="681"/>
      <c r="U3" s="681"/>
      <c r="V3" s="681"/>
      <c r="W3" s="681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922" t="s">
        <v>8</v>
      </c>
      <c r="B5" s="675"/>
      <c r="C5" s="676"/>
      <c r="D5" s="796"/>
      <c r="E5" s="798"/>
      <c r="F5" s="738" t="s">
        <v>9</v>
      </c>
      <c r="G5" s="676"/>
      <c r="H5" s="796"/>
      <c r="I5" s="797"/>
      <c r="J5" s="797"/>
      <c r="K5" s="797"/>
      <c r="L5" s="797"/>
      <c r="M5" s="798"/>
      <c r="N5" s="58"/>
      <c r="P5" s="24" t="s">
        <v>10</v>
      </c>
      <c r="Q5" s="714">
        <v>45771</v>
      </c>
      <c r="R5" s="715"/>
      <c r="T5" s="898" t="s">
        <v>11</v>
      </c>
      <c r="U5" s="899"/>
      <c r="V5" s="901" t="s">
        <v>12</v>
      </c>
      <c r="W5" s="715"/>
      <c r="AB5" s="51"/>
      <c r="AC5" s="51"/>
      <c r="AD5" s="51"/>
      <c r="AE5" s="51"/>
    </row>
    <row r="6" spans="1:32" s="659" customFormat="1" ht="24" customHeight="1" x14ac:dyDescent="0.2">
      <c r="A6" s="922" t="s">
        <v>13</v>
      </c>
      <c r="B6" s="675"/>
      <c r="C6" s="676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722" t="str">
        <f>IF(Q5=0," ",CHOOSE(WEEKDAY(Q5,2),"Понедельник","Вторник","Среда","Четверг","Пятница","Суббота","Воскресенье"))</f>
        <v>Четверг</v>
      </c>
      <c r="R6" s="678"/>
      <c r="T6" s="906" t="s">
        <v>16</v>
      </c>
      <c r="U6" s="899"/>
      <c r="V6" s="811" t="s">
        <v>17</v>
      </c>
      <c r="W6" s="812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1002" t="str">
        <f>IFERROR(VLOOKUP(DeliveryAddress,Table,3,0),1)</f>
        <v>1</v>
      </c>
      <c r="E7" s="1003"/>
      <c r="F7" s="1003"/>
      <c r="G7" s="1003"/>
      <c r="H7" s="1003"/>
      <c r="I7" s="1003"/>
      <c r="J7" s="1003"/>
      <c r="K7" s="1003"/>
      <c r="L7" s="1003"/>
      <c r="M7" s="904"/>
      <c r="N7" s="60"/>
      <c r="P7" s="24"/>
      <c r="Q7" s="42"/>
      <c r="R7" s="42"/>
      <c r="T7" s="681"/>
      <c r="U7" s="899"/>
      <c r="V7" s="813"/>
      <c r="W7" s="814"/>
      <c r="AB7" s="51"/>
      <c r="AC7" s="51"/>
      <c r="AD7" s="51"/>
      <c r="AE7" s="51"/>
    </row>
    <row r="8" spans="1:32" s="659" customFormat="1" ht="25.5" customHeight="1" x14ac:dyDescent="0.2">
      <c r="A8" s="669" t="s">
        <v>18</v>
      </c>
      <c r="B8" s="670"/>
      <c r="C8" s="671"/>
      <c r="D8" s="1014" t="s">
        <v>19</v>
      </c>
      <c r="E8" s="1015"/>
      <c r="F8" s="1015"/>
      <c r="G8" s="1015"/>
      <c r="H8" s="1015"/>
      <c r="I8" s="1015"/>
      <c r="J8" s="1015"/>
      <c r="K8" s="1015"/>
      <c r="L8" s="1015"/>
      <c r="M8" s="1016"/>
      <c r="N8" s="61"/>
      <c r="P8" s="24" t="s">
        <v>20</v>
      </c>
      <c r="Q8" s="903">
        <v>0.41666666666666669</v>
      </c>
      <c r="R8" s="904"/>
      <c r="T8" s="681"/>
      <c r="U8" s="899"/>
      <c r="V8" s="813"/>
      <c r="W8" s="814"/>
      <c r="AB8" s="51"/>
      <c r="AC8" s="51"/>
      <c r="AD8" s="51"/>
      <c r="AE8" s="51"/>
    </row>
    <row r="9" spans="1:32" s="659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1"/>
      <c r="C9" s="681"/>
      <c r="D9" s="757"/>
      <c r="E9" s="758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758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8"/>
      <c r="L9" s="758"/>
      <c r="M9" s="758"/>
      <c r="N9" s="657"/>
      <c r="P9" s="26" t="s">
        <v>21</v>
      </c>
      <c r="Q9" s="942"/>
      <c r="R9" s="744"/>
      <c r="T9" s="681"/>
      <c r="U9" s="899"/>
      <c r="V9" s="815"/>
      <c r="W9" s="816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1"/>
      <c r="C10" s="681"/>
      <c r="D10" s="757"/>
      <c r="E10" s="758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1"/>
      <c r="H10" s="832" t="str">
        <f>IFERROR(VLOOKUP($D$10,Proxy,2,FALSE),"")</f>
        <v/>
      </c>
      <c r="I10" s="681"/>
      <c r="J10" s="681"/>
      <c r="K10" s="681"/>
      <c r="L10" s="681"/>
      <c r="M10" s="681"/>
      <c r="N10" s="658"/>
      <c r="P10" s="26" t="s">
        <v>22</v>
      </c>
      <c r="Q10" s="907"/>
      <c r="R10" s="908"/>
      <c r="U10" s="24" t="s">
        <v>23</v>
      </c>
      <c r="V10" s="1031" t="s">
        <v>24</v>
      </c>
      <c r="W10" s="812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945"/>
      <c r="R11" s="715"/>
      <c r="U11" s="24" t="s">
        <v>27</v>
      </c>
      <c r="V11" s="743" t="s">
        <v>28</v>
      </c>
      <c r="W11" s="744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71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903"/>
      <c r="R12" s="904"/>
      <c r="S12" s="23"/>
      <c r="U12" s="24"/>
      <c r="V12" s="699"/>
      <c r="W12" s="681"/>
      <c r="AB12" s="51"/>
      <c r="AC12" s="51"/>
      <c r="AD12" s="51"/>
      <c r="AE12" s="51"/>
    </row>
    <row r="13" spans="1:32" s="659" customFormat="1" ht="23.25" customHeight="1" x14ac:dyDescent="0.2">
      <c r="A13" s="871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743"/>
      <c r="R13" s="7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71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3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919" t="s">
        <v>35</v>
      </c>
      <c r="Q15" s="699"/>
      <c r="R15" s="699"/>
      <c r="S15" s="699"/>
      <c r="T15" s="6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20"/>
      <c r="Q16" s="920"/>
      <c r="R16" s="920"/>
      <c r="S16" s="920"/>
      <c r="T16" s="9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5" t="s">
        <v>36</v>
      </c>
      <c r="B17" s="695" t="s">
        <v>37</v>
      </c>
      <c r="C17" s="926" t="s">
        <v>38</v>
      </c>
      <c r="D17" s="695" t="s">
        <v>39</v>
      </c>
      <c r="E17" s="696"/>
      <c r="F17" s="695" t="s">
        <v>40</v>
      </c>
      <c r="G17" s="695" t="s">
        <v>41</v>
      </c>
      <c r="H17" s="695" t="s">
        <v>42</v>
      </c>
      <c r="I17" s="695" t="s">
        <v>43</v>
      </c>
      <c r="J17" s="695" t="s">
        <v>44</v>
      </c>
      <c r="K17" s="695" t="s">
        <v>45</v>
      </c>
      <c r="L17" s="695" t="s">
        <v>46</v>
      </c>
      <c r="M17" s="695" t="s">
        <v>47</v>
      </c>
      <c r="N17" s="695" t="s">
        <v>48</v>
      </c>
      <c r="O17" s="695" t="s">
        <v>49</v>
      </c>
      <c r="P17" s="695" t="s">
        <v>50</v>
      </c>
      <c r="Q17" s="969"/>
      <c r="R17" s="969"/>
      <c r="S17" s="969"/>
      <c r="T17" s="696"/>
      <c r="U17" s="706" t="s">
        <v>51</v>
      </c>
      <c r="V17" s="676"/>
      <c r="W17" s="695" t="s">
        <v>52</v>
      </c>
      <c r="X17" s="695" t="s">
        <v>53</v>
      </c>
      <c r="Y17" s="707" t="s">
        <v>54</v>
      </c>
      <c r="Z17" s="827" t="s">
        <v>55</v>
      </c>
      <c r="AA17" s="732" t="s">
        <v>56</v>
      </c>
      <c r="AB17" s="732" t="s">
        <v>57</v>
      </c>
      <c r="AC17" s="732" t="s">
        <v>58</v>
      </c>
      <c r="AD17" s="732" t="s">
        <v>59</v>
      </c>
      <c r="AE17" s="733"/>
      <c r="AF17" s="734"/>
      <c r="AG17" s="66"/>
      <c r="BD17" s="65" t="s">
        <v>60</v>
      </c>
    </row>
    <row r="18" spans="1:68" ht="14.25" customHeight="1" x14ac:dyDescent="0.2">
      <c r="A18" s="784"/>
      <c r="B18" s="784"/>
      <c r="C18" s="784"/>
      <c r="D18" s="697"/>
      <c r="E18" s="698"/>
      <c r="F18" s="784"/>
      <c r="G18" s="784"/>
      <c r="H18" s="784"/>
      <c r="I18" s="784"/>
      <c r="J18" s="784"/>
      <c r="K18" s="784"/>
      <c r="L18" s="784"/>
      <c r="M18" s="784"/>
      <c r="N18" s="784"/>
      <c r="O18" s="784"/>
      <c r="P18" s="697"/>
      <c r="Q18" s="970"/>
      <c r="R18" s="970"/>
      <c r="S18" s="970"/>
      <c r="T18" s="698"/>
      <c r="U18" s="67" t="s">
        <v>61</v>
      </c>
      <c r="V18" s="67" t="s">
        <v>62</v>
      </c>
      <c r="W18" s="784"/>
      <c r="X18" s="784"/>
      <c r="Y18" s="708"/>
      <c r="Z18" s="828"/>
      <c r="AA18" s="830"/>
      <c r="AB18" s="830"/>
      <c r="AC18" s="830"/>
      <c r="AD18" s="735"/>
      <c r="AE18" s="736"/>
      <c r="AF18" s="737"/>
      <c r="AG18" s="66"/>
      <c r="BD18" s="65"/>
    </row>
    <row r="19" spans="1:68" ht="27.75" customHeight="1" x14ac:dyDescent="0.2">
      <c r="A19" s="771" t="s">
        <v>63</v>
      </c>
      <c r="B19" s="772"/>
      <c r="C19" s="772"/>
      <c r="D19" s="772"/>
      <c r="E19" s="772"/>
      <c r="F19" s="772"/>
      <c r="G19" s="772"/>
      <c r="H19" s="772"/>
      <c r="I19" s="772"/>
      <c r="J19" s="772"/>
      <c r="K19" s="772"/>
      <c r="L19" s="772"/>
      <c r="M19" s="772"/>
      <c r="N19" s="772"/>
      <c r="O19" s="772"/>
      <c r="P19" s="772"/>
      <c r="Q19" s="772"/>
      <c r="R19" s="772"/>
      <c r="S19" s="772"/>
      <c r="T19" s="772"/>
      <c r="U19" s="772"/>
      <c r="V19" s="772"/>
      <c r="W19" s="772"/>
      <c r="X19" s="772"/>
      <c r="Y19" s="772"/>
      <c r="Z19" s="772"/>
      <c r="AA19" s="48"/>
      <c r="AB19" s="48"/>
      <c r="AC19" s="48"/>
    </row>
    <row r="20" spans="1:68" ht="16.5" customHeight="1" x14ac:dyDescent="0.25">
      <c r="A20" s="690" t="s">
        <v>63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1"/>
      <c r="N20" s="681"/>
      <c r="O20" s="681"/>
      <c r="P20" s="681"/>
      <c r="Q20" s="681"/>
      <c r="R20" s="681"/>
      <c r="S20" s="681"/>
      <c r="T20" s="681"/>
      <c r="U20" s="681"/>
      <c r="V20" s="681"/>
      <c r="W20" s="681"/>
      <c r="X20" s="681"/>
      <c r="Y20" s="681"/>
      <c r="Z20" s="681"/>
      <c r="AA20" s="660"/>
      <c r="AB20" s="660"/>
      <c r="AC20" s="660"/>
    </row>
    <row r="21" spans="1:68" ht="14.25" customHeight="1" x14ac:dyDescent="0.25">
      <c r="A21" s="688" t="s">
        <v>64</v>
      </c>
      <c r="B21" s="681"/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7">
        <v>4680115885912</v>
      </c>
      <c r="E22" s="678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5"/>
      <c r="R22" s="685"/>
      <c r="S22" s="685"/>
      <c r="T22" s="686"/>
      <c r="U22" s="34"/>
      <c r="V22" s="34"/>
      <c r="W22" s="35" t="s">
        <v>69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7">
        <v>4607091388237</v>
      </c>
      <c r="E23" s="678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5"/>
      <c r="R23" s="685"/>
      <c r="S23" s="685"/>
      <c r="T23" s="686"/>
      <c r="U23" s="34"/>
      <c r="V23" s="34"/>
      <c r="W23" s="35" t="s">
        <v>69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7">
        <v>4680115886230</v>
      </c>
      <c r="E24" s="678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86" t="s">
        <v>76</v>
      </c>
      <c r="Q24" s="685"/>
      <c r="R24" s="685"/>
      <c r="S24" s="685"/>
      <c r="T24" s="686"/>
      <c r="U24" s="34"/>
      <c r="V24" s="34"/>
      <c r="W24" s="35" t="s">
        <v>69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7">
        <v>4680115886247</v>
      </c>
      <c r="E25" s="678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702" t="s">
        <v>80</v>
      </c>
      <c r="Q25" s="685"/>
      <c r="R25" s="685"/>
      <c r="S25" s="685"/>
      <c r="T25" s="686"/>
      <c r="U25" s="34"/>
      <c r="V25" s="34"/>
      <c r="W25" s="35" t="s">
        <v>69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7">
        <v>4680115885905</v>
      </c>
      <c r="E26" s="678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5"/>
      <c r="R26" s="685"/>
      <c r="S26" s="685"/>
      <c r="T26" s="686"/>
      <c r="U26" s="34"/>
      <c r="V26" s="34"/>
      <c r="W26" s="35" t="s">
        <v>69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7">
        <v>4607091388244</v>
      </c>
      <c r="E27" s="678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5"/>
      <c r="R27" s="685"/>
      <c r="S27" s="685"/>
      <c r="T27" s="686"/>
      <c r="U27" s="34"/>
      <c r="V27" s="34"/>
      <c r="W27" s="35" t="s">
        <v>69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82"/>
      <c r="B28" s="681"/>
      <c r="C28" s="681"/>
      <c r="D28" s="681"/>
      <c r="E28" s="681"/>
      <c r="F28" s="681"/>
      <c r="G28" s="681"/>
      <c r="H28" s="681"/>
      <c r="I28" s="681"/>
      <c r="J28" s="681"/>
      <c r="K28" s="681"/>
      <c r="L28" s="681"/>
      <c r="M28" s="681"/>
      <c r="N28" s="681"/>
      <c r="O28" s="683"/>
      <c r="P28" s="679" t="s">
        <v>88</v>
      </c>
      <c r="Q28" s="670"/>
      <c r="R28" s="670"/>
      <c r="S28" s="670"/>
      <c r="T28" s="670"/>
      <c r="U28" s="670"/>
      <c r="V28" s="671"/>
      <c r="W28" s="37" t="s">
        <v>89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81"/>
      <c r="B29" s="681"/>
      <c r="C29" s="681"/>
      <c r="D29" s="681"/>
      <c r="E29" s="681"/>
      <c r="F29" s="681"/>
      <c r="G29" s="681"/>
      <c r="H29" s="681"/>
      <c r="I29" s="681"/>
      <c r="J29" s="681"/>
      <c r="K29" s="681"/>
      <c r="L29" s="681"/>
      <c r="M29" s="681"/>
      <c r="N29" s="681"/>
      <c r="O29" s="683"/>
      <c r="P29" s="679" t="s">
        <v>88</v>
      </c>
      <c r="Q29" s="670"/>
      <c r="R29" s="670"/>
      <c r="S29" s="670"/>
      <c r="T29" s="670"/>
      <c r="U29" s="670"/>
      <c r="V29" s="671"/>
      <c r="W29" s="37" t="s">
        <v>69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8" t="s">
        <v>90</v>
      </c>
      <c r="B30" s="681"/>
      <c r="C30" s="681"/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  <c r="V30" s="681"/>
      <c r="W30" s="681"/>
      <c r="X30" s="681"/>
      <c r="Y30" s="681"/>
      <c r="Z30" s="681"/>
      <c r="AA30" s="661"/>
      <c r="AB30" s="661"/>
      <c r="AC30" s="661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7">
        <v>4607091388503</v>
      </c>
      <c r="E31" s="678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10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5"/>
      <c r="R31" s="685"/>
      <c r="S31" s="685"/>
      <c r="T31" s="686"/>
      <c r="U31" s="34"/>
      <c r="V31" s="34"/>
      <c r="W31" s="35" t="s">
        <v>69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82"/>
      <c r="B32" s="681"/>
      <c r="C32" s="681"/>
      <c r="D32" s="681"/>
      <c r="E32" s="681"/>
      <c r="F32" s="681"/>
      <c r="G32" s="681"/>
      <c r="H32" s="681"/>
      <c r="I32" s="681"/>
      <c r="J32" s="681"/>
      <c r="K32" s="681"/>
      <c r="L32" s="681"/>
      <c r="M32" s="681"/>
      <c r="N32" s="681"/>
      <c r="O32" s="683"/>
      <c r="P32" s="679" t="s">
        <v>88</v>
      </c>
      <c r="Q32" s="670"/>
      <c r="R32" s="670"/>
      <c r="S32" s="670"/>
      <c r="T32" s="670"/>
      <c r="U32" s="670"/>
      <c r="V32" s="671"/>
      <c r="W32" s="37" t="s">
        <v>89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x14ac:dyDescent="0.2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1"/>
      <c r="N33" s="681"/>
      <c r="O33" s="683"/>
      <c r="P33" s="679" t="s">
        <v>88</v>
      </c>
      <c r="Q33" s="670"/>
      <c r="R33" s="670"/>
      <c r="S33" s="670"/>
      <c r="T33" s="670"/>
      <c r="U33" s="670"/>
      <c r="V33" s="671"/>
      <c r="W33" s="37" t="s">
        <v>69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customHeight="1" x14ac:dyDescent="0.2">
      <c r="A34" s="771" t="s">
        <v>96</v>
      </c>
      <c r="B34" s="772"/>
      <c r="C34" s="772"/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/>
      <c r="P34" s="772"/>
      <c r="Q34" s="772"/>
      <c r="R34" s="772"/>
      <c r="S34" s="772"/>
      <c r="T34" s="772"/>
      <c r="U34" s="772"/>
      <c r="V34" s="772"/>
      <c r="W34" s="772"/>
      <c r="X34" s="772"/>
      <c r="Y34" s="772"/>
      <c r="Z34" s="772"/>
      <c r="AA34" s="48"/>
      <c r="AB34" s="48"/>
      <c r="AC34" s="48"/>
    </row>
    <row r="35" spans="1:68" ht="16.5" customHeight="1" x14ac:dyDescent="0.25">
      <c r="A35" s="690" t="s">
        <v>97</v>
      </c>
      <c r="B35" s="681"/>
      <c r="C35" s="681"/>
      <c r="D35" s="681"/>
      <c r="E35" s="681"/>
      <c r="F35" s="681"/>
      <c r="G35" s="681"/>
      <c r="H35" s="681"/>
      <c r="I35" s="681"/>
      <c r="J35" s="681"/>
      <c r="K35" s="681"/>
      <c r="L35" s="681"/>
      <c r="M35" s="681"/>
      <c r="N35" s="681"/>
      <c r="O35" s="681"/>
      <c r="P35" s="681"/>
      <c r="Q35" s="681"/>
      <c r="R35" s="681"/>
      <c r="S35" s="681"/>
      <c r="T35" s="681"/>
      <c r="U35" s="681"/>
      <c r="V35" s="681"/>
      <c r="W35" s="681"/>
      <c r="X35" s="681"/>
      <c r="Y35" s="681"/>
      <c r="Z35" s="681"/>
      <c r="AA35" s="660"/>
      <c r="AB35" s="660"/>
      <c r="AC35" s="660"/>
    </row>
    <row r="36" spans="1:68" ht="14.25" customHeight="1" x14ac:dyDescent="0.25">
      <c r="A36" s="688" t="s">
        <v>98</v>
      </c>
      <c r="B36" s="681"/>
      <c r="C36" s="681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V36" s="681"/>
      <c r="W36" s="681"/>
      <c r="X36" s="681"/>
      <c r="Y36" s="681"/>
      <c r="Z36" s="681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7">
        <v>4607091385670</v>
      </c>
      <c r="E37" s="678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5"/>
      <c r="R37" s="685"/>
      <c r="S37" s="685"/>
      <c r="T37" s="686"/>
      <c r="U37" s="34"/>
      <c r="V37" s="34"/>
      <c r="W37" s="35" t="s">
        <v>69</v>
      </c>
      <c r="X37" s="665">
        <v>30</v>
      </c>
      <c r="Y37" s="666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7">
        <v>4607091385687</v>
      </c>
      <c r="E38" s="678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8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5"/>
      <c r="R38" s="685"/>
      <c r="S38" s="685"/>
      <c r="T38" s="686"/>
      <c r="U38" s="34"/>
      <c r="V38" s="34"/>
      <c r="W38" s="35" t="s">
        <v>69</v>
      </c>
      <c r="X38" s="665">
        <v>12</v>
      </c>
      <c r="Y38" s="666">
        <f>IFERROR(IF(X38="",0,CEILING((X38/$H38),1)*$H38),"")</f>
        <v>12</v>
      </c>
      <c r="Z38" s="36">
        <f>IFERROR(IF(Y38=0,"",ROUNDUP(Y38/H38,0)*0.00902),"")</f>
        <v>2.7060000000000001E-2</v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12.629999999999999</v>
      </c>
      <c r="BN38" s="64">
        <f>IFERROR(Y38*I38/H38,"0")</f>
        <v>12.629999999999999</v>
      </c>
      <c r="BO38" s="64">
        <f>IFERROR(1/J38*(X38/H38),"0")</f>
        <v>2.2727272727272728E-2</v>
      </c>
      <c r="BP38" s="64">
        <f>IFERROR(1/J38*(Y38/H38),"0")</f>
        <v>2.2727272727272728E-2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7">
        <v>4680115882539</v>
      </c>
      <c r="E39" s="678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97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5"/>
      <c r="R39" s="685"/>
      <c r="S39" s="685"/>
      <c r="T39" s="686"/>
      <c r="U39" s="34"/>
      <c r="V39" s="34"/>
      <c r="W39" s="35" t="s">
        <v>69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7">
        <v>4680115883949</v>
      </c>
      <c r="E40" s="678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2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5"/>
      <c r="R40" s="685"/>
      <c r="S40" s="685"/>
      <c r="T40" s="686"/>
      <c r="U40" s="34"/>
      <c r="V40" s="34"/>
      <c r="W40" s="35" t="s">
        <v>69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2"/>
      <c r="B41" s="681"/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  <c r="N41" s="681"/>
      <c r="O41" s="683"/>
      <c r="P41" s="679" t="s">
        <v>88</v>
      </c>
      <c r="Q41" s="670"/>
      <c r="R41" s="670"/>
      <c r="S41" s="670"/>
      <c r="T41" s="670"/>
      <c r="U41" s="670"/>
      <c r="V41" s="671"/>
      <c r="W41" s="37" t="s">
        <v>89</v>
      </c>
      <c r="X41" s="667">
        <f>IFERROR(X37/H37,"0")+IFERROR(X38/H38,"0")+IFERROR(X39/H39,"0")+IFERROR(X40/H40,"0")</f>
        <v>5.7777777777777777</v>
      </c>
      <c r="Y41" s="667">
        <f>IFERROR(Y37/H37,"0")+IFERROR(Y38/H38,"0")+IFERROR(Y39/H39,"0")+IFERROR(Y40/H40,"0")</f>
        <v>6</v>
      </c>
      <c r="Z41" s="667">
        <f>IFERROR(IF(Z37="",0,Z37),"0")+IFERROR(IF(Z38="",0,Z38),"0")+IFERROR(IF(Z39="",0,Z39),"0")+IFERROR(IF(Z40="",0,Z40),"0")</f>
        <v>8.4000000000000005E-2</v>
      </c>
      <c r="AA41" s="668"/>
      <c r="AB41" s="668"/>
      <c r="AC41" s="668"/>
    </row>
    <row r="42" spans="1:68" x14ac:dyDescent="0.2">
      <c r="A42" s="681"/>
      <c r="B42" s="681"/>
      <c r="C42" s="681"/>
      <c r="D42" s="681"/>
      <c r="E42" s="681"/>
      <c r="F42" s="681"/>
      <c r="G42" s="681"/>
      <c r="H42" s="681"/>
      <c r="I42" s="681"/>
      <c r="J42" s="681"/>
      <c r="K42" s="681"/>
      <c r="L42" s="681"/>
      <c r="M42" s="681"/>
      <c r="N42" s="681"/>
      <c r="O42" s="683"/>
      <c r="P42" s="679" t="s">
        <v>88</v>
      </c>
      <c r="Q42" s="670"/>
      <c r="R42" s="670"/>
      <c r="S42" s="670"/>
      <c r="T42" s="670"/>
      <c r="U42" s="670"/>
      <c r="V42" s="671"/>
      <c r="W42" s="37" t="s">
        <v>69</v>
      </c>
      <c r="X42" s="667">
        <f>IFERROR(SUM(X37:X40),"0")</f>
        <v>42</v>
      </c>
      <c r="Y42" s="667">
        <f>IFERROR(SUM(Y37:Y40),"0")</f>
        <v>44.400000000000006</v>
      </c>
      <c r="Z42" s="37"/>
      <c r="AA42" s="668"/>
      <c r="AB42" s="668"/>
      <c r="AC42" s="668"/>
    </row>
    <row r="43" spans="1:68" ht="14.25" customHeight="1" x14ac:dyDescent="0.25">
      <c r="A43" s="688" t="s">
        <v>64</v>
      </c>
      <c r="B43" s="681"/>
      <c r="C43" s="681"/>
      <c r="D43" s="681"/>
      <c r="E43" s="681"/>
      <c r="F43" s="681"/>
      <c r="G43" s="681"/>
      <c r="H43" s="681"/>
      <c r="I43" s="681"/>
      <c r="J43" s="681"/>
      <c r="K43" s="681"/>
      <c r="L43" s="681"/>
      <c r="M43" s="681"/>
      <c r="N43" s="681"/>
      <c r="O43" s="681"/>
      <c r="P43" s="681"/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61"/>
      <c r="AB43" s="661"/>
      <c r="AC43" s="661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7">
        <v>4680115884915</v>
      </c>
      <c r="E44" s="678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101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5"/>
      <c r="R44" s="685"/>
      <c r="S44" s="685"/>
      <c r="T44" s="686"/>
      <c r="U44" s="34"/>
      <c r="V44" s="34"/>
      <c r="W44" s="35" t="s">
        <v>69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82"/>
      <c r="B45" s="681"/>
      <c r="C45" s="681"/>
      <c r="D45" s="681"/>
      <c r="E45" s="681"/>
      <c r="F45" s="681"/>
      <c r="G45" s="681"/>
      <c r="H45" s="681"/>
      <c r="I45" s="681"/>
      <c r="J45" s="681"/>
      <c r="K45" s="681"/>
      <c r="L45" s="681"/>
      <c r="M45" s="681"/>
      <c r="N45" s="681"/>
      <c r="O45" s="683"/>
      <c r="P45" s="679" t="s">
        <v>88</v>
      </c>
      <c r="Q45" s="670"/>
      <c r="R45" s="670"/>
      <c r="S45" s="670"/>
      <c r="T45" s="670"/>
      <c r="U45" s="670"/>
      <c r="V45" s="671"/>
      <c r="W45" s="37" t="s">
        <v>89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81"/>
      <c r="L46" s="681"/>
      <c r="M46" s="681"/>
      <c r="N46" s="681"/>
      <c r="O46" s="683"/>
      <c r="P46" s="679" t="s">
        <v>88</v>
      </c>
      <c r="Q46" s="670"/>
      <c r="R46" s="670"/>
      <c r="S46" s="670"/>
      <c r="T46" s="670"/>
      <c r="U46" s="670"/>
      <c r="V46" s="671"/>
      <c r="W46" s="37" t="s">
        <v>69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690" t="s">
        <v>118</v>
      </c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  <c r="N47" s="681"/>
      <c r="O47" s="681"/>
      <c r="P47" s="681"/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60"/>
      <c r="AB47" s="660"/>
      <c r="AC47" s="660"/>
    </row>
    <row r="48" spans="1:68" ht="14.25" customHeight="1" x14ac:dyDescent="0.25">
      <c r="A48" s="688" t="s">
        <v>98</v>
      </c>
      <c r="B48" s="681"/>
      <c r="C48" s="681"/>
      <c r="D48" s="681"/>
      <c r="E48" s="681"/>
      <c r="F48" s="681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681"/>
      <c r="U48" s="681"/>
      <c r="V48" s="681"/>
      <c r="W48" s="681"/>
      <c r="X48" s="681"/>
      <c r="Y48" s="681"/>
      <c r="Z48" s="681"/>
      <c r="AA48" s="661"/>
      <c r="AB48" s="661"/>
      <c r="AC48" s="661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7">
        <v>4680115885882</v>
      </c>
      <c r="E49" s="678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7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5"/>
      <c r="R49" s="685"/>
      <c r="S49" s="685"/>
      <c r="T49" s="686"/>
      <c r="U49" s="34"/>
      <c r="V49" s="34"/>
      <c r="W49" s="35" t="s">
        <v>69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7">
        <v>4680115881426</v>
      </c>
      <c r="E50" s="678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97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5"/>
      <c r="R50" s="685"/>
      <c r="S50" s="685"/>
      <c r="T50" s="686"/>
      <c r="U50" s="34"/>
      <c r="V50" s="34"/>
      <c r="W50" s="35" t="s">
        <v>69</v>
      </c>
      <c r="X50" s="665">
        <v>50</v>
      </c>
      <c r="Y50" s="666">
        <f t="shared" si="6"/>
        <v>54</v>
      </c>
      <c r="Z50" s="36">
        <f>IFERROR(IF(Y50=0,"",ROUNDUP(Y50/H50,0)*0.01898),"")</f>
        <v>9.4899999999999998E-2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52.013888888888886</v>
      </c>
      <c r="BN50" s="64">
        <f t="shared" si="8"/>
        <v>56.17499999999999</v>
      </c>
      <c r="BO50" s="64">
        <f t="shared" si="9"/>
        <v>7.2337962962962965E-2</v>
      </c>
      <c r="BP50" s="64">
        <f t="shared" si="10"/>
        <v>7.8125E-2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7">
        <v>4680115880283</v>
      </c>
      <c r="E51" s="678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9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5"/>
      <c r="R51" s="685"/>
      <c r="S51" s="685"/>
      <c r="T51" s="686"/>
      <c r="U51" s="34"/>
      <c r="V51" s="34"/>
      <c r="W51" s="35" t="s">
        <v>69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7">
        <v>4680115881525</v>
      </c>
      <c r="E52" s="678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5"/>
      <c r="R52" s="685"/>
      <c r="S52" s="685"/>
      <c r="T52" s="686"/>
      <c r="U52" s="34"/>
      <c r="V52" s="34"/>
      <c r="W52" s="35" t="s">
        <v>69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7">
        <v>4680115885899</v>
      </c>
      <c r="E53" s="678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9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5"/>
      <c r="R53" s="685"/>
      <c r="S53" s="685"/>
      <c r="T53" s="686"/>
      <c r="U53" s="34"/>
      <c r="V53" s="34"/>
      <c r="W53" s="35" t="s">
        <v>69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7">
        <v>4680115881419</v>
      </c>
      <c r="E54" s="678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75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5"/>
      <c r="R54" s="685"/>
      <c r="S54" s="685"/>
      <c r="T54" s="686"/>
      <c r="U54" s="34"/>
      <c r="V54" s="34"/>
      <c r="W54" s="35" t="s">
        <v>69</v>
      </c>
      <c r="X54" s="665">
        <v>45</v>
      </c>
      <c r="Y54" s="666">
        <f t="shared" si="6"/>
        <v>45</v>
      </c>
      <c r="Z54" s="36">
        <f>IFERROR(IF(Y54=0,"",ROUNDUP(Y54/H54,0)*0.00902),"")</f>
        <v>9.0200000000000002E-2</v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47.099999999999994</v>
      </c>
      <c r="BN54" s="64">
        <f t="shared" si="8"/>
        <v>47.099999999999994</v>
      </c>
      <c r="BO54" s="64">
        <f t="shared" si="9"/>
        <v>7.575757575757576E-2</v>
      </c>
      <c r="BP54" s="64">
        <f t="shared" si="10"/>
        <v>7.575757575757576E-2</v>
      </c>
    </row>
    <row r="55" spans="1:68" x14ac:dyDescent="0.2">
      <c r="A55" s="682"/>
      <c r="B55" s="681"/>
      <c r="C55" s="681"/>
      <c r="D55" s="681"/>
      <c r="E55" s="681"/>
      <c r="F55" s="681"/>
      <c r="G55" s="681"/>
      <c r="H55" s="681"/>
      <c r="I55" s="681"/>
      <c r="J55" s="681"/>
      <c r="K55" s="681"/>
      <c r="L55" s="681"/>
      <c r="M55" s="681"/>
      <c r="N55" s="681"/>
      <c r="O55" s="683"/>
      <c r="P55" s="679" t="s">
        <v>88</v>
      </c>
      <c r="Q55" s="670"/>
      <c r="R55" s="670"/>
      <c r="S55" s="670"/>
      <c r="T55" s="670"/>
      <c r="U55" s="670"/>
      <c r="V55" s="671"/>
      <c r="W55" s="37" t="s">
        <v>89</v>
      </c>
      <c r="X55" s="667">
        <f>IFERROR(X49/H49,"0")+IFERROR(X50/H50,"0")+IFERROR(X51/H51,"0")+IFERROR(X52/H52,"0")+IFERROR(X53/H53,"0")+IFERROR(X54/H54,"0")</f>
        <v>14.62962962962963</v>
      </c>
      <c r="Y55" s="667">
        <f>IFERROR(Y49/H49,"0")+IFERROR(Y50/H50,"0")+IFERROR(Y51/H51,"0")+IFERROR(Y52/H52,"0")+IFERROR(Y53/H53,"0")+IFERROR(Y54/H54,"0")</f>
        <v>15</v>
      </c>
      <c r="Z55" s="667">
        <f>IFERROR(IF(Z49="",0,Z49),"0")+IFERROR(IF(Z50="",0,Z50),"0")+IFERROR(IF(Z51="",0,Z51),"0")+IFERROR(IF(Z52="",0,Z52),"0")+IFERROR(IF(Z53="",0,Z53),"0")+IFERROR(IF(Z54="",0,Z54),"0")</f>
        <v>0.18509999999999999</v>
      </c>
      <c r="AA55" s="668"/>
      <c r="AB55" s="668"/>
      <c r="AC55" s="668"/>
    </row>
    <row r="56" spans="1:68" x14ac:dyDescent="0.2">
      <c r="A56" s="681"/>
      <c r="B56" s="681"/>
      <c r="C56" s="681"/>
      <c r="D56" s="681"/>
      <c r="E56" s="681"/>
      <c r="F56" s="681"/>
      <c r="G56" s="681"/>
      <c r="H56" s="681"/>
      <c r="I56" s="681"/>
      <c r="J56" s="681"/>
      <c r="K56" s="681"/>
      <c r="L56" s="681"/>
      <c r="M56" s="681"/>
      <c r="N56" s="681"/>
      <c r="O56" s="683"/>
      <c r="P56" s="679" t="s">
        <v>88</v>
      </c>
      <c r="Q56" s="670"/>
      <c r="R56" s="670"/>
      <c r="S56" s="670"/>
      <c r="T56" s="670"/>
      <c r="U56" s="670"/>
      <c r="V56" s="671"/>
      <c r="W56" s="37" t="s">
        <v>69</v>
      </c>
      <c r="X56" s="667">
        <f>IFERROR(SUM(X49:X54),"0")</f>
        <v>95</v>
      </c>
      <c r="Y56" s="667">
        <f>IFERROR(SUM(Y49:Y54),"0")</f>
        <v>99</v>
      </c>
      <c r="Z56" s="37"/>
      <c r="AA56" s="668"/>
      <c r="AB56" s="668"/>
      <c r="AC56" s="668"/>
    </row>
    <row r="57" spans="1:68" ht="14.25" customHeight="1" x14ac:dyDescent="0.25">
      <c r="A57" s="688" t="s">
        <v>138</v>
      </c>
      <c r="B57" s="681"/>
      <c r="C57" s="681"/>
      <c r="D57" s="681"/>
      <c r="E57" s="681"/>
      <c r="F57" s="681"/>
      <c r="G57" s="681"/>
      <c r="H57" s="681"/>
      <c r="I57" s="681"/>
      <c r="J57" s="681"/>
      <c r="K57" s="681"/>
      <c r="L57" s="681"/>
      <c r="M57" s="681"/>
      <c r="N57" s="681"/>
      <c r="O57" s="681"/>
      <c r="P57" s="681"/>
      <c r="Q57" s="681"/>
      <c r="R57" s="681"/>
      <c r="S57" s="681"/>
      <c r="T57" s="681"/>
      <c r="U57" s="681"/>
      <c r="V57" s="681"/>
      <c r="W57" s="681"/>
      <c r="X57" s="681"/>
      <c r="Y57" s="681"/>
      <c r="Z57" s="681"/>
      <c r="AA57" s="661"/>
      <c r="AB57" s="661"/>
      <c r="AC57" s="661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7">
        <v>4680115881440</v>
      </c>
      <c r="E58" s="678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71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5"/>
      <c r="R58" s="685"/>
      <c r="S58" s="685"/>
      <c r="T58" s="686"/>
      <c r="U58" s="34"/>
      <c r="V58" s="34"/>
      <c r="W58" s="35" t="s">
        <v>69</v>
      </c>
      <c r="X58" s="665">
        <v>50</v>
      </c>
      <c r="Y58" s="666">
        <f>IFERROR(IF(X58="",0,CEILING((X58/$H58),1)*$H58),"")</f>
        <v>54</v>
      </c>
      <c r="Z58" s="36">
        <f>IFERROR(IF(Y58=0,"",ROUNDUP(Y58/H58,0)*0.01898),"")</f>
        <v>9.4899999999999998E-2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52.013888888888886</v>
      </c>
      <c r="BN58" s="64">
        <f>IFERROR(Y58*I58/H58,"0")</f>
        <v>56.17499999999999</v>
      </c>
      <c r="BO58" s="64">
        <f>IFERROR(1/J58*(X58/H58),"0")</f>
        <v>7.2337962962962965E-2</v>
      </c>
      <c r="BP58" s="64">
        <f>IFERROR(1/J58*(Y58/H58),"0")</f>
        <v>7.8125E-2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7">
        <v>4680115882751</v>
      </c>
      <c r="E59" s="678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78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5"/>
      <c r="R59" s="685"/>
      <c r="S59" s="685"/>
      <c r="T59" s="686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7">
        <v>4680115885950</v>
      </c>
      <c r="E60" s="678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5"/>
      <c r="R60" s="685"/>
      <c r="S60" s="685"/>
      <c r="T60" s="686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7">
        <v>4680115881433</v>
      </c>
      <c r="E61" s="678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5"/>
      <c r="R61" s="685"/>
      <c r="S61" s="685"/>
      <c r="T61" s="686"/>
      <c r="U61" s="34"/>
      <c r="V61" s="34"/>
      <c r="W61" s="35" t="s">
        <v>69</v>
      </c>
      <c r="X61" s="665">
        <v>13.5</v>
      </c>
      <c r="Y61" s="666">
        <f>IFERROR(IF(X61="",0,CEILING((X61/$H61),1)*$H61),"")</f>
        <v>13.5</v>
      </c>
      <c r="Z61" s="36">
        <f>IFERROR(IF(Y61=0,"",ROUNDUP(Y61/H61,0)*0.00651),"")</f>
        <v>3.2550000000000003E-2</v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14.399999999999997</v>
      </c>
      <c r="BN61" s="64">
        <f>IFERROR(Y61*I61/H61,"0")</f>
        <v>14.399999999999997</v>
      </c>
      <c r="BO61" s="64">
        <f>IFERROR(1/J61*(X61/H61),"0")</f>
        <v>2.7472527472527476E-2</v>
      </c>
      <c r="BP61" s="64">
        <f>IFERROR(1/J61*(Y61/H61),"0")</f>
        <v>2.7472527472527476E-2</v>
      </c>
    </row>
    <row r="62" spans="1:68" x14ac:dyDescent="0.2">
      <c r="A62" s="682"/>
      <c r="B62" s="681"/>
      <c r="C62" s="681"/>
      <c r="D62" s="681"/>
      <c r="E62" s="681"/>
      <c r="F62" s="681"/>
      <c r="G62" s="681"/>
      <c r="H62" s="681"/>
      <c r="I62" s="681"/>
      <c r="J62" s="681"/>
      <c r="K62" s="681"/>
      <c r="L62" s="681"/>
      <c r="M62" s="681"/>
      <c r="N62" s="681"/>
      <c r="O62" s="683"/>
      <c r="P62" s="679" t="s">
        <v>88</v>
      </c>
      <c r="Q62" s="670"/>
      <c r="R62" s="670"/>
      <c r="S62" s="670"/>
      <c r="T62" s="670"/>
      <c r="U62" s="670"/>
      <c r="V62" s="671"/>
      <c r="W62" s="37" t="s">
        <v>89</v>
      </c>
      <c r="X62" s="667">
        <f>IFERROR(X58/H58,"0")+IFERROR(X59/H59,"0")+IFERROR(X60/H60,"0")+IFERROR(X61/H61,"0")</f>
        <v>9.6296296296296298</v>
      </c>
      <c r="Y62" s="667">
        <f>IFERROR(Y58/H58,"0")+IFERROR(Y59/H59,"0")+IFERROR(Y60/H60,"0")+IFERROR(Y61/H61,"0")</f>
        <v>10</v>
      </c>
      <c r="Z62" s="667">
        <f>IFERROR(IF(Z58="",0,Z58),"0")+IFERROR(IF(Z59="",0,Z59),"0")+IFERROR(IF(Z60="",0,Z60),"0")+IFERROR(IF(Z61="",0,Z61),"0")</f>
        <v>0.12745000000000001</v>
      </c>
      <c r="AA62" s="668"/>
      <c r="AB62" s="668"/>
      <c r="AC62" s="668"/>
    </row>
    <row r="63" spans="1:68" x14ac:dyDescent="0.2">
      <c r="A63" s="681"/>
      <c r="B63" s="681"/>
      <c r="C63" s="681"/>
      <c r="D63" s="681"/>
      <c r="E63" s="681"/>
      <c r="F63" s="681"/>
      <c r="G63" s="681"/>
      <c r="H63" s="681"/>
      <c r="I63" s="681"/>
      <c r="J63" s="681"/>
      <c r="K63" s="681"/>
      <c r="L63" s="681"/>
      <c r="M63" s="681"/>
      <c r="N63" s="681"/>
      <c r="O63" s="683"/>
      <c r="P63" s="679" t="s">
        <v>88</v>
      </c>
      <c r="Q63" s="670"/>
      <c r="R63" s="670"/>
      <c r="S63" s="670"/>
      <c r="T63" s="670"/>
      <c r="U63" s="670"/>
      <c r="V63" s="671"/>
      <c r="W63" s="37" t="s">
        <v>69</v>
      </c>
      <c r="X63" s="667">
        <f>IFERROR(SUM(X58:X61),"0")</f>
        <v>63.5</v>
      </c>
      <c r="Y63" s="667">
        <f>IFERROR(SUM(Y58:Y61),"0")</f>
        <v>67.5</v>
      </c>
      <c r="Z63" s="37"/>
      <c r="AA63" s="668"/>
      <c r="AB63" s="668"/>
      <c r="AC63" s="668"/>
    </row>
    <row r="64" spans="1:68" ht="14.25" customHeight="1" x14ac:dyDescent="0.25">
      <c r="A64" s="688" t="s">
        <v>149</v>
      </c>
      <c r="B64" s="681"/>
      <c r="C64" s="681"/>
      <c r="D64" s="681"/>
      <c r="E64" s="681"/>
      <c r="F64" s="681"/>
      <c r="G64" s="681"/>
      <c r="H64" s="681"/>
      <c r="I64" s="681"/>
      <c r="J64" s="681"/>
      <c r="K64" s="681"/>
      <c r="L64" s="681"/>
      <c r="M64" s="681"/>
      <c r="N64" s="681"/>
      <c r="O64" s="681"/>
      <c r="P64" s="681"/>
      <c r="Q64" s="681"/>
      <c r="R64" s="681"/>
      <c r="S64" s="681"/>
      <c r="T64" s="681"/>
      <c r="U64" s="681"/>
      <c r="V64" s="681"/>
      <c r="W64" s="681"/>
      <c r="X64" s="681"/>
      <c r="Y64" s="681"/>
      <c r="Z64" s="681"/>
      <c r="AA64" s="661"/>
      <c r="AB64" s="661"/>
      <c r="AC64" s="661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7">
        <v>4680115885073</v>
      </c>
      <c r="E65" s="678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5"/>
      <c r="R65" s="685"/>
      <c r="S65" s="685"/>
      <c r="T65" s="686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7">
        <v>4680115885059</v>
      </c>
      <c r="E66" s="678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92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5"/>
      <c r="R66" s="685"/>
      <c r="S66" s="685"/>
      <c r="T66" s="686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7">
        <v>4680115885097</v>
      </c>
      <c r="E67" s="678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73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5"/>
      <c r="R67" s="685"/>
      <c r="S67" s="685"/>
      <c r="T67" s="686"/>
      <c r="U67" s="34"/>
      <c r="V67" s="34"/>
      <c r="W67" s="35" t="s">
        <v>69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82"/>
      <c r="B68" s="681"/>
      <c r="C68" s="681"/>
      <c r="D68" s="681"/>
      <c r="E68" s="681"/>
      <c r="F68" s="681"/>
      <c r="G68" s="681"/>
      <c r="H68" s="681"/>
      <c r="I68" s="681"/>
      <c r="J68" s="681"/>
      <c r="K68" s="681"/>
      <c r="L68" s="681"/>
      <c r="M68" s="681"/>
      <c r="N68" s="681"/>
      <c r="O68" s="683"/>
      <c r="P68" s="679" t="s">
        <v>88</v>
      </c>
      <c r="Q68" s="670"/>
      <c r="R68" s="670"/>
      <c r="S68" s="670"/>
      <c r="T68" s="670"/>
      <c r="U68" s="670"/>
      <c r="V68" s="671"/>
      <c r="W68" s="37" t="s">
        <v>89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x14ac:dyDescent="0.2">
      <c r="A69" s="681"/>
      <c r="B69" s="681"/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3"/>
      <c r="P69" s="679" t="s">
        <v>88</v>
      </c>
      <c r="Q69" s="670"/>
      <c r="R69" s="670"/>
      <c r="S69" s="670"/>
      <c r="T69" s="670"/>
      <c r="U69" s="670"/>
      <c r="V69" s="671"/>
      <c r="W69" s="37" t="s">
        <v>69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customHeight="1" x14ac:dyDescent="0.25">
      <c r="A70" s="688" t="s">
        <v>64</v>
      </c>
      <c r="B70" s="681"/>
      <c r="C70" s="681"/>
      <c r="D70" s="681"/>
      <c r="E70" s="681"/>
      <c r="F70" s="681"/>
      <c r="G70" s="681"/>
      <c r="H70" s="681"/>
      <c r="I70" s="681"/>
      <c r="J70" s="681"/>
      <c r="K70" s="681"/>
      <c r="L70" s="681"/>
      <c r="M70" s="681"/>
      <c r="N70" s="681"/>
      <c r="O70" s="681"/>
      <c r="P70" s="681"/>
      <c r="Q70" s="681"/>
      <c r="R70" s="681"/>
      <c r="S70" s="681"/>
      <c r="T70" s="681"/>
      <c r="U70" s="681"/>
      <c r="V70" s="681"/>
      <c r="W70" s="681"/>
      <c r="X70" s="681"/>
      <c r="Y70" s="681"/>
      <c r="Z70" s="681"/>
      <c r="AA70" s="661"/>
      <c r="AB70" s="661"/>
      <c r="AC70" s="661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7">
        <v>4680115881891</v>
      </c>
      <c r="E71" s="678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71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5"/>
      <c r="R71" s="685"/>
      <c r="S71" s="685"/>
      <c r="T71" s="686"/>
      <c r="U71" s="34"/>
      <c r="V71" s="34"/>
      <c r="W71" s="35" t="s">
        <v>69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7">
        <v>4680115885769</v>
      </c>
      <c r="E72" s="678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5"/>
      <c r="R72" s="685"/>
      <c r="S72" s="685"/>
      <c r="T72" s="686"/>
      <c r="U72" s="34"/>
      <c r="V72" s="34"/>
      <c r="W72" s="35" t="s">
        <v>69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7">
        <v>4680115884410</v>
      </c>
      <c r="E73" s="678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104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5"/>
      <c r="R73" s="685"/>
      <c r="S73" s="685"/>
      <c r="T73" s="686"/>
      <c r="U73" s="34"/>
      <c r="V73" s="34"/>
      <c r="W73" s="35" t="s">
        <v>69</v>
      </c>
      <c r="X73" s="665">
        <v>40</v>
      </c>
      <c r="Y73" s="666">
        <f t="shared" si="11"/>
        <v>42</v>
      </c>
      <c r="Z73" s="36">
        <f>IFERROR(IF(Y73=0,"",ROUNDUP(Y73/H73,0)*0.01898),"")</f>
        <v>9.4899999999999998E-2</v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42.414285714285711</v>
      </c>
      <c r="BN73" s="64">
        <f t="shared" si="13"/>
        <v>44.534999999999997</v>
      </c>
      <c r="BO73" s="64">
        <f t="shared" si="14"/>
        <v>7.4404761904761904E-2</v>
      </c>
      <c r="BP73" s="64">
        <f t="shared" si="15"/>
        <v>7.8125E-2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7">
        <v>4680115884311</v>
      </c>
      <c r="E74" s="678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5"/>
      <c r="R74" s="685"/>
      <c r="S74" s="685"/>
      <c r="T74" s="686"/>
      <c r="U74" s="34"/>
      <c r="V74" s="34"/>
      <c r="W74" s="35" t="s">
        <v>69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7">
        <v>4680115885929</v>
      </c>
      <c r="E75" s="678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74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5"/>
      <c r="R75" s="685"/>
      <c r="S75" s="685"/>
      <c r="T75" s="686"/>
      <c r="U75" s="34"/>
      <c r="V75" s="34"/>
      <c r="W75" s="35" t="s">
        <v>69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7">
        <v>4680115884403</v>
      </c>
      <c r="E76" s="678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5"/>
      <c r="R76" s="685"/>
      <c r="S76" s="685"/>
      <c r="T76" s="686"/>
      <c r="U76" s="34"/>
      <c r="V76" s="34"/>
      <c r="W76" s="35" t="s">
        <v>69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82"/>
      <c r="B77" s="681"/>
      <c r="C77" s="681"/>
      <c r="D77" s="681"/>
      <c r="E77" s="681"/>
      <c r="F77" s="681"/>
      <c r="G77" s="681"/>
      <c r="H77" s="681"/>
      <c r="I77" s="681"/>
      <c r="J77" s="681"/>
      <c r="K77" s="681"/>
      <c r="L77" s="681"/>
      <c r="M77" s="681"/>
      <c r="N77" s="681"/>
      <c r="O77" s="683"/>
      <c r="P77" s="679" t="s">
        <v>88</v>
      </c>
      <c r="Q77" s="670"/>
      <c r="R77" s="670"/>
      <c r="S77" s="670"/>
      <c r="T77" s="670"/>
      <c r="U77" s="670"/>
      <c r="V77" s="671"/>
      <c r="W77" s="37" t="s">
        <v>89</v>
      </c>
      <c r="X77" s="667">
        <f>IFERROR(X71/H71,"0")+IFERROR(X72/H72,"0")+IFERROR(X73/H73,"0")+IFERROR(X74/H74,"0")+IFERROR(X75/H75,"0")+IFERROR(X76/H76,"0")</f>
        <v>4.7619047619047619</v>
      </c>
      <c r="Y77" s="667">
        <f>IFERROR(Y71/H71,"0")+IFERROR(Y72/H72,"0")+IFERROR(Y73/H73,"0")+IFERROR(Y74/H74,"0")+IFERROR(Y75/H75,"0")+IFERROR(Y76/H76,"0")</f>
        <v>5</v>
      </c>
      <c r="Z77" s="667">
        <f>IFERROR(IF(Z71="",0,Z71),"0")+IFERROR(IF(Z72="",0,Z72),"0")+IFERROR(IF(Z73="",0,Z73),"0")+IFERROR(IF(Z74="",0,Z74),"0")+IFERROR(IF(Z75="",0,Z75),"0")+IFERROR(IF(Z76="",0,Z76),"0")</f>
        <v>9.4899999999999998E-2</v>
      </c>
      <c r="AA77" s="668"/>
      <c r="AB77" s="668"/>
      <c r="AC77" s="668"/>
    </row>
    <row r="78" spans="1:68" x14ac:dyDescent="0.2">
      <c r="A78" s="681"/>
      <c r="B78" s="681"/>
      <c r="C78" s="681"/>
      <c r="D78" s="681"/>
      <c r="E78" s="681"/>
      <c r="F78" s="681"/>
      <c r="G78" s="681"/>
      <c r="H78" s="681"/>
      <c r="I78" s="681"/>
      <c r="J78" s="681"/>
      <c r="K78" s="681"/>
      <c r="L78" s="681"/>
      <c r="M78" s="681"/>
      <c r="N78" s="681"/>
      <c r="O78" s="683"/>
      <c r="P78" s="679" t="s">
        <v>88</v>
      </c>
      <c r="Q78" s="670"/>
      <c r="R78" s="670"/>
      <c r="S78" s="670"/>
      <c r="T78" s="670"/>
      <c r="U78" s="670"/>
      <c r="V78" s="671"/>
      <c r="W78" s="37" t="s">
        <v>69</v>
      </c>
      <c r="X78" s="667">
        <f>IFERROR(SUM(X71:X76),"0")</f>
        <v>40</v>
      </c>
      <c r="Y78" s="667">
        <f>IFERROR(SUM(Y71:Y76),"0")</f>
        <v>42</v>
      </c>
      <c r="Z78" s="37"/>
      <c r="AA78" s="668"/>
      <c r="AB78" s="668"/>
      <c r="AC78" s="668"/>
    </row>
    <row r="79" spans="1:68" ht="14.25" customHeight="1" x14ac:dyDescent="0.25">
      <c r="A79" s="688" t="s">
        <v>175</v>
      </c>
      <c r="B79" s="681"/>
      <c r="C79" s="681"/>
      <c r="D79" s="681"/>
      <c r="E79" s="681"/>
      <c r="F79" s="681"/>
      <c r="G79" s="681"/>
      <c r="H79" s="681"/>
      <c r="I79" s="681"/>
      <c r="J79" s="681"/>
      <c r="K79" s="681"/>
      <c r="L79" s="681"/>
      <c r="M79" s="681"/>
      <c r="N79" s="681"/>
      <c r="O79" s="681"/>
      <c r="P79" s="681"/>
      <c r="Q79" s="681"/>
      <c r="R79" s="681"/>
      <c r="S79" s="681"/>
      <c r="T79" s="681"/>
      <c r="U79" s="681"/>
      <c r="V79" s="681"/>
      <c r="W79" s="681"/>
      <c r="X79" s="681"/>
      <c r="Y79" s="681"/>
      <c r="Z79" s="681"/>
      <c r="AA79" s="661"/>
      <c r="AB79" s="661"/>
      <c r="AC79" s="661"/>
    </row>
    <row r="80" spans="1:68" ht="37.5" customHeight="1" x14ac:dyDescent="0.25">
      <c r="A80" s="54" t="s">
        <v>176</v>
      </c>
      <c r="B80" s="54" t="s">
        <v>177</v>
      </c>
      <c r="C80" s="31">
        <v>4301060371</v>
      </c>
      <c r="D80" s="677">
        <v>4680115881532</v>
      </c>
      <c r="E80" s="678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826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5"/>
      <c r="R80" s="685"/>
      <c r="S80" s="685"/>
      <c r="T80" s="686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4301060366</v>
      </c>
      <c r="D81" s="677">
        <v>4680115881532</v>
      </c>
      <c r="E81" s="678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10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5"/>
      <c r="R81" s="685"/>
      <c r="S81" s="685"/>
      <c r="T81" s="686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7">
        <v>4680115881464</v>
      </c>
      <c r="E82" s="678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5"/>
      <c r="R82" s="685"/>
      <c r="S82" s="685"/>
      <c r="T82" s="686"/>
      <c r="U82" s="34"/>
      <c r="V82" s="34"/>
      <c r="W82" s="35" t="s">
        <v>69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82"/>
      <c r="B83" s="681"/>
      <c r="C83" s="681"/>
      <c r="D83" s="681"/>
      <c r="E83" s="681"/>
      <c r="F83" s="681"/>
      <c r="G83" s="681"/>
      <c r="H83" s="681"/>
      <c r="I83" s="681"/>
      <c r="J83" s="681"/>
      <c r="K83" s="681"/>
      <c r="L83" s="681"/>
      <c r="M83" s="681"/>
      <c r="N83" s="681"/>
      <c r="O83" s="683"/>
      <c r="P83" s="679" t="s">
        <v>88</v>
      </c>
      <c r="Q83" s="670"/>
      <c r="R83" s="670"/>
      <c r="S83" s="670"/>
      <c r="T83" s="670"/>
      <c r="U83" s="670"/>
      <c r="V83" s="671"/>
      <c r="W83" s="37" t="s">
        <v>89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x14ac:dyDescent="0.2">
      <c r="A84" s="681"/>
      <c r="B84" s="681"/>
      <c r="C84" s="681"/>
      <c r="D84" s="681"/>
      <c r="E84" s="681"/>
      <c r="F84" s="681"/>
      <c r="G84" s="681"/>
      <c r="H84" s="681"/>
      <c r="I84" s="681"/>
      <c r="J84" s="681"/>
      <c r="K84" s="681"/>
      <c r="L84" s="681"/>
      <c r="M84" s="681"/>
      <c r="N84" s="681"/>
      <c r="O84" s="683"/>
      <c r="P84" s="679" t="s">
        <v>88</v>
      </c>
      <c r="Q84" s="670"/>
      <c r="R84" s="670"/>
      <c r="S84" s="670"/>
      <c r="T84" s="670"/>
      <c r="U84" s="670"/>
      <c r="V84" s="671"/>
      <c r="W84" s="37" t="s">
        <v>69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customHeight="1" x14ac:dyDescent="0.25">
      <c r="A85" s="690" t="s">
        <v>183</v>
      </c>
      <c r="B85" s="681"/>
      <c r="C85" s="681"/>
      <c r="D85" s="681"/>
      <c r="E85" s="681"/>
      <c r="F85" s="681"/>
      <c r="G85" s="681"/>
      <c r="H85" s="681"/>
      <c r="I85" s="681"/>
      <c r="J85" s="681"/>
      <c r="K85" s="681"/>
      <c r="L85" s="681"/>
      <c r="M85" s="681"/>
      <c r="N85" s="681"/>
      <c r="O85" s="681"/>
      <c r="P85" s="681"/>
      <c r="Q85" s="681"/>
      <c r="R85" s="681"/>
      <c r="S85" s="681"/>
      <c r="T85" s="681"/>
      <c r="U85" s="681"/>
      <c r="V85" s="681"/>
      <c r="W85" s="681"/>
      <c r="X85" s="681"/>
      <c r="Y85" s="681"/>
      <c r="Z85" s="681"/>
      <c r="AA85" s="660"/>
      <c r="AB85" s="660"/>
      <c r="AC85" s="660"/>
    </row>
    <row r="86" spans="1:68" ht="14.25" customHeight="1" x14ac:dyDescent="0.25">
      <c r="A86" s="688" t="s">
        <v>98</v>
      </c>
      <c r="B86" s="681"/>
      <c r="C86" s="681"/>
      <c r="D86" s="681"/>
      <c r="E86" s="681"/>
      <c r="F86" s="681"/>
      <c r="G86" s="681"/>
      <c r="H86" s="681"/>
      <c r="I86" s="681"/>
      <c r="J86" s="681"/>
      <c r="K86" s="681"/>
      <c r="L86" s="681"/>
      <c r="M86" s="681"/>
      <c r="N86" s="681"/>
      <c r="O86" s="681"/>
      <c r="P86" s="681"/>
      <c r="Q86" s="681"/>
      <c r="R86" s="681"/>
      <c r="S86" s="681"/>
      <c r="T86" s="681"/>
      <c r="U86" s="681"/>
      <c r="V86" s="681"/>
      <c r="W86" s="681"/>
      <c r="X86" s="681"/>
      <c r="Y86" s="681"/>
      <c r="Z86" s="681"/>
      <c r="AA86" s="661"/>
      <c r="AB86" s="661"/>
      <c r="AC86" s="661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7">
        <v>4680115881327</v>
      </c>
      <c r="E87" s="678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5"/>
      <c r="R87" s="685"/>
      <c r="S87" s="685"/>
      <c r="T87" s="686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7">
        <v>4680115881518</v>
      </c>
      <c r="E88" s="678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5"/>
      <c r="R88" s="685"/>
      <c r="S88" s="685"/>
      <c r="T88" s="686"/>
      <c r="U88" s="34"/>
      <c r="V88" s="34"/>
      <c r="W88" s="35" t="s">
        <v>69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7">
        <v>4680115881303</v>
      </c>
      <c r="E89" s="678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8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5"/>
      <c r="R89" s="685"/>
      <c r="S89" s="685"/>
      <c r="T89" s="686"/>
      <c r="U89" s="34"/>
      <c r="V89" s="34"/>
      <c r="W89" s="35" t="s">
        <v>69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82"/>
      <c r="B90" s="681"/>
      <c r="C90" s="681"/>
      <c r="D90" s="681"/>
      <c r="E90" s="681"/>
      <c r="F90" s="681"/>
      <c r="G90" s="681"/>
      <c r="H90" s="681"/>
      <c r="I90" s="681"/>
      <c r="J90" s="681"/>
      <c r="K90" s="681"/>
      <c r="L90" s="681"/>
      <c r="M90" s="681"/>
      <c r="N90" s="681"/>
      <c r="O90" s="683"/>
      <c r="P90" s="679" t="s">
        <v>88</v>
      </c>
      <c r="Q90" s="670"/>
      <c r="R90" s="670"/>
      <c r="S90" s="670"/>
      <c r="T90" s="670"/>
      <c r="U90" s="670"/>
      <c r="V90" s="671"/>
      <c r="W90" s="37" t="s">
        <v>89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x14ac:dyDescent="0.2">
      <c r="A91" s="681"/>
      <c r="B91" s="681"/>
      <c r="C91" s="681"/>
      <c r="D91" s="681"/>
      <c r="E91" s="681"/>
      <c r="F91" s="681"/>
      <c r="G91" s="681"/>
      <c r="H91" s="681"/>
      <c r="I91" s="681"/>
      <c r="J91" s="681"/>
      <c r="K91" s="681"/>
      <c r="L91" s="681"/>
      <c r="M91" s="681"/>
      <c r="N91" s="681"/>
      <c r="O91" s="683"/>
      <c r="P91" s="679" t="s">
        <v>88</v>
      </c>
      <c r="Q91" s="670"/>
      <c r="R91" s="670"/>
      <c r="S91" s="670"/>
      <c r="T91" s="670"/>
      <c r="U91" s="670"/>
      <c r="V91" s="671"/>
      <c r="W91" s="37" t="s">
        <v>69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customHeight="1" x14ac:dyDescent="0.25">
      <c r="A92" s="688" t="s">
        <v>64</v>
      </c>
      <c r="B92" s="681"/>
      <c r="C92" s="681"/>
      <c r="D92" s="681"/>
      <c r="E92" s="681"/>
      <c r="F92" s="681"/>
      <c r="G92" s="681"/>
      <c r="H92" s="681"/>
      <c r="I92" s="681"/>
      <c r="J92" s="681"/>
      <c r="K92" s="681"/>
      <c r="L92" s="681"/>
      <c r="M92" s="681"/>
      <c r="N92" s="681"/>
      <c r="O92" s="681"/>
      <c r="P92" s="681"/>
      <c r="Q92" s="681"/>
      <c r="R92" s="681"/>
      <c r="S92" s="681"/>
      <c r="T92" s="681"/>
      <c r="U92" s="681"/>
      <c r="V92" s="681"/>
      <c r="W92" s="681"/>
      <c r="X92" s="681"/>
      <c r="Y92" s="681"/>
      <c r="Z92" s="681"/>
      <c r="AA92" s="661"/>
      <c r="AB92" s="661"/>
      <c r="AC92" s="661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7">
        <v>4607091386967</v>
      </c>
      <c r="E93" s="678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808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85"/>
      <c r="R93" s="685"/>
      <c r="S93" s="685"/>
      <c r="T93" s="686"/>
      <c r="U93" s="34"/>
      <c r="V93" s="34"/>
      <c r="W93" s="35" t="s">
        <v>69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7">
        <v>4607091386967</v>
      </c>
      <c r="E94" s="678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101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85"/>
      <c r="R94" s="685"/>
      <c r="S94" s="685"/>
      <c r="T94" s="686"/>
      <c r="U94" s="34"/>
      <c r="V94" s="34"/>
      <c r="W94" s="35" t="s">
        <v>69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7">
        <v>4607091386967</v>
      </c>
      <c r="E95" s="678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995" t="s">
        <v>197</v>
      </c>
      <c r="Q95" s="685"/>
      <c r="R95" s="685"/>
      <c r="S95" s="685"/>
      <c r="T95" s="686"/>
      <c r="U95" s="34"/>
      <c r="V95" s="34"/>
      <c r="W95" s="35" t="s">
        <v>69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7">
        <v>4680115884953</v>
      </c>
      <c r="E96" s="678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52" t="s">
        <v>201</v>
      </c>
      <c r="Q96" s="685"/>
      <c r="R96" s="685"/>
      <c r="S96" s="685"/>
      <c r="T96" s="686"/>
      <c r="U96" s="34"/>
      <c r="V96" s="34"/>
      <c r="W96" s="35" t="s">
        <v>69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77">
        <v>4607091385731</v>
      </c>
      <c r="E97" s="678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984" t="s">
        <v>205</v>
      </c>
      <c r="Q97" s="685"/>
      <c r="R97" s="685"/>
      <c r="S97" s="685"/>
      <c r="T97" s="686"/>
      <c r="U97" s="34"/>
      <c r="V97" s="34"/>
      <c r="W97" s="35" t="s">
        <v>69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77">
        <v>4607091385731</v>
      </c>
      <c r="E98" s="678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799" t="s">
        <v>207</v>
      </c>
      <c r="Q98" s="685"/>
      <c r="R98" s="685"/>
      <c r="S98" s="685"/>
      <c r="T98" s="686"/>
      <c r="U98" s="34"/>
      <c r="V98" s="34"/>
      <c r="W98" s="35" t="s">
        <v>69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7">
        <v>4680115880894</v>
      </c>
      <c r="E99" s="678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103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5"/>
      <c r="R99" s="685"/>
      <c r="S99" s="685"/>
      <c r="T99" s="686"/>
      <c r="U99" s="34"/>
      <c r="V99" s="34"/>
      <c r="W99" s="35" t="s">
        <v>69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7">
        <v>4680115880214</v>
      </c>
      <c r="E100" s="678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100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85"/>
      <c r="R100" s="685"/>
      <c r="S100" s="685"/>
      <c r="T100" s="686"/>
      <c r="U100" s="34"/>
      <c r="V100" s="34"/>
      <c r="W100" s="35" t="s">
        <v>69</v>
      </c>
      <c r="X100" s="665">
        <v>0</v>
      </c>
      <c r="Y100" s="666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7">
        <v>4680115880214</v>
      </c>
      <c r="E101" s="678"/>
      <c r="F101" s="664">
        <v>0.45</v>
      </c>
      <c r="G101" s="32">
        <v>4</v>
      </c>
      <c r="H101" s="664">
        <v>1.8</v>
      </c>
      <c r="I101" s="664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769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85"/>
      <c r="R101" s="685"/>
      <c r="S101" s="685"/>
      <c r="T101" s="686"/>
      <c r="U101" s="34"/>
      <c r="V101" s="34"/>
      <c r="W101" s="35" t="s">
        <v>69</v>
      </c>
      <c r="X101" s="665">
        <v>0</v>
      </c>
      <c r="Y101" s="666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2"/>
      <c r="B102" s="681"/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3"/>
      <c r="P102" s="679" t="s">
        <v>88</v>
      </c>
      <c r="Q102" s="670"/>
      <c r="R102" s="670"/>
      <c r="S102" s="670"/>
      <c r="T102" s="670"/>
      <c r="U102" s="670"/>
      <c r="V102" s="671"/>
      <c r="W102" s="37" t="s">
        <v>89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x14ac:dyDescent="0.2">
      <c r="A103" s="681"/>
      <c r="B103" s="681"/>
      <c r="C103" s="681"/>
      <c r="D103" s="681"/>
      <c r="E103" s="681"/>
      <c r="F103" s="681"/>
      <c r="G103" s="681"/>
      <c r="H103" s="681"/>
      <c r="I103" s="681"/>
      <c r="J103" s="681"/>
      <c r="K103" s="681"/>
      <c r="L103" s="681"/>
      <c r="M103" s="681"/>
      <c r="N103" s="681"/>
      <c r="O103" s="683"/>
      <c r="P103" s="679" t="s">
        <v>88</v>
      </c>
      <c r="Q103" s="670"/>
      <c r="R103" s="670"/>
      <c r="S103" s="670"/>
      <c r="T103" s="670"/>
      <c r="U103" s="670"/>
      <c r="V103" s="671"/>
      <c r="W103" s="37" t="s">
        <v>69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customHeight="1" x14ac:dyDescent="0.25">
      <c r="A104" s="690" t="s">
        <v>214</v>
      </c>
      <c r="B104" s="681"/>
      <c r="C104" s="681"/>
      <c r="D104" s="681"/>
      <c r="E104" s="681"/>
      <c r="F104" s="681"/>
      <c r="G104" s="681"/>
      <c r="H104" s="681"/>
      <c r="I104" s="681"/>
      <c r="J104" s="681"/>
      <c r="K104" s="681"/>
      <c r="L104" s="681"/>
      <c r="M104" s="681"/>
      <c r="N104" s="681"/>
      <c r="O104" s="681"/>
      <c r="P104" s="681"/>
      <c r="Q104" s="681"/>
      <c r="R104" s="681"/>
      <c r="S104" s="681"/>
      <c r="T104" s="681"/>
      <c r="U104" s="681"/>
      <c r="V104" s="681"/>
      <c r="W104" s="681"/>
      <c r="X104" s="681"/>
      <c r="Y104" s="681"/>
      <c r="Z104" s="681"/>
      <c r="AA104" s="660"/>
      <c r="AB104" s="660"/>
      <c r="AC104" s="660"/>
    </row>
    <row r="105" spans="1:68" ht="14.25" customHeight="1" x14ac:dyDescent="0.25">
      <c r="A105" s="688" t="s">
        <v>98</v>
      </c>
      <c r="B105" s="681"/>
      <c r="C105" s="681"/>
      <c r="D105" s="681"/>
      <c r="E105" s="681"/>
      <c r="F105" s="681"/>
      <c r="G105" s="681"/>
      <c r="H105" s="681"/>
      <c r="I105" s="681"/>
      <c r="J105" s="681"/>
      <c r="K105" s="681"/>
      <c r="L105" s="681"/>
      <c r="M105" s="681"/>
      <c r="N105" s="681"/>
      <c r="O105" s="681"/>
      <c r="P105" s="681"/>
      <c r="Q105" s="681"/>
      <c r="R105" s="681"/>
      <c r="S105" s="681"/>
      <c r="T105" s="681"/>
      <c r="U105" s="681"/>
      <c r="V105" s="681"/>
      <c r="W105" s="681"/>
      <c r="X105" s="681"/>
      <c r="Y105" s="681"/>
      <c r="Z105" s="681"/>
      <c r="AA105" s="661"/>
      <c r="AB105" s="661"/>
      <c r="AC105" s="661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7">
        <v>4680115882133</v>
      </c>
      <c r="E106" s="678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5"/>
      <c r="R106" s="685"/>
      <c r="S106" s="685"/>
      <c r="T106" s="686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7">
        <v>4680115880269</v>
      </c>
      <c r="E107" s="678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5"/>
      <c r="R107" s="685"/>
      <c r="S107" s="685"/>
      <c r="T107" s="686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7">
        <v>4680115880429</v>
      </c>
      <c r="E108" s="678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8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5"/>
      <c r="R108" s="685"/>
      <c r="S108" s="685"/>
      <c r="T108" s="686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7">
        <v>4680115881457</v>
      </c>
      <c r="E109" s="678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81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5"/>
      <c r="R109" s="685"/>
      <c r="S109" s="685"/>
      <c r="T109" s="686"/>
      <c r="U109" s="34"/>
      <c r="V109" s="34"/>
      <c r="W109" s="35" t="s">
        <v>69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2"/>
      <c r="B110" s="681"/>
      <c r="C110" s="681"/>
      <c r="D110" s="681"/>
      <c r="E110" s="681"/>
      <c r="F110" s="681"/>
      <c r="G110" s="681"/>
      <c r="H110" s="681"/>
      <c r="I110" s="681"/>
      <c r="J110" s="681"/>
      <c r="K110" s="681"/>
      <c r="L110" s="681"/>
      <c r="M110" s="681"/>
      <c r="N110" s="681"/>
      <c r="O110" s="683"/>
      <c r="P110" s="679" t="s">
        <v>88</v>
      </c>
      <c r="Q110" s="670"/>
      <c r="R110" s="670"/>
      <c r="S110" s="670"/>
      <c r="T110" s="670"/>
      <c r="U110" s="670"/>
      <c r="V110" s="671"/>
      <c r="W110" s="37" t="s">
        <v>89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x14ac:dyDescent="0.2">
      <c r="A111" s="681"/>
      <c r="B111" s="681"/>
      <c r="C111" s="681"/>
      <c r="D111" s="681"/>
      <c r="E111" s="681"/>
      <c r="F111" s="681"/>
      <c r="G111" s="681"/>
      <c r="H111" s="681"/>
      <c r="I111" s="681"/>
      <c r="J111" s="681"/>
      <c r="K111" s="681"/>
      <c r="L111" s="681"/>
      <c r="M111" s="681"/>
      <c r="N111" s="681"/>
      <c r="O111" s="683"/>
      <c r="P111" s="679" t="s">
        <v>88</v>
      </c>
      <c r="Q111" s="670"/>
      <c r="R111" s="670"/>
      <c r="S111" s="670"/>
      <c r="T111" s="670"/>
      <c r="U111" s="670"/>
      <c r="V111" s="671"/>
      <c r="W111" s="37" t="s">
        <v>69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customHeight="1" x14ac:dyDescent="0.25">
      <c r="A112" s="688" t="s">
        <v>138</v>
      </c>
      <c r="B112" s="681"/>
      <c r="C112" s="681"/>
      <c r="D112" s="681"/>
      <c r="E112" s="681"/>
      <c r="F112" s="681"/>
      <c r="G112" s="681"/>
      <c r="H112" s="681"/>
      <c r="I112" s="681"/>
      <c r="J112" s="681"/>
      <c r="K112" s="681"/>
      <c r="L112" s="681"/>
      <c r="M112" s="681"/>
      <c r="N112" s="681"/>
      <c r="O112" s="681"/>
      <c r="P112" s="681"/>
      <c r="Q112" s="681"/>
      <c r="R112" s="681"/>
      <c r="S112" s="681"/>
      <c r="T112" s="681"/>
      <c r="U112" s="681"/>
      <c r="V112" s="681"/>
      <c r="W112" s="681"/>
      <c r="X112" s="681"/>
      <c r="Y112" s="681"/>
      <c r="Z112" s="681"/>
      <c r="AA112" s="661"/>
      <c r="AB112" s="661"/>
      <c r="AC112" s="661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7">
        <v>4680115881488</v>
      </c>
      <c r="E113" s="678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9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5"/>
      <c r="R113" s="685"/>
      <c r="S113" s="685"/>
      <c r="T113" s="686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7">
        <v>4680115882775</v>
      </c>
      <c r="E114" s="678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77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5"/>
      <c r="R114" s="685"/>
      <c r="S114" s="685"/>
      <c r="T114" s="686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7">
        <v>4680115880658</v>
      </c>
      <c r="E115" s="678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5"/>
      <c r="R115" s="685"/>
      <c r="S115" s="685"/>
      <c r="T115" s="686"/>
      <c r="U115" s="34"/>
      <c r="V115" s="34"/>
      <c r="W115" s="35" t="s">
        <v>69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82"/>
      <c r="B116" s="681"/>
      <c r="C116" s="681"/>
      <c r="D116" s="681"/>
      <c r="E116" s="681"/>
      <c r="F116" s="681"/>
      <c r="G116" s="681"/>
      <c r="H116" s="681"/>
      <c r="I116" s="681"/>
      <c r="J116" s="681"/>
      <c r="K116" s="681"/>
      <c r="L116" s="681"/>
      <c r="M116" s="681"/>
      <c r="N116" s="681"/>
      <c r="O116" s="683"/>
      <c r="P116" s="679" t="s">
        <v>88</v>
      </c>
      <c r="Q116" s="670"/>
      <c r="R116" s="670"/>
      <c r="S116" s="670"/>
      <c r="T116" s="670"/>
      <c r="U116" s="670"/>
      <c r="V116" s="671"/>
      <c r="W116" s="37" t="s">
        <v>89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x14ac:dyDescent="0.2">
      <c r="A117" s="681"/>
      <c r="B117" s="681"/>
      <c r="C117" s="681"/>
      <c r="D117" s="681"/>
      <c r="E117" s="681"/>
      <c r="F117" s="681"/>
      <c r="G117" s="681"/>
      <c r="H117" s="681"/>
      <c r="I117" s="681"/>
      <c r="J117" s="681"/>
      <c r="K117" s="681"/>
      <c r="L117" s="681"/>
      <c r="M117" s="681"/>
      <c r="N117" s="681"/>
      <c r="O117" s="683"/>
      <c r="P117" s="679" t="s">
        <v>88</v>
      </c>
      <c r="Q117" s="670"/>
      <c r="R117" s="670"/>
      <c r="S117" s="670"/>
      <c r="T117" s="670"/>
      <c r="U117" s="670"/>
      <c r="V117" s="671"/>
      <c r="W117" s="37" t="s">
        <v>69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customHeight="1" x14ac:dyDescent="0.25">
      <c r="A118" s="688" t="s">
        <v>64</v>
      </c>
      <c r="B118" s="681"/>
      <c r="C118" s="681"/>
      <c r="D118" s="681"/>
      <c r="E118" s="681"/>
      <c r="F118" s="681"/>
      <c r="G118" s="681"/>
      <c r="H118" s="681"/>
      <c r="I118" s="681"/>
      <c r="J118" s="681"/>
      <c r="K118" s="681"/>
      <c r="L118" s="681"/>
      <c r="M118" s="681"/>
      <c r="N118" s="681"/>
      <c r="O118" s="681"/>
      <c r="P118" s="681"/>
      <c r="Q118" s="681"/>
      <c r="R118" s="681"/>
      <c r="S118" s="681"/>
      <c r="T118" s="681"/>
      <c r="U118" s="681"/>
      <c r="V118" s="681"/>
      <c r="W118" s="681"/>
      <c r="X118" s="681"/>
      <c r="Y118" s="681"/>
      <c r="Z118" s="681"/>
      <c r="AA118" s="661"/>
      <c r="AB118" s="661"/>
      <c r="AC118" s="661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7">
        <v>4607091385168</v>
      </c>
      <c r="E119" s="678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93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85"/>
      <c r="R119" s="685"/>
      <c r="S119" s="685"/>
      <c r="T119" s="686"/>
      <c r="U119" s="34"/>
      <c r="V119" s="34"/>
      <c r="W119" s="35" t="s">
        <v>69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77">
        <v>4607091385168</v>
      </c>
      <c r="E120" s="678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1000" t="s">
        <v>235</v>
      </c>
      <c r="Q120" s="685"/>
      <c r="R120" s="685"/>
      <c r="S120" s="685"/>
      <c r="T120" s="686"/>
      <c r="U120" s="34"/>
      <c r="V120" s="34"/>
      <c r="W120" s="35" t="s">
        <v>69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7">
        <v>4607091385168</v>
      </c>
      <c r="E121" s="678"/>
      <c r="F121" s="664">
        <v>1.4</v>
      </c>
      <c r="G121" s="32">
        <v>6</v>
      </c>
      <c r="H121" s="664">
        <v>8.4</v>
      </c>
      <c r="I121" s="664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78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85"/>
      <c r="R121" s="685"/>
      <c r="S121" s="685"/>
      <c r="T121" s="686"/>
      <c r="U121" s="34"/>
      <c r="V121" s="34"/>
      <c r="W121" s="35" t="s">
        <v>69</v>
      </c>
      <c r="X121" s="665">
        <v>16</v>
      </c>
      <c r="Y121" s="666">
        <f t="shared" si="21"/>
        <v>16.8</v>
      </c>
      <c r="Z121" s="36">
        <f>IFERROR(IF(Y121=0,"",ROUNDUP(Y121/H121,0)*0.01898),"")</f>
        <v>3.7960000000000001E-2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16.977142857142859</v>
      </c>
      <c r="BN121" s="64">
        <f t="shared" si="23"/>
        <v>17.826000000000001</v>
      </c>
      <c r="BO121" s="64">
        <f t="shared" si="24"/>
        <v>2.976190476190476E-2</v>
      </c>
      <c r="BP121" s="64">
        <f t="shared" si="25"/>
        <v>3.125E-2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77">
        <v>4607091383256</v>
      </c>
      <c r="E122" s="678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96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85"/>
      <c r="R122" s="685"/>
      <c r="S122" s="685"/>
      <c r="T122" s="686"/>
      <c r="U122" s="34"/>
      <c r="V122" s="34"/>
      <c r="W122" s="35" t="s">
        <v>69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77">
        <v>4607091383256</v>
      </c>
      <c r="E123" s="678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728" t="s">
        <v>242</v>
      </c>
      <c r="Q123" s="685"/>
      <c r="R123" s="685"/>
      <c r="S123" s="685"/>
      <c r="T123" s="686"/>
      <c r="U123" s="34"/>
      <c r="V123" s="34"/>
      <c r="W123" s="35" t="s">
        <v>69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77">
        <v>4607091385748</v>
      </c>
      <c r="E124" s="678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70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85"/>
      <c r="R124" s="685"/>
      <c r="S124" s="685"/>
      <c r="T124" s="686"/>
      <c r="U124" s="34"/>
      <c r="V124" s="34"/>
      <c r="W124" s="35" t="s">
        <v>69</v>
      </c>
      <c r="X124" s="665">
        <v>5.4</v>
      </c>
      <c r="Y124" s="666">
        <f t="shared" si="21"/>
        <v>5.4</v>
      </c>
      <c r="Z124" s="36">
        <f t="shared" si="26"/>
        <v>1.302E-2</v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5.9039999999999999</v>
      </c>
      <c r="BN124" s="64">
        <f t="shared" si="23"/>
        <v>5.9039999999999999</v>
      </c>
      <c r="BO124" s="64">
        <f t="shared" si="24"/>
        <v>1.098901098901099E-2</v>
      </c>
      <c r="BP124" s="64">
        <f t="shared" si="25"/>
        <v>1.098901098901099E-2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77">
        <v>4607091385748</v>
      </c>
      <c r="E125" s="678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795" t="s">
        <v>246</v>
      </c>
      <c r="Q125" s="685"/>
      <c r="R125" s="685"/>
      <c r="S125" s="685"/>
      <c r="T125" s="686"/>
      <c r="U125" s="34"/>
      <c r="V125" s="34"/>
      <c r="W125" s="35" t="s">
        <v>69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77">
        <v>4680115884533</v>
      </c>
      <c r="E126" s="678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5"/>
      <c r="R126" s="685"/>
      <c r="S126" s="685"/>
      <c r="T126" s="686"/>
      <c r="U126" s="34"/>
      <c r="V126" s="34"/>
      <c r="W126" s="35" t="s">
        <v>69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77">
        <v>4680115882645</v>
      </c>
      <c r="E127" s="678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752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5"/>
      <c r="R127" s="685"/>
      <c r="S127" s="685"/>
      <c r="T127" s="686"/>
      <c r="U127" s="34"/>
      <c r="V127" s="34"/>
      <c r="W127" s="35" t="s">
        <v>69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82"/>
      <c r="B128" s="681"/>
      <c r="C128" s="681"/>
      <c r="D128" s="681"/>
      <c r="E128" s="681"/>
      <c r="F128" s="681"/>
      <c r="G128" s="681"/>
      <c r="H128" s="681"/>
      <c r="I128" s="681"/>
      <c r="J128" s="681"/>
      <c r="K128" s="681"/>
      <c r="L128" s="681"/>
      <c r="M128" s="681"/>
      <c r="N128" s="681"/>
      <c r="O128" s="683"/>
      <c r="P128" s="679" t="s">
        <v>88</v>
      </c>
      <c r="Q128" s="670"/>
      <c r="R128" s="670"/>
      <c r="S128" s="670"/>
      <c r="T128" s="670"/>
      <c r="U128" s="670"/>
      <c r="V128" s="671"/>
      <c r="W128" s="37" t="s">
        <v>89</v>
      </c>
      <c r="X128" s="667">
        <f>IFERROR(X119/H119,"0")+IFERROR(X120/H120,"0")+IFERROR(X121/H121,"0")+IFERROR(X122/H122,"0")+IFERROR(X123/H123,"0")+IFERROR(X124/H124,"0")+IFERROR(X125/H125,"0")+IFERROR(X126/H126,"0")+IFERROR(X127/H127,"0")</f>
        <v>3.9047619047619047</v>
      </c>
      <c r="Y128" s="667">
        <f>IFERROR(Y119/H119,"0")+IFERROR(Y120/H120,"0")+IFERROR(Y121/H121,"0")+IFERROR(Y122/H122,"0")+IFERROR(Y123/H123,"0")+IFERROR(Y124/H124,"0")+IFERROR(Y125/H125,"0")+IFERROR(Y126/H126,"0")+IFERROR(Y127/H127,"0")</f>
        <v>4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5.0979999999999998E-2</v>
      </c>
      <c r="AA128" s="668"/>
      <c r="AB128" s="668"/>
      <c r="AC128" s="668"/>
    </row>
    <row r="129" spans="1:68" x14ac:dyDescent="0.2">
      <c r="A129" s="681"/>
      <c r="B129" s="681"/>
      <c r="C129" s="681"/>
      <c r="D129" s="681"/>
      <c r="E129" s="681"/>
      <c r="F129" s="681"/>
      <c r="G129" s="681"/>
      <c r="H129" s="681"/>
      <c r="I129" s="681"/>
      <c r="J129" s="681"/>
      <c r="K129" s="681"/>
      <c r="L129" s="681"/>
      <c r="M129" s="681"/>
      <c r="N129" s="681"/>
      <c r="O129" s="683"/>
      <c r="P129" s="679" t="s">
        <v>88</v>
      </c>
      <c r="Q129" s="670"/>
      <c r="R129" s="670"/>
      <c r="S129" s="670"/>
      <c r="T129" s="670"/>
      <c r="U129" s="670"/>
      <c r="V129" s="671"/>
      <c r="W129" s="37" t="s">
        <v>69</v>
      </c>
      <c r="X129" s="667">
        <f>IFERROR(SUM(X119:X127),"0")</f>
        <v>21.4</v>
      </c>
      <c r="Y129" s="667">
        <f>IFERROR(SUM(Y119:Y127),"0")</f>
        <v>22.200000000000003</v>
      </c>
      <c r="Z129" s="37"/>
      <c r="AA129" s="668"/>
      <c r="AB129" s="668"/>
      <c r="AC129" s="668"/>
    </row>
    <row r="130" spans="1:68" ht="14.25" customHeight="1" x14ac:dyDescent="0.25">
      <c r="A130" s="688" t="s">
        <v>175</v>
      </c>
      <c r="B130" s="681"/>
      <c r="C130" s="681"/>
      <c r="D130" s="681"/>
      <c r="E130" s="681"/>
      <c r="F130" s="681"/>
      <c r="G130" s="681"/>
      <c r="H130" s="681"/>
      <c r="I130" s="681"/>
      <c r="J130" s="681"/>
      <c r="K130" s="681"/>
      <c r="L130" s="681"/>
      <c r="M130" s="681"/>
      <c r="N130" s="681"/>
      <c r="O130" s="681"/>
      <c r="P130" s="681"/>
      <c r="Q130" s="681"/>
      <c r="R130" s="681"/>
      <c r="S130" s="681"/>
      <c r="T130" s="681"/>
      <c r="U130" s="681"/>
      <c r="V130" s="681"/>
      <c r="W130" s="681"/>
      <c r="X130" s="681"/>
      <c r="Y130" s="681"/>
      <c r="Z130" s="681"/>
      <c r="AA130" s="661"/>
      <c r="AB130" s="661"/>
      <c r="AC130" s="661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77">
        <v>4680115882652</v>
      </c>
      <c r="E131" s="678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9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5"/>
      <c r="R131" s="685"/>
      <c r="S131" s="685"/>
      <c r="T131" s="686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77">
        <v>4680115880238</v>
      </c>
      <c r="E132" s="678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5"/>
      <c r="R132" s="685"/>
      <c r="S132" s="685"/>
      <c r="T132" s="686"/>
      <c r="U132" s="34"/>
      <c r="V132" s="34"/>
      <c r="W132" s="35" t="s">
        <v>69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82"/>
      <c r="B133" s="681"/>
      <c r="C133" s="681"/>
      <c r="D133" s="681"/>
      <c r="E133" s="681"/>
      <c r="F133" s="681"/>
      <c r="G133" s="681"/>
      <c r="H133" s="681"/>
      <c r="I133" s="681"/>
      <c r="J133" s="681"/>
      <c r="K133" s="681"/>
      <c r="L133" s="681"/>
      <c r="M133" s="681"/>
      <c r="N133" s="681"/>
      <c r="O133" s="683"/>
      <c r="P133" s="679" t="s">
        <v>88</v>
      </c>
      <c r="Q133" s="670"/>
      <c r="R133" s="670"/>
      <c r="S133" s="670"/>
      <c r="T133" s="670"/>
      <c r="U133" s="670"/>
      <c r="V133" s="671"/>
      <c r="W133" s="37" t="s">
        <v>89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81"/>
      <c r="B134" s="681"/>
      <c r="C134" s="681"/>
      <c r="D134" s="681"/>
      <c r="E134" s="681"/>
      <c r="F134" s="681"/>
      <c r="G134" s="681"/>
      <c r="H134" s="681"/>
      <c r="I134" s="681"/>
      <c r="J134" s="681"/>
      <c r="K134" s="681"/>
      <c r="L134" s="681"/>
      <c r="M134" s="681"/>
      <c r="N134" s="681"/>
      <c r="O134" s="683"/>
      <c r="P134" s="679" t="s">
        <v>88</v>
      </c>
      <c r="Q134" s="670"/>
      <c r="R134" s="670"/>
      <c r="S134" s="670"/>
      <c r="T134" s="670"/>
      <c r="U134" s="670"/>
      <c r="V134" s="671"/>
      <c r="W134" s="37" t="s">
        <v>69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690" t="s">
        <v>259</v>
      </c>
      <c r="B135" s="681"/>
      <c r="C135" s="681"/>
      <c r="D135" s="681"/>
      <c r="E135" s="681"/>
      <c r="F135" s="681"/>
      <c r="G135" s="681"/>
      <c r="H135" s="681"/>
      <c r="I135" s="681"/>
      <c r="J135" s="681"/>
      <c r="K135" s="681"/>
      <c r="L135" s="681"/>
      <c r="M135" s="681"/>
      <c r="N135" s="681"/>
      <c r="O135" s="681"/>
      <c r="P135" s="681"/>
      <c r="Q135" s="681"/>
      <c r="R135" s="681"/>
      <c r="S135" s="681"/>
      <c r="T135" s="681"/>
      <c r="U135" s="681"/>
      <c r="V135" s="681"/>
      <c r="W135" s="681"/>
      <c r="X135" s="681"/>
      <c r="Y135" s="681"/>
      <c r="Z135" s="681"/>
      <c r="AA135" s="660"/>
      <c r="AB135" s="660"/>
      <c r="AC135" s="660"/>
    </row>
    <row r="136" spans="1:68" ht="14.25" customHeight="1" x14ac:dyDescent="0.25">
      <c r="A136" s="688" t="s">
        <v>98</v>
      </c>
      <c r="B136" s="681"/>
      <c r="C136" s="681"/>
      <c r="D136" s="681"/>
      <c r="E136" s="681"/>
      <c r="F136" s="681"/>
      <c r="G136" s="681"/>
      <c r="H136" s="681"/>
      <c r="I136" s="681"/>
      <c r="J136" s="681"/>
      <c r="K136" s="681"/>
      <c r="L136" s="681"/>
      <c r="M136" s="681"/>
      <c r="N136" s="681"/>
      <c r="O136" s="681"/>
      <c r="P136" s="681"/>
      <c r="Q136" s="681"/>
      <c r="R136" s="681"/>
      <c r="S136" s="681"/>
      <c r="T136" s="681"/>
      <c r="U136" s="681"/>
      <c r="V136" s="681"/>
      <c r="W136" s="681"/>
      <c r="X136" s="681"/>
      <c r="Y136" s="681"/>
      <c r="Z136" s="681"/>
      <c r="AA136" s="661"/>
      <c r="AB136" s="661"/>
      <c r="AC136" s="661"/>
    </row>
    <row r="137" spans="1:68" ht="27" customHeight="1" x14ac:dyDescent="0.25">
      <c r="A137" s="54" t="s">
        <v>260</v>
      </c>
      <c r="B137" s="54" t="s">
        <v>261</v>
      </c>
      <c r="C137" s="31">
        <v>4301011562</v>
      </c>
      <c r="D137" s="677">
        <v>4680115882577</v>
      </c>
      <c r="E137" s="678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92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5"/>
      <c r="R137" s="685"/>
      <c r="S137" s="685"/>
      <c r="T137" s="686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4301011564</v>
      </c>
      <c r="D138" s="677">
        <v>4680115882577</v>
      </c>
      <c r="E138" s="678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91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5"/>
      <c r="R138" s="685"/>
      <c r="S138" s="685"/>
      <c r="T138" s="686"/>
      <c r="U138" s="34"/>
      <c r="V138" s="34"/>
      <c r="W138" s="35" t="s">
        <v>69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82"/>
      <c r="B139" s="681"/>
      <c r="C139" s="681"/>
      <c r="D139" s="681"/>
      <c r="E139" s="681"/>
      <c r="F139" s="681"/>
      <c r="G139" s="681"/>
      <c r="H139" s="681"/>
      <c r="I139" s="681"/>
      <c r="J139" s="681"/>
      <c r="K139" s="681"/>
      <c r="L139" s="681"/>
      <c r="M139" s="681"/>
      <c r="N139" s="681"/>
      <c r="O139" s="683"/>
      <c r="P139" s="679" t="s">
        <v>88</v>
      </c>
      <c r="Q139" s="670"/>
      <c r="R139" s="670"/>
      <c r="S139" s="670"/>
      <c r="T139" s="670"/>
      <c r="U139" s="670"/>
      <c r="V139" s="671"/>
      <c r="W139" s="37" t="s">
        <v>89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81"/>
      <c r="B140" s="681"/>
      <c r="C140" s="681"/>
      <c r="D140" s="681"/>
      <c r="E140" s="681"/>
      <c r="F140" s="681"/>
      <c r="G140" s="681"/>
      <c r="H140" s="681"/>
      <c r="I140" s="681"/>
      <c r="J140" s="681"/>
      <c r="K140" s="681"/>
      <c r="L140" s="681"/>
      <c r="M140" s="681"/>
      <c r="N140" s="681"/>
      <c r="O140" s="683"/>
      <c r="P140" s="679" t="s">
        <v>88</v>
      </c>
      <c r="Q140" s="670"/>
      <c r="R140" s="670"/>
      <c r="S140" s="670"/>
      <c r="T140" s="670"/>
      <c r="U140" s="670"/>
      <c r="V140" s="671"/>
      <c r="W140" s="37" t="s">
        <v>69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8" t="s">
        <v>149</v>
      </c>
      <c r="B141" s="681"/>
      <c r="C141" s="681"/>
      <c r="D141" s="681"/>
      <c r="E141" s="681"/>
      <c r="F141" s="681"/>
      <c r="G141" s="681"/>
      <c r="H141" s="681"/>
      <c r="I141" s="681"/>
      <c r="J141" s="681"/>
      <c r="K141" s="681"/>
      <c r="L141" s="681"/>
      <c r="M141" s="681"/>
      <c r="N141" s="681"/>
      <c r="O141" s="681"/>
      <c r="P141" s="681"/>
      <c r="Q141" s="681"/>
      <c r="R141" s="681"/>
      <c r="S141" s="681"/>
      <c r="T141" s="681"/>
      <c r="U141" s="681"/>
      <c r="V141" s="681"/>
      <c r="W141" s="681"/>
      <c r="X141" s="681"/>
      <c r="Y141" s="681"/>
      <c r="Z141" s="681"/>
      <c r="AA141" s="661"/>
      <c r="AB141" s="661"/>
      <c r="AC141" s="661"/>
    </row>
    <row r="142" spans="1:68" ht="27" customHeight="1" x14ac:dyDescent="0.25">
      <c r="A142" s="54" t="s">
        <v>264</v>
      </c>
      <c r="B142" s="54" t="s">
        <v>265</v>
      </c>
      <c r="C142" s="31">
        <v>4301031235</v>
      </c>
      <c r="D142" s="677">
        <v>4680115883444</v>
      </c>
      <c r="E142" s="678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9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5"/>
      <c r="R142" s="685"/>
      <c r="S142" s="685"/>
      <c r="T142" s="686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4301031234</v>
      </c>
      <c r="D143" s="677">
        <v>4680115883444</v>
      </c>
      <c r="E143" s="678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5"/>
      <c r="R143" s="685"/>
      <c r="S143" s="685"/>
      <c r="T143" s="686"/>
      <c r="U143" s="34"/>
      <c r="V143" s="34"/>
      <c r="W143" s="35" t="s">
        <v>69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82"/>
      <c r="B144" s="681"/>
      <c r="C144" s="681"/>
      <c r="D144" s="681"/>
      <c r="E144" s="681"/>
      <c r="F144" s="681"/>
      <c r="G144" s="681"/>
      <c r="H144" s="681"/>
      <c r="I144" s="681"/>
      <c r="J144" s="681"/>
      <c r="K144" s="681"/>
      <c r="L144" s="681"/>
      <c r="M144" s="681"/>
      <c r="N144" s="681"/>
      <c r="O144" s="683"/>
      <c r="P144" s="679" t="s">
        <v>88</v>
      </c>
      <c r="Q144" s="670"/>
      <c r="R144" s="670"/>
      <c r="S144" s="670"/>
      <c r="T144" s="670"/>
      <c r="U144" s="670"/>
      <c r="V144" s="671"/>
      <c r="W144" s="37" t="s">
        <v>89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81"/>
      <c r="B145" s="681"/>
      <c r="C145" s="681"/>
      <c r="D145" s="681"/>
      <c r="E145" s="681"/>
      <c r="F145" s="681"/>
      <c r="G145" s="681"/>
      <c r="H145" s="681"/>
      <c r="I145" s="681"/>
      <c r="J145" s="681"/>
      <c r="K145" s="681"/>
      <c r="L145" s="681"/>
      <c r="M145" s="681"/>
      <c r="N145" s="681"/>
      <c r="O145" s="683"/>
      <c r="P145" s="679" t="s">
        <v>88</v>
      </c>
      <c r="Q145" s="670"/>
      <c r="R145" s="670"/>
      <c r="S145" s="670"/>
      <c r="T145" s="670"/>
      <c r="U145" s="670"/>
      <c r="V145" s="671"/>
      <c r="W145" s="37" t="s">
        <v>69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8" t="s">
        <v>64</v>
      </c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1"/>
      <c r="N146" s="681"/>
      <c r="O146" s="681"/>
      <c r="P146" s="681"/>
      <c r="Q146" s="681"/>
      <c r="R146" s="681"/>
      <c r="S146" s="681"/>
      <c r="T146" s="681"/>
      <c r="U146" s="681"/>
      <c r="V146" s="681"/>
      <c r="W146" s="681"/>
      <c r="X146" s="681"/>
      <c r="Y146" s="681"/>
      <c r="Z146" s="681"/>
      <c r="AA146" s="661"/>
      <c r="AB146" s="661"/>
      <c r="AC146" s="661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77">
        <v>4680115882584</v>
      </c>
      <c r="E147" s="678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10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5"/>
      <c r="R147" s="685"/>
      <c r="S147" s="685"/>
      <c r="T147" s="686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77">
        <v>4680115882584</v>
      </c>
      <c r="E148" s="678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9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5"/>
      <c r="R148" s="685"/>
      <c r="S148" s="685"/>
      <c r="T148" s="686"/>
      <c r="U148" s="34"/>
      <c r="V148" s="34"/>
      <c r="W148" s="35" t="s">
        <v>69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82"/>
      <c r="B149" s="681"/>
      <c r="C149" s="681"/>
      <c r="D149" s="681"/>
      <c r="E149" s="681"/>
      <c r="F149" s="681"/>
      <c r="G149" s="681"/>
      <c r="H149" s="681"/>
      <c r="I149" s="681"/>
      <c r="J149" s="681"/>
      <c r="K149" s="681"/>
      <c r="L149" s="681"/>
      <c r="M149" s="681"/>
      <c r="N149" s="681"/>
      <c r="O149" s="683"/>
      <c r="P149" s="679" t="s">
        <v>88</v>
      </c>
      <c r="Q149" s="670"/>
      <c r="R149" s="670"/>
      <c r="S149" s="670"/>
      <c r="T149" s="670"/>
      <c r="U149" s="670"/>
      <c r="V149" s="671"/>
      <c r="W149" s="37" t="s">
        <v>89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81"/>
      <c r="B150" s="681"/>
      <c r="C150" s="681"/>
      <c r="D150" s="681"/>
      <c r="E150" s="681"/>
      <c r="F150" s="681"/>
      <c r="G150" s="681"/>
      <c r="H150" s="681"/>
      <c r="I150" s="681"/>
      <c r="J150" s="681"/>
      <c r="K150" s="681"/>
      <c r="L150" s="681"/>
      <c r="M150" s="681"/>
      <c r="N150" s="681"/>
      <c r="O150" s="683"/>
      <c r="P150" s="679" t="s">
        <v>88</v>
      </c>
      <c r="Q150" s="670"/>
      <c r="R150" s="670"/>
      <c r="S150" s="670"/>
      <c r="T150" s="670"/>
      <c r="U150" s="670"/>
      <c r="V150" s="671"/>
      <c r="W150" s="37" t="s">
        <v>69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690" t="s">
        <v>96</v>
      </c>
      <c r="B151" s="681"/>
      <c r="C151" s="681"/>
      <c r="D151" s="681"/>
      <c r="E151" s="681"/>
      <c r="F151" s="681"/>
      <c r="G151" s="681"/>
      <c r="H151" s="681"/>
      <c r="I151" s="681"/>
      <c r="J151" s="681"/>
      <c r="K151" s="681"/>
      <c r="L151" s="681"/>
      <c r="M151" s="681"/>
      <c r="N151" s="681"/>
      <c r="O151" s="681"/>
      <c r="P151" s="681"/>
      <c r="Q151" s="681"/>
      <c r="R151" s="681"/>
      <c r="S151" s="681"/>
      <c r="T151" s="681"/>
      <c r="U151" s="681"/>
      <c r="V151" s="681"/>
      <c r="W151" s="681"/>
      <c r="X151" s="681"/>
      <c r="Y151" s="681"/>
      <c r="Z151" s="681"/>
      <c r="AA151" s="660"/>
      <c r="AB151" s="660"/>
      <c r="AC151" s="660"/>
    </row>
    <row r="152" spans="1:68" ht="14.25" customHeight="1" x14ac:dyDescent="0.25">
      <c r="A152" s="688" t="s">
        <v>98</v>
      </c>
      <c r="B152" s="681"/>
      <c r="C152" s="681"/>
      <c r="D152" s="681"/>
      <c r="E152" s="681"/>
      <c r="F152" s="681"/>
      <c r="G152" s="681"/>
      <c r="H152" s="681"/>
      <c r="I152" s="681"/>
      <c r="J152" s="681"/>
      <c r="K152" s="681"/>
      <c r="L152" s="681"/>
      <c r="M152" s="681"/>
      <c r="N152" s="681"/>
      <c r="O152" s="681"/>
      <c r="P152" s="681"/>
      <c r="Q152" s="681"/>
      <c r="R152" s="681"/>
      <c r="S152" s="681"/>
      <c r="T152" s="681"/>
      <c r="U152" s="681"/>
      <c r="V152" s="681"/>
      <c r="W152" s="681"/>
      <c r="X152" s="681"/>
      <c r="Y152" s="681"/>
      <c r="Z152" s="681"/>
      <c r="AA152" s="661"/>
      <c r="AB152" s="661"/>
      <c r="AC152" s="661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77">
        <v>4607091384604</v>
      </c>
      <c r="E153" s="678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5"/>
      <c r="R153" s="685"/>
      <c r="S153" s="685"/>
      <c r="T153" s="686"/>
      <c r="U153" s="34"/>
      <c r="V153" s="34"/>
      <c r="W153" s="35" t="s">
        <v>69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82"/>
      <c r="B154" s="681"/>
      <c r="C154" s="681"/>
      <c r="D154" s="681"/>
      <c r="E154" s="681"/>
      <c r="F154" s="681"/>
      <c r="G154" s="681"/>
      <c r="H154" s="681"/>
      <c r="I154" s="681"/>
      <c r="J154" s="681"/>
      <c r="K154" s="681"/>
      <c r="L154" s="681"/>
      <c r="M154" s="681"/>
      <c r="N154" s="681"/>
      <c r="O154" s="683"/>
      <c r="P154" s="679" t="s">
        <v>88</v>
      </c>
      <c r="Q154" s="670"/>
      <c r="R154" s="670"/>
      <c r="S154" s="670"/>
      <c r="T154" s="670"/>
      <c r="U154" s="670"/>
      <c r="V154" s="671"/>
      <c r="W154" s="37" t="s">
        <v>89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81"/>
      <c r="B155" s="681"/>
      <c r="C155" s="681"/>
      <c r="D155" s="681"/>
      <c r="E155" s="681"/>
      <c r="F155" s="681"/>
      <c r="G155" s="681"/>
      <c r="H155" s="681"/>
      <c r="I155" s="681"/>
      <c r="J155" s="681"/>
      <c r="K155" s="681"/>
      <c r="L155" s="681"/>
      <c r="M155" s="681"/>
      <c r="N155" s="681"/>
      <c r="O155" s="683"/>
      <c r="P155" s="679" t="s">
        <v>88</v>
      </c>
      <c r="Q155" s="670"/>
      <c r="R155" s="670"/>
      <c r="S155" s="670"/>
      <c r="T155" s="670"/>
      <c r="U155" s="670"/>
      <c r="V155" s="671"/>
      <c r="W155" s="37" t="s">
        <v>69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8" t="s">
        <v>149</v>
      </c>
      <c r="B156" s="681"/>
      <c r="C156" s="681"/>
      <c r="D156" s="681"/>
      <c r="E156" s="681"/>
      <c r="F156" s="681"/>
      <c r="G156" s="681"/>
      <c r="H156" s="681"/>
      <c r="I156" s="681"/>
      <c r="J156" s="681"/>
      <c r="K156" s="681"/>
      <c r="L156" s="681"/>
      <c r="M156" s="681"/>
      <c r="N156" s="681"/>
      <c r="O156" s="681"/>
      <c r="P156" s="681"/>
      <c r="Q156" s="681"/>
      <c r="R156" s="681"/>
      <c r="S156" s="681"/>
      <c r="T156" s="681"/>
      <c r="U156" s="681"/>
      <c r="V156" s="681"/>
      <c r="W156" s="681"/>
      <c r="X156" s="681"/>
      <c r="Y156" s="681"/>
      <c r="Z156" s="681"/>
      <c r="AA156" s="661"/>
      <c r="AB156" s="661"/>
      <c r="AC156" s="661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77">
        <v>4607091387667</v>
      </c>
      <c r="E157" s="678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6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5"/>
      <c r="R157" s="685"/>
      <c r="S157" s="685"/>
      <c r="T157" s="686"/>
      <c r="U157" s="34"/>
      <c r="V157" s="34"/>
      <c r="W157" s="35" t="s">
        <v>69</v>
      </c>
      <c r="X157" s="665">
        <v>15</v>
      </c>
      <c r="Y157" s="666">
        <f>IFERROR(IF(X157="",0,CEILING((X157/$H157),1)*$H157),"")</f>
        <v>18</v>
      </c>
      <c r="Z157" s="36">
        <f>IFERROR(IF(Y157=0,"",ROUNDUP(Y157/H157,0)*0.01898),"")</f>
        <v>3.7960000000000001E-2</v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15.975000000000001</v>
      </c>
      <c r="BN157" s="64">
        <f>IFERROR(Y157*I157/H157,"0")</f>
        <v>19.170000000000002</v>
      </c>
      <c r="BO157" s="64">
        <f>IFERROR(1/J157*(X157/H157),"0")</f>
        <v>2.6041666666666668E-2</v>
      </c>
      <c r="BP157" s="64">
        <f>IFERROR(1/J157*(Y157/H157),"0")</f>
        <v>3.125E-2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77">
        <v>4607091387636</v>
      </c>
      <c r="E158" s="678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102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5"/>
      <c r="R158" s="685"/>
      <c r="S158" s="685"/>
      <c r="T158" s="686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77">
        <v>4607091382426</v>
      </c>
      <c r="E159" s="678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5"/>
      <c r="R159" s="685"/>
      <c r="S159" s="685"/>
      <c r="T159" s="686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77">
        <v>4607091386547</v>
      </c>
      <c r="E160" s="678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1037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5"/>
      <c r="R160" s="685"/>
      <c r="S160" s="685"/>
      <c r="T160" s="686"/>
      <c r="U160" s="34"/>
      <c r="V160" s="34"/>
      <c r="W160" s="35" t="s">
        <v>69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82"/>
      <c r="B161" s="681"/>
      <c r="C161" s="681"/>
      <c r="D161" s="681"/>
      <c r="E161" s="681"/>
      <c r="F161" s="681"/>
      <c r="G161" s="681"/>
      <c r="H161" s="681"/>
      <c r="I161" s="681"/>
      <c r="J161" s="681"/>
      <c r="K161" s="681"/>
      <c r="L161" s="681"/>
      <c r="M161" s="681"/>
      <c r="N161" s="681"/>
      <c r="O161" s="683"/>
      <c r="P161" s="679" t="s">
        <v>88</v>
      </c>
      <c r="Q161" s="670"/>
      <c r="R161" s="670"/>
      <c r="S161" s="670"/>
      <c r="T161" s="670"/>
      <c r="U161" s="670"/>
      <c r="V161" s="671"/>
      <c r="W161" s="37" t="s">
        <v>89</v>
      </c>
      <c r="X161" s="667">
        <f>IFERROR(X157/H157,"0")+IFERROR(X158/H158,"0")+IFERROR(X159/H159,"0")+IFERROR(X160/H160,"0")</f>
        <v>1.6666666666666667</v>
      </c>
      <c r="Y161" s="667">
        <f>IFERROR(Y157/H157,"0")+IFERROR(Y158/H158,"0")+IFERROR(Y159/H159,"0")+IFERROR(Y160/H160,"0")</f>
        <v>2</v>
      </c>
      <c r="Z161" s="667">
        <f>IFERROR(IF(Z157="",0,Z157),"0")+IFERROR(IF(Z158="",0,Z158),"0")+IFERROR(IF(Z159="",0,Z159),"0")+IFERROR(IF(Z160="",0,Z160),"0")</f>
        <v>3.7960000000000001E-2</v>
      </c>
      <c r="AA161" s="668"/>
      <c r="AB161" s="668"/>
      <c r="AC161" s="668"/>
    </row>
    <row r="162" spans="1:68" x14ac:dyDescent="0.2">
      <c r="A162" s="681"/>
      <c r="B162" s="681"/>
      <c r="C162" s="681"/>
      <c r="D162" s="681"/>
      <c r="E162" s="681"/>
      <c r="F162" s="681"/>
      <c r="G162" s="681"/>
      <c r="H162" s="681"/>
      <c r="I162" s="681"/>
      <c r="J162" s="681"/>
      <c r="K162" s="681"/>
      <c r="L162" s="681"/>
      <c r="M162" s="681"/>
      <c r="N162" s="681"/>
      <c r="O162" s="683"/>
      <c r="P162" s="679" t="s">
        <v>88</v>
      </c>
      <c r="Q162" s="670"/>
      <c r="R162" s="670"/>
      <c r="S162" s="670"/>
      <c r="T162" s="670"/>
      <c r="U162" s="670"/>
      <c r="V162" s="671"/>
      <c r="W162" s="37" t="s">
        <v>69</v>
      </c>
      <c r="X162" s="667">
        <f>IFERROR(SUM(X157:X160),"0")</f>
        <v>15</v>
      </c>
      <c r="Y162" s="667">
        <f>IFERROR(SUM(Y157:Y160),"0")</f>
        <v>18</v>
      </c>
      <c r="Z162" s="37"/>
      <c r="AA162" s="668"/>
      <c r="AB162" s="668"/>
      <c r="AC162" s="668"/>
    </row>
    <row r="163" spans="1:68" ht="14.25" customHeight="1" x14ac:dyDescent="0.25">
      <c r="A163" s="688" t="s">
        <v>64</v>
      </c>
      <c r="B163" s="681"/>
      <c r="C163" s="681"/>
      <c r="D163" s="681"/>
      <c r="E163" s="681"/>
      <c r="F163" s="681"/>
      <c r="G163" s="681"/>
      <c r="H163" s="681"/>
      <c r="I163" s="681"/>
      <c r="J163" s="681"/>
      <c r="K163" s="681"/>
      <c r="L163" s="681"/>
      <c r="M163" s="681"/>
      <c r="N163" s="681"/>
      <c r="O163" s="681"/>
      <c r="P163" s="681"/>
      <c r="Q163" s="681"/>
      <c r="R163" s="681"/>
      <c r="S163" s="681"/>
      <c r="T163" s="681"/>
      <c r="U163" s="681"/>
      <c r="V163" s="681"/>
      <c r="W163" s="681"/>
      <c r="X163" s="681"/>
      <c r="Y163" s="681"/>
      <c r="Z163" s="681"/>
      <c r="AA163" s="661"/>
      <c r="AB163" s="661"/>
      <c r="AC163" s="661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77">
        <v>4607091386264</v>
      </c>
      <c r="E164" s="678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81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5"/>
      <c r="R164" s="685"/>
      <c r="S164" s="685"/>
      <c r="T164" s="686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82"/>
      <c r="B165" s="681"/>
      <c r="C165" s="681"/>
      <c r="D165" s="681"/>
      <c r="E165" s="681"/>
      <c r="F165" s="681"/>
      <c r="G165" s="681"/>
      <c r="H165" s="681"/>
      <c r="I165" s="681"/>
      <c r="J165" s="681"/>
      <c r="K165" s="681"/>
      <c r="L165" s="681"/>
      <c r="M165" s="681"/>
      <c r="N165" s="681"/>
      <c r="O165" s="683"/>
      <c r="P165" s="679" t="s">
        <v>88</v>
      </c>
      <c r="Q165" s="670"/>
      <c r="R165" s="670"/>
      <c r="S165" s="670"/>
      <c r="T165" s="670"/>
      <c r="U165" s="670"/>
      <c r="V165" s="671"/>
      <c r="W165" s="37" t="s">
        <v>89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81"/>
      <c r="B166" s="681"/>
      <c r="C166" s="681"/>
      <c r="D166" s="681"/>
      <c r="E166" s="681"/>
      <c r="F166" s="681"/>
      <c r="G166" s="681"/>
      <c r="H166" s="681"/>
      <c r="I166" s="681"/>
      <c r="J166" s="681"/>
      <c r="K166" s="681"/>
      <c r="L166" s="681"/>
      <c r="M166" s="681"/>
      <c r="N166" s="681"/>
      <c r="O166" s="683"/>
      <c r="P166" s="679" t="s">
        <v>88</v>
      </c>
      <c r="Q166" s="670"/>
      <c r="R166" s="670"/>
      <c r="S166" s="670"/>
      <c r="T166" s="670"/>
      <c r="U166" s="670"/>
      <c r="V166" s="671"/>
      <c r="W166" s="37" t="s">
        <v>69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771" t="s">
        <v>288</v>
      </c>
      <c r="B167" s="772"/>
      <c r="C167" s="772"/>
      <c r="D167" s="772"/>
      <c r="E167" s="772"/>
      <c r="F167" s="772"/>
      <c r="G167" s="772"/>
      <c r="H167" s="772"/>
      <c r="I167" s="772"/>
      <c r="J167" s="772"/>
      <c r="K167" s="772"/>
      <c r="L167" s="772"/>
      <c r="M167" s="772"/>
      <c r="N167" s="772"/>
      <c r="O167" s="772"/>
      <c r="P167" s="772"/>
      <c r="Q167" s="772"/>
      <c r="R167" s="772"/>
      <c r="S167" s="772"/>
      <c r="T167" s="772"/>
      <c r="U167" s="772"/>
      <c r="V167" s="772"/>
      <c r="W167" s="772"/>
      <c r="X167" s="772"/>
      <c r="Y167" s="772"/>
      <c r="Z167" s="772"/>
      <c r="AA167" s="48"/>
      <c r="AB167" s="48"/>
      <c r="AC167" s="48"/>
    </row>
    <row r="168" spans="1:68" ht="16.5" customHeight="1" x14ac:dyDescent="0.25">
      <c r="A168" s="690" t="s">
        <v>289</v>
      </c>
      <c r="B168" s="681"/>
      <c r="C168" s="681"/>
      <c r="D168" s="681"/>
      <c r="E168" s="681"/>
      <c r="F168" s="681"/>
      <c r="G168" s="681"/>
      <c r="H168" s="681"/>
      <c r="I168" s="681"/>
      <c r="J168" s="681"/>
      <c r="K168" s="681"/>
      <c r="L168" s="681"/>
      <c r="M168" s="681"/>
      <c r="N168" s="681"/>
      <c r="O168" s="681"/>
      <c r="P168" s="681"/>
      <c r="Q168" s="681"/>
      <c r="R168" s="681"/>
      <c r="S168" s="681"/>
      <c r="T168" s="681"/>
      <c r="U168" s="681"/>
      <c r="V168" s="681"/>
      <c r="W168" s="681"/>
      <c r="X168" s="681"/>
      <c r="Y168" s="681"/>
      <c r="Z168" s="681"/>
      <c r="AA168" s="660"/>
      <c r="AB168" s="660"/>
      <c r="AC168" s="660"/>
    </row>
    <row r="169" spans="1:68" ht="14.25" customHeight="1" x14ac:dyDescent="0.25">
      <c r="A169" s="688" t="s">
        <v>138</v>
      </c>
      <c r="B169" s="681"/>
      <c r="C169" s="681"/>
      <c r="D169" s="681"/>
      <c r="E169" s="681"/>
      <c r="F169" s="681"/>
      <c r="G169" s="681"/>
      <c r="H169" s="681"/>
      <c r="I169" s="681"/>
      <c r="J169" s="681"/>
      <c r="K169" s="681"/>
      <c r="L169" s="681"/>
      <c r="M169" s="681"/>
      <c r="N169" s="681"/>
      <c r="O169" s="681"/>
      <c r="P169" s="681"/>
      <c r="Q169" s="681"/>
      <c r="R169" s="681"/>
      <c r="S169" s="681"/>
      <c r="T169" s="681"/>
      <c r="U169" s="681"/>
      <c r="V169" s="681"/>
      <c r="W169" s="681"/>
      <c r="X169" s="681"/>
      <c r="Y169" s="681"/>
      <c r="Z169" s="681"/>
      <c r="AA169" s="661"/>
      <c r="AB169" s="661"/>
      <c r="AC169" s="661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77">
        <v>4680115886223</v>
      </c>
      <c r="E170" s="678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10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5"/>
      <c r="R170" s="685"/>
      <c r="S170" s="685"/>
      <c r="T170" s="686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82"/>
      <c r="B171" s="681"/>
      <c r="C171" s="681"/>
      <c r="D171" s="681"/>
      <c r="E171" s="681"/>
      <c r="F171" s="681"/>
      <c r="G171" s="681"/>
      <c r="H171" s="681"/>
      <c r="I171" s="681"/>
      <c r="J171" s="681"/>
      <c r="K171" s="681"/>
      <c r="L171" s="681"/>
      <c r="M171" s="681"/>
      <c r="N171" s="681"/>
      <c r="O171" s="683"/>
      <c r="P171" s="679" t="s">
        <v>88</v>
      </c>
      <c r="Q171" s="670"/>
      <c r="R171" s="670"/>
      <c r="S171" s="670"/>
      <c r="T171" s="670"/>
      <c r="U171" s="670"/>
      <c r="V171" s="671"/>
      <c r="W171" s="37" t="s">
        <v>89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1"/>
      <c r="B172" s="681"/>
      <c r="C172" s="681"/>
      <c r="D172" s="681"/>
      <c r="E172" s="681"/>
      <c r="F172" s="681"/>
      <c r="G172" s="681"/>
      <c r="H172" s="681"/>
      <c r="I172" s="681"/>
      <c r="J172" s="681"/>
      <c r="K172" s="681"/>
      <c r="L172" s="681"/>
      <c r="M172" s="681"/>
      <c r="N172" s="681"/>
      <c r="O172" s="683"/>
      <c r="P172" s="679" t="s">
        <v>88</v>
      </c>
      <c r="Q172" s="670"/>
      <c r="R172" s="670"/>
      <c r="S172" s="670"/>
      <c r="T172" s="670"/>
      <c r="U172" s="670"/>
      <c r="V172" s="671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8" t="s">
        <v>149</v>
      </c>
      <c r="B173" s="681"/>
      <c r="C173" s="681"/>
      <c r="D173" s="681"/>
      <c r="E173" s="681"/>
      <c r="F173" s="681"/>
      <c r="G173" s="681"/>
      <c r="H173" s="681"/>
      <c r="I173" s="681"/>
      <c r="J173" s="681"/>
      <c r="K173" s="681"/>
      <c r="L173" s="681"/>
      <c r="M173" s="681"/>
      <c r="N173" s="681"/>
      <c r="O173" s="681"/>
      <c r="P173" s="681"/>
      <c r="Q173" s="681"/>
      <c r="R173" s="681"/>
      <c r="S173" s="681"/>
      <c r="T173" s="681"/>
      <c r="U173" s="681"/>
      <c r="V173" s="681"/>
      <c r="W173" s="681"/>
      <c r="X173" s="681"/>
      <c r="Y173" s="681"/>
      <c r="Z173" s="681"/>
      <c r="AA173" s="661"/>
      <c r="AB173" s="661"/>
      <c r="AC173" s="661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77">
        <v>4680115880993</v>
      </c>
      <c r="E174" s="678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70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5"/>
      <c r="R174" s="685"/>
      <c r="S174" s="685"/>
      <c r="T174" s="686"/>
      <c r="U174" s="34"/>
      <c r="V174" s="34"/>
      <c r="W174" s="35" t="s">
        <v>69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77">
        <v>4680115881761</v>
      </c>
      <c r="E175" s="678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5"/>
      <c r="R175" s="685"/>
      <c r="S175" s="685"/>
      <c r="T175" s="686"/>
      <c r="U175" s="34"/>
      <c r="V175" s="34"/>
      <c r="W175" s="35" t="s">
        <v>69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77">
        <v>4680115881563</v>
      </c>
      <c r="E176" s="678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5"/>
      <c r="R176" s="685"/>
      <c r="S176" s="685"/>
      <c r="T176" s="686"/>
      <c r="U176" s="34"/>
      <c r="V176" s="34"/>
      <c r="W176" s="35" t="s">
        <v>69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77">
        <v>4680115880986</v>
      </c>
      <c r="E177" s="678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5"/>
      <c r="R177" s="685"/>
      <c r="S177" s="685"/>
      <c r="T177" s="686"/>
      <c r="U177" s="34"/>
      <c r="V177" s="34"/>
      <c r="W177" s="35" t="s">
        <v>69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77">
        <v>4680115881785</v>
      </c>
      <c r="E178" s="678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5"/>
      <c r="R178" s="685"/>
      <c r="S178" s="685"/>
      <c r="T178" s="686"/>
      <c r="U178" s="34"/>
      <c r="V178" s="34"/>
      <c r="W178" s="35" t="s">
        <v>69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77">
        <v>4680115886537</v>
      </c>
      <c r="E179" s="678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77" t="s">
        <v>308</v>
      </c>
      <c r="Q179" s="685"/>
      <c r="R179" s="685"/>
      <c r="S179" s="685"/>
      <c r="T179" s="686"/>
      <c r="U179" s="34"/>
      <c r="V179" s="34"/>
      <c r="W179" s="35" t="s">
        <v>69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77">
        <v>4680115881679</v>
      </c>
      <c r="E180" s="678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9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5"/>
      <c r="R180" s="685"/>
      <c r="S180" s="685"/>
      <c r="T180" s="686"/>
      <c r="U180" s="34"/>
      <c r="V180" s="34"/>
      <c r="W180" s="35" t="s">
        <v>69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77">
        <v>4680115880191</v>
      </c>
      <c r="E181" s="678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5"/>
      <c r="R181" s="685"/>
      <c r="S181" s="685"/>
      <c r="T181" s="686"/>
      <c r="U181" s="34"/>
      <c r="V181" s="34"/>
      <c r="W181" s="35" t="s">
        <v>69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77">
        <v>4680115883963</v>
      </c>
      <c r="E182" s="678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9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5"/>
      <c r="R182" s="685"/>
      <c r="S182" s="685"/>
      <c r="T182" s="686"/>
      <c r="U182" s="34"/>
      <c r="V182" s="34"/>
      <c r="W182" s="35" t="s">
        <v>69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82"/>
      <c r="B183" s="681"/>
      <c r="C183" s="681"/>
      <c r="D183" s="681"/>
      <c r="E183" s="681"/>
      <c r="F183" s="681"/>
      <c r="G183" s="681"/>
      <c r="H183" s="681"/>
      <c r="I183" s="681"/>
      <c r="J183" s="681"/>
      <c r="K183" s="681"/>
      <c r="L183" s="681"/>
      <c r="M183" s="681"/>
      <c r="N183" s="681"/>
      <c r="O183" s="683"/>
      <c r="P183" s="679" t="s">
        <v>88</v>
      </c>
      <c r="Q183" s="670"/>
      <c r="R183" s="670"/>
      <c r="S183" s="670"/>
      <c r="T183" s="670"/>
      <c r="U183" s="670"/>
      <c r="V183" s="671"/>
      <c r="W183" s="37" t="s">
        <v>89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1"/>
      <c r="B184" s="681"/>
      <c r="C184" s="681"/>
      <c r="D184" s="681"/>
      <c r="E184" s="681"/>
      <c r="F184" s="681"/>
      <c r="G184" s="681"/>
      <c r="H184" s="681"/>
      <c r="I184" s="681"/>
      <c r="J184" s="681"/>
      <c r="K184" s="681"/>
      <c r="L184" s="681"/>
      <c r="M184" s="681"/>
      <c r="N184" s="681"/>
      <c r="O184" s="683"/>
      <c r="P184" s="679" t="s">
        <v>88</v>
      </c>
      <c r="Q184" s="670"/>
      <c r="R184" s="670"/>
      <c r="S184" s="670"/>
      <c r="T184" s="670"/>
      <c r="U184" s="670"/>
      <c r="V184" s="671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8" t="s">
        <v>90</v>
      </c>
      <c r="B185" s="681"/>
      <c r="C185" s="681"/>
      <c r="D185" s="681"/>
      <c r="E185" s="681"/>
      <c r="F185" s="681"/>
      <c r="G185" s="681"/>
      <c r="H185" s="681"/>
      <c r="I185" s="681"/>
      <c r="J185" s="681"/>
      <c r="K185" s="681"/>
      <c r="L185" s="681"/>
      <c r="M185" s="681"/>
      <c r="N185" s="681"/>
      <c r="O185" s="681"/>
      <c r="P185" s="681"/>
      <c r="Q185" s="681"/>
      <c r="R185" s="681"/>
      <c r="S185" s="681"/>
      <c r="T185" s="681"/>
      <c r="U185" s="681"/>
      <c r="V185" s="681"/>
      <c r="W185" s="681"/>
      <c r="X185" s="681"/>
      <c r="Y185" s="681"/>
      <c r="Z185" s="681"/>
      <c r="AA185" s="661"/>
      <c r="AB185" s="661"/>
      <c r="AC185" s="661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77">
        <v>4680115886780</v>
      </c>
      <c r="E186" s="678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741" t="s">
        <v>321</v>
      </c>
      <c r="Q186" s="685"/>
      <c r="R186" s="685"/>
      <c r="S186" s="685"/>
      <c r="T186" s="686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322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82"/>
      <c r="B187" s="681"/>
      <c r="C187" s="681"/>
      <c r="D187" s="681"/>
      <c r="E187" s="681"/>
      <c r="F187" s="681"/>
      <c r="G187" s="681"/>
      <c r="H187" s="681"/>
      <c r="I187" s="681"/>
      <c r="J187" s="681"/>
      <c r="K187" s="681"/>
      <c r="L187" s="681"/>
      <c r="M187" s="681"/>
      <c r="N187" s="681"/>
      <c r="O187" s="683"/>
      <c r="P187" s="679" t="s">
        <v>88</v>
      </c>
      <c r="Q187" s="670"/>
      <c r="R187" s="670"/>
      <c r="S187" s="670"/>
      <c r="T187" s="670"/>
      <c r="U187" s="670"/>
      <c r="V187" s="671"/>
      <c r="W187" s="37" t="s">
        <v>89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1"/>
      <c r="B188" s="681"/>
      <c r="C188" s="681"/>
      <c r="D188" s="681"/>
      <c r="E188" s="681"/>
      <c r="F188" s="681"/>
      <c r="G188" s="681"/>
      <c r="H188" s="681"/>
      <c r="I188" s="681"/>
      <c r="J188" s="681"/>
      <c r="K188" s="681"/>
      <c r="L188" s="681"/>
      <c r="M188" s="681"/>
      <c r="N188" s="681"/>
      <c r="O188" s="683"/>
      <c r="P188" s="679" t="s">
        <v>88</v>
      </c>
      <c r="Q188" s="670"/>
      <c r="R188" s="670"/>
      <c r="S188" s="670"/>
      <c r="T188" s="670"/>
      <c r="U188" s="670"/>
      <c r="V188" s="671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690" t="s">
        <v>323</v>
      </c>
      <c r="B189" s="681"/>
      <c r="C189" s="681"/>
      <c r="D189" s="681"/>
      <c r="E189" s="681"/>
      <c r="F189" s="681"/>
      <c r="G189" s="681"/>
      <c r="H189" s="681"/>
      <c r="I189" s="681"/>
      <c r="J189" s="681"/>
      <c r="K189" s="681"/>
      <c r="L189" s="681"/>
      <c r="M189" s="681"/>
      <c r="N189" s="681"/>
      <c r="O189" s="681"/>
      <c r="P189" s="681"/>
      <c r="Q189" s="681"/>
      <c r="R189" s="681"/>
      <c r="S189" s="681"/>
      <c r="T189" s="681"/>
      <c r="U189" s="681"/>
      <c r="V189" s="681"/>
      <c r="W189" s="681"/>
      <c r="X189" s="681"/>
      <c r="Y189" s="681"/>
      <c r="Z189" s="681"/>
      <c r="AA189" s="660"/>
      <c r="AB189" s="660"/>
      <c r="AC189" s="660"/>
    </row>
    <row r="190" spans="1:68" ht="14.25" customHeight="1" x14ac:dyDescent="0.25">
      <c r="A190" s="688" t="s">
        <v>98</v>
      </c>
      <c r="B190" s="681"/>
      <c r="C190" s="681"/>
      <c r="D190" s="681"/>
      <c r="E190" s="681"/>
      <c r="F190" s="681"/>
      <c r="G190" s="681"/>
      <c r="H190" s="681"/>
      <c r="I190" s="681"/>
      <c r="J190" s="681"/>
      <c r="K190" s="681"/>
      <c r="L190" s="681"/>
      <c r="M190" s="681"/>
      <c r="N190" s="681"/>
      <c r="O190" s="681"/>
      <c r="P190" s="681"/>
      <c r="Q190" s="681"/>
      <c r="R190" s="681"/>
      <c r="S190" s="681"/>
      <c r="T190" s="681"/>
      <c r="U190" s="681"/>
      <c r="V190" s="681"/>
      <c r="W190" s="681"/>
      <c r="X190" s="681"/>
      <c r="Y190" s="681"/>
      <c r="Z190" s="681"/>
      <c r="AA190" s="661"/>
      <c r="AB190" s="661"/>
      <c r="AC190" s="661"/>
    </row>
    <row r="191" spans="1:68" ht="16.5" customHeight="1" x14ac:dyDescent="0.25">
      <c r="A191" s="54" t="s">
        <v>324</v>
      </c>
      <c r="B191" s="54" t="s">
        <v>325</v>
      </c>
      <c r="C191" s="31">
        <v>4301011450</v>
      </c>
      <c r="D191" s="677">
        <v>4680115881402</v>
      </c>
      <c r="E191" s="678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7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5"/>
      <c r="R191" s="685"/>
      <c r="S191" s="685"/>
      <c r="T191" s="686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326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327</v>
      </c>
      <c r="B192" s="54" t="s">
        <v>328</v>
      </c>
      <c r="C192" s="31">
        <v>4301011768</v>
      </c>
      <c r="D192" s="677">
        <v>4680115881396</v>
      </c>
      <c r="E192" s="678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9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5"/>
      <c r="R192" s="685"/>
      <c r="S192" s="685"/>
      <c r="T192" s="686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82"/>
      <c r="B193" s="681"/>
      <c r="C193" s="681"/>
      <c r="D193" s="681"/>
      <c r="E193" s="681"/>
      <c r="F193" s="681"/>
      <c r="G193" s="681"/>
      <c r="H193" s="681"/>
      <c r="I193" s="681"/>
      <c r="J193" s="681"/>
      <c r="K193" s="681"/>
      <c r="L193" s="681"/>
      <c r="M193" s="681"/>
      <c r="N193" s="681"/>
      <c r="O193" s="683"/>
      <c r="P193" s="679" t="s">
        <v>88</v>
      </c>
      <c r="Q193" s="670"/>
      <c r="R193" s="670"/>
      <c r="S193" s="670"/>
      <c r="T193" s="670"/>
      <c r="U193" s="670"/>
      <c r="V193" s="671"/>
      <c r="W193" s="37" t="s">
        <v>89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1"/>
      <c r="B194" s="681"/>
      <c r="C194" s="681"/>
      <c r="D194" s="681"/>
      <c r="E194" s="681"/>
      <c r="F194" s="681"/>
      <c r="G194" s="681"/>
      <c r="H194" s="681"/>
      <c r="I194" s="681"/>
      <c r="J194" s="681"/>
      <c r="K194" s="681"/>
      <c r="L194" s="681"/>
      <c r="M194" s="681"/>
      <c r="N194" s="681"/>
      <c r="O194" s="683"/>
      <c r="P194" s="679" t="s">
        <v>88</v>
      </c>
      <c r="Q194" s="670"/>
      <c r="R194" s="670"/>
      <c r="S194" s="670"/>
      <c r="T194" s="670"/>
      <c r="U194" s="670"/>
      <c r="V194" s="671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8" t="s">
        <v>138</v>
      </c>
      <c r="B195" s="681"/>
      <c r="C195" s="681"/>
      <c r="D195" s="681"/>
      <c r="E195" s="681"/>
      <c r="F195" s="681"/>
      <c r="G195" s="681"/>
      <c r="H195" s="681"/>
      <c r="I195" s="681"/>
      <c r="J195" s="681"/>
      <c r="K195" s="681"/>
      <c r="L195" s="681"/>
      <c r="M195" s="681"/>
      <c r="N195" s="681"/>
      <c r="O195" s="681"/>
      <c r="P195" s="681"/>
      <c r="Q195" s="681"/>
      <c r="R195" s="681"/>
      <c r="S195" s="681"/>
      <c r="T195" s="681"/>
      <c r="U195" s="681"/>
      <c r="V195" s="681"/>
      <c r="W195" s="681"/>
      <c r="X195" s="681"/>
      <c r="Y195" s="681"/>
      <c r="Z195" s="681"/>
      <c r="AA195" s="661"/>
      <c r="AB195" s="661"/>
      <c r="AC195" s="661"/>
    </row>
    <row r="196" spans="1:68" ht="16.5" customHeight="1" x14ac:dyDescent="0.25">
      <c r="A196" s="54" t="s">
        <v>329</v>
      </c>
      <c r="B196" s="54" t="s">
        <v>330</v>
      </c>
      <c r="C196" s="31">
        <v>4301020262</v>
      </c>
      <c r="D196" s="677">
        <v>4680115882935</v>
      </c>
      <c r="E196" s="678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75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5"/>
      <c r="R196" s="685"/>
      <c r="S196" s="685"/>
      <c r="T196" s="686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331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332</v>
      </c>
      <c r="B197" s="54" t="s">
        <v>333</v>
      </c>
      <c r="C197" s="31">
        <v>4301020220</v>
      </c>
      <c r="D197" s="677">
        <v>4680115880764</v>
      </c>
      <c r="E197" s="678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9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5"/>
      <c r="R197" s="685"/>
      <c r="S197" s="685"/>
      <c r="T197" s="686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82"/>
      <c r="B198" s="681"/>
      <c r="C198" s="681"/>
      <c r="D198" s="681"/>
      <c r="E198" s="681"/>
      <c r="F198" s="681"/>
      <c r="G198" s="681"/>
      <c r="H198" s="681"/>
      <c r="I198" s="681"/>
      <c r="J198" s="681"/>
      <c r="K198" s="681"/>
      <c r="L198" s="681"/>
      <c r="M198" s="681"/>
      <c r="N198" s="681"/>
      <c r="O198" s="683"/>
      <c r="P198" s="679" t="s">
        <v>88</v>
      </c>
      <c r="Q198" s="670"/>
      <c r="R198" s="670"/>
      <c r="S198" s="670"/>
      <c r="T198" s="670"/>
      <c r="U198" s="670"/>
      <c r="V198" s="671"/>
      <c r="W198" s="37" t="s">
        <v>89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1"/>
      <c r="B199" s="681"/>
      <c r="C199" s="681"/>
      <c r="D199" s="681"/>
      <c r="E199" s="681"/>
      <c r="F199" s="681"/>
      <c r="G199" s="681"/>
      <c r="H199" s="681"/>
      <c r="I199" s="681"/>
      <c r="J199" s="681"/>
      <c r="K199" s="681"/>
      <c r="L199" s="681"/>
      <c r="M199" s="681"/>
      <c r="N199" s="681"/>
      <c r="O199" s="683"/>
      <c r="P199" s="679" t="s">
        <v>88</v>
      </c>
      <c r="Q199" s="670"/>
      <c r="R199" s="670"/>
      <c r="S199" s="670"/>
      <c r="T199" s="670"/>
      <c r="U199" s="670"/>
      <c r="V199" s="671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8" t="s">
        <v>149</v>
      </c>
      <c r="B200" s="681"/>
      <c r="C200" s="681"/>
      <c r="D200" s="681"/>
      <c r="E200" s="681"/>
      <c r="F200" s="681"/>
      <c r="G200" s="681"/>
      <c r="H200" s="681"/>
      <c r="I200" s="681"/>
      <c r="J200" s="681"/>
      <c r="K200" s="681"/>
      <c r="L200" s="681"/>
      <c r="M200" s="681"/>
      <c r="N200" s="681"/>
      <c r="O200" s="681"/>
      <c r="P200" s="681"/>
      <c r="Q200" s="681"/>
      <c r="R200" s="681"/>
      <c r="S200" s="681"/>
      <c r="T200" s="681"/>
      <c r="U200" s="681"/>
      <c r="V200" s="681"/>
      <c r="W200" s="681"/>
      <c r="X200" s="681"/>
      <c r="Y200" s="681"/>
      <c r="Z200" s="681"/>
      <c r="AA200" s="661"/>
      <c r="AB200" s="661"/>
      <c r="AC200" s="661"/>
    </row>
    <row r="201" spans="1:68" ht="27" customHeight="1" x14ac:dyDescent="0.25">
      <c r="A201" s="54" t="s">
        <v>334</v>
      </c>
      <c r="B201" s="54" t="s">
        <v>335</v>
      </c>
      <c r="C201" s="31">
        <v>4301031224</v>
      </c>
      <c r="D201" s="677">
        <v>4680115882683</v>
      </c>
      <c r="E201" s="678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77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5"/>
      <c r="R201" s="685"/>
      <c r="S201" s="685"/>
      <c r="T201" s="686"/>
      <c r="U201" s="34"/>
      <c r="V201" s="34"/>
      <c r="W201" s="35" t="s">
        <v>69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336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337</v>
      </c>
      <c r="B202" s="54" t="s">
        <v>338</v>
      </c>
      <c r="C202" s="31">
        <v>4301031230</v>
      </c>
      <c r="D202" s="677">
        <v>4680115882690</v>
      </c>
      <c r="E202" s="678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5"/>
      <c r="R202" s="685"/>
      <c r="S202" s="685"/>
      <c r="T202" s="686"/>
      <c r="U202" s="34"/>
      <c r="V202" s="34"/>
      <c r="W202" s="35" t="s">
        <v>69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339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340</v>
      </c>
      <c r="B203" s="54" t="s">
        <v>341</v>
      </c>
      <c r="C203" s="31">
        <v>4301031220</v>
      </c>
      <c r="D203" s="677">
        <v>4680115882669</v>
      </c>
      <c r="E203" s="678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90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5"/>
      <c r="R203" s="685"/>
      <c r="S203" s="685"/>
      <c r="T203" s="686"/>
      <c r="U203" s="34"/>
      <c r="V203" s="34"/>
      <c r="W203" s="35" t="s">
        <v>69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342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343</v>
      </c>
      <c r="B204" s="54" t="s">
        <v>344</v>
      </c>
      <c r="C204" s="31">
        <v>4301031221</v>
      </c>
      <c r="D204" s="677">
        <v>4680115882676</v>
      </c>
      <c r="E204" s="678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7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5"/>
      <c r="R204" s="685"/>
      <c r="S204" s="685"/>
      <c r="T204" s="686"/>
      <c r="U204" s="34"/>
      <c r="V204" s="34"/>
      <c r="W204" s="35" t="s">
        <v>69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345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346</v>
      </c>
      <c r="B205" s="54" t="s">
        <v>347</v>
      </c>
      <c r="C205" s="31">
        <v>4301031223</v>
      </c>
      <c r="D205" s="677">
        <v>4680115884014</v>
      </c>
      <c r="E205" s="678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5"/>
      <c r="R205" s="685"/>
      <c r="S205" s="685"/>
      <c r="T205" s="686"/>
      <c r="U205" s="34"/>
      <c r="V205" s="34"/>
      <c r="W205" s="35" t="s">
        <v>69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336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4301031222</v>
      </c>
      <c r="D206" s="677">
        <v>4680115884007</v>
      </c>
      <c r="E206" s="678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5"/>
      <c r="R206" s="685"/>
      <c r="S206" s="685"/>
      <c r="T206" s="686"/>
      <c r="U206" s="34"/>
      <c r="V206" s="34"/>
      <c r="W206" s="35" t="s">
        <v>69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339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350</v>
      </c>
      <c r="B207" s="54" t="s">
        <v>351</v>
      </c>
      <c r="C207" s="31">
        <v>4301031229</v>
      </c>
      <c r="D207" s="677">
        <v>4680115884038</v>
      </c>
      <c r="E207" s="678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5"/>
      <c r="R207" s="685"/>
      <c r="S207" s="685"/>
      <c r="T207" s="686"/>
      <c r="U207" s="34"/>
      <c r="V207" s="34"/>
      <c r="W207" s="35" t="s">
        <v>69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342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352</v>
      </c>
      <c r="B208" s="54" t="s">
        <v>353</v>
      </c>
      <c r="C208" s="31">
        <v>4301031225</v>
      </c>
      <c r="D208" s="677">
        <v>4680115884021</v>
      </c>
      <c r="E208" s="678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9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5"/>
      <c r="R208" s="685"/>
      <c r="S208" s="685"/>
      <c r="T208" s="686"/>
      <c r="U208" s="34"/>
      <c r="V208" s="34"/>
      <c r="W208" s="35" t="s">
        <v>69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345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82"/>
      <c r="B209" s="681"/>
      <c r="C209" s="681"/>
      <c r="D209" s="681"/>
      <c r="E209" s="681"/>
      <c r="F209" s="681"/>
      <c r="G209" s="681"/>
      <c r="H209" s="681"/>
      <c r="I209" s="681"/>
      <c r="J209" s="681"/>
      <c r="K209" s="681"/>
      <c r="L209" s="681"/>
      <c r="M209" s="681"/>
      <c r="N209" s="681"/>
      <c r="O209" s="683"/>
      <c r="P209" s="679" t="s">
        <v>88</v>
      </c>
      <c r="Q209" s="670"/>
      <c r="R209" s="670"/>
      <c r="S209" s="670"/>
      <c r="T209" s="670"/>
      <c r="U209" s="670"/>
      <c r="V209" s="671"/>
      <c r="W209" s="37" t="s">
        <v>89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1"/>
      <c r="B210" s="681"/>
      <c r="C210" s="681"/>
      <c r="D210" s="681"/>
      <c r="E210" s="681"/>
      <c r="F210" s="681"/>
      <c r="G210" s="681"/>
      <c r="H210" s="681"/>
      <c r="I210" s="681"/>
      <c r="J210" s="681"/>
      <c r="K210" s="681"/>
      <c r="L210" s="681"/>
      <c r="M210" s="681"/>
      <c r="N210" s="681"/>
      <c r="O210" s="683"/>
      <c r="P210" s="679" t="s">
        <v>88</v>
      </c>
      <c r="Q210" s="670"/>
      <c r="R210" s="670"/>
      <c r="S210" s="670"/>
      <c r="T210" s="670"/>
      <c r="U210" s="670"/>
      <c r="V210" s="671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8" t="s">
        <v>64</v>
      </c>
      <c r="B211" s="681"/>
      <c r="C211" s="681"/>
      <c r="D211" s="681"/>
      <c r="E211" s="681"/>
      <c r="F211" s="681"/>
      <c r="G211" s="681"/>
      <c r="H211" s="681"/>
      <c r="I211" s="681"/>
      <c r="J211" s="681"/>
      <c r="K211" s="681"/>
      <c r="L211" s="681"/>
      <c r="M211" s="681"/>
      <c r="N211" s="681"/>
      <c r="O211" s="681"/>
      <c r="P211" s="681"/>
      <c r="Q211" s="681"/>
      <c r="R211" s="681"/>
      <c r="S211" s="681"/>
      <c r="T211" s="681"/>
      <c r="U211" s="681"/>
      <c r="V211" s="681"/>
      <c r="W211" s="681"/>
      <c r="X211" s="681"/>
      <c r="Y211" s="681"/>
      <c r="Z211" s="681"/>
      <c r="AA211" s="661"/>
      <c r="AB211" s="661"/>
      <c r="AC211" s="661"/>
    </row>
    <row r="212" spans="1:68" ht="27" customHeight="1" x14ac:dyDescent="0.25">
      <c r="A212" s="54" t="s">
        <v>354</v>
      </c>
      <c r="B212" s="54" t="s">
        <v>355</v>
      </c>
      <c r="C212" s="31">
        <v>4301051408</v>
      </c>
      <c r="D212" s="677">
        <v>4680115881594</v>
      </c>
      <c r="E212" s="678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8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5"/>
      <c r="R212" s="685"/>
      <c r="S212" s="685"/>
      <c r="T212" s="686"/>
      <c r="U212" s="34"/>
      <c r="V212" s="34"/>
      <c r="W212" s="35" t="s">
        <v>69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356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357</v>
      </c>
      <c r="B213" s="54" t="s">
        <v>358</v>
      </c>
      <c r="C213" s="31">
        <v>4301051411</v>
      </c>
      <c r="D213" s="677">
        <v>4680115881617</v>
      </c>
      <c r="E213" s="678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10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5"/>
      <c r="R213" s="685"/>
      <c r="S213" s="685"/>
      <c r="T213" s="686"/>
      <c r="U213" s="34"/>
      <c r="V213" s="34"/>
      <c r="W213" s="35" t="s">
        <v>69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359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360</v>
      </c>
      <c r="B214" s="54" t="s">
        <v>361</v>
      </c>
      <c r="C214" s="31">
        <v>4301051656</v>
      </c>
      <c r="D214" s="677">
        <v>4680115880573</v>
      </c>
      <c r="E214" s="678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5"/>
      <c r="R214" s="685"/>
      <c r="S214" s="685"/>
      <c r="T214" s="686"/>
      <c r="U214" s="34"/>
      <c r="V214" s="34"/>
      <c r="W214" s="35" t="s">
        <v>69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362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363</v>
      </c>
      <c r="B215" s="54" t="s">
        <v>364</v>
      </c>
      <c r="C215" s="31">
        <v>4301051407</v>
      </c>
      <c r="D215" s="677">
        <v>4680115882195</v>
      </c>
      <c r="E215" s="678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104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5"/>
      <c r="R215" s="685"/>
      <c r="S215" s="685"/>
      <c r="T215" s="686"/>
      <c r="U215" s="34"/>
      <c r="V215" s="34"/>
      <c r="W215" s="35" t="s">
        <v>69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356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4301051752</v>
      </c>
      <c r="D216" s="677">
        <v>4680115882607</v>
      </c>
      <c r="E216" s="678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91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5"/>
      <c r="R216" s="685"/>
      <c r="S216" s="685"/>
      <c r="T216" s="686"/>
      <c r="U216" s="34"/>
      <c r="V216" s="34"/>
      <c r="W216" s="35" t="s">
        <v>69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367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368</v>
      </c>
      <c r="B217" s="54" t="s">
        <v>369</v>
      </c>
      <c r="C217" s="31">
        <v>4301051666</v>
      </c>
      <c r="D217" s="677">
        <v>4680115880092</v>
      </c>
      <c r="E217" s="678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8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5"/>
      <c r="R217" s="685"/>
      <c r="S217" s="685"/>
      <c r="T217" s="686"/>
      <c r="U217" s="34"/>
      <c r="V217" s="34"/>
      <c r="W217" s="35" t="s">
        <v>69</v>
      </c>
      <c r="X217" s="665">
        <v>5.4</v>
      </c>
      <c r="Y217" s="666">
        <f t="shared" si="37"/>
        <v>7.1999999999999993</v>
      </c>
      <c r="Z217" s="36">
        <f t="shared" si="42"/>
        <v>1.9529999999999999E-2</v>
      </c>
      <c r="AA217" s="56"/>
      <c r="AB217" s="57"/>
      <c r="AC217" s="277" t="s">
        <v>362</v>
      </c>
      <c r="AG217" s="64"/>
      <c r="AJ217" s="68"/>
      <c r="AK217" s="68">
        <v>0</v>
      </c>
      <c r="BB217" s="278" t="s">
        <v>1</v>
      </c>
      <c r="BM217" s="64">
        <f t="shared" si="38"/>
        <v>5.9670000000000014</v>
      </c>
      <c r="BN217" s="64">
        <f t="shared" si="39"/>
        <v>7.9560000000000004</v>
      </c>
      <c r="BO217" s="64">
        <f t="shared" si="40"/>
        <v>1.2362637362637366E-2</v>
      </c>
      <c r="BP217" s="64">
        <f t="shared" si="41"/>
        <v>1.6483516483516484E-2</v>
      </c>
    </row>
    <row r="218" spans="1:68" ht="27" customHeight="1" x14ac:dyDescent="0.25">
      <c r="A218" s="54" t="s">
        <v>370</v>
      </c>
      <c r="B218" s="54" t="s">
        <v>371</v>
      </c>
      <c r="C218" s="31">
        <v>4301051668</v>
      </c>
      <c r="D218" s="677">
        <v>4680115880221</v>
      </c>
      <c r="E218" s="678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6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5"/>
      <c r="R218" s="685"/>
      <c r="S218" s="685"/>
      <c r="T218" s="686"/>
      <c r="U218" s="34"/>
      <c r="V218" s="34"/>
      <c r="W218" s="35" t="s">
        <v>69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362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372</v>
      </c>
      <c r="B219" s="54" t="s">
        <v>373</v>
      </c>
      <c r="C219" s="31">
        <v>4301051945</v>
      </c>
      <c r="D219" s="677">
        <v>4680115880504</v>
      </c>
      <c r="E219" s="678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9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5"/>
      <c r="R219" s="685"/>
      <c r="S219" s="685"/>
      <c r="T219" s="686"/>
      <c r="U219" s="34"/>
      <c r="V219" s="34"/>
      <c r="W219" s="35" t="s">
        <v>69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374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375</v>
      </c>
      <c r="B220" s="54" t="s">
        <v>376</v>
      </c>
      <c r="C220" s="31">
        <v>4301051410</v>
      </c>
      <c r="D220" s="677">
        <v>4680115882164</v>
      </c>
      <c r="E220" s="678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10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5"/>
      <c r="R220" s="685"/>
      <c r="S220" s="685"/>
      <c r="T220" s="686"/>
      <c r="U220" s="34"/>
      <c r="V220" s="34"/>
      <c r="W220" s="35" t="s">
        <v>69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377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82"/>
      <c r="B221" s="681"/>
      <c r="C221" s="681"/>
      <c r="D221" s="681"/>
      <c r="E221" s="681"/>
      <c r="F221" s="681"/>
      <c r="G221" s="681"/>
      <c r="H221" s="681"/>
      <c r="I221" s="681"/>
      <c r="J221" s="681"/>
      <c r="K221" s="681"/>
      <c r="L221" s="681"/>
      <c r="M221" s="681"/>
      <c r="N221" s="681"/>
      <c r="O221" s="683"/>
      <c r="P221" s="679" t="s">
        <v>88</v>
      </c>
      <c r="Q221" s="670"/>
      <c r="R221" s="670"/>
      <c r="S221" s="670"/>
      <c r="T221" s="670"/>
      <c r="U221" s="670"/>
      <c r="V221" s="671"/>
      <c r="W221" s="37" t="s">
        <v>89</v>
      </c>
      <c r="X221" s="667">
        <f>IFERROR(X212/H212,"0")+IFERROR(X213/H213,"0")+IFERROR(X214/H214,"0")+IFERROR(X215/H215,"0")+IFERROR(X216/H216,"0")+IFERROR(X217/H217,"0")+IFERROR(X218/H218,"0")+IFERROR(X219/H219,"0")+IFERROR(X220/H220,"0")</f>
        <v>2.2500000000000004</v>
      </c>
      <c r="Y221" s="667">
        <f>IFERROR(Y212/H212,"0")+IFERROR(Y213/H213,"0")+IFERROR(Y214/H214,"0")+IFERROR(Y215/H215,"0")+IFERROR(Y216/H216,"0")+IFERROR(Y217/H217,"0")+IFERROR(Y218/H218,"0")+IFERROR(Y219/H219,"0")+IFERROR(Y220/H220,"0")</f>
        <v>3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1.9529999999999999E-2</v>
      </c>
      <c r="AA221" s="668"/>
      <c r="AB221" s="668"/>
      <c r="AC221" s="668"/>
    </row>
    <row r="222" spans="1:68" x14ac:dyDescent="0.2">
      <c r="A222" s="681"/>
      <c r="B222" s="681"/>
      <c r="C222" s="681"/>
      <c r="D222" s="681"/>
      <c r="E222" s="681"/>
      <c r="F222" s="681"/>
      <c r="G222" s="681"/>
      <c r="H222" s="681"/>
      <c r="I222" s="681"/>
      <c r="J222" s="681"/>
      <c r="K222" s="681"/>
      <c r="L222" s="681"/>
      <c r="M222" s="681"/>
      <c r="N222" s="681"/>
      <c r="O222" s="683"/>
      <c r="P222" s="679" t="s">
        <v>88</v>
      </c>
      <c r="Q222" s="670"/>
      <c r="R222" s="670"/>
      <c r="S222" s="670"/>
      <c r="T222" s="670"/>
      <c r="U222" s="670"/>
      <c r="V222" s="671"/>
      <c r="W222" s="37" t="s">
        <v>69</v>
      </c>
      <c r="X222" s="667">
        <f>IFERROR(SUM(X212:X220),"0")</f>
        <v>5.4</v>
      </c>
      <c r="Y222" s="667">
        <f>IFERROR(SUM(Y212:Y220),"0")</f>
        <v>7.1999999999999993</v>
      </c>
      <c r="Z222" s="37"/>
      <c r="AA222" s="668"/>
      <c r="AB222" s="668"/>
      <c r="AC222" s="668"/>
    </row>
    <row r="223" spans="1:68" ht="14.25" customHeight="1" x14ac:dyDescent="0.25">
      <c r="A223" s="688" t="s">
        <v>175</v>
      </c>
      <c r="B223" s="681"/>
      <c r="C223" s="681"/>
      <c r="D223" s="681"/>
      <c r="E223" s="681"/>
      <c r="F223" s="681"/>
      <c r="G223" s="681"/>
      <c r="H223" s="681"/>
      <c r="I223" s="681"/>
      <c r="J223" s="681"/>
      <c r="K223" s="681"/>
      <c r="L223" s="681"/>
      <c r="M223" s="681"/>
      <c r="N223" s="681"/>
      <c r="O223" s="681"/>
      <c r="P223" s="681"/>
      <c r="Q223" s="681"/>
      <c r="R223" s="681"/>
      <c r="S223" s="681"/>
      <c r="T223" s="681"/>
      <c r="U223" s="681"/>
      <c r="V223" s="681"/>
      <c r="W223" s="681"/>
      <c r="X223" s="681"/>
      <c r="Y223" s="681"/>
      <c r="Z223" s="681"/>
      <c r="AA223" s="661"/>
      <c r="AB223" s="661"/>
      <c r="AC223" s="661"/>
    </row>
    <row r="224" spans="1:68" ht="27" customHeight="1" x14ac:dyDescent="0.25">
      <c r="A224" s="54" t="s">
        <v>378</v>
      </c>
      <c r="B224" s="54" t="s">
        <v>379</v>
      </c>
      <c r="C224" s="31">
        <v>4301060463</v>
      </c>
      <c r="D224" s="677">
        <v>4680115880818</v>
      </c>
      <c r="E224" s="678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5"/>
      <c r="R224" s="685"/>
      <c r="S224" s="685"/>
      <c r="T224" s="686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381</v>
      </c>
      <c r="B225" s="54" t="s">
        <v>382</v>
      </c>
      <c r="C225" s="31">
        <v>4301060389</v>
      </c>
      <c r="D225" s="677">
        <v>4680115880801</v>
      </c>
      <c r="E225" s="678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5"/>
      <c r="R225" s="685"/>
      <c r="S225" s="685"/>
      <c r="T225" s="686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383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82"/>
      <c r="B226" s="681"/>
      <c r="C226" s="681"/>
      <c r="D226" s="681"/>
      <c r="E226" s="681"/>
      <c r="F226" s="681"/>
      <c r="G226" s="681"/>
      <c r="H226" s="681"/>
      <c r="I226" s="681"/>
      <c r="J226" s="681"/>
      <c r="K226" s="681"/>
      <c r="L226" s="681"/>
      <c r="M226" s="681"/>
      <c r="N226" s="681"/>
      <c r="O226" s="683"/>
      <c r="P226" s="679" t="s">
        <v>88</v>
      </c>
      <c r="Q226" s="670"/>
      <c r="R226" s="670"/>
      <c r="S226" s="670"/>
      <c r="T226" s="670"/>
      <c r="U226" s="670"/>
      <c r="V226" s="671"/>
      <c r="W226" s="37" t="s">
        <v>89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1"/>
      <c r="B227" s="681"/>
      <c r="C227" s="681"/>
      <c r="D227" s="681"/>
      <c r="E227" s="681"/>
      <c r="F227" s="681"/>
      <c r="G227" s="681"/>
      <c r="H227" s="681"/>
      <c r="I227" s="681"/>
      <c r="J227" s="681"/>
      <c r="K227" s="681"/>
      <c r="L227" s="681"/>
      <c r="M227" s="681"/>
      <c r="N227" s="681"/>
      <c r="O227" s="683"/>
      <c r="P227" s="679" t="s">
        <v>88</v>
      </c>
      <c r="Q227" s="670"/>
      <c r="R227" s="670"/>
      <c r="S227" s="670"/>
      <c r="T227" s="670"/>
      <c r="U227" s="670"/>
      <c r="V227" s="671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690" t="s">
        <v>384</v>
      </c>
      <c r="B228" s="681"/>
      <c r="C228" s="681"/>
      <c r="D228" s="681"/>
      <c r="E228" s="681"/>
      <c r="F228" s="681"/>
      <c r="G228" s="681"/>
      <c r="H228" s="681"/>
      <c r="I228" s="681"/>
      <c r="J228" s="681"/>
      <c r="K228" s="681"/>
      <c r="L228" s="681"/>
      <c r="M228" s="681"/>
      <c r="N228" s="681"/>
      <c r="O228" s="681"/>
      <c r="P228" s="681"/>
      <c r="Q228" s="681"/>
      <c r="R228" s="681"/>
      <c r="S228" s="681"/>
      <c r="T228" s="681"/>
      <c r="U228" s="681"/>
      <c r="V228" s="681"/>
      <c r="W228" s="681"/>
      <c r="X228" s="681"/>
      <c r="Y228" s="681"/>
      <c r="Z228" s="681"/>
      <c r="AA228" s="660"/>
      <c r="AB228" s="660"/>
      <c r="AC228" s="660"/>
    </row>
    <row r="229" spans="1:68" ht="14.25" customHeight="1" x14ac:dyDescent="0.25">
      <c r="A229" s="688" t="s">
        <v>98</v>
      </c>
      <c r="B229" s="681"/>
      <c r="C229" s="681"/>
      <c r="D229" s="681"/>
      <c r="E229" s="681"/>
      <c r="F229" s="681"/>
      <c r="G229" s="681"/>
      <c r="H229" s="681"/>
      <c r="I229" s="681"/>
      <c r="J229" s="681"/>
      <c r="K229" s="681"/>
      <c r="L229" s="681"/>
      <c r="M229" s="681"/>
      <c r="N229" s="681"/>
      <c r="O229" s="681"/>
      <c r="P229" s="681"/>
      <c r="Q229" s="681"/>
      <c r="R229" s="681"/>
      <c r="S229" s="681"/>
      <c r="T229" s="681"/>
      <c r="U229" s="681"/>
      <c r="V229" s="681"/>
      <c r="W229" s="681"/>
      <c r="X229" s="681"/>
      <c r="Y229" s="681"/>
      <c r="Z229" s="681"/>
      <c r="AA229" s="661"/>
      <c r="AB229" s="661"/>
      <c r="AC229" s="661"/>
    </row>
    <row r="230" spans="1:68" ht="27" customHeight="1" x14ac:dyDescent="0.25">
      <c r="A230" s="54" t="s">
        <v>385</v>
      </c>
      <c r="B230" s="54" t="s">
        <v>386</v>
      </c>
      <c r="C230" s="31">
        <v>4301011826</v>
      </c>
      <c r="D230" s="677">
        <v>4680115884137</v>
      </c>
      <c r="E230" s="678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5"/>
      <c r="R230" s="685"/>
      <c r="S230" s="685"/>
      <c r="T230" s="686"/>
      <c r="U230" s="34"/>
      <c r="V230" s="34"/>
      <c r="W230" s="35" t="s">
        <v>69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385</v>
      </c>
      <c r="B231" s="54" t="s">
        <v>388</v>
      </c>
      <c r="C231" s="31">
        <v>4301011942</v>
      </c>
      <c r="D231" s="677">
        <v>4680115884137</v>
      </c>
      <c r="E231" s="678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101</v>
      </c>
      <c r="L231" s="32"/>
      <c r="M231" s="33" t="s">
        <v>389</v>
      </c>
      <c r="N231" s="33"/>
      <c r="O231" s="32">
        <v>55</v>
      </c>
      <c r="P231" s="105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5"/>
      <c r="R231" s="685"/>
      <c r="S231" s="685"/>
      <c r="T231" s="686"/>
      <c r="U231" s="34"/>
      <c r="V231" s="34"/>
      <c r="W231" s="35" t="s">
        <v>69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390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391</v>
      </c>
      <c r="B232" s="54" t="s">
        <v>392</v>
      </c>
      <c r="C232" s="31">
        <v>4301011724</v>
      </c>
      <c r="D232" s="677">
        <v>4680115884236</v>
      </c>
      <c r="E232" s="678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5"/>
      <c r="R232" s="685"/>
      <c r="S232" s="685"/>
      <c r="T232" s="686"/>
      <c r="U232" s="34"/>
      <c r="V232" s="34"/>
      <c r="W232" s="35" t="s">
        <v>69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393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394</v>
      </c>
      <c r="B233" s="54" t="s">
        <v>395</v>
      </c>
      <c r="C233" s="31">
        <v>4301011721</v>
      </c>
      <c r="D233" s="677">
        <v>4680115884175</v>
      </c>
      <c r="E233" s="678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5"/>
      <c r="R233" s="685"/>
      <c r="S233" s="685"/>
      <c r="T233" s="686"/>
      <c r="U233" s="34"/>
      <c r="V233" s="34"/>
      <c r="W233" s="35" t="s">
        <v>69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396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394</v>
      </c>
      <c r="B234" s="54" t="s">
        <v>397</v>
      </c>
      <c r="C234" s="31">
        <v>4301011941</v>
      </c>
      <c r="D234" s="677">
        <v>4680115884175</v>
      </c>
      <c r="E234" s="678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101</v>
      </c>
      <c r="L234" s="32"/>
      <c r="M234" s="33" t="s">
        <v>389</v>
      </c>
      <c r="N234" s="33"/>
      <c r="O234" s="32">
        <v>55</v>
      </c>
      <c r="P234" s="1023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5"/>
      <c r="R234" s="685"/>
      <c r="S234" s="685"/>
      <c r="T234" s="686"/>
      <c r="U234" s="34"/>
      <c r="V234" s="34"/>
      <c r="W234" s="35" t="s">
        <v>69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390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398</v>
      </c>
      <c r="B235" s="54" t="s">
        <v>399</v>
      </c>
      <c r="C235" s="31">
        <v>4301011824</v>
      </c>
      <c r="D235" s="677">
        <v>4680115884144</v>
      </c>
      <c r="E235" s="678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5"/>
      <c r="R235" s="685"/>
      <c r="S235" s="685"/>
      <c r="T235" s="686"/>
      <c r="U235" s="34"/>
      <c r="V235" s="34"/>
      <c r="W235" s="35" t="s">
        <v>69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387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400</v>
      </c>
      <c r="B236" s="54" t="s">
        <v>401</v>
      </c>
      <c r="C236" s="31">
        <v>4301011726</v>
      </c>
      <c r="D236" s="677">
        <v>4680115884182</v>
      </c>
      <c r="E236" s="678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100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5"/>
      <c r="R236" s="685"/>
      <c r="S236" s="685"/>
      <c r="T236" s="686"/>
      <c r="U236" s="34"/>
      <c r="V236" s="34"/>
      <c r="W236" s="35" t="s">
        <v>69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393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402</v>
      </c>
      <c r="B237" s="54" t="s">
        <v>403</v>
      </c>
      <c r="C237" s="31">
        <v>4301011722</v>
      </c>
      <c r="D237" s="677">
        <v>4680115884205</v>
      </c>
      <c r="E237" s="678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10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5"/>
      <c r="R237" s="685"/>
      <c r="S237" s="685"/>
      <c r="T237" s="686"/>
      <c r="U237" s="34"/>
      <c r="V237" s="34"/>
      <c r="W237" s="35" t="s">
        <v>69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82"/>
      <c r="B238" s="681"/>
      <c r="C238" s="681"/>
      <c r="D238" s="681"/>
      <c r="E238" s="681"/>
      <c r="F238" s="681"/>
      <c r="G238" s="681"/>
      <c r="H238" s="681"/>
      <c r="I238" s="681"/>
      <c r="J238" s="681"/>
      <c r="K238" s="681"/>
      <c r="L238" s="681"/>
      <c r="M238" s="681"/>
      <c r="N238" s="681"/>
      <c r="O238" s="683"/>
      <c r="P238" s="679" t="s">
        <v>88</v>
      </c>
      <c r="Q238" s="670"/>
      <c r="R238" s="670"/>
      <c r="S238" s="670"/>
      <c r="T238" s="670"/>
      <c r="U238" s="670"/>
      <c r="V238" s="671"/>
      <c r="W238" s="37" t="s">
        <v>89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1"/>
      <c r="B239" s="681"/>
      <c r="C239" s="681"/>
      <c r="D239" s="681"/>
      <c r="E239" s="681"/>
      <c r="F239" s="681"/>
      <c r="G239" s="681"/>
      <c r="H239" s="681"/>
      <c r="I239" s="681"/>
      <c r="J239" s="681"/>
      <c r="K239" s="681"/>
      <c r="L239" s="681"/>
      <c r="M239" s="681"/>
      <c r="N239" s="681"/>
      <c r="O239" s="683"/>
      <c r="P239" s="679" t="s">
        <v>88</v>
      </c>
      <c r="Q239" s="670"/>
      <c r="R239" s="670"/>
      <c r="S239" s="670"/>
      <c r="T239" s="670"/>
      <c r="U239" s="670"/>
      <c r="V239" s="671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8" t="s">
        <v>138</v>
      </c>
      <c r="B240" s="681"/>
      <c r="C240" s="681"/>
      <c r="D240" s="681"/>
      <c r="E240" s="681"/>
      <c r="F240" s="681"/>
      <c r="G240" s="681"/>
      <c r="H240" s="681"/>
      <c r="I240" s="681"/>
      <c r="J240" s="681"/>
      <c r="K240" s="681"/>
      <c r="L240" s="681"/>
      <c r="M240" s="681"/>
      <c r="N240" s="681"/>
      <c r="O240" s="681"/>
      <c r="P240" s="681"/>
      <c r="Q240" s="681"/>
      <c r="R240" s="681"/>
      <c r="S240" s="681"/>
      <c r="T240" s="681"/>
      <c r="U240" s="681"/>
      <c r="V240" s="681"/>
      <c r="W240" s="681"/>
      <c r="X240" s="681"/>
      <c r="Y240" s="681"/>
      <c r="Z240" s="681"/>
      <c r="AA240" s="661"/>
      <c r="AB240" s="661"/>
      <c r="AC240" s="661"/>
    </row>
    <row r="241" spans="1:68" ht="27" customHeight="1" x14ac:dyDescent="0.25">
      <c r="A241" s="54" t="s">
        <v>404</v>
      </c>
      <c r="B241" s="54" t="s">
        <v>405</v>
      </c>
      <c r="C241" s="31">
        <v>4301020377</v>
      </c>
      <c r="D241" s="677">
        <v>4680115885981</v>
      </c>
      <c r="E241" s="678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779" t="s">
        <v>406</v>
      </c>
      <c r="Q241" s="685"/>
      <c r="R241" s="685"/>
      <c r="S241" s="685"/>
      <c r="T241" s="686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407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404</v>
      </c>
      <c r="B242" s="54" t="s">
        <v>408</v>
      </c>
      <c r="C242" s="31">
        <v>4301020340</v>
      </c>
      <c r="D242" s="677">
        <v>4680115885721</v>
      </c>
      <c r="E242" s="678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102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5"/>
      <c r="R242" s="685"/>
      <c r="S242" s="685"/>
      <c r="T242" s="686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407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82"/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3"/>
      <c r="P243" s="679" t="s">
        <v>88</v>
      </c>
      <c r="Q243" s="670"/>
      <c r="R243" s="670"/>
      <c r="S243" s="670"/>
      <c r="T243" s="670"/>
      <c r="U243" s="670"/>
      <c r="V243" s="671"/>
      <c r="W243" s="37" t="s">
        <v>89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1"/>
      <c r="B244" s="681"/>
      <c r="C244" s="681"/>
      <c r="D244" s="681"/>
      <c r="E244" s="681"/>
      <c r="F244" s="681"/>
      <c r="G244" s="681"/>
      <c r="H244" s="681"/>
      <c r="I244" s="681"/>
      <c r="J244" s="681"/>
      <c r="K244" s="681"/>
      <c r="L244" s="681"/>
      <c r="M244" s="681"/>
      <c r="N244" s="681"/>
      <c r="O244" s="683"/>
      <c r="P244" s="679" t="s">
        <v>88</v>
      </c>
      <c r="Q244" s="670"/>
      <c r="R244" s="670"/>
      <c r="S244" s="670"/>
      <c r="T244" s="670"/>
      <c r="U244" s="670"/>
      <c r="V244" s="671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8" t="s">
        <v>409</v>
      </c>
      <c r="B245" s="681"/>
      <c r="C245" s="681"/>
      <c r="D245" s="681"/>
      <c r="E245" s="681"/>
      <c r="F245" s="681"/>
      <c r="G245" s="681"/>
      <c r="H245" s="681"/>
      <c r="I245" s="681"/>
      <c r="J245" s="681"/>
      <c r="K245" s="681"/>
      <c r="L245" s="681"/>
      <c r="M245" s="681"/>
      <c r="N245" s="681"/>
      <c r="O245" s="681"/>
      <c r="P245" s="681"/>
      <c r="Q245" s="681"/>
      <c r="R245" s="681"/>
      <c r="S245" s="681"/>
      <c r="T245" s="681"/>
      <c r="U245" s="681"/>
      <c r="V245" s="681"/>
      <c r="W245" s="681"/>
      <c r="X245" s="681"/>
      <c r="Y245" s="681"/>
      <c r="Z245" s="681"/>
      <c r="AA245" s="661"/>
      <c r="AB245" s="661"/>
      <c r="AC245" s="661"/>
    </row>
    <row r="246" spans="1:68" ht="27" customHeight="1" x14ac:dyDescent="0.25">
      <c r="A246" s="54" t="s">
        <v>410</v>
      </c>
      <c r="B246" s="54" t="s">
        <v>411</v>
      </c>
      <c r="C246" s="31">
        <v>4301040361</v>
      </c>
      <c r="D246" s="677">
        <v>4680115886803</v>
      </c>
      <c r="E246" s="678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935" t="s">
        <v>412</v>
      </c>
      <c r="Q246" s="685"/>
      <c r="R246" s="685"/>
      <c r="S246" s="685"/>
      <c r="T246" s="686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413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82"/>
      <c r="B247" s="681"/>
      <c r="C247" s="681"/>
      <c r="D247" s="681"/>
      <c r="E247" s="681"/>
      <c r="F247" s="681"/>
      <c r="G247" s="681"/>
      <c r="H247" s="681"/>
      <c r="I247" s="681"/>
      <c r="J247" s="681"/>
      <c r="K247" s="681"/>
      <c r="L247" s="681"/>
      <c r="M247" s="681"/>
      <c r="N247" s="681"/>
      <c r="O247" s="683"/>
      <c r="P247" s="679" t="s">
        <v>88</v>
      </c>
      <c r="Q247" s="670"/>
      <c r="R247" s="670"/>
      <c r="S247" s="670"/>
      <c r="T247" s="670"/>
      <c r="U247" s="670"/>
      <c r="V247" s="671"/>
      <c r="W247" s="37" t="s">
        <v>89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1"/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3"/>
      <c r="P248" s="679" t="s">
        <v>88</v>
      </c>
      <c r="Q248" s="670"/>
      <c r="R248" s="670"/>
      <c r="S248" s="670"/>
      <c r="T248" s="670"/>
      <c r="U248" s="670"/>
      <c r="V248" s="671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8" t="s">
        <v>414</v>
      </c>
      <c r="B249" s="681"/>
      <c r="C249" s="681"/>
      <c r="D249" s="681"/>
      <c r="E249" s="681"/>
      <c r="F249" s="681"/>
      <c r="G249" s="681"/>
      <c r="H249" s="681"/>
      <c r="I249" s="681"/>
      <c r="J249" s="681"/>
      <c r="K249" s="681"/>
      <c r="L249" s="681"/>
      <c r="M249" s="681"/>
      <c r="N249" s="681"/>
      <c r="O249" s="681"/>
      <c r="P249" s="681"/>
      <c r="Q249" s="681"/>
      <c r="R249" s="681"/>
      <c r="S249" s="681"/>
      <c r="T249" s="681"/>
      <c r="U249" s="681"/>
      <c r="V249" s="681"/>
      <c r="W249" s="681"/>
      <c r="X249" s="681"/>
      <c r="Y249" s="681"/>
      <c r="Z249" s="681"/>
      <c r="AA249" s="661"/>
      <c r="AB249" s="661"/>
      <c r="AC249" s="661"/>
    </row>
    <row r="250" spans="1:68" ht="27" customHeight="1" x14ac:dyDescent="0.25">
      <c r="A250" s="54" t="s">
        <v>415</v>
      </c>
      <c r="B250" s="54" t="s">
        <v>416</v>
      </c>
      <c r="C250" s="31">
        <v>4301041003</v>
      </c>
      <c r="D250" s="677">
        <v>4680115886681</v>
      </c>
      <c r="E250" s="678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971" t="s">
        <v>417</v>
      </c>
      <c r="Q250" s="685"/>
      <c r="R250" s="685"/>
      <c r="S250" s="685"/>
      <c r="T250" s="686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418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82"/>
      <c r="B251" s="681"/>
      <c r="C251" s="681"/>
      <c r="D251" s="681"/>
      <c r="E251" s="681"/>
      <c r="F251" s="681"/>
      <c r="G251" s="681"/>
      <c r="H251" s="681"/>
      <c r="I251" s="681"/>
      <c r="J251" s="681"/>
      <c r="K251" s="681"/>
      <c r="L251" s="681"/>
      <c r="M251" s="681"/>
      <c r="N251" s="681"/>
      <c r="O251" s="683"/>
      <c r="P251" s="679" t="s">
        <v>88</v>
      </c>
      <c r="Q251" s="670"/>
      <c r="R251" s="670"/>
      <c r="S251" s="670"/>
      <c r="T251" s="670"/>
      <c r="U251" s="670"/>
      <c r="V251" s="671"/>
      <c r="W251" s="37" t="s">
        <v>89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1"/>
      <c r="B252" s="681"/>
      <c r="C252" s="681"/>
      <c r="D252" s="681"/>
      <c r="E252" s="681"/>
      <c r="F252" s="681"/>
      <c r="G252" s="681"/>
      <c r="H252" s="681"/>
      <c r="I252" s="681"/>
      <c r="J252" s="681"/>
      <c r="K252" s="681"/>
      <c r="L252" s="681"/>
      <c r="M252" s="681"/>
      <c r="N252" s="681"/>
      <c r="O252" s="683"/>
      <c r="P252" s="679" t="s">
        <v>88</v>
      </c>
      <c r="Q252" s="670"/>
      <c r="R252" s="670"/>
      <c r="S252" s="670"/>
      <c r="T252" s="670"/>
      <c r="U252" s="670"/>
      <c r="V252" s="671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690" t="s">
        <v>419</v>
      </c>
      <c r="B253" s="681"/>
      <c r="C253" s="681"/>
      <c r="D253" s="681"/>
      <c r="E253" s="681"/>
      <c r="F253" s="681"/>
      <c r="G253" s="681"/>
      <c r="H253" s="681"/>
      <c r="I253" s="681"/>
      <c r="J253" s="681"/>
      <c r="K253" s="681"/>
      <c r="L253" s="681"/>
      <c r="M253" s="681"/>
      <c r="N253" s="681"/>
      <c r="O253" s="681"/>
      <c r="P253" s="681"/>
      <c r="Q253" s="681"/>
      <c r="R253" s="681"/>
      <c r="S253" s="681"/>
      <c r="T253" s="681"/>
      <c r="U253" s="681"/>
      <c r="V253" s="681"/>
      <c r="W253" s="681"/>
      <c r="X253" s="681"/>
      <c r="Y253" s="681"/>
      <c r="Z253" s="681"/>
      <c r="AA253" s="660"/>
      <c r="AB253" s="660"/>
      <c r="AC253" s="660"/>
    </row>
    <row r="254" spans="1:68" ht="14.25" customHeight="1" x14ac:dyDescent="0.25">
      <c r="A254" s="688" t="s">
        <v>98</v>
      </c>
      <c r="B254" s="681"/>
      <c r="C254" s="681"/>
      <c r="D254" s="681"/>
      <c r="E254" s="681"/>
      <c r="F254" s="681"/>
      <c r="G254" s="681"/>
      <c r="H254" s="681"/>
      <c r="I254" s="681"/>
      <c r="J254" s="681"/>
      <c r="K254" s="681"/>
      <c r="L254" s="681"/>
      <c r="M254" s="681"/>
      <c r="N254" s="681"/>
      <c r="O254" s="681"/>
      <c r="P254" s="681"/>
      <c r="Q254" s="681"/>
      <c r="R254" s="681"/>
      <c r="S254" s="681"/>
      <c r="T254" s="681"/>
      <c r="U254" s="681"/>
      <c r="V254" s="681"/>
      <c r="W254" s="681"/>
      <c r="X254" s="681"/>
      <c r="Y254" s="681"/>
      <c r="Z254" s="681"/>
      <c r="AA254" s="661"/>
      <c r="AB254" s="661"/>
      <c r="AC254" s="661"/>
    </row>
    <row r="255" spans="1:68" ht="27" customHeight="1" x14ac:dyDescent="0.25">
      <c r="A255" s="54" t="s">
        <v>420</v>
      </c>
      <c r="B255" s="54" t="s">
        <v>421</v>
      </c>
      <c r="C255" s="31">
        <v>4301011855</v>
      </c>
      <c r="D255" s="677">
        <v>4680115885837</v>
      </c>
      <c r="E255" s="678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9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5"/>
      <c r="R255" s="685"/>
      <c r="S255" s="685"/>
      <c r="T255" s="686"/>
      <c r="U255" s="34"/>
      <c r="V255" s="34"/>
      <c r="W255" s="35" t="s">
        <v>69</v>
      </c>
      <c r="X255" s="665">
        <v>30</v>
      </c>
      <c r="Y255" s="666">
        <f t="shared" ref="Y255:Y260" si="48">IFERROR(IF(X255="",0,CEILING((X255/$H255),1)*$H255),"")</f>
        <v>32.400000000000006</v>
      </c>
      <c r="Z255" s="36">
        <f>IFERROR(IF(Y255=0,"",ROUNDUP(Y255/H255,0)*0.01898),"")</f>
        <v>5.6940000000000004E-2</v>
      </c>
      <c r="AA255" s="56"/>
      <c r="AB255" s="57"/>
      <c r="AC255" s="313" t="s">
        <v>422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31.208333333333329</v>
      </c>
      <c r="BN255" s="64">
        <f t="shared" ref="BN255:BN260" si="50">IFERROR(Y255*I255/H255,"0")</f>
        <v>33.705000000000005</v>
      </c>
      <c r="BO255" s="64">
        <f t="shared" ref="BO255:BO260" si="51">IFERROR(1/J255*(X255/H255),"0")</f>
        <v>4.3402777777777776E-2</v>
      </c>
      <c r="BP255" s="64">
        <f t="shared" ref="BP255:BP260" si="52">IFERROR(1/J255*(Y255/H255),"0")</f>
        <v>4.6875000000000007E-2</v>
      </c>
    </row>
    <row r="256" spans="1:68" ht="27" customHeight="1" x14ac:dyDescent="0.25">
      <c r="A256" s="54" t="s">
        <v>423</v>
      </c>
      <c r="B256" s="54" t="s">
        <v>424</v>
      </c>
      <c r="C256" s="31">
        <v>4301011850</v>
      </c>
      <c r="D256" s="677">
        <v>4680115885806</v>
      </c>
      <c r="E256" s="678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8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5"/>
      <c r="R256" s="685"/>
      <c r="S256" s="685"/>
      <c r="T256" s="686"/>
      <c r="U256" s="34"/>
      <c r="V256" s="34"/>
      <c r="W256" s="35" t="s">
        <v>69</v>
      </c>
      <c r="X256" s="665">
        <v>80</v>
      </c>
      <c r="Y256" s="666">
        <f t="shared" si="48"/>
        <v>86.4</v>
      </c>
      <c r="Z256" s="36">
        <f>IFERROR(IF(Y256=0,"",ROUNDUP(Y256/H256,0)*0.01898),"")</f>
        <v>0.15184</v>
      </c>
      <c r="AA256" s="56"/>
      <c r="AB256" s="57"/>
      <c r="AC256" s="315" t="s">
        <v>425</v>
      </c>
      <c r="AG256" s="64"/>
      <c r="AJ256" s="68"/>
      <c r="AK256" s="68">
        <v>0</v>
      </c>
      <c r="BB256" s="316" t="s">
        <v>1</v>
      </c>
      <c r="BM256" s="64">
        <f t="shared" si="49"/>
        <v>83.222222222222214</v>
      </c>
      <c r="BN256" s="64">
        <f t="shared" si="50"/>
        <v>89.88</v>
      </c>
      <c r="BO256" s="64">
        <f t="shared" si="51"/>
        <v>0.11574074074074073</v>
      </c>
      <c r="BP256" s="64">
        <f t="shared" si="52"/>
        <v>0.125</v>
      </c>
    </row>
    <row r="257" spans="1:68" ht="27" customHeight="1" x14ac:dyDescent="0.25">
      <c r="A257" s="54" t="s">
        <v>423</v>
      </c>
      <c r="B257" s="54" t="s">
        <v>426</v>
      </c>
      <c r="C257" s="31">
        <v>4301011910</v>
      </c>
      <c r="D257" s="677">
        <v>4680115885806</v>
      </c>
      <c r="E257" s="678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101</v>
      </c>
      <c r="L257" s="32"/>
      <c r="M257" s="33" t="s">
        <v>389</v>
      </c>
      <c r="N257" s="33"/>
      <c r="O257" s="32">
        <v>55</v>
      </c>
      <c r="P257" s="825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5"/>
      <c r="R257" s="685"/>
      <c r="S257" s="685"/>
      <c r="T257" s="686"/>
      <c r="U257" s="34"/>
      <c r="V257" s="34"/>
      <c r="W257" s="35" t="s">
        <v>69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427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428</v>
      </c>
      <c r="B258" s="54" t="s">
        <v>429</v>
      </c>
      <c r="C258" s="31">
        <v>4301011853</v>
      </c>
      <c r="D258" s="677">
        <v>4680115885851</v>
      </c>
      <c r="E258" s="678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9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5"/>
      <c r="R258" s="685"/>
      <c r="S258" s="685"/>
      <c r="T258" s="686"/>
      <c r="U258" s="34"/>
      <c r="V258" s="34"/>
      <c r="W258" s="35" t="s">
        <v>69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430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431</v>
      </c>
      <c r="B259" s="54" t="s">
        <v>432</v>
      </c>
      <c r="C259" s="31">
        <v>4301011852</v>
      </c>
      <c r="D259" s="677">
        <v>4680115885844</v>
      </c>
      <c r="E259" s="678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9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5"/>
      <c r="R259" s="685"/>
      <c r="S259" s="685"/>
      <c r="T259" s="686"/>
      <c r="U259" s="34"/>
      <c r="V259" s="34"/>
      <c r="W259" s="35" t="s">
        <v>69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433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434</v>
      </c>
      <c r="B260" s="54" t="s">
        <v>435</v>
      </c>
      <c r="C260" s="31">
        <v>4301011851</v>
      </c>
      <c r="D260" s="677">
        <v>4680115885820</v>
      </c>
      <c r="E260" s="678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8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5"/>
      <c r="R260" s="685"/>
      <c r="S260" s="685"/>
      <c r="T260" s="686"/>
      <c r="U260" s="34"/>
      <c r="V260" s="34"/>
      <c r="W260" s="35" t="s">
        <v>69</v>
      </c>
      <c r="X260" s="665">
        <v>16</v>
      </c>
      <c r="Y260" s="666">
        <f t="shared" si="48"/>
        <v>16</v>
      </c>
      <c r="Z260" s="36">
        <f>IFERROR(IF(Y260=0,"",ROUNDUP(Y260/H260,0)*0.00902),"")</f>
        <v>3.6080000000000001E-2</v>
      </c>
      <c r="AA260" s="56"/>
      <c r="AB260" s="57"/>
      <c r="AC260" s="323" t="s">
        <v>436</v>
      </c>
      <c r="AG260" s="64"/>
      <c r="AJ260" s="68"/>
      <c r="AK260" s="68">
        <v>0</v>
      </c>
      <c r="BB260" s="324" t="s">
        <v>1</v>
      </c>
      <c r="BM260" s="64">
        <f t="shared" si="49"/>
        <v>16.84</v>
      </c>
      <c r="BN260" s="64">
        <f t="shared" si="50"/>
        <v>16.84</v>
      </c>
      <c r="BO260" s="64">
        <f t="shared" si="51"/>
        <v>3.0303030303030304E-2</v>
      </c>
      <c r="BP260" s="64">
        <f t="shared" si="52"/>
        <v>3.0303030303030304E-2</v>
      </c>
    </row>
    <row r="261" spans="1:68" x14ac:dyDescent="0.2">
      <c r="A261" s="682"/>
      <c r="B261" s="681"/>
      <c r="C261" s="681"/>
      <c r="D261" s="681"/>
      <c r="E261" s="681"/>
      <c r="F261" s="681"/>
      <c r="G261" s="681"/>
      <c r="H261" s="681"/>
      <c r="I261" s="681"/>
      <c r="J261" s="681"/>
      <c r="K261" s="681"/>
      <c r="L261" s="681"/>
      <c r="M261" s="681"/>
      <c r="N261" s="681"/>
      <c r="O261" s="683"/>
      <c r="P261" s="679" t="s">
        <v>88</v>
      </c>
      <c r="Q261" s="670"/>
      <c r="R261" s="670"/>
      <c r="S261" s="670"/>
      <c r="T261" s="670"/>
      <c r="U261" s="670"/>
      <c r="V261" s="671"/>
      <c r="W261" s="37" t="s">
        <v>89</v>
      </c>
      <c r="X261" s="667">
        <f>IFERROR(X255/H255,"0")+IFERROR(X256/H256,"0")+IFERROR(X257/H257,"0")+IFERROR(X258/H258,"0")+IFERROR(X259/H259,"0")+IFERROR(X260/H260,"0")</f>
        <v>14.185185185185183</v>
      </c>
      <c r="Y261" s="667">
        <f>IFERROR(Y255/H255,"0")+IFERROR(Y256/H256,"0")+IFERROR(Y257/H257,"0")+IFERROR(Y258/H258,"0")+IFERROR(Y259/H259,"0")+IFERROR(Y260/H260,"0")</f>
        <v>15</v>
      </c>
      <c r="Z261" s="667">
        <f>IFERROR(IF(Z255="",0,Z255),"0")+IFERROR(IF(Z256="",0,Z256),"0")+IFERROR(IF(Z257="",0,Z257),"0")+IFERROR(IF(Z258="",0,Z258),"0")+IFERROR(IF(Z259="",0,Z259),"0")+IFERROR(IF(Z260="",0,Z260),"0")</f>
        <v>0.24486000000000002</v>
      </c>
      <c r="AA261" s="668"/>
      <c r="AB261" s="668"/>
      <c r="AC261" s="668"/>
    </row>
    <row r="262" spans="1:68" x14ac:dyDescent="0.2">
      <c r="A262" s="681"/>
      <c r="B262" s="681"/>
      <c r="C262" s="681"/>
      <c r="D262" s="681"/>
      <c r="E262" s="681"/>
      <c r="F262" s="681"/>
      <c r="G262" s="681"/>
      <c r="H262" s="681"/>
      <c r="I262" s="681"/>
      <c r="J262" s="681"/>
      <c r="K262" s="681"/>
      <c r="L262" s="681"/>
      <c r="M262" s="681"/>
      <c r="N262" s="681"/>
      <c r="O262" s="683"/>
      <c r="P262" s="679" t="s">
        <v>88</v>
      </c>
      <c r="Q262" s="670"/>
      <c r="R262" s="670"/>
      <c r="S262" s="670"/>
      <c r="T262" s="670"/>
      <c r="U262" s="670"/>
      <c r="V262" s="671"/>
      <c r="W262" s="37" t="s">
        <v>69</v>
      </c>
      <c r="X262" s="667">
        <f>IFERROR(SUM(X255:X260),"0")</f>
        <v>126</v>
      </c>
      <c r="Y262" s="667">
        <f>IFERROR(SUM(Y255:Y260),"0")</f>
        <v>134.80000000000001</v>
      </c>
      <c r="Z262" s="37"/>
      <c r="AA262" s="668"/>
      <c r="AB262" s="668"/>
      <c r="AC262" s="668"/>
    </row>
    <row r="263" spans="1:68" ht="16.5" customHeight="1" x14ac:dyDescent="0.25">
      <c r="A263" s="690" t="s">
        <v>437</v>
      </c>
      <c r="B263" s="681"/>
      <c r="C263" s="681"/>
      <c r="D263" s="681"/>
      <c r="E263" s="681"/>
      <c r="F263" s="681"/>
      <c r="G263" s="681"/>
      <c r="H263" s="681"/>
      <c r="I263" s="681"/>
      <c r="J263" s="681"/>
      <c r="K263" s="681"/>
      <c r="L263" s="681"/>
      <c r="M263" s="681"/>
      <c r="N263" s="681"/>
      <c r="O263" s="681"/>
      <c r="P263" s="681"/>
      <c r="Q263" s="681"/>
      <c r="R263" s="681"/>
      <c r="S263" s="681"/>
      <c r="T263" s="681"/>
      <c r="U263" s="681"/>
      <c r="V263" s="681"/>
      <c r="W263" s="681"/>
      <c r="X263" s="681"/>
      <c r="Y263" s="681"/>
      <c r="Z263" s="681"/>
      <c r="AA263" s="660"/>
      <c r="AB263" s="660"/>
      <c r="AC263" s="660"/>
    </row>
    <row r="264" spans="1:68" ht="14.25" customHeight="1" x14ac:dyDescent="0.25">
      <c r="A264" s="688" t="s">
        <v>98</v>
      </c>
      <c r="B264" s="681"/>
      <c r="C264" s="681"/>
      <c r="D264" s="681"/>
      <c r="E264" s="681"/>
      <c r="F264" s="681"/>
      <c r="G264" s="681"/>
      <c r="H264" s="681"/>
      <c r="I264" s="681"/>
      <c r="J264" s="681"/>
      <c r="K264" s="681"/>
      <c r="L264" s="681"/>
      <c r="M264" s="681"/>
      <c r="N264" s="681"/>
      <c r="O264" s="681"/>
      <c r="P264" s="681"/>
      <c r="Q264" s="681"/>
      <c r="R264" s="681"/>
      <c r="S264" s="681"/>
      <c r="T264" s="681"/>
      <c r="U264" s="681"/>
      <c r="V264" s="681"/>
      <c r="W264" s="681"/>
      <c r="X264" s="681"/>
      <c r="Y264" s="681"/>
      <c r="Z264" s="681"/>
      <c r="AA264" s="661"/>
      <c r="AB264" s="661"/>
      <c r="AC264" s="661"/>
    </row>
    <row r="265" spans="1:68" ht="37.5" customHeight="1" x14ac:dyDescent="0.25">
      <c r="A265" s="54" t="s">
        <v>438</v>
      </c>
      <c r="B265" s="54" t="s">
        <v>439</v>
      </c>
      <c r="C265" s="31">
        <v>4301011876</v>
      </c>
      <c r="D265" s="677">
        <v>4680115885707</v>
      </c>
      <c r="E265" s="678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101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5"/>
      <c r="R265" s="685"/>
      <c r="S265" s="685"/>
      <c r="T265" s="686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440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82"/>
      <c r="B266" s="681"/>
      <c r="C266" s="681"/>
      <c r="D266" s="681"/>
      <c r="E266" s="681"/>
      <c r="F266" s="681"/>
      <c r="G266" s="681"/>
      <c r="H266" s="681"/>
      <c r="I266" s="681"/>
      <c r="J266" s="681"/>
      <c r="K266" s="681"/>
      <c r="L266" s="681"/>
      <c r="M266" s="681"/>
      <c r="N266" s="681"/>
      <c r="O266" s="683"/>
      <c r="P266" s="679" t="s">
        <v>88</v>
      </c>
      <c r="Q266" s="670"/>
      <c r="R266" s="670"/>
      <c r="S266" s="670"/>
      <c r="T266" s="670"/>
      <c r="U266" s="670"/>
      <c r="V266" s="671"/>
      <c r="W266" s="37" t="s">
        <v>89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1"/>
      <c r="B267" s="681"/>
      <c r="C267" s="681"/>
      <c r="D267" s="681"/>
      <c r="E267" s="681"/>
      <c r="F267" s="681"/>
      <c r="G267" s="681"/>
      <c r="H267" s="681"/>
      <c r="I267" s="681"/>
      <c r="J267" s="681"/>
      <c r="K267" s="681"/>
      <c r="L267" s="681"/>
      <c r="M267" s="681"/>
      <c r="N267" s="681"/>
      <c r="O267" s="683"/>
      <c r="P267" s="679" t="s">
        <v>88</v>
      </c>
      <c r="Q267" s="670"/>
      <c r="R267" s="670"/>
      <c r="S267" s="670"/>
      <c r="T267" s="670"/>
      <c r="U267" s="670"/>
      <c r="V267" s="671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690" t="s">
        <v>441</v>
      </c>
      <c r="B268" s="681"/>
      <c r="C268" s="681"/>
      <c r="D268" s="681"/>
      <c r="E268" s="681"/>
      <c r="F268" s="681"/>
      <c r="G268" s="681"/>
      <c r="H268" s="681"/>
      <c r="I268" s="681"/>
      <c r="J268" s="681"/>
      <c r="K268" s="681"/>
      <c r="L268" s="681"/>
      <c r="M268" s="681"/>
      <c r="N268" s="681"/>
      <c r="O268" s="681"/>
      <c r="P268" s="681"/>
      <c r="Q268" s="681"/>
      <c r="R268" s="681"/>
      <c r="S268" s="681"/>
      <c r="T268" s="681"/>
      <c r="U268" s="681"/>
      <c r="V268" s="681"/>
      <c r="W268" s="681"/>
      <c r="X268" s="681"/>
      <c r="Y268" s="681"/>
      <c r="Z268" s="681"/>
      <c r="AA268" s="660"/>
      <c r="AB268" s="660"/>
      <c r="AC268" s="660"/>
    </row>
    <row r="269" spans="1:68" ht="14.25" customHeight="1" x14ac:dyDescent="0.25">
      <c r="A269" s="688" t="s">
        <v>98</v>
      </c>
      <c r="B269" s="681"/>
      <c r="C269" s="681"/>
      <c r="D269" s="681"/>
      <c r="E269" s="681"/>
      <c r="F269" s="681"/>
      <c r="G269" s="681"/>
      <c r="H269" s="681"/>
      <c r="I269" s="681"/>
      <c r="J269" s="681"/>
      <c r="K269" s="681"/>
      <c r="L269" s="681"/>
      <c r="M269" s="681"/>
      <c r="N269" s="681"/>
      <c r="O269" s="681"/>
      <c r="P269" s="681"/>
      <c r="Q269" s="681"/>
      <c r="R269" s="681"/>
      <c r="S269" s="681"/>
      <c r="T269" s="681"/>
      <c r="U269" s="681"/>
      <c r="V269" s="681"/>
      <c r="W269" s="681"/>
      <c r="X269" s="681"/>
      <c r="Y269" s="681"/>
      <c r="Z269" s="681"/>
      <c r="AA269" s="661"/>
      <c r="AB269" s="661"/>
      <c r="AC269" s="661"/>
    </row>
    <row r="270" spans="1:68" ht="27" customHeight="1" x14ac:dyDescent="0.25">
      <c r="A270" s="54" t="s">
        <v>442</v>
      </c>
      <c r="B270" s="54" t="s">
        <v>443</v>
      </c>
      <c r="C270" s="31">
        <v>4301011223</v>
      </c>
      <c r="D270" s="677">
        <v>4607091383423</v>
      </c>
      <c r="E270" s="678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76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5"/>
      <c r="R270" s="685"/>
      <c r="S270" s="685"/>
      <c r="T270" s="686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4301012099</v>
      </c>
      <c r="D271" s="677">
        <v>4680115885691</v>
      </c>
      <c r="E271" s="678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100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5"/>
      <c r="R271" s="685"/>
      <c r="S271" s="685"/>
      <c r="T271" s="686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446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447</v>
      </c>
      <c r="B272" s="54" t="s">
        <v>448</v>
      </c>
      <c r="C272" s="31">
        <v>4301012098</v>
      </c>
      <c r="D272" s="677">
        <v>4680115885660</v>
      </c>
      <c r="E272" s="678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9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5"/>
      <c r="R272" s="685"/>
      <c r="S272" s="685"/>
      <c r="T272" s="686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449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82"/>
      <c r="B273" s="681"/>
      <c r="C273" s="681"/>
      <c r="D273" s="681"/>
      <c r="E273" s="681"/>
      <c r="F273" s="681"/>
      <c r="G273" s="681"/>
      <c r="H273" s="681"/>
      <c r="I273" s="681"/>
      <c r="J273" s="681"/>
      <c r="K273" s="681"/>
      <c r="L273" s="681"/>
      <c r="M273" s="681"/>
      <c r="N273" s="681"/>
      <c r="O273" s="683"/>
      <c r="P273" s="679" t="s">
        <v>88</v>
      </c>
      <c r="Q273" s="670"/>
      <c r="R273" s="670"/>
      <c r="S273" s="670"/>
      <c r="T273" s="670"/>
      <c r="U273" s="670"/>
      <c r="V273" s="671"/>
      <c r="W273" s="37" t="s">
        <v>89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1"/>
      <c r="B274" s="681"/>
      <c r="C274" s="681"/>
      <c r="D274" s="681"/>
      <c r="E274" s="681"/>
      <c r="F274" s="681"/>
      <c r="G274" s="681"/>
      <c r="H274" s="681"/>
      <c r="I274" s="681"/>
      <c r="J274" s="681"/>
      <c r="K274" s="681"/>
      <c r="L274" s="681"/>
      <c r="M274" s="681"/>
      <c r="N274" s="681"/>
      <c r="O274" s="683"/>
      <c r="P274" s="679" t="s">
        <v>88</v>
      </c>
      <c r="Q274" s="670"/>
      <c r="R274" s="670"/>
      <c r="S274" s="670"/>
      <c r="T274" s="670"/>
      <c r="U274" s="670"/>
      <c r="V274" s="671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690" t="s">
        <v>450</v>
      </c>
      <c r="B275" s="681"/>
      <c r="C275" s="681"/>
      <c r="D275" s="681"/>
      <c r="E275" s="681"/>
      <c r="F275" s="681"/>
      <c r="G275" s="681"/>
      <c r="H275" s="681"/>
      <c r="I275" s="681"/>
      <c r="J275" s="681"/>
      <c r="K275" s="681"/>
      <c r="L275" s="681"/>
      <c r="M275" s="681"/>
      <c r="N275" s="681"/>
      <c r="O275" s="681"/>
      <c r="P275" s="681"/>
      <c r="Q275" s="681"/>
      <c r="R275" s="681"/>
      <c r="S275" s="681"/>
      <c r="T275" s="681"/>
      <c r="U275" s="681"/>
      <c r="V275" s="681"/>
      <c r="W275" s="681"/>
      <c r="X275" s="681"/>
      <c r="Y275" s="681"/>
      <c r="Z275" s="681"/>
      <c r="AA275" s="660"/>
      <c r="AB275" s="660"/>
      <c r="AC275" s="660"/>
    </row>
    <row r="276" spans="1:68" ht="14.25" customHeight="1" x14ac:dyDescent="0.25">
      <c r="A276" s="688" t="s">
        <v>64</v>
      </c>
      <c r="B276" s="681"/>
      <c r="C276" s="681"/>
      <c r="D276" s="681"/>
      <c r="E276" s="681"/>
      <c r="F276" s="681"/>
      <c r="G276" s="681"/>
      <c r="H276" s="681"/>
      <c r="I276" s="681"/>
      <c r="J276" s="681"/>
      <c r="K276" s="681"/>
      <c r="L276" s="681"/>
      <c r="M276" s="681"/>
      <c r="N276" s="681"/>
      <c r="O276" s="681"/>
      <c r="P276" s="681"/>
      <c r="Q276" s="681"/>
      <c r="R276" s="681"/>
      <c r="S276" s="681"/>
      <c r="T276" s="681"/>
      <c r="U276" s="681"/>
      <c r="V276" s="681"/>
      <c r="W276" s="681"/>
      <c r="X276" s="681"/>
      <c r="Y276" s="681"/>
      <c r="Z276" s="681"/>
      <c r="AA276" s="661"/>
      <c r="AB276" s="661"/>
      <c r="AC276" s="661"/>
    </row>
    <row r="277" spans="1:68" ht="37.5" customHeight="1" x14ac:dyDescent="0.25">
      <c r="A277" s="54" t="s">
        <v>451</v>
      </c>
      <c r="B277" s="54" t="s">
        <v>452</v>
      </c>
      <c r="C277" s="31">
        <v>4301051940</v>
      </c>
      <c r="D277" s="677">
        <v>4680115881037</v>
      </c>
      <c r="E277" s="678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96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5"/>
      <c r="R277" s="685"/>
      <c r="S277" s="685"/>
      <c r="T277" s="686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453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77">
        <v>4680115886186</v>
      </c>
      <c r="E278" s="678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5"/>
      <c r="R278" s="685"/>
      <c r="S278" s="685"/>
      <c r="T278" s="686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456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77">
        <v>4680115881228</v>
      </c>
      <c r="E279" s="678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5"/>
      <c r="R279" s="685"/>
      <c r="S279" s="685"/>
      <c r="T279" s="686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453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459</v>
      </c>
      <c r="B280" s="54" t="s">
        <v>460</v>
      </c>
      <c r="C280" s="31">
        <v>4301051388</v>
      </c>
      <c r="D280" s="677">
        <v>4680115881211</v>
      </c>
      <c r="E280" s="678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9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5"/>
      <c r="R280" s="685"/>
      <c r="S280" s="685"/>
      <c r="T280" s="686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461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462</v>
      </c>
      <c r="B281" s="54" t="s">
        <v>463</v>
      </c>
      <c r="C281" s="31">
        <v>4301051386</v>
      </c>
      <c r="D281" s="677">
        <v>4680115881020</v>
      </c>
      <c r="E281" s="678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95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5"/>
      <c r="R281" s="685"/>
      <c r="S281" s="685"/>
      <c r="T281" s="686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456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82"/>
      <c r="B282" s="681"/>
      <c r="C282" s="681"/>
      <c r="D282" s="681"/>
      <c r="E282" s="681"/>
      <c r="F282" s="681"/>
      <c r="G282" s="681"/>
      <c r="H282" s="681"/>
      <c r="I282" s="681"/>
      <c r="J282" s="681"/>
      <c r="K282" s="681"/>
      <c r="L282" s="681"/>
      <c r="M282" s="681"/>
      <c r="N282" s="681"/>
      <c r="O282" s="683"/>
      <c r="P282" s="679" t="s">
        <v>88</v>
      </c>
      <c r="Q282" s="670"/>
      <c r="R282" s="670"/>
      <c r="S282" s="670"/>
      <c r="T282" s="670"/>
      <c r="U282" s="670"/>
      <c r="V282" s="671"/>
      <c r="W282" s="37" t="s">
        <v>89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1"/>
      <c r="B283" s="681"/>
      <c r="C283" s="681"/>
      <c r="D283" s="681"/>
      <c r="E283" s="681"/>
      <c r="F283" s="681"/>
      <c r="G283" s="681"/>
      <c r="H283" s="681"/>
      <c r="I283" s="681"/>
      <c r="J283" s="681"/>
      <c r="K283" s="681"/>
      <c r="L283" s="681"/>
      <c r="M283" s="681"/>
      <c r="N283" s="681"/>
      <c r="O283" s="683"/>
      <c r="P283" s="679" t="s">
        <v>88</v>
      </c>
      <c r="Q283" s="670"/>
      <c r="R283" s="670"/>
      <c r="S283" s="670"/>
      <c r="T283" s="670"/>
      <c r="U283" s="670"/>
      <c r="V283" s="671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690" t="s">
        <v>464</v>
      </c>
      <c r="B284" s="681"/>
      <c r="C284" s="681"/>
      <c r="D284" s="681"/>
      <c r="E284" s="681"/>
      <c r="F284" s="681"/>
      <c r="G284" s="681"/>
      <c r="H284" s="681"/>
      <c r="I284" s="681"/>
      <c r="J284" s="681"/>
      <c r="K284" s="681"/>
      <c r="L284" s="681"/>
      <c r="M284" s="681"/>
      <c r="N284" s="681"/>
      <c r="O284" s="681"/>
      <c r="P284" s="681"/>
      <c r="Q284" s="681"/>
      <c r="R284" s="681"/>
      <c r="S284" s="681"/>
      <c r="T284" s="681"/>
      <c r="U284" s="681"/>
      <c r="V284" s="681"/>
      <c r="W284" s="681"/>
      <c r="X284" s="681"/>
      <c r="Y284" s="681"/>
      <c r="Z284" s="681"/>
      <c r="AA284" s="660"/>
      <c r="AB284" s="660"/>
      <c r="AC284" s="660"/>
    </row>
    <row r="285" spans="1:68" ht="14.25" customHeight="1" x14ac:dyDescent="0.25">
      <c r="A285" s="688" t="s">
        <v>98</v>
      </c>
      <c r="B285" s="681"/>
      <c r="C285" s="681"/>
      <c r="D285" s="681"/>
      <c r="E285" s="681"/>
      <c r="F285" s="681"/>
      <c r="G285" s="681"/>
      <c r="H285" s="681"/>
      <c r="I285" s="681"/>
      <c r="J285" s="681"/>
      <c r="K285" s="681"/>
      <c r="L285" s="681"/>
      <c r="M285" s="681"/>
      <c r="N285" s="681"/>
      <c r="O285" s="681"/>
      <c r="P285" s="681"/>
      <c r="Q285" s="681"/>
      <c r="R285" s="681"/>
      <c r="S285" s="681"/>
      <c r="T285" s="681"/>
      <c r="U285" s="681"/>
      <c r="V285" s="681"/>
      <c r="W285" s="681"/>
      <c r="X285" s="681"/>
      <c r="Y285" s="681"/>
      <c r="Z285" s="681"/>
      <c r="AA285" s="661"/>
      <c r="AB285" s="661"/>
      <c r="AC285" s="661"/>
    </row>
    <row r="286" spans="1:68" ht="27" customHeight="1" x14ac:dyDescent="0.25">
      <c r="A286" s="54" t="s">
        <v>465</v>
      </c>
      <c r="B286" s="54" t="s">
        <v>466</v>
      </c>
      <c r="C286" s="31">
        <v>4301011306</v>
      </c>
      <c r="D286" s="677">
        <v>4607091389296</v>
      </c>
      <c r="E286" s="678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97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5"/>
      <c r="R286" s="685"/>
      <c r="S286" s="685"/>
      <c r="T286" s="686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467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82"/>
      <c r="B287" s="681"/>
      <c r="C287" s="681"/>
      <c r="D287" s="681"/>
      <c r="E287" s="681"/>
      <c r="F287" s="681"/>
      <c r="G287" s="681"/>
      <c r="H287" s="681"/>
      <c r="I287" s="681"/>
      <c r="J287" s="681"/>
      <c r="K287" s="681"/>
      <c r="L287" s="681"/>
      <c r="M287" s="681"/>
      <c r="N287" s="681"/>
      <c r="O287" s="683"/>
      <c r="P287" s="679" t="s">
        <v>88</v>
      </c>
      <c r="Q287" s="670"/>
      <c r="R287" s="670"/>
      <c r="S287" s="670"/>
      <c r="T287" s="670"/>
      <c r="U287" s="670"/>
      <c r="V287" s="671"/>
      <c r="W287" s="37" t="s">
        <v>89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1"/>
      <c r="B288" s="681"/>
      <c r="C288" s="681"/>
      <c r="D288" s="681"/>
      <c r="E288" s="681"/>
      <c r="F288" s="681"/>
      <c r="G288" s="681"/>
      <c r="H288" s="681"/>
      <c r="I288" s="681"/>
      <c r="J288" s="681"/>
      <c r="K288" s="681"/>
      <c r="L288" s="681"/>
      <c r="M288" s="681"/>
      <c r="N288" s="681"/>
      <c r="O288" s="683"/>
      <c r="P288" s="679" t="s">
        <v>88</v>
      </c>
      <c r="Q288" s="670"/>
      <c r="R288" s="670"/>
      <c r="S288" s="670"/>
      <c r="T288" s="670"/>
      <c r="U288" s="670"/>
      <c r="V288" s="671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8" t="s">
        <v>149</v>
      </c>
      <c r="B289" s="681"/>
      <c r="C289" s="681"/>
      <c r="D289" s="681"/>
      <c r="E289" s="681"/>
      <c r="F289" s="681"/>
      <c r="G289" s="681"/>
      <c r="H289" s="681"/>
      <c r="I289" s="681"/>
      <c r="J289" s="681"/>
      <c r="K289" s="681"/>
      <c r="L289" s="681"/>
      <c r="M289" s="681"/>
      <c r="N289" s="681"/>
      <c r="O289" s="681"/>
      <c r="P289" s="681"/>
      <c r="Q289" s="681"/>
      <c r="R289" s="681"/>
      <c r="S289" s="681"/>
      <c r="T289" s="681"/>
      <c r="U289" s="681"/>
      <c r="V289" s="681"/>
      <c r="W289" s="681"/>
      <c r="X289" s="681"/>
      <c r="Y289" s="681"/>
      <c r="Z289" s="681"/>
      <c r="AA289" s="661"/>
      <c r="AB289" s="661"/>
      <c r="AC289" s="661"/>
    </row>
    <row r="290" spans="1:68" ht="27" customHeight="1" x14ac:dyDescent="0.25">
      <c r="A290" s="54" t="s">
        <v>468</v>
      </c>
      <c r="B290" s="54" t="s">
        <v>469</v>
      </c>
      <c r="C290" s="31">
        <v>4301031307</v>
      </c>
      <c r="D290" s="677">
        <v>4680115880344</v>
      </c>
      <c r="E290" s="678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10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5"/>
      <c r="R290" s="685"/>
      <c r="S290" s="685"/>
      <c r="T290" s="686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470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82"/>
      <c r="B291" s="681"/>
      <c r="C291" s="681"/>
      <c r="D291" s="681"/>
      <c r="E291" s="681"/>
      <c r="F291" s="681"/>
      <c r="G291" s="681"/>
      <c r="H291" s="681"/>
      <c r="I291" s="681"/>
      <c r="J291" s="681"/>
      <c r="K291" s="681"/>
      <c r="L291" s="681"/>
      <c r="M291" s="681"/>
      <c r="N291" s="681"/>
      <c r="O291" s="683"/>
      <c r="P291" s="679" t="s">
        <v>88</v>
      </c>
      <c r="Q291" s="670"/>
      <c r="R291" s="670"/>
      <c r="S291" s="670"/>
      <c r="T291" s="670"/>
      <c r="U291" s="670"/>
      <c r="V291" s="671"/>
      <c r="W291" s="37" t="s">
        <v>89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1"/>
      <c r="B292" s="681"/>
      <c r="C292" s="681"/>
      <c r="D292" s="681"/>
      <c r="E292" s="681"/>
      <c r="F292" s="681"/>
      <c r="G292" s="681"/>
      <c r="H292" s="681"/>
      <c r="I292" s="681"/>
      <c r="J292" s="681"/>
      <c r="K292" s="681"/>
      <c r="L292" s="681"/>
      <c r="M292" s="681"/>
      <c r="N292" s="681"/>
      <c r="O292" s="683"/>
      <c r="P292" s="679" t="s">
        <v>88</v>
      </c>
      <c r="Q292" s="670"/>
      <c r="R292" s="670"/>
      <c r="S292" s="670"/>
      <c r="T292" s="670"/>
      <c r="U292" s="670"/>
      <c r="V292" s="671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8" t="s">
        <v>64</v>
      </c>
      <c r="B293" s="681"/>
      <c r="C293" s="681"/>
      <c r="D293" s="681"/>
      <c r="E293" s="681"/>
      <c r="F293" s="681"/>
      <c r="G293" s="681"/>
      <c r="H293" s="681"/>
      <c r="I293" s="681"/>
      <c r="J293" s="681"/>
      <c r="K293" s="681"/>
      <c r="L293" s="681"/>
      <c r="M293" s="681"/>
      <c r="N293" s="681"/>
      <c r="O293" s="681"/>
      <c r="P293" s="681"/>
      <c r="Q293" s="681"/>
      <c r="R293" s="681"/>
      <c r="S293" s="681"/>
      <c r="T293" s="681"/>
      <c r="U293" s="681"/>
      <c r="V293" s="681"/>
      <c r="W293" s="681"/>
      <c r="X293" s="681"/>
      <c r="Y293" s="681"/>
      <c r="Z293" s="681"/>
      <c r="AA293" s="661"/>
      <c r="AB293" s="661"/>
      <c r="AC293" s="661"/>
    </row>
    <row r="294" spans="1:68" ht="27" customHeight="1" x14ac:dyDescent="0.25">
      <c r="A294" s="54" t="s">
        <v>471</v>
      </c>
      <c r="B294" s="54" t="s">
        <v>472</v>
      </c>
      <c r="C294" s="31">
        <v>4301051782</v>
      </c>
      <c r="D294" s="677">
        <v>4680115884618</v>
      </c>
      <c r="E294" s="678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7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5"/>
      <c r="R294" s="685"/>
      <c r="S294" s="685"/>
      <c r="T294" s="686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473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82"/>
      <c r="B295" s="681"/>
      <c r="C295" s="681"/>
      <c r="D295" s="681"/>
      <c r="E295" s="681"/>
      <c r="F295" s="681"/>
      <c r="G295" s="681"/>
      <c r="H295" s="681"/>
      <c r="I295" s="681"/>
      <c r="J295" s="681"/>
      <c r="K295" s="681"/>
      <c r="L295" s="681"/>
      <c r="M295" s="681"/>
      <c r="N295" s="681"/>
      <c r="O295" s="683"/>
      <c r="P295" s="679" t="s">
        <v>88</v>
      </c>
      <c r="Q295" s="670"/>
      <c r="R295" s="670"/>
      <c r="S295" s="670"/>
      <c r="T295" s="670"/>
      <c r="U295" s="670"/>
      <c r="V295" s="671"/>
      <c r="W295" s="37" t="s">
        <v>89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1"/>
      <c r="B296" s="681"/>
      <c r="C296" s="681"/>
      <c r="D296" s="681"/>
      <c r="E296" s="681"/>
      <c r="F296" s="681"/>
      <c r="G296" s="681"/>
      <c r="H296" s="681"/>
      <c r="I296" s="681"/>
      <c r="J296" s="681"/>
      <c r="K296" s="681"/>
      <c r="L296" s="681"/>
      <c r="M296" s="681"/>
      <c r="N296" s="681"/>
      <c r="O296" s="683"/>
      <c r="P296" s="679" t="s">
        <v>88</v>
      </c>
      <c r="Q296" s="670"/>
      <c r="R296" s="670"/>
      <c r="S296" s="670"/>
      <c r="T296" s="670"/>
      <c r="U296" s="670"/>
      <c r="V296" s="671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690" t="s">
        <v>474</v>
      </c>
      <c r="B297" s="681"/>
      <c r="C297" s="681"/>
      <c r="D297" s="681"/>
      <c r="E297" s="681"/>
      <c r="F297" s="681"/>
      <c r="G297" s="681"/>
      <c r="H297" s="681"/>
      <c r="I297" s="681"/>
      <c r="J297" s="681"/>
      <c r="K297" s="681"/>
      <c r="L297" s="681"/>
      <c r="M297" s="681"/>
      <c r="N297" s="681"/>
      <c r="O297" s="681"/>
      <c r="P297" s="681"/>
      <c r="Q297" s="681"/>
      <c r="R297" s="681"/>
      <c r="S297" s="681"/>
      <c r="T297" s="681"/>
      <c r="U297" s="681"/>
      <c r="V297" s="681"/>
      <c r="W297" s="681"/>
      <c r="X297" s="681"/>
      <c r="Y297" s="681"/>
      <c r="Z297" s="681"/>
      <c r="AA297" s="660"/>
      <c r="AB297" s="660"/>
      <c r="AC297" s="660"/>
    </row>
    <row r="298" spans="1:68" ht="14.25" customHeight="1" x14ac:dyDescent="0.25">
      <c r="A298" s="688" t="s">
        <v>64</v>
      </c>
      <c r="B298" s="681"/>
      <c r="C298" s="681"/>
      <c r="D298" s="681"/>
      <c r="E298" s="681"/>
      <c r="F298" s="681"/>
      <c r="G298" s="681"/>
      <c r="H298" s="681"/>
      <c r="I298" s="681"/>
      <c r="J298" s="681"/>
      <c r="K298" s="681"/>
      <c r="L298" s="681"/>
      <c r="M298" s="681"/>
      <c r="N298" s="681"/>
      <c r="O298" s="681"/>
      <c r="P298" s="681"/>
      <c r="Q298" s="681"/>
      <c r="R298" s="681"/>
      <c r="S298" s="681"/>
      <c r="T298" s="681"/>
      <c r="U298" s="681"/>
      <c r="V298" s="681"/>
      <c r="W298" s="681"/>
      <c r="X298" s="681"/>
      <c r="Y298" s="681"/>
      <c r="Z298" s="681"/>
      <c r="AA298" s="661"/>
      <c r="AB298" s="661"/>
      <c r="AC298" s="661"/>
    </row>
    <row r="299" spans="1:68" ht="27" customHeight="1" x14ac:dyDescent="0.25">
      <c r="A299" s="54" t="s">
        <v>475</v>
      </c>
      <c r="B299" s="54" t="s">
        <v>476</v>
      </c>
      <c r="C299" s="31">
        <v>4301051277</v>
      </c>
      <c r="D299" s="677">
        <v>4680115880511</v>
      </c>
      <c r="E299" s="678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6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5"/>
      <c r="R299" s="685"/>
      <c r="S299" s="685"/>
      <c r="T299" s="686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477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82"/>
      <c r="B300" s="681"/>
      <c r="C300" s="681"/>
      <c r="D300" s="681"/>
      <c r="E300" s="681"/>
      <c r="F300" s="681"/>
      <c r="G300" s="681"/>
      <c r="H300" s="681"/>
      <c r="I300" s="681"/>
      <c r="J300" s="681"/>
      <c r="K300" s="681"/>
      <c r="L300" s="681"/>
      <c r="M300" s="681"/>
      <c r="N300" s="681"/>
      <c r="O300" s="683"/>
      <c r="P300" s="679" t="s">
        <v>88</v>
      </c>
      <c r="Q300" s="670"/>
      <c r="R300" s="670"/>
      <c r="S300" s="670"/>
      <c r="T300" s="670"/>
      <c r="U300" s="670"/>
      <c r="V300" s="671"/>
      <c r="W300" s="37" t="s">
        <v>89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1"/>
      <c r="B301" s="681"/>
      <c r="C301" s="681"/>
      <c r="D301" s="681"/>
      <c r="E301" s="681"/>
      <c r="F301" s="681"/>
      <c r="G301" s="681"/>
      <c r="H301" s="681"/>
      <c r="I301" s="681"/>
      <c r="J301" s="681"/>
      <c r="K301" s="681"/>
      <c r="L301" s="681"/>
      <c r="M301" s="681"/>
      <c r="N301" s="681"/>
      <c r="O301" s="683"/>
      <c r="P301" s="679" t="s">
        <v>88</v>
      </c>
      <c r="Q301" s="670"/>
      <c r="R301" s="670"/>
      <c r="S301" s="670"/>
      <c r="T301" s="670"/>
      <c r="U301" s="670"/>
      <c r="V301" s="671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690" t="s">
        <v>478</v>
      </c>
      <c r="B302" s="681"/>
      <c r="C302" s="681"/>
      <c r="D302" s="681"/>
      <c r="E302" s="681"/>
      <c r="F302" s="681"/>
      <c r="G302" s="681"/>
      <c r="H302" s="681"/>
      <c r="I302" s="681"/>
      <c r="J302" s="681"/>
      <c r="K302" s="681"/>
      <c r="L302" s="681"/>
      <c r="M302" s="681"/>
      <c r="N302" s="681"/>
      <c r="O302" s="681"/>
      <c r="P302" s="681"/>
      <c r="Q302" s="681"/>
      <c r="R302" s="681"/>
      <c r="S302" s="681"/>
      <c r="T302" s="681"/>
      <c r="U302" s="681"/>
      <c r="V302" s="681"/>
      <c r="W302" s="681"/>
      <c r="X302" s="681"/>
      <c r="Y302" s="681"/>
      <c r="Z302" s="681"/>
      <c r="AA302" s="660"/>
      <c r="AB302" s="660"/>
      <c r="AC302" s="660"/>
    </row>
    <row r="303" spans="1:68" ht="14.25" customHeight="1" x14ac:dyDescent="0.25">
      <c r="A303" s="688" t="s">
        <v>98</v>
      </c>
      <c r="B303" s="681"/>
      <c r="C303" s="681"/>
      <c r="D303" s="681"/>
      <c r="E303" s="681"/>
      <c r="F303" s="681"/>
      <c r="G303" s="681"/>
      <c r="H303" s="681"/>
      <c r="I303" s="681"/>
      <c r="J303" s="681"/>
      <c r="K303" s="681"/>
      <c r="L303" s="681"/>
      <c r="M303" s="681"/>
      <c r="N303" s="681"/>
      <c r="O303" s="681"/>
      <c r="P303" s="681"/>
      <c r="Q303" s="681"/>
      <c r="R303" s="681"/>
      <c r="S303" s="681"/>
      <c r="T303" s="681"/>
      <c r="U303" s="681"/>
      <c r="V303" s="681"/>
      <c r="W303" s="681"/>
      <c r="X303" s="681"/>
      <c r="Y303" s="681"/>
      <c r="Z303" s="681"/>
      <c r="AA303" s="661"/>
      <c r="AB303" s="661"/>
      <c r="AC303" s="661"/>
    </row>
    <row r="304" spans="1:68" ht="27" customHeight="1" x14ac:dyDescent="0.25">
      <c r="A304" s="54" t="s">
        <v>479</v>
      </c>
      <c r="B304" s="54" t="s">
        <v>480</v>
      </c>
      <c r="C304" s="31">
        <v>4301011594</v>
      </c>
      <c r="D304" s="677">
        <v>4680115883413</v>
      </c>
      <c r="E304" s="678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6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5"/>
      <c r="R304" s="685"/>
      <c r="S304" s="685"/>
      <c r="T304" s="686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440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82"/>
      <c r="B305" s="681"/>
      <c r="C305" s="681"/>
      <c r="D305" s="681"/>
      <c r="E305" s="681"/>
      <c r="F305" s="681"/>
      <c r="G305" s="681"/>
      <c r="H305" s="681"/>
      <c r="I305" s="681"/>
      <c r="J305" s="681"/>
      <c r="K305" s="681"/>
      <c r="L305" s="681"/>
      <c r="M305" s="681"/>
      <c r="N305" s="681"/>
      <c r="O305" s="683"/>
      <c r="P305" s="679" t="s">
        <v>88</v>
      </c>
      <c r="Q305" s="670"/>
      <c r="R305" s="670"/>
      <c r="S305" s="670"/>
      <c r="T305" s="670"/>
      <c r="U305" s="670"/>
      <c r="V305" s="671"/>
      <c r="W305" s="37" t="s">
        <v>89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1"/>
      <c r="B306" s="681"/>
      <c r="C306" s="681"/>
      <c r="D306" s="681"/>
      <c r="E306" s="681"/>
      <c r="F306" s="681"/>
      <c r="G306" s="681"/>
      <c r="H306" s="681"/>
      <c r="I306" s="681"/>
      <c r="J306" s="681"/>
      <c r="K306" s="681"/>
      <c r="L306" s="681"/>
      <c r="M306" s="681"/>
      <c r="N306" s="681"/>
      <c r="O306" s="683"/>
      <c r="P306" s="679" t="s">
        <v>88</v>
      </c>
      <c r="Q306" s="670"/>
      <c r="R306" s="670"/>
      <c r="S306" s="670"/>
      <c r="T306" s="670"/>
      <c r="U306" s="670"/>
      <c r="V306" s="671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8" t="s">
        <v>149</v>
      </c>
      <c r="B307" s="681"/>
      <c r="C307" s="681"/>
      <c r="D307" s="681"/>
      <c r="E307" s="681"/>
      <c r="F307" s="681"/>
      <c r="G307" s="681"/>
      <c r="H307" s="681"/>
      <c r="I307" s="681"/>
      <c r="J307" s="681"/>
      <c r="K307" s="681"/>
      <c r="L307" s="681"/>
      <c r="M307" s="681"/>
      <c r="N307" s="681"/>
      <c r="O307" s="681"/>
      <c r="P307" s="681"/>
      <c r="Q307" s="681"/>
      <c r="R307" s="681"/>
      <c r="S307" s="681"/>
      <c r="T307" s="681"/>
      <c r="U307" s="681"/>
      <c r="V307" s="681"/>
      <c r="W307" s="681"/>
      <c r="X307" s="681"/>
      <c r="Y307" s="681"/>
      <c r="Z307" s="681"/>
      <c r="AA307" s="661"/>
      <c r="AB307" s="661"/>
      <c r="AC307" s="661"/>
    </row>
    <row r="308" spans="1:68" ht="27" customHeight="1" x14ac:dyDescent="0.25">
      <c r="A308" s="54" t="s">
        <v>481</v>
      </c>
      <c r="B308" s="54" t="s">
        <v>482</v>
      </c>
      <c r="C308" s="31">
        <v>4301031305</v>
      </c>
      <c r="D308" s="677">
        <v>4607091389845</v>
      </c>
      <c r="E308" s="678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9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5"/>
      <c r="R308" s="685"/>
      <c r="S308" s="685"/>
      <c r="T308" s="686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483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484</v>
      </c>
      <c r="B309" s="54" t="s">
        <v>485</v>
      </c>
      <c r="C309" s="31">
        <v>4301031306</v>
      </c>
      <c r="D309" s="677">
        <v>4680115882881</v>
      </c>
      <c r="E309" s="678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9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5"/>
      <c r="R309" s="685"/>
      <c r="S309" s="685"/>
      <c r="T309" s="686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483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82"/>
      <c r="B310" s="681"/>
      <c r="C310" s="681"/>
      <c r="D310" s="681"/>
      <c r="E310" s="681"/>
      <c r="F310" s="681"/>
      <c r="G310" s="681"/>
      <c r="H310" s="681"/>
      <c r="I310" s="681"/>
      <c r="J310" s="681"/>
      <c r="K310" s="681"/>
      <c r="L310" s="681"/>
      <c r="M310" s="681"/>
      <c r="N310" s="681"/>
      <c r="O310" s="683"/>
      <c r="P310" s="679" t="s">
        <v>88</v>
      </c>
      <c r="Q310" s="670"/>
      <c r="R310" s="670"/>
      <c r="S310" s="670"/>
      <c r="T310" s="670"/>
      <c r="U310" s="670"/>
      <c r="V310" s="671"/>
      <c r="W310" s="37" t="s">
        <v>89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1"/>
      <c r="B311" s="681"/>
      <c r="C311" s="681"/>
      <c r="D311" s="681"/>
      <c r="E311" s="681"/>
      <c r="F311" s="681"/>
      <c r="G311" s="681"/>
      <c r="H311" s="681"/>
      <c r="I311" s="681"/>
      <c r="J311" s="681"/>
      <c r="K311" s="681"/>
      <c r="L311" s="681"/>
      <c r="M311" s="681"/>
      <c r="N311" s="681"/>
      <c r="O311" s="683"/>
      <c r="P311" s="679" t="s">
        <v>88</v>
      </c>
      <c r="Q311" s="670"/>
      <c r="R311" s="670"/>
      <c r="S311" s="670"/>
      <c r="T311" s="670"/>
      <c r="U311" s="670"/>
      <c r="V311" s="671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690" t="s">
        <v>486</v>
      </c>
      <c r="B312" s="681"/>
      <c r="C312" s="681"/>
      <c r="D312" s="681"/>
      <c r="E312" s="681"/>
      <c r="F312" s="681"/>
      <c r="G312" s="681"/>
      <c r="H312" s="681"/>
      <c r="I312" s="681"/>
      <c r="J312" s="681"/>
      <c r="K312" s="681"/>
      <c r="L312" s="681"/>
      <c r="M312" s="681"/>
      <c r="N312" s="681"/>
      <c r="O312" s="681"/>
      <c r="P312" s="681"/>
      <c r="Q312" s="681"/>
      <c r="R312" s="681"/>
      <c r="S312" s="681"/>
      <c r="T312" s="681"/>
      <c r="U312" s="681"/>
      <c r="V312" s="681"/>
      <c r="W312" s="681"/>
      <c r="X312" s="681"/>
      <c r="Y312" s="681"/>
      <c r="Z312" s="681"/>
      <c r="AA312" s="660"/>
      <c r="AB312" s="660"/>
      <c r="AC312" s="660"/>
    </row>
    <row r="313" spans="1:68" ht="14.25" customHeight="1" x14ac:dyDescent="0.25">
      <c r="A313" s="688" t="s">
        <v>98</v>
      </c>
      <c r="B313" s="681"/>
      <c r="C313" s="681"/>
      <c r="D313" s="681"/>
      <c r="E313" s="681"/>
      <c r="F313" s="681"/>
      <c r="G313" s="681"/>
      <c r="H313" s="681"/>
      <c r="I313" s="681"/>
      <c r="J313" s="681"/>
      <c r="K313" s="681"/>
      <c r="L313" s="681"/>
      <c r="M313" s="681"/>
      <c r="N313" s="681"/>
      <c r="O313" s="681"/>
      <c r="P313" s="681"/>
      <c r="Q313" s="681"/>
      <c r="R313" s="681"/>
      <c r="S313" s="681"/>
      <c r="T313" s="681"/>
      <c r="U313" s="681"/>
      <c r="V313" s="681"/>
      <c r="W313" s="681"/>
      <c r="X313" s="681"/>
      <c r="Y313" s="681"/>
      <c r="Z313" s="681"/>
      <c r="AA313" s="661"/>
      <c r="AB313" s="661"/>
      <c r="AC313" s="661"/>
    </row>
    <row r="314" spans="1:68" ht="27" customHeight="1" x14ac:dyDescent="0.25">
      <c r="A314" s="54" t="s">
        <v>487</v>
      </c>
      <c r="B314" s="54" t="s">
        <v>488</v>
      </c>
      <c r="C314" s="31">
        <v>4301011662</v>
      </c>
      <c r="D314" s="677">
        <v>4680115883703</v>
      </c>
      <c r="E314" s="678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823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5"/>
      <c r="R314" s="685"/>
      <c r="S314" s="685"/>
      <c r="T314" s="686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489</v>
      </c>
      <c r="AB314" s="57"/>
      <c r="AC314" s="357" t="s">
        <v>490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82"/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3"/>
      <c r="P315" s="679" t="s">
        <v>88</v>
      </c>
      <c r="Q315" s="670"/>
      <c r="R315" s="670"/>
      <c r="S315" s="670"/>
      <c r="T315" s="670"/>
      <c r="U315" s="670"/>
      <c r="V315" s="671"/>
      <c r="W315" s="37" t="s">
        <v>89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1"/>
      <c r="B316" s="681"/>
      <c r="C316" s="681"/>
      <c r="D316" s="681"/>
      <c r="E316" s="681"/>
      <c r="F316" s="681"/>
      <c r="G316" s="681"/>
      <c r="H316" s="681"/>
      <c r="I316" s="681"/>
      <c r="J316" s="681"/>
      <c r="K316" s="681"/>
      <c r="L316" s="681"/>
      <c r="M316" s="681"/>
      <c r="N316" s="681"/>
      <c r="O316" s="683"/>
      <c r="P316" s="679" t="s">
        <v>88</v>
      </c>
      <c r="Q316" s="670"/>
      <c r="R316" s="670"/>
      <c r="S316" s="670"/>
      <c r="T316" s="670"/>
      <c r="U316" s="670"/>
      <c r="V316" s="671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690" t="s">
        <v>491</v>
      </c>
      <c r="B317" s="681"/>
      <c r="C317" s="681"/>
      <c r="D317" s="681"/>
      <c r="E317" s="681"/>
      <c r="F317" s="681"/>
      <c r="G317" s="681"/>
      <c r="H317" s="681"/>
      <c r="I317" s="681"/>
      <c r="J317" s="681"/>
      <c r="K317" s="681"/>
      <c r="L317" s="681"/>
      <c r="M317" s="681"/>
      <c r="N317" s="681"/>
      <c r="O317" s="681"/>
      <c r="P317" s="681"/>
      <c r="Q317" s="681"/>
      <c r="R317" s="681"/>
      <c r="S317" s="681"/>
      <c r="T317" s="681"/>
      <c r="U317" s="681"/>
      <c r="V317" s="681"/>
      <c r="W317" s="681"/>
      <c r="X317" s="681"/>
      <c r="Y317" s="681"/>
      <c r="Z317" s="681"/>
      <c r="AA317" s="660"/>
      <c r="AB317" s="660"/>
      <c r="AC317" s="660"/>
    </row>
    <row r="318" spans="1:68" ht="14.25" customHeight="1" x14ac:dyDescent="0.25">
      <c r="A318" s="688" t="s">
        <v>98</v>
      </c>
      <c r="B318" s="681"/>
      <c r="C318" s="681"/>
      <c r="D318" s="681"/>
      <c r="E318" s="681"/>
      <c r="F318" s="681"/>
      <c r="G318" s="681"/>
      <c r="H318" s="681"/>
      <c r="I318" s="681"/>
      <c r="J318" s="681"/>
      <c r="K318" s="681"/>
      <c r="L318" s="681"/>
      <c r="M318" s="681"/>
      <c r="N318" s="681"/>
      <c r="O318" s="681"/>
      <c r="P318" s="681"/>
      <c r="Q318" s="681"/>
      <c r="R318" s="681"/>
      <c r="S318" s="681"/>
      <c r="T318" s="681"/>
      <c r="U318" s="681"/>
      <c r="V318" s="681"/>
      <c r="W318" s="681"/>
      <c r="X318" s="681"/>
      <c r="Y318" s="681"/>
      <c r="Z318" s="681"/>
      <c r="AA318" s="661"/>
      <c r="AB318" s="661"/>
      <c r="AC318" s="661"/>
    </row>
    <row r="319" spans="1:68" ht="27" customHeight="1" x14ac:dyDescent="0.25">
      <c r="A319" s="54" t="s">
        <v>492</v>
      </c>
      <c r="B319" s="54" t="s">
        <v>493</v>
      </c>
      <c r="C319" s="31">
        <v>4301012024</v>
      </c>
      <c r="D319" s="677">
        <v>4680115885615</v>
      </c>
      <c r="E319" s="678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70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5"/>
      <c r="R319" s="685"/>
      <c r="S319" s="685"/>
      <c r="T319" s="686"/>
      <c r="U319" s="34"/>
      <c r="V319" s="34"/>
      <c r="W319" s="35" t="s">
        <v>69</v>
      </c>
      <c r="X319" s="665">
        <v>20</v>
      </c>
      <c r="Y319" s="666">
        <f t="shared" ref="Y319:Y324" si="53">IFERROR(IF(X319="",0,CEILING((X319/$H319),1)*$H319),"")</f>
        <v>21.6</v>
      </c>
      <c r="Z319" s="36">
        <f>IFERROR(IF(Y319=0,"",ROUNDUP(Y319/H319,0)*0.01898),"")</f>
        <v>3.7960000000000001E-2</v>
      </c>
      <c r="AA319" s="56"/>
      <c r="AB319" s="57"/>
      <c r="AC319" s="359" t="s">
        <v>494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20.805555555555554</v>
      </c>
      <c r="BN319" s="64">
        <f t="shared" ref="BN319:BN324" si="55">IFERROR(Y319*I319/H319,"0")</f>
        <v>22.47</v>
      </c>
      <c r="BO319" s="64">
        <f t="shared" ref="BO319:BO324" si="56">IFERROR(1/J319*(X319/H319),"0")</f>
        <v>2.8935185185185182E-2</v>
      </c>
      <c r="BP319" s="64">
        <f t="shared" ref="BP319:BP324" si="57">IFERROR(1/J319*(Y319/H319),"0")</f>
        <v>3.125E-2</v>
      </c>
    </row>
    <row r="320" spans="1:68" ht="27" customHeight="1" x14ac:dyDescent="0.25">
      <c r="A320" s="54" t="s">
        <v>495</v>
      </c>
      <c r="B320" s="54" t="s">
        <v>496</v>
      </c>
      <c r="C320" s="31">
        <v>4301012016</v>
      </c>
      <c r="D320" s="677">
        <v>4680115885554</v>
      </c>
      <c r="E320" s="678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5"/>
      <c r="R320" s="685"/>
      <c r="S320" s="685"/>
      <c r="T320" s="686"/>
      <c r="U320" s="34"/>
      <c r="V320" s="34"/>
      <c r="W320" s="35" t="s">
        <v>69</v>
      </c>
      <c r="X320" s="665">
        <v>100</v>
      </c>
      <c r="Y320" s="666">
        <f t="shared" si="53"/>
        <v>108</v>
      </c>
      <c r="Z320" s="36">
        <f>IFERROR(IF(Y320=0,"",ROUNDUP(Y320/H320,0)*0.01898),"")</f>
        <v>0.1898</v>
      </c>
      <c r="AA320" s="56"/>
      <c r="AB320" s="57"/>
      <c r="AC320" s="361" t="s">
        <v>497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104.02777777777777</v>
      </c>
      <c r="BN320" s="64">
        <f t="shared" si="55"/>
        <v>112.34999999999998</v>
      </c>
      <c r="BO320" s="64">
        <f t="shared" si="56"/>
        <v>0.14467592592592593</v>
      </c>
      <c r="BP320" s="64">
        <f t="shared" si="57"/>
        <v>0.15625</v>
      </c>
    </row>
    <row r="321" spans="1:68" ht="27" customHeight="1" x14ac:dyDescent="0.25">
      <c r="A321" s="54" t="s">
        <v>495</v>
      </c>
      <c r="B321" s="54" t="s">
        <v>498</v>
      </c>
      <c r="C321" s="31">
        <v>4301011911</v>
      </c>
      <c r="D321" s="677">
        <v>4680115885554</v>
      </c>
      <c r="E321" s="678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101</v>
      </c>
      <c r="L321" s="32"/>
      <c r="M321" s="33" t="s">
        <v>389</v>
      </c>
      <c r="N321" s="33"/>
      <c r="O321" s="32">
        <v>55</v>
      </c>
      <c r="P321" s="7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5"/>
      <c r="R321" s="685"/>
      <c r="S321" s="685"/>
      <c r="T321" s="686"/>
      <c r="U321" s="34"/>
      <c r="V321" s="34"/>
      <c r="W321" s="35" t="s">
        <v>69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499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500</v>
      </c>
      <c r="B322" s="54" t="s">
        <v>501</v>
      </c>
      <c r="C322" s="31">
        <v>4301011858</v>
      </c>
      <c r="D322" s="677">
        <v>4680115885646</v>
      </c>
      <c r="E322" s="678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5"/>
      <c r="R322" s="685"/>
      <c r="S322" s="685"/>
      <c r="T322" s="686"/>
      <c r="U322" s="34"/>
      <c r="V322" s="34"/>
      <c r="W322" s="35" t="s">
        <v>69</v>
      </c>
      <c r="X322" s="665">
        <v>20</v>
      </c>
      <c r="Y322" s="666">
        <f t="shared" si="53"/>
        <v>21.6</v>
      </c>
      <c r="Z322" s="36">
        <f>IFERROR(IF(Y322=0,"",ROUNDUP(Y322/H322,0)*0.01898),"")</f>
        <v>3.7960000000000001E-2</v>
      </c>
      <c r="AA322" s="56"/>
      <c r="AB322" s="57"/>
      <c r="AC322" s="365" t="s">
        <v>502</v>
      </c>
      <c r="AG322" s="64"/>
      <c r="AJ322" s="68"/>
      <c r="AK322" s="68">
        <v>0</v>
      </c>
      <c r="BB322" s="366" t="s">
        <v>1</v>
      </c>
      <c r="BM322" s="64">
        <f t="shared" si="54"/>
        <v>20.805555555555554</v>
      </c>
      <c r="BN322" s="64">
        <f t="shared" si="55"/>
        <v>22.47</v>
      </c>
      <c r="BO322" s="64">
        <f t="shared" si="56"/>
        <v>2.8935185185185182E-2</v>
      </c>
      <c r="BP322" s="64">
        <f t="shared" si="57"/>
        <v>3.125E-2</v>
      </c>
    </row>
    <row r="323" spans="1:68" ht="27" customHeight="1" x14ac:dyDescent="0.25">
      <c r="A323" s="54" t="s">
        <v>503</v>
      </c>
      <c r="B323" s="54" t="s">
        <v>504</v>
      </c>
      <c r="C323" s="31">
        <v>4301011857</v>
      </c>
      <c r="D323" s="677">
        <v>4680115885622</v>
      </c>
      <c r="E323" s="678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83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5"/>
      <c r="R323" s="685"/>
      <c r="S323" s="685"/>
      <c r="T323" s="686"/>
      <c r="U323" s="34"/>
      <c r="V323" s="34"/>
      <c r="W323" s="35" t="s">
        <v>69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505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506</v>
      </c>
      <c r="B324" s="54" t="s">
        <v>507</v>
      </c>
      <c r="C324" s="31">
        <v>4301011859</v>
      </c>
      <c r="D324" s="677">
        <v>4680115885608</v>
      </c>
      <c r="E324" s="678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5"/>
      <c r="R324" s="685"/>
      <c r="S324" s="685"/>
      <c r="T324" s="686"/>
      <c r="U324" s="34"/>
      <c r="V324" s="34"/>
      <c r="W324" s="35" t="s">
        <v>69</v>
      </c>
      <c r="X324" s="665">
        <v>52</v>
      </c>
      <c r="Y324" s="666">
        <f t="shared" si="53"/>
        <v>52</v>
      </c>
      <c r="Z324" s="36">
        <f>IFERROR(IF(Y324=0,"",ROUNDUP(Y324/H324,0)*0.00902),"")</f>
        <v>0.11726</v>
      </c>
      <c r="AA324" s="56"/>
      <c r="AB324" s="57"/>
      <c r="AC324" s="369" t="s">
        <v>497</v>
      </c>
      <c r="AG324" s="64"/>
      <c r="AJ324" s="68"/>
      <c r="AK324" s="68">
        <v>0</v>
      </c>
      <c r="BB324" s="370" t="s">
        <v>1</v>
      </c>
      <c r="BM324" s="64">
        <f t="shared" si="54"/>
        <v>54.73</v>
      </c>
      <c r="BN324" s="64">
        <f t="shared" si="55"/>
        <v>54.73</v>
      </c>
      <c r="BO324" s="64">
        <f t="shared" si="56"/>
        <v>9.8484848484848481E-2</v>
      </c>
      <c r="BP324" s="64">
        <f t="shared" si="57"/>
        <v>9.8484848484848481E-2</v>
      </c>
    </row>
    <row r="325" spans="1:68" x14ac:dyDescent="0.2">
      <c r="A325" s="682"/>
      <c r="B325" s="681"/>
      <c r="C325" s="681"/>
      <c r="D325" s="681"/>
      <c r="E325" s="681"/>
      <c r="F325" s="681"/>
      <c r="G325" s="681"/>
      <c r="H325" s="681"/>
      <c r="I325" s="681"/>
      <c r="J325" s="681"/>
      <c r="K325" s="681"/>
      <c r="L325" s="681"/>
      <c r="M325" s="681"/>
      <c r="N325" s="681"/>
      <c r="O325" s="683"/>
      <c r="P325" s="679" t="s">
        <v>88</v>
      </c>
      <c r="Q325" s="670"/>
      <c r="R325" s="670"/>
      <c r="S325" s="670"/>
      <c r="T325" s="670"/>
      <c r="U325" s="670"/>
      <c r="V325" s="671"/>
      <c r="W325" s="37" t="s">
        <v>89</v>
      </c>
      <c r="X325" s="667">
        <f>IFERROR(X319/H319,"0")+IFERROR(X320/H320,"0")+IFERROR(X321/H321,"0")+IFERROR(X322/H322,"0")+IFERROR(X323/H323,"0")+IFERROR(X324/H324,"0")</f>
        <v>25.962962962962962</v>
      </c>
      <c r="Y325" s="667">
        <f>IFERROR(Y319/H319,"0")+IFERROR(Y320/H320,"0")+IFERROR(Y321/H321,"0")+IFERROR(Y322/H322,"0")+IFERROR(Y323/H323,"0")+IFERROR(Y324/H324,"0")</f>
        <v>27</v>
      </c>
      <c r="Z325" s="667">
        <f>IFERROR(IF(Z319="",0,Z319),"0")+IFERROR(IF(Z320="",0,Z320),"0")+IFERROR(IF(Z321="",0,Z321),"0")+IFERROR(IF(Z322="",0,Z322),"0")+IFERROR(IF(Z323="",0,Z323),"0")+IFERROR(IF(Z324="",0,Z324),"0")</f>
        <v>0.38297999999999999</v>
      </c>
      <c r="AA325" s="668"/>
      <c r="AB325" s="668"/>
      <c r="AC325" s="668"/>
    </row>
    <row r="326" spans="1:68" x14ac:dyDescent="0.2">
      <c r="A326" s="681"/>
      <c r="B326" s="681"/>
      <c r="C326" s="681"/>
      <c r="D326" s="681"/>
      <c r="E326" s="681"/>
      <c r="F326" s="681"/>
      <c r="G326" s="681"/>
      <c r="H326" s="681"/>
      <c r="I326" s="681"/>
      <c r="J326" s="681"/>
      <c r="K326" s="681"/>
      <c r="L326" s="681"/>
      <c r="M326" s="681"/>
      <c r="N326" s="681"/>
      <c r="O326" s="683"/>
      <c r="P326" s="679" t="s">
        <v>88</v>
      </c>
      <c r="Q326" s="670"/>
      <c r="R326" s="670"/>
      <c r="S326" s="670"/>
      <c r="T326" s="670"/>
      <c r="U326" s="670"/>
      <c r="V326" s="671"/>
      <c r="W326" s="37" t="s">
        <v>69</v>
      </c>
      <c r="X326" s="667">
        <f>IFERROR(SUM(X319:X324),"0")</f>
        <v>192</v>
      </c>
      <c r="Y326" s="667">
        <f>IFERROR(SUM(Y319:Y324),"0")</f>
        <v>203.2</v>
      </c>
      <c r="Z326" s="37"/>
      <c r="AA326" s="668"/>
      <c r="AB326" s="668"/>
      <c r="AC326" s="668"/>
    </row>
    <row r="327" spans="1:68" ht="14.25" customHeight="1" x14ac:dyDescent="0.25">
      <c r="A327" s="688" t="s">
        <v>149</v>
      </c>
      <c r="B327" s="681"/>
      <c r="C327" s="681"/>
      <c r="D327" s="681"/>
      <c r="E327" s="681"/>
      <c r="F327" s="681"/>
      <c r="G327" s="681"/>
      <c r="H327" s="681"/>
      <c r="I327" s="681"/>
      <c r="J327" s="681"/>
      <c r="K327" s="681"/>
      <c r="L327" s="681"/>
      <c r="M327" s="681"/>
      <c r="N327" s="681"/>
      <c r="O327" s="681"/>
      <c r="P327" s="681"/>
      <c r="Q327" s="681"/>
      <c r="R327" s="681"/>
      <c r="S327" s="681"/>
      <c r="T327" s="681"/>
      <c r="U327" s="681"/>
      <c r="V327" s="681"/>
      <c r="W327" s="681"/>
      <c r="X327" s="681"/>
      <c r="Y327" s="681"/>
      <c r="Z327" s="681"/>
      <c r="AA327" s="661"/>
      <c r="AB327" s="661"/>
      <c r="AC327" s="661"/>
    </row>
    <row r="328" spans="1:68" ht="27" customHeight="1" x14ac:dyDescent="0.25">
      <c r="A328" s="54" t="s">
        <v>508</v>
      </c>
      <c r="B328" s="54" t="s">
        <v>509</v>
      </c>
      <c r="C328" s="31">
        <v>4301030878</v>
      </c>
      <c r="D328" s="677">
        <v>4607091387193</v>
      </c>
      <c r="E328" s="678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10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5"/>
      <c r="R328" s="685"/>
      <c r="S328" s="685"/>
      <c r="T328" s="686"/>
      <c r="U328" s="34"/>
      <c r="V328" s="34"/>
      <c r="W328" s="35" t="s">
        <v>69</v>
      </c>
      <c r="X328" s="665">
        <v>20</v>
      </c>
      <c r="Y328" s="666">
        <f>IFERROR(IF(X328="",0,CEILING((X328/$H328),1)*$H328),"")</f>
        <v>21</v>
      </c>
      <c r="Z328" s="36">
        <f>IFERROR(IF(Y328=0,"",ROUNDUP(Y328/H328,0)*0.00902),"")</f>
        <v>4.5100000000000001E-2</v>
      </c>
      <c r="AA328" s="56"/>
      <c r="AB328" s="57"/>
      <c r="AC328" s="371" t="s">
        <v>510</v>
      </c>
      <c r="AG328" s="64"/>
      <c r="AJ328" s="68"/>
      <c r="AK328" s="68">
        <v>0</v>
      </c>
      <c r="BB328" s="372" t="s">
        <v>1</v>
      </c>
      <c r="BM328" s="64">
        <f>IFERROR(X328*I328/H328,"0")</f>
        <v>21.285714285714281</v>
      </c>
      <c r="BN328" s="64">
        <f>IFERROR(Y328*I328/H328,"0")</f>
        <v>22.349999999999998</v>
      </c>
      <c r="BO328" s="64">
        <f>IFERROR(1/J328*(X328/H328),"0")</f>
        <v>3.6075036075036072E-2</v>
      </c>
      <c r="BP328" s="64">
        <f>IFERROR(1/J328*(Y328/H328),"0")</f>
        <v>3.787878787878788E-2</v>
      </c>
    </row>
    <row r="329" spans="1:68" ht="27" customHeight="1" x14ac:dyDescent="0.25">
      <c r="A329" s="54" t="s">
        <v>511</v>
      </c>
      <c r="B329" s="54" t="s">
        <v>512</v>
      </c>
      <c r="C329" s="31">
        <v>4301031153</v>
      </c>
      <c r="D329" s="677">
        <v>4607091387230</v>
      </c>
      <c r="E329" s="678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10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5"/>
      <c r="R329" s="685"/>
      <c r="S329" s="685"/>
      <c r="T329" s="686"/>
      <c r="U329" s="34"/>
      <c r="V329" s="34"/>
      <c r="W329" s="35" t="s">
        <v>69</v>
      </c>
      <c r="X329" s="665">
        <v>50</v>
      </c>
      <c r="Y329" s="666">
        <f>IFERROR(IF(X329="",0,CEILING((X329/$H329),1)*$H329),"")</f>
        <v>50.400000000000006</v>
      </c>
      <c r="Z329" s="36">
        <f>IFERROR(IF(Y329=0,"",ROUNDUP(Y329/H329,0)*0.00902),"")</f>
        <v>0.10824</v>
      </c>
      <c r="AA329" s="56"/>
      <c r="AB329" s="57"/>
      <c r="AC329" s="373" t="s">
        <v>513</v>
      </c>
      <c r="AG329" s="64"/>
      <c r="AJ329" s="68"/>
      <c r="AK329" s="68">
        <v>0</v>
      </c>
      <c r="BB329" s="374" t="s">
        <v>1</v>
      </c>
      <c r="BM329" s="64">
        <f>IFERROR(X329*I329/H329,"0")</f>
        <v>53.214285714285715</v>
      </c>
      <c r="BN329" s="64">
        <f>IFERROR(Y329*I329/H329,"0")</f>
        <v>53.64</v>
      </c>
      <c r="BO329" s="64">
        <f>IFERROR(1/J329*(X329/H329),"0")</f>
        <v>9.0187590187590191E-2</v>
      </c>
      <c r="BP329" s="64">
        <f>IFERROR(1/J329*(Y329/H329),"0")</f>
        <v>9.0909090909090912E-2</v>
      </c>
    </row>
    <row r="330" spans="1:68" ht="27" customHeight="1" x14ac:dyDescent="0.25">
      <c r="A330" s="54" t="s">
        <v>514</v>
      </c>
      <c r="B330" s="54" t="s">
        <v>515</v>
      </c>
      <c r="C330" s="31">
        <v>4301031154</v>
      </c>
      <c r="D330" s="677">
        <v>4607091387292</v>
      </c>
      <c r="E330" s="678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5"/>
      <c r="R330" s="685"/>
      <c r="S330" s="685"/>
      <c r="T330" s="686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516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517</v>
      </c>
      <c r="B331" s="54" t="s">
        <v>518</v>
      </c>
      <c r="C331" s="31">
        <v>4301031152</v>
      </c>
      <c r="D331" s="677">
        <v>4607091387285</v>
      </c>
      <c r="E331" s="678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5"/>
      <c r="R331" s="685"/>
      <c r="S331" s="685"/>
      <c r="T331" s="686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513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82"/>
      <c r="B332" s="681"/>
      <c r="C332" s="681"/>
      <c r="D332" s="681"/>
      <c r="E332" s="681"/>
      <c r="F332" s="681"/>
      <c r="G332" s="681"/>
      <c r="H332" s="681"/>
      <c r="I332" s="681"/>
      <c r="J332" s="681"/>
      <c r="K332" s="681"/>
      <c r="L332" s="681"/>
      <c r="M332" s="681"/>
      <c r="N332" s="681"/>
      <c r="O332" s="683"/>
      <c r="P332" s="679" t="s">
        <v>88</v>
      </c>
      <c r="Q332" s="670"/>
      <c r="R332" s="670"/>
      <c r="S332" s="670"/>
      <c r="T332" s="670"/>
      <c r="U332" s="670"/>
      <c r="V332" s="671"/>
      <c r="W332" s="37" t="s">
        <v>89</v>
      </c>
      <c r="X332" s="667">
        <f>IFERROR(X328/H328,"0")+IFERROR(X329/H329,"0")+IFERROR(X330/H330,"0")+IFERROR(X331/H331,"0")</f>
        <v>16.666666666666668</v>
      </c>
      <c r="Y332" s="667">
        <f>IFERROR(Y328/H328,"0")+IFERROR(Y329/H329,"0")+IFERROR(Y330/H330,"0")+IFERROR(Y331/H331,"0")</f>
        <v>17</v>
      </c>
      <c r="Z332" s="667">
        <f>IFERROR(IF(Z328="",0,Z328),"0")+IFERROR(IF(Z329="",0,Z329),"0")+IFERROR(IF(Z330="",0,Z330),"0")+IFERROR(IF(Z331="",0,Z331),"0")</f>
        <v>0.15334</v>
      </c>
      <c r="AA332" s="668"/>
      <c r="AB332" s="668"/>
      <c r="AC332" s="668"/>
    </row>
    <row r="333" spans="1:68" x14ac:dyDescent="0.2">
      <c r="A333" s="681"/>
      <c r="B333" s="681"/>
      <c r="C333" s="681"/>
      <c r="D333" s="681"/>
      <c r="E333" s="681"/>
      <c r="F333" s="681"/>
      <c r="G333" s="681"/>
      <c r="H333" s="681"/>
      <c r="I333" s="681"/>
      <c r="J333" s="681"/>
      <c r="K333" s="681"/>
      <c r="L333" s="681"/>
      <c r="M333" s="681"/>
      <c r="N333" s="681"/>
      <c r="O333" s="683"/>
      <c r="P333" s="679" t="s">
        <v>88</v>
      </c>
      <c r="Q333" s="670"/>
      <c r="R333" s="670"/>
      <c r="S333" s="670"/>
      <c r="T333" s="670"/>
      <c r="U333" s="670"/>
      <c r="V333" s="671"/>
      <c r="W333" s="37" t="s">
        <v>69</v>
      </c>
      <c r="X333" s="667">
        <f>IFERROR(SUM(X328:X331),"0")</f>
        <v>70</v>
      </c>
      <c r="Y333" s="667">
        <f>IFERROR(SUM(Y328:Y331),"0")</f>
        <v>71.400000000000006</v>
      </c>
      <c r="Z333" s="37"/>
      <c r="AA333" s="668"/>
      <c r="AB333" s="668"/>
      <c r="AC333" s="668"/>
    </row>
    <row r="334" spans="1:68" ht="14.25" customHeight="1" x14ac:dyDescent="0.25">
      <c r="A334" s="688" t="s">
        <v>64</v>
      </c>
      <c r="B334" s="681"/>
      <c r="C334" s="681"/>
      <c r="D334" s="681"/>
      <c r="E334" s="681"/>
      <c r="F334" s="681"/>
      <c r="G334" s="681"/>
      <c r="H334" s="681"/>
      <c r="I334" s="681"/>
      <c r="J334" s="681"/>
      <c r="K334" s="681"/>
      <c r="L334" s="681"/>
      <c r="M334" s="681"/>
      <c r="N334" s="681"/>
      <c r="O334" s="681"/>
      <c r="P334" s="681"/>
      <c r="Q334" s="681"/>
      <c r="R334" s="681"/>
      <c r="S334" s="681"/>
      <c r="T334" s="681"/>
      <c r="U334" s="681"/>
      <c r="V334" s="681"/>
      <c r="W334" s="681"/>
      <c r="X334" s="681"/>
      <c r="Y334" s="681"/>
      <c r="Z334" s="681"/>
      <c r="AA334" s="661"/>
      <c r="AB334" s="661"/>
      <c r="AC334" s="661"/>
    </row>
    <row r="335" spans="1:68" ht="27" customHeight="1" x14ac:dyDescent="0.25">
      <c r="A335" s="54" t="s">
        <v>519</v>
      </c>
      <c r="B335" s="54" t="s">
        <v>520</v>
      </c>
      <c r="C335" s="31">
        <v>4301051100</v>
      </c>
      <c r="D335" s="677">
        <v>4607091387766</v>
      </c>
      <c r="E335" s="678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80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5"/>
      <c r="R335" s="685"/>
      <c r="S335" s="685"/>
      <c r="T335" s="686"/>
      <c r="U335" s="34"/>
      <c r="V335" s="34"/>
      <c r="W335" s="35" t="s">
        <v>69</v>
      </c>
      <c r="X335" s="665">
        <v>800</v>
      </c>
      <c r="Y335" s="666">
        <f>IFERROR(IF(X335="",0,CEILING((X335/$H335),1)*$H335),"")</f>
        <v>803.4</v>
      </c>
      <c r="Z335" s="36">
        <f>IFERROR(IF(Y335=0,"",ROUNDUP(Y335/H335,0)*0.01898),"")</f>
        <v>1.9549400000000001</v>
      </c>
      <c r="AA335" s="56"/>
      <c r="AB335" s="57"/>
      <c r="AC335" s="379" t="s">
        <v>521</v>
      </c>
      <c r="AG335" s="64"/>
      <c r="AJ335" s="68"/>
      <c r="AK335" s="68">
        <v>0</v>
      </c>
      <c r="BB335" s="380" t="s">
        <v>1</v>
      </c>
      <c r="BM335" s="64">
        <f>IFERROR(X335*I335/H335,"0")</f>
        <v>852.61538461538476</v>
      </c>
      <c r="BN335" s="64">
        <f>IFERROR(Y335*I335/H335,"0")</f>
        <v>856.23900000000003</v>
      </c>
      <c r="BO335" s="64">
        <f>IFERROR(1/J335*(X335/H335),"0")</f>
        <v>1.6025641025641026</v>
      </c>
      <c r="BP335" s="64">
        <f>IFERROR(1/J335*(Y335/H335),"0")</f>
        <v>1.609375</v>
      </c>
    </row>
    <row r="336" spans="1:68" ht="27" customHeight="1" x14ac:dyDescent="0.25">
      <c r="A336" s="54" t="s">
        <v>522</v>
      </c>
      <c r="B336" s="54" t="s">
        <v>523</v>
      </c>
      <c r="C336" s="31">
        <v>4301051818</v>
      </c>
      <c r="D336" s="677">
        <v>4607091387957</v>
      </c>
      <c r="E336" s="678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5"/>
      <c r="R336" s="685"/>
      <c r="S336" s="685"/>
      <c r="T336" s="686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525</v>
      </c>
      <c r="B337" s="54" t="s">
        <v>526</v>
      </c>
      <c r="C337" s="31">
        <v>4301051819</v>
      </c>
      <c r="D337" s="677">
        <v>4607091387964</v>
      </c>
      <c r="E337" s="678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5"/>
      <c r="R337" s="685"/>
      <c r="S337" s="685"/>
      <c r="T337" s="686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528</v>
      </c>
      <c r="B338" s="54" t="s">
        <v>529</v>
      </c>
      <c r="C338" s="31">
        <v>4301051734</v>
      </c>
      <c r="D338" s="677">
        <v>4680115884588</v>
      </c>
      <c r="E338" s="678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5"/>
      <c r="R338" s="685"/>
      <c r="S338" s="685"/>
      <c r="T338" s="686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531</v>
      </c>
      <c r="B339" s="54" t="s">
        <v>532</v>
      </c>
      <c r="C339" s="31">
        <v>4301051578</v>
      </c>
      <c r="D339" s="677">
        <v>4607091387513</v>
      </c>
      <c r="E339" s="678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98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5"/>
      <c r="R339" s="685"/>
      <c r="S339" s="685"/>
      <c r="T339" s="686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533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82"/>
      <c r="B340" s="681"/>
      <c r="C340" s="681"/>
      <c r="D340" s="681"/>
      <c r="E340" s="681"/>
      <c r="F340" s="681"/>
      <c r="G340" s="681"/>
      <c r="H340" s="681"/>
      <c r="I340" s="681"/>
      <c r="J340" s="681"/>
      <c r="K340" s="681"/>
      <c r="L340" s="681"/>
      <c r="M340" s="681"/>
      <c r="N340" s="681"/>
      <c r="O340" s="683"/>
      <c r="P340" s="679" t="s">
        <v>88</v>
      </c>
      <c r="Q340" s="670"/>
      <c r="R340" s="670"/>
      <c r="S340" s="670"/>
      <c r="T340" s="670"/>
      <c r="U340" s="670"/>
      <c r="V340" s="671"/>
      <c r="W340" s="37" t="s">
        <v>89</v>
      </c>
      <c r="X340" s="667">
        <f>IFERROR(X335/H335,"0")+IFERROR(X336/H336,"0")+IFERROR(X337/H337,"0")+IFERROR(X338/H338,"0")+IFERROR(X339/H339,"0")</f>
        <v>102.56410256410257</v>
      </c>
      <c r="Y340" s="667">
        <f>IFERROR(Y335/H335,"0")+IFERROR(Y336/H336,"0")+IFERROR(Y337/H337,"0")+IFERROR(Y338/H338,"0")+IFERROR(Y339/H339,"0")</f>
        <v>103</v>
      </c>
      <c r="Z340" s="667">
        <f>IFERROR(IF(Z335="",0,Z335),"0")+IFERROR(IF(Z336="",0,Z336),"0")+IFERROR(IF(Z337="",0,Z337),"0")+IFERROR(IF(Z338="",0,Z338),"0")+IFERROR(IF(Z339="",0,Z339),"0")</f>
        <v>1.9549400000000001</v>
      </c>
      <c r="AA340" s="668"/>
      <c r="AB340" s="668"/>
      <c r="AC340" s="668"/>
    </row>
    <row r="341" spans="1:68" x14ac:dyDescent="0.2">
      <c r="A341" s="681"/>
      <c r="B341" s="681"/>
      <c r="C341" s="681"/>
      <c r="D341" s="681"/>
      <c r="E341" s="681"/>
      <c r="F341" s="681"/>
      <c r="G341" s="681"/>
      <c r="H341" s="681"/>
      <c r="I341" s="681"/>
      <c r="J341" s="681"/>
      <c r="K341" s="681"/>
      <c r="L341" s="681"/>
      <c r="M341" s="681"/>
      <c r="N341" s="681"/>
      <c r="O341" s="683"/>
      <c r="P341" s="679" t="s">
        <v>88</v>
      </c>
      <c r="Q341" s="670"/>
      <c r="R341" s="670"/>
      <c r="S341" s="670"/>
      <c r="T341" s="670"/>
      <c r="U341" s="670"/>
      <c r="V341" s="671"/>
      <c r="W341" s="37" t="s">
        <v>69</v>
      </c>
      <c r="X341" s="667">
        <f>IFERROR(SUM(X335:X339),"0")</f>
        <v>800</v>
      </c>
      <c r="Y341" s="667">
        <f>IFERROR(SUM(Y335:Y339),"0")</f>
        <v>803.4</v>
      </c>
      <c r="Z341" s="37"/>
      <c r="AA341" s="668"/>
      <c r="AB341" s="668"/>
      <c r="AC341" s="668"/>
    </row>
    <row r="342" spans="1:68" ht="14.25" customHeight="1" x14ac:dyDescent="0.25">
      <c r="A342" s="688" t="s">
        <v>175</v>
      </c>
      <c r="B342" s="681"/>
      <c r="C342" s="681"/>
      <c r="D342" s="681"/>
      <c r="E342" s="681"/>
      <c r="F342" s="681"/>
      <c r="G342" s="681"/>
      <c r="H342" s="681"/>
      <c r="I342" s="681"/>
      <c r="J342" s="681"/>
      <c r="K342" s="681"/>
      <c r="L342" s="681"/>
      <c r="M342" s="681"/>
      <c r="N342" s="681"/>
      <c r="O342" s="681"/>
      <c r="P342" s="681"/>
      <c r="Q342" s="681"/>
      <c r="R342" s="681"/>
      <c r="S342" s="681"/>
      <c r="T342" s="681"/>
      <c r="U342" s="681"/>
      <c r="V342" s="681"/>
      <c r="W342" s="681"/>
      <c r="X342" s="681"/>
      <c r="Y342" s="681"/>
      <c r="Z342" s="681"/>
      <c r="AA342" s="661"/>
      <c r="AB342" s="661"/>
      <c r="AC342" s="661"/>
    </row>
    <row r="343" spans="1:68" ht="27" customHeight="1" x14ac:dyDescent="0.25">
      <c r="A343" s="54" t="s">
        <v>534</v>
      </c>
      <c r="B343" s="54" t="s">
        <v>535</v>
      </c>
      <c r="C343" s="31">
        <v>4301060387</v>
      </c>
      <c r="D343" s="677">
        <v>4607091380880</v>
      </c>
      <c r="E343" s="678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8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5"/>
      <c r="R343" s="685"/>
      <c r="S343" s="685"/>
      <c r="T343" s="686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536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537</v>
      </c>
      <c r="B344" s="54" t="s">
        <v>538</v>
      </c>
      <c r="C344" s="31">
        <v>4301060406</v>
      </c>
      <c r="D344" s="677">
        <v>4607091384482</v>
      </c>
      <c r="E344" s="678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5"/>
      <c r="R344" s="685"/>
      <c r="S344" s="685"/>
      <c r="T344" s="686"/>
      <c r="U344" s="34"/>
      <c r="V344" s="34"/>
      <c r="W344" s="35" t="s">
        <v>69</v>
      </c>
      <c r="X344" s="665">
        <v>48</v>
      </c>
      <c r="Y344" s="666">
        <f>IFERROR(IF(X344="",0,CEILING((X344/$H344),1)*$H344),"")</f>
        <v>54.6</v>
      </c>
      <c r="Z344" s="36">
        <f>IFERROR(IF(Y344=0,"",ROUNDUP(Y344/H344,0)*0.01898),"")</f>
        <v>0.13286000000000001</v>
      </c>
      <c r="AA344" s="56"/>
      <c r="AB344" s="57"/>
      <c r="AC344" s="391" t="s">
        <v>539</v>
      </c>
      <c r="AG344" s="64"/>
      <c r="AJ344" s="68"/>
      <c r="AK344" s="68">
        <v>0</v>
      </c>
      <c r="BB344" s="392" t="s">
        <v>1</v>
      </c>
      <c r="BM344" s="64">
        <f>IFERROR(X344*I344/H344,"0")</f>
        <v>51.19384615384616</v>
      </c>
      <c r="BN344" s="64">
        <f>IFERROR(Y344*I344/H344,"0")</f>
        <v>58.233000000000011</v>
      </c>
      <c r="BO344" s="64">
        <f>IFERROR(1/J344*(X344/H344),"0")</f>
        <v>9.6153846153846159E-2</v>
      </c>
      <c r="BP344" s="64">
        <f>IFERROR(1/J344*(Y344/H344),"0")</f>
        <v>0.109375</v>
      </c>
    </row>
    <row r="345" spans="1:68" ht="16.5" customHeight="1" x14ac:dyDescent="0.25">
      <c r="A345" s="54" t="s">
        <v>540</v>
      </c>
      <c r="B345" s="54" t="s">
        <v>541</v>
      </c>
      <c r="C345" s="31">
        <v>4301060484</v>
      </c>
      <c r="D345" s="677">
        <v>4607091380897</v>
      </c>
      <c r="E345" s="678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8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5"/>
      <c r="R345" s="685"/>
      <c r="S345" s="685"/>
      <c r="T345" s="686"/>
      <c r="U345" s="34"/>
      <c r="V345" s="34"/>
      <c r="W345" s="35" t="s">
        <v>69</v>
      </c>
      <c r="X345" s="665">
        <v>30</v>
      </c>
      <c r="Y345" s="666">
        <f>IFERROR(IF(X345="",0,CEILING((X345/$H345),1)*$H345),"")</f>
        <v>33.6</v>
      </c>
      <c r="Z345" s="36">
        <f>IFERROR(IF(Y345=0,"",ROUNDUP(Y345/H345,0)*0.01898),"")</f>
        <v>7.5920000000000001E-2</v>
      </c>
      <c r="AA345" s="56"/>
      <c r="AB345" s="57"/>
      <c r="AC345" s="393" t="s">
        <v>542</v>
      </c>
      <c r="AG345" s="64"/>
      <c r="AJ345" s="68"/>
      <c r="AK345" s="68">
        <v>0</v>
      </c>
      <c r="BB345" s="394" t="s">
        <v>1</v>
      </c>
      <c r="BM345" s="64">
        <f>IFERROR(X345*I345/H345,"0")</f>
        <v>31.853571428571428</v>
      </c>
      <c r="BN345" s="64">
        <f>IFERROR(Y345*I345/H345,"0")</f>
        <v>35.676000000000002</v>
      </c>
      <c r="BO345" s="64">
        <f>IFERROR(1/J345*(X345/H345),"0")</f>
        <v>5.5803571428571425E-2</v>
      </c>
      <c r="BP345" s="64">
        <f>IFERROR(1/J345*(Y345/H345),"0")</f>
        <v>6.25E-2</v>
      </c>
    </row>
    <row r="346" spans="1:68" x14ac:dyDescent="0.2">
      <c r="A346" s="682"/>
      <c r="B346" s="681"/>
      <c r="C346" s="681"/>
      <c r="D346" s="681"/>
      <c r="E346" s="681"/>
      <c r="F346" s="681"/>
      <c r="G346" s="681"/>
      <c r="H346" s="681"/>
      <c r="I346" s="681"/>
      <c r="J346" s="681"/>
      <c r="K346" s="681"/>
      <c r="L346" s="681"/>
      <c r="M346" s="681"/>
      <c r="N346" s="681"/>
      <c r="O346" s="683"/>
      <c r="P346" s="679" t="s">
        <v>88</v>
      </c>
      <c r="Q346" s="670"/>
      <c r="R346" s="670"/>
      <c r="S346" s="670"/>
      <c r="T346" s="670"/>
      <c r="U346" s="670"/>
      <c r="V346" s="671"/>
      <c r="W346" s="37" t="s">
        <v>89</v>
      </c>
      <c r="X346" s="667">
        <f>IFERROR(X343/H343,"0")+IFERROR(X344/H344,"0")+IFERROR(X345/H345,"0")</f>
        <v>9.7252747252747263</v>
      </c>
      <c r="Y346" s="667">
        <f>IFERROR(Y343/H343,"0")+IFERROR(Y344/H344,"0")+IFERROR(Y345/H345,"0")</f>
        <v>11</v>
      </c>
      <c r="Z346" s="667">
        <f>IFERROR(IF(Z343="",0,Z343),"0")+IFERROR(IF(Z344="",0,Z344),"0")+IFERROR(IF(Z345="",0,Z345),"0")</f>
        <v>0.20878000000000002</v>
      </c>
      <c r="AA346" s="668"/>
      <c r="AB346" s="668"/>
      <c r="AC346" s="668"/>
    </row>
    <row r="347" spans="1:68" x14ac:dyDescent="0.2">
      <c r="A347" s="681"/>
      <c r="B347" s="681"/>
      <c r="C347" s="681"/>
      <c r="D347" s="681"/>
      <c r="E347" s="681"/>
      <c r="F347" s="681"/>
      <c r="G347" s="681"/>
      <c r="H347" s="681"/>
      <c r="I347" s="681"/>
      <c r="J347" s="681"/>
      <c r="K347" s="681"/>
      <c r="L347" s="681"/>
      <c r="M347" s="681"/>
      <c r="N347" s="681"/>
      <c r="O347" s="683"/>
      <c r="P347" s="679" t="s">
        <v>88</v>
      </c>
      <c r="Q347" s="670"/>
      <c r="R347" s="670"/>
      <c r="S347" s="670"/>
      <c r="T347" s="670"/>
      <c r="U347" s="670"/>
      <c r="V347" s="671"/>
      <c r="W347" s="37" t="s">
        <v>69</v>
      </c>
      <c r="X347" s="667">
        <f>IFERROR(SUM(X343:X345),"0")</f>
        <v>78</v>
      </c>
      <c r="Y347" s="667">
        <f>IFERROR(SUM(Y343:Y345),"0")</f>
        <v>88.2</v>
      </c>
      <c r="Z347" s="37"/>
      <c r="AA347" s="668"/>
      <c r="AB347" s="668"/>
      <c r="AC347" s="668"/>
    </row>
    <row r="348" spans="1:68" ht="14.25" customHeight="1" x14ac:dyDescent="0.25">
      <c r="A348" s="688" t="s">
        <v>90</v>
      </c>
      <c r="B348" s="681"/>
      <c r="C348" s="681"/>
      <c r="D348" s="681"/>
      <c r="E348" s="681"/>
      <c r="F348" s="681"/>
      <c r="G348" s="681"/>
      <c r="H348" s="681"/>
      <c r="I348" s="681"/>
      <c r="J348" s="681"/>
      <c r="K348" s="681"/>
      <c r="L348" s="681"/>
      <c r="M348" s="681"/>
      <c r="N348" s="681"/>
      <c r="O348" s="681"/>
      <c r="P348" s="681"/>
      <c r="Q348" s="681"/>
      <c r="R348" s="681"/>
      <c r="S348" s="681"/>
      <c r="T348" s="681"/>
      <c r="U348" s="681"/>
      <c r="V348" s="681"/>
      <c r="W348" s="681"/>
      <c r="X348" s="681"/>
      <c r="Y348" s="681"/>
      <c r="Z348" s="681"/>
      <c r="AA348" s="661"/>
      <c r="AB348" s="661"/>
      <c r="AC348" s="661"/>
    </row>
    <row r="349" spans="1:68" ht="27" customHeight="1" x14ac:dyDescent="0.25">
      <c r="A349" s="54" t="s">
        <v>543</v>
      </c>
      <c r="B349" s="54" t="s">
        <v>544</v>
      </c>
      <c r="C349" s="31">
        <v>4301032055</v>
      </c>
      <c r="D349" s="677">
        <v>4680115886476</v>
      </c>
      <c r="E349" s="678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760" t="s">
        <v>545</v>
      </c>
      <c r="Q349" s="685"/>
      <c r="R349" s="685"/>
      <c r="S349" s="685"/>
      <c r="T349" s="686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546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547</v>
      </c>
      <c r="B350" s="54" t="s">
        <v>548</v>
      </c>
      <c r="C350" s="31">
        <v>4301030232</v>
      </c>
      <c r="D350" s="677">
        <v>4607091388374</v>
      </c>
      <c r="E350" s="678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954" t="s">
        <v>549</v>
      </c>
      <c r="Q350" s="685"/>
      <c r="R350" s="685"/>
      <c r="S350" s="685"/>
      <c r="T350" s="686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550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551</v>
      </c>
      <c r="B351" s="54" t="s">
        <v>552</v>
      </c>
      <c r="C351" s="31">
        <v>4301032015</v>
      </c>
      <c r="D351" s="677">
        <v>4607091383102</v>
      </c>
      <c r="E351" s="678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5"/>
      <c r="R351" s="685"/>
      <c r="S351" s="685"/>
      <c r="T351" s="686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553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554</v>
      </c>
      <c r="B352" s="54" t="s">
        <v>555</v>
      </c>
      <c r="C352" s="31">
        <v>4301030233</v>
      </c>
      <c r="D352" s="677">
        <v>4607091388404</v>
      </c>
      <c r="E352" s="678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96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5"/>
      <c r="R352" s="685"/>
      <c r="S352" s="685"/>
      <c r="T352" s="686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550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82"/>
      <c r="B353" s="681"/>
      <c r="C353" s="681"/>
      <c r="D353" s="681"/>
      <c r="E353" s="681"/>
      <c r="F353" s="681"/>
      <c r="G353" s="681"/>
      <c r="H353" s="681"/>
      <c r="I353" s="681"/>
      <c r="J353" s="681"/>
      <c r="K353" s="681"/>
      <c r="L353" s="681"/>
      <c r="M353" s="681"/>
      <c r="N353" s="681"/>
      <c r="O353" s="683"/>
      <c r="P353" s="679" t="s">
        <v>88</v>
      </c>
      <c r="Q353" s="670"/>
      <c r="R353" s="670"/>
      <c r="S353" s="670"/>
      <c r="T353" s="670"/>
      <c r="U353" s="670"/>
      <c r="V353" s="671"/>
      <c r="W353" s="37" t="s">
        <v>89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1"/>
      <c r="B354" s="681"/>
      <c r="C354" s="681"/>
      <c r="D354" s="681"/>
      <c r="E354" s="681"/>
      <c r="F354" s="681"/>
      <c r="G354" s="681"/>
      <c r="H354" s="681"/>
      <c r="I354" s="681"/>
      <c r="J354" s="681"/>
      <c r="K354" s="681"/>
      <c r="L354" s="681"/>
      <c r="M354" s="681"/>
      <c r="N354" s="681"/>
      <c r="O354" s="683"/>
      <c r="P354" s="679" t="s">
        <v>88</v>
      </c>
      <c r="Q354" s="670"/>
      <c r="R354" s="670"/>
      <c r="S354" s="670"/>
      <c r="T354" s="670"/>
      <c r="U354" s="670"/>
      <c r="V354" s="671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8" t="s">
        <v>556</v>
      </c>
      <c r="B355" s="681"/>
      <c r="C355" s="681"/>
      <c r="D355" s="681"/>
      <c r="E355" s="681"/>
      <c r="F355" s="681"/>
      <c r="G355" s="681"/>
      <c r="H355" s="681"/>
      <c r="I355" s="681"/>
      <c r="J355" s="681"/>
      <c r="K355" s="681"/>
      <c r="L355" s="681"/>
      <c r="M355" s="681"/>
      <c r="N355" s="681"/>
      <c r="O355" s="681"/>
      <c r="P355" s="681"/>
      <c r="Q355" s="681"/>
      <c r="R355" s="681"/>
      <c r="S355" s="681"/>
      <c r="T355" s="681"/>
      <c r="U355" s="681"/>
      <c r="V355" s="681"/>
      <c r="W355" s="681"/>
      <c r="X355" s="681"/>
      <c r="Y355" s="681"/>
      <c r="Z355" s="681"/>
      <c r="AA355" s="661"/>
      <c r="AB355" s="661"/>
      <c r="AC355" s="661"/>
    </row>
    <row r="356" spans="1:68" ht="16.5" customHeight="1" x14ac:dyDescent="0.25">
      <c r="A356" s="54" t="s">
        <v>557</v>
      </c>
      <c r="B356" s="54" t="s">
        <v>558</v>
      </c>
      <c r="C356" s="31">
        <v>4301180007</v>
      </c>
      <c r="D356" s="677">
        <v>4680115881808</v>
      </c>
      <c r="E356" s="678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559</v>
      </c>
      <c r="N356" s="33"/>
      <c r="O356" s="32">
        <v>730</v>
      </c>
      <c r="P356" s="90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5"/>
      <c r="R356" s="685"/>
      <c r="S356" s="685"/>
      <c r="T356" s="686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560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561</v>
      </c>
      <c r="B357" s="54" t="s">
        <v>562</v>
      </c>
      <c r="C357" s="31">
        <v>4301180006</v>
      </c>
      <c r="D357" s="677">
        <v>4680115881822</v>
      </c>
      <c r="E357" s="678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559</v>
      </c>
      <c r="N357" s="33"/>
      <c r="O357" s="32">
        <v>730</v>
      </c>
      <c r="P357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5"/>
      <c r="R357" s="685"/>
      <c r="S357" s="685"/>
      <c r="T357" s="686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4301180001</v>
      </c>
      <c r="D358" s="677">
        <v>4680115880016</v>
      </c>
      <c r="E358" s="678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559</v>
      </c>
      <c r="N358" s="33"/>
      <c r="O358" s="32">
        <v>730</v>
      </c>
      <c r="P358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5"/>
      <c r="R358" s="685"/>
      <c r="S358" s="685"/>
      <c r="T358" s="686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560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82"/>
      <c r="B359" s="681"/>
      <c r="C359" s="681"/>
      <c r="D359" s="681"/>
      <c r="E359" s="681"/>
      <c r="F359" s="681"/>
      <c r="G359" s="681"/>
      <c r="H359" s="681"/>
      <c r="I359" s="681"/>
      <c r="J359" s="681"/>
      <c r="K359" s="681"/>
      <c r="L359" s="681"/>
      <c r="M359" s="681"/>
      <c r="N359" s="681"/>
      <c r="O359" s="683"/>
      <c r="P359" s="679" t="s">
        <v>88</v>
      </c>
      <c r="Q359" s="670"/>
      <c r="R359" s="670"/>
      <c r="S359" s="670"/>
      <c r="T359" s="670"/>
      <c r="U359" s="670"/>
      <c r="V359" s="671"/>
      <c r="W359" s="37" t="s">
        <v>89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1"/>
      <c r="B360" s="681"/>
      <c r="C360" s="681"/>
      <c r="D360" s="681"/>
      <c r="E360" s="681"/>
      <c r="F360" s="681"/>
      <c r="G360" s="681"/>
      <c r="H360" s="681"/>
      <c r="I360" s="681"/>
      <c r="J360" s="681"/>
      <c r="K360" s="681"/>
      <c r="L360" s="681"/>
      <c r="M360" s="681"/>
      <c r="N360" s="681"/>
      <c r="O360" s="683"/>
      <c r="P360" s="679" t="s">
        <v>88</v>
      </c>
      <c r="Q360" s="670"/>
      <c r="R360" s="670"/>
      <c r="S360" s="670"/>
      <c r="T360" s="670"/>
      <c r="U360" s="670"/>
      <c r="V360" s="671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690" t="s">
        <v>565</v>
      </c>
      <c r="B361" s="681"/>
      <c r="C361" s="681"/>
      <c r="D361" s="681"/>
      <c r="E361" s="681"/>
      <c r="F361" s="681"/>
      <c r="G361" s="681"/>
      <c r="H361" s="681"/>
      <c r="I361" s="681"/>
      <c r="J361" s="681"/>
      <c r="K361" s="681"/>
      <c r="L361" s="681"/>
      <c r="M361" s="681"/>
      <c r="N361" s="681"/>
      <c r="O361" s="681"/>
      <c r="P361" s="681"/>
      <c r="Q361" s="681"/>
      <c r="R361" s="681"/>
      <c r="S361" s="681"/>
      <c r="T361" s="681"/>
      <c r="U361" s="681"/>
      <c r="V361" s="681"/>
      <c r="W361" s="681"/>
      <c r="X361" s="681"/>
      <c r="Y361" s="681"/>
      <c r="Z361" s="681"/>
      <c r="AA361" s="660"/>
      <c r="AB361" s="660"/>
      <c r="AC361" s="660"/>
    </row>
    <row r="362" spans="1:68" ht="14.25" customHeight="1" x14ac:dyDescent="0.25">
      <c r="A362" s="688" t="s">
        <v>149</v>
      </c>
      <c r="B362" s="681"/>
      <c r="C362" s="681"/>
      <c r="D362" s="681"/>
      <c r="E362" s="681"/>
      <c r="F362" s="681"/>
      <c r="G362" s="681"/>
      <c r="H362" s="681"/>
      <c r="I362" s="681"/>
      <c r="J362" s="681"/>
      <c r="K362" s="681"/>
      <c r="L362" s="681"/>
      <c r="M362" s="681"/>
      <c r="N362" s="681"/>
      <c r="O362" s="681"/>
      <c r="P362" s="681"/>
      <c r="Q362" s="681"/>
      <c r="R362" s="681"/>
      <c r="S362" s="681"/>
      <c r="T362" s="681"/>
      <c r="U362" s="681"/>
      <c r="V362" s="681"/>
      <c r="W362" s="681"/>
      <c r="X362" s="681"/>
      <c r="Y362" s="681"/>
      <c r="Z362" s="681"/>
      <c r="AA362" s="661"/>
      <c r="AB362" s="661"/>
      <c r="AC362" s="661"/>
    </row>
    <row r="363" spans="1:68" ht="27" customHeight="1" x14ac:dyDescent="0.25">
      <c r="A363" s="54" t="s">
        <v>566</v>
      </c>
      <c r="B363" s="54" t="s">
        <v>567</v>
      </c>
      <c r="C363" s="31">
        <v>4301031066</v>
      </c>
      <c r="D363" s="677">
        <v>4607091383836</v>
      </c>
      <c r="E363" s="678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6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5"/>
      <c r="R363" s="685"/>
      <c r="S363" s="685"/>
      <c r="T363" s="686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568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82"/>
      <c r="B364" s="681"/>
      <c r="C364" s="681"/>
      <c r="D364" s="681"/>
      <c r="E364" s="681"/>
      <c r="F364" s="681"/>
      <c r="G364" s="681"/>
      <c r="H364" s="681"/>
      <c r="I364" s="681"/>
      <c r="J364" s="681"/>
      <c r="K364" s="681"/>
      <c r="L364" s="681"/>
      <c r="M364" s="681"/>
      <c r="N364" s="681"/>
      <c r="O364" s="683"/>
      <c r="P364" s="679" t="s">
        <v>88</v>
      </c>
      <c r="Q364" s="670"/>
      <c r="R364" s="670"/>
      <c r="S364" s="670"/>
      <c r="T364" s="670"/>
      <c r="U364" s="670"/>
      <c r="V364" s="671"/>
      <c r="W364" s="37" t="s">
        <v>89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1"/>
      <c r="B365" s="681"/>
      <c r="C365" s="681"/>
      <c r="D365" s="681"/>
      <c r="E365" s="681"/>
      <c r="F365" s="681"/>
      <c r="G365" s="681"/>
      <c r="H365" s="681"/>
      <c r="I365" s="681"/>
      <c r="J365" s="681"/>
      <c r="K365" s="681"/>
      <c r="L365" s="681"/>
      <c r="M365" s="681"/>
      <c r="N365" s="681"/>
      <c r="O365" s="683"/>
      <c r="P365" s="679" t="s">
        <v>88</v>
      </c>
      <c r="Q365" s="670"/>
      <c r="R365" s="670"/>
      <c r="S365" s="670"/>
      <c r="T365" s="670"/>
      <c r="U365" s="670"/>
      <c r="V365" s="671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8" t="s">
        <v>64</v>
      </c>
      <c r="B366" s="681"/>
      <c r="C366" s="681"/>
      <c r="D366" s="681"/>
      <c r="E366" s="681"/>
      <c r="F366" s="681"/>
      <c r="G366" s="681"/>
      <c r="H366" s="681"/>
      <c r="I366" s="681"/>
      <c r="J366" s="681"/>
      <c r="K366" s="681"/>
      <c r="L366" s="681"/>
      <c r="M366" s="681"/>
      <c r="N366" s="681"/>
      <c r="O366" s="681"/>
      <c r="P366" s="681"/>
      <c r="Q366" s="681"/>
      <c r="R366" s="681"/>
      <c r="S366" s="681"/>
      <c r="T366" s="681"/>
      <c r="U366" s="681"/>
      <c r="V366" s="681"/>
      <c r="W366" s="681"/>
      <c r="X366" s="681"/>
      <c r="Y366" s="681"/>
      <c r="Z366" s="681"/>
      <c r="AA366" s="661"/>
      <c r="AB366" s="661"/>
      <c r="AC366" s="661"/>
    </row>
    <row r="367" spans="1:68" ht="27" customHeight="1" x14ac:dyDescent="0.25">
      <c r="A367" s="54" t="s">
        <v>569</v>
      </c>
      <c r="B367" s="54" t="s">
        <v>570</v>
      </c>
      <c r="C367" s="31">
        <v>4301051489</v>
      </c>
      <c r="D367" s="677">
        <v>4607091387919</v>
      </c>
      <c r="E367" s="678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7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5"/>
      <c r="R367" s="685"/>
      <c r="S367" s="685"/>
      <c r="T367" s="686"/>
      <c r="U367" s="34"/>
      <c r="V367" s="34"/>
      <c r="W367" s="35" t="s">
        <v>69</v>
      </c>
      <c r="X367" s="665">
        <v>16</v>
      </c>
      <c r="Y367" s="666">
        <f>IFERROR(IF(X367="",0,CEILING((X367/$H367),1)*$H367),"")</f>
        <v>16.2</v>
      </c>
      <c r="Z367" s="36">
        <f>IFERROR(IF(Y367=0,"",ROUNDUP(Y367/H367,0)*0.01898),"")</f>
        <v>3.7960000000000001E-2</v>
      </c>
      <c r="AA367" s="56"/>
      <c r="AB367" s="57"/>
      <c r="AC367" s="411" t="s">
        <v>571</v>
      </c>
      <c r="AG367" s="64"/>
      <c r="AJ367" s="68"/>
      <c r="AK367" s="68">
        <v>0</v>
      </c>
      <c r="BB367" s="412" t="s">
        <v>1</v>
      </c>
      <c r="BM367" s="64">
        <f>IFERROR(X367*I367/H367,"0")</f>
        <v>17.025185185185187</v>
      </c>
      <c r="BN367" s="64">
        <f>IFERROR(Y367*I367/H367,"0")</f>
        <v>17.238</v>
      </c>
      <c r="BO367" s="64">
        <f>IFERROR(1/J367*(X367/H367),"0")</f>
        <v>3.0864197530864199E-2</v>
      </c>
      <c r="BP367" s="64">
        <f>IFERROR(1/J367*(Y367/H367),"0")</f>
        <v>3.125E-2</v>
      </c>
    </row>
    <row r="368" spans="1:68" ht="27" customHeight="1" x14ac:dyDescent="0.25">
      <c r="A368" s="54" t="s">
        <v>572</v>
      </c>
      <c r="B368" s="54" t="s">
        <v>573</v>
      </c>
      <c r="C368" s="31">
        <v>4301051461</v>
      </c>
      <c r="D368" s="677">
        <v>4680115883604</v>
      </c>
      <c r="E368" s="678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70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5"/>
      <c r="R368" s="685"/>
      <c r="S368" s="685"/>
      <c r="T368" s="686"/>
      <c r="U368" s="34"/>
      <c r="V368" s="34"/>
      <c r="W368" s="35" t="s">
        <v>69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574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575</v>
      </c>
      <c r="B369" s="54" t="s">
        <v>576</v>
      </c>
      <c r="C369" s="31">
        <v>4301051864</v>
      </c>
      <c r="D369" s="677">
        <v>4680115883567</v>
      </c>
      <c r="E369" s="678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7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5"/>
      <c r="R369" s="685"/>
      <c r="S369" s="685"/>
      <c r="T369" s="686"/>
      <c r="U369" s="34"/>
      <c r="V369" s="34"/>
      <c r="W369" s="35" t="s">
        <v>69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577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82"/>
      <c r="B370" s="681"/>
      <c r="C370" s="681"/>
      <c r="D370" s="681"/>
      <c r="E370" s="681"/>
      <c r="F370" s="681"/>
      <c r="G370" s="681"/>
      <c r="H370" s="681"/>
      <c r="I370" s="681"/>
      <c r="J370" s="681"/>
      <c r="K370" s="681"/>
      <c r="L370" s="681"/>
      <c r="M370" s="681"/>
      <c r="N370" s="681"/>
      <c r="O370" s="683"/>
      <c r="P370" s="679" t="s">
        <v>88</v>
      </c>
      <c r="Q370" s="670"/>
      <c r="R370" s="670"/>
      <c r="S370" s="670"/>
      <c r="T370" s="670"/>
      <c r="U370" s="670"/>
      <c r="V370" s="671"/>
      <c r="W370" s="37" t="s">
        <v>89</v>
      </c>
      <c r="X370" s="667">
        <f>IFERROR(X367/H367,"0")+IFERROR(X368/H368,"0")+IFERROR(X369/H369,"0")</f>
        <v>1.9753086419753088</v>
      </c>
      <c r="Y370" s="667">
        <f>IFERROR(Y367/H367,"0")+IFERROR(Y368/H368,"0")+IFERROR(Y369/H369,"0")</f>
        <v>2</v>
      </c>
      <c r="Z370" s="667">
        <f>IFERROR(IF(Z367="",0,Z367),"0")+IFERROR(IF(Z368="",0,Z368),"0")+IFERROR(IF(Z369="",0,Z369),"0")</f>
        <v>3.7960000000000001E-2</v>
      </c>
      <c r="AA370" s="668"/>
      <c r="AB370" s="668"/>
      <c r="AC370" s="668"/>
    </row>
    <row r="371" spans="1:68" x14ac:dyDescent="0.2">
      <c r="A371" s="681"/>
      <c r="B371" s="681"/>
      <c r="C371" s="681"/>
      <c r="D371" s="681"/>
      <c r="E371" s="681"/>
      <c r="F371" s="681"/>
      <c r="G371" s="681"/>
      <c r="H371" s="681"/>
      <c r="I371" s="681"/>
      <c r="J371" s="681"/>
      <c r="K371" s="681"/>
      <c r="L371" s="681"/>
      <c r="M371" s="681"/>
      <c r="N371" s="681"/>
      <c r="O371" s="683"/>
      <c r="P371" s="679" t="s">
        <v>88</v>
      </c>
      <c r="Q371" s="670"/>
      <c r="R371" s="670"/>
      <c r="S371" s="670"/>
      <c r="T371" s="670"/>
      <c r="U371" s="670"/>
      <c r="V371" s="671"/>
      <c r="W371" s="37" t="s">
        <v>69</v>
      </c>
      <c r="X371" s="667">
        <f>IFERROR(SUM(X367:X369),"0")</f>
        <v>16</v>
      </c>
      <c r="Y371" s="667">
        <f>IFERROR(SUM(Y367:Y369),"0")</f>
        <v>16.2</v>
      </c>
      <c r="Z371" s="37"/>
      <c r="AA371" s="668"/>
      <c r="AB371" s="668"/>
      <c r="AC371" s="668"/>
    </row>
    <row r="372" spans="1:68" ht="27.75" customHeight="1" x14ac:dyDescent="0.2">
      <c r="A372" s="771" t="s">
        <v>578</v>
      </c>
      <c r="B372" s="772"/>
      <c r="C372" s="772"/>
      <c r="D372" s="772"/>
      <c r="E372" s="772"/>
      <c r="F372" s="772"/>
      <c r="G372" s="772"/>
      <c r="H372" s="772"/>
      <c r="I372" s="772"/>
      <c r="J372" s="772"/>
      <c r="K372" s="772"/>
      <c r="L372" s="772"/>
      <c r="M372" s="772"/>
      <c r="N372" s="772"/>
      <c r="O372" s="772"/>
      <c r="P372" s="772"/>
      <c r="Q372" s="772"/>
      <c r="R372" s="772"/>
      <c r="S372" s="772"/>
      <c r="T372" s="772"/>
      <c r="U372" s="772"/>
      <c r="V372" s="772"/>
      <c r="W372" s="772"/>
      <c r="X372" s="772"/>
      <c r="Y372" s="772"/>
      <c r="Z372" s="772"/>
      <c r="AA372" s="48"/>
      <c r="AB372" s="48"/>
      <c r="AC372" s="48"/>
    </row>
    <row r="373" spans="1:68" ht="16.5" customHeight="1" x14ac:dyDescent="0.25">
      <c r="A373" s="690" t="s">
        <v>579</v>
      </c>
      <c r="B373" s="681"/>
      <c r="C373" s="681"/>
      <c r="D373" s="681"/>
      <c r="E373" s="681"/>
      <c r="F373" s="681"/>
      <c r="G373" s="681"/>
      <c r="H373" s="681"/>
      <c r="I373" s="681"/>
      <c r="J373" s="681"/>
      <c r="K373" s="681"/>
      <c r="L373" s="681"/>
      <c r="M373" s="681"/>
      <c r="N373" s="681"/>
      <c r="O373" s="681"/>
      <c r="P373" s="681"/>
      <c r="Q373" s="681"/>
      <c r="R373" s="681"/>
      <c r="S373" s="681"/>
      <c r="T373" s="681"/>
      <c r="U373" s="681"/>
      <c r="V373" s="681"/>
      <c r="W373" s="681"/>
      <c r="X373" s="681"/>
      <c r="Y373" s="681"/>
      <c r="Z373" s="681"/>
      <c r="AA373" s="660"/>
      <c r="AB373" s="660"/>
      <c r="AC373" s="660"/>
    </row>
    <row r="374" spans="1:68" ht="14.25" customHeight="1" x14ac:dyDescent="0.25">
      <c r="A374" s="688" t="s">
        <v>98</v>
      </c>
      <c r="B374" s="681"/>
      <c r="C374" s="681"/>
      <c r="D374" s="681"/>
      <c r="E374" s="681"/>
      <c r="F374" s="681"/>
      <c r="G374" s="681"/>
      <c r="H374" s="681"/>
      <c r="I374" s="681"/>
      <c r="J374" s="681"/>
      <c r="K374" s="681"/>
      <c r="L374" s="681"/>
      <c r="M374" s="681"/>
      <c r="N374" s="681"/>
      <c r="O374" s="681"/>
      <c r="P374" s="681"/>
      <c r="Q374" s="681"/>
      <c r="R374" s="681"/>
      <c r="S374" s="681"/>
      <c r="T374" s="681"/>
      <c r="U374" s="681"/>
      <c r="V374" s="681"/>
      <c r="W374" s="681"/>
      <c r="X374" s="681"/>
      <c r="Y374" s="681"/>
      <c r="Z374" s="681"/>
      <c r="AA374" s="661"/>
      <c r="AB374" s="661"/>
      <c r="AC374" s="661"/>
    </row>
    <row r="375" spans="1:68" ht="37.5" customHeight="1" x14ac:dyDescent="0.25">
      <c r="A375" s="54" t="s">
        <v>580</v>
      </c>
      <c r="B375" s="54" t="s">
        <v>581</v>
      </c>
      <c r="C375" s="31">
        <v>4301011869</v>
      </c>
      <c r="D375" s="677">
        <v>4680115884847</v>
      </c>
      <c r="E375" s="678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5"/>
      <c r="R375" s="685"/>
      <c r="S375" s="685"/>
      <c r="T375" s="686"/>
      <c r="U375" s="34"/>
      <c r="V375" s="34"/>
      <c r="W375" s="35" t="s">
        <v>69</v>
      </c>
      <c r="X375" s="665">
        <v>30</v>
      </c>
      <c r="Y375" s="666">
        <f t="shared" ref="Y375:Y384" si="58">IFERROR(IF(X375="",0,CEILING((X375/$H375),1)*$H375),"")</f>
        <v>30</v>
      </c>
      <c r="Z375" s="36">
        <f>IFERROR(IF(Y375=0,"",ROUNDUP(Y375/H375,0)*0.02175),"")</f>
        <v>4.3499999999999997E-2</v>
      </c>
      <c r="AA375" s="56"/>
      <c r="AB375" s="57"/>
      <c r="AC375" s="417" t="s">
        <v>582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30.96</v>
      </c>
      <c r="BN375" s="64">
        <f t="shared" ref="BN375:BN384" si="60">IFERROR(Y375*I375/H375,"0")</f>
        <v>30.96</v>
      </c>
      <c r="BO375" s="64">
        <f t="shared" ref="BO375:BO384" si="61">IFERROR(1/J375*(X375/H375),"0")</f>
        <v>4.1666666666666664E-2</v>
      </c>
      <c r="BP375" s="64">
        <f t="shared" ref="BP375:BP384" si="62">IFERROR(1/J375*(Y375/H375),"0")</f>
        <v>4.1666666666666664E-2</v>
      </c>
    </row>
    <row r="376" spans="1:68" ht="27" customHeight="1" x14ac:dyDescent="0.25">
      <c r="A376" s="54" t="s">
        <v>580</v>
      </c>
      <c r="B376" s="54" t="s">
        <v>583</v>
      </c>
      <c r="C376" s="31">
        <v>4301011946</v>
      </c>
      <c r="D376" s="677">
        <v>4680115884847</v>
      </c>
      <c r="E376" s="678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101</v>
      </c>
      <c r="L376" s="32"/>
      <c r="M376" s="33" t="s">
        <v>389</v>
      </c>
      <c r="N376" s="33"/>
      <c r="O376" s="32">
        <v>60</v>
      </c>
      <c r="P376" s="94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5"/>
      <c r="R376" s="685"/>
      <c r="S376" s="685"/>
      <c r="T376" s="686"/>
      <c r="U376" s="34"/>
      <c r="V376" s="34"/>
      <c r="W376" s="35" t="s">
        <v>69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584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585</v>
      </c>
      <c r="B377" s="54" t="s">
        <v>586</v>
      </c>
      <c r="C377" s="31">
        <v>4301011870</v>
      </c>
      <c r="D377" s="677">
        <v>4680115884854</v>
      </c>
      <c r="E377" s="678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5"/>
      <c r="R377" s="685"/>
      <c r="S377" s="685"/>
      <c r="T377" s="686"/>
      <c r="U377" s="34"/>
      <c r="V377" s="34"/>
      <c r="W377" s="35" t="s">
        <v>69</v>
      </c>
      <c r="X377" s="665">
        <v>200</v>
      </c>
      <c r="Y377" s="666">
        <f t="shared" si="58"/>
        <v>210</v>
      </c>
      <c r="Z377" s="36">
        <f>IFERROR(IF(Y377=0,"",ROUNDUP(Y377/H377,0)*0.02175),"")</f>
        <v>0.30449999999999999</v>
      </c>
      <c r="AA377" s="56"/>
      <c r="AB377" s="57"/>
      <c r="AC377" s="421" t="s">
        <v>587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206.4</v>
      </c>
      <c r="BN377" s="64">
        <f t="shared" si="60"/>
        <v>216.72</v>
      </c>
      <c r="BO377" s="64">
        <f t="shared" si="61"/>
        <v>0.27777777777777779</v>
      </c>
      <c r="BP377" s="64">
        <f t="shared" si="62"/>
        <v>0.29166666666666663</v>
      </c>
    </row>
    <row r="378" spans="1:68" ht="27" customHeight="1" x14ac:dyDescent="0.25">
      <c r="A378" s="54" t="s">
        <v>585</v>
      </c>
      <c r="B378" s="54" t="s">
        <v>588</v>
      </c>
      <c r="C378" s="31">
        <v>4301011947</v>
      </c>
      <c r="D378" s="677">
        <v>4680115884854</v>
      </c>
      <c r="E378" s="678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101</v>
      </c>
      <c r="L378" s="32"/>
      <c r="M378" s="33" t="s">
        <v>389</v>
      </c>
      <c r="N378" s="33"/>
      <c r="O378" s="32">
        <v>60</v>
      </c>
      <c r="P378" s="95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5"/>
      <c r="R378" s="685"/>
      <c r="S378" s="685"/>
      <c r="T378" s="686"/>
      <c r="U378" s="34"/>
      <c r="V378" s="34"/>
      <c r="W378" s="35" t="s">
        <v>69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584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4301011832</v>
      </c>
      <c r="D379" s="677">
        <v>4607091383997</v>
      </c>
      <c r="E379" s="678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1032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85"/>
      <c r="R379" s="685"/>
      <c r="S379" s="685"/>
      <c r="T379" s="686"/>
      <c r="U379" s="34"/>
      <c r="V379" s="34"/>
      <c r="W379" s="35" t="s">
        <v>69</v>
      </c>
      <c r="X379" s="665">
        <v>200</v>
      </c>
      <c r="Y379" s="666">
        <f t="shared" si="58"/>
        <v>210</v>
      </c>
      <c r="Z379" s="36">
        <f>IFERROR(IF(Y379=0,"",ROUNDUP(Y379/H379,0)*0.02175),"")</f>
        <v>0.30449999999999999</v>
      </c>
      <c r="AA379" s="56"/>
      <c r="AB379" s="57"/>
      <c r="AC379" s="425" t="s">
        <v>591</v>
      </c>
      <c r="AG379" s="64"/>
      <c r="AJ379" s="68"/>
      <c r="AK379" s="68">
        <v>0</v>
      </c>
      <c r="BB379" s="426" t="s">
        <v>1</v>
      </c>
      <c r="BM379" s="64">
        <f t="shared" si="59"/>
        <v>206.4</v>
      </c>
      <c r="BN379" s="64">
        <f t="shared" si="60"/>
        <v>216.72</v>
      </c>
      <c r="BO379" s="64">
        <f t="shared" si="61"/>
        <v>0.27777777777777779</v>
      </c>
      <c r="BP379" s="64">
        <f t="shared" si="62"/>
        <v>0.29166666666666663</v>
      </c>
    </row>
    <row r="380" spans="1:68" ht="37.5" customHeight="1" x14ac:dyDescent="0.25">
      <c r="A380" s="54" t="s">
        <v>592</v>
      </c>
      <c r="B380" s="54" t="s">
        <v>593</v>
      </c>
      <c r="C380" s="31">
        <v>4301011867</v>
      </c>
      <c r="D380" s="677">
        <v>4680115884830</v>
      </c>
      <c r="E380" s="678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85"/>
      <c r="R380" s="685"/>
      <c r="S380" s="685"/>
      <c r="T380" s="686"/>
      <c r="U380" s="34"/>
      <c r="V380" s="34"/>
      <c r="W380" s="35" t="s">
        <v>69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594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592</v>
      </c>
      <c r="B381" s="54" t="s">
        <v>595</v>
      </c>
      <c r="C381" s="31">
        <v>4301011943</v>
      </c>
      <c r="D381" s="677">
        <v>4680115884830</v>
      </c>
      <c r="E381" s="678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101</v>
      </c>
      <c r="L381" s="32"/>
      <c r="M381" s="33" t="s">
        <v>389</v>
      </c>
      <c r="N381" s="33"/>
      <c r="O381" s="32">
        <v>60</v>
      </c>
      <c r="P381" s="1036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5"/>
      <c r="R381" s="685"/>
      <c r="S381" s="685"/>
      <c r="T381" s="686"/>
      <c r="U381" s="34"/>
      <c r="V381" s="34"/>
      <c r="W381" s="35" t="s">
        <v>69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584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596</v>
      </c>
      <c r="B382" s="54" t="s">
        <v>597</v>
      </c>
      <c r="C382" s="31">
        <v>4301011433</v>
      </c>
      <c r="D382" s="677">
        <v>4680115882638</v>
      </c>
      <c r="E382" s="678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5"/>
      <c r="R382" s="685"/>
      <c r="S382" s="685"/>
      <c r="T382" s="686"/>
      <c r="U382" s="34"/>
      <c r="V382" s="34"/>
      <c r="W382" s="35" t="s">
        <v>69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599</v>
      </c>
      <c r="B383" s="54" t="s">
        <v>600</v>
      </c>
      <c r="C383" s="31">
        <v>4301011952</v>
      </c>
      <c r="D383" s="677">
        <v>4680115884922</v>
      </c>
      <c r="E383" s="678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7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5"/>
      <c r="R383" s="685"/>
      <c r="S383" s="685"/>
      <c r="T383" s="686"/>
      <c r="U383" s="34"/>
      <c r="V383" s="34"/>
      <c r="W383" s="35" t="s">
        <v>69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601</v>
      </c>
      <c r="B384" s="54" t="s">
        <v>602</v>
      </c>
      <c r="C384" s="31">
        <v>4301011868</v>
      </c>
      <c r="D384" s="677">
        <v>4680115884861</v>
      </c>
      <c r="E384" s="678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10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5"/>
      <c r="R384" s="685"/>
      <c r="S384" s="685"/>
      <c r="T384" s="686"/>
      <c r="U384" s="34"/>
      <c r="V384" s="34"/>
      <c r="W384" s="35" t="s">
        <v>69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594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82"/>
      <c r="B385" s="681"/>
      <c r="C385" s="681"/>
      <c r="D385" s="681"/>
      <c r="E385" s="681"/>
      <c r="F385" s="681"/>
      <c r="G385" s="681"/>
      <c r="H385" s="681"/>
      <c r="I385" s="681"/>
      <c r="J385" s="681"/>
      <c r="K385" s="681"/>
      <c r="L385" s="681"/>
      <c r="M385" s="681"/>
      <c r="N385" s="681"/>
      <c r="O385" s="683"/>
      <c r="P385" s="679" t="s">
        <v>88</v>
      </c>
      <c r="Q385" s="670"/>
      <c r="R385" s="670"/>
      <c r="S385" s="670"/>
      <c r="T385" s="670"/>
      <c r="U385" s="670"/>
      <c r="V385" s="671"/>
      <c r="W385" s="37" t="s">
        <v>89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28.666666666666668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0.65249999999999997</v>
      </c>
      <c r="AA385" s="668"/>
      <c r="AB385" s="668"/>
      <c r="AC385" s="668"/>
    </row>
    <row r="386" spans="1:68" x14ac:dyDescent="0.2">
      <c r="A386" s="681"/>
      <c r="B386" s="681"/>
      <c r="C386" s="681"/>
      <c r="D386" s="681"/>
      <c r="E386" s="681"/>
      <c r="F386" s="681"/>
      <c r="G386" s="681"/>
      <c r="H386" s="681"/>
      <c r="I386" s="681"/>
      <c r="J386" s="681"/>
      <c r="K386" s="681"/>
      <c r="L386" s="681"/>
      <c r="M386" s="681"/>
      <c r="N386" s="681"/>
      <c r="O386" s="683"/>
      <c r="P386" s="679" t="s">
        <v>88</v>
      </c>
      <c r="Q386" s="670"/>
      <c r="R386" s="670"/>
      <c r="S386" s="670"/>
      <c r="T386" s="670"/>
      <c r="U386" s="670"/>
      <c r="V386" s="671"/>
      <c r="W386" s="37" t="s">
        <v>69</v>
      </c>
      <c r="X386" s="667">
        <f>IFERROR(SUM(X375:X384),"0")</f>
        <v>430</v>
      </c>
      <c r="Y386" s="667">
        <f>IFERROR(SUM(Y375:Y384),"0")</f>
        <v>450</v>
      </c>
      <c r="Z386" s="37"/>
      <c r="AA386" s="668"/>
      <c r="AB386" s="668"/>
      <c r="AC386" s="668"/>
    </row>
    <row r="387" spans="1:68" ht="14.25" customHeight="1" x14ac:dyDescent="0.25">
      <c r="A387" s="688" t="s">
        <v>138</v>
      </c>
      <c r="B387" s="681"/>
      <c r="C387" s="681"/>
      <c r="D387" s="681"/>
      <c r="E387" s="681"/>
      <c r="F387" s="681"/>
      <c r="G387" s="681"/>
      <c r="H387" s="681"/>
      <c r="I387" s="681"/>
      <c r="J387" s="681"/>
      <c r="K387" s="681"/>
      <c r="L387" s="681"/>
      <c r="M387" s="681"/>
      <c r="N387" s="681"/>
      <c r="O387" s="681"/>
      <c r="P387" s="681"/>
      <c r="Q387" s="681"/>
      <c r="R387" s="681"/>
      <c r="S387" s="681"/>
      <c r="T387" s="681"/>
      <c r="U387" s="681"/>
      <c r="V387" s="681"/>
      <c r="W387" s="681"/>
      <c r="X387" s="681"/>
      <c r="Y387" s="681"/>
      <c r="Z387" s="681"/>
      <c r="AA387" s="661"/>
      <c r="AB387" s="661"/>
      <c r="AC387" s="661"/>
    </row>
    <row r="388" spans="1:68" ht="27" customHeight="1" x14ac:dyDescent="0.25">
      <c r="A388" s="54" t="s">
        <v>603</v>
      </c>
      <c r="B388" s="54" t="s">
        <v>604</v>
      </c>
      <c r="C388" s="31">
        <v>4301020178</v>
      </c>
      <c r="D388" s="677">
        <v>4607091383980</v>
      </c>
      <c r="E388" s="678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8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5"/>
      <c r="R388" s="685"/>
      <c r="S388" s="685"/>
      <c r="T388" s="686"/>
      <c r="U388" s="34"/>
      <c r="V388" s="34"/>
      <c r="W388" s="35" t="s">
        <v>69</v>
      </c>
      <c r="X388" s="665">
        <v>500</v>
      </c>
      <c r="Y388" s="666">
        <f>IFERROR(IF(X388="",0,CEILING((X388/$H388),1)*$H388),"")</f>
        <v>510</v>
      </c>
      <c r="Z388" s="36">
        <f>IFERROR(IF(Y388=0,"",ROUNDUP(Y388/H388,0)*0.02175),"")</f>
        <v>0.73949999999999994</v>
      </c>
      <c r="AA388" s="56"/>
      <c r="AB388" s="57"/>
      <c r="AC388" s="437" t="s">
        <v>605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516</v>
      </c>
      <c r="BN388" s="64">
        <f>IFERROR(Y388*I388/H388,"0")</f>
        <v>526.32000000000005</v>
      </c>
      <c r="BO388" s="64">
        <f>IFERROR(1/J388*(X388/H388),"0")</f>
        <v>0.69444444444444442</v>
      </c>
      <c r="BP388" s="64">
        <f>IFERROR(1/J388*(Y388/H388),"0")</f>
        <v>0.70833333333333326</v>
      </c>
    </row>
    <row r="389" spans="1:68" ht="27" customHeight="1" x14ac:dyDescent="0.25">
      <c r="A389" s="54" t="s">
        <v>606</v>
      </c>
      <c r="B389" s="54" t="s">
        <v>607</v>
      </c>
      <c r="C389" s="31">
        <v>4301020179</v>
      </c>
      <c r="D389" s="677">
        <v>4607091384178</v>
      </c>
      <c r="E389" s="678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10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5"/>
      <c r="R389" s="685"/>
      <c r="S389" s="685"/>
      <c r="T389" s="686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605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82"/>
      <c r="B390" s="681"/>
      <c r="C390" s="681"/>
      <c r="D390" s="681"/>
      <c r="E390" s="681"/>
      <c r="F390" s="681"/>
      <c r="G390" s="681"/>
      <c r="H390" s="681"/>
      <c r="I390" s="681"/>
      <c r="J390" s="681"/>
      <c r="K390" s="681"/>
      <c r="L390" s="681"/>
      <c r="M390" s="681"/>
      <c r="N390" s="681"/>
      <c r="O390" s="683"/>
      <c r="P390" s="679" t="s">
        <v>88</v>
      </c>
      <c r="Q390" s="670"/>
      <c r="R390" s="670"/>
      <c r="S390" s="670"/>
      <c r="T390" s="670"/>
      <c r="U390" s="670"/>
      <c r="V390" s="671"/>
      <c r="W390" s="37" t="s">
        <v>89</v>
      </c>
      <c r="X390" s="667">
        <f>IFERROR(X388/H388,"0")+IFERROR(X389/H389,"0")</f>
        <v>33.333333333333336</v>
      </c>
      <c r="Y390" s="667">
        <f>IFERROR(Y388/H388,"0")+IFERROR(Y389/H389,"0")</f>
        <v>34</v>
      </c>
      <c r="Z390" s="667">
        <f>IFERROR(IF(Z388="",0,Z388),"0")+IFERROR(IF(Z389="",0,Z389),"0")</f>
        <v>0.73949999999999994</v>
      </c>
      <c r="AA390" s="668"/>
      <c r="AB390" s="668"/>
      <c r="AC390" s="668"/>
    </row>
    <row r="391" spans="1:68" x14ac:dyDescent="0.2">
      <c r="A391" s="681"/>
      <c r="B391" s="681"/>
      <c r="C391" s="681"/>
      <c r="D391" s="681"/>
      <c r="E391" s="681"/>
      <c r="F391" s="681"/>
      <c r="G391" s="681"/>
      <c r="H391" s="681"/>
      <c r="I391" s="681"/>
      <c r="J391" s="681"/>
      <c r="K391" s="681"/>
      <c r="L391" s="681"/>
      <c r="M391" s="681"/>
      <c r="N391" s="681"/>
      <c r="O391" s="683"/>
      <c r="P391" s="679" t="s">
        <v>88</v>
      </c>
      <c r="Q391" s="670"/>
      <c r="R391" s="670"/>
      <c r="S391" s="670"/>
      <c r="T391" s="670"/>
      <c r="U391" s="670"/>
      <c r="V391" s="671"/>
      <c r="W391" s="37" t="s">
        <v>69</v>
      </c>
      <c r="X391" s="667">
        <f>IFERROR(SUM(X388:X389),"0")</f>
        <v>500</v>
      </c>
      <c r="Y391" s="667">
        <f>IFERROR(SUM(Y388:Y389),"0")</f>
        <v>510</v>
      </c>
      <c r="Z391" s="37"/>
      <c r="AA391" s="668"/>
      <c r="AB391" s="668"/>
      <c r="AC391" s="668"/>
    </row>
    <row r="392" spans="1:68" ht="14.25" customHeight="1" x14ac:dyDescent="0.25">
      <c r="A392" s="688" t="s">
        <v>64</v>
      </c>
      <c r="B392" s="681"/>
      <c r="C392" s="681"/>
      <c r="D392" s="681"/>
      <c r="E392" s="681"/>
      <c r="F392" s="681"/>
      <c r="G392" s="681"/>
      <c r="H392" s="681"/>
      <c r="I392" s="681"/>
      <c r="J392" s="681"/>
      <c r="K392" s="681"/>
      <c r="L392" s="681"/>
      <c r="M392" s="681"/>
      <c r="N392" s="681"/>
      <c r="O392" s="681"/>
      <c r="P392" s="681"/>
      <c r="Q392" s="681"/>
      <c r="R392" s="681"/>
      <c r="S392" s="681"/>
      <c r="T392" s="681"/>
      <c r="U392" s="681"/>
      <c r="V392" s="681"/>
      <c r="W392" s="681"/>
      <c r="X392" s="681"/>
      <c r="Y392" s="681"/>
      <c r="Z392" s="681"/>
      <c r="AA392" s="661"/>
      <c r="AB392" s="661"/>
      <c r="AC392" s="661"/>
    </row>
    <row r="393" spans="1:68" ht="27" customHeight="1" x14ac:dyDescent="0.25">
      <c r="A393" s="54" t="s">
        <v>608</v>
      </c>
      <c r="B393" s="54" t="s">
        <v>609</v>
      </c>
      <c r="C393" s="31">
        <v>4301051903</v>
      </c>
      <c r="D393" s="677">
        <v>4607091383928</v>
      </c>
      <c r="E393" s="678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47" t="s">
        <v>610</v>
      </c>
      <c r="Q393" s="685"/>
      <c r="R393" s="685"/>
      <c r="S393" s="685"/>
      <c r="T393" s="686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611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612</v>
      </c>
      <c r="B394" s="54" t="s">
        <v>613</v>
      </c>
      <c r="C394" s="31">
        <v>4301051897</v>
      </c>
      <c r="D394" s="677">
        <v>4607091384260</v>
      </c>
      <c r="E394" s="678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1005" t="s">
        <v>614</v>
      </c>
      <c r="Q394" s="685"/>
      <c r="R394" s="685"/>
      <c r="S394" s="685"/>
      <c r="T394" s="686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615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82"/>
      <c r="B395" s="681"/>
      <c r="C395" s="681"/>
      <c r="D395" s="681"/>
      <c r="E395" s="681"/>
      <c r="F395" s="681"/>
      <c r="G395" s="681"/>
      <c r="H395" s="681"/>
      <c r="I395" s="681"/>
      <c r="J395" s="681"/>
      <c r="K395" s="681"/>
      <c r="L395" s="681"/>
      <c r="M395" s="681"/>
      <c r="N395" s="681"/>
      <c r="O395" s="683"/>
      <c r="P395" s="679" t="s">
        <v>88</v>
      </c>
      <c r="Q395" s="670"/>
      <c r="R395" s="670"/>
      <c r="S395" s="670"/>
      <c r="T395" s="670"/>
      <c r="U395" s="670"/>
      <c r="V395" s="671"/>
      <c r="W395" s="37" t="s">
        <v>89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1"/>
      <c r="B396" s="681"/>
      <c r="C396" s="681"/>
      <c r="D396" s="681"/>
      <c r="E396" s="681"/>
      <c r="F396" s="681"/>
      <c r="G396" s="681"/>
      <c r="H396" s="681"/>
      <c r="I396" s="681"/>
      <c r="J396" s="681"/>
      <c r="K396" s="681"/>
      <c r="L396" s="681"/>
      <c r="M396" s="681"/>
      <c r="N396" s="681"/>
      <c r="O396" s="683"/>
      <c r="P396" s="679" t="s">
        <v>88</v>
      </c>
      <c r="Q396" s="670"/>
      <c r="R396" s="670"/>
      <c r="S396" s="670"/>
      <c r="T396" s="670"/>
      <c r="U396" s="670"/>
      <c r="V396" s="671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8" t="s">
        <v>175</v>
      </c>
      <c r="B397" s="681"/>
      <c r="C397" s="681"/>
      <c r="D397" s="681"/>
      <c r="E397" s="681"/>
      <c r="F397" s="681"/>
      <c r="G397" s="681"/>
      <c r="H397" s="681"/>
      <c r="I397" s="681"/>
      <c r="J397" s="681"/>
      <c r="K397" s="681"/>
      <c r="L397" s="681"/>
      <c r="M397" s="681"/>
      <c r="N397" s="681"/>
      <c r="O397" s="681"/>
      <c r="P397" s="681"/>
      <c r="Q397" s="681"/>
      <c r="R397" s="681"/>
      <c r="S397" s="681"/>
      <c r="T397" s="681"/>
      <c r="U397" s="681"/>
      <c r="V397" s="681"/>
      <c r="W397" s="681"/>
      <c r="X397" s="681"/>
      <c r="Y397" s="681"/>
      <c r="Z397" s="681"/>
      <c r="AA397" s="661"/>
      <c r="AB397" s="661"/>
      <c r="AC397" s="661"/>
    </row>
    <row r="398" spans="1:68" ht="27" customHeight="1" x14ac:dyDescent="0.25">
      <c r="A398" s="54" t="s">
        <v>616</v>
      </c>
      <c r="B398" s="54" t="s">
        <v>617</v>
      </c>
      <c r="C398" s="31">
        <v>4301060439</v>
      </c>
      <c r="D398" s="677">
        <v>4607091384673</v>
      </c>
      <c r="E398" s="678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805" t="s">
        <v>618</v>
      </c>
      <c r="Q398" s="685"/>
      <c r="R398" s="685"/>
      <c r="S398" s="685"/>
      <c r="T398" s="686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619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82"/>
      <c r="B399" s="681"/>
      <c r="C399" s="681"/>
      <c r="D399" s="681"/>
      <c r="E399" s="681"/>
      <c r="F399" s="681"/>
      <c r="G399" s="681"/>
      <c r="H399" s="681"/>
      <c r="I399" s="681"/>
      <c r="J399" s="681"/>
      <c r="K399" s="681"/>
      <c r="L399" s="681"/>
      <c r="M399" s="681"/>
      <c r="N399" s="681"/>
      <c r="O399" s="683"/>
      <c r="P399" s="679" t="s">
        <v>88</v>
      </c>
      <c r="Q399" s="670"/>
      <c r="R399" s="670"/>
      <c r="S399" s="670"/>
      <c r="T399" s="670"/>
      <c r="U399" s="670"/>
      <c r="V399" s="671"/>
      <c r="W399" s="37" t="s">
        <v>89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1"/>
      <c r="B400" s="681"/>
      <c r="C400" s="681"/>
      <c r="D400" s="681"/>
      <c r="E400" s="681"/>
      <c r="F400" s="681"/>
      <c r="G400" s="681"/>
      <c r="H400" s="681"/>
      <c r="I400" s="681"/>
      <c r="J400" s="681"/>
      <c r="K400" s="681"/>
      <c r="L400" s="681"/>
      <c r="M400" s="681"/>
      <c r="N400" s="681"/>
      <c r="O400" s="683"/>
      <c r="P400" s="679" t="s">
        <v>88</v>
      </c>
      <c r="Q400" s="670"/>
      <c r="R400" s="670"/>
      <c r="S400" s="670"/>
      <c r="T400" s="670"/>
      <c r="U400" s="670"/>
      <c r="V400" s="671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690" t="s">
        <v>620</v>
      </c>
      <c r="B401" s="681"/>
      <c r="C401" s="681"/>
      <c r="D401" s="681"/>
      <c r="E401" s="681"/>
      <c r="F401" s="681"/>
      <c r="G401" s="681"/>
      <c r="H401" s="681"/>
      <c r="I401" s="681"/>
      <c r="J401" s="681"/>
      <c r="K401" s="681"/>
      <c r="L401" s="681"/>
      <c r="M401" s="681"/>
      <c r="N401" s="681"/>
      <c r="O401" s="681"/>
      <c r="P401" s="681"/>
      <c r="Q401" s="681"/>
      <c r="R401" s="681"/>
      <c r="S401" s="681"/>
      <c r="T401" s="681"/>
      <c r="U401" s="681"/>
      <c r="V401" s="681"/>
      <c r="W401" s="681"/>
      <c r="X401" s="681"/>
      <c r="Y401" s="681"/>
      <c r="Z401" s="681"/>
      <c r="AA401" s="660"/>
      <c r="AB401" s="660"/>
      <c r="AC401" s="660"/>
    </row>
    <row r="402" spans="1:68" ht="14.25" customHeight="1" x14ac:dyDescent="0.25">
      <c r="A402" s="688" t="s">
        <v>98</v>
      </c>
      <c r="B402" s="681"/>
      <c r="C402" s="681"/>
      <c r="D402" s="681"/>
      <c r="E402" s="681"/>
      <c r="F402" s="681"/>
      <c r="G402" s="681"/>
      <c r="H402" s="681"/>
      <c r="I402" s="681"/>
      <c r="J402" s="681"/>
      <c r="K402" s="681"/>
      <c r="L402" s="681"/>
      <c r="M402" s="681"/>
      <c r="N402" s="681"/>
      <c r="O402" s="681"/>
      <c r="P402" s="681"/>
      <c r="Q402" s="681"/>
      <c r="R402" s="681"/>
      <c r="S402" s="681"/>
      <c r="T402" s="681"/>
      <c r="U402" s="681"/>
      <c r="V402" s="681"/>
      <c r="W402" s="681"/>
      <c r="X402" s="681"/>
      <c r="Y402" s="681"/>
      <c r="Z402" s="681"/>
      <c r="AA402" s="661"/>
      <c r="AB402" s="661"/>
      <c r="AC402" s="661"/>
    </row>
    <row r="403" spans="1:68" ht="27" customHeight="1" x14ac:dyDescent="0.25">
      <c r="A403" s="54" t="s">
        <v>621</v>
      </c>
      <c r="B403" s="54" t="s">
        <v>622</v>
      </c>
      <c r="C403" s="31">
        <v>4301011483</v>
      </c>
      <c r="D403" s="677">
        <v>4680115881907</v>
      </c>
      <c r="E403" s="678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94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5"/>
      <c r="R403" s="685"/>
      <c r="S403" s="685"/>
      <c r="T403" s="686"/>
      <c r="U403" s="34"/>
      <c r="V403" s="34"/>
      <c r="W403" s="35" t="s">
        <v>69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623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621</v>
      </c>
      <c r="B404" s="54" t="s">
        <v>624</v>
      </c>
      <c r="C404" s="31">
        <v>4301011873</v>
      </c>
      <c r="D404" s="677">
        <v>4680115881907</v>
      </c>
      <c r="E404" s="678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1029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5"/>
      <c r="R404" s="685"/>
      <c r="S404" s="685"/>
      <c r="T404" s="686"/>
      <c r="U404" s="34"/>
      <c r="V404" s="34"/>
      <c r="W404" s="35" t="s">
        <v>69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625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626</v>
      </c>
      <c r="B405" s="54" t="s">
        <v>627</v>
      </c>
      <c r="C405" s="31">
        <v>4301011874</v>
      </c>
      <c r="D405" s="677">
        <v>4680115884892</v>
      </c>
      <c r="E405" s="678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100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5"/>
      <c r="R405" s="685"/>
      <c r="S405" s="685"/>
      <c r="T405" s="686"/>
      <c r="U405" s="34"/>
      <c r="V405" s="34"/>
      <c r="W405" s="35" t="s">
        <v>69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628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629</v>
      </c>
      <c r="B406" s="54" t="s">
        <v>630</v>
      </c>
      <c r="C406" s="31">
        <v>4301011875</v>
      </c>
      <c r="D406" s="677">
        <v>4680115884885</v>
      </c>
      <c r="E406" s="678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9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5"/>
      <c r="R406" s="685"/>
      <c r="S406" s="685"/>
      <c r="T406" s="686"/>
      <c r="U406" s="34"/>
      <c r="V406" s="34"/>
      <c r="W406" s="35" t="s">
        <v>69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628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4301011871</v>
      </c>
      <c r="D407" s="677">
        <v>4680115884908</v>
      </c>
      <c r="E407" s="678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10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5"/>
      <c r="R407" s="685"/>
      <c r="S407" s="685"/>
      <c r="T407" s="686"/>
      <c r="U407" s="34"/>
      <c r="V407" s="34"/>
      <c r="W407" s="35" t="s">
        <v>69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628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82"/>
      <c r="B408" s="681"/>
      <c r="C408" s="681"/>
      <c r="D408" s="681"/>
      <c r="E408" s="681"/>
      <c r="F408" s="681"/>
      <c r="G408" s="681"/>
      <c r="H408" s="681"/>
      <c r="I408" s="681"/>
      <c r="J408" s="681"/>
      <c r="K408" s="681"/>
      <c r="L408" s="681"/>
      <c r="M408" s="681"/>
      <c r="N408" s="681"/>
      <c r="O408" s="683"/>
      <c r="P408" s="679" t="s">
        <v>88</v>
      </c>
      <c r="Q408" s="670"/>
      <c r="R408" s="670"/>
      <c r="S408" s="670"/>
      <c r="T408" s="670"/>
      <c r="U408" s="670"/>
      <c r="V408" s="671"/>
      <c r="W408" s="37" t="s">
        <v>89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81"/>
      <c r="B409" s="681"/>
      <c r="C409" s="681"/>
      <c r="D409" s="681"/>
      <c r="E409" s="681"/>
      <c r="F409" s="681"/>
      <c r="G409" s="681"/>
      <c r="H409" s="681"/>
      <c r="I409" s="681"/>
      <c r="J409" s="681"/>
      <c r="K409" s="681"/>
      <c r="L409" s="681"/>
      <c r="M409" s="681"/>
      <c r="N409" s="681"/>
      <c r="O409" s="683"/>
      <c r="P409" s="679" t="s">
        <v>88</v>
      </c>
      <c r="Q409" s="670"/>
      <c r="R409" s="670"/>
      <c r="S409" s="670"/>
      <c r="T409" s="670"/>
      <c r="U409" s="670"/>
      <c r="V409" s="671"/>
      <c r="W409" s="37" t="s">
        <v>69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8" t="s">
        <v>149</v>
      </c>
      <c r="B410" s="681"/>
      <c r="C410" s="681"/>
      <c r="D410" s="681"/>
      <c r="E410" s="681"/>
      <c r="F410" s="681"/>
      <c r="G410" s="681"/>
      <c r="H410" s="681"/>
      <c r="I410" s="681"/>
      <c r="J410" s="681"/>
      <c r="K410" s="681"/>
      <c r="L410" s="681"/>
      <c r="M410" s="681"/>
      <c r="N410" s="681"/>
      <c r="O410" s="681"/>
      <c r="P410" s="681"/>
      <c r="Q410" s="681"/>
      <c r="R410" s="681"/>
      <c r="S410" s="681"/>
      <c r="T410" s="681"/>
      <c r="U410" s="681"/>
      <c r="V410" s="681"/>
      <c r="W410" s="681"/>
      <c r="X410" s="681"/>
      <c r="Y410" s="681"/>
      <c r="Z410" s="681"/>
      <c r="AA410" s="661"/>
      <c r="AB410" s="661"/>
      <c r="AC410" s="661"/>
    </row>
    <row r="411" spans="1:68" ht="27" customHeight="1" x14ac:dyDescent="0.25">
      <c r="A411" s="54" t="s">
        <v>633</v>
      </c>
      <c r="B411" s="54" t="s">
        <v>634</v>
      </c>
      <c r="C411" s="31">
        <v>4301031303</v>
      </c>
      <c r="D411" s="677">
        <v>4607091384802</v>
      </c>
      <c r="E411" s="678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93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5"/>
      <c r="R411" s="685"/>
      <c r="S411" s="685"/>
      <c r="T411" s="686"/>
      <c r="U411" s="34"/>
      <c r="V411" s="34"/>
      <c r="W411" s="35" t="s">
        <v>69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635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636</v>
      </c>
      <c r="B412" s="54" t="s">
        <v>637</v>
      </c>
      <c r="C412" s="31">
        <v>4301031304</v>
      </c>
      <c r="D412" s="677">
        <v>4607091384826</v>
      </c>
      <c r="E412" s="678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756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5"/>
      <c r="R412" s="685"/>
      <c r="S412" s="685"/>
      <c r="T412" s="686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635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82"/>
      <c r="B413" s="681"/>
      <c r="C413" s="681"/>
      <c r="D413" s="681"/>
      <c r="E413" s="681"/>
      <c r="F413" s="681"/>
      <c r="G413" s="681"/>
      <c r="H413" s="681"/>
      <c r="I413" s="681"/>
      <c r="J413" s="681"/>
      <c r="K413" s="681"/>
      <c r="L413" s="681"/>
      <c r="M413" s="681"/>
      <c r="N413" s="681"/>
      <c r="O413" s="683"/>
      <c r="P413" s="679" t="s">
        <v>88</v>
      </c>
      <c r="Q413" s="670"/>
      <c r="R413" s="670"/>
      <c r="S413" s="670"/>
      <c r="T413" s="670"/>
      <c r="U413" s="670"/>
      <c r="V413" s="671"/>
      <c r="W413" s="37" t="s">
        <v>89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81"/>
      <c r="B414" s="681"/>
      <c r="C414" s="681"/>
      <c r="D414" s="681"/>
      <c r="E414" s="681"/>
      <c r="F414" s="681"/>
      <c r="G414" s="681"/>
      <c r="H414" s="681"/>
      <c r="I414" s="681"/>
      <c r="J414" s="681"/>
      <c r="K414" s="681"/>
      <c r="L414" s="681"/>
      <c r="M414" s="681"/>
      <c r="N414" s="681"/>
      <c r="O414" s="683"/>
      <c r="P414" s="679" t="s">
        <v>88</v>
      </c>
      <c r="Q414" s="670"/>
      <c r="R414" s="670"/>
      <c r="S414" s="670"/>
      <c r="T414" s="670"/>
      <c r="U414" s="670"/>
      <c r="V414" s="671"/>
      <c r="W414" s="37" t="s">
        <v>69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8" t="s">
        <v>64</v>
      </c>
      <c r="B415" s="681"/>
      <c r="C415" s="681"/>
      <c r="D415" s="681"/>
      <c r="E415" s="681"/>
      <c r="F415" s="681"/>
      <c r="G415" s="681"/>
      <c r="H415" s="681"/>
      <c r="I415" s="681"/>
      <c r="J415" s="681"/>
      <c r="K415" s="681"/>
      <c r="L415" s="681"/>
      <c r="M415" s="681"/>
      <c r="N415" s="681"/>
      <c r="O415" s="681"/>
      <c r="P415" s="681"/>
      <c r="Q415" s="681"/>
      <c r="R415" s="681"/>
      <c r="S415" s="681"/>
      <c r="T415" s="681"/>
      <c r="U415" s="681"/>
      <c r="V415" s="681"/>
      <c r="W415" s="681"/>
      <c r="X415" s="681"/>
      <c r="Y415" s="681"/>
      <c r="Z415" s="681"/>
      <c r="AA415" s="661"/>
      <c r="AB415" s="661"/>
      <c r="AC415" s="661"/>
    </row>
    <row r="416" spans="1:68" ht="27" customHeight="1" x14ac:dyDescent="0.25">
      <c r="A416" s="54" t="s">
        <v>638</v>
      </c>
      <c r="B416" s="54" t="s">
        <v>639</v>
      </c>
      <c r="C416" s="31">
        <v>4301051899</v>
      </c>
      <c r="D416" s="677">
        <v>4607091384246</v>
      </c>
      <c r="E416" s="678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5"/>
      <c r="R416" s="685"/>
      <c r="S416" s="685"/>
      <c r="T416" s="686"/>
      <c r="U416" s="34"/>
      <c r="V416" s="34"/>
      <c r="W416" s="35" t="s">
        <v>69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640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641</v>
      </c>
      <c r="B417" s="54" t="s">
        <v>642</v>
      </c>
      <c r="C417" s="31">
        <v>4301051901</v>
      </c>
      <c r="D417" s="677">
        <v>4680115881976</v>
      </c>
      <c r="E417" s="678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775" t="s">
        <v>643</v>
      </c>
      <c r="Q417" s="685"/>
      <c r="R417" s="685"/>
      <c r="S417" s="685"/>
      <c r="T417" s="686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644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645</v>
      </c>
      <c r="B418" s="54" t="s">
        <v>646</v>
      </c>
      <c r="C418" s="31">
        <v>4301051297</v>
      </c>
      <c r="D418" s="677">
        <v>4607091384253</v>
      </c>
      <c r="E418" s="678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75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85"/>
      <c r="R418" s="685"/>
      <c r="S418" s="685"/>
      <c r="T418" s="686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647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645</v>
      </c>
      <c r="B419" s="54" t="s">
        <v>648</v>
      </c>
      <c r="C419" s="31">
        <v>4301051660</v>
      </c>
      <c r="D419" s="677">
        <v>4607091384253</v>
      </c>
      <c r="E419" s="678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9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85"/>
      <c r="R419" s="685"/>
      <c r="S419" s="685"/>
      <c r="T419" s="686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640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649</v>
      </c>
      <c r="B420" s="54" t="s">
        <v>650</v>
      </c>
      <c r="C420" s="31">
        <v>4301051444</v>
      </c>
      <c r="D420" s="677">
        <v>4680115881969</v>
      </c>
      <c r="E420" s="678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76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5"/>
      <c r="R420" s="685"/>
      <c r="S420" s="685"/>
      <c r="T420" s="686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651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82"/>
      <c r="B421" s="681"/>
      <c r="C421" s="681"/>
      <c r="D421" s="681"/>
      <c r="E421" s="681"/>
      <c r="F421" s="681"/>
      <c r="G421" s="681"/>
      <c r="H421" s="681"/>
      <c r="I421" s="681"/>
      <c r="J421" s="681"/>
      <c r="K421" s="681"/>
      <c r="L421" s="681"/>
      <c r="M421" s="681"/>
      <c r="N421" s="681"/>
      <c r="O421" s="683"/>
      <c r="P421" s="679" t="s">
        <v>88</v>
      </c>
      <c r="Q421" s="670"/>
      <c r="R421" s="670"/>
      <c r="S421" s="670"/>
      <c r="T421" s="670"/>
      <c r="U421" s="670"/>
      <c r="V421" s="671"/>
      <c r="W421" s="37" t="s">
        <v>89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x14ac:dyDescent="0.2">
      <c r="A422" s="681"/>
      <c r="B422" s="681"/>
      <c r="C422" s="681"/>
      <c r="D422" s="681"/>
      <c r="E422" s="681"/>
      <c r="F422" s="681"/>
      <c r="G422" s="681"/>
      <c r="H422" s="681"/>
      <c r="I422" s="681"/>
      <c r="J422" s="681"/>
      <c r="K422" s="681"/>
      <c r="L422" s="681"/>
      <c r="M422" s="681"/>
      <c r="N422" s="681"/>
      <c r="O422" s="683"/>
      <c r="P422" s="679" t="s">
        <v>88</v>
      </c>
      <c r="Q422" s="670"/>
      <c r="R422" s="670"/>
      <c r="S422" s="670"/>
      <c r="T422" s="670"/>
      <c r="U422" s="670"/>
      <c r="V422" s="671"/>
      <c r="W422" s="37" t="s">
        <v>69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customHeight="1" x14ac:dyDescent="0.25">
      <c r="A423" s="688" t="s">
        <v>175</v>
      </c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1"/>
      <c r="P423" s="681"/>
      <c r="Q423" s="681"/>
      <c r="R423" s="681"/>
      <c r="S423" s="681"/>
      <c r="T423" s="681"/>
      <c r="U423" s="681"/>
      <c r="V423" s="681"/>
      <c r="W423" s="681"/>
      <c r="X423" s="681"/>
      <c r="Y423" s="681"/>
      <c r="Z423" s="681"/>
      <c r="AA423" s="661"/>
      <c r="AB423" s="661"/>
      <c r="AC423" s="661"/>
    </row>
    <row r="424" spans="1:68" ht="27" customHeight="1" x14ac:dyDescent="0.25">
      <c r="A424" s="54" t="s">
        <v>652</v>
      </c>
      <c r="B424" s="54" t="s">
        <v>653</v>
      </c>
      <c r="C424" s="31">
        <v>4301060441</v>
      </c>
      <c r="D424" s="677">
        <v>4607091389357</v>
      </c>
      <c r="E424" s="678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911" t="s">
        <v>654</v>
      </c>
      <c r="Q424" s="685"/>
      <c r="R424" s="685"/>
      <c r="S424" s="685"/>
      <c r="T424" s="686"/>
      <c r="U424" s="34"/>
      <c r="V424" s="34"/>
      <c r="W424" s="35" t="s">
        <v>69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82"/>
      <c r="B425" s="681"/>
      <c r="C425" s="681"/>
      <c r="D425" s="681"/>
      <c r="E425" s="681"/>
      <c r="F425" s="681"/>
      <c r="G425" s="681"/>
      <c r="H425" s="681"/>
      <c r="I425" s="681"/>
      <c r="J425" s="681"/>
      <c r="K425" s="681"/>
      <c r="L425" s="681"/>
      <c r="M425" s="681"/>
      <c r="N425" s="681"/>
      <c r="O425" s="683"/>
      <c r="P425" s="679" t="s">
        <v>88</v>
      </c>
      <c r="Q425" s="670"/>
      <c r="R425" s="670"/>
      <c r="S425" s="670"/>
      <c r="T425" s="670"/>
      <c r="U425" s="670"/>
      <c r="V425" s="671"/>
      <c r="W425" s="37" t="s">
        <v>89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81"/>
      <c r="B426" s="681"/>
      <c r="C426" s="681"/>
      <c r="D426" s="681"/>
      <c r="E426" s="681"/>
      <c r="F426" s="681"/>
      <c r="G426" s="681"/>
      <c r="H426" s="681"/>
      <c r="I426" s="681"/>
      <c r="J426" s="681"/>
      <c r="K426" s="681"/>
      <c r="L426" s="681"/>
      <c r="M426" s="681"/>
      <c r="N426" s="681"/>
      <c r="O426" s="683"/>
      <c r="P426" s="679" t="s">
        <v>88</v>
      </c>
      <c r="Q426" s="670"/>
      <c r="R426" s="670"/>
      <c r="S426" s="670"/>
      <c r="T426" s="670"/>
      <c r="U426" s="670"/>
      <c r="V426" s="671"/>
      <c r="W426" s="37" t="s">
        <v>69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771" t="s">
        <v>656</v>
      </c>
      <c r="B427" s="772"/>
      <c r="C427" s="772"/>
      <c r="D427" s="772"/>
      <c r="E427" s="772"/>
      <c r="F427" s="772"/>
      <c r="G427" s="772"/>
      <c r="H427" s="772"/>
      <c r="I427" s="772"/>
      <c r="J427" s="772"/>
      <c r="K427" s="772"/>
      <c r="L427" s="772"/>
      <c r="M427" s="772"/>
      <c r="N427" s="772"/>
      <c r="O427" s="772"/>
      <c r="P427" s="772"/>
      <c r="Q427" s="772"/>
      <c r="R427" s="772"/>
      <c r="S427" s="772"/>
      <c r="T427" s="772"/>
      <c r="U427" s="772"/>
      <c r="V427" s="772"/>
      <c r="W427" s="772"/>
      <c r="X427" s="772"/>
      <c r="Y427" s="772"/>
      <c r="Z427" s="772"/>
      <c r="AA427" s="48"/>
      <c r="AB427" s="48"/>
      <c r="AC427" s="48"/>
    </row>
    <row r="428" spans="1:68" ht="16.5" customHeight="1" x14ac:dyDescent="0.25">
      <c r="A428" s="690" t="s">
        <v>657</v>
      </c>
      <c r="B428" s="681"/>
      <c r="C428" s="681"/>
      <c r="D428" s="681"/>
      <c r="E428" s="681"/>
      <c r="F428" s="681"/>
      <c r="G428" s="681"/>
      <c r="H428" s="681"/>
      <c r="I428" s="681"/>
      <c r="J428" s="681"/>
      <c r="K428" s="681"/>
      <c r="L428" s="681"/>
      <c r="M428" s="681"/>
      <c r="N428" s="681"/>
      <c r="O428" s="681"/>
      <c r="P428" s="681"/>
      <c r="Q428" s="681"/>
      <c r="R428" s="681"/>
      <c r="S428" s="681"/>
      <c r="T428" s="681"/>
      <c r="U428" s="681"/>
      <c r="V428" s="681"/>
      <c r="W428" s="681"/>
      <c r="X428" s="681"/>
      <c r="Y428" s="681"/>
      <c r="Z428" s="681"/>
      <c r="AA428" s="660"/>
      <c r="AB428" s="660"/>
      <c r="AC428" s="660"/>
    </row>
    <row r="429" spans="1:68" ht="14.25" customHeight="1" x14ac:dyDescent="0.25">
      <c r="A429" s="688" t="s">
        <v>149</v>
      </c>
      <c r="B429" s="681"/>
      <c r="C429" s="681"/>
      <c r="D429" s="681"/>
      <c r="E429" s="681"/>
      <c r="F429" s="681"/>
      <c r="G429" s="681"/>
      <c r="H429" s="681"/>
      <c r="I429" s="681"/>
      <c r="J429" s="681"/>
      <c r="K429" s="681"/>
      <c r="L429" s="681"/>
      <c r="M429" s="681"/>
      <c r="N429" s="681"/>
      <c r="O429" s="681"/>
      <c r="P429" s="681"/>
      <c r="Q429" s="681"/>
      <c r="R429" s="681"/>
      <c r="S429" s="681"/>
      <c r="T429" s="681"/>
      <c r="U429" s="681"/>
      <c r="V429" s="681"/>
      <c r="W429" s="681"/>
      <c r="X429" s="681"/>
      <c r="Y429" s="681"/>
      <c r="Z429" s="681"/>
      <c r="AA429" s="661"/>
      <c r="AB429" s="661"/>
      <c r="AC429" s="661"/>
    </row>
    <row r="430" spans="1:68" ht="27" customHeight="1" x14ac:dyDescent="0.25">
      <c r="A430" s="54" t="s">
        <v>658</v>
      </c>
      <c r="B430" s="54" t="s">
        <v>659</v>
      </c>
      <c r="C430" s="31">
        <v>4301031405</v>
      </c>
      <c r="D430" s="677">
        <v>4680115886100</v>
      </c>
      <c r="E430" s="678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774" t="s">
        <v>660</v>
      </c>
      <c r="Q430" s="685"/>
      <c r="R430" s="685"/>
      <c r="S430" s="685"/>
      <c r="T430" s="686"/>
      <c r="U430" s="34"/>
      <c r="V430" s="34"/>
      <c r="W430" s="35" t="s">
        <v>69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661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662</v>
      </c>
      <c r="B431" s="54" t="s">
        <v>663</v>
      </c>
      <c r="C431" s="31">
        <v>4301031406</v>
      </c>
      <c r="D431" s="677">
        <v>4680115886117</v>
      </c>
      <c r="E431" s="678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925" t="s">
        <v>664</v>
      </c>
      <c r="Q431" s="685"/>
      <c r="R431" s="685"/>
      <c r="S431" s="685"/>
      <c r="T431" s="686"/>
      <c r="U431" s="34"/>
      <c r="V431" s="34"/>
      <c r="W431" s="35" t="s">
        <v>69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665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662</v>
      </c>
      <c r="B432" s="54" t="s">
        <v>666</v>
      </c>
      <c r="C432" s="31">
        <v>4301031382</v>
      </c>
      <c r="D432" s="677">
        <v>4680115886117</v>
      </c>
      <c r="E432" s="678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1046" t="s">
        <v>664</v>
      </c>
      <c r="Q432" s="685"/>
      <c r="R432" s="685"/>
      <c r="S432" s="685"/>
      <c r="T432" s="686"/>
      <c r="U432" s="34"/>
      <c r="V432" s="34"/>
      <c r="W432" s="35" t="s">
        <v>69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665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667</v>
      </c>
      <c r="B433" s="54" t="s">
        <v>668</v>
      </c>
      <c r="C433" s="31">
        <v>4301031402</v>
      </c>
      <c r="D433" s="677">
        <v>4680115886124</v>
      </c>
      <c r="E433" s="678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730" t="s">
        <v>669</v>
      </c>
      <c r="Q433" s="685"/>
      <c r="R433" s="685"/>
      <c r="S433" s="685"/>
      <c r="T433" s="686"/>
      <c r="U433" s="34"/>
      <c r="V433" s="34"/>
      <c r="W433" s="35" t="s">
        <v>69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670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671</v>
      </c>
      <c r="B434" s="54" t="s">
        <v>672</v>
      </c>
      <c r="C434" s="31">
        <v>4301031335</v>
      </c>
      <c r="D434" s="677">
        <v>4680115883147</v>
      </c>
      <c r="E434" s="678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5"/>
      <c r="R434" s="685"/>
      <c r="S434" s="685"/>
      <c r="T434" s="686"/>
      <c r="U434" s="34"/>
      <c r="V434" s="34"/>
      <c r="W434" s="35" t="s">
        <v>69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661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671</v>
      </c>
      <c r="B435" s="54" t="s">
        <v>673</v>
      </c>
      <c r="C435" s="31">
        <v>4301031366</v>
      </c>
      <c r="D435" s="677">
        <v>4680115883147</v>
      </c>
      <c r="E435" s="678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716" t="s">
        <v>674</v>
      </c>
      <c r="Q435" s="685"/>
      <c r="R435" s="685"/>
      <c r="S435" s="685"/>
      <c r="T435" s="686"/>
      <c r="U435" s="34"/>
      <c r="V435" s="34"/>
      <c r="W435" s="35" t="s">
        <v>69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661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675</v>
      </c>
      <c r="B436" s="54" t="s">
        <v>676</v>
      </c>
      <c r="C436" s="31">
        <v>4301031362</v>
      </c>
      <c r="D436" s="677">
        <v>4607091384338</v>
      </c>
      <c r="E436" s="678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7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5"/>
      <c r="R436" s="685"/>
      <c r="S436" s="685"/>
      <c r="T436" s="686"/>
      <c r="U436" s="34"/>
      <c r="V436" s="34"/>
      <c r="W436" s="35" t="s">
        <v>69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661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677</v>
      </c>
      <c r="B437" s="54" t="s">
        <v>678</v>
      </c>
      <c r="C437" s="31">
        <v>4301031361</v>
      </c>
      <c r="D437" s="677">
        <v>4607091389524</v>
      </c>
      <c r="E437" s="678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105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5"/>
      <c r="R437" s="685"/>
      <c r="S437" s="685"/>
      <c r="T437" s="686"/>
      <c r="U437" s="34"/>
      <c r="V437" s="34"/>
      <c r="W437" s="35" t="s">
        <v>69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679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680</v>
      </c>
      <c r="B438" s="54" t="s">
        <v>681</v>
      </c>
      <c r="C438" s="31">
        <v>4301031337</v>
      </c>
      <c r="D438" s="677">
        <v>4680115883161</v>
      </c>
      <c r="E438" s="678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90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5"/>
      <c r="R438" s="685"/>
      <c r="S438" s="685"/>
      <c r="T438" s="686"/>
      <c r="U438" s="34"/>
      <c r="V438" s="34"/>
      <c r="W438" s="35" t="s">
        <v>69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682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680</v>
      </c>
      <c r="B439" s="54" t="s">
        <v>683</v>
      </c>
      <c r="C439" s="31">
        <v>4301031364</v>
      </c>
      <c r="D439" s="677">
        <v>4680115883161</v>
      </c>
      <c r="E439" s="678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729" t="s">
        <v>684</v>
      </c>
      <c r="Q439" s="685"/>
      <c r="R439" s="685"/>
      <c r="S439" s="685"/>
      <c r="T439" s="686"/>
      <c r="U439" s="34"/>
      <c r="V439" s="34"/>
      <c r="W439" s="35" t="s">
        <v>69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682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685</v>
      </c>
      <c r="B440" s="54" t="s">
        <v>686</v>
      </c>
      <c r="C440" s="31">
        <v>4301031358</v>
      </c>
      <c r="D440" s="677">
        <v>4607091389531</v>
      </c>
      <c r="E440" s="678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5"/>
      <c r="R440" s="685"/>
      <c r="S440" s="685"/>
      <c r="T440" s="686"/>
      <c r="U440" s="34"/>
      <c r="V440" s="34"/>
      <c r="W440" s="35" t="s">
        <v>69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687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688</v>
      </c>
      <c r="B441" s="54" t="s">
        <v>689</v>
      </c>
      <c r="C441" s="31">
        <v>4301031360</v>
      </c>
      <c r="D441" s="677">
        <v>4607091384345</v>
      </c>
      <c r="E441" s="678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5"/>
      <c r="R441" s="685"/>
      <c r="S441" s="685"/>
      <c r="T441" s="686"/>
      <c r="U441" s="34"/>
      <c r="V441" s="34"/>
      <c r="W441" s="35" t="s">
        <v>69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682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82"/>
      <c r="B442" s="681"/>
      <c r="C442" s="681"/>
      <c r="D442" s="681"/>
      <c r="E442" s="681"/>
      <c r="F442" s="681"/>
      <c r="G442" s="681"/>
      <c r="H442" s="681"/>
      <c r="I442" s="681"/>
      <c r="J442" s="681"/>
      <c r="K442" s="681"/>
      <c r="L442" s="681"/>
      <c r="M442" s="681"/>
      <c r="N442" s="681"/>
      <c r="O442" s="683"/>
      <c r="P442" s="679" t="s">
        <v>88</v>
      </c>
      <c r="Q442" s="670"/>
      <c r="R442" s="670"/>
      <c r="S442" s="670"/>
      <c r="T442" s="670"/>
      <c r="U442" s="670"/>
      <c r="V442" s="671"/>
      <c r="W442" s="37" t="s">
        <v>89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81"/>
      <c r="B443" s="681"/>
      <c r="C443" s="681"/>
      <c r="D443" s="681"/>
      <c r="E443" s="681"/>
      <c r="F443" s="681"/>
      <c r="G443" s="681"/>
      <c r="H443" s="681"/>
      <c r="I443" s="681"/>
      <c r="J443" s="681"/>
      <c r="K443" s="681"/>
      <c r="L443" s="681"/>
      <c r="M443" s="681"/>
      <c r="N443" s="681"/>
      <c r="O443" s="683"/>
      <c r="P443" s="679" t="s">
        <v>88</v>
      </c>
      <c r="Q443" s="670"/>
      <c r="R443" s="670"/>
      <c r="S443" s="670"/>
      <c r="T443" s="670"/>
      <c r="U443" s="670"/>
      <c r="V443" s="671"/>
      <c r="W443" s="37" t="s">
        <v>69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8" t="s">
        <v>64</v>
      </c>
      <c r="B444" s="681"/>
      <c r="C444" s="681"/>
      <c r="D444" s="681"/>
      <c r="E444" s="681"/>
      <c r="F444" s="681"/>
      <c r="G444" s="681"/>
      <c r="H444" s="681"/>
      <c r="I444" s="681"/>
      <c r="J444" s="681"/>
      <c r="K444" s="681"/>
      <c r="L444" s="681"/>
      <c r="M444" s="681"/>
      <c r="N444" s="681"/>
      <c r="O444" s="681"/>
      <c r="P444" s="681"/>
      <c r="Q444" s="681"/>
      <c r="R444" s="681"/>
      <c r="S444" s="681"/>
      <c r="T444" s="681"/>
      <c r="U444" s="681"/>
      <c r="V444" s="681"/>
      <c r="W444" s="681"/>
      <c r="X444" s="681"/>
      <c r="Y444" s="681"/>
      <c r="Z444" s="681"/>
      <c r="AA444" s="661"/>
      <c r="AB444" s="661"/>
      <c r="AC444" s="661"/>
    </row>
    <row r="445" spans="1:68" ht="27" customHeight="1" x14ac:dyDescent="0.25">
      <c r="A445" s="54" t="s">
        <v>690</v>
      </c>
      <c r="B445" s="54" t="s">
        <v>691</v>
      </c>
      <c r="C445" s="31">
        <v>4301051284</v>
      </c>
      <c r="D445" s="677">
        <v>4607091384352</v>
      </c>
      <c r="E445" s="678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10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5"/>
      <c r="R445" s="685"/>
      <c r="S445" s="685"/>
      <c r="T445" s="686"/>
      <c r="U445" s="34"/>
      <c r="V445" s="34"/>
      <c r="W445" s="35" t="s">
        <v>69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692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693</v>
      </c>
      <c r="B446" s="54" t="s">
        <v>694</v>
      </c>
      <c r="C446" s="31">
        <v>4301051431</v>
      </c>
      <c r="D446" s="677">
        <v>4607091389654</v>
      </c>
      <c r="E446" s="678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5"/>
      <c r="R446" s="685"/>
      <c r="S446" s="685"/>
      <c r="T446" s="686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695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82"/>
      <c r="B447" s="681"/>
      <c r="C447" s="681"/>
      <c r="D447" s="681"/>
      <c r="E447" s="681"/>
      <c r="F447" s="681"/>
      <c r="G447" s="681"/>
      <c r="H447" s="681"/>
      <c r="I447" s="681"/>
      <c r="J447" s="681"/>
      <c r="K447" s="681"/>
      <c r="L447" s="681"/>
      <c r="M447" s="681"/>
      <c r="N447" s="681"/>
      <c r="O447" s="683"/>
      <c r="P447" s="679" t="s">
        <v>88</v>
      </c>
      <c r="Q447" s="670"/>
      <c r="R447" s="670"/>
      <c r="S447" s="670"/>
      <c r="T447" s="670"/>
      <c r="U447" s="670"/>
      <c r="V447" s="671"/>
      <c r="W447" s="37" t="s">
        <v>89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81"/>
      <c r="B448" s="681"/>
      <c r="C448" s="681"/>
      <c r="D448" s="681"/>
      <c r="E448" s="681"/>
      <c r="F448" s="681"/>
      <c r="G448" s="681"/>
      <c r="H448" s="681"/>
      <c r="I448" s="681"/>
      <c r="J448" s="681"/>
      <c r="K448" s="681"/>
      <c r="L448" s="681"/>
      <c r="M448" s="681"/>
      <c r="N448" s="681"/>
      <c r="O448" s="683"/>
      <c r="P448" s="679" t="s">
        <v>88</v>
      </c>
      <c r="Q448" s="670"/>
      <c r="R448" s="670"/>
      <c r="S448" s="670"/>
      <c r="T448" s="670"/>
      <c r="U448" s="670"/>
      <c r="V448" s="671"/>
      <c r="W448" s="37" t="s">
        <v>69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690" t="s">
        <v>696</v>
      </c>
      <c r="B449" s="681"/>
      <c r="C449" s="681"/>
      <c r="D449" s="681"/>
      <c r="E449" s="681"/>
      <c r="F449" s="681"/>
      <c r="G449" s="681"/>
      <c r="H449" s="681"/>
      <c r="I449" s="681"/>
      <c r="J449" s="681"/>
      <c r="K449" s="681"/>
      <c r="L449" s="681"/>
      <c r="M449" s="681"/>
      <c r="N449" s="681"/>
      <c r="O449" s="681"/>
      <c r="P449" s="681"/>
      <c r="Q449" s="681"/>
      <c r="R449" s="681"/>
      <c r="S449" s="681"/>
      <c r="T449" s="681"/>
      <c r="U449" s="681"/>
      <c r="V449" s="681"/>
      <c r="W449" s="681"/>
      <c r="X449" s="681"/>
      <c r="Y449" s="681"/>
      <c r="Z449" s="681"/>
      <c r="AA449" s="660"/>
      <c r="AB449" s="660"/>
      <c r="AC449" s="660"/>
    </row>
    <row r="450" spans="1:68" ht="14.25" customHeight="1" x14ac:dyDescent="0.25">
      <c r="A450" s="688" t="s">
        <v>138</v>
      </c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1"/>
      <c r="P450" s="681"/>
      <c r="Q450" s="681"/>
      <c r="R450" s="681"/>
      <c r="S450" s="681"/>
      <c r="T450" s="681"/>
      <c r="U450" s="681"/>
      <c r="V450" s="681"/>
      <c r="W450" s="681"/>
      <c r="X450" s="681"/>
      <c r="Y450" s="681"/>
      <c r="Z450" s="681"/>
      <c r="AA450" s="661"/>
      <c r="AB450" s="661"/>
      <c r="AC450" s="661"/>
    </row>
    <row r="451" spans="1:68" ht="27" customHeight="1" x14ac:dyDescent="0.25">
      <c r="A451" s="54" t="s">
        <v>697</v>
      </c>
      <c r="B451" s="54" t="s">
        <v>698</v>
      </c>
      <c r="C451" s="31">
        <v>4301020319</v>
      </c>
      <c r="D451" s="677">
        <v>4680115885240</v>
      </c>
      <c r="E451" s="678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5"/>
      <c r="R451" s="685"/>
      <c r="S451" s="685"/>
      <c r="T451" s="686"/>
      <c r="U451" s="34"/>
      <c r="V451" s="34"/>
      <c r="W451" s="35" t="s">
        <v>69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699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700</v>
      </c>
      <c r="B452" s="54" t="s">
        <v>701</v>
      </c>
      <c r="C452" s="31">
        <v>4301020315</v>
      </c>
      <c r="D452" s="677">
        <v>4607091389364</v>
      </c>
      <c r="E452" s="678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104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5"/>
      <c r="R452" s="685"/>
      <c r="S452" s="685"/>
      <c r="T452" s="686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702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82"/>
      <c r="B453" s="681"/>
      <c r="C453" s="681"/>
      <c r="D453" s="681"/>
      <c r="E453" s="681"/>
      <c r="F453" s="681"/>
      <c r="G453" s="681"/>
      <c r="H453" s="681"/>
      <c r="I453" s="681"/>
      <c r="J453" s="681"/>
      <c r="K453" s="681"/>
      <c r="L453" s="681"/>
      <c r="M453" s="681"/>
      <c r="N453" s="681"/>
      <c r="O453" s="683"/>
      <c r="P453" s="679" t="s">
        <v>88</v>
      </c>
      <c r="Q453" s="670"/>
      <c r="R453" s="670"/>
      <c r="S453" s="670"/>
      <c r="T453" s="670"/>
      <c r="U453" s="670"/>
      <c r="V453" s="671"/>
      <c r="W453" s="37" t="s">
        <v>89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81"/>
      <c r="B454" s="681"/>
      <c r="C454" s="681"/>
      <c r="D454" s="681"/>
      <c r="E454" s="681"/>
      <c r="F454" s="681"/>
      <c r="G454" s="681"/>
      <c r="H454" s="681"/>
      <c r="I454" s="681"/>
      <c r="J454" s="681"/>
      <c r="K454" s="681"/>
      <c r="L454" s="681"/>
      <c r="M454" s="681"/>
      <c r="N454" s="681"/>
      <c r="O454" s="683"/>
      <c r="P454" s="679" t="s">
        <v>88</v>
      </c>
      <c r="Q454" s="670"/>
      <c r="R454" s="670"/>
      <c r="S454" s="670"/>
      <c r="T454" s="670"/>
      <c r="U454" s="670"/>
      <c r="V454" s="671"/>
      <c r="W454" s="37" t="s">
        <v>69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8" t="s">
        <v>149</v>
      </c>
      <c r="B455" s="681"/>
      <c r="C455" s="681"/>
      <c r="D455" s="681"/>
      <c r="E455" s="681"/>
      <c r="F455" s="681"/>
      <c r="G455" s="681"/>
      <c r="H455" s="681"/>
      <c r="I455" s="681"/>
      <c r="J455" s="681"/>
      <c r="K455" s="681"/>
      <c r="L455" s="681"/>
      <c r="M455" s="681"/>
      <c r="N455" s="681"/>
      <c r="O455" s="681"/>
      <c r="P455" s="681"/>
      <c r="Q455" s="681"/>
      <c r="R455" s="681"/>
      <c r="S455" s="681"/>
      <c r="T455" s="681"/>
      <c r="U455" s="681"/>
      <c r="V455" s="681"/>
      <c r="W455" s="681"/>
      <c r="X455" s="681"/>
      <c r="Y455" s="681"/>
      <c r="Z455" s="681"/>
      <c r="AA455" s="661"/>
      <c r="AB455" s="661"/>
      <c r="AC455" s="661"/>
    </row>
    <row r="456" spans="1:68" ht="27" customHeight="1" x14ac:dyDescent="0.25">
      <c r="A456" s="54" t="s">
        <v>703</v>
      </c>
      <c r="B456" s="54" t="s">
        <v>704</v>
      </c>
      <c r="C456" s="31">
        <v>4301031403</v>
      </c>
      <c r="D456" s="677">
        <v>4680115886094</v>
      </c>
      <c r="E456" s="678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956" t="s">
        <v>705</v>
      </c>
      <c r="Q456" s="685"/>
      <c r="R456" s="685"/>
      <c r="S456" s="685"/>
      <c r="T456" s="686"/>
      <c r="U456" s="34"/>
      <c r="V456" s="34"/>
      <c r="W456" s="35" t="s">
        <v>69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706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707</v>
      </c>
      <c r="B457" s="54" t="s">
        <v>708</v>
      </c>
      <c r="C457" s="31">
        <v>4301031363</v>
      </c>
      <c r="D457" s="677">
        <v>4607091389425</v>
      </c>
      <c r="E457" s="678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104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5"/>
      <c r="R457" s="685"/>
      <c r="S457" s="685"/>
      <c r="T457" s="686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709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710</v>
      </c>
      <c r="B458" s="54" t="s">
        <v>711</v>
      </c>
      <c r="C458" s="31">
        <v>4301031373</v>
      </c>
      <c r="D458" s="677">
        <v>4680115880771</v>
      </c>
      <c r="E458" s="678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1012" t="s">
        <v>712</v>
      </c>
      <c r="Q458" s="685"/>
      <c r="R458" s="685"/>
      <c r="S458" s="685"/>
      <c r="T458" s="686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713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714</v>
      </c>
      <c r="B459" s="54" t="s">
        <v>715</v>
      </c>
      <c r="C459" s="31">
        <v>4301031359</v>
      </c>
      <c r="D459" s="677">
        <v>4607091389500</v>
      </c>
      <c r="E459" s="678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85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5"/>
      <c r="R459" s="685"/>
      <c r="S459" s="685"/>
      <c r="T459" s="686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713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82"/>
      <c r="B460" s="681"/>
      <c r="C460" s="681"/>
      <c r="D460" s="681"/>
      <c r="E460" s="681"/>
      <c r="F460" s="681"/>
      <c r="G460" s="681"/>
      <c r="H460" s="681"/>
      <c r="I460" s="681"/>
      <c r="J460" s="681"/>
      <c r="K460" s="681"/>
      <c r="L460" s="681"/>
      <c r="M460" s="681"/>
      <c r="N460" s="681"/>
      <c r="O460" s="683"/>
      <c r="P460" s="679" t="s">
        <v>88</v>
      </c>
      <c r="Q460" s="670"/>
      <c r="R460" s="670"/>
      <c r="S460" s="670"/>
      <c r="T460" s="670"/>
      <c r="U460" s="670"/>
      <c r="V460" s="671"/>
      <c r="W460" s="37" t="s">
        <v>89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x14ac:dyDescent="0.2">
      <c r="A461" s="681"/>
      <c r="B461" s="681"/>
      <c r="C461" s="681"/>
      <c r="D461" s="681"/>
      <c r="E461" s="681"/>
      <c r="F461" s="681"/>
      <c r="G461" s="681"/>
      <c r="H461" s="681"/>
      <c r="I461" s="681"/>
      <c r="J461" s="681"/>
      <c r="K461" s="681"/>
      <c r="L461" s="681"/>
      <c r="M461" s="681"/>
      <c r="N461" s="681"/>
      <c r="O461" s="683"/>
      <c r="P461" s="679" t="s">
        <v>88</v>
      </c>
      <c r="Q461" s="670"/>
      <c r="R461" s="670"/>
      <c r="S461" s="670"/>
      <c r="T461" s="670"/>
      <c r="U461" s="670"/>
      <c r="V461" s="671"/>
      <c r="W461" s="37" t="s">
        <v>69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customHeight="1" x14ac:dyDescent="0.25">
      <c r="A462" s="690" t="s">
        <v>716</v>
      </c>
      <c r="B462" s="681"/>
      <c r="C462" s="681"/>
      <c r="D462" s="681"/>
      <c r="E462" s="681"/>
      <c r="F462" s="681"/>
      <c r="G462" s="681"/>
      <c r="H462" s="681"/>
      <c r="I462" s="681"/>
      <c r="J462" s="681"/>
      <c r="K462" s="681"/>
      <c r="L462" s="681"/>
      <c r="M462" s="681"/>
      <c r="N462" s="681"/>
      <c r="O462" s="681"/>
      <c r="P462" s="681"/>
      <c r="Q462" s="681"/>
      <c r="R462" s="681"/>
      <c r="S462" s="681"/>
      <c r="T462" s="681"/>
      <c r="U462" s="681"/>
      <c r="V462" s="681"/>
      <c r="W462" s="681"/>
      <c r="X462" s="681"/>
      <c r="Y462" s="681"/>
      <c r="Z462" s="681"/>
      <c r="AA462" s="660"/>
      <c r="AB462" s="660"/>
      <c r="AC462" s="660"/>
    </row>
    <row r="463" spans="1:68" ht="14.25" customHeight="1" x14ac:dyDescent="0.25">
      <c r="A463" s="688" t="s">
        <v>149</v>
      </c>
      <c r="B463" s="681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1"/>
      <c r="N463" s="681"/>
      <c r="O463" s="681"/>
      <c r="P463" s="681"/>
      <c r="Q463" s="681"/>
      <c r="R463" s="681"/>
      <c r="S463" s="681"/>
      <c r="T463" s="681"/>
      <c r="U463" s="681"/>
      <c r="V463" s="681"/>
      <c r="W463" s="681"/>
      <c r="X463" s="681"/>
      <c r="Y463" s="681"/>
      <c r="Z463" s="681"/>
      <c r="AA463" s="661"/>
      <c r="AB463" s="661"/>
      <c r="AC463" s="661"/>
    </row>
    <row r="464" spans="1:68" ht="27" customHeight="1" x14ac:dyDescent="0.25">
      <c r="A464" s="54" t="s">
        <v>717</v>
      </c>
      <c r="B464" s="54" t="s">
        <v>718</v>
      </c>
      <c r="C464" s="31">
        <v>4301031294</v>
      </c>
      <c r="D464" s="677">
        <v>4680115885189</v>
      </c>
      <c r="E464" s="678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97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5"/>
      <c r="R464" s="685"/>
      <c r="S464" s="685"/>
      <c r="T464" s="686"/>
      <c r="U464" s="34"/>
      <c r="V464" s="34"/>
      <c r="W464" s="35" t="s">
        <v>69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719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720</v>
      </c>
      <c r="B465" s="54" t="s">
        <v>721</v>
      </c>
      <c r="C465" s="31">
        <v>4301031347</v>
      </c>
      <c r="D465" s="677">
        <v>4680115885110</v>
      </c>
      <c r="E465" s="678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770" t="s">
        <v>722</v>
      </c>
      <c r="Q465" s="685"/>
      <c r="R465" s="685"/>
      <c r="S465" s="685"/>
      <c r="T465" s="686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82"/>
      <c r="B466" s="681"/>
      <c r="C466" s="681"/>
      <c r="D466" s="681"/>
      <c r="E466" s="681"/>
      <c r="F466" s="681"/>
      <c r="G466" s="681"/>
      <c r="H466" s="681"/>
      <c r="I466" s="681"/>
      <c r="J466" s="681"/>
      <c r="K466" s="681"/>
      <c r="L466" s="681"/>
      <c r="M466" s="681"/>
      <c r="N466" s="681"/>
      <c r="O466" s="683"/>
      <c r="P466" s="679" t="s">
        <v>88</v>
      </c>
      <c r="Q466" s="670"/>
      <c r="R466" s="670"/>
      <c r="S466" s="670"/>
      <c r="T466" s="670"/>
      <c r="U466" s="670"/>
      <c r="V466" s="671"/>
      <c r="W466" s="37" t="s">
        <v>89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81"/>
      <c r="B467" s="681"/>
      <c r="C467" s="681"/>
      <c r="D467" s="681"/>
      <c r="E467" s="681"/>
      <c r="F467" s="681"/>
      <c r="G467" s="681"/>
      <c r="H467" s="681"/>
      <c r="I467" s="681"/>
      <c r="J467" s="681"/>
      <c r="K467" s="681"/>
      <c r="L467" s="681"/>
      <c r="M467" s="681"/>
      <c r="N467" s="681"/>
      <c r="O467" s="683"/>
      <c r="P467" s="679" t="s">
        <v>88</v>
      </c>
      <c r="Q467" s="670"/>
      <c r="R467" s="670"/>
      <c r="S467" s="670"/>
      <c r="T467" s="670"/>
      <c r="U467" s="670"/>
      <c r="V467" s="671"/>
      <c r="W467" s="37" t="s">
        <v>69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690" t="s">
        <v>724</v>
      </c>
      <c r="B468" s="681"/>
      <c r="C468" s="681"/>
      <c r="D468" s="681"/>
      <c r="E468" s="681"/>
      <c r="F468" s="681"/>
      <c r="G468" s="681"/>
      <c r="H468" s="681"/>
      <c r="I468" s="681"/>
      <c r="J468" s="681"/>
      <c r="K468" s="681"/>
      <c r="L468" s="681"/>
      <c r="M468" s="681"/>
      <c r="N468" s="681"/>
      <c r="O468" s="681"/>
      <c r="P468" s="681"/>
      <c r="Q468" s="681"/>
      <c r="R468" s="681"/>
      <c r="S468" s="681"/>
      <c r="T468" s="681"/>
      <c r="U468" s="681"/>
      <c r="V468" s="681"/>
      <c r="W468" s="681"/>
      <c r="X468" s="681"/>
      <c r="Y468" s="681"/>
      <c r="Z468" s="681"/>
      <c r="AA468" s="660"/>
      <c r="AB468" s="660"/>
      <c r="AC468" s="660"/>
    </row>
    <row r="469" spans="1:68" ht="14.25" customHeight="1" x14ac:dyDescent="0.25">
      <c r="A469" s="688" t="s">
        <v>149</v>
      </c>
      <c r="B469" s="681"/>
      <c r="C469" s="681"/>
      <c r="D469" s="681"/>
      <c r="E469" s="681"/>
      <c r="F469" s="681"/>
      <c r="G469" s="681"/>
      <c r="H469" s="681"/>
      <c r="I469" s="681"/>
      <c r="J469" s="681"/>
      <c r="K469" s="681"/>
      <c r="L469" s="681"/>
      <c r="M469" s="681"/>
      <c r="N469" s="681"/>
      <c r="O469" s="681"/>
      <c r="P469" s="681"/>
      <c r="Q469" s="681"/>
      <c r="R469" s="681"/>
      <c r="S469" s="681"/>
      <c r="T469" s="681"/>
      <c r="U469" s="681"/>
      <c r="V469" s="681"/>
      <c r="W469" s="681"/>
      <c r="X469" s="681"/>
      <c r="Y469" s="681"/>
      <c r="Z469" s="681"/>
      <c r="AA469" s="661"/>
      <c r="AB469" s="661"/>
      <c r="AC469" s="661"/>
    </row>
    <row r="470" spans="1:68" ht="27" customHeight="1" x14ac:dyDescent="0.25">
      <c r="A470" s="54" t="s">
        <v>725</v>
      </c>
      <c r="B470" s="54" t="s">
        <v>726</v>
      </c>
      <c r="C470" s="31">
        <v>4301031261</v>
      </c>
      <c r="D470" s="677">
        <v>4680115885103</v>
      </c>
      <c r="E470" s="678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781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5"/>
      <c r="R470" s="685"/>
      <c r="S470" s="685"/>
      <c r="T470" s="686"/>
      <c r="U470" s="34"/>
      <c r="V470" s="34"/>
      <c r="W470" s="35" t="s">
        <v>69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727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82"/>
      <c r="B471" s="681"/>
      <c r="C471" s="681"/>
      <c r="D471" s="681"/>
      <c r="E471" s="681"/>
      <c r="F471" s="681"/>
      <c r="G471" s="681"/>
      <c r="H471" s="681"/>
      <c r="I471" s="681"/>
      <c r="J471" s="681"/>
      <c r="K471" s="681"/>
      <c r="L471" s="681"/>
      <c r="M471" s="681"/>
      <c r="N471" s="681"/>
      <c r="O471" s="683"/>
      <c r="P471" s="679" t="s">
        <v>88</v>
      </c>
      <c r="Q471" s="670"/>
      <c r="R471" s="670"/>
      <c r="S471" s="670"/>
      <c r="T471" s="670"/>
      <c r="U471" s="670"/>
      <c r="V471" s="671"/>
      <c r="W471" s="37" t="s">
        <v>89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81"/>
      <c r="B472" s="681"/>
      <c r="C472" s="681"/>
      <c r="D472" s="681"/>
      <c r="E472" s="681"/>
      <c r="F472" s="681"/>
      <c r="G472" s="681"/>
      <c r="H472" s="681"/>
      <c r="I472" s="681"/>
      <c r="J472" s="681"/>
      <c r="K472" s="681"/>
      <c r="L472" s="681"/>
      <c r="M472" s="681"/>
      <c r="N472" s="681"/>
      <c r="O472" s="683"/>
      <c r="P472" s="679" t="s">
        <v>88</v>
      </c>
      <c r="Q472" s="670"/>
      <c r="R472" s="670"/>
      <c r="S472" s="670"/>
      <c r="T472" s="670"/>
      <c r="U472" s="670"/>
      <c r="V472" s="671"/>
      <c r="W472" s="37" t="s">
        <v>69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8" t="s">
        <v>175</v>
      </c>
      <c r="B473" s="681"/>
      <c r="C473" s="681"/>
      <c r="D473" s="681"/>
      <c r="E473" s="681"/>
      <c r="F473" s="681"/>
      <c r="G473" s="681"/>
      <c r="H473" s="681"/>
      <c r="I473" s="681"/>
      <c r="J473" s="681"/>
      <c r="K473" s="681"/>
      <c r="L473" s="681"/>
      <c r="M473" s="681"/>
      <c r="N473" s="681"/>
      <c r="O473" s="681"/>
      <c r="P473" s="681"/>
      <c r="Q473" s="681"/>
      <c r="R473" s="681"/>
      <c r="S473" s="681"/>
      <c r="T473" s="681"/>
      <c r="U473" s="681"/>
      <c r="V473" s="681"/>
      <c r="W473" s="681"/>
      <c r="X473" s="681"/>
      <c r="Y473" s="681"/>
      <c r="Z473" s="681"/>
      <c r="AA473" s="661"/>
      <c r="AB473" s="661"/>
      <c r="AC473" s="661"/>
    </row>
    <row r="474" spans="1:68" ht="27" customHeight="1" x14ac:dyDescent="0.25">
      <c r="A474" s="54" t="s">
        <v>728</v>
      </c>
      <c r="B474" s="54" t="s">
        <v>729</v>
      </c>
      <c r="C474" s="31">
        <v>4301060412</v>
      </c>
      <c r="D474" s="677">
        <v>4680115885509</v>
      </c>
      <c r="E474" s="678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98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5"/>
      <c r="R474" s="685"/>
      <c r="S474" s="685"/>
      <c r="T474" s="686"/>
      <c r="U474" s="34"/>
      <c r="V474" s="34"/>
      <c r="W474" s="35" t="s">
        <v>69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730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82"/>
      <c r="B475" s="681"/>
      <c r="C475" s="681"/>
      <c r="D475" s="681"/>
      <c r="E475" s="681"/>
      <c r="F475" s="681"/>
      <c r="G475" s="681"/>
      <c r="H475" s="681"/>
      <c r="I475" s="681"/>
      <c r="J475" s="681"/>
      <c r="K475" s="681"/>
      <c r="L475" s="681"/>
      <c r="M475" s="681"/>
      <c r="N475" s="681"/>
      <c r="O475" s="683"/>
      <c r="P475" s="679" t="s">
        <v>88</v>
      </c>
      <c r="Q475" s="670"/>
      <c r="R475" s="670"/>
      <c r="S475" s="670"/>
      <c r="T475" s="670"/>
      <c r="U475" s="670"/>
      <c r="V475" s="671"/>
      <c r="W475" s="37" t="s">
        <v>89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81"/>
      <c r="B476" s="681"/>
      <c r="C476" s="681"/>
      <c r="D476" s="681"/>
      <c r="E476" s="681"/>
      <c r="F476" s="681"/>
      <c r="G476" s="681"/>
      <c r="H476" s="681"/>
      <c r="I476" s="681"/>
      <c r="J476" s="681"/>
      <c r="K476" s="681"/>
      <c r="L476" s="681"/>
      <c r="M476" s="681"/>
      <c r="N476" s="681"/>
      <c r="O476" s="683"/>
      <c r="P476" s="679" t="s">
        <v>88</v>
      </c>
      <c r="Q476" s="670"/>
      <c r="R476" s="670"/>
      <c r="S476" s="670"/>
      <c r="T476" s="670"/>
      <c r="U476" s="670"/>
      <c r="V476" s="671"/>
      <c r="W476" s="37" t="s">
        <v>69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771" t="s">
        <v>731</v>
      </c>
      <c r="B477" s="772"/>
      <c r="C477" s="772"/>
      <c r="D477" s="772"/>
      <c r="E477" s="772"/>
      <c r="F477" s="772"/>
      <c r="G477" s="772"/>
      <c r="H477" s="772"/>
      <c r="I477" s="772"/>
      <c r="J477" s="772"/>
      <c r="K477" s="772"/>
      <c r="L477" s="772"/>
      <c r="M477" s="772"/>
      <c r="N477" s="772"/>
      <c r="O477" s="772"/>
      <c r="P477" s="772"/>
      <c r="Q477" s="772"/>
      <c r="R477" s="772"/>
      <c r="S477" s="772"/>
      <c r="T477" s="772"/>
      <c r="U477" s="772"/>
      <c r="V477" s="772"/>
      <c r="W477" s="772"/>
      <c r="X477" s="772"/>
      <c r="Y477" s="772"/>
      <c r="Z477" s="772"/>
      <c r="AA477" s="48"/>
      <c r="AB477" s="48"/>
      <c r="AC477" s="48"/>
    </row>
    <row r="478" spans="1:68" ht="16.5" customHeight="1" x14ac:dyDescent="0.25">
      <c r="A478" s="690" t="s">
        <v>731</v>
      </c>
      <c r="B478" s="681"/>
      <c r="C478" s="681"/>
      <c r="D478" s="681"/>
      <c r="E478" s="681"/>
      <c r="F478" s="681"/>
      <c r="G478" s="681"/>
      <c r="H478" s="681"/>
      <c r="I478" s="681"/>
      <c r="J478" s="681"/>
      <c r="K478" s="681"/>
      <c r="L478" s="681"/>
      <c r="M478" s="681"/>
      <c r="N478" s="681"/>
      <c r="O478" s="681"/>
      <c r="P478" s="681"/>
      <c r="Q478" s="681"/>
      <c r="R478" s="681"/>
      <c r="S478" s="681"/>
      <c r="T478" s="681"/>
      <c r="U478" s="681"/>
      <c r="V478" s="681"/>
      <c r="W478" s="681"/>
      <c r="X478" s="681"/>
      <c r="Y478" s="681"/>
      <c r="Z478" s="681"/>
      <c r="AA478" s="660"/>
      <c r="AB478" s="660"/>
      <c r="AC478" s="660"/>
    </row>
    <row r="479" spans="1:68" ht="14.25" customHeight="1" x14ac:dyDescent="0.25">
      <c r="A479" s="688" t="s">
        <v>98</v>
      </c>
      <c r="B479" s="681"/>
      <c r="C479" s="681"/>
      <c r="D479" s="681"/>
      <c r="E479" s="681"/>
      <c r="F479" s="681"/>
      <c r="G479" s="681"/>
      <c r="H479" s="681"/>
      <c r="I479" s="681"/>
      <c r="J479" s="681"/>
      <c r="K479" s="681"/>
      <c r="L479" s="681"/>
      <c r="M479" s="681"/>
      <c r="N479" s="681"/>
      <c r="O479" s="681"/>
      <c r="P479" s="681"/>
      <c r="Q479" s="681"/>
      <c r="R479" s="681"/>
      <c r="S479" s="681"/>
      <c r="T479" s="681"/>
      <c r="U479" s="681"/>
      <c r="V479" s="681"/>
      <c r="W479" s="681"/>
      <c r="X479" s="681"/>
      <c r="Y479" s="681"/>
      <c r="Z479" s="681"/>
      <c r="AA479" s="661"/>
      <c r="AB479" s="661"/>
      <c r="AC479" s="661"/>
    </row>
    <row r="480" spans="1:68" ht="27" customHeight="1" x14ac:dyDescent="0.25">
      <c r="A480" s="54" t="s">
        <v>732</v>
      </c>
      <c r="B480" s="54" t="s">
        <v>733</v>
      </c>
      <c r="C480" s="31">
        <v>4301011795</v>
      </c>
      <c r="D480" s="677">
        <v>4607091389067</v>
      </c>
      <c r="E480" s="678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9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5"/>
      <c r="R480" s="685"/>
      <c r="S480" s="685"/>
      <c r="T480" s="686"/>
      <c r="U480" s="34"/>
      <c r="V480" s="34"/>
      <c r="W480" s="35" t="s">
        <v>69</v>
      </c>
      <c r="X480" s="665">
        <v>15</v>
      </c>
      <c r="Y480" s="666">
        <f t="shared" ref="Y480:Y495" si="69">IFERROR(IF(X480="",0,CEILING((X480/$H480),1)*$H480),"")</f>
        <v>15.84</v>
      </c>
      <c r="Z480" s="36">
        <f t="shared" ref="Z480:Z485" si="70">IFERROR(IF(Y480=0,"",ROUNDUP(Y480/H480,0)*0.01196),"")</f>
        <v>3.5880000000000002E-2</v>
      </c>
      <c r="AA480" s="56"/>
      <c r="AB480" s="57"/>
      <c r="AC480" s="521" t="s">
        <v>734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16.02272727272727</v>
      </c>
      <c r="BN480" s="64">
        <f t="shared" ref="BN480:BN495" si="72">IFERROR(Y480*I480/H480,"0")</f>
        <v>16.919999999999998</v>
      </c>
      <c r="BO480" s="64">
        <f t="shared" ref="BO480:BO495" si="73">IFERROR(1/J480*(X480/H480),"0")</f>
        <v>2.7316433566433568E-2</v>
      </c>
      <c r="BP480" s="64">
        <f t="shared" ref="BP480:BP495" si="74">IFERROR(1/J480*(Y480/H480),"0")</f>
        <v>2.8846153846153848E-2</v>
      </c>
    </row>
    <row r="481" spans="1:68" ht="27" customHeight="1" x14ac:dyDescent="0.25">
      <c r="A481" s="54" t="s">
        <v>735</v>
      </c>
      <c r="B481" s="54" t="s">
        <v>736</v>
      </c>
      <c r="C481" s="31">
        <v>4301011961</v>
      </c>
      <c r="D481" s="677">
        <v>4680115885271</v>
      </c>
      <c r="E481" s="678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9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5"/>
      <c r="R481" s="685"/>
      <c r="S481" s="685"/>
      <c r="T481" s="686"/>
      <c r="U481" s="34"/>
      <c r="V481" s="34"/>
      <c r="W481" s="35" t="s">
        <v>69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737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738</v>
      </c>
      <c r="B482" s="54" t="s">
        <v>739</v>
      </c>
      <c r="C482" s="31">
        <v>4301011376</v>
      </c>
      <c r="D482" s="677">
        <v>4680115885226</v>
      </c>
      <c r="E482" s="678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9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5"/>
      <c r="R482" s="685"/>
      <c r="S482" s="685"/>
      <c r="T482" s="686"/>
      <c r="U482" s="34"/>
      <c r="V482" s="34"/>
      <c r="W482" s="35" t="s">
        <v>69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740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customHeight="1" x14ac:dyDescent="0.25">
      <c r="A483" s="54" t="s">
        <v>741</v>
      </c>
      <c r="B483" s="54" t="s">
        <v>742</v>
      </c>
      <c r="C483" s="31">
        <v>4301011774</v>
      </c>
      <c r="D483" s="677">
        <v>4680115884502</v>
      </c>
      <c r="E483" s="678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7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85"/>
      <c r="R483" s="685"/>
      <c r="S483" s="685"/>
      <c r="T483" s="686"/>
      <c r="U483" s="34" t="s">
        <v>743</v>
      </c>
      <c r="V483" s="34"/>
      <c r="W483" s="35" t="s">
        <v>69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4301011771</v>
      </c>
      <c r="D484" s="677">
        <v>4607091389104</v>
      </c>
      <c r="E484" s="678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101</v>
      </c>
      <c r="L484" s="32"/>
      <c r="M484" s="33" t="s">
        <v>102</v>
      </c>
      <c r="N484" s="33"/>
      <c r="O484" s="32">
        <v>60</v>
      </c>
      <c r="P484" s="71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85"/>
      <c r="R484" s="685"/>
      <c r="S484" s="685"/>
      <c r="T484" s="686"/>
      <c r="U484" s="34"/>
      <c r="V484" s="34"/>
      <c r="W484" s="35" t="s">
        <v>69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customHeight="1" x14ac:dyDescent="0.25">
      <c r="A485" s="54" t="s">
        <v>748</v>
      </c>
      <c r="B485" s="54" t="s">
        <v>749</v>
      </c>
      <c r="C485" s="31">
        <v>4301011799</v>
      </c>
      <c r="D485" s="677">
        <v>4680115884519</v>
      </c>
      <c r="E485" s="678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101</v>
      </c>
      <c r="L485" s="32"/>
      <c r="M485" s="33" t="s">
        <v>108</v>
      </c>
      <c r="N485" s="33"/>
      <c r="O485" s="32">
        <v>60</v>
      </c>
      <c r="P485" s="831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85"/>
      <c r="R485" s="685"/>
      <c r="S485" s="685"/>
      <c r="T485" s="686"/>
      <c r="U485" s="34"/>
      <c r="V485" s="34"/>
      <c r="W485" s="35" t="s">
        <v>69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750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4301012125</v>
      </c>
      <c r="D486" s="677">
        <v>4680115886391</v>
      </c>
      <c r="E486" s="678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108</v>
      </c>
      <c r="N486" s="33"/>
      <c r="O486" s="32">
        <v>60</v>
      </c>
      <c r="P486" s="746" t="s">
        <v>753</v>
      </c>
      <c r="Q486" s="685"/>
      <c r="R486" s="685"/>
      <c r="S486" s="685"/>
      <c r="T486" s="686"/>
      <c r="U486" s="34"/>
      <c r="V486" s="34"/>
      <c r="W486" s="35" t="s">
        <v>69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734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754</v>
      </c>
      <c r="B487" s="54" t="s">
        <v>755</v>
      </c>
      <c r="C487" s="31">
        <v>4301011778</v>
      </c>
      <c r="D487" s="677">
        <v>4680115880603</v>
      </c>
      <c r="E487" s="678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83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85"/>
      <c r="R487" s="685"/>
      <c r="S487" s="685"/>
      <c r="T487" s="686"/>
      <c r="U487" s="34"/>
      <c r="V487" s="34"/>
      <c r="W487" s="35" t="s">
        <v>69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734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754</v>
      </c>
      <c r="B488" s="54" t="s">
        <v>756</v>
      </c>
      <c r="C488" s="31">
        <v>4301012035</v>
      </c>
      <c r="D488" s="677">
        <v>4680115880603</v>
      </c>
      <c r="E488" s="678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106</v>
      </c>
      <c r="L488" s="32"/>
      <c r="M488" s="33" t="s">
        <v>102</v>
      </c>
      <c r="N488" s="33"/>
      <c r="O488" s="32">
        <v>60</v>
      </c>
      <c r="P488" s="7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85"/>
      <c r="R488" s="685"/>
      <c r="S488" s="685"/>
      <c r="T488" s="686"/>
      <c r="U488" s="34"/>
      <c r="V488" s="34"/>
      <c r="W488" s="35" t="s">
        <v>69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734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757</v>
      </c>
      <c r="B489" s="54" t="s">
        <v>758</v>
      </c>
      <c r="C489" s="31">
        <v>4301012036</v>
      </c>
      <c r="D489" s="677">
        <v>4680115882782</v>
      </c>
      <c r="E489" s="678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106</v>
      </c>
      <c r="L489" s="32"/>
      <c r="M489" s="33" t="s">
        <v>102</v>
      </c>
      <c r="N489" s="33"/>
      <c r="O489" s="32">
        <v>60</v>
      </c>
      <c r="P489" s="91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85"/>
      <c r="R489" s="685"/>
      <c r="S489" s="685"/>
      <c r="T489" s="686"/>
      <c r="U489" s="34"/>
      <c r="V489" s="34"/>
      <c r="W489" s="35" t="s">
        <v>69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737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4301012055</v>
      </c>
      <c r="D490" s="677">
        <v>4680115886469</v>
      </c>
      <c r="E490" s="678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793" t="s">
        <v>761</v>
      </c>
      <c r="Q490" s="685"/>
      <c r="R490" s="685"/>
      <c r="S490" s="685"/>
      <c r="T490" s="686"/>
      <c r="U490" s="34"/>
      <c r="V490" s="34"/>
      <c r="W490" s="35" t="s">
        <v>69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740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762</v>
      </c>
      <c r="B491" s="54" t="s">
        <v>763</v>
      </c>
      <c r="C491" s="31">
        <v>4301012057</v>
      </c>
      <c r="D491" s="677">
        <v>4680115886483</v>
      </c>
      <c r="E491" s="678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106</v>
      </c>
      <c r="L491" s="32"/>
      <c r="M491" s="33" t="s">
        <v>102</v>
      </c>
      <c r="N491" s="33"/>
      <c r="O491" s="32">
        <v>60</v>
      </c>
      <c r="P491" s="885" t="s">
        <v>764</v>
      </c>
      <c r="Q491" s="685"/>
      <c r="R491" s="685"/>
      <c r="S491" s="685"/>
      <c r="T491" s="686"/>
      <c r="U491" s="34"/>
      <c r="V491" s="34"/>
      <c r="W491" s="35" t="s">
        <v>69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765</v>
      </c>
      <c r="B492" s="54" t="s">
        <v>766</v>
      </c>
      <c r="C492" s="31">
        <v>4301012050</v>
      </c>
      <c r="D492" s="677">
        <v>4680115885479</v>
      </c>
      <c r="E492" s="678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102</v>
      </c>
      <c r="N492" s="33"/>
      <c r="O492" s="32">
        <v>60</v>
      </c>
      <c r="P492" s="973" t="s">
        <v>767</v>
      </c>
      <c r="Q492" s="685"/>
      <c r="R492" s="685"/>
      <c r="S492" s="685"/>
      <c r="T492" s="686"/>
      <c r="U492" s="34"/>
      <c r="V492" s="34"/>
      <c r="W492" s="35" t="s">
        <v>69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747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77">
        <v>4607091389982</v>
      </c>
      <c r="E493" s="678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924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5"/>
      <c r="R493" s="685"/>
      <c r="S493" s="685"/>
      <c r="T493" s="686"/>
      <c r="U493" s="34"/>
      <c r="V493" s="34"/>
      <c r="W493" s="35" t="s">
        <v>69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747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4301012034</v>
      </c>
      <c r="D494" s="677">
        <v>4607091389982</v>
      </c>
      <c r="E494" s="678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106</v>
      </c>
      <c r="L494" s="32"/>
      <c r="M494" s="33" t="s">
        <v>102</v>
      </c>
      <c r="N494" s="33"/>
      <c r="O494" s="32">
        <v>60</v>
      </c>
      <c r="P494" s="102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85"/>
      <c r="R494" s="685"/>
      <c r="S494" s="685"/>
      <c r="T494" s="686"/>
      <c r="U494" s="34"/>
      <c r="V494" s="34"/>
      <c r="W494" s="35" t="s">
        <v>69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77">
        <v>4680115886490</v>
      </c>
      <c r="E495" s="678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106</v>
      </c>
      <c r="L495" s="32"/>
      <c r="M495" s="33" t="s">
        <v>102</v>
      </c>
      <c r="N495" s="33"/>
      <c r="O495" s="32">
        <v>60</v>
      </c>
      <c r="P495" s="932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85"/>
      <c r="R495" s="685"/>
      <c r="S495" s="685"/>
      <c r="T495" s="686"/>
      <c r="U495" s="34"/>
      <c r="V495" s="34"/>
      <c r="W495" s="35" t="s">
        <v>69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750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82"/>
      <c r="B496" s="681"/>
      <c r="C496" s="681"/>
      <c r="D496" s="681"/>
      <c r="E496" s="681"/>
      <c r="F496" s="681"/>
      <c r="G496" s="681"/>
      <c r="H496" s="681"/>
      <c r="I496" s="681"/>
      <c r="J496" s="681"/>
      <c r="K496" s="681"/>
      <c r="L496" s="681"/>
      <c r="M496" s="681"/>
      <c r="N496" s="681"/>
      <c r="O496" s="683"/>
      <c r="P496" s="679" t="s">
        <v>88</v>
      </c>
      <c r="Q496" s="670"/>
      <c r="R496" s="670"/>
      <c r="S496" s="670"/>
      <c r="T496" s="670"/>
      <c r="U496" s="670"/>
      <c r="V496" s="671"/>
      <c r="W496" s="37" t="s">
        <v>89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2.8409090909090908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3.5880000000000002E-2</v>
      </c>
      <c r="AA496" s="668"/>
      <c r="AB496" s="668"/>
      <c r="AC496" s="668"/>
    </row>
    <row r="497" spans="1:68" x14ac:dyDescent="0.2">
      <c r="A497" s="681"/>
      <c r="B497" s="681"/>
      <c r="C497" s="681"/>
      <c r="D497" s="681"/>
      <c r="E497" s="681"/>
      <c r="F497" s="681"/>
      <c r="G497" s="681"/>
      <c r="H497" s="681"/>
      <c r="I497" s="681"/>
      <c r="J497" s="681"/>
      <c r="K497" s="681"/>
      <c r="L497" s="681"/>
      <c r="M497" s="681"/>
      <c r="N497" s="681"/>
      <c r="O497" s="683"/>
      <c r="P497" s="679" t="s">
        <v>88</v>
      </c>
      <c r="Q497" s="670"/>
      <c r="R497" s="670"/>
      <c r="S497" s="670"/>
      <c r="T497" s="670"/>
      <c r="U497" s="670"/>
      <c r="V497" s="671"/>
      <c r="W497" s="37" t="s">
        <v>69</v>
      </c>
      <c r="X497" s="667">
        <f>IFERROR(SUM(X480:X495),"0")</f>
        <v>15</v>
      </c>
      <c r="Y497" s="667">
        <f>IFERROR(SUM(Y480:Y495),"0")</f>
        <v>15.84</v>
      </c>
      <c r="Z497" s="37"/>
      <c r="AA497" s="668"/>
      <c r="AB497" s="668"/>
      <c r="AC497" s="668"/>
    </row>
    <row r="498" spans="1:68" ht="14.25" customHeight="1" x14ac:dyDescent="0.25">
      <c r="A498" s="688" t="s">
        <v>138</v>
      </c>
      <c r="B498" s="681"/>
      <c r="C498" s="681"/>
      <c r="D498" s="681"/>
      <c r="E498" s="681"/>
      <c r="F498" s="681"/>
      <c r="G498" s="681"/>
      <c r="H498" s="681"/>
      <c r="I498" s="681"/>
      <c r="J498" s="681"/>
      <c r="K498" s="681"/>
      <c r="L498" s="681"/>
      <c r="M498" s="681"/>
      <c r="N498" s="681"/>
      <c r="O498" s="681"/>
      <c r="P498" s="681"/>
      <c r="Q498" s="681"/>
      <c r="R498" s="681"/>
      <c r="S498" s="681"/>
      <c r="T498" s="681"/>
      <c r="U498" s="681"/>
      <c r="V498" s="681"/>
      <c r="W498" s="681"/>
      <c r="X498" s="681"/>
      <c r="Y498" s="681"/>
      <c r="Z498" s="681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77">
        <v>4607091388930</v>
      </c>
      <c r="E499" s="678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72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85"/>
      <c r="R499" s="685"/>
      <c r="S499" s="685"/>
      <c r="T499" s="686"/>
      <c r="U499" s="34"/>
      <c r="V499" s="34"/>
      <c r="W499" s="35" t="s">
        <v>69</v>
      </c>
      <c r="X499" s="665">
        <v>15</v>
      </c>
      <c r="Y499" s="666">
        <f>IFERROR(IF(X499="",0,CEILING((X499/$H499),1)*$H499),"")</f>
        <v>15.84</v>
      </c>
      <c r="Z499" s="36">
        <f>IFERROR(IF(Y499=0,"",ROUNDUP(Y499/H499,0)*0.01196),"")</f>
        <v>3.5880000000000002E-2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16.02272727272727</v>
      </c>
      <c r="BN499" s="64">
        <f>IFERROR(Y499*I499/H499,"0")</f>
        <v>16.919999999999998</v>
      </c>
      <c r="BO499" s="64">
        <f>IFERROR(1/J499*(X499/H499),"0")</f>
        <v>2.7316433566433568E-2</v>
      </c>
      <c r="BP499" s="64">
        <f>IFERROR(1/J499*(Y499/H499),"0")</f>
        <v>2.8846153846153848E-2</v>
      </c>
    </row>
    <row r="500" spans="1:68" ht="16.5" customHeight="1" x14ac:dyDescent="0.25">
      <c r="A500" s="54" t="s">
        <v>773</v>
      </c>
      <c r="B500" s="54" t="s">
        <v>776</v>
      </c>
      <c r="C500" s="31">
        <v>4301020334</v>
      </c>
      <c r="D500" s="677">
        <v>4607091388930</v>
      </c>
      <c r="E500" s="678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101</v>
      </c>
      <c r="L500" s="32"/>
      <c r="M500" s="33" t="s">
        <v>108</v>
      </c>
      <c r="N500" s="33"/>
      <c r="O500" s="32">
        <v>70</v>
      </c>
      <c r="P500" s="842" t="s">
        <v>777</v>
      </c>
      <c r="Q500" s="685"/>
      <c r="R500" s="685"/>
      <c r="S500" s="685"/>
      <c r="T500" s="686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77">
        <v>4680115886407</v>
      </c>
      <c r="E501" s="678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108</v>
      </c>
      <c r="N501" s="33"/>
      <c r="O501" s="32">
        <v>70</v>
      </c>
      <c r="P501" s="964" t="s">
        <v>781</v>
      </c>
      <c r="Q501" s="685"/>
      <c r="R501" s="685"/>
      <c r="S501" s="685"/>
      <c r="T501" s="686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77">
        <v>4680115880054</v>
      </c>
      <c r="E502" s="678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106</v>
      </c>
      <c r="L502" s="32"/>
      <c r="M502" s="33" t="s">
        <v>102</v>
      </c>
      <c r="N502" s="33"/>
      <c r="O502" s="32">
        <v>70</v>
      </c>
      <c r="P502" s="997" t="s">
        <v>784</v>
      </c>
      <c r="Q502" s="685"/>
      <c r="R502" s="685"/>
      <c r="S502" s="685"/>
      <c r="T502" s="686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82"/>
      <c r="B503" s="681"/>
      <c r="C503" s="681"/>
      <c r="D503" s="681"/>
      <c r="E503" s="681"/>
      <c r="F503" s="681"/>
      <c r="G503" s="681"/>
      <c r="H503" s="681"/>
      <c r="I503" s="681"/>
      <c r="J503" s="681"/>
      <c r="K503" s="681"/>
      <c r="L503" s="681"/>
      <c r="M503" s="681"/>
      <c r="N503" s="681"/>
      <c r="O503" s="683"/>
      <c r="P503" s="679" t="s">
        <v>88</v>
      </c>
      <c r="Q503" s="670"/>
      <c r="R503" s="670"/>
      <c r="S503" s="670"/>
      <c r="T503" s="670"/>
      <c r="U503" s="670"/>
      <c r="V503" s="671"/>
      <c r="W503" s="37" t="s">
        <v>89</v>
      </c>
      <c r="X503" s="667">
        <f>IFERROR(X499/H499,"0")+IFERROR(X500/H500,"0")+IFERROR(X501/H501,"0")+IFERROR(X502/H502,"0")</f>
        <v>2.8409090909090908</v>
      </c>
      <c r="Y503" s="667">
        <f>IFERROR(Y499/H499,"0")+IFERROR(Y500/H500,"0")+IFERROR(Y501/H501,"0")+IFERROR(Y502/H502,"0")</f>
        <v>3</v>
      </c>
      <c r="Z503" s="667">
        <f>IFERROR(IF(Z499="",0,Z499),"0")+IFERROR(IF(Z500="",0,Z500),"0")+IFERROR(IF(Z501="",0,Z501),"0")+IFERROR(IF(Z502="",0,Z502),"0")</f>
        <v>3.5880000000000002E-2</v>
      </c>
      <c r="AA503" s="668"/>
      <c r="AB503" s="668"/>
      <c r="AC503" s="668"/>
    </row>
    <row r="504" spans="1:68" x14ac:dyDescent="0.2">
      <c r="A504" s="681"/>
      <c r="B504" s="681"/>
      <c r="C504" s="681"/>
      <c r="D504" s="681"/>
      <c r="E504" s="681"/>
      <c r="F504" s="681"/>
      <c r="G504" s="681"/>
      <c r="H504" s="681"/>
      <c r="I504" s="681"/>
      <c r="J504" s="681"/>
      <c r="K504" s="681"/>
      <c r="L504" s="681"/>
      <c r="M504" s="681"/>
      <c r="N504" s="681"/>
      <c r="O504" s="683"/>
      <c r="P504" s="679" t="s">
        <v>88</v>
      </c>
      <c r="Q504" s="670"/>
      <c r="R504" s="670"/>
      <c r="S504" s="670"/>
      <c r="T504" s="670"/>
      <c r="U504" s="670"/>
      <c r="V504" s="671"/>
      <c r="W504" s="37" t="s">
        <v>69</v>
      </c>
      <c r="X504" s="667">
        <f>IFERROR(SUM(X499:X502),"0")</f>
        <v>15</v>
      </c>
      <c r="Y504" s="667">
        <f>IFERROR(SUM(Y499:Y502),"0")</f>
        <v>15.84</v>
      </c>
      <c r="Z504" s="37"/>
      <c r="AA504" s="668"/>
      <c r="AB504" s="668"/>
      <c r="AC504" s="668"/>
    </row>
    <row r="505" spans="1:68" ht="14.25" customHeight="1" x14ac:dyDescent="0.25">
      <c r="A505" s="688" t="s">
        <v>149</v>
      </c>
      <c r="B505" s="681"/>
      <c r="C505" s="681"/>
      <c r="D505" s="681"/>
      <c r="E505" s="681"/>
      <c r="F505" s="681"/>
      <c r="G505" s="681"/>
      <c r="H505" s="681"/>
      <c r="I505" s="681"/>
      <c r="J505" s="681"/>
      <c r="K505" s="681"/>
      <c r="L505" s="681"/>
      <c r="M505" s="681"/>
      <c r="N505" s="681"/>
      <c r="O505" s="681"/>
      <c r="P505" s="681"/>
      <c r="Q505" s="681"/>
      <c r="R505" s="681"/>
      <c r="S505" s="681"/>
      <c r="T505" s="681"/>
      <c r="U505" s="681"/>
      <c r="V505" s="681"/>
      <c r="W505" s="681"/>
      <c r="X505" s="681"/>
      <c r="Y505" s="681"/>
      <c r="Z505" s="681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77">
        <v>4680115883116</v>
      </c>
      <c r="E506" s="678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70</v>
      </c>
      <c r="P506" s="867" t="s">
        <v>787</v>
      </c>
      <c r="Q506" s="685"/>
      <c r="R506" s="685"/>
      <c r="S506" s="685"/>
      <c r="T506" s="686"/>
      <c r="U506" s="34"/>
      <c r="V506" s="34"/>
      <c r="W506" s="35" t="s">
        <v>69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77">
        <v>4680115883093</v>
      </c>
      <c r="E507" s="678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691" t="s">
        <v>791</v>
      </c>
      <c r="Q507" s="685"/>
      <c r="R507" s="685"/>
      <c r="S507" s="685"/>
      <c r="T507" s="686"/>
      <c r="U507" s="34"/>
      <c r="V507" s="34"/>
      <c r="W507" s="35" t="s">
        <v>69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77">
        <v>4680115883109</v>
      </c>
      <c r="E508" s="678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101</v>
      </c>
      <c r="L508" s="32"/>
      <c r="M508" s="33" t="s">
        <v>68</v>
      </c>
      <c r="N508" s="33"/>
      <c r="O508" s="32">
        <v>70</v>
      </c>
      <c r="P508" s="977" t="s">
        <v>795</v>
      </c>
      <c r="Q508" s="685"/>
      <c r="R508" s="685"/>
      <c r="S508" s="685"/>
      <c r="T508" s="686"/>
      <c r="U508" s="34"/>
      <c r="V508" s="34"/>
      <c r="W508" s="35" t="s">
        <v>69</v>
      </c>
      <c r="X508" s="665">
        <v>10</v>
      </c>
      <c r="Y508" s="666">
        <f t="shared" si="75"/>
        <v>10.56</v>
      </c>
      <c r="Z508" s="36">
        <f>IFERROR(IF(Y508=0,"",ROUNDUP(Y508/H508,0)*0.01196),"")</f>
        <v>2.392E-2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6"/>
        <v>10.681818181818182</v>
      </c>
      <c r="BN508" s="64">
        <f t="shared" si="77"/>
        <v>11.28</v>
      </c>
      <c r="BO508" s="64">
        <f t="shared" si="78"/>
        <v>1.8210955710955712E-2</v>
      </c>
      <c r="BP508" s="64">
        <f t="shared" si="79"/>
        <v>1.9230769230769232E-2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77">
        <v>4680115886438</v>
      </c>
      <c r="E509" s="678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102</v>
      </c>
      <c r="N509" s="33"/>
      <c r="O509" s="32">
        <v>70</v>
      </c>
      <c r="P509" s="740" t="s">
        <v>799</v>
      </c>
      <c r="Q509" s="685"/>
      <c r="R509" s="685"/>
      <c r="S509" s="685"/>
      <c r="T509" s="686"/>
      <c r="U509" s="34"/>
      <c r="V509" s="34"/>
      <c r="W509" s="35" t="s">
        <v>69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4301031419</v>
      </c>
      <c r="D510" s="677">
        <v>4680115882072</v>
      </c>
      <c r="E510" s="678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846" t="s">
        <v>802</v>
      </c>
      <c r="Q510" s="685"/>
      <c r="R510" s="685"/>
      <c r="S510" s="685"/>
      <c r="T510" s="686"/>
      <c r="U510" s="34"/>
      <c r="V510" s="34"/>
      <c r="W510" s="35" t="s">
        <v>69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77">
        <v>4680115882072</v>
      </c>
      <c r="E511" s="678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9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5"/>
      <c r="R511" s="685"/>
      <c r="S511" s="685"/>
      <c r="T511" s="686"/>
      <c r="U511" s="34"/>
      <c r="V511" s="34"/>
      <c r="W511" s="35" t="s">
        <v>69</v>
      </c>
      <c r="X511" s="665">
        <v>0</v>
      </c>
      <c r="Y511" s="666">
        <f t="shared" si="75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4301031351</v>
      </c>
      <c r="D512" s="677">
        <v>4680115882072</v>
      </c>
      <c r="E512" s="678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106</v>
      </c>
      <c r="L512" s="32"/>
      <c r="M512" s="33" t="s">
        <v>102</v>
      </c>
      <c r="N512" s="33"/>
      <c r="O512" s="32">
        <v>70</v>
      </c>
      <c r="P512" s="835" t="s">
        <v>806</v>
      </c>
      <c r="Q512" s="685"/>
      <c r="R512" s="685"/>
      <c r="S512" s="685"/>
      <c r="T512" s="686"/>
      <c r="U512" s="34"/>
      <c r="V512" s="34"/>
      <c r="W512" s="35" t="s">
        <v>69</v>
      </c>
      <c r="X512" s="665">
        <v>0</v>
      </c>
      <c r="Y512" s="666">
        <f t="shared" si="75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77">
        <v>4680115882102</v>
      </c>
      <c r="E513" s="678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60</v>
      </c>
      <c r="P513" s="917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5"/>
      <c r="R513" s="685"/>
      <c r="S513" s="685"/>
      <c r="T513" s="686"/>
      <c r="U513" s="34"/>
      <c r="V513" s="34"/>
      <c r="W513" s="35" t="s">
        <v>69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4301031418</v>
      </c>
      <c r="D514" s="677">
        <v>4680115882102</v>
      </c>
      <c r="E514" s="678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70</v>
      </c>
      <c r="P514" s="913" t="s">
        <v>811</v>
      </c>
      <c r="Q514" s="685"/>
      <c r="R514" s="685"/>
      <c r="S514" s="685"/>
      <c r="T514" s="686"/>
      <c r="U514" s="34"/>
      <c r="V514" s="34"/>
      <c r="W514" s="35" t="s">
        <v>69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77">
        <v>4680115882096</v>
      </c>
      <c r="E515" s="678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726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85"/>
      <c r="R515" s="685"/>
      <c r="S515" s="685"/>
      <c r="T515" s="686"/>
      <c r="U515" s="34"/>
      <c r="V515" s="34"/>
      <c r="W515" s="35" t="s">
        <v>69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812</v>
      </c>
      <c r="B516" s="54" t="s">
        <v>815</v>
      </c>
      <c r="C516" s="31">
        <v>4301031417</v>
      </c>
      <c r="D516" s="677">
        <v>4680115882096</v>
      </c>
      <c r="E516" s="678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82" t="s">
        <v>816</v>
      </c>
      <c r="Q516" s="685"/>
      <c r="R516" s="685"/>
      <c r="S516" s="685"/>
      <c r="T516" s="686"/>
      <c r="U516" s="34"/>
      <c r="V516" s="34"/>
      <c r="W516" s="35" t="s">
        <v>69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812</v>
      </c>
      <c r="B517" s="54" t="s">
        <v>817</v>
      </c>
      <c r="C517" s="31">
        <v>4301031384</v>
      </c>
      <c r="D517" s="677">
        <v>4680115882096</v>
      </c>
      <c r="E517" s="678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106</v>
      </c>
      <c r="L517" s="32"/>
      <c r="M517" s="33" t="s">
        <v>68</v>
      </c>
      <c r="N517" s="33"/>
      <c r="O517" s="32">
        <v>60</v>
      </c>
      <c r="P517" s="85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85"/>
      <c r="R517" s="685"/>
      <c r="S517" s="685"/>
      <c r="T517" s="686"/>
      <c r="U517" s="34"/>
      <c r="V517" s="34"/>
      <c r="W517" s="35" t="s">
        <v>69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82"/>
      <c r="B518" s="681"/>
      <c r="C518" s="681"/>
      <c r="D518" s="681"/>
      <c r="E518" s="681"/>
      <c r="F518" s="681"/>
      <c r="G518" s="681"/>
      <c r="H518" s="681"/>
      <c r="I518" s="681"/>
      <c r="J518" s="681"/>
      <c r="K518" s="681"/>
      <c r="L518" s="681"/>
      <c r="M518" s="681"/>
      <c r="N518" s="681"/>
      <c r="O518" s="683"/>
      <c r="P518" s="679" t="s">
        <v>88</v>
      </c>
      <c r="Q518" s="670"/>
      <c r="R518" s="670"/>
      <c r="S518" s="670"/>
      <c r="T518" s="670"/>
      <c r="U518" s="670"/>
      <c r="V518" s="671"/>
      <c r="W518" s="37" t="s">
        <v>89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1.8939393939393938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2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2.392E-2</v>
      </c>
      <c r="AA518" s="668"/>
      <c r="AB518" s="668"/>
      <c r="AC518" s="668"/>
    </row>
    <row r="519" spans="1:68" x14ac:dyDescent="0.2">
      <c r="A519" s="681"/>
      <c r="B519" s="681"/>
      <c r="C519" s="681"/>
      <c r="D519" s="681"/>
      <c r="E519" s="681"/>
      <c r="F519" s="681"/>
      <c r="G519" s="681"/>
      <c r="H519" s="681"/>
      <c r="I519" s="681"/>
      <c r="J519" s="681"/>
      <c r="K519" s="681"/>
      <c r="L519" s="681"/>
      <c r="M519" s="681"/>
      <c r="N519" s="681"/>
      <c r="O519" s="683"/>
      <c r="P519" s="679" t="s">
        <v>88</v>
      </c>
      <c r="Q519" s="670"/>
      <c r="R519" s="670"/>
      <c r="S519" s="670"/>
      <c r="T519" s="670"/>
      <c r="U519" s="670"/>
      <c r="V519" s="671"/>
      <c r="W519" s="37" t="s">
        <v>69</v>
      </c>
      <c r="X519" s="667">
        <f>IFERROR(SUM(X506:X517),"0")</f>
        <v>10</v>
      </c>
      <c r="Y519" s="667">
        <f>IFERROR(SUM(Y506:Y517),"0")</f>
        <v>10.56</v>
      </c>
      <c r="Z519" s="37"/>
      <c r="AA519" s="668"/>
      <c r="AB519" s="668"/>
      <c r="AC519" s="668"/>
    </row>
    <row r="520" spans="1:68" ht="14.25" customHeight="1" x14ac:dyDescent="0.25">
      <c r="A520" s="688" t="s">
        <v>64</v>
      </c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1"/>
      <c r="P520" s="681"/>
      <c r="Q520" s="681"/>
      <c r="R520" s="681"/>
      <c r="S520" s="681"/>
      <c r="T520" s="681"/>
      <c r="U520" s="681"/>
      <c r="V520" s="681"/>
      <c r="W520" s="681"/>
      <c r="X520" s="681"/>
      <c r="Y520" s="681"/>
      <c r="Z520" s="681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77">
        <v>4607091383409</v>
      </c>
      <c r="E521" s="678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101</v>
      </c>
      <c r="L521" s="32"/>
      <c r="M521" s="33" t="s">
        <v>108</v>
      </c>
      <c r="N521" s="33"/>
      <c r="O521" s="32">
        <v>45</v>
      </c>
      <c r="P521" s="100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85"/>
      <c r="R521" s="685"/>
      <c r="S521" s="685"/>
      <c r="T521" s="686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77">
        <v>4607091383416</v>
      </c>
      <c r="E522" s="678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101</v>
      </c>
      <c r="L522" s="32"/>
      <c r="M522" s="33" t="s">
        <v>68</v>
      </c>
      <c r="N522" s="33"/>
      <c r="O522" s="32">
        <v>45</v>
      </c>
      <c r="P522" s="102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85"/>
      <c r="R522" s="685"/>
      <c r="S522" s="685"/>
      <c r="T522" s="686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77">
        <v>4680115883536</v>
      </c>
      <c r="E523" s="678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108</v>
      </c>
      <c r="N523" s="33"/>
      <c r="O523" s="32">
        <v>45</v>
      </c>
      <c r="P523" s="9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85"/>
      <c r="R523" s="685"/>
      <c r="S523" s="685"/>
      <c r="T523" s="686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82"/>
      <c r="B524" s="681"/>
      <c r="C524" s="681"/>
      <c r="D524" s="681"/>
      <c r="E524" s="681"/>
      <c r="F524" s="681"/>
      <c r="G524" s="681"/>
      <c r="H524" s="681"/>
      <c r="I524" s="681"/>
      <c r="J524" s="681"/>
      <c r="K524" s="681"/>
      <c r="L524" s="681"/>
      <c r="M524" s="681"/>
      <c r="N524" s="681"/>
      <c r="O524" s="683"/>
      <c r="P524" s="679" t="s">
        <v>88</v>
      </c>
      <c r="Q524" s="670"/>
      <c r="R524" s="670"/>
      <c r="S524" s="670"/>
      <c r="T524" s="670"/>
      <c r="U524" s="670"/>
      <c r="V524" s="671"/>
      <c r="W524" s="37" t="s">
        <v>89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1"/>
      <c r="B525" s="681"/>
      <c r="C525" s="681"/>
      <c r="D525" s="681"/>
      <c r="E525" s="681"/>
      <c r="F525" s="681"/>
      <c r="G525" s="681"/>
      <c r="H525" s="681"/>
      <c r="I525" s="681"/>
      <c r="J525" s="681"/>
      <c r="K525" s="681"/>
      <c r="L525" s="681"/>
      <c r="M525" s="681"/>
      <c r="N525" s="681"/>
      <c r="O525" s="683"/>
      <c r="P525" s="679" t="s">
        <v>88</v>
      </c>
      <c r="Q525" s="670"/>
      <c r="R525" s="670"/>
      <c r="S525" s="670"/>
      <c r="T525" s="670"/>
      <c r="U525" s="670"/>
      <c r="V525" s="671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8" t="s">
        <v>175</v>
      </c>
      <c r="B526" s="681"/>
      <c r="C526" s="681"/>
      <c r="D526" s="681"/>
      <c r="E526" s="681"/>
      <c r="F526" s="681"/>
      <c r="G526" s="681"/>
      <c r="H526" s="681"/>
      <c r="I526" s="681"/>
      <c r="J526" s="681"/>
      <c r="K526" s="681"/>
      <c r="L526" s="681"/>
      <c r="M526" s="681"/>
      <c r="N526" s="681"/>
      <c r="O526" s="681"/>
      <c r="P526" s="681"/>
      <c r="Q526" s="681"/>
      <c r="R526" s="681"/>
      <c r="S526" s="681"/>
      <c r="T526" s="681"/>
      <c r="U526" s="681"/>
      <c r="V526" s="681"/>
      <c r="W526" s="681"/>
      <c r="X526" s="681"/>
      <c r="Y526" s="681"/>
      <c r="Z526" s="681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77">
        <v>4680115885035</v>
      </c>
      <c r="E527" s="678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101</v>
      </c>
      <c r="L527" s="32"/>
      <c r="M527" s="33" t="s">
        <v>68</v>
      </c>
      <c r="N527" s="33"/>
      <c r="O527" s="32">
        <v>35</v>
      </c>
      <c r="P527" s="99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85"/>
      <c r="R527" s="685"/>
      <c r="S527" s="685"/>
      <c r="T527" s="686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77">
        <v>4680115885936</v>
      </c>
      <c r="E528" s="678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101</v>
      </c>
      <c r="L528" s="32"/>
      <c r="M528" s="33" t="s">
        <v>68</v>
      </c>
      <c r="N528" s="33"/>
      <c r="O528" s="32">
        <v>35</v>
      </c>
      <c r="P528" s="724" t="s">
        <v>832</v>
      </c>
      <c r="Q528" s="685"/>
      <c r="R528" s="685"/>
      <c r="S528" s="685"/>
      <c r="T528" s="686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82"/>
      <c r="B529" s="681"/>
      <c r="C529" s="681"/>
      <c r="D529" s="681"/>
      <c r="E529" s="681"/>
      <c r="F529" s="681"/>
      <c r="G529" s="681"/>
      <c r="H529" s="681"/>
      <c r="I529" s="681"/>
      <c r="J529" s="681"/>
      <c r="K529" s="681"/>
      <c r="L529" s="681"/>
      <c r="M529" s="681"/>
      <c r="N529" s="681"/>
      <c r="O529" s="683"/>
      <c r="P529" s="679" t="s">
        <v>88</v>
      </c>
      <c r="Q529" s="670"/>
      <c r="R529" s="670"/>
      <c r="S529" s="670"/>
      <c r="T529" s="670"/>
      <c r="U529" s="670"/>
      <c r="V529" s="671"/>
      <c r="W529" s="37" t="s">
        <v>89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1"/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683"/>
      <c r="P530" s="679" t="s">
        <v>88</v>
      </c>
      <c r="Q530" s="670"/>
      <c r="R530" s="670"/>
      <c r="S530" s="670"/>
      <c r="T530" s="670"/>
      <c r="U530" s="670"/>
      <c r="V530" s="671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771" t="s">
        <v>833</v>
      </c>
      <c r="B531" s="772"/>
      <c r="C531" s="772"/>
      <c r="D531" s="772"/>
      <c r="E531" s="772"/>
      <c r="F531" s="772"/>
      <c r="G531" s="772"/>
      <c r="H531" s="772"/>
      <c r="I531" s="772"/>
      <c r="J531" s="772"/>
      <c r="K531" s="772"/>
      <c r="L531" s="772"/>
      <c r="M531" s="772"/>
      <c r="N531" s="772"/>
      <c r="O531" s="772"/>
      <c r="P531" s="772"/>
      <c r="Q531" s="772"/>
      <c r="R531" s="772"/>
      <c r="S531" s="772"/>
      <c r="T531" s="772"/>
      <c r="U531" s="772"/>
      <c r="V531" s="772"/>
      <c r="W531" s="772"/>
      <c r="X531" s="772"/>
      <c r="Y531" s="772"/>
      <c r="Z531" s="772"/>
      <c r="AA531" s="48"/>
      <c r="AB531" s="48"/>
      <c r="AC531" s="48"/>
    </row>
    <row r="532" spans="1:68" ht="16.5" customHeight="1" x14ac:dyDescent="0.25">
      <c r="A532" s="690" t="s">
        <v>833</v>
      </c>
      <c r="B532" s="681"/>
      <c r="C532" s="681"/>
      <c r="D532" s="681"/>
      <c r="E532" s="681"/>
      <c r="F532" s="681"/>
      <c r="G532" s="681"/>
      <c r="H532" s="681"/>
      <c r="I532" s="681"/>
      <c r="J532" s="681"/>
      <c r="K532" s="681"/>
      <c r="L532" s="681"/>
      <c r="M532" s="681"/>
      <c r="N532" s="681"/>
      <c r="O532" s="681"/>
      <c r="P532" s="681"/>
      <c r="Q532" s="681"/>
      <c r="R532" s="681"/>
      <c r="S532" s="681"/>
      <c r="T532" s="681"/>
      <c r="U532" s="681"/>
      <c r="V532" s="681"/>
      <c r="W532" s="681"/>
      <c r="X532" s="681"/>
      <c r="Y532" s="681"/>
      <c r="Z532" s="681"/>
      <c r="AA532" s="660"/>
      <c r="AB532" s="660"/>
      <c r="AC532" s="660"/>
    </row>
    <row r="533" spans="1:68" ht="14.25" customHeight="1" x14ac:dyDescent="0.25">
      <c r="A533" s="688" t="s">
        <v>98</v>
      </c>
      <c r="B533" s="681"/>
      <c r="C533" s="681"/>
      <c r="D533" s="681"/>
      <c r="E533" s="681"/>
      <c r="F533" s="681"/>
      <c r="G533" s="681"/>
      <c r="H533" s="681"/>
      <c r="I533" s="681"/>
      <c r="J533" s="681"/>
      <c r="K533" s="681"/>
      <c r="L533" s="681"/>
      <c r="M533" s="681"/>
      <c r="N533" s="681"/>
      <c r="O533" s="681"/>
      <c r="P533" s="681"/>
      <c r="Q533" s="681"/>
      <c r="R533" s="681"/>
      <c r="S533" s="681"/>
      <c r="T533" s="681"/>
      <c r="U533" s="681"/>
      <c r="V533" s="681"/>
      <c r="W533" s="681"/>
      <c r="X533" s="681"/>
      <c r="Y533" s="681"/>
      <c r="Z533" s="681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77">
        <v>4640242181011</v>
      </c>
      <c r="E534" s="678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101</v>
      </c>
      <c r="L534" s="32"/>
      <c r="M534" s="33" t="s">
        <v>108</v>
      </c>
      <c r="N534" s="33"/>
      <c r="O534" s="32">
        <v>55</v>
      </c>
      <c r="P534" s="692" t="s">
        <v>836</v>
      </c>
      <c r="Q534" s="685"/>
      <c r="R534" s="685"/>
      <c r="S534" s="685"/>
      <c r="T534" s="686"/>
      <c r="U534" s="34"/>
      <c r="V534" s="34"/>
      <c r="W534" s="35" t="s">
        <v>69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77">
        <v>4640242180441</v>
      </c>
      <c r="E535" s="678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843" t="s">
        <v>840</v>
      </c>
      <c r="Q535" s="685"/>
      <c r="R535" s="685"/>
      <c r="S535" s="685"/>
      <c r="T535" s="686"/>
      <c r="U535" s="34"/>
      <c r="V535" s="34"/>
      <c r="W535" s="35" t="s">
        <v>69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77">
        <v>4640242180564</v>
      </c>
      <c r="E536" s="678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50</v>
      </c>
      <c r="P536" s="711" t="s">
        <v>844</v>
      </c>
      <c r="Q536" s="685"/>
      <c r="R536" s="685"/>
      <c r="S536" s="685"/>
      <c r="T536" s="686"/>
      <c r="U536" s="34"/>
      <c r="V536" s="34"/>
      <c r="W536" s="35" t="s">
        <v>69</v>
      </c>
      <c r="X536" s="665">
        <v>30</v>
      </c>
      <c r="Y536" s="666">
        <f t="shared" si="80"/>
        <v>36</v>
      </c>
      <c r="Z536" s="36">
        <f>IFERROR(IF(Y536=0,"",ROUNDUP(Y536/H536,0)*0.01898),"")</f>
        <v>5.6940000000000004E-2</v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81"/>
        <v>31.087500000000002</v>
      </c>
      <c r="BN536" s="64">
        <f t="shared" si="82"/>
        <v>37.305</v>
      </c>
      <c r="BO536" s="64">
        <f t="shared" si="83"/>
        <v>3.90625E-2</v>
      </c>
      <c r="BP536" s="64">
        <f t="shared" si="84"/>
        <v>4.6875E-2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77">
        <v>4640242180922</v>
      </c>
      <c r="E537" s="678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101</v>
      </c>
      <c r="L537" s="32"/>
      <c r="M537" s="33" t="s">
        <v>102</v>
      </c>
      <c r="N537" s="33"/>
      <c r="O537" s="32">
        <v>55</v>
      </c>
      <c r="P537" s="976" t="s">
        <v>848</v>
      </c>
      <c r="Q537" s="685"/>
      <c r="R537" s="685"/>
      <c r="S537" s="685"/>
      <c r="T537" s="686"/>
      <c r="U537" s="34"/>
      <c r="V537" s="34"/>
      <c r="W537" s="35" t="s">
        <v>69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77">
        <v>4640242180038</v>
      </c>
      <c r="E538" s="678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50</v>
      </c>
      <c r="P538" s="858" t="s">
        <v>852</v>
      </c>
      <c r="Q538" s="685"/>
      <c r="R538" s="685"/>
      <c r="S538" s="685"/>
      <c r="T538" s="686"/>
      <c r="U538" s="34"/>
      <c r="V538" s="34"/>
      <c r="W538" s="35" t="s">
        <v>69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77">
        <v>4640242181172</v>
      </c>
      <c r="E539" s="678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106</v>
      </c>
      <c r="L539" s="32"/>
      <c r="M539" s="33" t="s">
        <v>102</v>
      </c>
      <c r="N539" s="33"/>
      <c r="O539" s="32">
        <v>55</v>
      </c>
      <c r="P539" s="999" t="s">
        <v>855</v>
      </c>
      <c r="Q539" s="685"/>
      <c r="R539" s="685"/>
      <c r="S539" s="685"/>
      <c r="T539" s="686"/>
      <c r="U539" s="34"/>
      <c r="V539" s="34"/>
      <c r="W539" s="35" t="s">
        <v>69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82"/>
      <c r="B540" s="681"/>
      <c r="C540" s="681"/>
      <c r="D540" s="681"/>
      <c r="E540" s="681"/>
      <c r="F540" s="681"/>
      <c r="G540" s="681"/>
      <c r="H540" s="681"/>
      <c r="I540" s="681"/>
      <c r="J540" s="681"/>
      <c r="K540" s="681"/>
      <c r="L540" s="681"/>
      <c r="M540" s="681"/>
      <c r="N540" s="681"/>
      <c r="O540" s="683"/>
      <c r="P540" s="679" t="s">
        <v>88</v>
      </c>
      <c r="Q540" s="670"/>
      <c r="R540" s="670"/>
      <c r="S540" s="670"/>
      <c r="T540" s="670"/>
      <c r="U540" s="670"/>
      <c r="V540" s="671"/>
      <c r="W540" s="37" t="s">
        <v>89</v>
      </c>
      <c r="X540" s="667">
        <f>IFERROR(X534/H534,"0")+IFERROR(X535/H535,"0")+IFERROR(X536/H536,"0")+IFERROR(X537/H537,"0")+IFERROR(X538/H538,"0")+IFERROR(X539/H539,"0")</f>
        <v>2.5</v>
      </c>
      <c r="Y540" s="667">
        <f>IFERROR(Y534/H534,"0")+IFERROR(Y535/H535,"0")+IFERROR(Y536/H536,"0")+IFERROR(Y537/H537,"0")+IFERROR(Y538/H538,"0")+IFERROR(Y539/H539,"0")</f>
        <v>3</v>
      </c>
      <c r="Z540" s="667">
        <f>IFERROR(IF(Z534="",0,Z534),"0")+IFERROR(IF(Z535="",0,Z535),"0")+IFERROR(IF(Z536="",0,Z536),"0")+IFERROR(IF(Z537="",0,Z537),"0")+IFERROR(IF(Z538="",0,Z538),"0")+IFERROR(IF(Z539="",0,Z539),"0")</f>
        <v>5.6940000000000004E-2</v>
      </c>
      <c r="AA540" s="668"/>
      <c r="AB540" s="668"/>
      <c r="AC540" s="668"/>
    </row>
    <row r="541" spans="1:68" x14ac:dyDescent="0.2">
      <c r="A541" s="681"/>
      <c r="B541" s="681"/>
      <c r="C541" s="681"/>
      <c r="D541" s="681"/>
      <c r="E541" s="681"/>
      <c r="F541" s="681"/>
      <c r="G541" s="681"/>
      <c r="H541" s="681"/>
      <c r="I541" s="681"/>
      <c r="J541" s="681"/>
      <c r="K541" s="681"/>
      <c r="L541" s="681"/>
      <c r="M541" s="681"/>
      <c r="N541" s="681"/>
      <c r="O541" s="683"/>
      <c r="P541" s="679" t="s">
        <v>88</v>
      </c>
      <c r="Q541" s="670"/>
      <c r="R541" s="670"/>
      <c r="S541" s="670"/>
      <c r="T541" s="670"/>
      <c r="U541" s="670"/>
      <c r="V541" s="671"/>
      <c r="W541" s="37" t="s">
        <v>69</v>
      </c>
      <c r="X541" s="667">
        <f>IFERROR(SUM(X534:X539),"0")</f>
        <v>30</v>
      </c>
      <c r="Y541" s="667">
        <f>IFERROR(SUM(Y534:Y539),"0")</f>
        <v>36</v>
      </c>
      <c r="Z541" s="37"/>
      <c r="AA541" s="668"/>
      <c r="AB541" s="668"/>
      <c r="AC541" s="668"/>
    </row>
    <row r="542" spans="1:68" ht="14.25" customHeight="1" x14ac:dyDescent="0.25">
      <c r="A542" s="688" t="s">
        <v>138</v>
      </c>
      <c r="B542" s="681"/>
      <c r="C542" s="681"/>
      <c r="D542" s="681"/>
      <c r="E542" s="681"/>
      <c r="F542" s="681"/>
      <c r="G542" s="681"/>
      <c r="H542" s="681"/>
      <c r="I542" s="681"/>
      <c r="J542" s="681"/>
      <c r="K542" s="681"/>
      <c r="L542" s="681"/>
      <c r="M542" s="681"/>
      <c r="N542" s="681"/>
      <c r="O542" s="681"/>
      <c r="P542" s="681"/>
      <c r="Q542" s="681"/>
      <c r="R542" s="681"/>
      <c r="S542" s="681"/>
      <c r="T542" s="681"/>
      <c r="U542" s="681"/>
      <c r="V542" s="681"/>
      <c r="W542" s="681"/>
      <c r="X542" s="681"/>
      <c r="Y542" s="681"/>
      <c r="Z542" s="681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4301020269</v>
      </c>
      <c r="D543" s="677">
        <v>4640242180519</v>
      </c>
      <c r="E543" s="678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101</v>
      </c>
      <c r="L543" s="32"/>
      <c r="M543" s="33" t="s">
        <v>108</v>
      </c>
      <c r="N543" s="33"/>
      <c r="O543" s="32">
        <v>50</v>
      </c>
      <c r="P543" s="883" t="s">
        <v>858</v>
      </c>
      <c r="Q543" s="685"/>
      <c r="R543" s="685"/>
      <c r="S543" s="685"/>
      <c r="T543" s="686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4301020400</v>
      </c>
      <c r="D544" s="677">
        <v>4640242180519</v>
      </c>
      <c r="E544" s="678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941" t="s">
        <v>861</v>
      </c>
      <c r="Q544" s="685"/>
      <c r="R544" s="685"/>
      <c r="S544" s="685"/>
      <c r="T544" s="686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77">
        <v>4640242180526</v>
      </c>
      <c r="E545" s="678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91" t="s">
        <v>865</v>
      </c>
      <c r="Q545" s="685"/>
      <c r="R545" s="685"/>
      <c r="S545" s="685"/>
      <c r="T545" s="686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77">
        <v>4640242180090</v>
      </c>
      <c r="E546" s="678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101</v>
      </c>
      <c r="L546" s="32"/>
      <c r="M546" s="33" t="s">
        <v>102</v>
      </c>
      <c r="N546" s="33"/>
      <c r="O546" s="32">
        <v>50</v>
      </c>
      <c r="P546" s="1028" t="s">
        <v>868</v>
      </c>
      <c r="Q546" s="685"/>
      <c r="R546" s="685"/>
      <c r="S546" s="685"/>
      <c r="T546" s="686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77">
        <v>4640242181363</v>
      </c>
      <c r="E547" s="678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106</v>
      </c>
      <c r="L547" s="32"/>
      <c r="M547" s="33" t="s">
        <v>102</v>
      </c>
      <c r="N547" s="33"/>
      <c r="O547" s="32">
        <v>50</v>
      </c>
      <c r="P547" s="783" t="s">
        <v>872</v>
      </c>
      <c r="Q547" s="685"/>
      <c r="R547" s="685"/>
      <c r="S547" s="685"/>
      <c r="T547" s="686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82"/>
      <c r="B548" s="681"/>
      <c r="C548" s="681"/>
      <c r="D548" s="681"/>
      <c r="E548" s="681"/>
      <c r="F548" s="681"/>
      <c r="G548" s="681"/>
      <c r="H548" s="681"/>
      <c r="I548" s="681"/>
      <c r="J548" s="681"/>
      <c r="K548" s="681"/>
      <c r="L548" s="681"/>
      <c r="M548" s="681"/>
      <c r="N548" s="681"/>
      <c r="O548" s="683"/>
      <c r="P548" s="679" t="s">
        <v>88</v>
      </c>
      <c r="Q548" s="670"/>
      <c r="R548" s="670"/>
      <c r="S548" s="670"/>
      <c r="T548" s="670"/>
      <c r="U548" s="670"/>
      <c r="V548" s="671"/>
      <c r="W548" s="37" t="s">
        <v>89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1"/>
      <c r="B549" s="681"/>
      <c r="C549" s="681"/>
      <c r="D549" s="681"/>
      <c r="E549" s="681"/>
      <c r="F549" s="681"/>
      <c r="G549" s="681"/>
      <c r="H549" s="681"/>
      <c r="I549" s="681"/>
      <c r="J549" s="681"/>
      <c r="K549" s="681"/>
      <c r="L549" s="681"/>
      <c r="M549" s="681"/>
      <c r="N549" s="681"/>
      <c r="O549" s="683"/>
      <c r="P549" s="679" t="s">
        <v>88</v>
      </c>
      <c r="Q549" s="670"/>
      <c r="R549" s="670"/>
      <c r="S549" s="670"/>
      <c r="T549" s="670"/>
      <c r="U549" s="670"/>
      <c r="V549" s="671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8" t="s">
        <v>149</v>
      </c>
      <c r="B550" s="681"/>
      <c r="C550" s="681"/>
      <c r="D550" s="681"/>
      <c r="E550" s="681"/>
      <c r="F550" s="681"/>
      <c r="G550" s="681"/>
      <c r="H550" s="681"/>
      <c r="I550" s="681"/>
      <c r="J550" s="681"/>
      <c r="K550" s="681"/>
      <c r="L550" s="681"/>
      <c r="M550" s="681"/>
      <c r="N550" s="681"/>
      <c r="O550" s="681"/>
      <c r="P550" s="681"/>
      <c r="Q550" s="681"/>
      <c r="R550" s="681"/>
      <c r="S550" s="681"/>
      <c r="T550" s="681"/>
      <c r="U550" s="681"/>
      <c r="V550" s="681"/>
      <c r="W550" s="681"/>
      <c r="X550" s="681"/>
      <c r="Y550" s="681"/>
      <c r="Z550" s="681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77">
        <v>4640242180816</v>
      </c>
      <c r="E551" s="678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788" t="s">
        <v>875</v>
      </c>
      <c r="Q551" s="685"/>
      <c r="R551" s="685"/>
      <c r="S551" s="685"/>
      <c r="T551" s="686"/>
      <c r="U551" s="34"/>
      <c r="V551" s="34"/>
      <c r="W551" s="35" t="s">
        <v>69</v>
      </c>
      <c r="X551" s="665">
        <v>70</v>
      </c>
      <c r="Y551" s="666">
        <f t="shared" ref="Y551:Y557" si="85">IFERROR(IF(X551="",0,CEILING((X551/$H551),1)*$H551),"")</f>
        <v>71.400000000000006</v>
      </c>
      <c r="Z551" s="36">
        <f>IFERROR(IF(Y551=0,"",ROUNDUP(Y551/H551,0)*0.00902),"")</f>
        <v>0.15334</v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74.499999999999986</v>
      </c>
      <c r="BN551" s="64">
        <f t="shared" ref="BN551:BN557" si="87">IFERROR(Y551*I551/H551,"0")</f>
        <v>75.989999999999995</v>
      </c>
      <c r="BO551" s="64">
        <f t="shared" ref="BO551:BO557" si="88">IFERROR(1/J551*(X551/H551),"0")</f>
        <v>0.12626262626262624</v>
      </c>
      <c r="BP551" s="64">
        <f t="shared" ref="BP551:BP557" si="89">IFERROR(1/J551*(Y551/H551),"0")</f>
        <v>0.12878787878787878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77">
        <v>4640242180595</v>
      </c>
      <c r="E552" s="678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40</v>
      </c>
      <c r="P552" s="1035" t="s">
        <v>879</v>
      </c>
      <c r="Q552" s="685"/>
      <c r="R552" s="685"/>
      <c r="S552" s="685"/>
      <c r="T552" s="686"/>
      <c r="U552" s="34"/>
      <c r="V552" s="34"/>
      <c r="W552" s="35" t="s">
        <v>69</v>
      </c>
      <c r="X552" s="665">
        <v>70</v>
      </c>
      <c r="Y552" s="666">
        <f t="shared" si="85"/>
        <v>71.400000000000006</v>
      </c>
      <c r="Z552" s="36">
        <f>IFERROR(IF(Y552=0,"",ROUNDUP(Y552/H552,0)*0.00902),"")</f>
        <v>0.15334</v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6"/>
        <v>74.499999999999986</v>
      </c>
      <c r="BN552" s="64">
        <f t="shared" si="87"/>
        <v>75.989999999999995</v>
      </c>
      <c r="BO552" s="64">
        <f t="shared" si="88"/>
        <v>0.12626262626262624</v>
      </c>
      <c r="BP552" s="64">
        <f t="shared" si="89"/>
        <v>0.12878787878787878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77">
        <v>4640242181615</v>
      </c>
      <c r="E553" s="678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988" t="s">
        <v>883</v>
      </c>
      <c r="Q553" s="685"/>
      <c r="R553" s="685"/>
      <c r="S553" s="685"/>
      <c r="T553" s="686"/>
      <c r="U553" s="34"/>
      <c r="V553" s="34"/>
      <c r="W553" s="35" t="s">
        <v>69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77">
        <v>4640242181639</v>
      </c>
      <c r="E554" s="678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817" t="s">
        <v>887</v>
      </c>
      <c r="Q554" s="685"/>
      <c r="R554" s="685"/>
      <c r="S554" s="685"/>
      <c r="T554" s="686"/>
      <c r="U554" s="34"/>
      <c r="V554" s="34"/>
      <c r="W554" s="35" t="s">
        <v>69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77">
        <v>4640242181622</v>
      </c>
      <c r="E555" s="678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45</v>
      </c>
      <c r="P555" s="792" t="s">
        <v>891</v>
      </c>
      <c r="Q555" s="685"/>
      <c r="R555" s="685"/>
      <c r="S555" s="685"/>
      <c r="T555" s="686"/>
      <c r="U555" s="34"/>
      <c r="V555" s="34"/>
      <c r="W555" s="35" t="s">
        <v>69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77">
        <v>4640242180908</v>
      </c>
      <c r="E556" s="678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987" t="s">
        <v>895</v>
      </c>
      <c r="Q556" s="685"/>
      <c r="R556" s="685"/>
      <c r="S556" s="685"/>
      <c r="T556" s="686"/>
      <c r="U556" s="34"/>
      <c r="V556" s="34"/>
      <c r="W556" s="35" t="s">
        <v>69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77">
        <v>4640242180489</v>
      </c>
      <c r="E557" s="678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152</v>
      </c>
      <c r="L557" s="32"/>
      <c r="M557" s="33" t="s">
        <v>68</v>
      </c>
      <c r="N557" s="33"/>
      <c r="O557" s="32">
        <v>40</v>
      </c>
      <c r="P557" s="829" t="s">
        <v>898</v>
      </c>
      <c r="Q557" s="685"/>
      <c r="R557" s="685"/>
      <c r="S557" s="685"/>
      <c r="T557" s="686"/>
      <c r="U557" s="34"/>
      <c r="V557" s="34"/>
      <c r="W557" s="35" t="s">
        <v>69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82"/>
      <c r="B558" s="681"/>
      <c r="C558" s="681"/>
      <c r="D558" s="681"/>
      <c r="E558" s="681"/>
      <c r="F558" s="681"/>
      <c r="G558" s="681"/>
      <c r="H558" s="681"/>
      <c r="I558" s="681"/>
      <c r="J558" s="681"/>
      <c r="K558" s="681"/>
      <c r="L558" s="681"/>
      <c r="M558" s="681"/>
      <c r="N558" s="681"/>
      <c r="O558" s="683"/>
      <c r="P558" s="679" t="s">
        <v>88</v>
      </c>
      <c r="Q558" s="670"/>
      <c r="R558" s="670"/>
      <c r="S558" s="670"/>
      <c r="T558" s="670"/>
      <c r="U558" s="670"/>
      <c r="V558" s="671"/>
      <c r="W558" s="37" t="s">
        <v>89</v>
      </c>
      <c r="X558" s="667">
        <f>IFERROR(X551/H551,"0")+IFERROR(X552/H552,"0")+IFERROR(X553/H553,"0")+IFERROR(X554/H554,"0")+IFERROR(X555/H555,"0")+IFERROR(X556/H556,"0")+IFERROR(X557/H557,"0")</f>
        <v>33.333333333333329</v>
      </c>
      <c r="Y558" s="667">
        <f>IFERROR(Y551/H551,"0")+IFERROR(Y552/H552,"0")+IFERROR(Y553/H553,"0")+IFERROR(Y554/H554,"0")+IFERROR(Y555/H555,"0")+IFERROR(Y556/H556,"0")+IFERROR(Y557/H557,"0")</f>
        <v>34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0.30668000000000001</v>
      </c>
      <c r="AA558" s="668"/>
      <c r="AB558" s="668"/>
      <c r="AC558" s="668"/>
    </row>
    <row r="559" spans="1:68" x14ac:dyDescent="0.2">
      <c r="A559" s="681"/>
      <c r="B559" s="681"/>
      <c r="C559" s="681"/>
      <c r="D559" s="681"/>
      <c r="E559" s="681"/>
      <c r="F559" s="681"/>
      <c r="G559" s="681"/>
      <c r="H559" s="681"/>
      <c r="I559" s="681"/>
      <c r="J559" s="681"/>
      <c r="K559" s="681"/>
      <c r="L559" s="681"/>
      <c r="M559" s="681"/>
      <c r="N559" s="681"/>
      <c r="O559" s="683"/>
      <c r="P559" s="679" t="s">
        <v>88</v>
      </c>
      <c r="Q559" s="670"/>
      <c r="R559" s="670"/>
      <c r="S559" s="670"/>
      <c r="T559" s="670"/>
      <c r="U559" s="670"/>
      <c r="V559" s="671"/>
      <c r="W559" s="37" t="s">
        <v>69</v>
      </c>
      <c r="X559" s="667">
        <f>IFERROR(SUM(X551:X557),"0")</f>
        <v>140</v>
      </c>
      <c r="Y559" s="667">
        <f>IFERROR(SUM(Y551:Y557),"0")</f>
        <v>142.80000000000001</v>
      </c>
      <c r="Z559" s="37"/>
      <c r="AA559" s="668"/>
      <c r="AB559" s="668"/>
      <c r="AC559" s="668"/>
    </row>
    <row r="560" spans="1:68" ht="14.25" customHeight="1" x14ac:dyDescent="0.25">
      <c r="A560" s="688" t="s">
        <v>64</v>
      </c>
      <c r="B560" s="681"/>
      <c r="C560" s="681"/>
      <c r="D560" s="681"/>
      <c r="E560" s="681"/>
      <c r="F560" s="681"/>
      <c r="G560" s="681"/>
      <c r="H560" s="681"/>
      <c r="I560" s="681"/>
      <c r="J560" s="681"/>
      <c r="K560" s="681"/>
      <c r="L560" s="681"/>
      <c r="M560" s="681"/>
      <c r="N560" s="681"/>
      <c r="O560" s="681"/>
      <c r="P560" s="681"/>
      <c r="Q560" s="681"/>
      <c r="R560" s="681"/>
      <c r="S560" s="681"/>
      <c r="T560" s="681"/>
      <c r="U560" s="681"/>
      <c r="V560" s="681"/>
      <c r="W560" s="681"/>
      <c r="X560" s="681"/>
      <c r="Y560" s="681"/>
      <c r="Z560" s="681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4301051887</v>
      </c>
      <c r="D561" s="677">
        <v>4640242180533</v>
      </c>
      <c r="E561" s="678"/>
      <c r="F561" s="664">
        <v>1.3</v>
      </c>
      <c r="G561" s="32">
        <v>6</v>
      </c>
      <c r="H561" s="664">
        <v>7.8</v>
      </c>
      <c r="I561" s="664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840" t="s">
        <v>901</v>
      </c>
      <c r="Q561" s="685"/>
      <c r="R561" s="685"/>
      <c r="S561" s="685"/>
      <c r="T561" s="686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4301052046</v>
      </c>
      <c r="D562" s="677">
        <v>4640242180533</v>
      </c>
      <c r="E562" s="678"/>
      <c r="F562" s="664">
        <v>1.5</v>
      </c>
      <c r="G562" s="32">
        <v>6</v>
      </c>
      <c r="H562" s="664">
        <v>9</v>
      </c>
      <c r="I562" s="664">
        <v>9.5190000000000001</v>
      </c>
      <c r="J562" s="32">
        <v>64</v>
      </c>
      <c r="K562" s="32" t="s">
        <v>101</v>
      </c>
      <c r="L562" s="32"/>
      <c r="M562" s="33" t="s">
        <v>134</v>
      </c>
      <c r="N562" s="33"/>
      <c r="O562" s="32">
        <v>45</v>
      </c>
      <c r="P562" s="1053" t="s">
        <v>901</v>
      </c>
      <c r="Q562" s="685"/>
      <c r="R562" s="685"/>
      <c r="S562" s="685"/>
      <c r="T562" s="686"/>
      <c r="U562" s="34"/>
      <c r="V562" s="34"/>
      <c r="W562" s="35" t="s">
        <v>69</v>
      </c>
      <c r="X562" s="665">
        <v>25</v>
      </c>
      <c r="Y562" s="666">
        <f>IFERROR(IF(X562="",0,CEILING((X562/$H562),1)*$H562),"")</f>
        <v>27</v>
      </c>
      <c r="Z562" s="36">
        <f>IFERROR(IF(Y562=0,"",ROUNDUP(Y562/H562,0)*0.01898),"")</f>
        <v>5.6940000000000004E-2</v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26.441666666666666</v>
      </c>
      <c r="BN562" s="64">
        <f>IFERROR(Y562*I562/H562,"0")</f>
        <v>28.556999999999999</v>
      </c>
      <c r="BO562" s="64">
        <f>IFERROR(1/J562*(X562/H562),"0")</f>
        <v>4.3402777777777776E-2</v>
      </c>
      <c r="BP562" s="64">
        <f>IFERROR(1/J562*(Y562/H562),"0")</f>
        <v>4.6875E-2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77">
        <v>4640242180540</v>
      </c>
      <c r="E563" s="678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101</v>
      </c>
      <c r="L563" s="32"/>
      <c r="M563" s="33" t="s">
        <v>108</v>
      </c>
      <c r="N563" s="33"/>
      <c r="O563" s="32">
        <v>45</v>
      </c>
      <c r="P563" s="1013" t="s">
        <v>906</v>
      </c>
      <c r="Q563" s="685"/>
      <c r="R563" s="685"/>
      <c r="S563" s="685"/>
      <c r="T563" s="686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77">
        <v>4640242181233</v>
      </c>
      <c r="E564" s="678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910</v>
      </c>
      <c r="Q564" s="685"/>
      <c r="R564" s="685"/>
      <c r="S564" s="685"/>
      <c r="T564" s="686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77">
        <v>4640242181226</v>
      </c>
      <c r="E565" s="678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134</v>
      </c>
      <c r="N565" s="33"/>
      <c r="O565" s="32">
        <v>45</v>
      </c>
      <c r="P565" s="1024" t="s">
        <v>913</v>
      </c>
      <c r="Q565" s="685"/>
      <c r="R565" s="685"/>
      <c r="S565" s="685"/>
      <c r="T565" s="686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82"/>
      <c r="B566" s="681"/>
      <c r="C566" s="681"/>
      <c r="D566" s="681"/>
      <c r="E566" s="681"/>
      <c r="F566" s="681"/>
      <c r="G566" s="681"/>
      <c r="H566" s="681"/>
      <c r="I566" s="681"/>
      <c r="J566" s="681"/>
      <c r="K566" s="681"/>
      <c r="L566" s="681"/>
      <c r="M566" s="681"/>
      <c r="N566" s="681"/>
      <c r="O566" s="683"/>
      <c r="P566" s="679" t="s">
        <v>88</v>
      </c>
      <c r="Q566" s="670"/>
      <c r="R566" s="670"/>
      <c r="S566" s="670"/>
      <c r="T566" s="670"/>
      <c r="U566" s="670"/>
      <c r="V566" s="671"/>
      <c r="W566" s="37" t="s">
        <v>89</v>
      </c>
      <c r="X566" s="667">
        <f>IFERROR(X561/H561,"0")+IFERROR(X562/H562,"0")+IFERROR(X563/H563,"0")+IFERROR(X564/H564,"0")+IFERROR(X565/H565,"0")</f>
        <v>2.7777777777777777</v>
      </c>
      <c r="Y566" s="667">
        <f>IFERROR(Y561/H561,"0")+IFERROR(Y562/H562,"0")+IFERROR(Y563/H563,"0")+IFERROR(Y564/H564,"0")+IFERROR(Y565/H565,"0")</f>
        <v>3</v>
      </c>
      <c r="Z566" s="667">
        <f>IFERROR(IF(Z561="",0,Z561),"0")+IFERROR(IF(Z562="",0,Z562),"0")+IFERROR(IF(Z563="",0,Z563),"0")+IFERROR(IF(Z564="",0,Z564),"0")+IFERROR(IF(Z565="",0,Z565),"0")</f>
        <v>5.6940000000000004E-2</v>
      </c>
      <c r="AA566" s="668"/>
      <c r="AB566" s="668"/>
      <c r="AC566" s="668"/>
    </row>
    <row r="567" spans="1:68" x14ac:dyDescent="0.2">
      <c r="A567" s="681"/>
      <c r="B567" s="681"/>
      <c r="C567" s="681"/>
      <c r="D567" s="681"/>
      <c r="E567" s="681"/>
      <c r="F567" s="681"/>
      <c r="G567" s="681"/>
      <c r="H567" s="681"/>
      <c r="I567" s="681"/>
      <c r="J567" s="681"/>
      <c r="K567" s="681"/>
      <c r="L567" s="681"/>
      <c r="M567" s="681"/>
      <c r="N567" s="681"/>
      <c r="O567" s="683"/>
      <c r="P567" s="679" t="s">
        <v>88</v>
      </c>
      <c r="Q567" s="670"/>
      <c r="R567" s="670"/>
      <c r="S567" s="670"/>
      <c r="T567" s="670"/>
      <c r="U567" s="670"/>
      <c r="V567" s="671"/>
      <c r="W567" s="37" t="s">
        <v>69</v>
      </c>
      <c r="X567" s="667">
        <f>IFERROR(SUM(X561:X565),"0")</f>
        <v>25</v>
      </c>
      <c r="Y567" s="667">
        <f>IFERROR(SUM(Y561:Y565),"0")</f>
        <v>27</v>
      </c>
      <c r="Z567" s="37"/>
      <c r="AA567" s="668"/>
      <c r="AB567" s="668"/>
      <c r="AC567" s="668"/>
    </row>
    <row r="568" spans="1:68" ht="14.25" customHeight="1" x14ac:dyDescent="0.25">
      <c r="A568" s="688" t="s">
        <v>175</v>
      </c>
      <c r="B568" s="681"/>
      <c r="C568" s="681"/>
      <c r="D568" s="681"/>
      <c r="E568" s="681"/>
      <c r="F568" s="681"/>
      <c r="G568" s="681"/>
      <c r="H568" s="681"/>
      <c r="I568" s="681"/>
      <c r="J568" s="681"/>
      <c r="K568" s="681"/>
      <c r="L568" s="681"/>
      <c r="M568" s="681"/>
      <c r="N568" s="681"/>
      <c r="O568" s="681"/>
      <c r="P568" s="681"/>
      <c r="Q568" s="681"/>
      <c r="R568" s="681"/>
      <c r="S568" s="681"/>
      <c r="T568" s="681"/>
      <c r="U568" s="681"/>
      <c r="V568" s="681"/>
      <c r="W568" s="681"/>
      <c r="X568" s="681"/>
      <c r="Y568" s="681"/>
      <c r="Z568" s="681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77">
        <v>4640242180120</v>
      </c>
      <c r="E569" s="678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101</v>
      </c>
      <c r="L569" s="32"/>
      <c r="M569" s="33" t="s">
        <v>134</v>
      </c>
      <c r="N569" s="33"/>
      <c r="O569" s="32">
        <v>40</v>
      </c>
      <c r="P569" s="804" t="s">
        <v>916</v>
      </c>
      <c r="Q569" s="685"/>
      <c r="R569" s="685"/>
      <c r="S569" s="685"/>
      <c r="T569" s="686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4301060485</v>
      </c>
      <c r="D570" s="677">
        <v>4640242180120</v>
      </c>
      <c r="E570" s="678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1006" t="s">
        <v>919</v>
      </c>
      <c r="Q570" s="685"/>
      <c r="R570" s="685"/>
      <c r="S570" s="685"/>
      <c r="T570" s="686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4301060498</v>
      </c>
      <c r="D571" s="677">
        <v>4640242180137</v>
      </c>
      <c r="E571" s="678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101</v>
      </c>
      <c r="L571" s="32"/>
      <c r="M571" s="33" t="s">
        <v>134</v>
      </c>
      <c r="N571" s="33"/>
      <c r="O571" s="32">
        <v>40</v>
      </c>
      <c r="P571" s="994" t="s">
        <v>922</v>
      </c>
      <c r="Q571" s="685"/>
      <c r="R571" s="685"/>
      <c r="S571" s="685"/>
      <c r="T571" s="686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4301060486</v>
      </c>
      <c r="D572" s="677">
        <v>4640242180137</v>
      </c>
      <c r="E572" s="678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101</v>
      </c>
      <c r="L572" s="32"/>
      <c r="M572" s="33" t="s">
        <v>108</v>
      </c>
      <c r="N572" s="33"/>
      <c r="O572" s="32">
        <v>40</v>
      </c>
      <c r="P572" s="981" t="s">
        <v>925</v>
      </c>
      <c r="Q572" s="685"/>
      <c r="R572" s="685"/>
      <c r="S572" s="685"/>
      <c r="T572" s="686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82"/>
      <c r="B573" s="681"/>
      <c r="C573" s="681"/>
      <c r="D573" s="681"/>
      <c r="E573" s="681"/>
      <c r="F573" s="681"/>
      <c r="G573" s="681"/>
      <c r="H573" s="681"/>
      <c r="I573" s="681"/>
      <c r="J573" s="681"/>
      <c r="K573" s="681"/>
      <c r="L573" s="681"/>
      <c r="M573" s="681"/>
      <c r="N573" s="681"/>
      <c r="O573" s="683"/>
      <c r="P573" s="679" t="s">
        <v>88</v>
      </c>
      <c r="Q573" s="670"/>
      <c r="R573" s="670"/>
      <c r="S573" s="670"/>
      <c r="T573" s="670"/>
      <c r="U573" s="670"/>
      <c r="V573" s="671"/>
      <c r="W573" s="37" t="s">
        <v>89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1"/>
      <c r="B574" s="681"/>
      <c r="C574" s="681"/>
      <c r="D574" s="681"/>
      <c r="E574" s="681"/>
      <c r="F574" s="681"/>
      <c r="G574" s="681"/>
      <c r="H574" s="681"/>
      <c r="I574" s="681"/>
      <c r="J574" s="681"/>
      <c r="K574" s="681"/>
      <c r="L574" s="681"/>
      <c r="M574" s="681"/>
      <c r="N574" s="681"/>
      <c r="O574" s="683"/>
      <c r="P574" s="679" t="s">
        <v>88</v>
      </c>
      <c r="Q574" s="670"/>
      <c r="R574" s="670"/>
      <c r="S574" s="670"/>
      <c r="T574" s="670"/>
      <c r="U574" s="670"/>
      <c r="V574" s="671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690" t="s">
        <v>926</v>
      </c>
      <c r="B575" s="681"/>
      <c r="C575" s="681"/>
      <c r="D575" s="681"/>
      <c r="E575" s="681"/>
      <c r="F575" s="681"/>
      <c r="G575" s="681"/>
      <c r="H575" s="681"/>
      <c r="I575" s="681"/>
      <c r="J575" s="681"/>
      <c r="K575" s="681"/>
      <c r="L575" s="681"/>
      <c r="M575" s="681"/>
      <c r="N575" s="681"/>
      <c r="O575" s="681"/>
      <c r="P575" s="681"/>
      <c r="Q575" s="681"/>
      <c r="R575" s="681"/>
      <c r="S575" s="681"/>
      <c r="T575" s="681"/>
      <c r="U575" s="681"/>
      <c r="V575" s="681"/>
      <c r="W575" s="681"/>
      <c r="X575" s="681"/>
      <c r="Y575" s="681"/>
      <c r="Z575" s="681"/>
      <c r="AA575" s="660"/>
      <c r="AB575" s="660"/>
      <c r="AC575" s="660"/>
    </row>
    <row r="576" spans="1:68" ht="14.25" customHeight="1" x14ac:dyDescent="0.25">
      <c r="A576" s="688" t="s">
        <v>98</v>
      </c>
      <c r="B576" s="681"/>
      <c r="C576" s="681"/>
      <c r="D576" s="681"/>
      <c r="E576" s="681"/>
      <c r="F576" s="681"/>
      <c r="G576" s="681"/>
      <c r="H576" s="681"/>
      <c r="I576" s="681"/>
      <c r="J576" s="681"/>
      <c r="K576" s="681"/>
      <c r="L576" s="681"/>
      <c r="M576" s="681"/>
      <c r="N576" s="681"/>
      <c r="O576" s="681"/>
      <c r="P576" s="681"/>
      <c r="Q576" s="681"/>
      <c r="R576" s="681"/>
      <c r="S576" s="681"/>
      <c r="T576" s="681"/>
      <c r="U576" s="681"/>
      <c r="V576" s="681"/>
      <c r="W576" s="681"/>
      <c r="X576" s="681"/>
      <c r="Y576" s="681"/>
      <c r="Z576" s="681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77">
        <v>4640242180045</v>
      </c>
      <c r="E577" s="678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101</v>
      </c>
      <c r="L577" s="32"/>
      <c r="M577" s="33" t="s">
        <v>102</v>
      </c>
      <c r="N577" s="33"/>
      <c r="O577" s="32">
        <v>55</v>
      </c>
      <c r="P577" s="765" t="s">
        <v>929</v>
      </c>
      <c r="Q577" s="685"/>
      <c r="R577" s="685"/>
      <c r="S577" s="685"/>
      <c r="T577" s="686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82"/>
      <c r="B578" s="681"/>
      <c r="C578" s="681"/>
      <c r="D578" s="681"/>
      <c r="E578" s="681"/>
      <c r="F578" s="681"/>
      <c r="G578" s="681"/>
      <c r="H578" s="681"/>
      <c r="I578" s="681"/>
      <c r="J578" s="681"/>
      <c r="K578" s="681"/>
      <c r="L578" s="681"/>
      <c r="M578" s="681"/>
      <c r="N578" s="681"/>
      <c r="O578" s="683"/>
      <c r="P578" s="679" t="s">
        <v>88</v>
      </c>
      <c r="Q578" s="670"/>
      <c r="R578" s="670"/>
      <c r="S578" s="670"/>
      <c r="T578" s="670"/>
      <c r="U578" s="670"/>
      <c r="V578" s="671"/>
      <c r="W578" s="37" t="s">
        <v>89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1"/>
      <c r="B579" s="681"/>
      <c r="C579" s="681"/>
      <c r="D579" s="681"/>
      <c r="E579" s="681"/>
      <c r="F579" s="681"/>
      <c r="G579" s="681"/>
      <c r="H579" s="681"/>
      <c r="I579" s="681"/>
      <c r="J579" s="681"/>
      <c r="K579" s="681"/>
      <c r="L579" s="681"/>
      <c r="M579" s="681"/>
      <c r="N579" s="681"/>
      <c r="O579" s="683"/>
      <c r="P579" s="679" t="s">
        <v>88</v>
      </c>
      <c r="Q579" s="670"/>
      <c r="R579" s="670"/>
      <c r="S579" s="670"/>
      <c r="T579" s="670"/>
      <c r="U579" s="670"/>
      <c r="V579" s="671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8" t="s">
        <v>138</v>
      </c>
      <c r="B580" s="681"/>
      <c r="C580" s="681"/>
      <c r="D580" s="681"/>
      <c r="E580" s="681"/>
      <c r="F580" s="681"/>
      <c r="G580" s="681"/>
      <c r="H580" s="681"/>
      <c r="I580" s="681"/>
      <c r="J580" s="681"/>
      <c r="K580" s="681"/>
      <c r="L580" s="681"/>
      <c r="M580" s="681"/>
      <c r="N580" s="681"/>
      <c r="O580" s="681"/>
      <c r="P580" s="681"/>
      <c r="Q580" s="681"/>
      <c r="R580" s="681"/>
      <c r="S580" s="681"/>
      <c r="T580" s="681"/>
      <c r="U580" s="681"/>
      <c r="V580" s="681"/>
      <c r="W580" s="681"/>
      <c r="X580" s="681"/>
      <c r="Y580" s="681"/>
      <c r="Z580" s="681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77">
        <v>4640242180090</v>
      </c>
      <c r="E581" s="678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50</v>
      </c>
      <c r="P581" s="961" t="s">
        <v>933</v>
      </c>
      <c r="Q581" s="685"/>
      <c r="R581" s="685"/>
      <c r="S581" s="685"/>
      <c r="T581" s="686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82"/>
      <c r="B582" s="681"/>
      <c r="C582" s="681"/>
      <c r="D582" s="681"/>
      <c r="E582" s="681"/>
      <c r="F582" s="681"/>
      <c r="G582" s="681"/>
      <c r="H582" s="681"/>
      <c r="I582" s="681"/>
      <c r="J582" s="681"/>
      <c r="K582" s="681"/>
      <c r="L582" s="681"/>
      <c r="M582" s="681"/>
      <c r="N582" s="681"/>
      <c r="O582" s="683"/>
      <c r="P582" s="679" t="s">
        <v>88</v>
      </c>
      <c r="Q582" s="670"/>
      <c r="R582" s="670"/>
      <c r="S582" s="670"/>
      <c r="T582" s="670"/>
      <c r="U582" s="670"/>
      <c r="V582" s="671"/>
      <c r="W582" s="37" t="s">
        <v>89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1"/>
      <c r="B583" s="681"/>
      <c r="C583" s="681"/>
      <c r="D583" s="681"/>
      <c r="E583" s="681"/>
      <c r="F583" s="681"/>
      <c r="G583" s="681"/>
      <c r="H583" s="681"/>
      <c r="I583" s="681"/>
      <c r="J583" s="681"/>
      <c r="K583" s="681"/>
      <c r="L583" s="681"/>
      <c r="M583" s="681"/>
      <c r="N583" s="681"/>
      <c r="O583" s="683"/>
      <c r="P583" s="679" t="s">
        <v>88</v>
      </c>
      <c r="Q583" s="670"/>
      <c r="R583" s="670"/>
      <c r="S583" s="670"/>
      <c r="T583" s="670"/>
      <c r="U583" s="670"/>
      <c r="V583" s="671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8" t="s">
        <v>149</v>
      </c>
      <c r="B584" s="681"/>
      <c r="C584" s="681"/>
      <c r="D584" s="681"/>
      <c r="E584" s="681"/>
      <c r="F584" s="681"/>
      <c r="G584" s="681"/>
      <c r="H584" s="681"/>
      <c r="I584" s="681"/>
      <c r="J584" s="681"/>
      <c r="K584" s="681"/>
      <c r="L584" s="681"/>
      <c r="M584" s="681"/>
      <c r="N584" s="681"/>
      <c r="O584" s="681"/>
      <c r="P584" s="681"/>
      <c r="Q584" s="681"/>
      <c r="R584" s="681"/>
      <c r="S584" s="681"/>
      <c r="T584" s="681"/>
      <c r="U584" s="681"/>
      <c r="V584" s="681"/>
      <c r="W584" s="681"/>
      <c r="X584" s="681"/>
      <c r="Y584" s="681"/>
      <c r="Z584" s="681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77">
        <v>4640242180076</v>
      </c>
      <c r="E585" s="678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106</v>
      </c>
      <c r="L585" s="32"/>
      <c r="M585" s="33" t="s">
        <v>68</v>
      </c>
      <c r="N585" s="33"/>
      <c r="O585" s="32">
        <v>40</v>
      </c>
      <c r="P585" s="957" t="s">
        <v>937</v>
      </c>
      <c r="Q585" s="685"/>
      <c r="R585" s="685"/>
      <c r="S585" s="685"/>
      <c r="T585" s="686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82"/>
      <c r="B586" s="681"/>
      <c r="C586" s="681"/>
      <c r="D586" s="681"/>
      <c r="E586" s="681"/>
      <c r="F586" s="681"/>
      <c r="G586" s="681"/>
      <c r="H586" s="681"/>
      <c r="I586" s="681"/>
      <c r="J586" s="681"/>
      <c r="K586" s="681"/>
      <c r="L586" s="681"/>
      <c r="M586" s="681"/>
      <c r="N586" s="681"/>
      <c r="O586" s="683"/>
      <c r="P586" s="679" t="s">
        <v>88</v>
      </c>
      <c r="Q586" s="670"/>
      <c r="R586" s="670"/>
      <c r="S586" s="670"/>
      <c r="T586" s="670"/>
      <c r="U586" s="670"/>
      <c r="V586" s="671"/>
      <c r="W586" s="37" t="s">
        <v>89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1"/>
      <c r="B587" s="681"/>
      <c r="C587" s="681"/>
      <c r="D587" s="681"/>
      <c r="E587" s="681"/>
      <c r="F587" s="681"/>
      <c r="G587" s="681"/>
      <c r="H587" s="681"/>
      <c r="I587" s="681"/>
      <c r="J587" s="681"/>
      <c r="K587" s="681"/>
      <c r="L587" s="681"/>
      <c r="M587" s="681"/>
      <c r="N587" s="681"/>
      <c r="O587" s="683"/>
      <c r="P587" s="679" t="s">
        <v>88</v>
      </c>
      <c r="Q587" s="670"/>
      <c r="R587" s="670"/>
      <c r="S587" s="670"/>
      <c r="T587" s="670"/>
      <c r="U587" s="670"/>
      <c r="V587" s="671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8" t="s">
        <v>64</v>
      </c>
      <c r="B588" s="681"/>
      <c r="C588" s="681"/>
      <c r="D588" s="681"/>
      <c r="E588" s="681"/>
      <c r="F588" s="681"/>
      <c r="G588" s="681"/>
      <c r="H588" s="681"/>
      <c r="I588" s="681"/>
      <c r="J588" s="681"/>
      <c r="K588" s="681"/>
      <c r="L588" s="681"/>
      <c r="M588" s="681"/>
      <c r="N588" s="681"/>
      <c r="O588" s="681"/>
      <c r="P588" s="681"/>
      <c r="Q588" s="681"/>
      <c r="R588" s="681"/>
      <c r="S588" s="681"/>
      <c r="T588" s="681"/>
      <c r="U588" s="681"/>
      <c r="V588" s="681"/>
      <c r="W588" s="681"/>
      <c r="X588" s="681"/>
      <c r="Y588" s="681"/>
      <c r="Z588" s="681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77">
        <v>4640242180113</v>
      </c>
      <c r="E589" s="678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101</v>
      </c>
      <c r="L589" s="32"/>
      <c r="M589" s="33" t="s">
        <v>134</v>
      </c>
      <c r="N589" s="33"/>
      <c r="O589" s="32">
        <v>45</v>
      </c>
      <c r="P589" s="718" t="s">
        <v>941</v>
      </c>
      <c r="Q589" s="685"/>
      <c r="R589" s="685"/>
      <c r="S589" s="685"/>
      <c r="T589" s="686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82"/>
      <c r="B590" s="681"/>
      <c r="C590" s="681"/>
      <c r="D590" s="681"/>
      <c r="E590" s="681"/>
      <c r="F590" s="681"/>
      <c r="G590" s="681"/>
      <c r="H590" s="681"/>
      <c r="I590" s="681"/>
      <c r="J590" s="681"/>
      <c r="K590" s="681"/>
      <c r="L590" s="681"/>
      <c r="M590" s="681"/>
      <c r="N590" s="681"/>
      <c r="O590" s="683"/>
      <c r="P590" s="679" t="s">
        <v>88</v>
      </c>
      <c r="Q590" s="670"/>
      <c r="R590" s="670"/>
      <c r="S590" s="670"/>
      <c r="T590" s="670"/>
      <c r="U590" s="670"/>
      <c r="V590" s="671"/>
      <c r="W590" s="37" t="s">
        <v>89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1"/>
      <c r="B591" s="681"/>
      <c r="C591" s="681"/>
      <c r="D591" s="681"/>
      <c r="E591" s="681"/>
      <c r="F591" s="681"/>
      <c r="G591" s="681"/>
      <c r="H591" s="681"/>
      <c r="I591" s="681"/>
      <c r="J591" s="681"/>
      <c r="K591" s="681"/>
      <c r="L591" s="681"/>
      <c r="M591" s="681"/>
      <c r="N591" s="681"/>
      <c r="O591" s="683"/>
      <c r="P591" s="679" t="s">
        <v>88</v>
      </c>
      <c r="Q591" s="670"/>
      <c r="R591" s="670"/>
      <c r="S591" s="670"/>
      <c r="T591" s="670"/>
      <c r="U591" s="670"/>
      <c r="V591" s="671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991"/>
      <c r="B592" s="681"/>
      <c r="C592" s="681"/>
      <c r="D592" s="681"/>
      <c r="E592" s="681"/>
      <c r="F592" s="681"/>
      <c r="G592" s="681"/>
      <c r="H592" s="681"/>
      <c r="I592" s="681"/>
      <c r="J592" s="681"/>
      <c r="K592" s="681"/>
      <c r="L592" s="681"/>
      <c r="M592" s="681"/>
      <c r="N592" s="681"/>
      <c r="O592" s="899"/>
      <c r="P592" s="674" t="s">
        <v>943</v>
      </c>
      <c r="Q592" s="675"/>
      <c r="R592" s="675"/>
      <c r="S592" s="675"/>
      <c r="T592" s="675"/>
      <c r="U592" s="675"/>
      <c r="V592" s="676"/>
      <c r="W592" s="37" t="s">
        <v>69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2729.3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2825.5400000000004</v>
      </c>
      <c r="Z592" s="37"/>
      <c r="AA592" s="668"/>
      <c r="AB592" s="668"/>
      <c r="AC592" s="668"/>
    </row>
    <row r="593" spans="1:32" x14ac:dyDescent="0.2">
      <c r="A593" s="681"/>
      <c r="B593" s="681"/>
      <c r="C593" s="681"/>
      <c r="D593" s="681"/>
      <c r="E593" s="681"/>
      <c r="F593" s="681"/>
      <c r="G593" s="681"/>
      <c r="H593" s="681"/>
      <c r="I593" s="681"/>
      <c r="J593" s="681"/>
      <c r="K593" s="681"/>
      <c r="L593" s="681"/>
      <c r="M593" s="681"/>
      <c r="N593" s="681"/>
      <c r="O593" s="899"/>
      <c r="P593" s="674" t="s">
        <v>944</v>
      </c>
      <c r="Q593" s="675"/>
      <c r="R593" s="675"/>
      <c r="S593" s="675"/>
      <c r="T593" s="675"/>
      <c r="U593" s="675"/>
      <c r="V593" s="676"/>
      <c r="W593" s="37" t="s">
        <v>69</v>
      </c>
      <c r="X593" s="667">
        <f>IFERROR(SUM(BM22:BM589),"0")</f>
        <v>2864.4474109039115</v>
      </c>
      <c r="Y593" s="667">
        <f>IFERROR(SUM(BN22:BN589),"0")</f>
        <v>2965.0789999999997</v>
      </c>
      <c r="Z593" s="37"/>
      <c r="AA593" s="668"/>
      <c r="AB593" s="668"/>
      <c r="AC593" s="668"/>
    </row>
    <row r="594" spans="1:32" x14ac:dyDescent="0.2">
      <c r="A594" s="681"/>
      <c r="B594" s="681"/>
      <c r="C594" s="681"/>
      <c r="D594" s="681"/>
      <c r="E594" s="681"/>
      <c r="F594" s="681"/>
      <c r="G594" s="681"/>
      <c r="H594" s="681"/>
      <c r="I594" s="681"/>
      <c r="J594" s="681"/>
      <c r="K594" s="681"/>
      <c r="L594" s="681"/>
      <c r="M594" s="681"/>
      <c r="N594" s="681"/>
      <c r="O594" s="899"/>
      <c r="P594" s="674" t="s">
        <v>945</v>
      </c>
      <c r="Q594" s="675"/>
      <c r="R594" s="675"/>
      <c r="S594" s="675"/>
      <c r="T594" s="675"/>
      <c r="U594" s="675"/>
      <c r="V594" s="676"/>
      <c r="W594" s="37" t="s">
        <v>946</v>
      </c>
      <c r="X594" s="38">
        <f>ROUNDUP(SUM(BO22:BO589),0)</f>
        <v>5</v>
      </c>
      <c r="Y594" s="38">
        <f>ROUNDUP(SUM(BP22:BP589),0)</f>
        <v>5</v>
      </c>
      <c r="Z594" s="37"/>
      <c r="AA594" s="668"/>
      <c r="AB594" s="668"/>
      <c r="AC594" s="668"/>
    </row>
    <row r="595" spans="1:32" x14ac:dyDescent="0.2">
      <c r="A595" s="681"/>
      <c r="B595" s="681"/>
      <c r="C595" s="681"/>
      <c r="D595" s="681"/>
      <c r="E595" s="681"/>
      <c r="F595" s="681"/>
      <c r="G595" s="681"/>
      <c r="H595" s="681"/>
      <c r="I595" s="681"/>
      <c r="J595" s="681"/>
      <c r="K595" s="681"/>
      <c r="L595" s="681"/>
      <c r="M595" s="681"/>
      <c r="N595" s="681"/>
      <c r="O595" s="899"/>
      <c r="P595" s="674" t="s">
        <v>947</v>
      </c>
      <c r="Q595" s="675"/>
      <c r="R595" s="675"/>
      <c r="S595" s="675"/>
      <c r="T595" s="675"/>
      <c r="U595" s="675"/>
      <c r="V595" s="676"/>
      <c r="W595" s="37" t="s">
        <v>69</v>
      </c>
      <c r="X595" s="667">
        <f>GrossWeightTotal+PalletQtyTotal*25</f>
        <v>2989.4474109039115</v>
      </c>
      <c r="Y595" s="667">
        <f>GrossWeightTotalR+PalletQtyTotalR*25</f>
        <v>3090.0789999999997</v>
      </c>
      <c r="Z595" s="37"/>
      <c r="AA595" s="668"/>
      <c r="AB595" s="668"/>
      <c r="AC595" s="668"/>
    </row>
    <row r="596" spans="1:32" x14ac:dyDescent="0.2">
      <c r="A596" s="681"/>
      <c r="B596" s="681"/>
      <c r="C596" s="681"/>
      <c r="D596" s="681"/>
      <c r="E596" s="681"/>
      <c r="F596" s="681"/>
      <c r="G596" s="681"/>
      <c r="H596" s="681"/>
      <c r="I596" s="681"/>
      <c r="J596" s="681"/>
      <c r="K596" s="681"/>
      <c r="L596" s="681"/>
      <c r="M596" s="681"/>
      <c r="N596" s="681"/>
      <c r="O596" s="899"/>
      <c r="P596" s="674" t="s">
        <v>948</v>
      </c>
      <c r="Q596" s="675"/>
      <c r="R596" s="675"/>
      <c r="S596" s="675"/>
      <c r="T596" s="675"/>
      <c r="U596" s="675"/>
      <c r="V596" s="676"/>
      <c r="W596" s="37" t="s">
        <v>946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321.88673980340639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332</v>
      </c>
      <c r="Z596" s="37"/>
      <c r="AA596" s="668"/>
      <c r="AB596" s="668"/>
      <c r="AC596" s="668"/>
    </row>
    <row r="597" spans="1:32" ht="14.25" customHeight="1" x14ac:dyDescent="0.2">
      <c r="A597" s="681"/>
      <c r="B597" s="681"/>
      <c r="C597" s="681"/>
      <c r="D597" s="681"/>
      <c r="E597" s="681"/>
      <c r="F597" s="681"/>
      <c r="G597" s="681"/>
      <c r="H597" s="681"/>
      <c r="I597" s="681"/>
      <c r="J597" s="681"/>
      <c r="K597" s="681"/>
      <c r="L597" s="681"/>
      <c r="M597" s="681"/>
      <c r="N597" s="681"/>
      <c r="O597" s="899"/>
      <c r="P597" s="674" t="s">
        <v>949</v>
      </c>
      <c r="Q597" s="675"/>
      <c r="R597" s="675"/>
      <c r="S597" s="675"/>
      <c r="T597" s="675"/>
      <c r="U597" s="675"/>
      <c r="V597" s="676"/>
      <c r="W597" s="39" t="s">
        <v>950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5.4910199999999998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2" t="s">
        <v>96</v>
      </c>
      <c r="D599" s="841"/>
      <c r="E599" s="841"/>
      <c r="F599" s="841"/>
      <c r="G599" s="841"/>
      <c r="H599" s="673"/>
      <c r="I599" s="672" t="s">
        <v>288</v>
      </c>
      <c r="J599" s="841"/>
      <c r="K599" s="841"/>
      <c r="L599" s="841"/>
      <c r="M599" s="841"/>
      <c r="N599" s="841"/>
      <c r="O599" s="841"/>
      <c r="P599" s="841"/>
      <c r="Q599" s="841"/>
      <c r="R599" s="841"/>
      <c r="S599" s="841"/>
      <c r="T599" s="841"/>
      <c r="U599" s="841"/>
      <c r="V599" s="673"/>
      <c r="W599" s="672" t="s">
        <v>578</v>
      </c>
      <c r="X599" s="673"/>
      <c r="Y599" s="672" t="s">
        <v>656</v>
      </c>
      <c r="Z599" s="841"/>
      <c r="AA599" s="841"/>
      <c r="AB599" s="673"/>
      <c r="AC599" s="662" t="s">
        <v>731</v>
      </c>
      <c r="AD599" s="672" t="s">
        <v>833</v>
      </c>
      <c r="AE599" s="673"/>
      <c r="AF599" s="663"/>
    </row>
    <row r="600" spans="1:32" ht="14.25" customHeight="1" thickTop="1" x14ac:dyDescent="0.2">
      <c r="A600" s="748" t="s">
        <v>952</v>
      </c>
      <c r="B600" s="672" t="s">
        <v>63</v>
      </c>
      <c r="C600" s="672" t="s">
        <v>97</v>
      </c>
      <c r="D600" s="672" t="s">
        <v>118</v>
      </c>
      <c r="E600" s="672" t="s">
        <v>183</v>
      </c>
      <c r="F600" s="672" t="s">
        <v>214</v>
      </c>
      <c r="G600" s="672" t="s">
        <v>259</v>
      </c>
      <c r="H600" s="672" t="s">
        <v>96</v>
      </c>
      <c r="I600" s="672" t="s">
        <v>289</v>
      </c>
      <c r="J600" s="672" t="s">
        <v>323</v>
      </c>
      <c r="K600" s="672" t="s">
        <v>384</v>
      </c>
      <c r="L600" s="672" t="s">
        <v>419</v>
      </c>
      <c r="M600" s="672" t="s">
        <v>437</v>
      </c>
      <c r="N600" s="663"/>
      <c r="O600" s="672" t="s">
        <v>441</v>
      </c>
      <c r="P600" s="672" t="s">
        <v>450</v>
      </c>
      <c r="Q600" s="672" t="s">
        <v>464</v>
      </c>
      <c r="R600" s="672" t="s">
        <v>474</v>
      </c>
      <c r="S600" s="672" t="s">
        <v>478</v>
      </c>
      <c r="T600" s="672" t="s">
        <v>486</v>
      </c>
      <c r="U600" s="672" t="s">
        <v>491</v>
      </c>
      <c r="V600" s="672" t="s">
        <v>565</v>
      </c>
      <c r="W600" s="672" t="s">
        <v>579</v>
      </c>
      <c r="X600" s="672" t="s">
        <v>620</v>
      </c>
      <c r="Y600" s="672" t="s">
        <v>657</v>
      </c>
      <c r="Z600" s="672" t="s">
        <v>696</v>
      </c>
      <c r="AA600" s="672" t="s">
        <v>716</v>
      </c>
      <c r="AB600" s="672" t="s">
        <v>724</v>
      </c>
      <c r="AC600" s="672" t="s">
        <v>731</v>
      </c>
      <c r="AD600" s="672" t="s">
        <v>833</v>
      </c>
      <c r="AE600" s="672" t="s">
        <v>926</v>
      </c>
      <c r="AF600" s="663"/>
    </row>
    <row r="601" spans="1:32" ht="13.5" customHeight="1" thickBot="1" x14ac:dyDescent="0.25">
      <c r="A601" s="74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63"/>
      <c r="O601" s="689"/>
      <c r="P601" s="689"/>
      <c r="Q601" s="689"/>
      <c r="R601" s="689"/>
      <c r="S601" s="689"/>
      <c r="T601" s="689"/>
      <c r="U601" s="689"/>
      <c r="V601" s="689"/>
      <c r="W601" s="689"/>
      <c r="X601" s="689"/>
      <c r="Y601" s="689"/>
      <c r="Z601" s="689"/>
      <c r="AA601" s="689"/>
      <c r="AB601" s="689"/>
      <c r="AC601" s="689"/>
      <c r="AD601" s="689"/>
      <c r="AE601" s="689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44.400000000000006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208.5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22.200000000000003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18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7.1999999999999993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134.80000000000001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1166.1999999999998</v>
      </c>
      <c r="V602" s="46">
        <f>IFERROR(Y363*1,"0")+IFERROR(Y367*1,"0")+IFERROR(Y368*1,"0")+IFERROR(Y369*1,"0")</f>
        <v>16.2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960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42.24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205.8</v>
      </c>
      <c r="AE602" s="46">
        <f>IFERROR(Y577*1,"0")+IFERROR(Y581*1,"0")+IFERROR(Y585*1,"0")+IFERROR(Y589*1,"0")</f>
        <v>0</v>
      </c>
      <c r="AF602" s="663"/>
    </row>
  </sheetData>
  <sheetProtection algorithmName="SHA-512" hashValue="K3Yx1ReLla+gkS40b+Kd5ap7awU/inUBNGrhkTy4M9rtEppfMZXH2yK2AW6dUM7jb+HUp5z8NiF8jgIBdsjMfw==" saltValue="l15cdj2kSylbTM5gzBLi5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+pkym2N8mVYGx8+2O29e6OH84i7blxzzj2w70bWZ304u5OT9QkmJCY8jNVMtuOIyA2Xuk5ZiZIIJHy1bB8ARw==" saltValue="bg2HubXiI/PZzAYy1Egqn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2025-04-21T11:06:33Z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