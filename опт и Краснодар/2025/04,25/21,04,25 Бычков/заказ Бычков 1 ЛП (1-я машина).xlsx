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Бычков\"/>
    </mc:Choice>
  </mc:AlternateContent>
  <xr:revisionPtr revIDLastSave="0" documentId="13_ncr:1_{59A27064-E4F2-4BA4-9301-725AD33CBF8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Y583" i="1" s="1"/>
  <c r="X579" i="1"/>
  <c r="X578" i="1"/>
  <c r="BO577" i="1"/>
  <c r="BM577" i="1"/>
  <c r="Y577" i="1"/>
  <c r="X574" i="1"/>
  <c r="X573" i="1"/>
  <c r="BO572" i="1"/>
  <c r="BM572" i="1"/>
  <c r="Y572" i="1"/>
  <c r="BP572" i="1" s="1"/>
  <c r="BO571" i="1"/>
  <c r="BM571" i="1"/>
  <c r="Y571" i="1"/>
  <c r="BP571" i="1" s="1"/>
  <c r="BO570" i="1"/>
  <c r="BM570" i="1"/>
  <c r="Y570" i="1"/>
  <c r="BP570" i="1" s="1"/>
  <c r="BO569" i="1"/>
  <c r="BM569" i="1"/>
  <c r="Y569" i="1"/>
  <c r="X567" i="1"/>
  <c r="X566" i="1"/>
  <c r="BO565" i="1"/>
  <c r="BM565" i="1"/>
  <c r="Y565" i="1"/>
  <c r="BP565" i="1" s="1"/>
  <c r="BO564" i="1"/>
  <c r="BM564" i="1"/>
  <c r="Y564" i="1"/>
  <c r="BP564" i="1" s="1"/>
  <c r="BO563" i="1"/>
  <c r="BM563" i="1"/>
  <c r="Y563" i="1"/>
  <c r="BP563" i="1" s="1"/>
  <c r="BO562" i="1"/>
  <c r="BM562" i="1"/>
  <c r="Y562" i="1"/>
  <c r="BP562" i="1" s="1"/>
  <c r="BO561" i="1"/>
  <c r="BM561" i="1"/>
  <c r="Y561" i="1"/>
  <c r="X559" i="1"/>
  <c r="X558" i="1"/>
  <c r="BO557" i="1"/>
  <c r="BM557" i="1"/>
  <c r="Y557" i="1"/>
  <c r="BP557" i="1" s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O551" i="1"/>
  <c r="BM551" i="1"/>
  <c r="Y551" i="1"/>
  <c r="X549" i="1"/>
  <c r="X548" i="1"/>
  <c r="BO547" i="1"/>
  <c r="BM547" i="1"/>
  <c r="Y547" i="1"/>
  <c r="BP547" i="1" s="1"/>
  <c r="BO546" i="1"/>
  <c r="BM546" i="1"/>
  <c r="Y546" i="1"/>
  <c r="BP546" i="1" s="1"/>
  <c r="BO545" i="1"/>
  <c r="BM545" i="1"/>
  <c r="Y545" i="1"/>
  <c r="BP545" i="1" s="1"/>
  <c r="BO544" i="1"/>
  <c r="BM544" i="1"/>
  <c r="Y544" i="1"/>
  <c r="BP544" i="1" s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P535" i="1" s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BP517" i="1" s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BP481" i="1" s="1"/>
  <c r="P481" i="1"/>
  <c r="BO480" i="1"/>
  <c r="BM480" i="1"/>
  <c r="Y480" i="1"/>
  <c r="BP480" i="1" s="1"/>
  <c r="P480" i="1"/>
  <c r="X476" i="1"/>
  <c r="X475" i="1"/>
  <c r="BO474" i="1"/>
  <c r="BM474" i="1"/>
  <c r="Y474" i="1"/>
  <c r="Y476" i="1" s="1"/>
  <c r="P474" i="1"/>
  <c r="X472" i="1"/>
  <c r="X471" i="1"/>
  <c r="BO470" i="1"/>
  <c r="BM470" i="1"/>
  <c r="Y470" i="1"/>
  <c r="AB602" i="1" s="1"/>
  <c r="P470" i="1"/>
  <c r="X467" i="1"/>
  <c r="X466" i="1"/>
  <c r="BO465" i="1"/>
  <c r="BM465" i="1"/>
  <c r="Y465" i="1"/>
  <c r="BP465" i="1" s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6" i="1" s="1"/>
  <c r="X422" i="1"/>
  <c r="X421" i="1"/>
  <c r="BO420" i="1"/>
  <c r="BM420" i="1"/>
  <c r="Y420" i="1"/>
  <c r="P420" i="1"/>
  <c r="BO419" i="1"/>
  <c r="BM419" i="1"/>
  <c r="Y419" i="1"/>
  <c r="BP419" i="1" s="1"/>
  <c r="P419" i="1"/>
  <c r="BO418" i="1"/>
  <c r="BM418" i="1"/>
  <c r="Y418" i="1"/>
  <c r="BP418" i="1" s="1"/>
  <c r="P418" i="1"/>
  <c r="BO417" i="1"/>
  <c r="BM417" i="1"/>
  <c r="Y417" i="1"/>
  <c r="BP417" i="1" s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BP411" i="1" s="1"/>
  <c r="P411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O379" i="1"/>
  <c r="BM379" i="1"/>
  <c r="Y379" i="1"/>
  <c r="BP379" i="1" s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BP367" i="1" s="1"/>
  <c r="P367" i="1"/>
  <c r="X365" i="1"/>
  <c r="X364" i="1"/>
  <c r="BO363" i="1"/>
  <c r="BM363" i="1"/>
  <c r="Y363" i="1"/>
  <c r="Y364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BP349" i="1" s="1"/>
  <c r="X347" i="1"/>
  <c r="X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Y311" i="1" s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BP224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O125" i="1"/>
  <c r="BM125" i="1"/>
  <c r="Y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BP93" i="1" s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AA602" i="1" l="1"/>
  <c r="Y549" i="1"/>
  <c r="Y567" i="1"/>
  <c r="Z379" i="1"/>
  <c r="BN379" i="1"/>
  <c r="Z411" i="1"/>
  <c r="BN411" i="1"/>
  <c r="Y414" i="1"/>
  <c r="Y421" i="1"/>
  <c r="Z418" i="1"/>
  <c r="BN418" i="1"/>
  <c r="Z464" i="1"/>
  <c r="Z466" i="1" s="1"/>
  <c r="BN464" i="1"/>
  <c r="BP464" i="1"/>
  <c r="Z465" i="1"/>
  <c r="BN465" i="1"/>
  <c r="Y466" i="1"/>
  <c r="Z470" i="1"/>
  <c r="Z471" i="1" s="1"/>
  <c r="BN470" i="1"/>
  <c r="BP470" i="1"/>
  <c r="Y471" i="1"/>
  <c r="Z474" i="1"/>
  <c r="Z475" i="1" s="1"/>
  <c r="BN474" i="1"/>
  <c r="BP474" i="1"/>
  <c r="Y475" i="1"/>
  <c r="Z480" i="1"/>
  <c r="BN480" i="1"/>
  <c r="Z543" i="1"/>
  <c r="Z548" i="1" s="1"/>
  <c r="BN543" i="1"/>
  <c r="BP543" i="1"/>
  <c r="Z544" i="1"/>
  <c r="BN544" i="1"/>
  <c r="Z545" i="1"/>
  <c r="BN545" i="1"/>
  <c r="Z546" i="1"/>
  <c r="BN546" i="1"/>
  <c r="Z547" i="1"/>
  <c r="BN547" i="1"/>
  <c r="Y548" i="1"/>
  <c r="Z561" i="1"/>
  <c r="Z566" i="1" s="1"/>
  <c r="BN561" i="1"/>
  <c r="BP561" i="1"/>
  <c r="Z562" i="1"/>
  <c r="BN562" i="1"/>
  <c r="Z563" i="1"/>
  <c r="BN563" i="1"/>
  <c r="Z564" i="1"/>
  <c r="BN564" i="1"/>
  <c r="Z565" i="1"/>
  <c r="BN565" i="1"/>
  <c r="Y566" i="1"/>
  <c r="Y574" i="1"/>
  <c r="B602" i="1"/>
  <c r="Z87" i="1"/>
  <c r="BN87" i="1"/>
  <c r="Y90" i="1"/>
  <c r="Z159" i="1"/>
  <c r="BN159" i="1"/>
  <c r="Z237" i="1"/>
  <c r="BN237" i="1"/>
  <c r="Z242" i="1"/>
  <c r="BN242" i="1"/>
  <c r="Z344" i="1"/>
  <c r="BN344" i="1"/>
  <c r="Z349" i="1"/>
  <c r="BN349" i="1"/>
  <c r="Z350" i="1"/>
  <c r="BN350" i="1"/>
  <c r="Y353" i="1"/>
  <c r="X594" i="1"/>
  <c r="Z39" i="1"/>
  <c r="BN39" i="1"/>
  <c r="Z74" i="1"/>
  <c r="BN74" i="1"/>
  <c r="Z101" i="1"/>
  <c r="BN101" i="1"/>
  <c r="Z138" i="1"/>
  <c r="BN138" i="1"/>
  <c r="Z204" i="1"/>
  <c r="BN204" i="1"/>
  <c r="Z224" i="1"/>
  <c r="BN224" i="1"/>
  <c r="Y227" i="1"/>
  <c r="Z265" i="1"/>
  <c r="Z266" i="1" s="1"/>
  <c r="BN265" i="1"/>
  <c r="BP265" i="1"/>
  <c r="Y266" i="1"/>
  <c r="Z270" i="1"/>
  <c r="BN270" i="1"/>
  <c r="Z328" i="1"/>
  <c r="BN328" i="1"/>
  <c r="Y333" i="1"/>
  <c r="Z363" i="1"/>
  <c r="Z364" i="1" s="1"/>
  <c r="BN363" i="1"/>
  <c r="BP363" i="1"/>
  <c r="Z367" i="1"/>
  <c r="BN367" i="1"/>
  <c r="Y370" i="1"/>
  <c r="Y396" i="1"/>
  <c r="BP127" i="1"/>
  <c r="BN127" i="1"/>
  <c r="Z127" i="1"/>
  <c r="BP177" i="1"/>
  <c r="BN177" i="1"/>
  <c r="Z177" i="1"/>
  <c r="BP196" i="1"/>
  <c r="BN196" i="1"/>
  <c r="Z196" i="1"/>
  <c r="BP218" i="1"/>
  <c r="BN218" i="1"/>
  <c r="Z218" i="1"/>
  <c r="BP257" i="1"/>
  <c r="BN257" i="1"/>
  <c r="Z257" i="1"/>
  <c r="BP258" i="1"/>
  <c r="BN258" i="1"/>
  <c r="Z258" i="1"/>
  <c r="BP322" i="1"/>
  <c r="BN322" i="1"/>
  <c r="Z322" i="1"/>
  <c r="BP356" i="1"/>
  <c r="BN356" i="1"/>
  <c r="Z356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4" i="1"/>
  <c r="BN484" i="1"/>
  <c r="Z484" i="1"/>
  <c r="BP494" i="1"/>
  <c r="BN494" i="1"/>
  <c r="Z494" i="1"/>
  <c r="Z27" i="1"/>
  <c r="BN27" i="1"/>
  <c r="X592" i="1"/>
  <c r="Z52" i="1"/>
  <c r="BN52" i="1"/>
  <c r="Z66" i="1"/>
  <c r="BN66" i="1"/>
  <c r="Y77" i="1"/>
  <c r="Z80" i="1"/>
  <c r="BN80" i="1"/>
  <c r="Y83" i="1"/>
  <c r="Z93" i="1"/>
  <c r="BN93" i="1"/>
  <c r="Z108" i="1"/>
  <c r="BN108" i="1"/>
  <c r="BP148" i="1"/>
  <c r="BN148" i="1"/>
  <c r="Z148" i="1"/>
  <c r="BP180" i="1"/>
  <c r="BN180" i="1"/>
  <c r="Z180" i="1"/>
  <c r="BP208" i="1"/>
  <c r="BN208" i="1"/>
  <c r="Z208" i="1"/>
  <c r="BP233" i="1"/>
  <c r="BN233" i="1"/>
  <c r="Z233" i="1"/>
  <c r="BP279" i="1"/>
  <c r="BN279" i="1"/>
  <c r="Z279" i="1"/>
  <c r="BP336" i="1"/>
  <c r="BN336" i="1"/>
  <c r="Z336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7" i="1"/>
  <c r="BN487" i="1"/>
  <c r="Z487" i="1"/>
  <c r="BP523" i="1"/>
  <c r="BN523" i="1"/>
  <c r="Z523" i="1"/>
  <c r="Y199" i="1"/>
  <c r="Y209" i="1"/>
  <c r="Y273" i="1"/>
  <c r="Y359" i="1"/>
  <c r="Y503" i="1"/>
  <c r="Y33" i="1"/>
  <c r="Y32" i="1"/>
  <c r="BP31" i="1"/>
  <c r="BN31" i="1"/>
  <c r="Z31" i="1"/>
  <c r="Z32" i="1" s="1"/>
  <c r="BP37" i="1"/>
  <c r="BN37" i="1"/>
  <c r="Z37" i="1"/>
  <c r="BP54" i="1"/>
  <c r="BN54" i="1"/>
  <c r="Z54" i="1"/>
  <c r="BP72" i="1"/>
  <c r="BN72" i="1"/>
  <c r="Z72" i="1"/>
  <c r="BP82" i="1"/>
  <c r="BN82" i="1"/>
  <c r="Z82" i="1"/>
  <c r="BP99" i="1"/>
  <c r="BN99" i="1"/>
  <c r="Z99" i="1"/>
  <c r="BP114" i="1"/>
  <c r="BN114" i="1"/>
  <c r="Z114" i="1"/>
  <c r="BP124" i="1"/>
  <c r="BN124" i="1"/>
  <c r="Z124" i="1"/>
  <c r="Y133" i="1"/>
  <c r="BP131" i="1"/>
  <c r="BN131" i="1"/>
  <c r="Z131" i="1"/>
  <c r="Y154" i="1"/>
  <c r="BP153" i="1"/>
  <c r="BN153" i="1"/>
  <c r="Z153" i="1"/>
  <c r="Z154" i="1" s="1"/>
  <c r="Y161" i="1"/>
  <c r="BP157" i="1"/>
  <c r="BN157" i="1"/>
  <c r="Z157" i="1"/>
  <c r="BP182" i="1"/>
  <c r="BN182" i="1"/>
  <c r="Z182" i="1"/>
  <c r="BP202" i="1"/>
  <c r="BN202" i="1"/>
  <c r="Z202" i="1"/>
  <c r="Y221" i="1"/>
  <c r="BP212" i="1"/>
  <c r="BN212" i="1"/>
  <c r="Z212" i="1"/>
  <c r="BP220" i="1"/>
  <c r="BN220" i="1"/>
  <c r="Z220" i="1"/>
  <c r="BP235" i="1"/>
  <c r="BN235" i="1"/>
  <c r="Z235" i="1"/>
  <c r="BP260" i="1"/>
  <c r="BN260" i="1"/>
  <c r="Z260" i="1"/>
  <c r="BP281" i="1"/>
  <c r="BN281" i="1"/>
  <c r="Z281" i="1"/>
  <c r="BP324" i="1"/>
  <c r="BN324" i="1"/>
  <c r="Z324" i="1"/>
  <c r="BP338" i="1"/>
  <c r="BN338" i="1"/>
  <c r="Z338" i="1"/>
  <c r="BP358" i="1"/>
  <c r="BN358" i="1"/>
  <c r="Z358" i="1"/>
  <c r="BP377" i="1"/>
  <c r="BN377" i="1"/>
  <c r="Z377" i="1"/>
  <c r="BP389" i="1"/>
  <c r="BN389" i="1"/>
  <c r="Z389" i="1"/>
  <c r="X593" i="1"/>
  <c r="X595" i="1" s="1"/>
  <c r="Z23" i="1"/>
  <c r="BN23" i="1"/>
  <c r="Z24" i="1"/>
  <c r="BN24" i="1"/>
  <c r="Z25" i="1"/>
  <c r="BN25" i="1"/>
  <c r="D602" i="1"/>
  <c r="BP50" i="1"/>
  <c r="BN50" i="1"/>
  <c r="Z50" i="1"/>
  <c r="BP60" i="1"/>
  <c r="BN60" i="1"/>
  <c r="Z60" i="1"/>
  <c r="BP76" i="1"/>
  <c r="BN76" i="1"/>
  <c r="Z76" i="1"/>
  <c r="BP89" i="1"/>
  <c r="BN89" i="1"/>
  <c r="Z89" i="1"/>
  <c r="BP106" i="1"/>
  <c r="BN106" i="1"/>
  <c r="Z106" i="1"/>
  <c r="BP121" i="1"/>
  <c r="BN121" i="1"/>
  <c r="Z121" i="1"/>
  <c r="BP125" i="1"/>
  <c r="BN125" i="1"/>
  <c r="Z125" i="1"/>
  <c r="Y144" i="1"/>
  <c r="BP142" i="1"/>
  <c r="BN142" i="1"/>
  <c r="Z142" i="1"/>
  <c r="I602" i="1"/>
  <c r="Y183" i="1"/>
  <c r="BP175" i="1"/>
  <c r="BN175" i="1"/>
  <c r="Z175" i="1"/>
  <c r="J602" i="1"/>
  <c r="BP192" i="1"/>
  <c r="BN192" i="1"/>
  <c r="Z192" i="1"/>
  <c r="BP206" i="1"/>
  <c r="BN206" i="1"/>
  <c r="Z206" i="1"/>
  <c r="BP216" i="1"/>
  <c r="BN216" i="1"/>
  <c r="Z216" i="1"/>
  <c r="K602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BP272" i="1"/>
  <c r="BN272" i="1"/>
  <c r="Z272" i="1"/>
  <c r="BP277" i="1"/>
  <c r="BN277" i="1"/>
  <c r="Z277" i="1"/>
  <c r="U602" i="1"/>
  <c r="BP320" i="1"/>
  <c r="BN320" i="1"/>
  <c r="Z320" i="1"/>
  <c r="BP330" i="1"/>
  <c r="BN330" i="1"/>
  <c r="Z330" i="1"/>
  <c r="BP352" i="1"/>
  <c r="BN352" i="1"/>
  <c r="Z352" i="1"/>
  <c r="BP369" i="1"/>
  <c r="BN369" i="1"/>
  <c r="Z369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Y461" i="1"/>
  <c r="BP456" i="1"/>
  <c r="BN456" i="1"/>
  <c r="Z456" i="1"/>
  <c r="BP482" i="1"/>
  <c r="BN482" i="1"/>
  <c r="Z482" i="1"/>
  <c r="BP490" i="1"/>
  <c r="BN490" i="1"/>
  <c r="Z490" i="1"/>
  <c r="BP492" i="1"/>
  <c r="BN492" i="1"/>
  <c r="Z492" i="1"/>
  <c r="BP507" i="1"/>
  <c r="BN507" i="1"/>
  <c r="Z507" i="1"/>
  <c r="BP509" i="1"/>
  <c r="BN509" i="1"/>
  <c r="Z509" i="1"/>
  <c r="BP513" i="1"/>
  <c r="BN513" i="1"/>
  <c r="Z513" i="1"/>
  <c r="Y525" i="1"/>
  <c r="BP521" i="1"/>
  <c r="BN521" i="1"/>
  <c r="Z521" i="1"/>
  <c r="BP528" i="1"/>
  <c r="BN528" i="1"/>
  <c r="Z528" i="1"/>
  <c r="AE602" i="1"/>
  <c r="Y578" i="1"/>
  <c r="BP577" i="1"/>
  <c r="BN577" i="1"/>
  <c r="Z577" i="1"/>
  <c r="Z578" i="1" s="1"/>
  <c r="Y587" i="1"/>
  <c r="Y586" i="1"/>
  <c r="BP585" i="1"/>
  <c r="BN585" i="1"/>
  <c r="Z585" i="1"/>
  <c r="Z586" i="1" s="1"/>
  <c r="Y42" i="1"/>
  <c r="Y62" i="1"/>
  <c r="Y69" i="1"/>
  <c r="Y84" i="1"/>
  <c r="Y102" i="1"/>
  <c r="Y111" i="1"/>
  <c r="Y128" i="1"/>
  <c r="Y134" i="1"/>
  <c r="G602" i="1"/>
  <c r="Y145" i="1"/>
  <c r="Y162" i="1"/>
  <c r="Y198" i="1"/>
  <c r="Y226" i="1"/>
  <c r="Y282" i="1"/>
  <c r="Y310" i="1"/>
  <c r="Y332" i="1"/>
  <c r="Y341" i="1"/>
  <c r="Y347" i="1"/>
  <c r="Y354" i="1"/>
  <c r="Y360" i="1"/>
  <c r="Y371" i="1"/>
  <c r="BP407" i="1"/>
  <c r="BN407" i="1"/>
  <c r="Z407" i="1"/>
  <c r="BP438" i="1"/>
  <c r="BN438" i="1"/>
  <c r="Z438" i="1"/>
  <c r="Y447" i="1"/>
  <c r="BN445" i="1"/>
  <c r="Z445" i="1"/>
  <c r="BP446" i="1"/>
  <c r="BN446" i="1"/>
  <c r="Z446" i="1"/>
  <c r="BP451" i="1"/>
  <c r="BN451" i="1"/>
  <c r="Z451" i="1"/>
  <c r="BP459" i="1"/>
  <c r="BN459" i="1"/>
  <c r="Z459" i="1"/>
  <c r="BP489" i="1"/>
  <c r="BN489" i="1"/>
  <c r="Z489" i="1"/>
  <c r="BP491" i="1"/>
  <c r="BN491" i="1"/>
  <c r="Z491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530" i="1"/>
  <c r="Y529" i="1"/>
  <c r="BP527" i="1"/>
  <c r="BN527" i="1"/>
  <c r="Z527" i="1"/>
  <c r="Y408" i="1"/>
  <c r="Y413" i="1"/>
  <c r="Y497" i="1"/>
  <c r="F9" i="1"/>
  <c r="J9" i="1"/>
  <c r="F10" i="1"/>
  <c r="Z22" i="1"/>
  <c r="BN22" i="1"/>
  <c r="BP22" i="1"/>
  <c r="Z26" i="1"/>
  <c r="BN26" i="1"/>
  <c r="X596" i="1"/>
  <c r="Y29" i="1"/>
  <c r="C602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BP81" i="1"/>
  <c r="E602" i="1"/>
  <c r="Z88" i="1"/>
  <c r="BN88" i="1"/>
  <c r="BP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Y103" i="1"/>
  <c r="F602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19" i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BN132" i="1"/>
  <c r="BP132" i="1"/>
  <c r="Z137" i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2" i="1"/>
  <c r="Y262" i="1"/>
  <c r="Z256" i="1"/>
  <c r="BN256" i="1"/>
  <c r="Y261" i="1"/>
  <c r="BP271" i="1"/>
  <c r="BN271" i="1"/>
  <c r="Z271" i="1"/>
  <c r="Z273" i="1" s="1"/>
  <c r="H9" i="1"/>
  <c r="Y28" i="1"/>
  <c r="Y55" i="1"/>
  <c r="Y139" i="1"/>
  <c r="Y172" i="1"/>
  <c r="Y193" i="1"/>
  <c r="Y238" i="1"/>
  <c r="BP259" i="1"/>
  <c r="BN259" i="1"/>
  <c r="Z259" i="1"/>
  <c r="Y267" i="1"/>
  <c r="O602" i="1"/>
  <c r="Y274" i="1"/>
  <c r="P602" i="1"/>
  <c r="Z278" i="1"/>
  <c r="BN278" i="1"/>
  <c r="BP278" i="1"/>
  <c r="Z280" i="1"/>
  <c r="BN280" i="1"/>
  <c r="Y283" i="1"/>
  <c r="Y288" i="1"/>
  <c r="Y301" i="1"/>
  <c r="S602" i="1"/>
  <c r="Y306" i="1"/>
  <c r="Z309" i="1"/>
  <c r="Z310" i="1" s="1"/>
  <c r="BN309" i="1"/>
  <c r="BP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BN329" i="1"/>
  <c r="BP329" i="1"/>
  <c r="Z331" i="1"/>
  <c r="BN331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BN351" i="1"/>
  <c r="BP351" i="1"/>
  <c r="Z357" i="1"/>
  <c r="BN357" i="1"/>
  <c r="BP357" i="1"/>
  <c r="V602" i="1"/>
  <c r="Y365" i="1"/>
  <c r="Z368" i="1"/>
  <c r="BN368" i="1"/>
  <c r="BP368" i="1"/>
  <c r="W602" i="1"/>
  <c r="Z376" i="1"/>
  <c r="BN376" i="1"/>
  <c r="Z378" i="1"/>
  <c r="BN378" i="1"/>
  <c r="Z380" i="1"/>
  <c r="BN380" i="1"/>
  <c r="Z382" i="1"/>
  <c r="BN382" i="1"/>
  <c r="Z384" i="1"/>
  <c r="BN384" i="1"/>
  <c r="Y385" i="1"/>
  <c r="Z388" i="1"/>
  <c r="BN388" i="1"/>
  <c r="BP388" i="1"/>
  <c r="Y391" i="1"/>
  <c r="Z393" i="1"/>
  <c r="BN393" i="1"/>
  <c r="BP393" i="1"/>
  <c r="Z394" i="1"/>
  <c r="BN394" i="1"/>
  <c r="Y395" i="1"/>
  <c r="X602" i="1"/>
  <c r="Z404" i="1"/>
  <c r="BN404" i="1"/>
  <c r="BP404" i="1"/>
  <c r="Z406" i="1"/>
  <c r="BN406" i="1"/>
  <c r="Y409" i="1"/>
  <c r="Z412" i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2" i="1"/>
  <c r="Z434" i="1"/>
  <c r="BN434" i="1"/>
  <c r="Z435" i="1"/>
  <c r="BN435" i="1"/>
  <c r="Z437" i="1"/>
  <c r="BN437" i="1"/>
  <c r="Z440" i="1"/>
  <c r="BN440" i="1"/>
  <c r="Y443" i="1"/>
  <c r="Y448" i="1"/>
  <c r="BP445" i="1"/>
  <c r="Y316" i="1"/>
  <c r="Y325" i="1"/>
  <c r="Y386" i="1"/>
  <c r="Y442" i="1"/>
  <c r="BP452" i="1"/>
  <c r="BN452" i="1"/>
  <c r="Z452" i="1"/>
  <c r="Z453" i="1" s="1"/>
  <c r="Y454" i="1"/>
  <c r="Y460" i="1"/>
  <c r="Y504" i="1"/>
  <c r="Z517" i="1"/>
  <c r="BN517" i="1"/>
  <c r="Y518" i="1"/>
  <c r="Y524" i="1"/>
  <c r="AD602" i="1"/>
  <c r="Y540" i="1"/>
  <c r="BP537" i="1"/>
  <c r="BN537" i="1"/>
  <c r="Z537" i="1"/>
  <c r="BP539" i="1"/>
  <c r="BN539" i="1"/>
  <c r="Z539" i="1"/>
  <c r="Y541" i="1"/>
  <c r="Y559" i="1"/>
  <c r="Y558" i="1"/>
  <c r="BP551" i="1"/>
  <c r="BN551" i="1"/>
  <c r="Z551" i="1"/>
  <c r="Z602" i="1"/>
  <c r="Y453" i="1"/>
  <c r="Z457" i="1"/>
  <c r="BN457" i="1"/>
  <c r="Z458" i="1"/>
  <c r="BN458" i="1"/>
  <c r="Y467" i="1"/>
  <c r="Y472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Z511" i="1"/>
  <c r="BN511" i="1"/>
  <c r="Z512" i="1"/>
  <c r="BN512" i="1"/>
  <c r="Z515" i="1"/>
  <c r="BN515" i="1"/>
  <c r="Z516" i="1"/>
  <c r="BN516" i="1"/>
  <c r="Z522" i="1"/>
  <c r="Z524" i="1" s="1"/>
  <c r="BN522" i="1"/>
  <c r="Z534" i="1"/>
  <c r="BN534" i="1"/>
  <c r="BP534" i="1"/>
  <c r="Z535" i="1"/>
  <c r="BN535" i="1"/>
  <c r="BP536" i="1"/>
  <c r="BN536" i="1"/>
  <c r="Z536" i="1"/>
  <c r="BP538" i="1"/>
  <c r="BN538" i="1"/>
  <c r="Z538" i="1"/>
  <c r="BP552" i="1"/>
  <c r="BN552" i="1"/>
  <c r="Z552" i="1"/>
  <c r="Z553" i="1"/>
  <c r="BN553" i="1"/>
  <c r="Z554" i="1"/>
  <c r="BN554" i="1"/>
  <c r="Z555" i="1"/>
  <c r="BN555" i="1"/>
  <c r="Z556" i="1"/>
  <c r="BN556" i="1"/>
  <c r="Z557" i="1"/>
  <c r="BN557" i="1"/>
  <c r="Z569" i="1"/>
  <c r="BN569" i="1"/>
  <c r="BP569" i="1"/>
  <c r="Z570" i="1"/>
  <c r="BN570" i="1"/>
  <c r="Z571" i="1"/>
  <c r="BN571" i="1"/>
  <c r="Z572" i="1"/>
  <c r="BN572" i="1"/>
  <c r="Y573" i="1"/>
  <c r="Y579" i="1"/>
  <c r="Z581" i="1"/>
  <c r="Z582" i="1" s="1"/>
  <c r="BN581" i="1"/>
  <c r="BP581" i="1"/>
  <c r="Y582" i="1"/>
  <c r="Z589" i="1"/>
  <c r="Z590" i="1" s="1"/>
  <c r="BN589" i="1"/>
  <c r="BP589" i="1"/>
  <c r="Y590" i="1"/>
  <c r="Z413" i="1" l="1"/>
  <c r="Z370" i="1"/>
  <c r="Z238" i="1"/>
  <c r="Z209" i="1"/>
  <c r="Z161" i="1"/>
  <c r="Z133" i="1"/>
  <c r="Z128" i="1"/>
  <c r="Z116" i="1"/>
  <c r="Z110" i="1"/>
  <c r="Z90" i="1"/>
  <c r="Z83" i="1"/>
  <c r="Z77" i="1"/>
  <c r="Z68" i="1"/>
  <c r="Z529" i="1"/>
  <c r="Z226" i="1"/>
  <c r="Z139" i="1"/>
  <c r="Z496" i="1"/>
  <c r="Z261" i="1"/>
  <c r="Z421" i="1"/>
  <c r="Z395" i="1"/>
  <c r="Z390" i="1"/>
  <c r="Z359" i="1"/>
  <c r="Z332" i="1"/>
  <c r="Z325" i="1"/>
  <c r="Z282" i="1"/>
  <c r="Z221" i="1"/>
  <c r="Z102" i="1"/>
  <c r="Z503" i="1"/>
  <c r="Z460" i="1"/>
  <c r="Z518" i="1"/>
  <c r="Z442" i="1"/>
  <c r="Z408" i="1"/>
  <c r="Z385" i="1"/>
  <c r="Z353" i="1"/>
  <c r="Z193" i="1"/>
  <c r="Z62" i="1"/>
  <c r="Z41" i="1"/>
  <c r="Z447" i="1"/>
  <c r="Z573" i="1"/>
  <c r="Z540" i="1"/>
  <c r="Z558" i="1"/>
  <c r="Z346" i="1"/>
  <c r="Z340" i="1"/>
  <c r="Z183" i="1"/>
  <c r="Z55" i="1"/>
  <c r="Y592" i="1"/>
  <c r="Y594" i="1"/>
  <c r="Z28" i="1"/>
  <c r="Y596" i="1"/>
  <c r="Y593" i="1"/>
  <c r="Y595" i="1" l="1"/>
  <c r="Z597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<sst xmlns="http://schemas.openxmlformats.org/spreadsheetml/2006/main" count="2737" uniqueCount="969">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</sst>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66" zoomScaleNormal="100" zoomScaleSheetLayoutView="100" workbookViewId="0">
      <selection activeCell="X598" sqref="X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/>
      <c r="I5" s="947"/>
      <c r="J5" s="947"/>
      <c r="K5" s="947"/>
      <c r="L5" s="947"/>
      <c r="M5" s="756"/>
      <c r="N5" s="58"/>
      <c r="P5" s="24" t="s">
        <v>10</v>
      </c>
      <c r="Q5" s="1023">
        <v>45771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0.41666666666666669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60</v>
      </c>
      <c r="Y37" s="666">
        <f>IFERROR(IF(X37="",0,CEILING((X37/$H37),1)*$H37),"")</f>
        <v>64.800000000000011</v>
      </c>
      <c r="Z37" s="36">
        <f>IFERROR(IF(Y37=0,"",ROUNDUP(Y37/H37,0)*0.01898),"")</f>
        <v>0.11388000000000001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62.416666666666657</v>
      </c>
      <c r="BN37" s="64">
        <f>IFERROR(Y37*I37/H37,"0")</f>
        <v>67.410000000000011</v>
      </c>
      <c r="BO37" s="64">
        <f>IFERROR(1/J37*(X37/H37),"0")</f>
        <v>8.6805555555555552E-2</v>
      </c>
      <c r="BP37" s="64">
        <f>IFERROR(1/J37*(Y37/H37),"0")</f>
        <v>9.3750000000000014E-2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16</v>
      </c>
      <c r="Y38" s="666">
        <f>IFERROR(IF(X38="",0,CEILING((X38/$H38),1)*$H38),"")</f>
        <v>16</v>
      </c>
      <c r="Z38" s="36">
        <f>IFERROR(IF(Y38=0,"",ROUNDUP(Y38/H38,0)*0.00902),"")</f>
        <v>3.6080000000000001E-2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16.84</v>
      </c>
      <c r="BN38" s="64">
        <f>IFERROR(Y38*I38/H38,"0")</f>
        <v>16.84</v>
      </c>
      <c r="BO38" s="64">
        <f>IFERROR(1/J38*(X38/H38),"0")</f>
        <v>3.0303030303030304E-2</v>
      </c>
      <c r="BP38" s="64">
        <f>IFERROR(1/J38*(Y38/H38),"0")</f>
        <v>3.0303030303030304E-2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9.5555555555555554</v>
      </c>
      <c r="Y41" s="667">
        <f>IFERROR(Y37/H37,"0")+IFERROR(Y38/H38,"0")+IFERROR(Y39/H39,"0")+IFERROR(Y40/H40,"0")</f>
        <v>10</v>
      </c>
      <c r="Z41" s="667">
        <f>IFERROR(IF(Z37="",0,Z37),"0")+IFERROR(IF(Z38="",0,Z38),"0")+IFERROR(IF(Z39="",0,Z39),"0")+IFERROR(IF(Z40="",0,Z40),"0")</f>
        <v>0.14996000000000001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76</v>
      </c>
      <c r="Y42" s="667">
        <f>IFERROR(SUM(Y37:Y40),"0")</f>
        <v>80.800000000000011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1050</v>
      </c>
      <c r="Y50" s="666">
        <f t="shared" si="6"/>
        <v>1058.4000000000001</v>
      </c>
      <c r="Z50" s="36">
        <f>IFERROR(IF(Y50=0,"",ROUNDUP(Y50/H50,0)*0.01898),"")</f>
        <v>1.8600400000000001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1092.2916666666665</v>
      </c>
      <c r="BN50" s="64">
        <f t="shared" si="8"/>
        <v>1101.03</v>
      </c>
      <c r="BO50" s="64">
        <f t="shared" si="9"/>
        <v>1.5190972222222221</v>
      </c>
      <c r="BP50" s="64">
        <f t="shared" si="10"/>
        <v>1.53125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274.5</v>
      </c>
      <c r="Y54" s="666">
        <f t="shared" si="6"/>
        <v>274.5</v>
      </c>
      <c r="Z54" s="36">
        <f>IFERROR(IF(Y54=0,"",ROUNDUP(Y54/H54,0)*0.00902),"")</f>
        <v>0.55022000000000004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287.31</v>
      </c>
      <c r="BN54" s="64">
        <f t="shared" si="8"/>
        <v>287.31</v>
      </c>
      <c r="BO54" s="64">
        <f t="shared" si="9"/>
        <v>0.46212121212121215</v>
      </c>
      <c r="BP54" s="64">
        <f t="shared" si="10"/>
        <v>0.46212121212121215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158.22222222222223</v>
      </c>
      <c r="Y55" s="667">
        <f>IFERROR(Y49/H49,"0")+IFERROR(Y50/H50,"0")+IFERROR(Y51/H51,"0")+IFERROR(Y52/H52,"0")+IFERROR(Y53/H53,"0")+IFERROR(Y54/H54,"0")</f>
        <v>159</v>
      </c>
      <c r="Z55" s="667">
        <f>IFERROR(IF(Z49="",0,Z49),"0")+IFERROR(IF(Z50="",0,Z50),"0")+IFERROR(IF(Z51="",0,Z51),"0")+IFERROR(IF(Z52="",0,Z52),"0")+IFERROR(IF(Z53="",0,Z53),"0")+IFERROR(IF(Z54="",0,Z54),"0")</f>
        <v>2.4102600000000001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1324.5</v>
      </c>
      <c r="Y56" s="667">
        <f>IFERROR(SUM(Y49:Y54),"0")</f>
        <v>1332.9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500</v>
      </c>
      <c r="Y58" s="666">
        <f>IFERROR(IF(X58="",0,CEILING((X58/$H58),1)*$H58),"")</f>
        <v>507.6</v>
      </c>
      <c r="Z58" s="36">
        <f>IFERROR(IF(Y58=0,"",ROUNDUP(Y58/H58,0)*0.01898),"")</f>
        <v>0.89205999999999996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520.1388888888888</v>
      </c>
      <c r="BN58" s="64">
        <f>IFERROR(Y58*I58/H58,"0")</f>
        <v>528.04499999999996</v>
      </c>
      <c r="BO58" s="64">
        <f>IFERROR(1/J58*(X58/H58),"0")</f>
        <v>0.72337962962962954</v>
      </c>
      <c r="BP58" s="64">
        <f>IFERROR(1/J58*(Y58/H58),"0")</f>
        <v>0.734375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116.1</v>
      </c>
      <c r="Y61" s="666">
        <f>IFERROR(IF(X61="",0,CEILING((X61/$H61),1)*$H61),"")</f>
        <v>116.10000000000001</v>
      </c>
      <c r="Z61" s="36">
        <f>IFERROR(IF(Y61=0,"",ROUNDUP(Y61/H61,0)*0.00651),"")</f>
        <v>0.27993000000000001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123.83999999999999</v>
      </c>
      <c r="BN61" s="64">
        <f>IFERROR(Y61*I61/H61,"0")</f>
        <v>123.83999999999999</v>
      </c>
      <c r="BO61" s="64">
        <f>IFERROR(1/J61*(X61/H61),"0")</f>
        <v>0.23626373626373623</v>
      </c>
      <c r="BP61" s="64">
        <f>IFERROR(1/J61*(Y61/H61),"0")</f>
        <v>0.23626373626373628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89.296296296296276</v>
      </c>
      <c r="Y62" s="667">
        <f>IFERROR(Y58/H58,"0")+IFERROR(Y59/H59,"0")+IFERROR(Y60/H60,"0")+IFERROR(Y61/H61,"0")</f>
        <v>90</v>
      </c>
      <c r="Z62" s="667">
        <f>IFERROR(IF(Z58="",0,Z58),"0")+IFERROR(IF(Z59="",0,Z59),"0")+IFERROR(IF(Z60="",0,Z60),"0")+IFERROR(IF(Z61="",0,Z61),"0")</f>
        <v>1.1719900000000001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616.1</v>
      </c>
      <c r="Y63" s="667">
        <f>IFERROR(SUM(Y58:Y61),"0")</f>
        <v>623.70000000000005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20</v>
      </c>
      <c r="Y73" s="666">
        <f t="shared" si="11"/>
        <v>25.200000000000003</v>
      </c>
      <c r="Z73" s="36">
        <f>IFERROR(IF(Y73=0,"",ROUNDUP(Y73/H73,0)*0.01898),"")</f>
        <v>5.6940000000000004E-2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21.207142857142856</v>
      </c>
      <c r="BN73" s="64">
        <f t="shared" si="13"/>
        <v>26.721000000000004</v>
      </c>
      <c r="BO73" s="64">
        <f t="shared" si="14"/>
        <v>3.7202380952380952E-2</v>
      </c>
      <c r="BP73" s="64">
        <f t="shared" si="15"/>
        <v>4.6875E-2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2.3809523809523809</v>
      </c>
      <c r="Y77" s="667">
        <f>IFERROR(Y71/H71,"0")+IFERROR(Y72/H72,"0")+IFERROR(Y73/H73,"0")+IFERROR(Y74/H74,"0")+IFERROR(Y75/H75,"0")+IFERROR(Y76/H76,"0")</f>
        <v>3</v>
      </c>
      <c r="Z77" s="667">
        <f>IFERROR(IF(Z71="",0,Z71),"0")+IFERROR(IF(Z72="",0,Z72),"0")+IFERROR(IF(Z73="",0,Z73),"0")+IFERROR(IF(Z74="",0,Z74),"0")+IFERROR(IF(Z75="",0,Z75),"0")+IFERROR(IF(Z76="",0,Z76),"0")</f>
        <v>5.6940000000000004E-2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20</v>
      </c>
      <c r="Y78" s="667">
        <f>IFERROR(SUM(Y71:Y76),"0")</f>
        <v>25.200000000000003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140</v>
      </c>
      <c r="Y87" s="666">
        <f>IFERROR(IF(X87="",0,CEILING((X87/$H87),1)*$H87),"")</f>
        <v>140.4</v>
      </c>
      <c r="Z87" s="36">
        <f>IFERROR(IF(Y87=0,"",ROUNDUP(Y87/H87,0)*0.01898),"")</f>
        <v>0.24674000000000001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145.63888888888886</v>
      </c>
      <c r="BN87" s="64">
        <f>IFERROR(Y87*I87/H87,"0")</f>
        <v>146.05499999999998</v>
      </c>
      <c r="BO87" s="64">
        <f>IFERROR(1/J87*(X87/H87),"0")</f>
        <v>0.20254629629629628</v>
      </c>
      <c r="BP87" s="64">
        <f>IFERROR(1/J87*(Y87/H87),"0")</f>
        <v>0.203125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72</v>
      </c>
      <c r="Y89" s="666">
        <f>IFERROR(IF(X89="",0,CEILING((X89/$H89),1)*$H89),"")</f>
        <v>72</v>
      </c>
      <c r="Z89" s="36">
        <f>IFERROR(IF(Y89=0,"",ROUNDUP(Y89/H89,0)*0.00902),"")</f>
        <v>0.14432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75.36</v>
      </c>
      <c r="BN89" s="64">
        <f>IFERROR(Y89*I89/H89,"0")</f>
        <v>75.36</v>
      </c>
      <c r="BO89" s="64">
        <f>IFERROR(1/J89*(X89/H89),"0")</f>
        <v>0.12121212121212122</v>
      </c>
      <c r="BP89" s="64">
        <f>IFERROR(1/J89*(Y89/H89),"0")</f>
        <v>0.12121212121212122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28.962962962962962</v>
      </c>
      <c r="Y90" s="667">
        <f>IFERROR(Y87/H87,"0")+IFERROR(Y88/H88,"0")+IFERROR(Y89/H89,"0")</f>
        <v>29</v>
      </c>
      <c r="Z90" s="667">
        <f>IFERROR(IF(Z87="",0,Z87),"0")+IFERROR(IF(Z88="",0,Z88),"0")+IFERROR(IF(Z89="",0,Z89),"0")</f>
        <v>0.39106000000000002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212</v>
      </c>
      <c r="Y91" s="667">
        <f>IFERROR(SUM(Y87:Y89),"0")</f>
        <v>212.4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88</v>
      </c>
      <c r="Y93" s="666">
        <f t="shared" ref="Y93:Y101" si="16">IFERROR(IF(X93="",0,CEILING((X93/$H93),1)*$H93),"")</f>
        <v>92.4</v>
      </c>
      <c r="Z93" s="36">
        <f>IFERROR(IF(Y93=0,"",ROUNDUP(Y93/H93,0)*0.01898),"")</f>
        <v>0.20877999999999999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93.437142857142859</v>
      </c>
      <c r="BN93" s="64">
        <f t="shared" ref="BN93:BN101" si="18">IFERROR(Y93*I93/H93,"0")</f>
        <v>98.109000000000009</v>
      </c>
      <c r="BO93" s="64">
        <f t="shared" ref="BO93:BO101" si="19">IFERROR(1/J93*(X93/H93),"0")</f>
        <v>0.16369047619047619</v>
      </c>
      <c r="BP93" s="64">
        <f t="shared" ref="BP93:BP101" si="20">IFERROR(1/J93*(Y93/H93),"0")</f>
        <v>0.171875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16.2</v>
      </c>
      <c r="Y98" s="666">
        <f t="shared" si="16"/>
        <v>16.200000000000003</v>
      </c>
      <c r="Z98" s="36">
        <f>IFERROR(IF(Y98=0,"",ROUNDUP(Y98/H98,0)*0.00651),"")</f>
        <v>3.9059999999999997E-2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17.711999999999996</v>
      </c>
      <c r="BN98" s="64">
        <f t="shared" si="18"/>
        <v>17.712000000000003</v>
      </c>
      <c r="BO98" s="64">
        <f t="shared" si="19"/>
        <v>3.2967032967032968E-2</v>
      </c>
      <c r="BP98" s="64">
        <f t="shared" si="20"/>
        <v>3.2967032967032975E-2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16.476190476190474</v>
      </c>
      <c r="Y102" s="667">
        <f>IFERROR(Y93/H93,"0")+IFERROR(Y94/H94,"0")+IFERROR(Y95/H95,"0")+IFERROR(Y96/H96,"0")+IFERROR(Y97/H97,"0")+IFERROR(Y98/H98,"0")+IFERROR(Y99/H99,"0")+IFERROR(Y100/H100,"0")+IFERROR(Y101/H101,"0")</f>
        <v>17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0.24784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104.2</v>
      </c>
      <c r="Y103" s="667">
        <f>IFERROR(SUM(Y93:Y101),"0")</f>
        <v>108.60000000000001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10</v>
      </c>
      <c r="Y106" s="666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10.402777777777777</v>
      </c>
      <c r="BN106" s="64">
        <f>IFERROR(Y106*I106/H106,"0")</f>
        <v>11.234999999999999</v>
      </c>
      <c r="BO106" s="64">
        <f>IFERROR(1/J106*(X106/H106),"0")</f>
        <v>1.4467592592592591E-2</v>
      </c>
      <c r="BP106" s="64">
        <f>IFERROR(1/J106*(Y106/H106),"0")</f>
        <v>1.5625E-2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7.5</v>
      </c>
      <c r="Y107" s="666">
        <f>IFERROR(IF(X107="",0,CEILING((X107/$H107),1)*$H107),"")</f>
        <v>7.5</v>
      </c>
      <c r="Z107" s="36">
        <f>IFERROR(IF(Y107=0,"",ROUNDUP(Y107/H107,0)*0.00902),"")</f>
        <v>1.804E-2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7.92</v>
      </c>
      <c r="BN107" s="64">
        <f>IFERROR(Y107*I107/H107,"0")</f>
        <v>7.92</v>
      </c>
      <c r="BO107" s="64">
        <f>IFERROR(1/J107*(X107/H107),"0")</f>
        <v>1.5151515151515152E-2</v>
      </c>
      <c r="BP107" s="64">
        <f>IFERROR(1/J107*(Y107/H107),"0")</f>
        <v>1.5151515151515152E-2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2.9259259259259256</v>
      </c>
      <c r="Y110" s="667">
        <f>IFERROR(Y106/H106,"0")+IFERROR(Y107/H107,"0")+IFERROR(Y108/H108,"0")+IFERROR(Y109/H109,"0")</f>
        <v>3</v>
      </c>
      <c r="Z110" s="667">
        <f>IFERROR(IF(Z106="",0,Z106),"0")+IFERROR(IF(Z107="",0,Z107),"0")+IFERROR(IF(Z108="",0,Z108),"0")+IFERROR(IF(Z109="",0,Z109),"0")</f>
        <v>3.7019999999999997E-2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17.5</v>
      </c>
      <c r="Y111" s="667">
        <f>IFERROR(SUM(Y106:Y109),"0")</f>
        <v>18.3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48</v>
      </c>
      <c r="Y121" s="666">
        <f t="shared" si="21"/>
        <v>50.400000000000006</v>
      </c>
      <c r="Z121" s="36">
        <f>IFERROR(IF(Y121=0,"",ROUNDUP(Y121/H121,0)*0.01898),"")</f>
        <v>0.11388000000000001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50.931428571428569</v>
      </c>
      <c r="BN121" s="64">
        <f t="shared" si="23"/>
        <v>53.478000000000002</v>
      </c>
      <c r="BO121" s="64">
        <f t="shared" si="24"/>
        <v>8.9285714285714288E-2</v>
      </c>
      <c r="BP121" s="64">
        <f t="shared" si="25"/>
        <v>9.375E-2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16.2</v>
      </c>
      <c r="Y124" s="666">
        <f t="shared" si="21"/>
        <v>16.200000000000003</v>
      </c>
      <c r="Z124" s="36">
        <f t="shared" si="26"/>
        <v>3.9059999999999997E-2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17.711999999999996</v>
      </c>
      <c r="BN124" s="64">
        <f t="shared" si="23"/>
        <v>17.712000000000003</v>
      </c>
      <c r="BO124" s="64">
        <f t="shared" si="24"/>
        <v>3.2967032967032968E-2</v>
      </c>
      <c r="BP124" s="64">
        <f t="shared" si="25"/>
        <v>3.2967032967032975E-2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11.714285714285714</v>
      </c>
      <c r="Y128" s="667">
        <f>IFERROR(Y119/H119,"0")+IFERROR(Y120/H120,"0")+IFERROR(Y121/H121,"0")+IFERROR(Y122/H122,"0")+IFERROR(Y123/H123,"0")+IFERROR(Y124/H124,"0")+IFERROR(Y125/H125,"0")+IFERROR(Y126/H126,"0")+IFERROR(Y127/H127,"0")</f>
        <v>12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0.15294000000000002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64.2</v>
      </c>
      <c r="Y129" s="667">
        <f>IFERROR(SUM(Y119:Y127),"0")</f>
        <v>66.600000000000009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11.2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11.829999999999998</v>
      </c>
      <c r="BN137" s="64">
        <f>IFERROR(Y137*I137/H137,"0")</f>
        <v>13.52</v>
      </c>
      <c r="BO137" s="64">
        <f>IFERROR(1/J137*(X137/H137),"0")</f>
        <v>1.9230769230769228E-2</v>
      </c>
      <c r="BP137" s="64">
        <f>IFERROR(1/J137*(Y137/H137),"0")</f>
        <v>2.197802197802198E-2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3.4999999999999996</v>
      </c>
      <c r="Y139" s="667">
        <f>IFERROR(Y137/H137,"0")+IFERROR(Y138/H138,"0")</f>
        <v>4</v>
      </c>
      <c r="Z139" s="667">
        <f>IFERROR(IF(Z137="",0,Z137),"0")+IFERROR(IF(Z138="",0,Z138),"0")</f>
        <v>2.6040000000000001E-2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11.2</v>
      </c>
      <c r="Y140" s="667">
        <f>IFERROR(SUM(Y137:Y138),"0")</f>
        <v>12.8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24</v>
      </c>
      <c r="Y174" s="666">
        <f t="shared" ref="Y174:Y182" si="27">IFERROR(IF(X174="",0,CEILING((X174/$H174),1)*$H174),"")</f>
        <v>25.200000000000003</v>
      </c>
      <c r="Z174" s="36">
        <f>IFERROR(IF(Y174=0,"",ROUNDUP(Y174/H174,0)*0.00902),"")</f>
        <v>5.4120000000000001E-2</v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25.542857142857141</v>
      </c>
      <c r="BN174" s="64">
        <f t="shared" ref="BN174:BN182" si="29">IFERROR(Y174*I174/H174,"0")</f>
        <v>26.82</v>
      </c>
      <c r="BO174" s="64">
        <f t="shared" ref="BO174:BO182" si="30">IFERROR(1/J174*(X174/H174),"0")</f>
        <v>4.3290043290043295E-2</v>
      </c>
      <c r="BP174" s="64">
        <f t="shared" ref="BP174:BP182" si="31">IFERROR(1/J174*(Y174/H174),"0")</f>
        <v>4.5454545454545456E-2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10.5</v>
      </c>
      <c r="Y177" s="666">
        <f t="shared" si="27"/>
        <v>10.5</v>
      </c>
      <c r="Z177" s="36">
        <f>IFERROR(IF(Y177=0,"",ROUNDUP(Y177/H177,0)*0.00502),"")</f>
        <v>2.5100000000000001E-2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11.149999999999999</v>
      </c>
      <c r="BN177" s="64">
        <f t="shared" si="29"/>
        <v>11.149999999999999</v>
      </c>
      <c r="BO177" s="64">
        <f t="shared" si="30"/>
        <v>2.1367521367521368E-2</v>
      </c>
      <c r="BP177" s="64">
        <f t="shared" si="31"/>
        <v>2.1367521367521368E-2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10.714285714285715</v>
      </c>
      <c r="Y183" s="667">
        <f>IFERROR(Y174/H174,"0")+IFERROR(Y175/H175,"0")+IFERROR(Y176/H176,"0")+IFERROR(Y177/H177,"0")+IFERROR(Y178/H178,"0")+IFERROR(Y179/H179,"0")+IFERROR(Y180/H180,"0")+IFERROR(Y181/H181,"0")+IFERROR(Y182/H182,"0")</f>
        <v>11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7.9219999999999999E-2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34.5</v>
      </c>
      <c r="Y184" s="667">
        <f>IFERROR(SUM(Y174:Y182),"0")</f>
        <v>35.700000000000003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60</v>
      </c>
      <c r="Y201" s="666">
        <f t="shared" ref="Y201:Y208" si="32">IFERROR(IF(X201="",0,CEILING((X201/$H201),1)*$H201),"")</f>
        <v>64.800000000000011</v>
      </c>
      <c r="Z201" s="36">
        <f>IFERROR(IF(Y201=0,"",ROUNDUP(Y201/H201,0)*0.00902),"")</f>
        <v>0.10824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62.333333333333336</v>
      </c>
      <c r="BN201" s="64">
        <f t="shared" ref="BN201:BN208" si="34">IFERROR(Y201*I201/H201,"0")</f>
        <v>67.320000000000007</v>
      </c>
      <c r="BO201" s="64">
        <f t="shared" ref="BO201:BO208" si="35">IFERROR(1/J201*(X201/H201),"0")</f>
        <v>8.4175084175084181E-2</v>
      </c>
      <c r="BP201" s="64">
        <f t="shared" ref="BP201:BP208" si="36">IFERROR(1/J201*(Y201/H201),"0")</f>
        <v>9.0909090909090925E-2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45</v>
      </c>
      <c r="Y203" s="666">
        <f t="shared" si="32"/>
        <v>48.6</v>
      </c>
      <c r="Z203" s="36">
        <f>IFERROR(IF(Y203=0,"",ROUNDUP(Y203/H203,0)*0.00902),"")</f>
        <v>8.1180000000000002E-2</v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46.75</v>
      </c>
      <c r="BN203" s="64">
        <f t="shared" si="34"/>
        <v>50.49</v>
      </c>
      <c r="BO203" s="64">
        <f t="shared" si="35"/>
        <v>6.3131313131313122E-2</v>
      </c>
      <c r="BP203" s="64">
        <f t="shared" si="36"/>
        <v>6.8181818181818177E-2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30</v>
      </c>
      <c r="Y204" s="666">
        <f t="shared" si="32"/>
        <v>32.400000000000006</v>
      </c>
      <c r="Z204" s="36">
        <f>IFERROR(IF(Y204=0,"",ROUNDUP(Y204/H204,0)*0.00902),"")</f>
        <v>5.4120000000000001E-2</v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31.166666666666668</v>
      </c>
      <c r="BN204" s="64">
        <f t="shared" si="34"/>
        <v>33.660000000000004</v>
      </c>
      <c r="BO204" s="64">
        <f t="shared" si="35"/>
        <v>4.208754208754209E-2</v>
      </c>
      <c r="BP204" s="64">
        <f t="shared" si="36"/>
        <v>4.5454545454545463E-2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25</v>
      </c>
      <c r="Y209" s="667">
        <f>IFERROR(Y201/H201,"0")+IFERROR(Y202/H202,"0")+IFERROR(Y203/H203,"0")+IFERROR(Y204/H204,"0")+IFERROR(Y205/H205,"0")+IFERROR(Y206/H206,"0")+IFERROR(Y207/H207,"0")+IFERROR(Y208/H208,"0")</f>
        <v>27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0.24354000000000001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135</v>
      </c>
      <c r="Y210" s="667">
        <f>IFERROR(SUM(Y201:Y208),"0")</f>
        <v>145.80000000000001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8</v>
      </c>
      <c r="Y215" s="666">
        <f t="shared" si="37"/>
        <v>9.6</v>
      </c>
      <c r="Z215" s="36">
        <f t="shared" ref="Z215:Z220" si="42">IFERROR(IF(Y215=0,"",ROUNDUP(Y215/H215,0)*0.00651),"")</f>
        <v>2.6040000000000001E-2</v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8.9</v>
      </c>
      <c r="BN215" s="64">
        <f t="shared" si="39"/>
        <v>10.68</v>
      </c>
      <c r="BO215" s="64">
        <f t="shared" si="40"/>
        <v>1.8315018315018316E-2</v>
      </c>
      <c r="BP215" s="64">
        <f t="shared" si="41"/>
        <v>2.197802197802198E-2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16.2</v>
      </c>
      <c r="Y217" s="666">
        <f t="shared" si="37"/>
        <v>16.8</v>
      </c>
      <c r="Z217" s="36">
        <f t="shared" si="42"/>
        <v>4.5569999999999999E-2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17.901000000000003</v>
      </c>
      <c r="BN217" s="64">
        <f t="shared" si="39"/>
        <v>18.564000000000004</v>
      </c>
      <c r="BO217" s="64">
        <f t="shared" si="40"/>
        <v>3.7087912087912088E-2</v>
      </c>
      <c r="BP217" s="64">
        <f t="shared" si="41"/>
        <v>3.8461538461538471E-2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13.5</v>
      </c>
      <c r="Y218" s="666">
        <f t="shared" si="37"/>
        <v>14.399999999999999</v>
      </c>
      <c r="Z218" s="36">
        <f t="shared" si="42"/>
        <v>3.9059999999999997E-2</v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14.9175</v>
      </c>
      <c r="BN218" s="64">
        <f t="shared" si="39"/>
        <v>15.912000000000001</v>
      </c>
      <c r="BO218" s="64">
        <f t="shared" si="40"/>
        <v>3.0906593406593408E-2</v>
      </c>
      <c r="BP218" s="64">
        <f t="shared" si="41"/>
        <v>3.2967032967032968E-2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12</v>
      </c>
      <c r="Y220" s="666">
        <f t="shared" si="37"/>
        <v>12</v>
      </c>
      <c r="Z220" s="36">
        <f t="shared" si="42"/>
        <v>3.2550000000000003E-2</v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13.290000000000001</v>
      </c>
      <c r="BN220" s="64">
        <f t="shared" si="39"/>
        <v>13.290000000000001</v>
      </c>
      <c r="BO220" s="64">
        <f t="shared" si="40"/>
        <v>2.7472527472527476E-2</v>
      </c>
      <c r="BP220" s="64">
        <f t="shared" si="41"/>
        <v>2.7472527472527476E-2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20.708333333333336</v>
      </c>
      <c r="Y221" s="667">
        <f>IFERROR(Y212/H212,"0")+IFERROR(Y213/H213,"0")+IFERROR(Y214/H214,"0")+IFERROR(Y215/H215,"0")+IFERROR(Y216/H216,"0")+IFERROR(Y217/H217,"0")+IFERROR(Y218/H218,"0")+IFERROR(Y219/H219,"0")+IFERROR(Y220/H220,"0")</f>
        <v>22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0.14322000000000001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49.7</v>
      </c>
      <c r="Y222" s="667">
        <f>IFERROR(SUM(Y212:Y220),"0")</f>
        <v>52.8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20</v>
      </c>
      <c r="Y233" s="666">
        <f t="shared" si="43"/>
        <v>23.2</v>
      </c>
      <c r="Z233" s="36">
        <f>IFERROR(IF(Y233=0,"",ROUNDUP(Y233/H233,0)*0.01898),"")</f>
        <v>3.7960000000000001E-2</v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20.75</v>
      </c>
      <c r="BN233" s="64">
        <f t="shared" si="45"/>
        <v>24.07</v>
      </c>
      <c r="BO233" s="64">
        <f t="shared" si="46"/>
        <v>2.6939655172413795E-2</v>
      </c>
      <c r="BP233" s="64">
        <f t="shared" si="47"/>
        <v>3.125E-2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1.7241379310344829</v>
      </c>
      <c r="Y238" s="667">
        <f>IFERROR(Y230/H230,"0")+IFERROR(Y231/H231,"0")+IFERROR(Y232/H232,"0")+IFERROR(Y233/H233,"0")+IFERROR(Y234/H234,"0")+IFERROR(Y235/H235,"0")+IFERROR(Y236/H236,"0")+IFERROR(Y237/H237,"0")</f>
        <v>2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3.7960000000000001E-2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20</v>
      </c>
      <c r="Y239" s="667">
        <f>IFERROR(SUM(Y230:Y237),"0")</f>
        <v>23.2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70</v>
      </c>
      <c r="Y255" s="666">
        <f t="shared" ref="Y255:Y260" si="48">IFERROR(IF(X255="",0,CEILING((X255/$H255),1)*$H255),"")</f>
        <v>75.600000000000009</v>
      </c>
      <c r="Z255" s="36">
        <f>IFERROR(IF(Y255=0,"",ROUNDUP(Y255/H255,0)*0.01898),"")</f>
        <v>0.13286000000000001</v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72.819444444444429</v>
      </c>
      <c r="BN255" s="64">
        <f t="shared" ref="BN255:BN260" si="50">IFERROR(Y255*I255/H255,"0")</f>
        <v>78.64500000000001</v>
      </c>
      <c r="BO255" s="64">
        <f t="shared" ref="BO255:BO260" si="51">IFERROR(1/J255*(X255/H255),"0")</f>
        <v>0.10127314814814814</v>
      </c>
      <c r="BP255" s="64">
        <f t="shared" ref="BP255:BP260" si="52">IFERROR(1/J255*(Y255/H255),"0")</f>
        <v>0.109375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220</v>
      </c>
      <c r="Y256" s="666">
        <f t="shared" si="48"/>
        <v>226.8</v>
      </c>
      <c r="Z256" s="36">
        <f>IFERROR(IF(Y256=0,"",ROUNDUP(Y256/H256,0)*0.01898),"")</f>
        <v>0.39857999999999999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228.86111111111109</v>
      </c>
      <c r="BN256" s="64">
        <f t="shared" si="50"/>
        <v>235.93499999999997</v>
      </c>
      <c r="BO256" s="64">
        <f t="shared" si="51"/>
        <v>0.31828703703703703</v>
      </c>
      <c r="BP256" s="64">
        <f t="shared" si="52"/>
        <v>0.328125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70</v>
      </c>
      <c r="Y258" s="666">
        <f t="shared" si="48"/>
        <v>75.600000000000009</v>
      </c>
      <c r="Z258" s="36">
        <f>IFERROR(IF(Y258=0,"",ROUNDUP(Y258/H258,0)*0.01898),"")</f>
        <v>0.13286000000000001</v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72.819444444444429</v>
      </c>
      <c r="BN258" s="64">
        <f t="shared" si="50"/>
        <v>78.64500000000001</v>
      </c>
      <c r="BO258" s="64">
        <f t="shared" si="51"/>
        <v>0.10127314814814814</v>
      </c>
      <c r="BP258" s="64">
        <f t="shared" si="52"/>
        <v>0.109375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25</v>
      </c>
      <c r="Y259" s="666">
        <f t="shared" si="48"/>
        <v>28</v>
      </c>
      <c r="Z259" s="36">
        <f>IFERROR(IF(Y259=0,"",ROUNDUP(Y259/H259,0)*0.00902),"")</f>
        <v>6.3140000000000002E-2</v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26.3125</v>
      </c>
      <c r="BN259" s="64">
        <f t="shared" si="50"/>
        <v>29.47</v>
      </c>
      <c r="BO259" s="64">
        <f t="shared" si="51"/>
        <v>4.7348484848484848E-2</v>
      </c>
      <c r="BP259" s="64">
        <f t="shared" si="52"/>
        <v>5.3030303030303032E-2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24</v>
      </c>
      <c r="Y260" s="666">
        <f t="shared" si="48"/>
        <v>24</v>
      </c>
      <c r="Z260" s="36">
        <f>IFERROR(IF(Y260=0,"",ROUNDUP(Y260/H260,0)*0.00902),"")</f>
        <v>5.4120000000000001E-2</v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25.259999999999998</v>
      </c>
      <c r="BN260" s="64">
        <f t="shared" si="50"/>
        <v>25.259999999999998</v>
      </c>
      <c r="BO260" s="64">
        <f t="shared" si="51"/>
        <v>4.5454545454545456E-2</v>
      </c>
      <c r="BP260" s="64">
        <f t="shared" si="52"/>
        <v>4.5454545454545456E-2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45.583333333333329</v>
      </c>
      <c r="Y261" s="667">
        <f>IFERROR(Y255/H255,"0")+IFERROR(Y256/H256,"0")+IFERROR(Y257/H257,"0")+IFERROR(Y258/H258,"0")+IFERROR(Y259/H259,"0")+IFERROR(Y260/H260,"0")</f>
        <v>48</v>
      </c>
      <c r="Z261" s="667">
        <f>IFERROR(IF(Z255="",0,Z255),"0")+IFERROR(IF(Z256="",0,Z256),"0")+IFERROR(IF(Z257="",0,Z257),"0")+IFERROR(IF(Z258="",0,Z258),"0")+IFERROR(IF(Z259="",0,Z259),"0")+IFERROR(IF(Z260="",0,Z260),"0")</f>
        <v>0.78156000000000003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409</v>
      </c>
      <c r="Y262" s="667">
        <f>IFERROR(SUM(Y255:Y260),"0")</f>
        <v>430.00000000000006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10.5</v>
      </c>
      <c r="Y308" s="666">
        <f>IFERROR(IF(X308="",0,CEILING((X308/$H308),1)*$H308),"")</f>
        <v>10.5</v>
      </c>
      <c r="Z308" s="36">
        <f>IFERROR(IF(Y308=0,"",ROUNDUP(Y308/H308,0)*0.00502),"")</f>
        <v>2.5100000000000001E-2</v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11</v>
      </c>
      <c r="BN308" s="64">
        <f>IFERROR(Y308*I308/H308,"0")</f>
        <v>11</v>
      </c>
      <c r="BO308" s="64">
        <f>IFERROR(1/J308*(X308/H308),"0")</f>
        <v>2.1367521367521368E-2</v>
      </c>
      <c r="BP308" s="64">
        <f>IFERROR(1/J308*(Y308/H308),"0")</f>
        <v>2.1367521367521368E-2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5</v>
      </c>
      <c r="Y310" s="667">
        <f>IFERROR(Y308/H308,"0")+IFERROR(Y309/H309,"0")</f>
        <v>5</v>
      </c>
      <c r="Z310" s="667">
        <f>IFERROR(IF(Z308="",0,Z308),"0")+IFERROR(IF(Z309="",0,Z309),"0")</f>
        <v>2.5100000000000001E-2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10.5</v>
      </c>
      <c r="Y311" s="667">
        <f>IFERROR(SUM(Y308:Y309),"0")</f>
        <v>10.5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170</v>
      </c>
      <c r="Y319" s="666">
        <f t="shared" ref="Y319:Y324" si="53">IFERROR(IF(X319="",0,CEILING((X319/$H319),1)*$H319),"")</f>
        <v>172.8</v>
      </c>
      <c r="Z319" s="36">
        <f>IFERROR(IF(Y319=0,"",ROUNDUP(Y319/H319,0)*0.01898),"")</f>
        <v>0.30368000000000001</v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176.8472222222222</v>
      </c>
      <c r="BN319" s="64">
        <f t="shared" ref="BN319:BN324" si="55">IFERROR(Y319*I319/H319,"0")</f>
        <v>179.76</v>
      </c>
      <c r="BO319" s="64">
        <f t="shared" ref="BO319:BO324" si="56">IFERROR(1/J319*(X319/H319),"0")</f>
        <v>0.24594907407407407</v>
      </c>
      <c r="BP319" s="64">
        <f t="shared" ref="BP319:BP324" si="57">IFERROR(1/J319*(Y319/H319),"0")</f>
        <v>0.25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1160</v>
      </c>
      <c r="Y320" s="666">
        <f t="shared" si="53"/>
        <v>1166.4000000000001</v>
      </c>
      <c r="Z320" s="36">
        <f>IFERROR(IF(Y320=0,"",ROUNDUP(Y320/H320,0)*0.01898),"")</f>
        <v>2.0498400000000001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1206.7222222222219</v>
      </c>
      <c r="BN320" s="64">
        <f t="shared" si="55"/>
        <v>1213.3800000000001</v>
      </c>
      <c r="BO320" s="64">
        <f t="shared" si="56"/>
        <v>1.6782407407407407</v>
      </c>
      <c r="BP320" s="64">
        <f t="shared" si="57"/>
        <v>1.6875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220</v>
      </c>
      <c r="Y322" s="666">
        <f t="shared" si="53"/>
        <v>226.8</v>
      </c>
      <c r="Z322" s="36">
        <f>IFERROR(IF(Y322=0,"",ROUNDUP(Y322/H322,0)*0.01898),"")</f>
        <v>0.39857999999999999</v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228.86111111111109</v>
      </c>
      <c r="BN322" s="64">
        <f t="shared" si="55"/>
        <v>235.93499999999997</v>
      </c>
      <c r="BO322" s="64">
        <f t="shared" si="56"/>
        <v>0.31828703703703703</v>
      </c>
      <c r="BP322" s="64">
        <f t="shared" si="57"/>
        <v>0.328125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28</v>
      </c>
      <c r="Y323" s="666">
        <f t="shared" si="53"/>
        <v>28</v>
      </c>
      <c r="Z323" s="36">
        <f>IFERROR(IF(Y323=0,"",ROUNDUP(Y323/H323,0)*0.00902),"")</f>
        <v>6.3140000000000002E-2</v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29.47</v>
      </c>
      <c r="BN323" s="64">
        <f t="shared" si="55"/>
        <v>29.47</v>
      </c>
      <c r="BO323" s="64">
        <f t="shared" si="56"/>
        <v>5.3030303030303032E-2</v>
      </c>
      <c r="BP323" s="64">
        <f t="shared" si="57"/>
        <v>5.3030303030303032E-2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152</v>
      </c>
      <c r="Y324" s="666">
        <f t="shared" si="53"/>
        <v>152</v>
      </c>
      <c r="Z324" s="36">
        <f>IFERROR(IF(Y324=0,"",ROUNDUP(Y324/H324,0)*0.00902),"")</f>
        <v>0.34276000000000001</v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159.97999999999999</v>
      </c>
      <c r="BN324" s="64">
        <f t="shared" si="55"/>
        <v>159.97999999999999</v>
      </c>
      <c r="BO324" s="64">
        <f t="shared" si="56"/>
        <v>0.2878787878787879</v>
      </c>
      <c r="BP324" s="64">
        <f t="shared" si="57"/>
        <v>0.2878787878787879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188.51851851851853</v>
      </c>
      <c r="Y325" s="667">
        <f>IFERROR(Y319/H319,"0")+IFERROR(Y320/H320,"0")+IFERROR(Y321/H321,"0")+IFERROR(Y322/H322,"0")+IFERROR(Y323/H323,"0")+IFERROR(Y324/H324,"0")</f>
        <v>190</v>
      </c>
      <c r="Z325" s="667">
        <f>IFERROR(IF(Z319="",0,Z319),"0")+IFERROR(IF(Z320="",0,Z320),"0")+IFERROR(IF(Z321="",0,Z321),"0")+IFERROR(IF(Z322="",0,Z322),"0")+IFERROR(IF(Z323="",0,Z323),"0")+IFERROR(IF(Z324="",0,Z324),"0")</f>
        <v>3.1580000000000004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1730</v>
      </c>
      <c r="Y326" s="667">
        <f>IFERROR(SUM(Y319:Y324),"0")</f>
        <v>1746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164</v>
      </c>
      <c r="Y328" s="666">
        <f>IFERROR(IF(X328="",0,CEILING((X328/$H328),1)*$H328),"")</f>
        <v>168</v>
      </c>
      <c r="Z328" s="36">
        <f>IFERROR(IF(Y328=0,"",ROUNDUP(Y328/H328,0)*0.00902),"")</f>
        <v>0.36080000000000001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174.54285714285712</v>
      </c>
      <c r="BN328" s="64">
        <f>IFERROR(Y328*I328/H328,"0")</f>
        <v>178.79999999999998</v>
      </c>
      <c r="BO328" s="64">
        <f>IFERROR(1/J328*(X328/H328),"0")</f>
        <v>0.29581529581529581</v>
      </c>
      <c r="BP328" s="64">
        <f>IFERROR(1/J328*(Y328/H328),"0")</f>
        <v>0.30303030303030304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274</v>
      </c>
      <c r="Y329" s="666">
        <f>IFERROR(IF(X329="",0,CEILING((X329/$H329),1)*$H329),"")</f>
        <v>277.2</v>
      </c>
      <c r="Z329" s="36">
        <f>IFERROR(IF(Y329=0,"",ROUNDUP(Y329/H329,0)*0.00902),"")</f>
        <v>0.59532000000000007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291.6142857142857</v>
      </c>
      <c r="BN329" s="64">
        <f>IFERROR(Y329*I329/H329,"0")</f>
        <v>295.01999999999992</v>
      </c>
      <c r="BO329" s="64">
        <f>IFERROR(1/J329*(X329/H329),"0")</f>
        <v>0.49422799422799424</v>
      </c>
      <c r="BP329" s="64">
        <f>IFERROR(1/J329*(Y329/H329),"0")</f>
        <v>0.5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42.7</v>
      </c>
      <c r="Y331" s="666">
        <f>IFERROR(IF(X331="",0,CEILING((X331/$H331),1)*$H331),"")</f>
        <v>44.1</v>
      </c>
      <c r="Z331" s="36">
        <f>IFERROR(IF(Y331=0,"",ROUNDUP(Y331/H331,0)*0.00502),"")</f>
        <v>0.10542</v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45.343333333333334</v>
      </c>
      <c r="BN331" s="64">
        <f>IFERROR(Y331*I331/H331,"0")</f>
        <v>46.83</v>
      </c>
      <c r="BO331" s="64">
        <f>IFERROR(1/J331*(X331/H331),"0")</f>
        <v>8.68945868945869E-2</v>
      </c>
      <c r="BP331" s="64">
        <f>IFERROR(1/J331*(Y331/H331),"0")</f>
        <v>8.9743589743589758E-2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124.61904761904761</v>
      </c>
      <c r="Y332" s="667">
        <f>IFERROR(Y328/H328,"0")+IFERROR(Y329/H329,"0")+IFERROR(Y330/H330,"0")+IFERROR(Y331/H331,"0")</f>
        <v>127</v>
      </c>
      <c r="Z332" s="667">
        <f>IFERROR(IF(Z328="",0,Z328),"0")+IFERROR(IF(Z329="",0,Z329),"0")+IFERROR(IF(Z330="",0,Z330),"0")+IFERROR(IF(Z331="",0,Z331),"0")</f>
        <v>1.0615400000000002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480.7</v>
      </c>
      <c r="Y333" s="667">
        <f>IFERROR(SUM(Y328:Y331),"0")</f>
        <v>489.3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3000</v>
      </c>
      <c r="Y335" s="666">
        <f>IFERROR(IF(X335="",0,CEILING((X335/$H335),1)*$H335),"")</f>
        <v>3003</v>
      </c>
      <c r="Z335" s="36">
        <f>IFERROR(IF(Y335=0,"",ROUNDUP(Y335/H335,0)*0.01898),"")</f>
        <v>7.3073000000000006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3197.3076923076928</v>
      </c>
      <c r="BN335" s="64">
        <f>IFERROR(Y335*I335/H335,"0")</f>
        <v>3200.5050000000006</v>
      </c>
      <c r="BO335" s="64">
        <f>IFERROR(1/J335*(X335/H335),"0")</f>
        <v>6.009615384615385</v>
      </c>
      <c r="BP335" s="64">
        <f>IFERROR(1/J335*(Y335/H335),"0")</f>
        <v>6.015625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25.2</v>
      </c>
      <c r="Y338" s="666">
        <f>IFERROR(IF(X338="",0,CEILING((X338/$H338),1)*$H338),"")</f>
        <v>27</v>
      </c>
      <c r="Z338" s="36">
        <f>IFERROR(IF(Y338=0,"",ROUNDUP(Y338/H338,0)*0.00651),"")</f>
        <v>5.8590000000000003E-2</v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27.266400000000001</v>
      </c>
      <c r="BN338" s="64">
        <f>IFERROR(Y338*I338/H338,"0")</f>
        <v>29.213999999999999</v>
      </c>
      <c r="BO338" s="64">
        <f>IFERROR(1/J338*(X338/H338),"0")</f>
        <v>4.6153846153846156E-2</v>
      </c>
      <c r="BP338" s="64">
        <f>IFERROR(1/J338*(Y338/H338),"0")</f>
        <v>4.9450549450549455E-2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393.01538461538462</v>
      </c>
      <c r="Y340" s="667">
        <f>IFERROR(Y335/H335,"0")+IFERROR(Y336/H336,"0")+IFERROR(Y337/H337,"0")+IFERROR(Y338/H338,"0")+IFERROR(Y339/H339,"0")</f>
        <v>394</v>
      </c>
      <c r="Z340" s="667">
        <f>IFERROR(IF(Z335="",0,Z335),"0")+IFERROR(IF(Z336="",0,Z336),"0")+IFERROR(IF(Z337="",0,Z337),"0")+IFERROR(IF(Z338="",0,Z338),"0")+IFERROR(IF(Z339="",0,Z339),"0")</f>
        <v>7.3658900000000003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3025.2</v>
      </c>
      <c r="Y341" s="667">
        <f>IFERROR(SUM(Y335:Y339),"0")</f>
        <v>3030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8</v>
      </c>
      <c r="Y343" s="666">
        <f>IFERROR(IF(X343="",0,CEILING((X343/$H343),1)*$H343),"")</f>
        <v>8.4</v>
      </c>
      <c r="Z343" s="36">
        <f>IFERROR(IF(Y343=0,"",ROUNDUP(Y343/H343,0)*0.01898),"")</f>
        <v>1.898E-2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8.4942857142857147</v>
      </c>
      <c r="BN343" s="64">
        <f>IFERROR(Y343*I343/H343,"0")</f>
        <v>8.9190000000000005</v>
      </c>
      <c r="BO343" s="64">
        <f>IFERROR(1/J343*(X343/H343),"0")</f>
        <v>1.488095238095238E-2</v>
      </c>
      <c r="BP343" s="64">
        <f>IFERROR(1/J343*(Y343/H343),"0")</f>
        <v>1.5625E-2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260</v>
      </c>
      <c r="Y344" s="666">
        <f>IFERROR(IF(X344="",0,CEILING((X344/$H344),1)*$H344),"")</f>
        <v>265.2</v>
      </c>
      <c r="Z344" s="36">
        <f>IFERROR(IF(Y344=0,"",ROUNDUP(Y344/H344,0)*0.01898),"")</f>
        <v>0.64532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277.3</v>
      </c>
      <c r="BN344" s="64">
        <f>IFERROR(Y344*I344/H344,"0")</f>
        <v>282.846</v>
      </c>
      <c r="BO344" s="64">
        <f>IFERROR(1/J344*(X344/H344),"0")</f>
        <v>0.52083333333333337</v>
      </c>
      <c r="BP344" s="64">
        <f>IFERROR(1/J344*(Y344/H344),"0")</f>
        <v>0.53125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108</v>
      </c>
      <c r="Y345" s="666">
        <f>IFERROR(IF(X345="",0,CEILING((X345/$H345),1)*$H345),"")</f>
        <v>109.2</v>
      </c>
      <c r="Z345" s="36">
        <f>IFERROR(IF(Y345=0,"",ROUNDUP(Y345/H345,0)*0.01898),"")</f>
        <v>0.24674000000000001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114.67285714285714</v>
      </c>
      <c r="BN345" s="64">
        <f>IFERROR(Y345*I345/H345,"0")</f>
        <v>115.947</v>
      </c>
      <c r="BO345" s="64">
        <f>IFERROR(1/J345*(X345/H345),"0")</f>
        <v>0.20089285714285712</v>
      </c>
      <c r="BP345" s="64">
        <f>IFERROR(1/J345*(Y345/H345),"0")</f>
        <v>0.203125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47.142857142857139</v>
      </c>
      <c r="Y346" s="667">
        <f>IFERROR(Y343/H343,"0")+IFERROR(Y344/H344,"0")+IFERROR(Y345/H345,"0")</f>
        <v>48</v>
      </c>
      <c r="Z346" s="667">
        <f>IFERROR(IF(Z343="",0,Z343),"0")+IFERROR(IF(Z344="",0,Z344),"0")+IFERROR(IF(Z345="",0,Z345),"0")</f>
        <v>0.91104000000000007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376</v>
      </c>
      <c r="Y347" s="667">
        <f>IFERROR(SUM(Y343:Y345),"0")</f>
        <v>382.79999999999995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7.65</v>
      </c>
      <c r="Y352" s="666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8.64</v>
      </c>
      <c r="BN352" s="64">
        <f>IFERROR(Y352*I352/H352,"0")</f>
        <v>8.6399999999999988</v>
      </c>
      <c r="BO352" s="64">
        <f>IFERROR(1/J352*(X352/H352),"0")</f>
        <v>1.6483516483516487E-2</v>
      </c>
      <c r="BP352" s="64">
        <f>IFERROR(1/J352*(Y352/H352),"0")</f>
        <v>1.6483516483516484E-2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3.0000000000000004</v>
      </c>
      <c r="Y353" s="667">
        <f>IFERROR(Y349/H349,"0")+IFERROR(Y350/H350,"0")+IFERROR(Y351/H351,"0")+IFERROR(Y352/H352,"0")</f>
        <v>3</v>
      </c>
      <c r="Z353" s="667">
        <f>IFERROR(IF(Z349="",0,Z349),"0")+IFERROR(IF(Z350="",0,Z350),"0")+IFERROR(IF(Z351="",0,Z351),"0")+IFERROR(IF(Z352="",0,Z352),"0")</f>
        <v>1.9529999999999999E-2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7.65</v>
      </c>
      <c r="Y354" s="667">
        <f>IFERROR(SUM(Y349:Y352),"0")</f>
        <v>7.6499999999999995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55</v>
      </c>
      <c r="Y367" s="666">
        <f>IFERROR(IF(X367="",0,CEILING((X367/$H367),1)*$H367),"")</f>
        <v>56.699999999999996</v>
      </c>
      <c r="Z367" s="36">
        <f>IFERROR(IF(Y367=0,"",ROUNDUP(Y367/H367,0)*0.01898),"")</f>
        <v>0.13286000000000001</v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58.524074074074072</v>
      </c>
      <c r="BN367" s="64">
        <f>IFERROR(Y367*I367/H367,"0")</f>
        <v>60.332999999999991</v>
      </c>
      <c r="BO367" s="64">
        <f>IFERROR(1/J367*(X367/H367),"0")</f>
        <v>0.10609567901234568</v>
      </c>
      <c r="BP367" s="64">
        <f>IFERROR(1/J367*(Y367/H367),"0")</f>
        <v>0.109375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81.199999999999989</v>
      </c>
      <c r="Y368" s="666">
        <f>IFERROR(IF(X368="",0,CEILING((X368/$H368),1)*$H368),"")</f>
        <v>81.900000000000006</v>
      </c>
      <c r="Z368" s="36">
        <f>IFERROR(IF(Y368=0,"",ROUNDUP(Y368/H368,0)*0.00651),"")</f>
        <v>0.25389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90.943999999999974</v>
      </c>
      <c r="BN368" s="64">
        <f>IFERROR(Y368*I368/H368,"0")</f>
        <v>91.728000000000009</v>
      </c>
      <c r="BO368" s="64">
        <f>IFERROR(1/J368*(X368/H368),"0")</f>
        <v>0.21245421245421242</v>
      </c>
      <c r="BP368" s="64">
        <f>IFERROR(1/J368*(Y368/H368),"0")</f>
        <v>0.2142857142857143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72.8</v>
      </c>
      <c r="Y369" s="666">
        <f>IFERROR(IF(X369="",0,CEILING((X369/$H369),1)*$H369),"")</f>
        <v>73.5</v>
      </c>
      <c r="Z369" s="36">
        <f>IFERROR(IF(Y369=0,"",ROUNDUP(Y369/H369,0)*0.00651),"")</f>
        <v>0.22785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81.11999999999999</v>
      </c>
      <c r="BN369" s="64">
        <f>IFERROR(Y369*I369/H369,"0")</f>
        <v>81.899999999999991</v>
      </c>
      <c r="BO369" s="64">
        <f>IFERROR(1/J369*(X369/H369),"0")</f>
        <v>0.19047619047619047</v>
      </c>
      <c r="BP369" s="64">
        <f>IFERROR(1/J369*(Y369/H369),"0")</f>
        <v>0.19230769230769232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80.123456790123441</v>
      </c>
      <c r="Y370" s="667">
        <f>IFERROR(Y367/H367,"0")+IFERROR(Y368/H368,"0")+IFERROR(Y369/H369,"0")</f>
        <v>81</v>
      </c>
      <c r="Z370" s="667">
        <f>IFERROR(IF(Z367="",0,Z367),"0")+IFERROR(IF(Z368="",0,Z368),"0")+IFERROR(IF(Z369="",0,Z369),"0")</f>
        <v>0.61460000000000004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209</v>
      </c>
      <c r="Y371" s="667">
        <f>IFERROR(SUM(Y367:Y369),"0")</f>
        <v>212.1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240</v>
      </c>
      <c r="Y375" s="666">
        <f t="shared" ref="Y375:Y384" si="58">IFERROR(IF(X375="",0,CEILING((X375/$H375),1)*$H375),"")</f>
        <v>240</v>
      </c>
      <c r="Z375" s="36">
        <f>IFERROR(IF(Y375=0,"",ROUNDUP(Y375/H375,0)*0.02175),"")</f>
        <v>0.34799999999999998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247.68</v>
      </c>
      <c r="BN375" s="64">
        <f t="shared" ref="BN375:BN384" si="60">IFERROR(Y375*I375/H375,"0")</f>
        <v>247.68</v>
      </c>
      <c r="BO375" s="64">
        <f t="shared" ref="BO375:BO384" si="61">IFERROR(1/J375*(X375/H375),"0")</f>
        <v>0.33333333333333331</v>
      </c>
      <c r="BP375" s="64">
        <f t="shared" ref="BP375:BP384" si="62">IFERROR(1/J375*(Y375/H375),"0")</f>
        <v>0.33333333333333331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950</v>
      </c>
      <c r="Y377" s="666">
        <f t="shared" si="58"/>
        <v>960</v>
      </c>
      <c r="Z377" s="36">
        <f>IFERROR(IF(Y377=0,"",ROUNDUP(Y377/H377,0)*0.02175),"")</f>
        <v>1.3919999999999999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980.4</v>
      </c>
      <c r="BN377" s="64">
        <f t="shared" si="60"/>
        <v>990.72</v>
      </c>
      <c r="BO377" s="64">
        <f t="shared" si="61"/>
        <v>1.3194444444444444</v>
      </c>
      <c r="BP377" s="64">
        <f t="shared" si="62"/>
        <v>1.3333333333333333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1750</v>
      </c>
      <c r="Y379" s="666">
        <f t="shared" si="58"/>
        <v>1755</v>
      </c>
      <c r="Z379" s="36">
        <f>IFERROR(IF(Y379=0,"",ROUNDUP(Y379/H379,0)*0.02175),"")</f>
        <v>2.5447499999999996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1806</v>
      </c>
      <c r="BN379" s="64">
        <f t="shared" si="60"/>
        <v>1811.16</v>
      </c>
      <c r="BO379" s="64">
        <f t="shared" si="61"/>
        <v>2.4305555555555554</v>
      </c>
      <c r="BP379" s="64">
        <f t="shared" si="62"/>
        <v>2.4375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196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197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4.2847499999999989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2940</v>
      </c>
      <c r="Y386" s="667">
        <f>IFERROR(SUM(Y375:Y384),"0")</f>
        <v>2955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2170</v>
      </c>
      <c r="Y388" s="666">
        <f>IFERROR(IF(X388="",0,CEILING((X388/$H388),1)*$H388),"")</f>
        <v>2175</v>
      </c>
      <c r="Z388" s="36">
        <f>IFERROR(IF(Y388=0,"",ROUNDUP(Y388/H388,0)*0.02175),"")</f>
        <v>3.1537499999999996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2239.44</v>
      </c>
      <c r="BN388" s="64">
        <f>IFERROR(Y388*I388/H388,"0")</f>
        <v>2244.6</v>
      </c>
      <c r="BO388" s="64">
        <f>IFERROR(1/J388*(X388/H388),"0")</f>
        <v>3.0138888888888884</v>
      </c>
      <c r="BP388" s="64">
        <f>IFERROR(1/J388*(Y388/H388),"0")</f>
        <v>3.020833333333333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4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145.66666666666666</v>
      </c>
      <c r="Y390" s="667">
        <f>IFERROR(Y388/H388,"0")+IFERROR(Y389/H389,"0")</f>
        <v>146</v>
      </c>
      <c r="Z390" s="667">
        <f>IFERROR(IF(Z388="",0,Z388),"0")+IFERROR(IF(Z389="",0,Z389),"0")</f>
        <v>3.1627699999999996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2174</v>
      </c>
      <c r="Y391" s="667">
        <f>IFERROR(SUM(Y388:Y389),"0")</f>
        <v>2179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4.1999999999999993</v>
      </c>
      <c r="Y436" s="666">
        <f t="shared" si="63"/>
        <v>4.2</v>
      </c>
      <c r="Z436" s="36">
        <f t="shared" si="68"/>
        <v>1.004E-2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4.4599999999999991</v>
      </c>
      <c r="BN436" s="64">
        <f t="shared" si="65"/>
        <v>4.46</v>
      </c>
      <c r="BO436" s="64">
        <f t="shared" si="66"/>
        <v>8.5470085470085461E-3</v>
      </c>
      <c r="BP436" s="64">
        <f t="shared" si="67"/>
        <v>8.5470085470085479E-3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4.1999999999999993</v>
      </c>
      <c r="Y437" s="666">
        <f t="shared" si="63"/>
        <v>4.2</v>
      </c>
      <c r="Z437" s="36">
        <f t="shared" si="68"/>
        <v>1.004E-2</v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4.4599999999999991</v>
      </c>
      <c r="BN437" s="64">
        <f t="shared" si="65"/>
        <v>4.46</v>
      </c>
      <c r="BO437" s="64">
        <f t="shared" si="66"/>
        <v>8.5470085470085461E-3</v>
      </c>
      <c r="BP437" s="64">
        <f t="shared" si="67"/>
        <v>8.5470085470085479E-3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8.3999999999999986</v>
      </c>
      <c r="Y440" s="666">
        <f t="shared" si="63"/>
        <v>8.4</v>
      </c>
      <c r="Z440" s="36">
        <f t="shared" si="68"/>
        <v>2.0080000000000001E-2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8.9199999999999982</v>
      </c>
      <c r="BN440" s="64">
        <f t="shared" si="65"/>
        <v>8.92</v>
      </c>
      <c r="BO440" s="64">
        <f t="shared" si="66"/>
        <v>1.7094017094017092E-2</v>
      </c>
      <c r="BP440" s="64">
        <f t="shared" si="67"/>
        <v>1.7094017094017096E-2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7.9999999999999982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8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4.0160000000000001E-2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16.799999999999997</v>
      </c>
      <c r="Y443" s="667">
        <f>IFERROR(SUM(Y430:Y441),"0")</f>
        <v>16.8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4.1999999999999993</v>
      </c>
      <c r="Y459" s="666">
        <f>IFERROR(IF(X459="",0,CEILING((X459/$H459),1)*$H459),"")</f>
        <v>4.2</v>
      </c>
      <c r="Z459" s="36">
        <f>IFERROR(IF(Y459=0,"",ROUNDUP(Y459/H459,0)*0.00502),"")</f>
        <v>1.004E-2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4.4599999999999991</v>
      </c>
      <c r="BN459" s="64">
        <f>IFERROR(Y459*I459/H459,"0")</f>
        <v>4.46</v>
      </c>
      <c r="BO459" s="64">
        <f>IFERROR(1/J459*(X459/H459),"0")</f>
        <v>8.5470085470085461E-3</v>
      </c>
      <c r="BP459" s="64">
        <f>IFERROR(1/J459*(Y459/H459),"0")</f>
        <v>8.5470085470085479E-3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1.9999999999999996</v>
      </c>
      <c r="Y460" s="667">
        <f>IFERROR(Y456/H456,"0")+IFERROR(Y457/H457,"0")+IFERROR(Y458/H458,"0")+IFERROR(Y459/H459,"0")</f>
        <v>2</v>
      </c>
      <c r="Z460" s="667">
        <f>IFERROR(IF(Z456="",0,Z456),"0")+IFERROR(IF(Z457="",0,Z457),"0")+IFERROR(IF(Z458="",0,Z458),"0")+IFERROR(IF(Z459="",0,Z459),"0")</f>
        <v>1.004E-2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4.1999999999999993</v>
      </c>
      <c r="Y461" s="667">
        <f>IFERROR(SUM(Y456:Y459),"0")</f>
        <v>4.2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145</v>
      </c>
      <c r="Y480" s="666">
        <f t="shared" ref="Y480:Y495" si="69">IFERROR(IF(X480="",0,CEILING((X480/$H480),1)*$H480),"")</f>
        <v>147.84</v>
      </c>
      <c r="Z480" s="36">
        <f t="shared" ref="Z480:Z485" si="70">IFERROR(IF(Y480=0,"",ROUNDUP(Y480/H480,0)*0.01196),"")</f>
        <v>0.33488000000000001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154.88636363636363</v>
      </c>
      <c r="BN480" s="64">
        <f t="shared" ref="BN480:BN495" si="72">IFERROR(Y480*I480/H480,"0")</f>
        <v>157.91999999999999</v>
      </c>
      <c r="BO480" s="64">
        <f t="shared" ref="BO480:BO495" si="73">IFERROR(1/J480*(X480/H480),"0")</f>
        <v>0.26405885780885779</v>
      </c>
      <c r="BP480" s="64">
        <f t="shared" ref="BP480:BP495" si="74">IFERROR(1/J480*(Y480/H480),"0")</f>
        <v>0.26923076923076927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5</v>
      </c>
      <c r="Y481" s="666">
        <f t="shared" si="69"/>
        <v>5.28</v>
      </c>
      <c r="Z481" s="36">
        <f t="shared" si="70"/>
        <v>1.196E-2</v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5.3409090909090908</v>
      </c>
      <c r="BN481" s="64">
        <f t="shared" si="72"/>
        <v>5.64</v>
      </c>
      <c r="BO481" s="64">
        <f t="shared" si="73"/>
        <v>9.1054778554778559E-3</v>
      </c>
      <c r="BP481" s="64">
        <f t="shared" si="74"/>
        <v>9.6153846153846159E-3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20</v>
      </c>
      <c r="Y482" s="666">
        <f t="shared" si="69"/>
        <v>21.12</v>
      </c>
      <c r="Z482" s="36">
        <f t="shared" si="70"/>
        <v>4.7840000000000001E-2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21.363636363636363</v>
      </c>
      <c r="BN482" s="64">
        <f t="shared" si="72"/>
        <v>22.56</v>
      </c>
      <c r="BO482" s="64">
        <f t="shared" si="73"/>
        <v>3.6421911421911424E-2</v>
      </c>
      <c r="BP482" s="64">
        <f t="shared" si="74"/>
        <v>3.8461538461538464E-2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15</v>
      </c>
      <c r="Y484" s="666">
        <f t="shared" si="69"/>
        <v>15.84</v>
      </c>
      <c r="Z484" s="36">
        <f t="shared" si="70"/>
        <v>3.5880000000000002E-2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16.02272727272727</v>
      </c>
      <c r="BN484" s="64">
        <f t="shared" si="72"/>
        <v>16.919999999999998</v>
      </c>
      <c r="BO484" s="64">
        <f t="shared" si="73"/>
        <v>2.7316433566433568E-2</v>
      </c>
      <c r="BP484" s="64">
        <f t="shared" si="74"/>
        <v>2.8846153846153848E-2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35.037878787878789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0.43056000000000005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185</v>
      </c>
      <c r="Y497" s="667">
        <f>IFERROR(SUM(Y480:Y495),"0")</f>
        <v>190.08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280</v>
      </c>
      <c r="Y499" s="666">
        <f>IFERROR(IF(X499="",0,CEILING((X499/$H499),1)*$H499),"")</f>
        <v>285.12</v>
      </c>
      <c r="Z499" s="36">
        <f>IFERROR(IF(Y499=0,"",ROUNDUP(Y499/H499,0)*0.01196),"")</f>
        <v>0.64583999999999997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299.09090909090907</v>
      </c>
      <c r="BN499" s="64">
        <f>IFERROR(Y499*I499/H499,"0")</f>
        <v>304.55999999999995</v>
      </c>
      <c r="BO499" s="64">
        <f>IFERROR(1/J499*(X499/H499),"0")</f>
        <v>0.50990675990675993</v>
      </c>
      <c r="BP499" s="64">
        <f>IFERROR(1/J499*(Y499/H499),"0")</f>
        <v>0.51923076923076927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53.030303030303031</v>
      </c>
      <c r="Y503" s="667">
        <f>IFERROR(Y499/H499,"0")+IFERROR(Y500/H500,"0")+IFERROR(Y501/H501,"0")+IFERROR(Y502/H502,"0")</f>
        <v>54</v>
      </c>
      <c r="Z503" s="667">
        <f>IFERROR(IF(Z499="",0,Z499),"0")+IFERROR(IF(Z500="",0,Z500),"0")+IFERROR(IF(Z501="",0,Z501),"0")+IFERROR(IF(Z502="",0,Z502),"0")</f>
        <v>0.64583999999999997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280</v>
      </c>
      <c r="Y504" s="667">
        <f>IFERROR(SUM(Y499:Y502),"0")</f>
        <v>285.12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40</v>
      </c>
      <c r="Y506" s="666">
        <f t="shared" ref="Y506:Y517" si="75">IFERROR(IF(X506="",0,CEILING((X506/$H506),1)*$H506),"")</f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42.727272727272727</v>
      </c>
      <c r="BN506" s="64">
        <f t="shared" ref="BN506:BN517" si="77">IFERROR(Y506*I506/H506,"0")</f>
        <v>45.12</v>
      </c>
      <c r="BO506" s="64">
        <f t="shared" ref="BO506:BO517" si="78">IFERROR(1/J506*(X506/H506),"0")</f>
        <v>7.2843822843822847E-2</v>
      </c>
      <c r="BP506" s="64">
        <f t="shared" ref="BP506:BP517" si="79">IFERROR(1/J506*(Y506/H506),"0")</f>
        <v>7.6923076923076927E-2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45</v>
      </c>
      <c r="Y507" s="666">
        <f t="shared" si="75"/>
        <v>47.52</v>
      </c>
      <c r="Z507" s="36">
        <f>IFERROR(IF(Y507=0,"",ROUNDUP(Y507/H507,0)*0.01196),"")</f>
        <v>0.10764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48.068181818181813</v>
      </c>
      <c r="BN507" s="64">
        <f t="shared" si="77"/>
        <v>50.760000000000005</v>
      </c>
      <c r="BO507" s="64">
        <f t="shared" si="78"/>
        <v>8.1949300699300689E-2</v>
      </c>
      <c r="BP507" s="64">
        <f t="shared" si="79"/>
        <v>8.6538461538461536E-2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65</v>
      </c>
      <c r="Y508" s="666">
        <f t="shared" si="75"/>
        <v>68.64</v>
      </c>
      <c r="Z508" s="36">
        <f>IFERROR(IF(Y508=0,"",ROUNDUP(Y508/H508,0)*0.01196),"")</f>
        <v>0.15548000000000001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69.431818181818173</v>
      </c>
      <c r="BN508" s="64">
        <f t="shared" si="77"/>
        <v>73.319999999999993</v>
      </c>
      <c r="BO508" s="64">
        <f t="shared" si="78"/>
        <v>0.11837121212121213</v>
      </c>
      <c r="BP508" s="64">
        <f t="shared" si="79"/>
        <v>0.125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28.409090909090907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30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0.35880000000000001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150</v>
      </c>
      <c r="Y519" s="667">
        <f>IFERROR(SUM(Y506:Y517),"0")</f>
        <v>158.4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10</v>
      </c>
      <c r="Y536" s="666">
        <f t="shared" si="80"/>
        <v>12</v>
      </c>
      <c r="Z536" s="36">
        <f>IFERROR(IF(Y536=0,"",ROUNDUP(Y536/H536,0)*0.01898),"")</f>
        <v>1.898E-2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10.362500000000001</v>
      </c>
      <c r="BN536" s="64">
        <f t="shared" si="82"/>
        <v>12.435</v>
      </c>
      <c r="BO536" s="64">
        <f t="shared" si="83"/>
        <v>1.3020833333333334E-2</v>
      </c>
      <c r="BP536" s="64">
        <f t="shared" si="84"/>
        <v>1.5625E-2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0.83333333333333337</v>
      </c>
      <c r="Y540" s="667">
        <f>IFERROR(Y534/H534,"0")+IFERROR(Y535/H535,"0")+IFERROR(Y536/H536,"0")+IFERROR(Y537/H537,"0")+IFERROR(Y538/H538,"0")+IFERROR(Y539/H539,"0")</f>
        <v>1</v>
      </c>
      <c r="Z540" s="667">
        <f>IFERROR(IF(Z534="",0,Z534),"0")+IFERROR(IF(Z535="",0,Z535),"0")+IFERROR(IF(Z536="",0,Z536),"0")+IFERROR(IF(Z537="",0,Z537),"0")+IFERROR(IF(Z538="",0,Z538),"0")+IFERROR(IF(Z539="",0,Z539),"0")</f>
        <v>1.898E-2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10</v>
      </c>
      <c r="Y541" s="667">
        <f>IFERROR(SUM(Y534:Y539),"0")</f>
        <v>12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110</v>
      </c>
      <c r="Y551" s="666">
        <f t="shared" ref="Y551:Y557" si="85">IFERROR(IF(X551="",0,CEILING((X551/$H551),1)*$H551),"")</f>
        <v>113.4</v>
      </c>
      <c r="Z551" s="36">
        <f>IFERROR(IF(Y551=0,"",ROUNDUP(Y551/H551,0)*0.00902),"")</f>
        <v>0.24354000000000001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117.07142857142857</v>
      </c>
      <c r="BN551" s="64">
        <f t="shared" ref="BN551:BN557" si="87">IFERROR(Y551*I551/H551,"0")</f>
        <v>120.69</v>
      </c>
      <c r="BO551" s="64">
        <f t="shared" ref="BO551:BO557" si="88">IFERROR(1/J551*(X551/H551),"0")</f>
        <v>0.1984126984126984</v>
      </c>
      <c r="BP551" s="64">
        <f t="shared" ref="BP551:BP557" si="89">IFERROR(1/J551*(Y551/H551),"0")</f>
        <v>0.20454545454545456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90</v>
      </c>
      <c r="Y552" s="666">
        <f t="shared" si="85"/>
        <v>92.4</v>
      </c>
      <c r="Z552" s="36">
        <f>IFERROR(IF(Y552=0,"",ROUNDUP(Y552/H552,0)*0.00902),"")</f>
        <v>0.19844000000000001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95.785714285714278</v>
      </c>
      <c r="BN552" s="64">
        <f t="shared" si="87"/>
        <v>98.34</v>
      </c>
      <c r="BO552" s="64">
        <f t="shared" si="88"/>
        <v>0.16233766233766234</v>
      </c>
      <c r="BP552" s="64">
        <f t="shared" si="89"/>
        <v>0.16666666666666669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47.61904761904762</v>
      </c>
      <c r="Y558" s="667">
        <f>IFERROR(Y551/H551,"0")+IFERROR(Y552/H552,"0")+IFERROR(Y553/H553,"0")+IFERROR(Y554/H554,"0")+IFERROR(Y555/H555,"0")+IFERROR(Y556/H556,"0")+IFERROR(Y557/H557,"0")</f>
        <v>49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0.44198000000000004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200</v>
      </c>
      <c r="Y559" s="667">
        <f>IFERROR(SUM(Y551:Y557),"0")</f>
        <v>205.8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14892.949999999999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15053.55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15602.594262341359</v>
      </c>
      <c r="Y593" s="667">
        <f>IFERROR(SUM(BN22:BN589),"0")</f>
        <v>15771.349999999995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25</v>
      </c>
      <c r="Y594" s="38">
        <f>ROUNDUP(SUM(BP22:BP589),0)</f>
        <v>25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16227.594262341359</v>
      </c>
      <c r="Y595" s="667">
        <f>GrossWeightTotalR+PalletQtyTotalR*25</f>
        <v>16396.349999999995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1784.7800668786301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1808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28.479129999999998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80.800000000000011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1981.8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321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84.9</v>
      </c>
      <c r="G602" s="46">
        <f>IFERROR(Y137*1,"0")+IFERROR(Y138*1,"0")+IFERROR(Y142*1,"0")+IFERROR(Y143*1,"0")+IFERROR(Y147*1,"0")+IFERROR(Y148*1,"0")</f>
        <v>12.8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35.700000000000003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198.60000000000002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23.2</v>
      </c>
      <c r="L602" s="46">
        <f>IFERROR(Y255*1,"0")+IFERROR(Y256*1,"0")+IFERROR(Y257*1,"0")+IFERROR(Y258*1,"0")+IFERROR(Y259*1,"0")+IFERROR(Y260*1,"0")</f>
        <v>430.00000000000006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10.5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5655.7499999999982</v>
      </c>
      <c r="V602" s="46">
        <f>IFERROR(Y363*1,"0")+IFERROR(Y367*1,"0")+IFERROR(Y368*1,"0")+IFERROR(Y369*1,"0")</f>
        <v>212.1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5134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16.8</v>
      </c>
      <c r="Z602" s="46">
        <f>IFERROR(Y451*1,"0")+IFERROR(Y452*1,"0")+IFERROR(Y456*1,"0")+IFERROR(Y457*1,"0")+IFERROR(Y458*1,"0")+IFERROR(Y459*1,"0")</f>
        <v>4.2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633.6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217.8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2025-04-21T11:08:01Z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