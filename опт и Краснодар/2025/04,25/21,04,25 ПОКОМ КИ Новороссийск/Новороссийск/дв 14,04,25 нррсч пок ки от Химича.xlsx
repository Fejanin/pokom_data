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1,04,25 ПОКОМ КИ Новороссийск\Новороссийск\"/>
    </mc:Choice>
  </mc:AlternateContent>
  <xr:revisionPtr revIDLastSave="0" documentId="13_ncr:1_{798EDE55-2BFD-40FA-A21C-1B56E0BB05D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Sheet!$A$3:$Z$97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6" i="1"/>
  <c r="R5" i="1" l="1"/>
  <c r="AB34" i="1" l="1"/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6" i="1"/>
  <c r="Q97" i="1" l="1"/>
  <c r="Q96" i="1"/>
  <c r="Q95" i="1"/>
  <c r="Q94" i="1"/>
  <c r="Q93" i="1"/>
  <c r="Q87" i="1"/>
  <c r="Q86" i="1"/>
  <c r="Q85" i="1"/>
  <c r="Q84" i="1"/>
  <c r="Q82" i="1"/>
  <c r="Q81" i="1"/>
  <c r="Q80" i="1"/>
  <c r="Q79" i="1"/>
  <c r="Q78" i="1"/>
  <c r="Q77" i="1"/>
  <c r="Q76" i="1"/>
  <c r="Q75" i="1"/>
  <c r="Q74" i="1"/>
  <c r="Q72" i="1"/>
  <c r="Q68" i="1"/>
  <c r="Q67" i="1"/>
  <c r="Q66" i="1"/>
  <c r="Q65" i="1"/>
  <c r="Q64" i="1"/>
  <c r="Q62" i="1"/>
  <c r="Q61" i="1"/>
  <c r="Q60" i="1"/>
  <c r="Q58" i="1"/>
  <c r="Q57" i="1"/>
  <c r="Q56" i="1"/>
  <c r="Q55" i="1"/>
  <c r="Q53" i="1"/>
  <c r="Q52" i="1"/>
  <c r="Q51" i="1"/>
  <c r="Q50" i="1"/>
  <c r="Q49" i="1"/>
  <c r="Q48" i="1"/>
  <c r="Q46" i="1"/>
  <c r="Q45" i="1"/>
  <c r="Q44" i="1"/>
  <c r="Q42" i="1"/>
  <c r="Q40" i="1"/>
  <c r="Q38" i="1"/>
  <c r="Q37" i="1"/>
  <c r="Q36" i="1"/>
  <c r="Q35" i="1"/>
  <c r="Q34" i="1"/>
  <c r="Q33" i="1"/>
  <c r="Q32" i="1"/>
  <c r="Q31" i="1"/>
  <c r="Q29" i="1"/>
  <c r="Q28" i="1"/>
  <c r="Q27" i="1"/>
  <c r="Q25" i="1"/>
  <c r="Q24" i="1"/>
  <c r="Q23" i="1"/>
  <c r="Q22" i="1"/>
  <c r="Q21" i="1"/>
  <c r="Q20" i="1"/>
  <c r="Q17" i="1"/>
  <c r="Q16" i="1"/>
  <c r="Q73" i="1"/>
  <c r="O97" i="1"/>
  <c r="U97" i="1" s="1"/>
  <c r="O96" i="1"/>
  <c r="U96" i="1" s="1"/>
  <c r="O95" i="1"/>
  <c r="U95" i="1" s="1"/>
  <c r="O94" i="1"/>
  <c r="U94" i="1" s="1"/>
  <c r="O93" i="1"/>
  <c r="U93" i="1" s="1"/>
  <c r="Q7" i="1"/>
  <c r="Q10" i="1"/>
  <c r="Q12" i="1"/>
  <c r="Q13" i="1"/>
  <c r="Q14" i="1"/>
  <c r="Q15" i="1"/>
  <c r="Q18" i="1"/>
  <c r="Q19" i="1"/>
  <c r="Q26" i="1"/>
  <c r="Q30" i="1"/>
  <c r="Q39" i="1"/>
  <c r="Q41" i="1"/>
  <c r="Q43" i="1"/>
  <c r="Q47" i="1"/>
  <c r="Q54" i="1"/>
  <c r="Q59" i="1"/>
  <c r="Q63" i="1"/>
  <c r="Q69" i="1"/>
  <c r="Q70" i="1"/>
  <c r="Q89" i="1"/>
  <c r="Q90" i="1"/>
  <c r="Q91" i="1"/>
  <c r="Q92" i="1"/>
  <c r="Q6" i="1"/>
  <c r="T96" i="1" l="1"/>
  <c r="T94" i="1"/>
  <c r="T97" i="1"/>
  <c r="T95" i="1"/>
  <c r="T93" i="1"/>
  <c r="F68" i="1"/>
  <c r="E68" i="1"/>
  <c r="O68" i="1" s="1"/>
  <c r="F54" i="1"/>
  <c r="E54" i="1"/>
  <c r="O54" i="1" s="1"/>
  <c r="F50" i="1"/>
  <c r="E50" i="1"/>
  <c r="O50" i="1" s="1"/>
  <c r="F88" i="1"/>
  <c r="F46" i="1"/>
  <c r="E46" i="1"/>
  <c r="O46" i="1" s="1"/>
  <c r="F45" i="1"/>
  <c r="E45" i="1"/>
  <c r="O45" i="1" s="1"/>
  <c r="F30" i="1"/>
  <c r="F74" i="1"/>
  <c r="E74" i="1"/>
  <c r="O74" i="1" s="1"/>
  <c r="F67" i="1"/>
  <c r="E67" i="1"/>
  <c r="O67" i="1" s="1"/>
  <c r="F12" i="1"/>
  <c r="E12" i="1"/>
  <c r="O12" i="1" s="1"/>
  <c r="O7" i="1"/>
  <c r="T7" i="1" s="1"/>
  <c r="O8" i="1"/>
  <c r="P8" i="1" s="1"/>
  <c r="Q8" i="1" s="1"/>
  <c r="O9" i="1"/>
  <c r="P9" i="1" s="1"/>
  <c r="Q9" i="1" s="1"/>
  <c r="O10" i="1"/>
  <c r="T10" i="1" s="1"/>
  <c r="O11" i="1"/>
  <c r="P11" i="1" s="1"/>
  <c r="Q11" i="1" s="1"/>
  <c r="O13" i="1"/>
  <c r="T13" i="1" s="1"/>
  <c r="O14" i="1"/>
  <c r="T14" i="1" s="1"/>
  <c r="O15" i="1"/>
  <c r="T15" i="1" s="1"/>
  <c r="O16" i="1"/>
  <c r="P16" i="1" s="1"/>
  <c r="T16" i="1" s="1"/>
  <c r="O17" i="1"/>
  <c r="P17" i="1" s="1"/>
  <c r="T17" i="1" s="1"/>
  <c r="O18" i="1"/>
  <c r="T18" i="1" s="1"/>
  <c r="O19" i="1"/>
  <c r="T19" i="1" s="1"/>
  <c r="O20" i="1"/>
  <c r="T20" i="1" s="1"/>
  <c r="O21" i="1"/>
  <c r="P21" i="1" s="1"/>
  <c r="T21" i="1" s="1"/>
  <c r="O22" i="1"/>
  <c r="O23" i="1"/>
  <c r="O24" i="1"/>
  <c r="T24" i="1" s="1"/>
  <c r="O25" i="1"/>
  <c r="T25" i="1" s="1"/>
  <c r="O26" i="1"/>
  <c r="T26" i="1" s="1"/>
  <c r="O27" i="1"/>
  <c r="T27" i="1" s="1"/>
  <c r="O28" i="1"/>
  <c r="O29" i="1"/>
  <c r="P29" i="1" s="1"/>
  <c r="T29" i="1" s="1"/>
  <c r="O30" i="1"/>
  <c r="O31" i="1"/>
  <c r="P31" i="1" s="1"/>
  <c r="T31" i="1" s="1"/>
  <c r="O32" i="1"/>
  <c r="O33" i="1"/>
  <c r="P33" i="1" s="1"/>
  <c r="T33" i="1" s="1"/>
  <c r="O34" i="1"/>
  <c r="O35" i="1"/>
  <c r="P35" i="1" s="1"/>
  <c r="T35" i="1" s="1"/>
  <c r="O36" i="1"/>
  <c r="P36" i="1" s="1"/>
  <c r="T36" i="1" s="1"/>
  <c r="O37" i="1"/>
  <c r="T37" i="1" s="1"/>
  <c r="O38" i="1"/>
  <c r="T38" i="1" s="1"/>
  <c r="O39" i="1"/>
  <c r="T39" i="1" s="1"/>
  <c r="O40" i="1"/>
  <c r="T40" i="1" s="1"/>
  <c r="O41" i="1"/>
  <c r="T41" i="1" s="1"/>
  <c r="O42" i="1"/>
  <c r="T42" i="1" s="1"/>
  <c r="O43" i="1"/>
  <c r="T43" i="1" s="1"/>
  <c r="O44" i="1"/>
  <c r="T44" i="1" s="1"/>
  <c r="O47" i="1"/>
  <c r="T47" i="1" s="1"/>
  <c r="O48" i="1"/>
  <c r="P48" i="1" s="1"/>
  <c r="T48" i="1" s="1"/>
  <c r="O49" i="1"/>
  <c r="O51" i="1"/>
  <c r="O52" i="1"/>
  <c r="T52" i="1" s="1"/>
  <c r="O53" i="1"/>
  <c r="T53" i="1" s="1"/>
  <c r="O55" i="1"/>
  <c r="T55" i="1" s="1"/>
  <c r="O56" i="1"/>
  <c r="T56" i="1" s="1"/>
  <c r="O57" i="1"/>
  <c r="T57" i="1" s="1"/>
  <c r="O58" i="1"/>
  <c r="T58" i="1" s="1"/>
  <c r="O59" i="1"/>
  <c r="T59" i="1" s="1"/>
  <c r="O60" i="1"/>
  <c r="T60" i="1" s="1"/>
  <c r="O61" i="1"/>
  <c r="P61" i="1" s="1"/>
  <c r="T61" i="1" s="1"/>
  <c r="O62" i="1"/>
  <c r="T62" i="1" s="1"/>
  <c r="O63" i="1"/>
  <c r="T63" i="1" s="1"/>
  <c r="O64" i="1"/>
  <c r="T64" i="1" s="1"/>
  <c r="O65" i="1"/>
  <c r="P65" i="1" s="1"/>
  <c r="T65" i="1" s="1"/>
  <c r="O66" i="1"/>
  <c r="O69" i="1"/>
  <c r="T69" i="1" s="1"/>
  <c r="O70" i="1"/>
  <c r="T70" i="1" s="1"/>
  <c r="O71" i="1"/>
  <c r="O72" i="1"/>
  <c r="T72" i="1" s="1"/>
  <c r="O73" i="1"/>
  <c r="O75" i="1"/>
  <c r="T75" i="1" s="1"/>
  <c r="O76" i="1"/>
  <c r="O77" i="1"/>
  <c r="T77" i="1" s="1"/>
  <c r="O78" i="1"/>
  <c r="O79" i="1"/>
  <c r="P79" i="1" s="1"/>
  <c r="T79" i="1" s="1"/>
  <c r="O80" i="1"/>
  <c r="P80" i="1" s="1"/>
  <c r="T80" i="1" s="1"/>
  <c r="O81" i="1"/>
  <c r="T81" i="1" s="1"/>
  <c r="O82" i="1"/>
  <c r="O83" i="1"/>
  <c r="P83" i="1" s="1"/>
  <c r="Q83" i="1" s="1"/>
  <c r="O84" i="1"/>
  <c r="P84" i="1" s="1"/>
  <c r="T84" i="1" s="1"/>
  <c r="O85" i="1"/>
  <c r="P85" i="1" s="1"/>
  <c r="T85" i="1" s="1"/>
  <c r="O86" i="1"/>
  <c r="O87" i="1"/>
  <c r="P87" i="1" s="1"/>
  <c r="T87" i="1" s="1"/>
  <c r="O89" i="1"/>
  <c r="T89" i="1" s="1"/>
  <c r="O90" i="1"/>
  <c r="T90" i="1" s="1"/>
  <c r="O91" i="1"/>
  <c r="T91" i="1" s="1"/>
  <c r="O6" i="1"/>
  <c r="U6" i="1" s="1"/>
  <c r="T8" i="1" l="1"/>
  <c r="T83" i="1"/>
  <c r="T11" i="1"/>
  <c r="T9" i="1"/>
  <c r="T12" i="1"/>
  <c r="T74" i="1"/>
  <c r="T54" i="1"/>
  <c r="T50" i="1"/>
  <c r="T68" i="1"/>
  <c r="T30" i="1"/>
  <c r="T6" i="1"/>
  <c r="E88" i="1"/>
  <c r="O88" i="1" s="1"/>
  <c r="P88" i="1" s="1"/>
  <c r="Q88" i="1" s="1"/>
  <c r="P46" i="1"/>
  <c r="P67" i="1"/>
  <c r="P45" i="1"/>
  <c r="T45" i="1" s="1"/>
  <c r="P86" i="1"/>
  <c r="T86" i="1" s="1"/>
  <c r="P82" i="1"/>
  <c r="T82" i="1" s="1"/>
  <c r="P78" i="1"/>
  <c r="T78" i="1" s="1"/>
  <c r="P76" i="1"/>
  <c r="T76" i="1" s="1"/>
  <c r="P73" i="1"/>
  <c r="T73" i="1" s="1"/>
  <c r="P71" i="1"/>
  <c r="Q71" i="1" s="1"/>
  <c r="P66" i="1"/>
  <c r="T66" i="1" s="1"/>
  <c r="P22" i="1"/>
  <c r="T22" i="1" s="1"/>
  <c r="P23" i="1"/>
  <c r="T23" i="1" s="1"/>
  <c r="P28" i="1"/>
  <c r="T28" i="1" s="1"/>
  <c r="P32" i="1"/>
  <c r="T32" i="1" s="1"/>
  <c r="P34" i="1"/>
  <c r="T34" i="1" s="1"/>
  <c r="P49" i="1"/>
  <c r="T49" i="1" s="1"/>
  <c r="P51" i="1"/>
  <c r="T51" i="1" s="1"/>
  <c r="U89" i="1"/>
  <c r="U85" i="1"/>
  <c r="U81" i="1"/>
  <c r="U77" i="1"/>
  <c r="U73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13" i="1"/>
  <c r="U9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X5" i="1"/>
  <c r="W5" i="1"/>
  <c r="V5" i="1"/>
  <c r="N5" i="1"/>
  <c r="M5" i="1"/>
  <c r="L5" i="1"/>
  <c r="J5" i="1"/>
  <c r="F5" i="1"/>
  <c r="T88" i="1" l="1"/>
  <c r="T71" i="1"/>
  <c r="E5" i="1"/>
  <c r="O5" i="1"/>
  <c r="T67" i="1"/>
  <c r="P5" i="1"/>
  <c r="K5" i="1"/>
  <c r="T46" i="1" l="1"/>
  <c r="Q5" i="1"/>
  <c r="Z5" i="1"/>
</calcChain>
</file>

<file path=xl/sharedStrings.xml><?xml version="1.0" encoding="utf-8"?>
<sst xmlns="http://schemas.openxmlformats.org/spreadsheetml/2006/main" count="337" uniqueCount="144">
  <si>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</si>
  <si>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</si>
  <si>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</si>
  <si>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</si>
  <si>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</si>
  <si>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</si>
  <si>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</si>
  <si>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</si>
  <si>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</si>
  <si>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</si>
  <si>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</si>
  <si>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</si>
  <si>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</si>
  <si>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</si>
  <si>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</si>
  <si>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</si>
  <si>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</si>
  <si>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</si>
  <si>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</si>
  <si>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</si>
  <si>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</si>
  <si>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</si>
  <si>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</si>
  <si>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10,04,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</si>
  <si>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</si>
  <si>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</si>
  <si>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</si>
  <si>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</si>
  <si>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</si>
  <si>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</si>
  <si>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>нужно увеличить продажи!!!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</si>
  <si>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</si>
  <si>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</si>
  <si>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</si>
  <si>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</si>
  <si>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</si>
  <si>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</si>
  <si>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</si>
  <si>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</si>
  <si>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</si>
  <si>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</si>
  <si>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</si>
  <si>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</si>
  <si>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>не в матрице</t>
  </si>
  <si>
    <t xml:space="preserve"> 094  Сосиски Баварские,  0.35кг, ТМ Колбасный стандарт ПОКОМ</t>
  </si>
  <si>
    <t>дубль на 412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</si>
  <si>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</si>
  <si>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</si>
  <si>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</si>
  <si>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</si>
  <si>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</si>
  <si>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</si>
  <si>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</si>
  <si>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дубль на 457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</si>
  <si>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</si>
  <si>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</si>
  <si>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</si>
  <si>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</si>
  <si>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</si>
  <si>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</si>
  <si>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</si>
  <si>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</si>
  <si>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</si>
  <si>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</si>
  <si>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</si>
  <si>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</si>
  <si>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</si>
  <si>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>дубль на 296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</si>
  <si>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</si>
  <si>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</si>
  <si>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</si>
  <si>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</si>
  <si>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</si>
  <si>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</si>
  <si>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</si>
  <si>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>есть дубль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</si>
  <si>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</si>
  <si>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</si>
  <si>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</si>
  <si>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</si>
  <si>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</si>
  <si>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</si>
  <si>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</si>
  <si>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</si>
  <si>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</si>
  <si>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</si>
  <si>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</si>
  <si>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</si>
  <si>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</si>
  <si>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</si>
  <si>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</si>
  <si>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</si>
  <si>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</si>
  <si>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</si>
  <si>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</si>
  <si>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</si>
  <si>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</si>
  <si>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</si>
  <si>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</si>
  <si>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</si>
  <si>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</si>
  <si>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</si>
  <si>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</si>
  <si>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</si>
  <si>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</si>
  <si>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</si>
  <si>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</si>
  <si>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</si>
  <si>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</si>
  <si>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</si>
  <si>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</si>
  <si>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</si>
  <si>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</si>
  <si>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</si>
  <si>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</si>
  <si>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</si>
  <si>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</si>
  <si>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464  Колбаса Стародворская Традиционная со шпиком оболочке полиамид ТМ Стародворье.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</si>
  <si>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</si>
  <si>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</si>
  <si>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</si>
  <si>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бонус</t>
  </si>
  <si>
    <t>дубль на 031</t>
  </si>
  <si>
    <t>дубль на 410</t>
  </si>
  <si>
    <t>дубль на 319</t>
  </si>
  <si>
    <t>нет</t>
  </si>
  <si>
    <t>дубль на 291</t>
  </si>
  <si>
    <r>
      <t xml:space="preserve">дубль на 244 / </t>
    </r>
    <r>
      <rPr>
        <b/>
        <sz val="10"/>
        <rFont val="Arial"/>
        <family val="2"/>
        <charset val="204"/>
      </rPr>
      <t>не правильно оприходован товар</t>
    </r>
  </si>
  <si>
    <r>
      <rPr>
        <b/>
        <sz val="10"/>
        <rFont val="Arial"/>
        <family val="2"/>
        <charset val="204"/>
      </rPr>
      <t>не правильно оприходован товар</t>
    </r>
    <r>
      <rPr>
        <sz val="10"/>
        <rFont val="Arial"/>
        <family val="2"/>
        <charset val="204"/>
      </rPr>
      <t xml:space="preserve"> / дубль на 464</t>
    </r>
  </si>
  <si>
    <t>Докторская Стародворская вес</t>
  </si>
  <si>
    <t>Вареные колбасы «Нежная» НТУ Весовые П/а ТМ «Зареченские»</t>
  </si>
  <si>
    <t>Колбаса вареная Мусульманская халяль ТМ Вязанка вектор ф/в 0,4 кг НД Узбекистан АК</t>
  </si>
  <si>
    <t>П/к колбасы «Аль-Ислами халяль» ф/в 0,35 фиброуз ТМ «Вязанка»</t>
  </si>
  <si>
    <t>Сосиски Восточные халяль ТМ Вязанка полиамид в/у ф/в 0,33 кг НД Узбекистан АК</t>
  </si>
  <si>
    <t>заказ</t>
  </si>
  <si>
    <t>17,04,</t>
  </si>
  <si>
    <t>15,04,25 Химич обнулил</t>
  </si>
  <si>
    <t>новинка</t>
  </si>
  <si>
    <t>нет в бланке</t>
  </si>
  <si>
    <t>Вареные колбасы «Филейная Оригинальная» Весовой п/а ТМ «Особый рецепт» большой батон</t>
  </si>
  <si>
    <t>от Химича</t>
  </si>
  <si>
    <t>по телефону</t>
  </si>
  <si>
    <t>20,04,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</si>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</sst>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13E22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4" fillId="4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164" fontId="4" fillId="6" borderId="1" xfId="1" applyNumberFormat="1" applyFont="1" applyFill="1"/>
    <xf numFmtId="164" fontId="6" fillId="6" borderId="1" xfId="1" applyNumberFormat="1" applyFont="1" applyFill="1"/>
    <xf numFmtId="164" fontId="7" fillId="5" borderId="1" xfId="1" applyNumberFormat="1" applyFont="1" applyFill="1"/>
    <xf numFmtId="164" fontId="1" fillId="0" borderId="4" xfId="1" applyNumberFormat="1" applyBorder="1"/>
    <xf numFmtId="0" fontId="0" fillId="0" borderId="1" xfId="0" applyBorder="1"/>
    <xf numFmtId="164" fontId="1" fillId="5" borderId="3" xfId="1" applyNumberFormat="1" applyFill="1" applyBorder="1"/>
    <xf numFmtId="164" fontId="2" fillId="7" borderId="3" xfId="1" applyNumberFormat="1" applyFont="1" applyFill="1" applyBorder="1"/>
    <xf numFmtId="0" fontId="0" fillId="5" borderId="3" xfId="0" applyFill="1" applyBorder="1"/>
    <xf numFmtId="164" fontId="1" fillId="6" borderId="1" xfId="1" applyNumberFormat="1" applyFill="1"/>
    <xf numFmtId="164" fontId="0" fillId="0" borderId="0" xfId="0" applyNumberFormat="1" applyBorder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&#1055;&#1054;&#1050;&#1054;&#1052;/pokom_data/&#1086;&#1087;&#1090;%20&#1080;%20&#1050;&#1088;&#1072;&#1089;&#1085;&#1086;&#1076;&#1072;&#1088;/2025/04,25/14,04,25%20&#1055;&#1054;&#1050;&#1054;&#1052;%20&#1050;&#1048;%20&#1053;&#1086;&#1074;&#1086;&#1088;&#1086;&#1089;&#1089;&#1080;&#1081;&#1089;&#1082;/18,04,25%20&#1053;&#1086;&#1074;&#1086;&#1088;&#1086;&#1089;&#1089;&#1080;&#1081;&#1089;&#1082;/&#1053;&#1086;&#1074;&#1086;&#1088;&#1086;&#1089;&#1089;&#1080;&#1081;&#1089;&#1082;%20&#1047;&#1040;&#1050;&#1040;&#1047;%2018.04(&#1061;&#1048;&#1052;&#1048;&#106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C5" t="str">
            <v>Итого</v>
          </cell>
        </row>
        <row r="6">
          <cell r="C6" t="str">
            <v>по заказам</v>
          </cell>
          <cell r="D6" t="str">
            <v>реализация</v>
          </cell>
        </row>
        <row r="7">
          <cell r="C7" t="str">
            <v>Заказано вес</v>
          </cell>
          <cell r="D7" t="str">
            <v>Отгружено вес</v>
          </cell>
          <cell r="E7" t="str">
            <v>ТОВАР В ПУТИ</v>
          </cell>
          <cell r="F7" t="str">
            <v>в наличии на складе</v>
          </cell>
          <cell r="G7" t="str">
            <v>Заказ</v>
          </cell>
        </row>
        <row r="8">
          <cell r="A8" t="str">
            <v xml:space="preserve"> 005  Колбаса Докторская ГОСТ, Вязанка вектор,ВЕС. ПОКОМ</v>
          </cell>
          <cell r="B8">
            <v>1</v>
          </cell>
          <cell r="C8">
            <v>214.1</v>
          </cell>
          <cell r="D8">
            <v>204.279</v>
          </cell>
          <cell r="F8">
            <v>84.7</v>
          </cell>
          <cell r="G8">
            <v>450</v>
          </cell>
        </row>
        <row r="9">
          <cell r="A9" t="str">
            <v xml:space="preserve"> 012  Колбаса Сервелат Столичный, Вязанка фиброуз в/у, ПОКОМ</v>
          </cell>
          <cell r="B9">
            <v>1</v>
          </cell>
          <cell r="C9">
            <v>35</v>
          </cell>
          <cell r="D9">
            <v>30.004999999999999</v>
          </cell>
          <cell r="F9">
            <v>80.471999999999994</v>
          </cell>
        </row>
        <row r="10">
          <cell r="A10" t="str">
            <v xml:space="preserve"> 016  Сосиски Вязанка Молочные, Вязанка вискофан  ВЕС.ПОКОМ</v>
          </cell>
          <cell r="B10">
            <v>1</v>
          </cell>
          <cell r="C10">
            <v>40.700000000000003</v>
          </cell>
          <cell r="D10">
            <v>33.887</v>
          </cell>
          <cell r="E10">
            <v>102.67</v>
          </cell>
          <cell r="F10">
            <v>1.3480000000000001</v>
          </cell>
          <cell r="G10">
            <v>100</v>
          </cell>
        </row>
        <row r="11">
          <cell r="A11" t="str">
            <v xml:space="preserve"> 017  Сосиски Вязанка Сливочные, Вязанка амицел ВЕС.ПОКОМ</v>
          </cell>
          <cell r="B11">
            <v>1</v>
          </cell>
          <cell r="C11">
            <v>43.5</v>
          </cell>
          <cell r="D11">
            <v>41.344999999999999</v>
          </cell>
          <cell r="E11">
            <v>96.597999999999999</v>
          </cell>
          <cell r="F11">
            <v>10.8</v>
          </cell>
          <cell r="G11">
            <v>80</v>
          </cell>
        </row>
        <row r="12">
          <cell r="A12" t="str">
            <v xml:space="preserve"> 023  Колбаса Докторская ГОСТ, Вязанка вектор, 0,4 кг, ПОКОМ</v>
          </cell>
          <cell r="B12">
            <v>0.4</v>
          </cell>
          <cell r="C12">
            <v>146.4</v>
          </cell>
          <cell r="D12">
            <v>143.6</v>
          </cell>
          <cell r="F12">
            <v>12</v>
          </cell>
          <cell r="G12">
            <v>800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B13">
            <v>0.45</v>
          </cell>
          <cell r="C13">
            <v>95.85</v>
          </cell>
          <cell r="D13">
            <v>79.2</v>
          </cell>
          <cell r="E13">
            <v>30</v>
          </cell>
          <cell r="F13">
            <v>10</v>
          </cell>
        </row>
        <row r="14">
          <cell r="A14" t="str">
            <v xml:space="preserve"> 031  Сосиски Вязанка Сливочные, Вязанка амицел МГС, 0.33кг, ТМ Стародворские колбасы</v>
          </cell>
          <cell r="B14">
            <v>0.33</v>
          </cell>
          <cell r="C14">
            <v>102.3</v>
          </cell>
          <cell r="D14">
            <v>98.01</v>
          </cell>
          <cell r="F14">
            <v>18</v>
          </cell>
          <cell r="G14">
            <v>400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>
            <v>0.45</v>
          </cell>
          <cell r="C15">
            <v>18</v>
          </cell>
          <cell r="D15">
            <v>14.4</v>
          </cell>
          <cell r="F15">
            <v>0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>
            <v>0.17</v>
          </cell>
          <cell r="C16">
            <v>12.41</v>
          </cell>
          <cell r="D16">
            <v>12.41</v>
          </cell>
          <cell r="F16">
            <v>14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>
            <v>0.3</v>
          </cell>
          <cell r="C17">
            <v>14.7</v>
          </cell>
          <cell r="D17">
            <v>10.199999999999999</v>
          </cell>
          <cell r="E17">
            <v>222</v>
          </cell>
          <cell r="F17">
            <v>4</v>
          </cell>
        </row>
        <row r="18">
          <cell r="A18" t="str">
            <v xml:space="preserve"> 083  Колбаса Швейцарская 0,17 кг., ШТ., сырокопченая   ПОКОМ</v>
          </cell>
          <cell r="B18">
            <v>0.17</v>
          </cell>
          <cell r="C18">
            <v>22.44</v>
          </cell>
          <cell r="D18">
            <v>17.34</v>
          </cell>
          <cell r="E18">
            <v>60</v>
          </cell>
          <cell r="F18">
            <v>6</v>
          </cell>
          <cell r="G18">
            <v>400</v>
          </cell>
        </row>
        <row r="19">
          <cell r="A19" t="str">
            <v xml:space="preserve"> 102  Сосиски Ганноверские, амилюкс МГС, 0.6кг, ТМ Стародворье    ПОКОМ</v>
          </cell>
          <cell r="B19">
            <v>0.6</v>
          </cell>
          <cell r="C19">
            <v>2.4</v>
          </cell>
          <cell r="F19">
            <v>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>
            <v>0.35</v>
          </cell>
          <cell r="C20">
            <v>22.75</v>
          </cell>
          <cell r="D20">
            <v>19.95</v>
          </cell>
          <cell r="E20">
            <v>84</v>
          </cell>
          <cell r="F20">
            <v>0</v>
          </cell>
          <cell r="G20">
            <v>150</v>
          </cell>
        </row>
        <row r="21">
          <cell r="A21" t="str">
            <v xml:space="preserve"> 200  Ветчина Дугушка ТМ Стародворье, вектор в/у    ПОКОМ</v>
          </cell>
          <cell r="B21">
            <v>1</v>
          </cell>
          <cell r="C21">
            <v>34.200000000000003</v>
          </cell>
          <cell r="D21">
            <v>23.864999999999998</v>
          </cell>
          <cell r="E21">
            <v>84.88</v>
          </cell>
          <cell r="F21">
            <v>0</v>
          </cell>
          <cell r="G21">
            <v>20</v>
          </cell>
        </row>
        <row r="22">
          <cell r="A22" t="str">
            <v xml:space="preserve"> 201  Ветчина Нежная ТМ Особый рецепт, (2,5кг), ПОКОМ</v>
          </cell>
          <cell r="B22">
            <v>1</v>
          </cell>
          <cell r="C22">
            <v>382.6</v>
          </cell>
          <cell r="D22">
            <v>377.07</v>
          </cell>
          <cell r="E22">
            <v>484.84800000000001</v>
          </cell>
          <cell r="F22">
            <v>100</v>
          </cell>
          <cell r="G22">
            <v>500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>
            <v>1</v>
          </cell>
          <cell r="C23">
            <v>22.9</v>
          </cell>
          <cell r="D23">
            <v>23.218</v>
          </cell>
          <cell r="E23">
            <v>31.37</v>
          </cell>
          <cell r="F23">
            <v>2.7</v>
          </cell>
          <cell r="G23">
            <v>40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>
            <v>1</v>
          </cell>
          <cell r="C24">
            <v>128.5</v>
          </cell>
          <cell r="D24">
            <v>122.386</v>
          </cell>
          <cell r="E24">
            <v>671.84799999999996</v>
          </cell>
          <cell r="F24">
            <v>80</v>
          </cell>
          <cell r="G24">
            <v>150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>
            <v>1</v>
          </cell>
          <cell r="C25">
            <v>17.600000000000001</v>
          </cell>
          <cell r="D25">
            <v>17.609000000000002</v>
          </cell>
          <cell r="E25">
            <v>21.29</v>
          </cell>
          <cell r="F25">
            <v>7.15</v>
          </cell>
          <cell r="G25">
            <v>20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>
            <v>1</v>
          </cell>
          <cell r="C26">
            <v>20.6</v>
          </cell>
          <cell r="D26">
            <v>20.984000000000002</v>
          </cell>
          <cell r="E26">
            <v>41.93</v>
          </cell>
          <cell r="F26">
            <v>0.9</v>
          </cell>
          <cell r="G26">
            <v>10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>
            <v>1</v>
          </cell>
          <cell r="C27">
            <v>36.65</v>
          </cell>
          <cell r="D27">
            <v>36.026000000000003</v>
          </cell>
          <cell r="E27">
            <v>26.332999999999998</v>
          </cell>
          <cell r="F27">
            <v>26.4</v>
          </cell>
          <cell r="G27">
            <v>20</v>
          </cell>
        </row>
        <row r="28">
          <cell r="A28" t="str">
            <v xml:space="preserve"> 243  Колбаса Сервелат Зернистый, ВЕС.  ПОКОМ</v>
          </cell>
          <cell r="B28">
            <v>1</v>
          </cell>
          <cell r="C28">
            <v>98.4</v>
          </cell>
          <cell r="D28">
            <v>93.019000000000005</v>
          </cell>
          <cell r="E28">
            <v>84.510999999999996</v>
          </cell>
          <cell r="F28">
            <v>4.12</v>
          </cell>
          <cell r="G28">
            <v>130</v>
          </cell>
        </row>
        <row r="29">
          <cell r="A29" t="str">
            <v xml:space="preserve"> 244  Колбаса Сервелат Кремлевский, ВЕС. ПОКОМ</v>
          </cell>
          <cell r="B29">
            <v>1</v>
          </cell>
          <cell r="C29">
            <v>14</v>
          </cell>
          <cell r="D29">
            <v>12.8</v>
          </cell>
          <cell r="E29">
            <v>42.475999999999999</v>
          </cell>
          <cell r="F29">
            <v>5.0149999999999997</v>
          </cell>
          <cell r="G29">
            <v>100</v>
          </cell>
        </row>
        <row r="30">
          <cell r="A30" t="str">
            <v xml:space="preserve"> 247  Сардельки Нежные, ВЕС.  ПОКОМ</v>
          </cell>
          <cell r="B30">
            <v>1</v>
          </cell>
          <cell r="C30">
            <v>3.9</v>
          </cell>
          <cell r="E30">
            <v>182.40199999999999</v>
          </cell>
          <cell r="F30">
            <v>0</v>
          </cell>
          <cell r="G30">
            <v>140</v>
          </cell>
        </row>
        <row r="31">
          <cell r="A31" t="str">
            <v xml:space="preserve"> 248  Сардельки Сочные ТМ Особый рецепт,   ПОКОМ</v>
          </cell>
          <cell r="B31">
            <v>1</v>
          </cell>
          <cell r="C31">
            <v>46.5</v>
          </cell>
          <cell r="D31">
            <v>52.662999999999997</v>
          </cell>
          <cell r="E31">
            <v>63.582000000000001</v>
          </cell>
          <cell r="F31">
            <v>7.45</v>
          </cell>
          <cell r="G31">
            <v>60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>
            <v>1</v>
          </cell>
          <cell r="C32">
            <v>133</v>
          </cell>
          <cell r="D32">
            <v>121.03400000000001</v>
          </cell>
          <cell r="E32">
            <v>189.81200000000001</v>
          </cell>
          <cell r="F32">
            <v>2.641</v>
          </cell>
          <cell r="G32">
            <v>100</v>
          </cell>
        </row>
        <row r="33">
          <cell r="A33" t="str">
            <v xml:space="preserve"> 251  Сосиски Баварские, ВЕС.  ПОКОМ</v>
          </cell>
          <cell r="B33">
            <v>1</v>
          </cell>
          <cell r="C33">
            <v>1.3</v>
          </cell>
          <cell r="F33">
            <v>0</v>
          </cell>
        </row>
        <row r="34">
          <cell r="A34" t="str">
            <v xml:space="preserve"> 253  Сосиски Ганноверские   ПОКОМ</v>
          </cell>
          <cell r="B34">
            <v>1</v>
          </cell>
          <cell r="C34">
            <v>1085.5999999999999</v>
          </cell>
          <cell r="D34">
            <v>1097.74</v>
          </cell>
          <cell r="E34">
            <v>1750.538</v>
          </cell>
          <cell r="F34">
            <v>269.45</v>
          </cell>
          <cell r="G34">
            <v>400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B35">
            <v>1</v>
          </cell>
          <cell r="C35">
            <v>31.4</v>
          </cell>
          <cell r="D35">
            <v>17.39</v>
          </cell>
          <cell r="E35">
            <v>175.708</v>
          </cell>
          <cell r="F35">
            <v>2.948</v>
          </cell>
        </row>
        <row r="36">
          <cell r="A36" t="str">
            <v xml:space="preserve"> 263  Шпикачки Стародворские, ВЕС.  ПОКОМ</v>
          </cell>
          <cell r="B36">
            <v>1</v>
          </cell>
          <cell r="C36">
            <v>45.6</v>
          </cell>
          <cell r="D36">
            <v>31.503</v>
          </cell>
          <cell r="E36">
            <v>197.50399999999999</v>
          </cell>
          <cell r="F36">
            <v>0</v>
          </cell>
          <cell r="G36">
            <v>40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>
            <v>0.35</v>
          </cell>
          <cell r="C37">
            <v>48.65</v>
          </cell>
          <cell r="D37">
            <v>34.65</v>
          </cell>
          <cell r="E37">
            <v>54</v>
          </cell>
          <cell r="F37">
            <v>0</v>
          </cell>
          <cell r="G37">
            <v>180</v>
          </cell>
        </row>
        <row r="38">
          <cell r="A38" t="str">
            <v xml:space="preserve"> 273  Сосиски Сочинки с сочной грудинкой, МГС 0.4кг,   ПОКОМ</v>
          </cell>
          <cell r="B38">
            <v>0.4</v>
          </cell>
          <cell r="C38">
            <v>168.8</v>
          </cell>
          <cell r="D38">
            <v>165.2</v>
          </cell>
          <cell r="E38">
            <v>102</v>
          </cell>
          <cell r="F38">
            <v>18</v>
          </cell>
          <cell r="G38">
            <v>600</v>
          </cell>
        </row>
        <row r="39">
          <cell r="A39" t="str">
            <v xml:space="preserve"> 278  Сосиски Сочинки с сочным окороком, МГС 0.4кг,   ПОКОМ</v>
          </cell>
          <cell r="B39">
            <v>0.4</v>
          </cell>
          <cell r="C39">
            <v>133.6</v>
          </cell>
          <cell r="D39">
            <v>105.2</v>
          </cell>
          <cell r="E39">
            <v>198</v>
          </cell>
          <cell r="F39">
            <v>12</v>
          </cell>
          <cell r="G39">
            <v>300</v>
          </cell>
        </row>
        <row r="40">
          <cell r="A40" t="str">
            <v xml:space="preserve"> 279  Колбаса Докторский гарант, Вязанка вектор, 0,4 кг.  ПОКОМ</v>
          </cell>
          <cell r="B40">
            <v>0.4</v>
          </cell>
          <cell r="C40">
            <v>65.599999999999994</v>
          </cell>
          <cell r="D40">
            <v>60</v>
          </cell>
          <cell r="F40">
            <v>3</v>
          </cell>
          <cell r="G40">
            <v>220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>
            <v>0.4</v>
          </cell>
          <cell r="C41">
            <v>81.2</v>
          </cell>
          <cell r="D41">
            <v>59.6</v>
          </cell>
          <cell r="E41">
            <v>120</v>
          </cell>
          <cell r="F41">
            <v>5</v>
          </cell>
          <cell r="G41">
            <v>260</v>
          </cell>
        </row>
        <row r="42">
          <cell r="A42" t="str">
            <v xml:space="preserve"> 283  Сосиски Сочинки, ВЕС, ТМ Стародворье ПОКОМ</v>
          </cell>
          <cell r="B42">
            <v>1</v>
          </cell>
          <cell r="C42">
            <v>1.3</v>
          </cell>
          <cell r="F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>
            <v>0.1</v>
          </cell>
          <cell r="C43">
            <v>19.7</v>
          </cell>
          <cell r="D43">
            <v>16.5</v>
          </cell>
          <cell r="E43">
            <v>200</v>
          </cell>
          <cell r="F43">
            <v>8</v>
          </cell>
          <cell r="G43">
            <v>300</v>
          </cell>
        </row>
        <row r="44">
          <cell r="A44" t="str">
            <v xml:space="preserve"> 291  Сосиски Молокуши миникушай ТМ Вязанка, 0.33кг, ПОКОМ</v>
          </cell>
          <cell r="B44">
            <v>0.33</v>
          </cell>
          <cell r="C44">
            <v>40.26</v>
          </cell>
          <cell r="D44">
            <v>37.29</v>
          </cell>
          <cell r="E44">
            <v>252</v>
          </cell>
          <cell r="F44">
            <v>0</v>
          </cell>
          <cell r="G44">
            <v>350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B45">
            <v>0.35</v>
          </cell>
          <cell r="C45">
            <v>58.1</v>
          </cell>
          <cell r="D45">
            <v>49.127000000000002</v>
          </cell>
          <cell r="E45">
            <v>252</v>
          </cell>
          <cell r="F45">
            <v>12</v>
          </cell>
          <cell r="G45">
            <v>200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>
            <v>0.4</v>
          </cell>
          <cell r="C46">
            <v>2.4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>
            <v>1</v>
          </cell>
          <cell r="C47">
            <v>20.3</v>
          </cell>
          <cell r="D47">
            <v>17.172999999999998</v>
          </cell>
          <cell r="E47">
            <v>34.28</v>
          </cell>
          <cell r="F47">
            <v>7.88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>
            <v>0.35</v>
          </cell>
          <cell r="C48">
            <v>44.1</v>
          </cell>
          <cell r="D48">
            <v>38.85</v>
          </cell>
          <cell r="E48">
            <v>156</v>
          </cell>
          <cell r="F48">
            <v>20</v>
          </cell>
          <cell r="G48">
            <v>200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>
            <v>0.35</v>
          </cell>
          <cell r="C49">
            <v>106.05</v>
          </cell>
          <cell r="D49">
            <v>77.831000000000003</v>
          </cell>
          <cell r="E49">
            <v>156</v>
          </cell>
          <cell r="F49">
            <v>16</v>
          </cell>
          <cell r="G49">
            <v>450</v>
          </cell>
        </row>
        <row r="50">
          <cell r="A50" t="str">
            <v xml:space="preserve"> 312  Ветчина Филейская ВЕС ТМ  Вязанка ТС Столичная  ПОКОМ</v>
          </cell>
          <cell r="B50">
            <v>1</v>
          </cell>
          <cell r="C50">
            <v>179.1</v>
          </cell>
          <cell r="D50">
            <v>179.08699999999999</v>
          </cell>
          <cell r="E50">
            <v>194.006</v>
          </cell>
          <cell r="F50">
            <v>42.884</v>
          </cell>
          <cell r="G50">
            <v>300</v>
          </cell>
        </row>
        <row r="51">
          <cell r="A51" t="str">
            <v xml:space="preserve"> 315  Колбаса вареная Молокуша ТМ Вязанка ВЕС, ПОКОМ</v>
          </cell>
          <cell r="B51">
            <v>1</v>
          </cell>
          <cell r="C51">
            <v>152.69999999999999</v>
          </cell>
          <cell r="D51">
            <v>143.88200000000001</v>
          </cell>
          <cell r="E51">
            <v>141.70699999999999</v>
          </cell>
          <cell r="F51">
            <v>83.4</v>
          </cell>
          <cell r="G51">
            <v>250</v>
          </cell>
        </row>
        <row r="52">
          <cell r="A52" t="str">
            <v xml:space="preserve"> 317 Колбаса Сервелат Рижский ТМ Зареченские, ВЕС  ПОКОМ</v>
          </cell>
          <cell r="B52">
            <v>1</v>
          </cell>
          <cell r="C52">
            <v>16.75</v>
          </cell>
          <cell r="D52">
            <v>17.239999999999998</v>
          </cell>
          <cell r="E52">
            <v>42.213999999999999</v>
          </cell>
          <cell r="F52">
            <v>27.18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>
            <v>0.45</v>
          </cell>
          <cell r="C53">
            <v>248.4</v>
          </cell>
          <cell r="D53">
            <v>240.3</v>
          </cell>
          <cell r="F53">
            <v>224</v>
          </cell>
          <cell r="G53">
            <v>900</v>
          </cell>
        </row>
        <row r="54">
          <cell r="A54" t="str">
            <v xml:space="preserve"> 321  Колбаса Сервелат Пражский ТМ Зареченские, ВЕС ПОКОМ</v>
          </cell>
          <cell r="B54">
            <v>1</v>
          </cell>
          <cell r="C54">
            <v>22.95</v>
          </cell>
          <cell r="D54">
            <v>22.908999999999999</v>
          </cell>
          <cell r="E54">
            <v>43.107999999999997</v>
          </cell>
          <cell r="F54">
            <v>38</v>
          </cell>
        </row>
        <row r="55">
          <cell r="A55" t="str">
            <v xml:space="preserve"> 322  Колбаса вареная Молокуша 0,45кг ТМ Вязанка  ПОКОМ</v>
          </cell>
          <cell r="B55">
            <v>0.45</v>
          </cell>
          <cell r="C55">
            <v>220.95</v>
          </cell>
          <cell r="D55">
            <v>211.05</v>
          </cell>
          <cell r="E55">
            <v>180</v>
          </cell>
          <cell r="F55">
            <v>83</v>
          </cell>
          <cell r="G55">
            <v>700</v>
          </cell>
        </row>
        <row r="56">
          <cell r="A56" t="str">
            <v xml:space="preserve"> 324  Ветчина Филейская ТМ Вязанка Столичная 0,45 кг ПОКОМ</v>
          </cell>
          <cell r="B56">
            <v>0.45</v>
          </cell>
          <cell r="C56">
            <v>119.7</v>
          </cell>
          <cell r="D56">
            <v>114.75</v>
          </cell>
          <cell r="E56">
            <v>102</v>
          </cell>
          <cell r="F56">
            <v>40</v>
          </cell>
          <cell r="G56">
            <v>550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>
            <v>1</v>
          </cell>
          <cell r="C57">
            <v>275.8</v>
          </cell>
          <cell r="D57">
            <v>273.56799999999998</v>
          </cell>
          <cell r="E57">
            <v>479.1</v>
          </cell>
          <cell r="F57">
            <v>206.154</v>
          </cell>
          <cell r="G57">
            <v>50</v>
          </cell>
        </row>
        <row r="58">
          <cell r="A58" t="str">
            <v xml:space="preserve"> 333  Колбаса Балыковая, Вязанка фиброуз в/у, ВЕС ПОКОМ</v>
          </cell>
          <cell r="B58">
            <v>1</v>
          </cell>
          <cell r="C58">
            <v>37.5</v>
          </cell>
          <cell r="D58">
            <v>35.963999999999999</v>
          </cell>
          <cell r="F58">
            <v>7.0709999999999997</v>
          </cell>
          <cell r="G58">
            <v>40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>
            <v>0.1</v>
          </cell>
          <cell r="C59">
            <v>15.7</v>
          </cell>
          <cell r="D59">
            <v>14.8</v>
          </cell>
          <cell r="E59">
            <v>200</v>
          </cell>
          <cell r="F59">
            <v>4</v>
          </cell>
          <cell r="G59">
            <v>300</v>
          </cell>
        </row>
        <row r="60">
          <cell r="A60" t="str">
            <v xml:space="preserve"> 335  Колбаса Сливушка ТМ Вязанка. ВЕС.  ПОКОМ </v>
          </cell>
          <cell r="B60">
            <v>1</v>
          </cell>
          <cell r="C60">
            <v>18.399999999999999</v>
          </cell>
          <cell r="D60">
            <v>13.382999999999999</v>
          </cell>
          <cell r="E60">
            <v>137.94300000000001</v>
          </cell>
          <cell r="F60">
            <v>0</v>
          </cell>
          <cell r="G60">
            <v>80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>
            <v>0.1</v>
          </cell>
          <cell r="C61">
            <v>16.100000000000001</v>
          </cell>
          <cell r="D61">
            <v>14.5</v>
          </cell>
          <cell r="E61">
            <v>200</v>
          </cell>
          <cell r="F61">
            <v>4</v>
          </cell>
          <cell r="G61">
            <v>300</v>
          </cell>
        </row>
        <row r="62">
          <cell r="A62" t="str">
            <v xml:space="preserve"> 342 Сосиски Сочинки Молочные ТМ Стародворье 0,4 кг ПОКОМ</v>
          </cell>
          <cell r="B62">
            <v>0.4</v>
          </cell>
          <cell r="C62">
            <v>90</v>
          </cell>
          <cell r="D62">
            <v>67.599999999999994</v>
          </cell>
          <cell r="E62">
            <v>204</v>
          </cell>
          <cell r="F62">
            <v>7</v>
          </cell>
          <cell r="G62">
            <v>300</v>
          </cell>
        </row>
        <row r="63">
          <cell r="A63" t="str">
            <v xml:space="preserve"> 343 Сосиски Сочинки Сливочные ТМ Стародворье  0,4 кг</v>
          </cell>
          <cell r="B63">
            <v>0.4</v>
          </cell>
          <cell r="C63">
            <v>48.4</v>
          </cell>
          <cell r="D63">
            <v>36.4</v>
          </cell>
          <cell r="E63">
            <v>204</v>
          </cell>
          <cell r="F63">
            <v>6</v>
          </cell>
          <cell r="G63">
            <v>200</v>
          </cell>
        </row>
        <row r="64">
          <cell r="A64" t="str">
            <v xml:space="preserve"> 346  Колбаса Сочинка зернистая с сочной грудинкой ТМ Стародворье.ВЕС ПОКОМ</v>
          </cell>
          <cell r="B64">
            <v>1</v>
          </cell>
          <cell r="C64">
            <v>23.1</v>
          </cell>
          <cell r="D64">
            <v>22.637</v>
          </cell>
          <cell r="E64">
            <v>43.545000000000002</v>
          </cell>
          <cell r="F64">
            <v>13.75</v>
          </cell>
        </row>
        <row r="65">
          <cell r="A65" t="str">
            <v xml:space="preserve"> 360  Колбаса Салями Финская, Вязанка фиброуз в/у 0.35кг, ТМ Стародворские колбасы ПОКОМ </v>
          </cell>
          <cell r="B65">
            <v>0.35</v>
          </cell>
          <cell r="C65">
            <v>0.35</v>
          </cell>
          <cell r="F65">
            <v>0</v>
          </cell>
        </row>
        <row r="66">
          <cell r="A66" t="str">
            <v xml:space="preserve"> 410  Сосиски Баварские с сыром ТМ Стародворье 0,35 кг. ПОКОМ</v>
          </cell>
          <cell r="B66">
            <v>0.35</v>
          </cell>
          <cell r="C66">
            <v>127.4</v>
          </cell>
          <cell r="D66">
            <v>114.45</v>
          </cell>
          <cell r="E66">
            <v>300</v>
          </cell>
          <cell r="F66">
            <v>24</v>
          </cell>
          <cell r="G66">
            <v>500</v>
          </cell>
        </row>
        <row r="67">
          <cell r="A67" t="str">
            <v xml:space="preserve"> 412  Сосиски Баварские ТМ Стародворье 0,35 кг ПОКОМ</v>
          </cell>
          <cell r="B67">
            <v>0.35</v>
          </cell>
          <cell r="C67">
            <v>194.25</v>
          </cell>
          <cell r="D67">
            <v>189.7</v>
          </cell>
          <cell r="E67">
            <v>204</v>
          </cell>
          <cell r="F67">
            <v>191</v>
          </cell>
          <cell r="G67">
            <v>300</v>
          </cell>
        </row>
        <row r="68">
          <cell r="A68" t="str">
            <v>464  Колбаса Стародворская Традиционная со шпиком оболочке полиамид ТМ Стародворье.</v>
          </cell>
          <cell r="G68">
            <v>120</v>
          </cell>
        </row>
        <row r="69">
          <cell r="A69" t="str">
            <v xml:space="preserve"> 433 Колбаса Стародворская со шпиком  в оболочке полиамид. ТМ Стародворье ВЕС ПОКОМ</v>
          </cell>
          <cell r="B69">
            <v>1</v>
          </cell>
          <cell r="C69">
            <v>76.900000000000006</v>
          </cell>
          <cell r="D69">
            <v>63.762999999999998</v>
          </cell>
          <cell r="F69">
            <v>34.43</v>
          </cell>
        </row>
        <row r="70">
          <cell r="A70" t="str">
            <v xml:space="preserve"> 434  Колбаса Сервелат Кремлевский в вакуумной упаковке ТМ Стародворье.ВЕС  ПОКОМ</v>
          </cell>
          <cell r="B70">
            <v>1</v>
          </cell>
          <cell r="C70">
            <v>72.150000000000006</v>
          </cell>
          <cell r="D70">
            <v>69.537999999999997</v>
          </cell>
          <cell r="F70">
            <v>0</v>
          </cell>
        </row>
        <row r="71">
          <cell r="A71" t="str">
            <v xml:space="preserve"> 449  Колбаса Дугушка Стародворская ВЕС ТС Дугушка ПОКОМ</v>
          </cell>
          <cell r="B71">
            <v>1</v>
          </cell>
          <cell r="C71">
            <v>12.2</v>
          </cell>
          <cell r="D71">
            <v>11.895</v>
          </cell>
          <cell r="F71">
            <v>2.7</v>
          </cell>
          <cell r="G71">
            <v>20</v>
          </cell>
        </row>
        <row r="72">
          <cell r="A72" t="str">
            <v xml:space="preserve"> 452  Колбаса Со шпиком ВЕС большой батон ТМ Особый рецепт  ПОКОМ</v>
          </cell>
          <cell r="B72">
            <v>1</v>
          </cell>
          <cell r="C72">
            <v>320.5</v>
          </cell>
          <cell r="D72">
            <v>306.08800000000002</v>
          </cell>
          <cell r="E72">
            <v>149.59</v>
          </cell>
          <cell r="F72">
            <v>241.53</v>
          </cell>
          <cell r="G72">
            <v>400</v>
          </cell>
        </row>
        <row r="73">
          <cell r="A73" t="str">
            <v xml:space="preserve"> 456  Колбаса Филейная ТМ Особый рецепт ВЕС большой батон  ПОКОМ</v>
          </cell>
          <cell r="B73">
            <v>1</v>
          </cell>
          <cell r="C73">
            <v>299.7</v>
          </cell>
          <cell r="D73">
            <v>272.36099999999999</v>
          </cell>
          <cell r="F73">
            <v>207</v>
          </cell>
        </row>
        <row r="74">
          <cell r="A74" t="str">
            <v xml:space="preserve"> 457  Колбаса Молочная ТМ Особый рецепт ВЕС большой батон  ПОКОМ</v>
          </cell>
          <cell r="B74">
            <v>1</v>
          </cell>
          <cell r="C74">
            <v>216.5</v>
          </cell>
          <cell r="D74">
            <v>203.792</v>
          </cell>
          <cell r="E74">
            <v>104.82</v>
          </cell>
          <cell r="F74">
            <v>117.093</v>
          </cell>
          <cell r="G74">
            <v>350</v>
          </cell>
        </row>
        <row r="75">
          <cell r="A75" t="str">
            <v xml:space="preserve"> 460  Колбаса Стародворская Традиционная ВЕС ТМ Стародворье в оболочке полиамид. ПОКОМ</v>
          </cell>
          <cell r="B75">
            <v>1</v>
          </cell>
          <cell r="C75">
            <v>338.5</v>
          </cell>
          <cell r="D75">
            <v>334.20600000000002</v>
          </cell>
          <cell r="E75">
            <v>388.97899999999998</v>
          </cell>
          <cell r="F75">
            <v>72.540000000000006</v>
          </cell>
          <cell r="G75">
            <v>450</v>
          </cell>
        </row>
        <row r="76">
          <cell r="A76" t="str">
            <v xml:space="preserve"> 462  Колбаса Со шпиком ТМ Особый рецепт в оболочке полиамид 0,5 кг. ПОКОМ</v>
          </cell>
          <cell r="B76">
            <v>0.5</v>
          </cell>
          <cell r="C76">
            <v>28</v>
          </cell>
          <cell r="D76">
            <v>15</v>
          </cell>
          <cell r="E76">
            <v>50</v>
          </cell>
          <cell r="F76">
            <v>2</v>
          </cell>
          <cell r="G76">
            <v>70</v>
          </cell>
        </row>
        <row r="77">
          <cell r="A77" t="str">
            <v xml:space="preserve"> 463  Колбаса Молочная Традиционнаяв оболочке полиамид.ТМ Стародворье. ВЕС ПОКОМ</v>
          </cell>
          <cell r="B77">
            <v>1</v>
          </cell>
          <cell r="C77">
            <v>87.6</v>
          </cell>
          <cell r="D77">
            <v>87.174000000000007</v>
          </cell>
          <cell r="E77">
            <v>161.70599999999999</v>
          </cell>
          <cell r="F77">
            <v>32.31</v>
          </cell>
        </row>
        <row r="78">
          <cell r="A78" t="str">
            <v xml:space="preserve"> 466  Сосиски Ганноверские в оболочке амицел в модиф. газовой среде 0,5 кг ТМ Стародворье. ПОКОМ</v>
          </cell>
          <cell r="B78">
            <v>0.5</v>
          </cell>
          <cell r="C78">
            <v>119</v>
          </cell>
          <cell r="D78">
            <v>102</v>
          </cell>
          <cell r="E78">
            <v>282</v>
          </cell>
          <cell r="F78">
            <v>10</v>
          </cell>
          <cell r="G78">
            <v>350</v>
          </cell>
        </row>
        <row r="79">
          <cell r="A79" t="str">
            <v xml:space="preserve"> 467  Колбаса Филейная 0,5кг ТМ Особый рецепт  ПОКОМ</v>
          </cell>
          <cell r="B79">
            <v>0.5</v>
          </cell>
          <cell r="C79">
            <v>43.5</v>
          </cell>
          <cell r="D79">
            <v>28</v>
          </cell>
          <cell r="E79">
            <v>120</v>
          </cell>
          <cell r="F79">
            <v>2</v>
          </cell>
          <cell r="G79">
            <v>120</v>
          </cell>
        </row>
        <row r="80">
          <cell r="A80" t="str">
            <v xml:space="preserve"> 468  Колбаса Стародворская Традиционная ТМ Стародворье в оболочке полиамид 0,4 кг. ПОКОМ</v>
          </cell>
          <cell r="B80">
            <v>0.4</v>
          </cell>
          <cell r="C80">
            <v>18</v>
          </cell>
          <cell r="D80">
            <v>12</v>
          </cell>
          <cell r="E80">
            <v>250</v>
          </cell>
          <cell r="F80">
            <v>1</v>
          </cell>
        </row>
        <row r="81">
          <cell r="A81" t="str">
            <v xml:space="preserve"> 469  Колбаса Филедворская по-стародворски ТМ Стародворье в оболочке полиамид.ВЕС  ПОКОМ </v>
          </cell>
          <cell r="B81">
            <v>1</v>
          </cell>
          <cell r="C81">
            <v>172.8</v>
          </cell>
          <cell r="D81">
            <v>170.55</v>
          </cell>
          <cell r="E81">
            <v>217.16800000000001</v>
          </cell>
          <cell r="F81">
            <v>34.9</v>
          </cell>
          <cell r="G81">
            <v>200</v>
          </cell>
        </row>
        <row r="82">
          <cell r="A82" t="str">
            <v xml:space="preserve"> 483  Колбаса Молочная Традиционная ТМ Стародворье в оболочке полиамид 0,4 кг. ПОКОМ </v>
          </cell>
          <cell r="B82">
            <v>0.4</v>
          </cell>
          <cell r="C82">
            <v>42.4</v>
          </cell>
          <cell r="D82">
            <v>36</v>
          </cell>
          <cell r="E82">
            <v>180</v>
          </cell>
          <cell r="F82">
            <v>7</v>
          </cell>
          <cell r="G82">
            <v>80</v>
          </cell>
        </row>
        <row r="83">
          <cell r="A83" t="str">
            <v xml:space="preserve"> 485  Колбаса Молочная по-стародворски ТМ Стародворье в оболочке полиамид. ВЕС ПОКОМ </v>
          </cell>
          <cell r="B83">
            <v>1</v>
          </cell>
          <cell r="C83">
            <v>67.8</v>
          </cell>
          <cell r="D83">
            <v>65.790999999999997</v>
          </cell>
          <cell r="E83">
            <v>75.265000000000001</v>
          </cell>
          <cell r="F83">
            <v>12.15</v>
          </cell>
          <cell r="G83">
            <v>80</v>
          </cell>
        </row>
        <row r="84">
          <cell r="A84" t="str">
            <v xml:space="preserve"> 495  Колбаса Сочинка по-европейски с сочной грудинкой 0,3кг ТМ Стародворье  ПОКОМ</v>
          </cell>
          <cell r="B84">
            <v>0.3</v>
          </cell>
          <cell r="C84">
            <v>27</v>
          </cell>
          <cell r="D84">
            <v>17.100000000000001</v>
          </cell>
          <cell r="E84">
            <v>204</v>
          </cell>
          <cell r="F84">
            <v>7</v>
          </cell>
          <cell r="G84">
            <v>40</v>
          </cell>
        </row>
        <row r="85">
          <cell r="A85" t="str">
            <v xml:space="preserve"> 496  Колбаса Сочинка по-фински с сочным окроком 0,3кг ТМ Стародворье  ПОКОМ</v>
          </cell>
          <cell r="B85">
            <v>0.3</v>
          </cell>
          <cell r="C85">
            <v>26.1</v>
          </cell>
          <cell r="D85">
            <v>20.399999999999999</v>
          </cell>
          <cell r="E85">
            <v>102</v>
          </cell>
          <cell r="F85">
            <v>9</v>
          </cell>
          <cell r="G85">
            <v>80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>
            <v>0.3</v>
          </cell>
          <cell r="C86">
            <v>36</v>
          </cell>
          <cell r="D86">
            <v>19.2</v>
          </cell>
          <cell r="E86">
            <v>102</v>
          </cell>
          <cell r="F86">
            <v>3</v>
          </cell>
          <cell r="G86">
            <v>150</v>
          </cell>
        </row>
        <row r="87">
          <cell r="A87" t="str">
            <v>298  Колбаса Сливушка ТМ Вязанка, 0,375кг,  ПОКОМ</v>
          </cell>
          <cell r="B87">
            <v>0.375</v>
          </cell>
          <cell r="C87">
            <v>96.75</v>
          </cell>
          <cell r="D87">
            <v>72.75</v>
          </cell>
          <cell r="E87">
            <v>190</v>
          </cell>
          <cell r="F87">
            <v>0</v>
          </cell>
          <cell r="G87">
            <v>300</v>
          </cell>
        </row>
        <row r="88">
          <cell r="A88" t="str">
            <v>БОНУС_ 307  Колбаса Сервелат Мясорубский с мелкорубленным окороком 0,35 кг срез ТМ Стародворье</v>
          </cell>
          <cell r="B88">
            <v>0.35</v>
          </cell>
          <cell r="C88">
            <v>7.7</v>
          </cell>
          <cell r="D88">
            <v>7.7</v>
          </cell>
          <cell r="F88">
            <v>0</v>
          </cell>
        </row>
        <row r="89">
          <cell r="A89" t="str">
            <v>БОНУС_ 319  Колбаса вареная Филейская ТМ Вязанка ТС Классическая, 0,45 кг. ПОКОМ</v>
          </cell>
          <cell r="B89">
            <v>0.45</v>
          </cell>
          <cell r="C89">
            <v>18.45</v>
          </cell>
          <cell r="D89">
            <v>18</v>
          </cell>
          <cell r="F89">
            <v>0</v>
          </cell>
        </row>
        <row r="90">
          <cell r="A90" t="str">
            <v>БОНУС_412  Сосиски Баварские ТМ Стародворье 0,35 кг ПОКОМ</v>
          </cell>
          <cell r="B90">
            <v>0.35</v>
          </cell>
          <cell r="C90">
            <v>17.850000000000001</v>
          </cell>
          <cell r="D90">
            <v>17.850000000000001</v>
          </cell>
          <cell r="F90">
            <v>0</v>
          </cell>
        </row>
        <row r="91">
          <cell r="A91" t="str">
            <v>Итого</v>
          </cell>
          <cell r="C91">
            <v>7616.31</v>
          </cell>
          <cell r="D91">
            <v>7076.732</v>
          </cell>
        </row>
        <row r="92">
          <cell r="G92">
            <v>14750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" sqref="Y1"/>
    </sheetView>
  </sheetViews>
  <sheetFormatPr defaultRowHeight="15" x14ac:dyDescent="0.25"/>
  <cols>
    <col min="1" max="1" width="70.140625" customWidth="1"/>
    <col min="2" max="2" width="3" customWidth="1"/>
    <col min="3" max="6" width="6.85546875" customWidth="1"/>
    <col min="7" max="7" width="5.85546875" style="8" customWidth="1"/>
    <col min="8" max="8" width="4.7109375" customWidth="1"/>
    <col min="9" max="9" width="12" customWidth="1"/>
    <col min="10" max="11" width="7" customWidth="1"/>
    <col min="12" max="14" width="0.5703125" customWidth="1"/>
    <col min="15" max="16" width="7" customWidth="1"/>
    <col min="17" max="18" width="7" style="20" customWidth="1"/>
    <col min="19" max="19" width="21" style="23" customWidth="1"/>
    <col min="20" max="21" width="5" customWidth="1"/>
    <col min="22" max="24" width="6" customWidth="1"/>
    <col min="25" max="25" width="50.5703125" customWidth="1"/>
    <col min="26" max="26" width="7" customWidth="1"/>
    <col min="27" max="27" width="3" customWidth="1"/>
    <col min="28" max="28" width="12.42578125" style="25" customWidth="1"/>
    <col min="29" max="53" width="3" customWidth="1"/>
  </cols>
  <sheetData>
    <row r="1" spans="1:53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>
        <v>8333.5</v>
      </c>
      <c r="S1" s="2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143</v>
      </c>
      <c r="S2" s="2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2" t="s">
        <v>134</v>
      </c>
      <c r="R3" s="2" t="s">
        <v>134</v>
      </c>
      <c r="S3" s="22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 t="s">
        <v>140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9" t="s">
        <v>125</v>
      </c>
      <c r="O4" s="1" t="s">
        <v>22</v>
      </c>
      <c r="P4" s="1"/>
      <c r="Q4" s="1" t="s">
        <v>135</v>
      </c>
      <c r="R4" s="1" t="s">
        <v>142</v>
      </c>
      <c r="S4" s="21"/>
      <c r="T4" s="1"/>
      <c r="U4" s="1"/>
      <c r="V4" s="1" t="s">
        <v>23</v>
      </c>
      <c r="W4" s="1" t="s">
        <v>24</v>
      </c>
      <c r="X4" s="1" t="s">
        <v>25</v>
      </c>
      <c r="Y4" s="1"/>
      <c r="Z4" s="1"/>
      <c r="AA4" s="1"/>
      <c r="AB4" s="1" t="s">
        <v>141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SUM(E6:E494)</f>
        <v>5163.2690000000011</v>
      </c>
      <c r="F5" s="4">
        <f>SUM(F6:F494)</f>
        <v>11785.064000000004</v>
      </c>
      <c r="G5" s="6"/>
      <c r="H5" s="1"/>
      <c r="I5" s="1"/>
      <c r="J5" s="4">
        <f t="shared" ref="J5:R5" si="0">SUM(J6:J494)</f>
        <v>7030.5849999999991</v>
      </c>
      <c r="K5" s="4">
        <f t="shared" si="0"/>
        <v>-1867.3159999999998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1032.6538000000003</v>
      </c>
      <c r="P5" s="4">
        <f t="shared" si="0"/>
        <v>3226.395</v>
      </c>
      <c r="Q5" s="4">
        <f t="shared" si="0"/>
        <v>12023.3752</v>
      </c>
      <c r="R5" s="4">
        <f t="shared" si="0"/>
        <v>14750</v>
      </c>
      <c r="S5" s="21"/>
      <c r="T5" s="1"/>
      <c r="U5" s="1"/>
      <c r="V5" s="4">
        <f>SUM(V6:V494)</f>
        <v>999.03019999999981</v>
      </c>
      <c r="W5" s="4">
        <f>SUM(W6:W494)</f>
        <v>1568.4059999999997</v>
      </c>
      <c r="X5" s="4">
        <f>SUM(X6:X494)</f>
        <v>546.12139999999988</v>
      </c>
      <c r="Y5" s="1"/>
      <c r="Z5" s="4">
        <f>SUM(Z6:Z494)</f>
        <v>8391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26</v>
      </c>
      <c r="B6" s="1" t="s">
        <v>27</v>
      </c>
      <c r="C6" s="1">
        <v>36.295000000000002</v>
      </c>
      <c r="D6" s="1">
        <v>289.72699999999998</v>
      </c>
      <c r="E6" s="1">
        <v>50.253999999999998</v>
      </c>
      <c r="F6" s="1">
        <v>274.40600000000001</v>
      </c>
      <c r="G6" s="6">
        <v>1</v>
      </c>
      <c r="H6" s="1">
        <v>50</v>
      </c>
      <c r="I6" s="1" t="s">
        <v>28</v>
      </c>
      <c r="J6" s="1">
        <v>126.9</v>
      </c>
      <c r="K6" s="1">
        <f t="shared" ref="K6:K37" si="1">E6-J6</f>
        <v>-76.646000000000015</v>
      </c>
      <c r="L6" s="1"/>
      <c r="M6" s="1"/>
      <c r="N6" s="1"/>
      <c r="O6" s="1">
        <f t="shared" ref="O6:O37" si="2">E6/5</f>
        <v>10.050799999999999</v>
      </c>
      <c r="P6" s="5"/>
      <c r="Q6" s="19">
        <f>P6</f>
        <v>0</v>
      </c>
      <c r="R6" s="26">
        <f>IFERROR(VLOOKUP(A6,[1]TDSheet!$A:$G,7,0),0)</f>
        <v>450</v>
      </c>
      <c r="S6" s="21"/>
      <c r="T6" s="1">
        <f>(F6+Q6)/O6</f>
        <v>27.301906315915154</v>
      </c>
      <c r="U6" s="1">
        <f t="shared" ref="U6:U37" si="3">F6/O6</f>
        <v>27.301906315915154</v>
      </c>
      <c r="V6" s="1">
        <v>14.331</v>
      </c>
      <c r="W6" s="1">
        <v>23.507400000000001</v>
      </c>
      <c r="X6" s="1">
        <v>6.4561999999999999</v>
      </c>
      <c r="Y6" s="1"/>
      <c r="Z6" s="1">
        <f>ROUND(G6*Q6,0)+AB6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29</v>
      </c>
      <c r="B7" s="1" t="s">
        <v>27</v>
      </c>
      <c r="C7" s="1">
        <v>118.276</v>
      </c>
      <c r="D7" s="1"/>
      <c r="E7" s="1">
        <v>16.399000000000001</v>
      </c>
      <c r="F7" s="1">
        <v>93.805000000000007</v>
      </c>
      <c r="G7" s="6">
        <v>1</v>
      </c>
      <c r="H7" s="1">
        <v>40</v>
      </c>
      <c r="I7" s="1" t="s">
        <v>28</v>
      </c>
      <c r="J7" s="1">
        <v>22.5</v>
      </c>
      <c r="K7" s="1">
        <f t="shared" si="1"/>
        <v>-6.1009999999999991</v>
      </c>
      <c r="L7" s="1"/>
      <c r="M7" s="1"/>
      <c r="N7" s="1"/>
      <c r="O7" s="1">
        <f t="shared" si="2"/>
        <v>3.2798000000000003</v>
      </c>
      <c r="P7" s="5"/>
      <c r="Q7" s="19">
        <f t="shared" ref="Q7:Q70" si="4">P7</f>
        <v>0</v>
      </c>
      <c r="R7" s="26">
        <f>IFERROR(VLOOKUP(A7,[1]TDSheet!$A:$G,7,0),0)</f>
        <v>0</v>
      </c>
      <c r="S7" s="21"/>
      <c r="T7" s="1">
        <f t="shared" ref="T7:T70" si="5">(F7+Q7)/O7</f>
        <v>28.600829318860907</v>
      </c>
      <c r="U7" s="1">
        <f t="shared" si="3"/>
        <v>28.600829318860907</v>
      </c>
      <c r="V7" s="1">
        <v>1.2121999999999999</v>
      </c>
      <c r="W7" s="1">
        <v>1.9254</v>
      </c>
      <c r="X7" s="1">
        <v>0.34660000000000002</v>
      </c>
      <c r="Y7" s="18" t="s">
        <v>30</v>
      </c>
      <c r="Z7" s="1">
        <f t="shared" ref="Z7:Z70" si="6">ROUND(G7*Q7,0)+AB7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31</v>
      </c>
      <c r="B8" s="1" t="s">
        <v>27</v>
      </c>
      <c r="C8" s="1">
        <v>-5.0380000000000003</v>
      </c>
      <c r="D8" s="1">
        <v>86.29</v>
      </c>
      <c r="E8" s="1">
        <v>62.22</v>
      </c>
      <c r="F8" s="1">
        <v>17.681999999999999</v>
      </c>
      <c r="G8" s="6">
        <v>1</v>
      </c>
      <c r="H8" s="1">
        <v>45</v>
      </c>
      <c r="I8" s="1" t="s">
        <v>28</v>
      </c>
      <c r="J8" s="1">
        <v>64.599999999999994</v>
      </c>
      <c r="K8" s="1">
        <f t="shared" si="1"/>
        <v>-2.3799999999999955</v>
      </c>
      <c r="L8" s="1"/>
      <c r="M8" s="1"/>
      <c r="N8" s="1"/>
      <c r="O8" s="1">
        <f t="shared" si="2"/>
        <v>12.443999999999999</v>
      </c>
      <c r="P8" s="5">
        <f>9*O8-F8</f>
        <v>94.313999999999993</v>
      </c>
      <c r="Q8" s="19">
        <f t="shared" si="4"/>
        <v>94.313999999999993</v>
      </c>
      <c r="R8" s="26">
        <f>IFERROR(VLOOKUP(A8,[1]TDSheet!$A:$G,7,0),0)</f>
        <v>100</v>
      </c>
      <c r="S8" s="21"/>
      <c r="T8" s="1">
        <f t="shared" si="5"/>
        <v>9</v>
      </c>
      <c r="U8" s="1">
        <f t="shared" si="3"/>
        <v>1.4209257473481196</v>
      </c>
      <c r="V8" s="1">
        <v>10.566599999999999</v>
      </c>
      <c r="W8" s="1">
        <v>5.1516000000000002</v>
      </c>
      <c r="X8" s="1">
        <v>4.5624000000000002</v>
      </c>
      <c r="Y8" s="1"/>
      <c r="Z8" s="1">
        <f t="shared" si="6"/>
        <v>94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32</v>
      </c>
      <c r="B9" s="1" t="s">
        <v>27</v>
      </c>
      <c r="C9" s="1">
        <v>-3.8010000000000002</v>
      </c>
      <c r="D9" s="1">
        <v>82.563000000000002</v>
      </c>
      <c r="E9" s="1">
        <v>45.792000000000002</v>
      </c>
      <c r="F9" s="1">
        <v>32.982999999999997</v>
      </c>
      <c r="G9" s="6">
        <v>1</v>
      </c>
      <c r="H9" s="1">
        <v>45</v>
      </c>
      <c r="I9" s="1" t="s">
        <v>28</v>
      </c>
      <c r="J9" s="1">
        <v>45.3</v>
      </c>
      <c r="K9" s="1">
        <f t="shared" si="1"/>
        <v>0.49200000000000443</v>
      </c>
      <c r="L9" s="1"/>
      <c r="M9" s="1"/>
      <c r="N9" s="1"/>
      <c r="O9" s="1">
        <f t="shared" si="2"/>
        <v>9.1584000000000003</v>
      </c>
      <c r="P9" s="5">
        <f>13*O9-F9</f>
        <v>86.0762</v>
      </c>
      <c r="Q9" s="19">
        <f t="shared" si="4"/>
        <v>86.0762</v>
      </c>
      <c r="R9" s="26">
        <f>IFERROR(VLOOKUP(A9,[1]TDSheet!$A:$G,7,0),0)</f>
        <v>80</v>
      </c>
      <c r="S9" s="21"/>
      <c r="T9" s="1">
        <f t="shared" si="5"/>
        <v>13</v>
      </c>
      <c r="U9" s="1">
        <f t="shared" si="3"/>
        <v>3.6013932564640108</v>
      </c>
      <c r="V9" s="1">
        <v>8.3090000000000011</v>
      </c>
      <c r="W9" s="1">
        <v>5.6867999999999999</v>
      </c>
      <c r="X9" s="1">
        <v>4.7953999999999999</v>
      </c>
      <c r="Y9" s="1"/>
      <c r="Z9" s="1">
        <f t="shared" si="6"/>
        <v>86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33</v>
      </c>
      <c r="B10" s="1" t="s">
        <v>34</v>
      </c>
      <c r="C10" s="1">
        <v>-10.446999999999999</v>
      </c>
      <c r="D10" s="1">
        <v>400</v>
      </c>
      <c r="E10" s="1">
        <v>71.400000000000006</v>
      </c>
      <c r="F10" s="1">
        <v>309.15300000000002</v>
      </c>
      <c r="G10" s="6">
        <v>0.4</v>
      </c>
      <c r="H10" s="1">
        <v>50</v>
      </c>
      <c r="I10" s="1" t="s">
        <v>28</v>
      </c>
      <c r="J10" s="1">
        <v>138</v>
      </c>
      <c r="K10" s="1">
        <f t="shared" si="1"/>
        <v>-66.599999999999994</v>
      </c>
      <c r="L10" s="1"/>
      <c r="M10" s="1"/>
      <c r="N10" s="1"/>
      <c r="O10" s="1">
        <f t="shared" si="2"/>
        <v>14.280000000000001</v>
      </c>
      <c r="P10" s="5"/>
      <c r="Q10" s="19">
        <f t="shared" si="4"/>
        <v>0</v>
      </c>
      <c r="R10" s="26">
        <f>IFERROR(VLOOKUP(A10,[1]TDSheet!$A:$G,7,0),0)</f>
        <v>800</v>
      </c>
      <c r="S10" s="21"/>
      <c r="T10" s="1">
        <f t="shared" si="5"/>
        <v>21.649369747899158</v>
      </c>
      <c r="U10" s="1">
        <f t="shared" si="3"/>
        <v>21.649369747899158</v>
      </c>
      <c r="V10" s="1">
        <v>11.823</v>
      </c>
      <c r="W10" s="1">
        <v>42.489400000000003</v>
      </c>
      <c r="X10" s="1">
        <v>14.2</v>
      </c>
      <c r="Y10" s="1"/>
      <c r="Z10" s="1">
        <f t="shared" si="6"/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35</v>
      </c>
      <c r="B11" s="1" t="s">
        <v>34</v>
      </c>
      <c r="C11" s="1">
        <v>-8</v>
      </c>
      <c r="D11" s="1">
        <v>241</v>
      </c>
      <c r="E11" s="1">
        <v>71</v>
      </c>
      <c r="F11" s="1">
        <v>157</v>
      </c>
      <c r="G11" s="6">
        <v>0.45</v>
      </c>
      <c r="H11" s="1">
        <v>45</v>
      </c>
      <c r="I11" s="1" t="s">
        <v>28</v>
      </c>
      <c r="J11" s="1">
        <v>101</v>
      </c>
      <c r="K11" s="1">
        <f t="shared" si="1"/>
        <v>-30</v>
      </c>
      <c r="L11" s="1"/>
      <c r="M11" s="1"/>
      <c r="N11" s="1"/>
      <c r="O11" s="1">
        <f t="shared" si="2"/>
        <v>14.2</v>
      </c>
      <c r="P11" s="5">
        <f>13*O11-F11</f>
        <v>27.599999999999994</v>
      </c>
      <c r="Q11" s="19">
        <f t="shared" si="4"/>
        <v>27.599999999999994</v>
      </c>
      <c r="R11" s="26">
        <f>IFERROR(VLOOKUP(A11,[1]TDSheet!$A:$G,7,0),0)</f>
        <v>0</v>
      </c>
      <c r="S11" s="21"/>
      <c r="T11" s="1">
        <f t="shared" si="5"/>
        <v>13</v>
      </c>
      <c r="U11" s="1">
        <f t="shared" si="3"/>
        <v>11.056338028169014</v>
      </c>
      <c r="V11" s="1">
        <v>12.2</v>
      </c>
      <c r="W11" s="1">
        <v>19.2</v>
      </c>
      <c r="X11" s="1">
        <v>10</v>
      </c>
      <c r="Y11" s="1"/>
      <c r="Z11" s="1">
        <f t="shared" si="6"/>
        <v>12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36</v>
      </c>
      <c r="B12" s="1" t="s">
        <v>34</v>
      </c>
      <c r="C12" s="1">
        <v>-5</v>
      </c>
      <c r="D12" s="1">
        <v>372</v>
      </c>
      <c r="E12" s="15">
        <f>6+E13</f>
        <v>40</v>
      </c>
      <c r="F12" s="15">
        <f>361+F13</f>
        <v>323</v>
      </c>
      <c r="G12" s="6">
        <v>0.33</v>
      </c>
      <c r="H12" s="1">
        <v>45</v>
      </c>
      <c r="I12" s="1" t="s">
        <v>28</v>
      </c>
      <c r="J12" s="1">
        <v>48</v>
      </c>
      <c r="K12" s="1">
        <f t="shared" si="1"/>
        <v>-8</v>
      </c>
      <c r="L12" s="1"/>
      <c r="M12" s="1"/>
      <c r="N12" s="1"/>
      <c r="O12" s="1">
        <f t="shared" si="2"/>
        <v>8</v>
      </c>
      <c r="P12" s="5"/>
      <c r="Q12" s="19">
        <f t="shared" si="4"/>
        <v>0</v>
      </c>
      <c r="R12" s="26">
        <f>IFERROR(VLOOKUP(A12,[1]TDSheet!$A:$G,7,0),0)</f>
        <v>400</v>
      </c>
      <c r="S12" s="21"/>
      <c r="T12" s="1">
        <f t="shared" si="5"/>
        <v>40.375</v>
      </c>
      <c r="U12" s="1">
        <f t="shared" si="3"/>
        <v>40.375</v>
      </c>
      <c r="V12" s="1">
        <v>15.8</v>
      </c>
      <c r="W12" s="1">
        <v>45.4</v>
      </c>
      <c r="X12" s="1">
        <v>11.4</v>
      </c>
      <c r="Y12" s="9" t="s">
        <v>75</v>
      </c>
      <c r="Z12" s="1">
        <f t="shared" si="6"/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0" t="s">
        <v>37</v>
      </c>
      <c r="B13" s="11" t="s">
        <v>34</v>
      </c>
      <c r="C13" s="11"/>
      <c r="D13" s="11"/>
      <c r="E13" s="15">
        <v>34</v>
      </c>
      <c r="F13" s="15">
        <v>-38</v>
      </c>
      <c r="G13" s="12">
        <v>0</v>
      </c>
      <c r="H13" s="11" t="e">
        <v>#N/A</v>
      </c>
      <c r="I13" s="11" t="s">
        <v>43</v>
      </c>
      <c r="J13" s="11">
        <v>64</v>
      </c>
      <c r="K13" s="11">
        <f t="shared" si="1"/>
        <v>-30</v>
      </c>
      <c r="L13" s="11"/>
      <c r="M13" s="11"/>
      <c r="N13" s="11"/>
      <c r="O13" s="11">
        <f t="shared" si="2"/>
        <v>6.8</v>
      </c>
      <c r="P13" s="13"/>
      <c r="Q13" s="19">
        <f t="shared" si="4"/>
        <v>0</v>
      </c>
      <c r="R13" s="26">
        <f>IFERROR(VLOOKUP(A13,[1]TDSheet!$A:$G,7,0),0)</f>
        <v>0</v>
      </c>
      <c r="S13" s="21"/>
      <c r="T13" s="1">
        <f t="shared" si="5"/>
        <v>-5.5882352941176476</v>
      </c>
      <c r="U13" s="11">
        <f t="shared" si="3"/>
        <v>-5.5882352941176476</v>
      </c>
      <c r="V13" s="11">
        <v>0</v>
      </c>
      <c r="W13" s="11">
        <v>0</v>
      </c>
      <c r="X13" s="11">
        <v>0</v>
      </c>
      <c r="Y13" s="10" t="s">
        <v>122</v>
      </c>
      <c r="Z13" s="1">
        <f t="shared" si="6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38</v>
      </c>
      <c r="B14" s="1" t="s">
        <v>34</v>
      </c>
      <c r="C14" s="1">
        <v>9</v>
      </c>
      <c r="D14" s="1"/>
      <c r="E14" s="1">
        <v>10</v>
      </c>
      <c r="F14" s="1">
        <v>-1</v>
      </c>
      <c r="G14" s="6">
        <v>0.5</v>
      </c>
      <c r="H14" s="1">
        <v>40</v>
      </c>
      <c r="I14" s="1" t="s">
        <v>28</v>
      </c>
      <c r="J14" s="1">
        <v>13</v>
      </c>
      <c r="K14" s="1">
        <f t="shared" si="1"/>
        <v>-3</v>
      </c>
      <c r="L14" s="1"/>
      <c r="M14" s="1"/>
      <c r="N14" s="1"/>
      <c r="O14" s="1">
        <f t="shared" si="2"/>
        <v>2</v>
      </c>
      <c r="P14" s="5">
        <v>50</v>
      </c>
      <c r="Q14" s="19">
        <f t="shared" si="4"/>
        <v>50</v>
      </c>
      <c r="R14" s="26">
        <f>IFERROR(VLOOKUP(A14,[1]TDSheet!$A:$G,7,0),0)</f>
        <v>0</v>
      </c>
      <c r="S14" s="21"/>
      <c r="T14" s="1">
        <f t="shared" si="5"/>
        <v>24.5</v>
      </c>
      <c r="U14" s="1">
        <f t="shared" si="3"/>
        <v>-0.5</v>
      </c>
      <c r="V14" s="1">
        <v>7.6</v>
      </c>
      <c r="W14" s="1">
        <v>9</v>
      </c>
      <c r="X14" s="1">
        <v>0</v>
      </c>
      <c r="Y14" s="24" t="s">
        <v>138</v>
      </c>
      <c r="Z14" s="1">
        <f t="shared" si="6"/>
        <v>25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39</v>
      </c>
      <c r="B15" s="1" t="s">
        <v>34</v>
      </c>
      <c r="C15" s="1">
        <v>15</v>
      </c>
      <c r="D15" s="1">
        <v>90</v>
      </c>
      <c r="E15" s="1">
        <v>24</v>
      </c>
      <c r="F15" s="1">
        <v>78</v>
      </c>
      <c r="G15" s="6">
        <v>0.17</v>
      </c>
      <c r="H15" s="1">
        <v>180</v>
      </c>
      <c r="I15" s="1" t="s">
        <v>28</v>
      </c>
      <c r="J15" s="1">
        <v>32</v>
      </c>
      <c r="K15" s="1">
        <f t="shared" si="1"/>
        <v>-8</v>
      </c>
      <c r="L15" s="1"/>
      <c r="M15" s="1"/>
      <c r="N15" s="1"/>
      <c r="O15" s="1">
        <f t="shared" si="2"/>
        <v>4.8</v>
      </c>
      <c r="P15" s="5"/>
      <c r="Q15" s="19">
        <f t="shared" si="4"/>
        <v>0</v>
      </c>
      <c r="R15" s="26">
        <f>IFERROR(VLOOKUP(A15,[1]TDSheet!$A:$G,7,0),0)</f>
        <v>0</v>
      </c>
      <c r="S15" s="21"/>
      <c r="T15" s="1">
        <f t="shared" si="5"/>
        <v>16.25</v>
      </c>
      <c r="U15" s="1">
        <f t="shared" si="3"/>
        <v>16.25</v>
      </c>
      <c r="V15" s="1">
        <v>7.2</v>
      </c>
      <c r="W15" s="1">
        <v>9</v>
      </c>
      <c r="X15" s="1">
        <v>0</v>
      </c>
      <c r="Y15" s="1"/>
      <c r="Z15" s="1">
        <f t="shared" si="6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40</v>
      </c>
      <c r="B16" s="1" t="s">
        <v>34</v>
      </c>
      <c r="C16" s="1"/>
      <c r="D16" s="1">
        <v>120</v>
      </c>
      <c r="E16" s="1">
        <v>105</v>
      </c>
      <c r="F16" s="1">
        <v>11</v>
      </c>
      <c r="G16" s="6">
        <v>0.3</v>
      </c>
      <c r="H16" s="1">
        <v>40</v>
      </c>
      <c r="I16" s="1" t="s">
        <v>28</v>
      </c>
      <c r="J16" s="1">
        <v>116</v>
      </c>
      <c r="K16" s="1">
        <f t="shared" si="1"/>
        <v>-11</v>
      </c>
      <c r="L16" s="1"/>
      <c r="M16" s="1"/>
      <c r="N16" s="1"/>
      <c r="O16" s="1">
        <f t="shared" si="2"/>
        <v>21</v>
      </c>
      <c r="P16" s="5">
        <f>9*O16-F16</f>
        <v>178</v>
      </c>
      <c r="Q16" s="19">
        <f>S16</f>
        <v>220</v>
      </c>
      <c r="R16" s="26">
        <f>IFERROR(VLOOKUP(A16,[1]TDSheet!$A:$G,7,0),0)</f>
        <v>0</v>
      </c>
      <c r="S16" s="21">
        <v>220</v>
      </c>
      <c r="T16" s="1">
        <f t="shared" si="5"/>
        <v>11</v>
      </c>
      <c r="U16" s="1">
        <f t="shared" si="3"/>
        <v>0.52380952380952384</v>
      </c>
      <c r="V16" s="1">
        <v>16.399999999999999</v>
      </c>
      <c r="W16" s="1">
        <v>8.6</v>
      </c>
      <c r="X16" s="1">
        <v>10.4</v>
      </c>
      <c r="Y16" s="1"/>
      <c r="Z16" s="1">
        <f t="shared" si="6"/>
        <v>66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41</v>
      </c>
      <c r="B17" s="1" t="s">
        <v>34</v>
      </c>
      <c r="C17" s="1"/>
      <c r="D17" s="1">
        <v>105</v>
      </c>
      <c r="E17" s="1">
        <v>38</v>
      </c>
      <c r="F17" s="1">
        <v>66</v>
      </c>
      <c r="G17" s="6">
        <v>0.17</v>
      </c>
      <c r="H17" s="1">
        <v>180</v>
      </c>
      <c r="I17" s="1" t="s">
        <v>28</v>
      </c>
      <c r="J17" s="1">
        <v>48</v>
      </c>
      <c r="K17" s="1">
        <f t="shared" si="1"/>
        <v>-10</v>
      </c>
      <c r="L17" s="1"/>
      <c r="M17" s="1"/>
      <c r="N17" s="1"/>
      <c r="O17" s="1">
        <f t="shared" si="2"/>
        <v>7.6</v>
      </c>
      <c r="P17" s="5">
        <f>13*O17-F17</f>
        <v>32.799999999999997</v>
      </c>
      <c r="Q17" s="19">
        <f>S17</f>
        <v>50</v>
      </c>
      <c r="R17" s="26">
        <f>IFERROR(VLOOKUP(A17,[1]TDSheet!$A:$G,7,0),0)</f>
        <v>400</v>
      </c>
      <c r="S17" s="21">
        <v>50</v>
      </c>
      <c r="T17" s="1">
        <f t="shared" si="5"/>
        <v>15.263157894736842</v>
      </c>
      <c r="U17" s="1">
        <f t="shared" si="3"/>
        <v>8.6842105263157894</v>
      </c>
      <c r="V17" s="1">
        <v>7</v>
      </c>
      <c r="W17" s="1">
        <v>12</v>
      </c>
      <c r="X17" s="1">
        <v>0</v>
      </c>
      <c r="Y17" s="1"/>
      <c r="Z17" s="1">
        <f t="shared" si="6"/>
        <v>9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0" t="s">
        <v>42</v>
      </c>
      <c r="B18" s="11" t="s">
        <v>34</v>
      </c>
      <c r="C18" s="11"/>
      <c r="D18" s="11"/>
      <c r="E18" s="15">
        <v>1</v>
      </c>
      <c r="F18" s="15">
        <v>-1</v>
      </c>
      <c r="G18" s="12">
        <v>0</v>
      </c>
      <c r="H18" s="11" t="e">
        <v>#N/A</v>
      </c>
      <c r="I18" s="11" t="s">
        <v>43</v>
      </c>
      <c r="J18" s="11">
        <v>5</v>
      </c>
      <c r="K18" s="11">
        <f t="shared" si="1"/>
        <v>-4</v>
      </c>
      <c r="L18" s="11"/>
      <c r="M18" s="11"/>
      <c r="N18" s="11"/>
      <c r="O18" s="11">
        <f t="shared" si="2"/>
        <v>0.2</v>
      </c>
      <c r="P18" s="13"/>
      <c r="Q18" s="19">
        <f t="shared" si="4"/>
        <v>0</v>
      </c>
      <c r="R18" s="26">
        <f>IFERROR(VLOOKUP(A18,[1]TDSheet!$A:$G,7,0),0)</f>
        <v>0</v>
      </c>
      <c r="S18" s="21"/>
      <c r="T18" s="1">
        <f t="shared" si="5"/>
        <v>-5</v>
      </c>
      <c r="U18" s="11">
        <f t="shared" si="3"/>
        <v>-5</v>
      </c>
      <c r="V18" s="11">
        <v>0.2</v>
      </c>
      <c r="W18" s="11">
        <v>0</v>
      </c>
      <c r="X18" s="11">
        <v>0</v>
      </c>
      <c r="Y18" s="10" t="s">
        <v>123</v>
      </c>
      <c r="Z18" s="1">
        <f t="shared" si="6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1" t="s">
        <v>44</v>
      </c>
      <c r="B19" s="11" t="s">
        <v>34</v>
      </c>
      <c r="C19" s="11"/>
      <c r="D19" s="11"/>
      <c r="E19" s="15">
        <v>4</v>
      </c>
      <c r="F19" s="15">
        <v>-4</v>
      </c>
      <c r="G19" s="12">
        <v>0</v>
      </c>
      <c r="H19" s="11" t="e">
        <v>#N/A</v>
      </c>
      <c r="I19" s="11" t="s">
        <v>43</v>
      </c>
      <c r="J19" s="11">
        <v>10</v>
      </c>
      <c r="K19" s="11">
        <f t="shared" si="1"/>
        <v>-6</v>
      </c>
      <c r="L19" s="11"/>
      <c r="M19" s="11"/>
      <c r="N19" s="11"/>
      <c r="O19" s="11">
        <f t="shared" si="2"/>
        <v>0.8</v>
      </c>
      <c r="P19" s="13"/>
      <c r="Q19" s="19">
        <f t="shared" si="4"/>
        <v>0</v>
      </c>
      <c r="R19" s="26">
        <f>IFERROR(VLOOKUP(A19,[1]TDSheet!$A:$G,7,0),0)</f>
        <v>0</v>
      </c>
      <c r="S19" s="21"/>
      <c r="T19" s="1">
        <f t="shared" si="5"/>
        <v>-5</v>
      </c>
      <c r="U19" s="11">
        <f t="shared" si="3"/>
        <v>-5</v>
      </c>
      <c r="V19" s="11">
        <v>0.4</v>
      </c>
      <c r="W19" s="11">
        <v>0</v>
      </c>
      <c r="X19" s="11">
        <v>0</v>
      </c>
      <c r="Y19" s="11" t="s">
        <v>45</v>
      </c>
      <c r="Z19" s="1">
        <f t="shared" si="6"/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46</v>
      </c>
      <c r="B20" s="1" t="s">
        <v>34</v>
      </c>
      <c r="C20" s="1">
        <v>3</v>
      </c>
      <c r="D20" s="1">
        <v>60</v>
      </c>
      <c r="E20" s="1">
        <v>8</v>
      </c>
      <c r="F20" s="1">
        <v>54</v>
      </c>
      <c r="G20" s="6">
        <v>0.35</v>
      </c>
      <c r="H20" s="1">
        <v>50</v>
      </c>
      <c r="I20" s="1" t="s">
        <v>28</v>
      </c>
      <c r="J20" s="1">
        <v>15</v>
      </c>
      <c r="K20" s="1">
        <f t="shared" si="1"/>
        <v>-7</v>
      </c>
      <c r="L20" s="1"/>
      <c r="M20" s="1"/>
      <c r="N20" s="1"/>
      <c r="O20" s="1">
        <f t="shared" si="2"/>
        <v>1.6</v>
      </c>
      <c r="P20" s="5"/>
      <c r="Q20" s="19">
        <f t="shared" ref="Q20:Q25" si="7">S20</f>
        <v>80</v>
      </c>
      <c r="R20" s="26">
        <f>IFERROR(VLOOKUP(A20,[1]TDSheet!$A:$G,7,0),0)</f>
        <v>150</v>
      </c>
      <c r="S20" s="21">
        <v>80</v>
      </c>
      <c r="T20" s="1">
        <f t="shared" si="5"/>
        <v>83.75</v>
      </c>
      <c r="U20" s="1">
        <f t="shared" si="3"/>
        <v>33.75</v>
      </c>
      <c r="V20" s="1">
        <v>3.8</v>
      </c>
      <c r="W20" s="1">
        <v>7.4</v>
      </c>
      <c r="X20" s="1">
        <v>3</v>
      </c>
      <c r="Y20" s="1"/>
      <c r="Z20" s="1">
        <f t="shared" si="6"/>
        <v>28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47</v>
      </c>
      <c r="B21" s="1" t="s">
        <v>27</v>
      </c>
      <c r="C21" s="1">
        <v>33.863999999999997</v>
      </c>
      <c r="D21" s="1">
        <v>10.53</v>
      </c>
      <c r="E21" s="1">
        <v>37.939</v>
      </c>
      <c r="F21" s="1">
        <v>6.4550000000000001</v>
      </c>
      <c r="G21" s="6">
        <v>1</v>
      </c>
      <c r="H21" s="1">
        <v>55</v>
      </c>
      <c r="I21" s="1" t="s">
        <v>28</v>
      </c>
      <c r="J21" s="1">
        <v>37</v>
      </c>
      <c r="K21" s="1">
        <f t="shared" si="1"/>
        <v>0.93900000000000006</v>
      </c>
      <c r="L21" s="1"/>
      <c r="M21" s="1"/>
      <c r="N21" s="1"/>
      <c r="O21" s="1">
        <f t="shared" si="2"/>
        <v>7.5877999999999997</v>
      </c>
      <c r="P21" s="5">
        <f>9*O21-F21</f>
        <v>61.8352</v>
      </c>
      <c r="Q21" s="19">
        <f t="shared" si="7"/>
        <v>80</v>
      </c>
      <c r="R21" s="26">
        <f>IFERROR(VLOOKUP(A21,[1]TDSheet!$A:$G,7,0),0)</f>
        <v>20</v>
      </c>
      <c r="S21" s="21">
        <v>80</v>
      </c>
      <c r="T21" s="1">
        <f t="shared" si="5"/>
        <v>11.393948179973115</v>
      </c>
      <c r="U21" s="1">
        <f t="shared" si="3"/>
        <v>0.85070771501621023</v>
      </c>
      <c r="V21" s="1">
        <v>4.0434000000000001</v>
      </c>
      <c r="W21" s="1">
        <v>3.3435999999999999</v>
      </c>
      <c r="X21" s="1">
        <v>1.5835999999999999</v>
      </c>
      <c r="Y21" s="1"/>
      <c r="Z21" s="1">
        <f t="shared" si="6"/>
        <v>80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48</v>
      </c>
      <c r="B22" s="1" t="s">
        <v>27</v>
      </c>
      <c r="C22" s="1">
        <v>158.95099999999999</v>
      </c>
      <c r="D22" s="1">
        <v>508.50799999999998</v>
      </c>
      <c r="E22" s="1">
        <v>269.79700000000003</v>
      </c>
      <c r="F22" s="1">
        <v>392.65800000000002</v>
      </c>
      <c r="G22" s="6">
        <v>1</v>
      </c>
      <c r="H22" s="1">
        <v>50</v>
      </c>
      <c r="I22" s="1" t="s">
        <v>28</v>
      </c>
      <c r="J22" s="1">
        <v>317.7</v>
      </c>
      <c r="K22" s="1">
        <f t="shared" si="1"/>
        <v>-47.902999999999963</v>
      </c>
      <c r="L22" s="1"/>
      <c r="M22" s="1"/>
      <c r="N22" s="1"/>
      <c r="O22" s="1">
        <f t="shared" si="2"/>
        <v>53.959400000000002</v>
      </c>
      <c r="P22" s="5">
        <f>13*O22-F22</f>
        <v>308.81420000000003</v>
      </c>
      <c r="Q22" s="19">
        <f t="shared" si="7"/>
        <v>500</v>
      </c>
      <c r="R22" s="26">
        <f>IFERROR(VLOOKUP(A22,[1]TDSheet!$A:$G,7,0),0)</f>
        <v>500</v>
      </c>
      <c r="S22" s="21">
        <v>500</v>
      </c>
      <c r="T22" s="1">
        <f t="shared" si="5"/>
        <v>16.543141695422854</v>
      </c>
      <c r="U22" s="1">
        <f t="shared" si="3"/>
        <v>7.2769156069192764</v>
      </c>
      <c r="V22" s="1">
        <v>53.083799999999997</v>
      </c>
      <c r="W22" s="1">
        <v>45.033799999999999</v>
      </c>
      <c r="X22" s="1">
        <v>19.492999999999999</v>
      </c>
      <c r="Y22" s="1"/>
      <c r="Z22" s="1">
        <f t="shared" si="6"/>
        <v>470</v>
      </c>
      <c r="AA22" s="1"/>
      <c r="AB22" s="1">
        <v>-30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49</v>
      </c>
      <c r="B23" s="1" t="s">
        <v>27</v>
      </c>
      <c r="C23" s="1">
        <v>3.1139999999999999</v>
      </c>
      <c r="D23" s="1">
        <v>32.19</v>
      </c>
      <c r="E23" s="1">
        <v>13.231</v>
      </c>
      <c r="F23" s="1">
        <v>22.073</v>
      </c>
      <c r="G23" s="6">
        <v>1</v>
      </c>
      <c r="H23" s="1">
        <v>60</v>
      </c>
      <c r="I23" s="1" t="s">
        <v>28</v>
      </c>
      <c r="J23" s="1">
        <v>14.5</v>
      </c>
      <c r="K23" s="1">
        <f t="shared" si="1"/>
        <v>-1.2690000000000001</v>
      </c>
      <c r="L23" s="1"/>
      <c r="M23" s="1"/>
      <c r="N23" s="1"/>
      <c r="O23" s="1">
        <f t="shared" si="2"/>
        <v>2.6461999999999999</v>
      </c>
      <c r="P23" s="5">
        <f>13*O23-F23</f>
        <v>12.327599999999997</v>
      </c>
      <c r="Q23" s="19">
        <f t="shared" si="7"/>
        <v>30</v>
      </c>
      <c r="R23" s="26">
        <f>IFERROR(VLOOKUP(A23,[1]TDSheet!$A:$G,7,0),0)</f>
        <v>40</v>
      </c>
      <c r="S23" s="21">
        <v>30</v>
      </c>
      <c r="T23" s="1">
        <f t="shared" si="5"/>
        <v>19.67840677197491</v>
      </c>
      <c r="U23" s="1">
        <f t="shared" si="3"/>
        <v>8.3413952082231138</v>
      </c>
      <c r="V23" s="1">
        <v>2.9929999999999999</v>
      </c>
      <c r="W23" s="1">
        <v>3.1008</v>
      </c>
      <c r="X23" s="1">
        <v>1.5924</v>
      </c>
      <c r="Y23" s="1"/>
      <c r="Z23" s="1">
        <f t="shared" si="6"/>
        <v>30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50</v>
      </c>
      <c r="B24" s="1" t="s">
        <v>27</v>
      </c>
      <c r="C24" s="1">
        <v>5.05</v>
      </c>
      <c r="D24" s="1">
        <v>299.625</v>
      </c>
      <c r="E24" s="1">
        <v>80.117999999999995</v>
      </c>
      <c r="F24" s="1">
        <v>219.54400000000001</v>
      </c>
      <c r="G24" s="6">
        <v>1</v>
      </c>
      <c r="H24" s="1">
        <v>60</v>
      </c>
      <c r="I24" s="1" t="s">
        <v>28</v>
      </c>
      <c r="J24" s="1">
        <v>102.2</v>
      </c>
      <c r="K24" s="1">
        <f t="shared" si="1"/>
        <v>-22.082000000000008</v>
      </c>
      <c r="L24" s="1"/>
      <c r="M24" s="1"/>
      <c r="N24" s="1"/>
      <c r="O24" s="1">
        <f t="shared" si="2"/>
        <v>16.023599999999998</v>
      </c>
      <c r="P24" s="5"/>
      <c r="Q24" s="19">
        <f t="shared" si="7"/>
        <v>700</v>
      </c>
      <c r="R24" s="26">
        <f>IFERROR(VLOOKUP(A24,[1]TDSheet!$A:$G,7,0),0)</f>
        <v>150</v>
      </c>
      <c r="S24" s="21">
        <v>700</v>
      </c>
      <c r="T24" s="1">
        <f t="shared" si="5"/>
        <v>57.386854389775088</v>
      </c>
      <c r="U24" s="1">
        <f t="shared" si="3"/>
        <v>13.701290596370356</v>
      </c>
      <c r="V24" s="1">
        <v>23.026199999999999</v>
      </c>
      <c r="W24" s="1">
        <v>16.991</v>
      </c>
      <c r="X24" s="1">
        <v>6.0114000000000001</v>
      </c>
      <c r="Y24" s="1"/>
      <c r="Z24" s="1">
        <f t="shared" si="6"/>
        <v>660</v>
      </c>
      <c r="AA24" s="1"/>
      <c r="AB24" s="1">
        <v>-40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51</v>
      </c>
      <c r="B25" s="1" t="s">
        <v>27</v>
      </c>
      <c r="C25" s="1">
        <v>9.6950000000000003</v>
      </c>
      <c r="D25" s="1">
        <v>26.39</v>
      </c>
      <c r="E25" s="1">
        <v>10.571999999999999</v>
      </c>
      <c r="F25" s="1">
        <v>25.513000000000002</v>
      </c>
      <c r="G25" s="6">
        <v>1</v>
      </c>
      <c r="H25" s="1">
        <v>60</v>
      </c>
      <c r="I25" s="1" t="s">
        <v>28</v>
      </c>
      <c r="J25" s="1">
        <v>10.199999999999999</v>
      </c>
      <c r="K25" s="1">
        <f t="shared" si="1"/>
        <v>0.37199999999999989</v>
      </c>
      <c r="L25" s="1"/>
      <c r="M25" s="1"/>
      <c r="N25" s="1"/>
      <c r="O25" s="1">
        <f t="shared" si="2"/>
        <v>2.1143999999999998</v>
      </c>
      <c r="P25" s="5">
        <v>4</v>
      </c>
      <c r="Q25" s="19">
        <f t="shared" si="7"/>
        <v>20</v>
      </c>
      <c r="R25" s="26">
        <f>IFERROR(VLOOKUP(A25,[1]TDSheet!$A:$G,7,0),0)</f>
        <v>20</v>
      </c>
      <c r="S25" s="21">
        <v>20</v>
      </c>
      <c r="T25" s="1">
        <f t="shared" si="5"/>
        <v>21.525255391600457</v>
      </c>
      <c r="U25" s="1">
        <f t="shared" si="3"/>
        <v>12.0663072266364</v>
      </c>
      <c r="V25" s="1">
        <v>3.3460000000000001</v>
      </c>
      <c r="W25" s="1">
        <v>2.9931999999999999</v>
      </c>
      <c r="X25" s="1">
        <v>1.4157999999999999</v>
      </c>
      <c r="Y25" s="1"/>
      <c r="Z25" s="1">
        <f t="shared" si="6"/>
        <v>20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1" t="s">
        <v>52</v>
      </c>
      <c r="B26" s="11" t="s">
        <v>27</v>
      </c>
      <c r="C26" s="11"/>
      <c r="D26" s="11"/>
      <c r="E26" s="15">
        <v>5.016</v>
      </c>
      <c r="F26" s="15">
        <v>-5.016</v>
      </c>
      <c r="G26" s="12">
        <v>0</v>
      </c>
      <c r="H26" s="11" t="e">
        <v>#N/A</v>
      </c>
      <c r="I26" s="11" t="s">
        <v>43</v>
      </c>
      <c r="J26" s="11">
        <v>5.4</v>
      </c>
      <c r="K26" s="11">
        <f t="shared" si="1"/>
        <v>-0.38400000000000034</v>
      </c>
      <c r="L26" s="11"/>
      <c r="M26" s="11"/>
      <c r="N26" s="11"/>
      <c r="O26" s="11">
        <f t="shared" si="2"/>
        <v>1.0032000000000001</v>
      </c>
      <c r="P26" s="13"/>
      <c r="Q26" s="19">
        <f t="shared" si="4"/>
        <v>0</v>
      </c>
      <c r="R26" s="26">
        <f>IFERROR(VLOOKUP(A26,[1]TDSheet!$A:$G,7,0),0)</f>
        <v>0</v>
      </c>
      <c r="S26" s="21"/>
      <c r="T26" s="1">
        <f t="shared" si="5"/>
        <v>-5</v>
      </c>
      <c r="U26" s="11">
        <f t="shared" si="3"/>
        <v>-5</v>
      </c>
      <c r="V26" s="11">
        <v>1.0032000000000001</v>
      </c>
      <c r="W26" s="11">
        <v>0</v>
      </c>
      <c r="X26" s="11">
        <v>0</v>
      </c>
      <c r="Y26" s="11" t="s">
        <v>53</v>
      </c>
      <c r="Z26" s="1">
        <f t="shared" si="6"/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54</v>
      </c>
      <c r="B27" s="1" t="s">
        <v>27</v>
      </c>
      <c r="C27" s="1">
        <v>-9.7000000000000003E-2</v>
      </c>
      <c r="D27" s="1">
        <v>31.42</v>
      </c>
      <c r="E27" s="1">
        <v>6.8849999999999998</v>
      </c>
      <c r="F27" s="1">
        <v>24.437999999999999</v>
      </c>
      <c r="G27" s="6">
        <v>1</v>
      </c>
      <c r="H27" s="1">
        <v>70</v>
      </c>
      <c r="I27" s="1" t="s">
        <v>28</v>
      </c>
      <c r="J27" s="1">
        <v>11.5</v>
      </c>
      <c r="K27" s="1">
        <f t="shared" si="1"/>
        <v>-4.6150000000000002</v>
      </c>
      <c r="L27" s="1"/>
      <c r="M27" s="1"/>
      <c r="N27" s="1"/>
      <c r="O27" s="1">
        <f t="shared" si="2"/>
        <v>1.377</v>
      </c>
      <c r="P27" s="5"/>
      <c r="Q27" s="19">
        <f t="shared" ref="Q27:Q29" si="8">S27</f>
        <v>40</v>
      </c>
      <c r="R27" s="26">
        <f>IFERROR(VLOOKUP(A27,[1]TDSheet!$A:$G,7,0),0)</f>
        <v>10</v>
      </c>
      <c r="S27" s="21">
        <v>40</v>
      </c>
      <c r="T27" s="1">
        <f t="shared" si="5"/>
        <v>46.795933188090054</v>
      </c>
      <c r="U27" s="1">
        <f t="shared" si="3"/>
        <v>17.747276688453159</v>
      </c>
      <c r="V27" s="1">
        <v>1.9044000000000001</v>
      </c>
      <c r="W27" s="1">
        <v>2.9962</v>
      </c>
      <c r="X27" s="1">
        <v>1.2292000000000001</v>
      </c>
      <c r="Y27" s="1"/>
      <c r="Z27" s="1">
        <f t="shared" si="6"/>
        <v>40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55</v>
      </c>
      <c r="B28" s="1" t="s">
        <v>27</v>
      </c>
      <c r="C28" s="1">
        <v>38.947000000000003</v>
      </c>
      <c r="D28" s="1">
        <v>47.585000000000001</v>
      </c>
      <c r="E28" s="1">
        <v>26.300999999999998</v>
      </c>
      <c r="F28" s="1">
        <v>59.359000000000002</v>
      </c>
      <c r="G28" s="6">
        <v>1</v>
      </c>
      <c r="H28" s="1">
        <v>70</v>
      </c>
      <c r="I28" s="1" t="s">
        <v>28</v>
      </c>
      <c r="J28" s="1">
        <v>27.3</v>
      </c>
      <c r="K28" s="1">
        <f t="shared" si="1"/>
        <v>-0.99900000000000233</v>
      </c>
      <c r="L28" s="1"/>
      <c r="M28" s="1"/>
      <c r="N28" s="1"/>
      <c r="O28" s="1">
        <f t="shared" si="2"/>
        <v>5.2601999999999993</v>
      </c>
      <c r="P28" s="5">
        <f>13*O28-F28</f>
        <v>9.0235999999999947</v>
      </c>
      <c r="Q28" s="19">
        <f t="shared" si="8"/>
        <v>25</v>
      </c>
      <c r="R28" s="26">
        <f>IFERROR(VLOOKUP(A28,[1]TDSheet!$A:$G,7,0),0)</f>
        <v>20</v>
      </c>
      <c r="S28" s="21">
        <v>25</v>
      </c>
      <c r="T28" s="1">
        <f t="shared" si="5"/>
        <v>16.037222919280641</v>
      </c>
      <c r="U28" s="1">
        <f t="shared" si="3"/>
        <v>11.284551918178018</v>
      </c>
      <c r="V28" s="1">
        <v>5.9394</v>
      </c>
      <c r="W28" s="1">
        <v>6.4458000000000002</v>
      </c>
      <c r="X28" s="1">
        <v>1.5778000000000001</v>
      </c>
      <c r="Y28" s="1"/>
      <c r="Z28" s="1">
        <f t="shared" si="6"/>
        <v>25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56</v>
      </c>
      <c r="B29" s="1" t="s">
        <v>27</v>
      </c>
      <c r="C29" s="1">
        <v>16.173999999999999</v>
      </c>
      <c r="D29" s="1">
        <v>118.98</v>
      </c>
      <c r="E29" s="1">
        <v>73.075000000000003</v>
      </c>
      <c r="F29" s="1">
        <v>61.396999999999998</v>
      </c>
      <c r="G29" s="6">
        <v>1</v>
      </c>
      <c r="H29" s="1">
        <v>35</v>
      </c>
      <c r="I29" s="1" t="s">
        <v>28</v>
      </c>
      <c r="J29" s="1">
        <v>82.13</v>
      </c>
      <c r="K29" s="1">
        <f t="shared" si="1"/>
        <v>-9.0549999999999926</v>
      </c>
      <c r="L29" s="1"/>
      <c r="M29" s="1"/>
      <c r="N29" s="1"/>
      <c r="O29" s="1">
        <f t="shared" si="2"/>
        <v>14.615</v>
      </c>
      <c r="P29" s="5">
        <f>13*O29-F29</f>
        <v>128.59800000000001</v>
      </c>
      <c r="Q29" s="19">
        <f t="shared" si="8"/>
        <v>80</v>
      </c>
      <c r="R29" s="26">
        <f>IFERROR(VLOOKUP(A29,[1]TDSheet!$A:$G,7,0),0)</f>
        <v>130</v>
      </c>
      <c r="S29" s="21">
        <v>80</v>
      </c>
      <c r="T29" s="1">
        <f t="shared" si="5"/>
        <v>9.6747861785836466</v>
      </c>
      <c r="U29" s="1">
        <f t="shared" si="3"/>
        <v>4.2009579199452611</v>
      </c>
      <c r="V29" s="1">
        <v>11.616</v>
      </c>
      <c r="W29" s="1">
        <v>13.0474</v>
      </c>
      <c r="X29" s="1">
        <v>7.2358000000000002</v>
      </c>
      <c r="Y29" s="1"/>
      <c r="Z29" s="1">
        <f t="shared" si="6"/>
        <v>80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57</v>
      </c>
      <c r="B30" s="1" t="s">
        <v>27</v>
      </c>
      <c r="C30" s="1">
        <v>7.4050000000000002</v>
      </c>
      <c r="D30" s="1"/>
      <c r="E30" s="1">
        <v>19.963000000000001</v>
      </c>
      <c r="F30" s="15">
        <f>-12.558+F70</f>
        <v>68.461000000000013</v>
      </c>
      <c r="G30" s="6">
        <v>1</v>
      </c>
      <c r="H30" s="1">
        <v>40</v>
      </c>
      <c r="I30" s="1" t="s">
        <v>28</v>
      </c>
      <c r="J30" s="1">
        <v>38.229999999999997</v>
      </c>
      <c r="K30" s="1">
        <f t="shared" si="1"/>
        <v>-18.266999999999996</v>
      </c>
      <c r="L30" s="1"/>
      <c r="M30" s="1"/>
      <c r="N30" s="1"/>
      <c r="O30" s="1">
        <f t="shared" si="2"/>
        <v>3.9926000000000004</v>
      </c>
      <c r="P30" s="5"/>
      <c r="Q30" s="19">
        <f t="shared" si="4"/>
        <v>0</v>
      </c>
      <c r="R30" s="26">
        <f>IFERROR(VLOOKUP(A30,[1]TDSheet!$A:$G,7,0),0)</f>
        <v>100</v>
      </c>
      <c r="S30" s="21"/>
      <c r="T30" s="1">
        <f t="shared" si="5"/>
        <v>17.146971898011323</v>
      </c>
      <c r="U30" s="1">
        <f t="shared" si="3"/>
        <v>17.146971898011323</v>
      </c>
      <c r="V30" s="1">
        <v>4.1627999999999998</v>
      </c>
      <c r="W30" s="1">
        <v>9.2585999999999995</v>
      </c>
      <c r="X30" s="1">
        <v>3.0413999999999999</v>
      </c>
      <c r="Y30" s="9" t="s">
        <v>75</v>
      </c>
      <c r="Z30" s="1">
        <f t="shared" si="6"/>
        <v>42</v>
      </c>
      <c r="AA30" s="1"/>
      <c r="AB30" s="1">
        <v>42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58</v>
      </c>
      <c r="B31" s="1" t="s">
        <v>27</v>
      </c>
      <c r="C31" s="1">
        <v>-0.16500000000000001</v>
      </c>
      <c r="D31" s="1">
        <v>85.923000000000002</v>
      </c>
      <c r="E31" s="1">
        <v>87.83</v>
      </c>
      <c r="F31" s="1">
        <v>-2.0720000000000001</v>
      </c>
      <c r="G31" s="6">
        <v>1</v>
      </c>
      <c r="H31" s="1">
        <v>30</v>
      </c>
      <c r="I31" s="1" t="s">
        <v>28</v>
      </c>
      <c r="J31" s="1">
        <v>99.8</v>
      </c>
      <c r="K31" s="1">
        <f t="shared" si="1"/>
        <v>-11.969999999999999</v>
      </c>
      <c r="L31" s="1"/>
      <c r="M31" s="1"/>
      <c r="N31" s="1"/>
      <c r="O31" s="1">
        <f t="shared" si="2"/>
        <v>17.565999999999999</v>
      </c>
      <c r="P31" s="5">
        <f>8*O31-F31</f>
        <v>142.6</v>
      </c>
      <c r="Q31" s="19">
        <f t="shared" ref="Q31:Q38" si="9">S31</f>
        <v>180</v>
      </c>
      <c r="R31" s="26">
        <f>IFERROR(VLOOKUP(A31,[1]TDSheet!$A:$G,7,0),0)</f>
        <v>140</v>
      </c>
      <c r="S31" s="21">
        <v>180</v>
      </c>
      <c r="T31" s="1">
        <f t="shared" si="5"/>
        <v>10.12911305931914</v>
      </c>
      <c r="U31" s="1">
        <f t="shared" si="3"/>
        <v>-0.11795514061254697</v>
      </c>
      <c r="V31" s="1">
        <v>17.286000000000001</v>
      </c>
      <c r="W31" s="1">
        <v>0.55499999999999994</v>
      </c>
      <c r="X31" s="1">
        <v>7.7126000000000001</v>
      </c>
      <c r="Y31" s="1"/>
      <c r="Z31" s="1">
        <f t="shared" si="6"/>
        <v>170</v>
      </c>
      <c r="AA31" s="1"/>
      <c r="AB31" s="1">
        <v>-10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59</v>
      </c>
      <c r="B32" s="1" t="s">
        <v>27</v>
      </c>
      <c r="C32" s="1"/>
      <c r="D32" s="1">
        <v>82.745999999999995</v>
      </c>
      <c r="E32" s="1">
        <v>26.181000000000001</v>
      </c>
      <c r="F32" s="1">
        <v>55.021000000000001</v>
      </c>
      <c r="G32" s="6">
        <v>1</v>
      </c>
      <c r="H32" s="1">
        <v>30</v>
      </c>
      <c r="I32" s="1" t="s">
        <v>28</v>
      </c>
      <c r="J32" s="1">
        <v>25.4</v>
      </c>
      <c r="K32" s="1">
        <f t="shared" si="1"/>
        <v>0.78100000000000236</v>
      </c>
      <c r="L32" s="1"/>
      <c r="M32" s="1"/>
      <c r="N32" s="1"/>
      <c r="O32" s="1">
        <f t="shared" si="2"/>
        <v>5.2362000000000002</v>
      </c>
      <c r="P32" s="5">
        <f>13*O32-F32</f>
        <v>13.049599999999998</v>
      </c>
      <c r="Q32" s="19">
        <f t="shared" si="9"/>
        <v>60</v>
      </c>
      <c r="R32" s="26">
        <f>IFERROR(VLOOKUP(A32,[1]TDSheet!$A:$G,7,0),0)</f>
        <v>60</v>
      </c>
      <c r="S32" s="21">
        <v>60</v>
      </c>
      <c r="T32" s="1">
        <f t="shared" si="5"/>
        <v>21.966502425423016</v>
      </c>
      <c r="U32" s="1">
        <f t="shared" si="3"/>
        <v>10.507811007982887</v>
      </c>
      <c r="V32" s="1">
        <v>4.6265999999999998</v>
      </c>
      <c r="W32" s="1">
        <v>0</v>
      </c>
      <c r="X32" s="1">
        <v>5.452</v>
      </c>
      <c r="Y32" s="1"/>
      <c r="Z32" s="1">
        <f t="shared" si="6"/>
        <v>60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60</v>
      </c>
      <c r="B33" s="1" t="s">
        <v>27</v>
      </c>
      <c r="C33" s="1">
        <v>-0.32400000000000001</v>
      </c>
      <c r="D33" s="1">
        <v>198.60599999999999</v>
      </c>
      <c r="E33" s="1">
        <v>98.188999999999993</v>
      </c>
      <c r="F33" s="1">
        <v>92.194999999999993</v>
      </c>
      <c r="G33" s="6">
        <v>1</v>
      </c>
      <c r="H33" s="1">
        <v>30</v>
      </c>
      <c r="I33" s="1" t="s">
        <v>28</v>
      </c>
      <c r="J33" s="1">
        <v>101.38</v>
      </c>
      <c r="K33" s="1">
        <f t="shared" si="1"/>
        <v>-3.1910000000000025</v>
      </c>
      <c r="L33" s="1"/>
      <c r="M33" s="1"/>
      <c r="N33" s="1"/>
      <c r="O33" s="1">
        <f t="shared" si="2"/>
        <v>19.637799999999999</v>
      </c>
      <c r="P33" s="5">
        <f>13*O33-F33</f>
        <v>163.09639999999999</v>
      </c>
      <c r="Q33" s="19">
        <f t="shared" si="9"/>
        <v>180</v>
      </c>
      <c r="R33" s="26">
        <f>IFERROR(VLOOKUP(A33,[1]TDSheet!$A:$G,7,0),0)</f>
        <v>100</v>
      </c>
      <c r="S33" s="21">
        <v>180</v>
      </c>
      <c r="T33" s="1">
        <f t="shared" si="5"/>
        <v>13.860768517858416</v>
      </c>
      <c r="U33" s="1">
        <f t="shared" si="3"/>
        <v>4.6947723268390549</v>
      </c>
      <c r="V33" s="1">
        <v>12.981199999999999</v>
      </c>
      <c r="W33" s="1">
        <v>12.462999999999999</v>
      </c>
      <c r="X33" s="1">
        <v>10.148</v>
      </c>
      <c r="Y33" s="1"/>
      <c r="Z33" s="1">
        <f t="shared" si="6"/>
        <v>180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61</v>
      </c>
      <c r="B34" s="1" t="s">
        <v>27</v>
      </c>
      <c r="C34" s="1">
        <v>-3.7959999999999998</v>
      </c>
      <c r="D34" s="1">
        <v>1706.4059999999999</v>
      </c>
      <c r="E34" s="1">
        <v>547.53800000000001</v>
      </c>
      <c r="F34" s="1">
        <v>1136.0820000000001</v>
      </c>
      <c r="G34" s="6">
        <v>1</v>
      </c>
      <c r="H34" s="1">
        <v>40</v>
      </c>
      <c r="I34" s="1" t="s">
        <v>28</v>
      </c>
      <c r="J34" s="1">
        <v>680.8</v>
      </c>
      <c r="K34" s="1">
        <f t="shared" si="1"/>
        <v>-133.26199999999994</v>
      </c>
      <c r="L34" s="1"/>
      <c r="M34" s="1"/>
      <c r="N34" s="1"/>
      <c r="O34" s="1">
        <f t="shared" si="2"/>
        <v>109.5076</v>
      </c>
      <c r="P34" s="5">
        <f>13*O34-F34</f>
        <v>287.51679999999988</v>
      </c>
      <c r="Q34" s="19">
        <f t="shared" si="9"/>
        <v>1700</v>
      </c>
      <c r="R34" s="26">
        <f>IFERROR(VLOOKUP(A34,[1]TDSheet!$A:$G,7,0),0)</f>
        <v>400</v>
      </c>
      <c r="S34" s="21">
        <v>1700</v>
      </c>
      <c r="T34" s="1">
        <f t="shared" si="5"/>
        <v>25.898494716348459</v>
      </c>
      <c r="U34" s="1">
        <f t="shared" si="3"/>
        <v>10.374458028483868</v>
      </c>
      <c r="V34" s="1">
        <v>94.759</v>
      </c>
      <c r="W34" s="1">
        <v>153.4126</v>
      </c>
      <c r="X34" s="1">
        <v>69.43719999999999</v>
      </c>
      <c r="Y34" s="1"/>
      <c r="Z34" s="1">
        <f t="shared" si="6"/>
        <v>1750</v>
      </c>
      <c r="AA34" s="1"/>
      <c r="AB34" s="1">
        <f>300-250</f>
        <v>50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62</v>
      </c>
      <c r="B35" s="1" t="s">
        <v>27</v>
      </c>
      <c r="C35" s="1">
        <v>0.89100000000000001</v>
      </c>
      <c r="D35" s="1">
        <v>87.606999999999999</v>
      </c>
      <c r="E35" s="1">
        <v>86.218000000000004</v>
      </c>
      <c r="F35" s="1">
        <v>2.2370000000000001</v>
      </c>
      <c r="G35" s="6">
        <v>1</v>
      </c>
      <c r="H35" s="1">
        <v>40</v>
      </c>
      <c r="I35" s="1" t="s">
        <v>28</v>
      </c>
      <c r="J35" s="1">
        <v>94.3</v>
      </c>
      <c r="K35" s="1">
        <f t="shared" si="1"/>
        <v>-8.0819999999999936</v>
      </c>
      <c r="L35" s="1"/>
      <c r="M35" s="1"/>
      <c r="N35" s="1"/>
      <c r="O35" s="1">
        <f t="shared" si="2"/>
        <v>17.243600000000001</v>
      </c>
      <c r="P35" s="5">
        <f>8*O35-F35</f>
        <v>135.71180000000001</v>
      </c>
      <c r="Q35" s="19">
        <f t="shared" si="9"/>
        <v>180</v>
      </c>
      <c r="R35" s="26">
        <f>IFERROR(VLOOKUP(A35,[1]TDSheet!$A:$G,7,0),0)</f>
        <v>0</v>
      </c>
      <c r="S35" s="21">
        <v>180</v>
      </c>
      <c r="T35" s="1">
        <f t="shared" si="5"/>
        <v>10.568384792038785</v>
      </c>
      <c r="U35" s="1">
        <f t="shared" si="3"/>
        <v>0.12972929086733628</v>
      </c>
      <c r="V35" s="1">
        <v>14.3268</v>
      </c>
      <c r="W35" s="1">
        <v>3.7038000000000002</v>
      </c>
      <c r="X35" s="1">
        <v>7.194799999999999</v>
      </c>
      <c r="Y35" s="1"/>
      <c r="Z35" s="1">
        <f t="shared" si="6"/>
        <v>170</v>
      </c>
      <c r="AA35" s="1"/>
      <c r="AB35" s="1">
        <v>-10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63</v>
      </c>
      <c r="B36" s="1" t="s">
        <v>27</v>
      </c>
      <c r="C36" s="1">
        <v>-2.298</v>
      </c>
      <c r="D36" s="1">
        <v>79.352000000000004</v>
      </c>
      <c r="E36" s="1">
        <v>61.661999999999999</v>
      </c>
      <c r="F36" s="1">
        <v>8.1170000000000009</v>
      </c>
      <c r="G36" s="6">
        <v>1</v>
      </c>
      <c r="H36" s="1">
        <v>30</v>
      </c>
      <c r="I36" s="1" t="s">
        <v>28</v>
      </c>
      <c r="J36" s="1">
        <v>64.5</v>
      </c>
      <c r="K36" s="1">
        <f t="shared" si="1"/>
        <v>-2.838000000000001</v>
      </c>
      <c r="L36" s="1"/>
      <c r="M36" s="1"/>
      <c r="N36" s="1"/>
      <c r="O36" s="1">
        <f t="shared" si="2"/>
        <v>12.3324</v>
      </c>
      <c r="P36" s="5">
        <f>9*O36-F36</f>
        <v>102.8746</v>
      </c>
      <c r="Q36" s="19">
        <f t="shared" si="9"/>
        <v>200</v>
      </c>
      <c r="R36" s="26">
        <f>IFERROR(VLOOKUP(A36,[1]TDSheet!$A:$G,7,0),0)</f>
        <v>40</v>
      </c>
      <c r="S36" s="21">
        <v>200</v>
      </c>
      <c r="T36" s="1">
        <f t="shared" si="5"/>
        <v>16.875628425934934</v>
      </c>
      <c r="U36" s="1">
        <f t="shared" si="3"/>
        <v>0.65818494372547121</v>
      </c>
      <c r="V36" s="1">
        <v>8.7322000000000006</v>
      </c>
      <c r="W36" s="1">
        <v>5.4988000000000001</v>
      </c>
      <c r="X36" s="1">
        <v>5.2978000000000014</v>
      </c>
      <c r="Y36" s="1"/>
      <c r="Z36" s="1">
        <f t="shared" si="6"/>
        <v>190</v>
      </c>
      <c r="AA36" s="1"/>
      <c r="AB36" s="1">
        <v>-10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64</v>
      </c>
      <c r="B37" s="1" t="s">
        <v>34</v>
      </c>
      <c r="C37" s="1">
        <v>-8</v>
      </c>
      <c r="D37" s="1">
        <v>108</v>
      </c>
      <c r="E37" s="1">
        <v>15</v>
      </c>
      <c r="F37" s="1">
        <v>83</v>
      </c>
      <c r="G37" s="6">
        <v>0.35</v>
      </c>
      <c r="H37" s="1">
        <v>40</v>
      </c>
      <c r="I37" s="1" t="s">
        <v>28</v>
      </c>
      <c r="J37" s="1">
        <v>26</v>
      </c>
      <c r="K37" s="1">
        <f t="shared" si="1"/>
        <v>-11</v>
      </c>
      <c r="L37" s="1"/>
      <c r="M37" s="1"/>
      <c r="N37" s="1"/>
      <c r="O37" s="1">
        <f t="shared" si="2"/>
        <v>3</v>
      </c>
      <c r="P37" s="5"/>
      <c r="Q37" s="19">
        <f t="shared" si="9"/>
        <v>50</v>
      </c>
      <c r="R37" s="26">
        <f>IFERROR(VLOOKUP(A37,[1]TDSheet!$A:$G,7,0),0)</f>
        <v>180</v>
      </c>
      <c r="S37" s="21">
        <v>50</v>
      </c>
      <c r="T37" s="1">
        <f t="shared" si="5"/>
        <v>44.333333333333336</v>
      </c>
      <c r="U37" s="1">
        <f t="shared" si="3"/>
        <v>27.666666666666668</v>
      </c>
      <c r="V37" s="1">
        <v>4.8</v>
      </c>
      <c r="W37" s="1">
        <v>14</v>
      </c>
      <c r="X37" s="1">
        <v>4.2</v>
      </c>
      <c r="Y37" s="1"/>
      <c r="Z37" s="1">
        <f t="shared" si="6"/>
        <v>18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65</v>
      </c>
      <c r="B38" s="1" t="s">
        <v>34</v>
      </c>
      <c r="C38" s="1">
        <v>-7</v>
      </c>
      <c r="D38" s="1">
        <v>474</v>
      </c>
      <c r="E38" s="1">
        <v>49</v>
      </c>
      <c r="F38" s="1">
        <v>400</v>
      </c>
      <c r="G38" s="6">
        <v>0.4</v>
      </c>
      <c r="H38" s="1">
        <v>45</v>
      </c>
      <c r="I38" s="1" t="s">
        <v>28</v>
      </c>
      <c r="J38" s="1">
        <v>105</v>
      </c>
      <c r="K38" s="1">
        <f t="shared" ref="K38:K69" si="10">E38-J38</f>
        <v>-56</v>
      </c>
      <c r="L38" s="1"/>
      <c r="M38" s="1"/>
      <c r="N38" s="1"/>
      <c r="O38" s="1">
        <f t="shared" ref="O38:O69" si="11">E38/5</f>
        <v>9.8000000000000007</v>
      </c>
      <c r="P38" s="5"/>
      <c r="Q38" s="19">
        <f t="shared" si="9"/>
        <v>100</v>
      </c>
      <c r="R38" s="26">
        <f>IFERROR(VLOOKUP(A38,[1]TDSheet!$A:$G,7,0),0)</f>
        <v>600</v>
      </c>
      <c r="S38" s="21">
        <v>100</v>
      </c>
      <c r="T38" s="1">
        <f t="shared" si="5"/>
        <v>51.020408163265301</v>
      </c>
      <c r="U38" s="1">
        <f t="shared" ref="U38:U69" si="12">F38/O38</f>
        <v>40.816326530612244</v>
      </c>
      <c r="V38" s="1">
        <v>23</v>
      </c>
      <c r="W38" s="1">
        <v>58</v>
      </c>
      <c r="X38" s="1">
        <v>15.8</v>
      </c>
      <c r="Y38" s="1"/>
      <c r="Z38" s="1">
        <f t="shared" si="6"/>
        <v>40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1" t="s">
        <v>66</v>
      </c>
      <c r="B39" s="11" t="s">
        <v>34</v>
      </c>
      <c r="C39" s="11"/>
      <c r="D39" s="11"/>
      <c r="E39" s="15">
        <v>5</v>
      </c>
      <c r="F39" s="15">
        <v>-5</v>
      </c>
      <c r="G39" s="12">
        <v>0</v>
      </c>
      <c r="H39" s="11" t="e">
        <v>#N/A</v>
      </c>
      <c r="I39" s="11" t="s">
        <v>43</v>
      </c>
      <c r="J39" s="11">
        <v>9</v>
      </c>
      <c r="K39" s="11">
        <f t="shared" si="10"/>
        <v>-4</v>
      </c>
      <c r="L39" s="11"/>
      <c r="M39" s="11"/>
      <c r="N39" s="11"/>
      <c r="O39" s="11">
        <f t="shared" si="11"/>
        <v>1</v>
      </c>
      <c r="P39" s="13"/>
      <c r="Q39" s="19">
        <f t="shared" si="4"/>
        <v>0</v>
      </c>
      <c r="R39" s="26">
        <f>IFERROR(VLOOKUP(A39,[1]TDSheet!$A:$G,7,0),0)</f>
        <v>0</v>
      </c>
      <c r="S39" s="21"/>
      <c r="T39" s="1">
        <f t="shared" si="5"/>
        <v>-5</v>
      </c>
      <c r="U39" s="11">
        <f t="shared" si="12"/>
        <v>-5</v>
      </c>
      <c r="V39" s="11">
        <v>0.6</v>
      </c>
      <c r="W39" s="11">
        <v>0</v>
      </c>
      <c r="X39" s="11">
        <v>0</v>
      </c>
      <c r="Y39" s="11" t="s">
        <v>67</v>
      </c>
      <c r="Z39" s="1">
        <f t="shared" si="6"/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68</v>
      </c>
      <c r="B40" s="1" t="s">
        <v>34</v>
      </c>
      <c r="C40" s="1">
        <v>-4</v>
      </c>
      <c r="D40" s="1">
        <v>288</v>
      </c>
      <c r="E40" s="1">
        <v>42</v>
      </c>
      <c r="F40" s="1">
        <v>229</v>
      </c>
      <c r="G40" s="6">
        <v>0.4</v>
      </c>
      <c r="H40" s="1">
        <v>45</v>
      </c>
      <c r="I40" s="1" t="s">
        <v>28</v>
      </c>
      <c r="J40" s="1">
        <v>89</v>
      </c>
      <c r="K40" s="1">
        <f t="shared" si="10"/>
        <v>-47</v>
      </c>
      <c r="L40" s="1"/>
      <c r="M40" s="1"/>
      <c r="N40" s="1"/>
      <c r="O40" s="1">
        <f t="shared" si="11"/>
        <v>8.4</v>
      </c>
      <c r="P40" s="5"/>
      <c r="Q40" s="19">
        <f>S40</f>
        <v>200</v>
      </c>
      <c r="R40" s="26">
        <f>IFERROR(VLOOKUP(A40,[1]TDSheet!$A:$G,7,0),0)</f>
        <v>300</v>
      </c>
      <c r="S40" s="21">
        <v>200</v>
      </c>
      <c r="T40" s="1">
        <f t="shared" si="5"/>
        <v>51.071428571428569</v>
      </c>
      <c r="U40" s="1">
        <f t="shared" si="12"/>
        <v>27.261904761904759</v>
      </c>
      <c r="V40" s="1">
        <v>9.1999999999999993</v>
      </c>
      <c r="W40" s="1">
        <v>35.4</v>
      </c>
      <c r="X40" s="1">
        <v>12</v>
      </c>
      <c r="Y40" s="1"/>
      <c r="Z40" s="1">
        <f t="shared" si="6"/>
        <v>80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69</v>
      </c>
      <c r="B41" s="1" t="s">
        <v>34</v>
      </c>
      <c r="C41" s="1">
        <v>-3</v>
      </c>
      <c r="D41" s="1">
        <v>170</v>
      </c>
      <c r="E41" s="1">
        <v>23</v>
      </c>
      <c r="F41" s="1">
        <v>140</v>
      </c>
      <c r="G41" s="6">
        <v>0.4</v>
      </c>
      <c r="H41" s="1">
        <v>50</v>
      </c>
      <c r="I41" s="1" t="s">
        <v>28</v>
      </c>
      <c r="J41" s="1">
        <v>54</v>
      </c>
      <c r="K41" s="1">
        <f t="shared" si="10"/>
        <v>-31</v>
      </c>
      <c r="L41" s="1"/>
      <c r="M41" s="1"/>
      <c r="N41" s="1"/>
      <c r="O41" s="1">
        <f t="shared" si="11"/>
        <v>4.5999999999999996</v>
      </c>
      <c r="P41" s="5"/>
      <c r="Q41" s="19">
        <f t="shared" si="4"/>
        <v>0</v>
      </c>
      <c r="R41" s="26">
        <f>IFERROR(VLOOKUP(A41,[1]TDSheet!$A:$G,7,0),0)</f>
        <v>220</v>
      </c>
      <c r="S41" s="21"/>
      <c r="T41" s="1">
        <f t="shared" si="5"/>
        <v>30.434782608695656</v>
      </c>
      <c r="U41" s="1">
        <f t="shared" si="12"/>
        <v>30.434782608695656</v>
      </c>
      <c r="V41" s="1">
        <v>12.4</v>
      </c>
      <c r="W41" s="1">
        <v>20.2</v>
      </c>
      <c r="X41" s="1">
        <v>0</v>
      </c>
      <c r="Y41" s="1"/>
      <c r="Z41" s="1">
        <f t="shared" si="6"/>
        <v>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70</v>
      </c>
      <c r="B42" s="1" t="s">
        <v>34</v>
      </c>
      <c r="C42" s="1">
        <v>-3</v>
      </c>
      <c r="D42" s="1">
        <v>168</v>
      </c>
      <c r="E42" s="1">
        <v>40</v>
      </c>
      <c r="F42" s="1">
        <v>115</v>
      </c>
      <c r="G42" s="6">
        <v>0.4</v>
      </c>
      <c r="H42" s="1">
        <v>40</v>
      </c>
      <c r="I42" s="1" t="s">
        <v>28</v>
      </c>
      <c r="J42" s="1">
        <v>68</v>
      </c>
      <c r="K42" s="1">
        <f t="shared" si="10"/>
        <v>-28</v>
      </c>
      <c r="L42" s="1"/>
      <c r="M42" s="1"/>
      <c r="N42" s="1"/>
      <c r="O42" s="1">
        <f t="shared" si="11"/>
        <v>8</v>
      </c>
      <c r="P42" s="5"/>
      <c r="Q42" s="19">
        <f>S42</f>
        <v>120</v>
      </c>
      <c r="R42" s="26">
        <f>IFERROR(VLOOKUP(A42,[1]TDSheet!$A:$G,7,0),0)</f>
        <v>260</v>
      </c>
      <c r="S42" s="21">
        <v>120</v>
      </c>
      <c r="T42" s="1">
        <f t="shared" si="5"/>
        <v>29.375</v>
      </c>
      <c r="U42" s="1">
        <f t="shared" si="12"/>
        <v>14.375</v>
      </c>
      <c r="V42" s="1">
        <v>3</v>
      </c>
      <c r="W42" s="1">
        <v>20</v>
      </c>
      <c r="X42" s="1">
        <v>7.2</v>
      </c>
      <c r="Y42" s="1"/>
      <c r="Z42" s="1">
        <f t="shared" si="6"/>
        <v>48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0" t="s">
        <v>71</v>
      </c>
      <c r="B43" s="11" t="s">
        <v>34</v>
      </c>
      <c r="C43" s="11"/>
      <c r="D43" s="11"/>
      <c r="E43" s="15">
        <v>2</v>
      </c>
      <c r="F43" s="15">
        <v>-2</v>
      </c>
      <c r="G43" s="12">
        <v>0</v>
      </c>
      <c r="H43" s="11" t="e">
        <v>#N/A</v>
      </c>
      <c r="I43" s="11" t="s">
        <v>43</v>
      </c>
      <c r="J43" s="11">
        <v>7</v>
      </c>
      <c r="K43" s="11">
        <f t="shared" si="10"/>
        <v>-5</v>
      </c>
      <c r="L43" s="11"/>
      <c r="M43" s="11"/>
      <c r="N43" s="11"/>
      <c r="O43" s="11">
        <f t="shared" si="11"/>
        <v>0.4</v>
      </c>
      <c r="P43" s="13"/>
      <c r="Q43" s="19">
        <f t="shared" si="4"/>
        <v>0</v>
      </c>
      <c r="R43" s="26">
        <f>IFERROR(VLOOKUP(A43,[1]TDSheet!$A:$G,7,0),0)</f>
        <v>0</v>
      </c>
      <c r="S43" s="21"/>
      <c r="T43" s="1">
        <f t="shared" si="5"/>
        <v>-5</v>
      </c>
      <c r="U43" s="11">
        <f t="shared" si="12"/>
        <v>-5</v>
      </c>
      <c r="V43" s="11">
        <v>0.4</v>
      </c>
      <c r="W43" s="11">
        <v>0</v>
      </c>
      <c r="X43" s="11">
        <v>0</v>
      </c>
      <c r="Y43" s="10" t="s">
        <v>126</v>
      </c>
      <c r="Z43" s="1">
        <f t="shared" si="6"/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72</v>
      </c>
      <c r="B44" s="1" t="s">
        <v>34</v>
      </c>
      <c r="C44" s="1">
        <v>-8</v>
      </c>
      <c r="D44" s="1">
        <v>180</v>
      </c>
      <c r="E44" s="1">
        <v>24</v>
      </c>
      <c r="F44" s="1">
        <v>137</v>
      </c>
      <c r="G44" s="6">
        <v>0.1</v>
      </c>
      <c r="H44" s="1">
        <v>730</v>
      </c>
      <c r="I44" s="1" t="s">
        <v>28</v>
      </c>
      <c r="J44" s="1">
        <v>59</v>
      </c>
      <c r="K44" s="1">
        <f t="shared" si="10"/>
        <v>-35</v>
      </c>
      <c r="L44" s="1"/>
      <c r="M44" s="1"/>
      <c r="N44" s="1"/>
      <c r="O44" s="1">
        <f t="shared" si="11"/>
        <v>4.8</v>
      </c>
      <c r="P44" s="5"/>
      <c r="Q44" s="19">
        <f t="shared" ref="Q44:Q46" si="13">S44</f>
        <v>200</v>
      </c>
      <c r="R44" s="26">
        <f>IFERROR(VLOOKUP(A44,[1]TDSheet!$A:$G,7,0),0)</f>
        <v>300</v>
      </c>
      <c r="S44" s="21">
        <v>200</v>
      </c>
      <c r="T44" s="1">
        <f t="shared" si="5"/>
        <v>70.208333333333343</v>
      </c>
      <c r="U44" s="1">
        <f t="shared" si="12"/>
        <v>28.541666666666668</v>
      </c>
      <c r="V44" s="1">
        <v>5</v>
      </c>
      <c r="W44" s="1">
        <v>21.6</v>
      </c>
      <c r="X44" s="1">
        <v>0</v>
      </c>
      <c r="Y44" s="1"/>
      <c r="Z44" s="1">
        <f t="shared" si="6"/>
        <v>20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73</v>
      </c>
      <c r="B45" s="1" t="s">
        <v>34</v>
      </c>
      <c r="C45" s="1">
        <v>-8</v>
      </c>
      <c r="D45" s="1">
        <v>180</v>
      </c>
      <c r="E45" s="15">
        <f>86+E43</f>
        <v>88</v>
      </c>
      <c r="F45" s="15">
        <f>77+F43</f>
        <v>75</v>
      </c>
      <c r="G45" s="6">
        <v>0.33</v>
      </c>
      <c r="H45" s="1">
        <v>45</v>
      </c>
      <c r="I45" s="1" t="s">
        <v>28</v>
      </c>
      <c r="J45" s="1">
        <v>139</v>
      </c>
      <c r="K45" s="1">
        <f t="shared" si="10"/>
        <v>-51</v>
      </c>
      <c r="L45" s="1"/>
      <c r="M45" s="1"/>
      <c r="N45" s="1"/>
      <c r="O45" s="1">
        <f t="shared" si="11"/>
        <v>17.600000000000001</v>
      </c>
      <c r="P45" s="5">
        <f>13*O45-F45</f>
        <v>153.80000000000001</v>
      </c>
      <c r="Q45" s="19">
        <f t="shared" si="13"/>
        <v>250</v>
      </c>
      <c r="R45" s="26">
        <f>IFERROR(VLOOKUP(A45,[1]TDSheet!$A:$G,7,0),0)</f>
        <v>350</v>
      </c>
      <c r="S45" s="21">
        <v>250</v>
      </c>
      <c r="T45" s="1">
        <f t="shared" si="5"/>
        <v>18.46590909090909</v>
      </c>
      <c r="U45" s="1">
        <f t="shared" si="12"/>
        <v>4.2613636363636358</v>
      </c>
      <c r="V45" s="1">
        <v>8.6</v>
      </c>
      <c r="W45" s="1">
        <v>16.600000000000001</v>
      </c>
      <c r="X45" s="1">
        <v>8.6</v>
      </c>
      <c r="Y45" s="9" t="s">
        <v>75</v>
      </c>
      <c r="Z45" s="1">
        <f t="shared" si="6"/>
        <v>83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74</v>
      </c>
      <c r="B46" s="1" t="s">
        <v>34</v>
      </c>
      <c r="C46" s="1">
        <v>-15</v>
      </c>
      <c r="D46" s="1">
        <v>198</v>
      </c>
      <c r="E46" s="15">
        <f>67+E39+E47</f>
        <v>74</v>
      </c>
      <c r="F46" s="15">
        <f>103+F39+F47</f>
        <v>96</v>
      </c>
      <c r="G46" s="6">
        <v>0.35</v>
      </c>
      <c r="H46" s="1">
        <v>40</v>
      </c>
      <c r="I46" s="1" t="s">
        <v>28</v>
      </c>
      <c r="J46" s="1">
        <v>90</v>
      </c>
      <c r="K46" s="1">
        <f t="shared" si="10"/>
        <v>-16</v>
      </c>
      <c r="L46" s="1"/>
      <c r="M46" s="1"/>
      <c r="N46" s="1"/>
      <c r="O46" s="1">
        <f t="shared" si="11"/>
        <v>14.8</v>
      </c>
      <c r="P46" s="5">
        <f>13*O46-F46</f>
        <v>96.4</v>
      </c>
      <c r="Q46" s="19">
        <f t="shared" si="13"/>
        <v>250</v>
      </c>
      <c r="R46" s="26">
        <f>IFERROR(VLOOKUP(A46,[1]TDSheet!$A:$G,7,0),0)</f>
        <v>200</v>
      </c>
      <c r="S46" s="21">
        <v>250</v>
      </c>
      <c r="T46" s="1">
        <f t="shared" si="5"/>
        <v>23.378378378378379</v>
      </c>
      <c r="U46" s="1">
        <f t="shared" si="12"/>
        <v>6.486486486486486</v>
      </c>
      <c r="V46" s="1">
        <v>7.2</v>
      </c>
      <c r="W46" s="1">
        <v>20</v>
      </c>
      <c r="X46" s="1">
        <v>8.6</v>
      </c>
      <c r="Y46" s="1" t="s">
        <v>75</v>
      </c>
      <c r="Z46" s="1">
        <f t="shared" si="6"/>
        <v>88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0" t="s">
        <v>76</v>
      </c>
      <c r="B47" s="11" t="s">
        <v>34</v>
      </c>
      <c r="C47" s="11"/>
      <c r="D47" s="11"/>
      <c r="E47" s="14">
        <v>2</v>
      </c>
      <c r="F47" s="14">
        <v>-2</v>
      </c>
      <c r="G47" s="12">
        <v>0</v>
      </c>
      <c r="H47" s="11" t="e">
        <v>#N/A</v>
      </c>
      <c r="I47" s="11" t="s">
        <v>43</v>
      </c>
      <c r="J47" s="11">
        <v>5</v>
      </c>
      <c r="K47" s="11">
        <f t="shared" si="10"/>
        <v>-3</v>
      </c>
      <c r="L47" s="11"/>
      <c r="M47" s="11"/>
      <c r="N47" s="11"/>
      <c r="O47" s="11">
        <f t="shared" si="11"/>
        <v>0.4</v>
      </c>
      <c r="P47" s="13"/>
      <c r="Q47" s="19">
        <f t="shared" si="4"/>
        <v>0</v>
      </c>
      <c r="R47" s="26">
        <f>IFERROR(VLOOKUP(A47,[1]TDSheet!$A:$G,7,0),0)</f>
        <v>0</v>
      </c>
      <c r="S47" s="21"/>
      <c r="T47" s="1">
        <f t="shared" si="5"/>
        <v>-5</v>
      </c>
      <c r="U47" s="11">
        <f t="shared" si="12"/>
        <v>-5</v>
      </c>
      <c r="V47" s="11">
        <v>0.4</v>
      </c>
      <c r="W47" s="11">
        <v>0</v>
      </c>
      <c r="X47" s="11">
        <v>0</v>
      </c>
      <c r="Y47" s="11" t="s">
        <v>67</v>
      </c>
      <c r="Z47" s="1">
        <f t="shared" si="6"/>
        <v>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77</v>
      </c>
      <c r="B48" s="1" t="s">
        <v>27</v>
      </c>
      <c r="C48" s="1">
        <v>11.88</v>
      </c>
      <c r="D48" s="1">
        <v>21.503</v>
      </c>
      <c r="E48" s="1">
        <v>10.637</v>
      </c>
      <c r="F48" s="1">
        <v>22.745999999999999</v>
      </c>
      <c r="G48" s="6">
        <v>1</v>
      </c>
      <c r="H48" s="1">
        <v>40</v>
      </c>
      <c r="I48" s="1" t="s">
        <v>28</v>
      </c>
      <c r="J48" s="1">
        <v>11.9</v>
      </c>
      <c r="K48" s="1">
        <f t="shared" si="10"/>
        <v>-1.2629999999999999</v>
      </c>
      <c r="L48" s="1"/>
      <c r="M48" s="1"/>
      <c r="N48" s="1"/>
      <c r="O48" s="1">
        <f t="shared" si="11"/>
        <v>2.1274000000000002</v>
      </c>
      <c r="P48" s="5">
        <f>13*O48-F48</f>
        <v>4.9102000000000032</v>
      </c>
      <c r="Q48" s="19">
        <f t="shared" ref="Q48:Q53" si="14">S48</f>
        <v>30</v>
      </c>
      <c r="R48" s="26">
        <f>IFERROR(VLOOKUP(A48,[1]TDSheet!$A:$G,7,0),0)</f>
        <v>0</v>
      </c>
      <c r="S48" s="21">
        <v>30</v>
      </c>
      <c r="T48" s="1">
        <f t="shared" si="5"/>
        <v>24.793644824668604</v>
      </c>
      <c r="U48" s="1">
        <f t="shared" si="12"/>
        <v>10.691924414778601</v>
      </c>
      <c r="V48" s="1">
        <v>3.4074</v>
      </c>
      <c r="W48" s="1">
        <v>2.2786</v>
      </c>
      <c r="X48" s="1">
        <v>0.28339999999999999</v>
      </c>
      <c r="Y48" s="1"/>
      <c r="Z48" s="1">
        <f t="shared" si="6"/>
        <v>30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78</v>
      </c>
      <c r="B49" s="1" t="s">
        <v>34</v>
      </c>
      <c r="C49" s="1">
        <v>-12</v>
      </c>
      <c r="D49" s="1">
        <v>120</v>
      </c>
      <c r="E49" s="1">
        <v>38</v>
      </c>
      <c r="F49" s="1">
        <v>66</v>
      </c>
      <c r="G49" s="6">
        <v>0.35</v>
      </c>
      <c r="H49" s="1">
        <v>40</v>
      </c>
      <c r="I49" s="1" t="s">
        <v>28</v>
      </c>
      <c r="J49" s="1">
        <v>57</v>
      </c>
      <c r="K49" s="1">
        <f t="shared" si="10"/>
        <v>-19</v>
      </c>
      <c r="L49" s="1"/>
      <c r="M49" s="1"/>
      <c r="N49" s="1"/>
      <c r="O49" s="1">
        <f t="shared" si="11"/>
        <v>7.6</v>
      </c>
      <c r="P49" s="5">
        <f>13*O49-F49</f>
        <v>32.799999999999997</v>
      </c>
      <c r="Q49" s="19">
        <f t="shared" si="14"/>
        <v>150</v>
      </c>
      <c r="R49" s="26">
        <f>IFERROR(VLOOKUP(A49,[1]TDSheet!$A:$G,7,0),0)</f>
        <v>200</v>
      </c>
      <c r="S49" s="21">
        <v>150</v>
      </c>
      <c r="T49" s="1">
        <f t="shared" si="5"/>
        <v>28.421052631578949</v>
      </c>
      <c r="U49" s="1">
        <f t="shared" si="12"/>
        <v>8.6842105263157894</v>
      </c>
      <c r="V49" s="1">
        <v>1.8</v>
      </c>
      <c r="W49" s="1">
        <v>15.2</v>
      </c>
      <c r="X49" s="1">
        <v>3.2</v>
      </c>
      <c r="Y49" s="1"/>
      <c r="Z49" s="1">
        <f t="shared" si="6"/>
        <v>53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79</v>
      </c>
      <c r="B50" s="1" t="s">
        <v>34</v>
      </c>
      <c r="C50" s="1">
        <v>-12</v>
      </c>
      <c r="D50" s="1">
        <v>318</v>
      </c>
      <c r="E50" s="15">
        <f>58+E89</f>
        <v>74</v>
      </c>
      <c r="F50" s="15">
        <f>237+F89</f>
        <v>220</v>
      </c>
      <c r="G50" s="6">
        <v>0.35</v>
      </c>
      <c r="H50" s="1">
        <v>40</v>
      </c>
      <c r="I50" s="1" t="s">
        <v>28</v>
      </c>
      <c r="J50" s="1">
        <v>103</v>
      </c>
      <c r="K50" s="1">
        <f t="shared" si="10"/>
        <v>-29</v>
      </c>
      <c r="L50" s="1"/>
      <c r="M50" s="1"/>
      <c r="N50" s="1"/>
      <c r="O50" s="1">
        <f t="shared" si="11"/>
        <v>14.8</v>
      </c>
      <c r="P50" s="5"/>
      <c r="Q50" s="19">
        <f t="shared" si="14"/>
        <v>150</v>
      </c>
      <c r="R50" s="26">
        <f>IFERROR(VLOOKUP(A50,[1]TDSheet!$A:$G,7,0),0)</f>
        <v>450</v>
      </c>
      <c r="S50" s="21">
        <v>150</v>
      </c>
      <c r="T50" s="1">
        <f t="shared" si="5"/>
        <v>25</v>
      </c>
      <c r="U50" s="1">
        <f t="shared" si="12"/>
        <v>14.864864864864865</v>
      </c>
      <c r="V50" s="1">
        <v>7</v>
      </c>
      <c r="W50" s="1">
        <v>32.6</v>
      </c>
      <c r="X50" s="1">
        <v>8.6</v>
      </c>
      <c r="Y50" s="1"/>
      <c r="Z50" s="1">
        <f t="shared" si="6"/>
        <v>53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80</v>
      </c>
      <c r="B51" s="1" t="s">
        <v>27</v>
      </c>
      <c r="C51" s="1">
        <v>332.93299999999999</v>
      </c>
      <c r="D51" s="1">
        <v>138.58799999999999</v>
      </c>
      <c r="E51" s="1">
        <v>139.85499999999999</v>
      </c>
      <c r="F51" s="1">
        <v>333.01100000000002</v>
      </c>
      <c r="G51" s="6">
        <v>1</v>
      </c>
      <c r="H51" s="1">
        <v>50</v>
      </c>
      <c r="I51" s="1" t="s">
        <v>28</v>
      </c>
      <c r="J51" s="1">
        <v>151.1</v>
      </c>
      <c r="K51" s="1">
        <f t="shared" si="10"/>
        <v>-11.245000000000005</v>
      </c>
      <c r="L51" s="1"/>
      <c r="M51" s="1"/>
      <c r="N51" s="1"/>
      <c r="O51" s="1">
        <f t="shared" si="11"/>
        <v>27.970999999999997</v>
      </c>
      <c r="P51" s="5">
        <f>13*O51-F51</f>
        <v>30.61199999999991</v>
      </c>
      <c r="Q51" s="19">
        <f t="shared" si="14"/>
        <v>200</v>
      </c>
      <c r="R51" s="26">
        <f>IFERROR(VLOOKUP(A51,[1]TDSheet!$A:$G,7,0),0)</f>
        <v>300</v>
      </c>
      <c r="S51" s="21">
        <v>200</v>
      </c>
      <c r="T51" s="1">
        <f t="shared" si="5"/>
        <v>19.055843552250547</v>
      </c>
      <c r="U51" s="1">
        <f t="shared" si="12"/>
        <v>11.90558078009367</v>
      </c>
      <c r="V51" s="1">
        <v>32.2926</v>
      </c>
      <c r="W51" s="1">
        <v>33.177799999999998</v>
      </c>
      <c r="X51" s="1">
        <v>8.0754000000000001</v>
      </c>
      <c r="Y51" s="1"/>
      <c r="Z51" s="1">
        <f t="shared" si="6"/>
        <v>190</v>
      </c>
      <c r="AA51" s="1"/>
      <c r="AB51" s="1">
        <v>-10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81</v>
      </c>
      <c r="B52" s="1" t="s">
        <v>27</v>
      </c>
      <c r="C52" s="1">
        <v>18.992000000000001</v>
      </c>
      <c r="D52" s="1">
        <v>239.79400000000001</v>
      </c>
      <c r="E52" s="1">
        <v>36.552</v>
      </c>
      <c r="F52" s="1">
        <v>219.511</v>
      </c>
      <c r="G52" s="6">
        <v>1</v>
      </c>
      <c r="H52" s="1">
        <v>50</v>
      </c>
      <c r="I52" s="1" t="s">
        <v>28</v>
      </c>
      <c r="J52" s="1">
        <v>65.7</v>
      </c>
      <c r="K52" s="1">
        <f t="shared" si="10"/>
        <v>-29.148000000000003</v>
      </c>
      <c r="L52" s="1"/>
      <c r="M52" s="1"/>
      <c r="N52" s="1"/>
      <c r="O52" s="1">
        <f t="shared" si="11"/>
        <v>7.3103999999999996</v>
      </c>
      <c r="P52" s="5"/>
      <c r="Q52" s="19">
        <f t="shared" si="14"/>
        <v>150</v>
      </c>
      <c r="R52" s="26">
        <f>IFERROR(VLOOKUP(A52,[1]TDSheet!$A:$G,7,0),0)</f>
        <v>250</v>
      </c>
      <c r="S52" s="21">
        <v>150</v>
      </c>
      <c r="T52" s="1">
        <f t="shared" si="5"/>
        <v>50.545934558984456</v>
      </c>
      <c r="U52" s="1">
        <f t="shared" si="12"/>
        <v>30.02722149266798</v>
      </c>
      <c r="V52" s="1">
        <v>13.2624</v>
      </c>
      <c r="W52" s="1">
        <v>21.308</v>
      </c>
      <c r="X52" s="1">
        <v>3.2342</v>
      </c>
      <c r="Y52" s="1"/>
      <c r="Z52" s="1">
        <f t="shared" si="6"/>
        <v>140</v>
      </c>
      <c r="AA52" s="1"/>
      <c r="AB52" s="1">
        <v>-10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82</v>
      </c>
      <c r="B53" s="1" t="s">
        <v>27</v>
      </c>
      <c r="C53" s="1">
        <v>-0.21</v>
      </c>
      <c r="D53" s="1">
        <v>34.143999999999998</v>
      </c>
      <c r="E53" s="1"/>
      <c r="F53" s="1">
        <v>33.933999999999997</v>
      </c>
      <c r="G53" s="6">
        <v>1</v>
      </c>
      <c r="H53" s="1">
        <v>40</v>
      </c>
      <c r="I53" s="1" t="s">
        <v>28</v>
      </c>
      <c r="J53" s="1"/>
      <c r="K53" s="1">
        <f t="shared" si="10"/>
        <v>0</v>
      </c>
      <c r="L53" s="1"/>
      <c r="M53" s="1"/>
      <c r="N53" s="1"/>
      <c r="O53" s="1">
        <f t="shared" si="11"/>
        <v>0</v>
      </c>
      <c r="P53" s="5"/>
      <c r="Q53" s="19">
        <f t="shared" si="14"/>
        <v>40</v>
      </c>
      <c r="R53" s="26">
        <f>IFERROR(VLOOKUP(A53,[1]TDSheet!$A:$G,7,0),0)</f>
        <v>0</v>
      </c>
      <c r="S53" s="21">
        <v>40</v>
      </c>
      <c r="T53" s="1" t="e">
        <f t="shared" si="5"/>
        <v>#DIV/0!</v>
      </c>
      <c r="U53" s="1" t="e">
        <f t="shared" si="12"/>
        <v>#DIV/0!</v>
      </c>
      <c r="V53" s="1">
        <v>2.7172000000000001</v>
      </c>
      <c r="W53" s="1">
        <v>4.0377999999999998</v>
      </c>
      <c r="X53" s="1">
        <v>0.28660000000000002</v>
      </c>
      <c r="Y53" s="1"/>
      <c r="Z53" s="1">
        <f t="shared" si="6"/>
        <v>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9" t="s">
        <v>83</v>
      </c>
      <c r="B54" s="1" t="s">
        <v>34</v>
      </c>
      <c r="C54" s="1">
        <v>-18</v>
      </c>
      <c r="D54" s="1">
        <v>860</v>
      </c>
      <c r="E54" s="15">
        <f>131+E63+E90</f>
        <v>147</v>
      </c>
      <c r="F54" s="15">
        <f>686+F63+F90</f>
        <v>668</v>
      </c>
      <c r="G54" s="6">
        <v>0.45</v>
      </c>
      <c r="H54" s="1">
        <v>50</v>
      </c>
      <c r="I54" s="1" t="s">
        <v>28</v>
      </c>
      <c r="J54" s="1">
        <v>216</v>
      </c>
      <c r="K54" s="1">
        <f t="shared" si="10"/>
        <v>-69</v>
      </c>
      <c r="L54" s="1"/>
      <c r="M54" s="1"/>
      <c r="N54" s="1"/>
      <c r="O54" s="1">
        <f t="shared" si="11"/>
        <v>29.4</v>
      </c>
      <c r="P54" s="5"/>
      <c r="Q54" s="19">
        <f t="shared" si="4"/>
        <v>0</v>
      </c>
      <c r="R54" s="26">
        <f>IFERROR(VLOOKUP(A54,[1]TDSheet!$A:$G,7,0),0)</f>
        <v>900</v>
      </c>
      <c r="S54" s="21"/>
      <c r="T54" s="1">
        <f t="shared" si="5"/>
        <v>22.721088435374149</v>
      </c>
      <c r="U54" s="1">
        <f t="shared" si="12"/>
        <v>22.721088435374149</v>
      </c>
      <c r="V54" s="1">
        <v>36</v>
      </c>
      <c r="W54" s="1">
        <v>91.8</v>
      </c>
      <c r="X54" s="1">
        <v>24.2</v>
      </c>
      <c r="Y54" s="9" t="s">
        <v>75</v>
      </c>
      <c r="Z54" s="1">
        <f t="shared" si="6"/>
        <v>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84</v>
      </c>
      <c r="B55" s="1" t="s">
        <v>27</v>
      </c>
      <c r="C55" s="1">
        <v>2.9990000000000001</v>
      </c>
      <c r="D55" s="1">
        <v>72.900999999999996</v>
      </c>
      <c r="E55" s="1">
        <v>1.4450000000000001</v>
      </c>
      <c r="F55" s="1">
        <v>74.454999999999998</v>
      </c>
      <c r="G55" s="6">
        <v>1</v>
      </c>
      <c r="H55" s="1">
        <v>40</v>
      </c>
      <c r="I55" s="1" t="s">
        <v>28</v>
      </c>
      <c r="J55" s="1">
        <v>1.4</v>
      </c>
      <c r="K55" s="1">
        <f t="shared" si="10"/>
        <v>4.5000000000000151E-2</v>
      </c>
      <c r="L55" s="1"/>
      <c r="M55" s="1"/>
      <c r="N55" s="1"/>
      <c r="O55" s="1">
        <f t="shared" si="11"/>
        <v>0.28900000000000003</v>
      </c>
      <c r="P55" s="5"/>
      <c r="Q55" s="19">
        <f t="shared" ref="Q55:Q58" si="15">S55</f>
        <v>40</v>
      </c>
      <c r="R55" s="26">
        <f>IFERROR(VLOOKUP(A55,[1]TDSheet!$A:$G,7,0),0)</f>
        <v>0</v>
      </c>
      <c r="S55" s="21">
        <v>40</v>
      </c>
      <c r="T55" s="1">
        <f t="shared" si="5"/>
        <v>396.03806228373696</v>
      </c>
      <c r="U55" s="1">
        <f t="shared" si="12"/>
        <v>257.62975778546706</v>
      </c>
      <c r="V55" s="1">
        <v>5.1075999999999997</v>
      </c>
      <c r="W55" s="1">
        <v>5.3851999999999993</v>
      </c>
      <c r="X55" s="1">
        <v>4.8231999999999999</v>
      </c>
      <c r="Y55" s="1"/>
      <c r="Z55" s="1">
        <f t="shared" si="6"/>
        <v>40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85</v>
      </c>
      <c r="B56" s="1" t="s">
        <v>34</v>
      </c>
      <c r="C56" s="1">
        <v>-10</v>
      </c>
      <c r="D56" s="1">
        <v>612</v>
      </c>
      <c r="E56" s="1">
        <v>108</v>
      </c>
      <c r="F56" s="1">
        <v>470</v>
      </c>
      <c r="G56" s="6">
        <v>0.45</v>
      </c>
      <c r="H56" s="1">
        <v>50</v>
      </c>
      <c r="I56" s="1" t="s">
        <v>28</v>
      </c>
      <c r="J56" s="1">
        <v>207</v>
      </c>
      <c r="K56" s="1">
        <f t="shared" si="10"/>
        <v>-99</v>
      </c>
      <c r="L56" s="1"/>
      <c r="M56" s="1"/>
      <c r="N56" s="1"/>
      <c r="O56" s="1">
        <f t="shared" si="11"/>
        <v>21.6</v>
      </c>
      <c r="P56" s="5"/>
      <c r="Q56" s="19">
        <f t="shared" si="15"/>
        <v>180</v>
      </c>
      <c r="R56" s="26">
        <f>IFERROR(VLOOKUP(A56,[1]TDSheet!$A:$G,7,0),0)</f>
        <v>700</v>
      </c>
      <c r="S56" s="21">
        <v>180</v>
      </c>
      <c r="T56" s="1">
        <f t="shared" si="5"/>
        <v>30.092592592592592</v>
      </c>
      <c r="U56" s="1">
        <f t="shared" si="12"/>
        <v>21.75925925925926</v>
      </c>
      <c r="V56" s="1">
        <v>24.4</v>
      </c>
      <c r="W56" s="1">
        <v>62.2</v>
      </c>
      <c r="X56" s="1">
        <v>18.600000000000001</v>
      </c>
      <c r="Y56" s="1"/>
      <c r="Z56" s="1">
        <f t="shared" si="6"/>
        <v>81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86</v>
      </c>
      <c r="B57" s="1" t="s">
        <v>34</v>
      </c>
      <c r="C57" s="1">
        <v>-2</v>
      </c>
      <c r="D57" s="1">
        <v>300</v>
      </c>
      <c r="E57" s="1">
        <v>56</v>
      </c>
      <c r="F57" s="1">
        <v>230</v>
      </c>
      <c r="G57" s="6">
        <v>0.45</v>
      </c>
      <c r="H57" s="1">
        <v>50</v>
      </c>
      <c r="I57" s="1" t="s">
        <v>28</v>
      </c>
      <c r="J57" s="1">
        <v>90</v>
      </c>
      <c r="K57" s="1">
        <f t="shared" si="10"/>
        <v>-34</v>
      </c>
      <c r="L57" s="1"/>
      <c r="M57" s="1"/>
      <c r="N57" s="1"/>
      <c r="O57" s="1">
        <f t="shared" si="11"/>
        <v>11.2</v>
      </c>
      <c r="P57" s="5"/>
      <c r="Q57" s="19">
        <f t="shared" si="15"/>
        <v>100</v>
      </c>
      <c r="R57" s="26">
        <f>IFERROR(VLOOKUP(A57,[1]TDSheet!$A:$G,7,0),0)</f>
        <v>550</v>
      </c>
      <c r="S57" s="21">
        <v>100</v>
      </c>
      <c r="T57" s="1">
        <f t="shared" si="5"/>
        <v>29.464285714285715</v>
      </c>
      <c r="U57" s="1">
        <f t="shared" si="12"/>
        <v>20.535714285714288</v>
      </c>
      <c r="V57" s="1">
        <v>14.8</v>
      </c>
      <c r="W57" s="1">
        <v>36.6</v>
      </c>
      <c r="X57" s="1">
        <v>9.8000000000000007</v>
      </c>
      <c r="Y57" s="1"/>
      <c r="Z57" s="1">
        <f t="shared" si="6"/>
        <v>45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87</v>
      </c>
      <c r="B58" s="1" t="s">
        <v>27</v>
      </c>
      <c r="C58" s="1">
        <v>89.224999999999994</v>
      </c>
      <c r="D58" s="1">
        <v>483.67599999999999</v>
      </c>
      <c r="E58" s="1">
        <v>136.52199999999999</v>
      </c>
      <c r="F58" s="1">
        <v>433.72699999999998</v>
      </c>
      <c r="G58" s="6">
        <v>1</v>
      </c>
      <c r="H58" s="1">
        <v>50</v>
      </c>
      <c r="I58" s="1" t="s">
        <v>28</v>
      </c>
      <c r="J58" s="1">
        <v>156.19999999999999</v>
      </c>
      <c r="K58" s="1">
        <f t="shared" si="10"/>
        <v>-19.677999999999997</v>
      </c>
      <c r="L58" s="1"/>
      <c r="M58" s="1"/>
      <c r="N58" s="1"/>
      <c r="O58" s="1">
        <f t="shared" si="11"/>
        <v>27.304399999999998</v>
      </c>
      <c r="P58" s="5"/>
      <c r="Q58" s="19">
        <f t="shared" si="15"/>
        <v>500</v>
      </c>
      <c r="R58" s="26">
        <f>IFERROR(VLOOKUP(A58,[1]TDSheet!$A:$G,7,0),0)</f>
        <v>50</v>
      </c>
      <c r="S58" s="21">
        <v>500</v>
      </c>
      <c r="T58" s="1">
        <f t="shared" si="5"/>
        <v>34.196942617307101</v>
      </c>
      <c r="U58" s="1">
        <f t="shared" si="12"/>
        <v>15.88487569768975</v>
      </c>
      <c r="V58" s="1">
        <v>30.144600000000001</v>
      </c>
      <c r="W58" s="1">
        <v>43.766000000000012</v>
      </c>
      <c r="X58" s="1">
        <v>14.116199999999999</v>
      </c>
      <c r="Y58" s="1"/>
      <c r="Z58" s="1">
        <f t="shared" si="6"/>
        <v>470</v>
      </c>
      <c r="AA58" s="1"/>
      <c r="AB58" s="1">
        <v>-30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88</v>
      </c>
      <c r="B59" s="1" t="s">
        <v>27</v>
      </c>
      <c r="C59" s="1">
        <v>7.0369999999999999</v>
      </c>
      <c r="D59" s="1">
        <v>35.829000000000001</v>
      </c>
      <c r="E59" s="1">
        <v>3.5920000000000001</v>
      </c>
      <c r="F59" s="1">
        <v>39.274000000000001</v>
      </c>
      <c r="G59" s="6">
        <v>1</v>
      </c>
      <c r="H59" s="1">
        <v>40</v>
      </c>
      <c r="I59" s="1" t="s">
        <v>28</v>
      </c>
      <c r="J59" s="1">
        <v>3.1</v>
      </c>
      <c r="K59" s="1">
        <f t="shared" si="10"/>
        <v>0.49199999999999999</v>
      </c>
      <c r="L59" s="1"/>
      <c r="M59" s="1"/>
      <c r="N59" s="1"/>
      <c r="O59" s="1">
        <f t="shared" si="11"/>
        <v>0.71840000000000004</v>
      </c>
      <c r="P59" s="5"/>
      <c r="Q59" s="19">
        <f t="shared" si="4"/>
        <v>0</v>
      </c>
      <c r="R59" s="26">
        <f>IFERROR(VLOOKUP(A59,[1]TDSheet!$A:$G,7,0),0)</f>
        <v>40</v>
      </c>
      <c r="S59" s="21"/>
      <c r="T59" s="1">
        <f t="shared" si="5"/>
        <v>54.668708240534521</v>
      </c>
      <c r="U59" s="1">
        <f t="shared" si="12"/>
        <v>54.668708240534521</v>
      </c>
      <c r="V59" s="1">
        <v>1.2538</v>
      </c>
      <c r="W59" s="1">
        <v>4.3006000000000002</v>
      </c>
      <c r="X59" s="1">
        <v>0</v>
      </c>
      <c r="Y59" s="1"/>
      <c r="Z59" s="1">
        <f t="shared" si="6"/>
        <v>0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89</v>
      </c>
      <c r="B60" s="1" t="s">
        <v>34</v>
      </c>
      <c r="C60" s="1">
        <v>-1</v>
      </c>
      <c r="D60" s="1">
        <v>160</v>
      </c>
      <c r="E60" s="1">
        <v>20</v>
      </c>
      <c r="F60" s="1">
        <v>132</v>
      </c>
      <c r="G60" s="6">
        <v>0.1</v>
      </c>
      <c r="H60" s="1">
        <v>730</v>
      </c>
      <c r="I60" s="1" t="s">
        <v>28</v>
      </c>
      <c r="J60" s="1">
        <v>44</v>
      </c>
      <c r="K60" s="1">
        <f t="shared" si="10"/>
        <v>-24</v>
      </c>
      <c r="L60" s="1"/>
      <c r="M60" s="1"/>
      <c r="N60" s="1"/>
      <c r="O60" s="1">
        <f t="shared" si="11"/>
        <v>4</v>
      </c>
      <c r="P60" s="5"/>
      <c r="Q60" s="19">
        <f t="shared" ref="Q60:Q62" si="16">S60</f>
        <v>200</v>
      </c>
      <c r="R60" s="26">
        <f>IFERROR(VLOOKUP(A60,[1]TDSheet!$A:$G,7,0),0)</f>
        <v>300</v>
      </c>
      <c r="S60" s="21">
        <v>200</v>
      </c>
      <c r="T60" s="1">
        <f t="shared" si="5"/>
        <v>83</v>
      </c>
      <c r="U60" s="1">
        <f t="shared" si="12"/>
        <v>33</v>
      </c>
      <c r="V60" s="1">
        <v>5.2</v>
      </c>
      <c r="W60" s="1">
        <v>20.2</v>
      </c>
      <c r="X60" s="1">
        <v>0</v>
      </c>
      <c r="Y60" s="1"/>
      <c r="Z60" s="1">
        <f t="shared" si="6"/>
        <v>20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90</v>
      </c>
      <c r="B61" s="1" t="s">
        <v>27</v>
      </c>
      <c r="C61" s="1">
        <v>1.2999999999999999E-2</v>
      </c>
      <c r="D61" s="1">
        <v>42.677999999999997</v>
      </c>
      <c r="E61" s="1">
        <v>38.720999999999997</v>
      </c>
      <c r="F61" s="1">
        <v>7.976</v>
      </c>
      <c r="G61" s="6">
        <v>1</v>
      </c>
      <c r="H61" s="1">
        <v>50</v>
      </c>
      <c r="I61" s="1" t="s">
        <v>28</v>
      </c>
      <c r="J61" s="1">
        <v>44</v>
      </c>
      <c r="K61" s="1">
        <f t="shared" si="10"/>
        <v>-5.2790000000000035</v>
      </c>
      <c r="L61" s="1"/>
      <c r="M61" s="1"/>
      <c r="N61" s="1"/>
      <c r="O61" s="1">
        <f t="shared" si="11"/>
        <v>7.7441999999999993</v>
      </c>
      <c r="P61" s="5">
        <f>9*O61-F61</f>
        <v>61.721800000000002</v>
      </c>
      <c r="Q61" s="19">
        <f t="shared" si="16"/>
        <v>150</v>
      </c>
      <c r="R61" s="26">
        <f>IFERROR(VLOOKUP(A61,[1]TDSheet!$A:$G,7,0),0)</f>
        <v>80</v>
      </c>
      <c r="S61" s="21">
        <v>150</v>
      </c>
      <c r="T61" s="1">
        <f t="shared" si="5"/>
        <v>20.399266547868084</v>
      </c>
      <c r="U61" s="1">
        <f t="shared" si="12"/>
        <v>1.0299320782004597</v>
      </c>
      <c r="V61" s="1">
        <v>6.4104000000000001</v>
      </c>
      <c r="W61" s="1">
        <v>3.0604</v>
      </c>
      <c r="X61" s="1">
        <v>3.6126</v>
      </c>
      <c r="Y61" s="1"/>
      <c r="Z61" s="1">
        <f t="shared" si="6"/>
        <v>140</v>
      </c>
      <c r="AA61" s="1"/>
      <c r="AB61" s="1">
        <v>-10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91</v>
      </c>
      <c r="B62" s="1" t="s">
        <v>34</v>
      </c>
      <c r="C62" s="1">
        <v>-1</v>
      </c>
      <c r="D62" s="1">
        <v>160</v>
      </c>
      <c r="E62" s="1">
        <v>21</v>
      </c>
      <c r="F62" s="1">
        <v>131</v>
      </c>
      <c r="G62" s="6">
        <v>0.1</v>
      </c>
      <c r="H62" s="1">
        <v>730</v>
      </c>
      <c r="I62" s="1" t="s">
        <v>28</v>
      </c>
      <c r="J62" s="1">
        <v>49</v>
      </c>
      <c r="K62" s="1">
        <f t="shared" si="10"/>
        <v>-28</v>
      </c>
      <c r="L62" s="1"/>
      <c r="M62" s="1"/>
      <c r="N62" s="1"/>
      <c r="O62" s="1">
        <f t="shared" si="11"/>
        <v>4.2</v>
      </c>
      <c r="P62" s="5"/>
      <c r="Q62" s="19">
        <f t="shared" si="16"/>
        <v>200</v>
      </c>
      <c r="R62" s="26">
        <f>IFERROR(VLOOKUP(A62,[1]TDSheet!$A:$G,7,0),0)</f>
        <v>300</v>
      </c>
      <c r="S62" s="21">
        <v>200</v>
      </c>
      <c r="T62" s="1">
        <f t="shared" si="5"/>
        <v>78.80952380952381</v>
      </c>
      <c r="U62" s="1">
        <f t="shared" si="12"/>
        <v>31.19047619047619</v>
      </c>
      <c r="V62" s="1">
        <v>8.6</v>
      </c>
      <c r="W62" s="1">
        <v>20.2</v>
      </c>
      <c r="X62" s="1">
        <v>0</v>
      </c>
      <c r="Y62" s="1"/>
      <c r="Z62" s="1">
        <f t="shared" si="6"/>
        <v>20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0" t="s">
        <v>92</v>
      </c>
      <c r="B63" s="11" t="s">
        <v>34</v>
      </c>
      <c r="C63" s="11"/>
      <c r="D63" s="11"/>
      <c r="E63" s="15">
        <v>3</v>
      </c>
      <c r="F63" s="15">
        <v>-3</v>
      </c>
      <c r="G63" s="12">
        <v>0</v>
      </c>
      <c r="H63" s="11" t="e">
        <v>#N/A</v>
      </c>
      <c r="I63" s="11" t="s">
        <v>43</v>
      </c>
      <c r="J63" s="11">
        <v>10</v>
      </c>
      <c r="K63" s="11">
        <f t="shared" si="10"/>
        <v>-7</v>
      </c>
      <c r="L63" s="11"/>
      <c r="M63" s="11"/>
      <c r="N63" s="11"/>
      <c r="O63" s="11">
        <f t="shared" si="11"/>
        <v>0.6</v>
      </c>
      <c r="P63" s="13"/>
      <c r="Q63" s="19">
        <f t="shared" si="4"/>
        <v>0</v>
      </c>
      <c r="R63" s="26">
        <f>IFERROR(VLOOKUP(A63,[1]TDSheet!$A:$G,7,0),0)</f>
        <v>0</v>
      </c>
      <c r="S63" s="21"/>
      <c r="T63" s="1">
        <f t="shared" si="5"/>
        <v>-5</v>
      </c>
      <c r="U63" s="11">
        <f t="shared" si="12"/>
        <v>-5</v>
      </c>
      <c r="V63" s="11">
        <v>0</v>
      </c>
      <c r="W63" s="11">
        <v>0</v>
      </c>
      <c r="X63" s="11">
        <v>0</v>
      </c>
      <c r="Y63" s="10" t="s">
        <v>124</v>
      </c>
      <c r="Z63" s="1">
        <f t="shared" si="6"/>
        <v>0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93</v>
      </c>
      <c r="B64" s="1" t="s">
        <v>34</v>
      </c>
      <c r="C64" s="1">
        <v>-1</v>
      </c>
      <c r="D64" s="1">
        <v>186</v>
      </c>
      <c r="E64" s="1">
        <v>42</v>
      </c>
      <c r="F64" s="1">
        <v>132</v>
      </c>
      <c r="G64" s="6">
        <v>0.4</v>
      </c>
      <c r="H64" s="1">
        <v>40</v>
      </c>
      <c r="I64" s="1" t="s">
        <v>28</v>
      </c>
      <c r="J64" s="1">
        <v>81</v>
      </c>
      <c r="K64" s="1">
        <f t="shared" si="10"/>
        <v>-39</v>
      </c>
      <c r="L64" s="1"/>
      <c r="M64" s="1"/>
      <c r="N64" s="1"/>
      <c r="O64" s="1">
        <f t="shared" si="11"/>
        <v>8.4</v>
      </c>
      <c r="P64" s="5"/>
      <c r="Q64" s="19">
        <f t="shared" ref="Q64:Q68" si="17">S64</f>
        <v>200</v>
      </c>
      <c r="R64" s="26">
        <f>IFERROR(VLOOKUP(A64,[1]TDSheet!$A:$G,7,0),0)</f>
        <v>300</v>
      </c>
      <c r="S64" s="21">
        <v>200</v>
      </c>
      <c r="T64" s="1">
        <f t="shared" si="5"/>
        <v>39.523809523809526</v>
      </c>
      <c r="U64" s="1">
        <f t="shared" si="12"/>
        <v>15.714285714285714</v>
      </c>
      <c r="V64" s="1">
        <v>1</v>
      </c>
      <c r="W64" s="1">
        <v>19.2</v>
      </c>
      <c r="X64" s="1">
        <v>5.4</v>
      </c>
      <c r="Y64" s="1"/>
      <c r="Z64" s="1">
        <f t="shared" si="6"/>
        <v>80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94</v>
      </c>
      <c r="B65" s="1" t="s">
        <v>34</v>
      </c>
      <c r="C65" s="1">
        <v>1</v>
      </c>
      <c r="D65" s="1">
        <v>108</v>
      </c>
      <c r="E65" s="1">
        <v>32</v>
      </c>
      <c r="F65" s="1">
        <v>71</v>
      </c>
      <c r="G65" s="6">
        <v>0.4</v>
      </c>
      <c r="H65" s="1">
        <v>40</v>
      </c>
      <c r="I65" s="1" t="s">
        <v>28</v>
      </c>
      <c r="J65" s="1">
        <v>81</v>
      </c>
      <c r="K65" s="1">
        <f t="shared" si="10"/>
        <v>-49</v>
      </c>
      <c r="L65" s="1"/>
      <c r="M65" s="1"/>
      <c r="N65" s="1"/>
      <c r="O65" s="1">
        <f t="shared" si="11"/>
        <v>6.4</v>
      </c>
      <c r="P65" s="5">
        <f>13*O65-F65</f>
        <v>12.200000000000003</v>
      </c>
      <c r="Q65" s="19">
        <f t="shared" si="17"/>
        <v>200</v>
      </c>
      <c r="R65" s="26">
        <f>IFERROR(VLOOKUP(A65,[1]TDSheet!$A:$G,7,0),0)</f>
        <v>200</v>
      </c>
      <c r="S65" s="21">
        <v>200</v>
      </c>
      <c r="T65" s="1">
        <f t="shared" si="5"/>
        <v>42.34375</v>
      </c>
      <c r="U65" s="1">
        <f t="shared" si="12"/>
        <v>11.09375</v>
      </c>
      <c r="V65" s="1">
        <v>0.2</v>
      </c>
      <c r="W65" s="1">
        <v>13.4</v>
      </c>
      <c r="X65" s="1">
        <v>4.5999999999999996</v>
      </c>
      <c r="Y65" s="1"/>
      <c r="Z65" s="1">
        <f t="shared" si="6"/>
        <v>80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95</v>
      </c>
      <c r="B66" s="1" t="s">
        <v>27</v>
      </c>
      <c r="C66" s="1">
        <v>-6.6000000000000003E-2</v>
      </c>
      <c r="D66" s="1">
        <v>48.746000000000002</v>
      </c>
      <c r="E66" s="1">
        <v>17.065000000000001</v>
      </c>
      <c r="F66" s="1">
        <v>31.614999999999998</v>
      </c>
      <c r="G66" s="6">
        <v>1</v>
      </c>
      <c r="H66" s="1">
        <v>40</v>
      </c>
      <c r="I66" s="1" t="s">
        <v>28</v>
      </c>
      <c r="J66" s="1">
        <v>15.9</v>
      </c>
      <c r="K66" s="1">
        <f t="shared" si="10"/>
        <v>1.1650000000000009</v>
      </c>
      <c r="L66" s="1"/>
      <c r="M66" s="1"/>
      <c r="N66" s="1"/>
      <c r="O66" s="1">
        <f t="shared" si="11"/>
        <v>3.4130000000000003</v>
      </c>
      <c r="P66" s="5">
        <f>13*O66-F66</f>
        <v>12.754000000000001</v>
      </c>
      <c r="Q66" s="19">
        <f t="shared" si="17"/>
        <v>40</v>
      </c>
      <c r="R66" s="26">
        <f>IFERROR(VLOOKUP(A66,[1]TDSheet!$A:$G,7,0),0)</f>
        <v>0</v>
      </c>
      <c r="S66" s="21">
        <v>40</v>
      </c>
      <c r="T66" s="1">
        <f t="shared" si="5"/>
        <v>20.983006152944622</v>
      </c>
      <c r="U66" s="1">
        <f t="shared" si="12"/>
        <v>9.2631116319953115</v>
      </c>
      <c r="V66" s="1">
        <v>4.3860000000000001</v>
      </c>
      <c r="W66" s="1">
        <v>2.9268000000000001</v>
      </c>
      <c r="X66" s="1">
        <v>1.9552</v>
      </c>
      <c r="Y66" s="1"/>
      <c r="Z66" s="1">
        <f t="shared" si="6"/>
        <v>40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96</v>
      </c>
      <c r="B67" s="1" t="s">
        <v>34</v>
      </c>
      <c r="C67" s="1">
        <v>-7</v>
      </c>
      <c r="D67" s="1">
        <v>439</v>
      </c>
      <c r="E67" s="15">
        <f>121+E18</f>
        <v>122</v>
      </c>
      <c r="F67" s="15">
        <f>299+F18</f>
        <v>298</v>
      </c>
      <c r="G67" s="6">
        <v>0.35</v>
      </c>
      <c r="H67" s="1">
        <v>40</v>
      </c>
      <c r="I67" s="1" t="s">
        <v>28</v>
      </c>
      <c r="J67" s="1">
        <v>149</v>
      </c>
      <c r="K67" s="1">
        <f t="shared" si="10"/>
        <v>-27</v>
      </c>
      <c r="L67" s="1"/>
      <c r="M67" s="1"/>
      <c r="N67" s="1"/>
      <c r="O67" s="1">
        <f t="shared" si="11"/>
        <v>24.4</v>
      </c>
      <c r="P67" s="5">
        <f>13*O67-F67</f>
        <v>19.199999999999989</v>
      </c>
      <c r="Q67" s="19">
        <f t="shared" si="17"/>
        <v>300</v>
      </c>
      <c r="R67" s="26">
        <f>IFERROR(VLOOKUP(A67,[1]TDSheet!$A:$G,7,0),0)</f>
        <v>500</v>
      </c>
      <c r="S67" s="21">
        <v>300</v>
      </c>
      <c r="T67" s="1">
        <f t="shared" si="5"/>
        <v>24.508196721311478</v>
      </c>
      <c r="U67" s="1">
        <f t="shared" si="12"/>
        <v>12.213114754098362</v>
      </c>
      <c r="V67" s="1">
        <v>18.8</v>
      </c>
      <c r="W67" s="1">
        <v>36.799999999999997</v>
      </c>
      <c r="X67" s="1">
        <v>19.2</v>
      </c>
      <c r="Y67" s="9" t="s">
        <v>75</v>
      </c>
      <c r="Z67" s="1">
        <f t="shared" si="6"/>
        <v>105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97</v>
      </c>
      <c r="B68" s="1" t="s">
        <v>34</v>
      </c>
      <c r="C68" s="1">
        <v>-19</v>
      </c>
      <c r="D68" s="1">
        <v>894</v>
      </c>
      <c r="E68" s="15">
        <f>137+E19+E91</f>
        <v>152</v>
      </c>
      <c r="F68" s="15">
        <f>716+F19+F91</f>
        <v>697</v>
      </c>
      <c r="G68" s="6">
        <v>0.35</v>
      </c>
      <c r="H68" s="1">
        <v>45</v>
      </c>
      <c r="I68" s="1" t="s">
        <v>28</v>
      </c>
      <c r="J68" s="1">
        <v>215</v>
      </c>
      <c r="K68" s="1">
        <f t="shared" si="10"/>
        <v>-63</v>
      </c>
      <c r="L68" s="1"/>
      <c r="M68" s="1"/>
      <c r="N68" s="1"/>
      <c r="O68" s="1">
        <f t="shared" si="11"/>
        <v>30.4</v>
      </c>
      <c r="P68" s="5"/>
      <c r="Q68" s="19">
        <f t="shared" si="17"/>
        <v>200</v>
      </c>
      <c r="R68" s="26">
        <f>IFERROR(VLOOKUP(A68,[1]TDSheet!$A:$G,7,0),0)</f>
        <v>300</v>
      </c>
      <c r="S68" s="21">
        <v>200</v>
      </c>
      <c r="T68" s="1">
        <f t="shared" si="5"/>
        <v>29.506578947368421</v>
      </c>
      <c r="U68" s="1">
        <f t="shared" si="12"/>
        <v>22.92763157894737</v>
      </c>
      <c r="V68" s="1">
        <v>29.4</v>
      </c>
      <c r="W68" s="1">
        <v>63</v>
      </c>
      <c r="X68" s="1">
        <v>25.8</v>
      </c>
      <c r="Y68" s="1" t="s">
        <v>75</v>
      </c>
      <c r="Z68" s="1">
        <f t="shared" si="6"/>
        <v>70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1" t="s">
        <v>98</v>
      </c>
      <c r="B69" s="11" t="s">
        <v>27</v>
      </c>
      <c r="C69" s="11">
        <v>13.541</v>
      </c>
      <c r="D69" s="17">
        <v>106.12</v>
      </c>
      <c r="E69" s="15">
        <v>34.828000000000003</v>
      </c>
      <c r="F69" s="15">
        <v>84.832999999999998</v>
      </c>
      <c r="G69" s="12">
        <v>0</v>
      </c>
      <c r="H69" s="11">
        <v>55</v>
      </c>
      <c r="I69" s="11" t="s">
        <v>43</v>
      </c>
      <c r="J69" s="11">
        <v>44.7</v>
      </c>
      <c r="K69" s="11">
        <f t="shared" si="10"/>
        <v>-9.8719999999999999</v>
      </c>
      <c r="L69" s="11"/>
      <c r="M69" s="11"/>
      <c r="N69" s="11"/>
      <c r="O69" s="11">
        <f t="shared" si="11"/>
        <v>6.9656000000000002</v>
      </c>
      <c r="P69" s="13"/>
      <c r="Q69" s="19">
        <f t="shared" si="4"/>
        <v>0</v>
      </c>
      <c r="R69" s="26">
        <f>IFERROR(VLOOKUP(A69,[1]TDSheet!$A:$G,7,0),0)</f>
        <v>0</v>
      </c>
      <c r="S69" s="21"/>
      <c r="T69" s="1">
        <f t="shared" si="5"/>
        <v>12.178850350292867</v>
      </c>
      <c r="U69" s="11">
        <f t="shared" si="12"/>
        <v>12.178850350292867</v>
      </c>
      <c r="V69" s="11">
        <v>7.0122</v>
      </c>
      <c r="W69" s="11">
        <v>11.884399999999999</v>
      </c>
      <c r="X69" s="11">
        <v>0.54259999999999997</v>
      </c>
      <c r="Y69" s="16" t="s">
        <v>128</v>
      </c>
      <c r="Z69" s="1">
        <f t="shared" si="6"/>
        <v>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0" t="s">
        <v>99</v>
      </c>
      <c r="B70" s="11" t="s">
        <v>27</v>
      </c>
      <c r="C70" s="11"/>
      <c r="D70" s="17">
        <v>81.019000000000005</v>
      </c>
      <c r="E70" s="11"/>
      <c r="F70" s="15">
        <v>81.019000000000005</v>
      </c>
      <c r="G70" s="12">
        <v>0</v>
      </c>
      <c r="H70" s="11" t="e">
        <v>#N/A</v>
      </c>
      <c r="I70" s="11" t="s">
        <v>43</v>
      </c>
      <c r="J70" s="11"/>
      <c r="K70" s="11">
        <f t="shared" ref="K70:K91" si="18">E70-J70</f>
        <v>0</v>
      </c>
      <c r="L70" s="11"/>
      <c r="M70" s="11"/>
      <c r="N70" s="11"/>
      <c r="O70" s="11">
        <f t="shared" ref="O70:O97" si="19">E70/5</f>
        <v>0</v>
      </c>
      <c r="P70" s="13"/>
      <c r="Q70" s="19">
        <f t="shared" si="4"/>
        <v>0</v>
      </c>
      <c r="R70" s="26">
        <f>IFERROR(VLOOKUP(A70,[1]TDSheet!$A:$G,7,0),0)</f>
        <v>0</v>
      </c>
      <c r="S70" s="21"/>
      <c r="T70" s="1" t="e">
        <f t="shared" si="5"/>
        <v>#DIV/0!</v>
      </c>
      <c r="U70" s="11" t="e">
        <f t="shared" ref="U70:U91" si="20">F70/O70</f>
        <v>#DIV/0!</v>
      </c>
      <c r="V70" s="11">
        <v>0</v>
      </c>
      <c r="W70" s="11">
        <v>0</v>
      </c>
      <c r="X70" s="11">
        <v>0</v>
      </c>
      <c r="Y70" s="16" t="s">
        <v>127</v>
      </c>
      <c r="Z70" s="1">
        <f t="shared" si="6"/>
        <v>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100</v>
      </c>
      <c r="B71" s="1" t="s">
        <v>27</v>
      </c>
      <c r="C71" s="1">
        <v>25.364999999999998</v>
      </c>
      <c r="D71" s="1"/>
      <c r="E71" s="1">
        <v>11.086</v>
      </c>
      <c r="F71" s="1">
        <v>14.279</v>
      </c>
      <c r="G71" s="6">
        <v>1</v>
      </c>
      <c r="H71" s="1">
        <v>60</v>
      </c>
      <c r="I71" s="1" t="s">
        <v>28</v>
      </c>
      <c r="J71" s="1">
        <v>10.6</v>
      </c>
      <c r="K71" s="1">
        <f t="shared" si="18"/>
        <v>0.48600000000000065</v>
      </c>
      <c r="L71" s="1"/>
      <c r="M71" s="1"/>
      <c r="N71" s="1"/>
      <c r="O71" s="1">
        <f t="shared" si="19"/>
        <v>2.2172000000000001</v>
      </c>
      <c r="P71" s="5">
        <f>13*O71-F71</f>
        <v>14.544599999999999</v>
      </c>
      <c r="Q71" s="19">
        <f t="shared" ref="Q71:Q92" si="21">P71</f>
        <v>14.544599999999999</v>
      </c>
      <c r="R71" s="26">
        <f>IFERROR(VLOOKUP(A71,[1]TDSheet!$A:$G,7,0),0)</f>
        <v>20</v>
      </c>
      <c r="S71" s="21"/>
      <c r="T71" s="1">
        <f t="shared" ref="T71:T91" si="22">(F71+Q71)/O71</f>
        <v>13</v>
      </c>
      <c r="U71" s="1">
        <f t="shared" si="20"/>
        <v>6.4401046364784413</v>
      </c>
      <c r="V71" s="1">
        <v>2.7212000000000001</v>
      </c>
      <c r="W71" s="1">
        <v>1.87</v>
      </c>
      <c r="X71" s="1">
        <v>0.17100000000000001</v>
      </c>
      <c r="Y71" s="1"/>
      <c r="Z71" s="1">
        <f t="shared" ref="Z71:Z97" si="23">ROUND(G71*Q71,0)+AB71</f>
        <v>15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101</v>
      </c>
      <c r="B72" s="1" t="s">
        <v>27</v>
      </c>
      <c r="C72" s="1">
        <v>92.686999999999998</v>
      </c>
      <c r="D72" s="1">
        <v>566.54100000000005</v>
      </c>
      <c r="E72" s="1">
        <v>173.34700000000001</v>
      </c>
      <c r="F72" s="1">
        <v>473.40600000000001</v>
      </c>
      <c r="G72" s="6">
        <v>1</v>
      </c>
      <c r="H72" s="1">
        <v>60</v>
      </c>
      <c r="I72" s="1" t="s">
        <v>28</v>
      </c>
      <c r="J72" s="1">
        <v>223.8</v>
      </c>
      <c r="K72" s="1">
        <f t="shared" si="18"/>
        <v>-50.453000000000003</v>
      </c>
      <c r="L72" s="1"/>
      <c r="M72" s="1"/>
      <c r="N72" s="1"/>
      <c r="O72" s="1">
        <f t="shared" si="19"/>
        <v>34.669400000000003</v>
      </c>
      <c r="P72" s="5"/>
      <c r="Q72" s="19">
        <f>S72</f>
        <v>150</v>
      </c>
      <c r="R72" s="26">
        <f>IFERROR(VLOOKUP(A72,[1]TDSheet!$A:$G,7,0),0)</f>
        <v>400</v>
      </c>
      <c r="S72" s="21">
        <v>150</v>
      </c>
      <c r="T72" s="1">
        <f t="shared" si="22"/>
        <v>17.981447616630224</v>
      </c>
      <c r="U72" s="1">
        <f t="shared" si="20"/>
        <v>13.654865674052621</v>
      </c>
      <c r="V72" s="1">
        <v>43.521799999999999</v>
      </c>
      <c r="W72" s="1">
        <v>51.076000000000001</v>
      </c>
      <c r="X72" s="1">
        <v>11.608000000000001</v>
      </c>
      <c r="Y72" s="1"/>
      <c r="Z72" s="1">
        <f t="shared" si="23"/>
        <v>140</v>
      </c>
      <c r="AA72" s="1"/>
      <c r="AB72" s="1">
        <v>-10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102</v>
      </c>
      <c r="B73" s="1" t="s">
        <v>27</v>
      </c>
      <c r="C73" s="1">
        <v>117.262</v>
      </c>
      <c r="D73" s="1">
        <v>494.726</v>
      </c>
      <c r="E73" s="1">
        <v>189.41</v>
      </c>
      <c r="F73" s="1">
        <v>422.58800000000002</v>
      </c>
      <c r="G73" s="6">
        <v>1</v>
      </c>
      <c r="H73" s="1">
        <v>60</v>
      </c>
      <c r="I73" s="1" t="s">
        <v>28</v>
      </c>
      <c r="J73" s="1">
        <v>227.7</v>
      </c>
      <c r="K73" s="1">
        <f t="shared" si="18"/>
        <v>-38.289999999999992</v>
      </c>
      <c r="L73" s="1"/>
      <c r="M73" s="1"/>
      <c r="N73" s="1"/>
      <c r="O73" s="1">
        <f t="shared" si="19"/>
        <v>37.881999999999998</v>
      </c>
      <c r="P73" s="5">
        <f>13*O73-F73</f>
        <v>69.877999999999929</v>
      </c>
      <c r="Q73" s="19">
        <f>S73</f>
        <v>0</v>
      </c>
      <c r="R73" s="26">
        <f>IFERROR(VLOOKUP(A73,[1]TDSheet!$A:$G,7,0),0)</f>
        <v>0</v>
      </c>
      <c r="S73" s="21">
        <v>0</v>
      </c>
      <c r="T73" s="1">
        <f t="shared" si="22"/>
        <v>11.155377224011405</v>
      </c>
      <c r="U73" s="1">
        <f t="shared" si="20"/>
        <v>11.155377224011405</v>
      </c>
      <c r="V73" s="1">
        <v>46.3996</v>
      </c>
      <c r="W73" s="1">
        <v>48.836799999999997</v>
      </c>
      <c r="X73" s="1">
        <v>14.0908</v>
      </c>
      <c r="Y73" s="1" t="s">
        <v>136</v>
      </c>
      <c r="Z73" s="1">
        <f t="shared" si="23"/>
        <v>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103</v>
      </c>
      <c r="B74" s="1" t="s">
        <v>27</v>
      </c>
      <c r="C74" s="1">
        <v>81.555999999999997</v>
      </c>
      <c r="D74" s="1">
        <v>333.31400000000002</v>
      </c>
      <c r="E74" s="15">
        <f>106.431+E26</f>
        <v>111.447</v>
      </c>
      <c r="F74" s="15">
        <f>303.537+F26</f>
        <v>298.52099999999996</v>
      </c>
      <c r="G74" s="6">
        <v>1</v>
      </c>
      <c r="H74" s="1">
        <v>60</v>
      </c>
      <c r="I74" s="1" t="s">
        <v>28</v>
      </c>
      <c r="J74" s="1">
        <v>161</v>
      </c>
      <c r="K74" s="1">
        <f t="shared" si="18"/>
        <v>-49.552999999999997</v>
      </c>
      <c r="L74" s="1"/>
      <c r="M74" s="1"/>
      <c r="N74" s="1"/>
      <c r="O74" s="1">
        <f t="shared" si="19"/>
        <v>22.289400000000001</v>
      </c>
      <c r="P74" s="5"/>
      <c r="Q74" s="19">
        <f t="shared" ref="Q74:Q82" si="24">S74</f>
        <v>100</v>
      </c>
      <c r="R74" s="26">
        <f>IFERROR(VLOOKUP(A74,[1]TDSheet!$A:$G,7,0),0)</f>
        <v>350</v>
      </c>
      <c r="S74" s="21">
        <v>100</v>
      </c>
      <c r="T74" s="1">
        <f t="shared" si="22"/>
        <v>17.879395587140074</v>
      </c>
      <c r="U74" s="1">
        <f t="shared" si="20"/>
        <v>13.392958087700878</v>
      </c>
      <c r="V74" s="1">
        <v>30.5242</v>
      </c>
      <c r="W74" s="1">
        <v>29.704000000000001</v>
      </c>
      <c r="X74" s="1">
        <v>7.4201999999999986</v>
      </c>
      <c r="Y74" s="1" t="s">
        <v>75</v>
      </c>
      <c r="Z74" s="1">
        <f t="shared" si="23"/>
        <v>100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104</v>
      </c>
      <c r="B75" s="1" t="s">
        <v>27</v>
      </c>
      <c r="C75" s="1">
        <v>162.179</v>
      </c>
      <c r="D75" s="1">
        <v>409.923</v>
      </c>
      <c r="E75" s="1">
        <v>236.95</v>
      </c>
      <c r="F75" s="1">
        <v>335.20299999999997</v>
      </c>
      <c r="G75" s="6">
        <v>1</v>
      </c>
      <c r="H75" s="1">
        <v>55</v>
      </c>
      <c r="I75" s="1" t="s">
        <v>28</v>
      </c>
      <c r="J75" s="1">
        <v>233.5</v>
      </c>
      <c r="K75" s="1">
        <f t="shared" si="18"/>
        <v>3.4499999999999886</v>
      </c>
      <c r="L75" s="1"/>
      <c r="M75" s="1"/>
      <c r="N75" s="1"/>
      <c r="O75" s="1">
        <f t="shared" si="19"/>
        <v>47.39</v>
      </c>
      <c r="P75" s="5"/>
      <c r="Q75" s="19">
        <f t="shared" si="24"/>
        <v>400</v>
      </c>
      <c r="R75" s="26">
        <f>IFERROR(VLOOKUP(A75,[1]TDSheet!$A:$G,7,0),0)</f>
        <v>450</v>
      </c>
      <c r="S75" s="21">
        <v>400</v>
      </c>
      <c r="T75" s="1">
        <f t="shared" si="22"/>
        <v>15.513884785819792</v>
      </c>
      <c r="U75" s="1">
        <f t="shared" si="20"/>
        <v>7.073285503270732</v>
      </c>
      <c r="V75" s="1">
        <v>43.721400000000003</v>
      </c>
      <c r="W75" s="1">
        <v>47.355400000000003</v>
      </c>
      <c r="X75" s="1">
        <v>6.9787999999999997</v>
      </c>
      <c r="Y75" s="1"/>
      <c r="Z75" s="1">
        <f t="shared" si="23"/>
        <v>380</v>
      </c>
      <c r="AA75" s="1"/>
      <c r="AB75" s="1">
        <v>-20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105</v>
      </c>
      <c r="B76" s="1" t="s">
        <v>34</v>
      </c>
      <c r="C76" s="1">
        <v>4</v>
      </c>
      <c r="D76" s="1">
        <v>50</v>
      </c>
      <c r="E76" s="1">
        <v>20</v>
      </c>
      <c r="F76" s="1">
        <v>32</v>
      </c>
      <c r="G76" s="6">
        <v>0.5</v>
      </c>
      <c r="H76" s="1">
        <v>60</v>
      </c>
      <c r="I76" s="1" t="s">
        <v>28</v>
      </c>
      <c r="J76" s="1">
        <v>34</v>
      </c>
      <c r="K76" s="1">
        <f t="shared" si="18"/>
        <v>-14</v>
      </c>
      <c r="L76" s="1"/>
      <c r="M76" s="1"/>
      <c r="N76" s="1"/>
      <c r="O76" s="1">
        <f t="shared" si="19"/>
        <v>4</v>
      </c>
      <c r="P76" s="5">
        <f>13*O76-F76</f>
        <v>20</v>
      </c>
      <c r="Q76" s="19">
        <f t="shared" si="24"/>
        <v>50</v>
      </c>
      <c r="R76" s="26">
        <f>IFERROR(VLOOKUP(A76,[1]TDSheet!$A:$G,7,0),0)</f>
        <v>70</v>
      </c>
      <c r="S76" s="21">
        <v>50</v>
      </c>
      <c r="T76" s="1">
        <f t="shared" si="22"/>
        <v>20.5</v>
      </c>
      <c r="U76" s="1">
        <f t="shared" si="20"/>
        <v>8</v>
      </c>
      <c r="V76" s="1">
        <v>2.2000000000000002</v>
      </c>
      <c r="W76" s="1">
        <v>4.5999999999999996</v>
      </c>
      <c r="X76" s="1">
        <v>2.6</v>
      </c>
      <c r="Y76" s="1"/>
      <c r="Z76" s="1">
        <f t="shared" si="23"/>
        <v>25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106</v>
      </c>
      <c r="B77" s="1" t="s">
        <v>27</v>
      </c>
      <c r="C77" s="1">
        <v>3.7930000000000001</v>
      </c>
      <c r="D77" s="1">
        <v>139.61000000000001</v>
      </c>
      <c r="E77" s="1">
        <v>16.058</v>
      </c>
      <c r="F77" s="1">
        <v>125.989</v>
      </c>
      <c r="G77" s="6">
        <v>1</v>
      </c>
      <c r="H77" s="1">
        <v>55</v>
      </c>
      <c r="I77" s="1" t="s">
        <v>28</v>
      </c>
      <c r="J77" s="1">
        <v>69.045000000000002</v>
      </c>
      <c r="K77" s="1">
        <f t="shared" si="18"/>
        <v>-52.987000000000002</v>
      </c>
      <c r="L77" s="1"/>
      <c r="M77" s="1"/>
      <c r="N77" s="1"/>
      <c r="O77" s="1">
        <f t="shared" si="19"/>
        <v>3.2115999999999998</v>
      </c>
      <c r="P77" s="5"/>
      <c r="Q77" s="19">
        <f t="shared" si="24"/>
        <v>170</v>
      </c>
      <c r="R77" s="26">
        <f>IFERROR(VLOOKUP(A77,[1]TDSheet!$A:$G,7,0),0)</f>
        <v>0</v>
      </c>
      <c r="S77" s="21">
        <v>170</v>
      </c>
      <c r="T77" s="1">
        <f t="shared" si="22"/>
        <v>92.162473533441286</v>
      </c>
      <c r="U77" s="1">
        <f t="shared" si="20"/>
        <v>39.229356084194798</v>
      </c>
      <c r="V77" s="1">
        <v>2.9815999999999998</v>
      </c>
      <c r="W77" s="1">
        <v>15.682399999999999</v>
      </c>
      <c r="X77" s="1">
        <v>5.3592000000000004</v>
      </c>
      <c r="Y77" s="1"/>
      <c r="Z77" s="1">
        <f t="shared" si="23"/>
        <v>160</v>
      </c>
      <c r="AA77" s="1"/>
      <c r="AB77" s="1">
        <v>-10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107</v>
      </c>
      <c r="B78" s="1" t="s">
        <v>34</v>
      </c>
      <c r="C78" s="1">
        <v>-21.696000000000002</v>
      </c>
      <c r="D78" s="1">
        <v>278</v>
      </c>
      <c r="E78" s="1">
        <v>78</v>
      </c>
      <c r="F78" s="1">
        <v>159.304</v>
      </c>
      <c r="G78" s="6">
        <v>0.5</v>
      </c>
      <c r="H78" s="1">
        <v>40</v>
      </c>
      <c r="I78" s="1" t="s">
        <v>28</v>
      </c>
      <c r="J78" s="1">
        <v>117</v>
      </c>
      <c r="K78" s="1">
        <f t="shared" si="18"/>
        <v>-39</v>
      </c>
      <c r="L78" s="1"/>
      <c r="M78" s="1"/>
      <c r="N78" s="1"/>
      <c r="O78" s="1">
        <f t="shared" si="19"/>
        <v>15.6</v>
      </c>
      <c r="P78" s="5">
        <f>13*O78-F78</f>
        <v>43.495999999999981</v>
      </c>
      <c r="Q78" s="19">
        <f t="shared" si="24"/>
        <v>300</v>
      </c>
      <c r="R78" s="26">
        <f>IFERROR(VLOOKUP(A78,[1]TDSheet!$A:$G,7,0),0)</f>
        <v>350</v>
      </c>
      <c r="S78" s="21">
        <v>300</v>
      </c>
      <c r="T78" s="1">
        <f t="shared" si="22"/>
        <v>29.442564102564102</v>
      </c>
      <c r="U78" s="1">
        <f t="shared" si="20"/>
        <v>10.211794871794872</v>
      </c>
      <c r="V78" s="1">
        <v>17</v>
      </c>
      <c r="W78" s="1">
        <v>27.8</v>
      </c>
      <c r="X78" s="1">
        <v>12.539199999999999</v>
      </c>
      <c r="Y78" s="1"/>
      <c r="Z78" s="1">
        <f t="shared" si="23"/>
        <v>140</v>
      </c>
      <c r="AA78" s="1"/>
      <c r="AB78" s="1">
        <v>-10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108</v>
      </c>
      <c r="B79" s="1" t="s">
        <v>34</v>
      </c>
      <c r="C79" s="1">
        <v>-2</v>
      </c>
      <c r="D79" s="1">
        <v>90</v>
      </c>
      <c r="E79" s="1">
        <v>41</v>
      </c>
      <c r="F79" s="1">
        <v>45</v>
      </c>
      <c r="G79" s="6">
        <v>0.5</v>
      </c>
      <c r="H79" s="1">
        <v>60</v>
      </c>
      <c r="I79" s="1" t="s">
        <v>28</v>
      </c>
      <c r="J79" s="1">
        <v>52</v>
      </c>
      <c r="K79" s="1">
        <f t="shared" si="18"/>
        <v>-11</v>
      </c>
      <c r="L79" s="1"/>
      <c r="M79" s="1"/>
      <c r="N79" s="1"/>
      <c r="O79" s="1">
        <f t="shared" si="19"/>
        <v>8.1999999999999993</v>
      </c>
      <c r="P79" s="5">
        <f>13*O79-F79</f>
        <v>61.599999999999994</v>
      </c>
      <c r="Q79" s="19">
        <f t="shared" si="24"/>
        <v>120</v>
      </c>
      <c r="R79" s="26">
        <f>IFERROR(VLOOKUP(A79,[1]TDSheet!$A:$G,7,0),0)</f>
        <v>120</v>
      </c>
      <c r="S79" s="21">
        <v>120</v>
      </c>
      <c r="T79" s="1">
        <f t="shared" si="22"/>
        <v>20.121951219512198</v>
      </c>
      <c r="U79" s="1">
        <f t="shared" si="20"/>
        <v>5.4878048780487809</v>
      </c>
      <c r="V79" s="1">
        <v>6.2</v>
      </c>
      <c r="W79" s="1">
        <v>6.4</v>
      </c>
      <c r="X79" s="1">
        <v>4.2</v>
      </c>
      <c r="Y79" s="1"/>
      <c r="Z79" s="1">
        <f t="shared" si="23"/>
        <v>60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109</v>
      </c>
      <c r="B80" s="1" t="s">
        <v>34</v>
      </c>
      <c r="C80" s="1">
        <v>-7</v>
      </c>
      <c r="D80" s="1">
        <v>143</v>
      </c>
      <c r="E80" s="1">
        <v>133</v>
      </c>
      <c r="F80" s="1">
        <v>-4</v>
      </c>
      <c r="G80" s="6">
        <v>0.4</v>
      </c>
      <c r="H80" s="1">
        <v>55</v>
      </c>
      <c r="I80" s="1" t="s">
        <v>28</v>
      </c>
      <c r="J80" s="1">
        <v>154</v>
      </c>
      <c r="K80" s="1">
        <f t="shared" si="18"/>
        <v>-21</v>
      </c>
      <c r="L80" s="1"/>
      <c r="M80" s="1"/>
      <c r="N80" s="1"/>
      <c r="O80" s="1">
        <f t="shared" si="19"/>
        <v>26.6</v>
      </c>
      <c r="P80" s="5">
        <f>8*O80-F80</f>
        <v>216.8</v>
      </c>
      <c r="Q80" s="19">
        <f t="shared" si="24"/>
        <v>250</v>
      </c>
      <c r="R80" s="26">
        <f>IFERROR(VLOOKUP(A80,[1]TDSheet!$A:$G,7,0),0)</f>
        <v>0</v>
      </c>
      <c r="S80" s="21">
        <v>250</v>
      </c>
      <c r="T80" s="1">
        <f t="shared" si="22"/>
        <v>9.2481203007518786</v>
      </c>
      <c r="U80" s="1">
        <f t="shared" si="20"/>
        <v>-0.15037593984962405</v>
      </c>
      <c r="V80" s="1">
        <v>22.4</v>
      </c>
      <c r="W80" s="1">
        <v>9.8000000000000007</v>
      </c>
      <c r="X80" s="1">
        <v>12.6</v>
      </c>
      <c r="Y80" s="1"/>
      <c r="Z80" s="1">
        <f t="shared" si="23"/>
        <v>100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110</v>
      </c>
      <c r="B81" s="1" t="s">
        <v>27</v>
      </c>
      <c r="C81" s="1">
        <v>10.983000000000001</v>
      </c>
      <c r="D81" s="1">
        <v>203.74100000000001</v>
      </c>
      <c r="E81" s="1">
        <v>60.265000000000001</v>
      </c>
      <c r="F81" s="1">
        <v>154.459</v>
      </c>
      <c r="G81" s="6">
        <v>1</v>
      </c>
      <c r="H81" s="1">
        <v>55</v>
      </c>
      <c r="I81" s="1" t="s">
        <v>28</v>
      </c>
      <c r="J81" s="1">
        <v>78.400000000000006</v>
      </c>
      <c r="K81" s="1">
        <f t="shared" si="18"/>
        <v>-18.135000000000005</v>
      </c>
      <c r="L81" s="1"/>
      <c r="M81" s="1"/>
      <c r="N81" s="1"/>
      <c r="O81" s="1">
        <f t="shared" si="19"/>
        <v>12.053000000000001</v>
      </c>
      <c r="P81" s="5">
        <v>4</v>
      </c>
      <c r="Q81" s="19">
        <f t="shared" si="24"/>
        <v>100</v>
      </c>
      <c r="R81" s="26">
        <f>IFERROR(VLOOKUP(A81,[1]TDSheet!$A:$G,7,0),0)</f>
        <v>200</v>
      </c>
      <c r="S81" s="21">
        <v>100</v>
      </c>
      <c r="T81" s="1">
        <f t="shared" si="22"/>
        <v>21.111673442296521</v>
      </c>
      <c r="U81" s="1">
        <f t="shared" si="20"/>
        <v>12.81498382145524</v>
      </c>
      <c r="V81" s="1">
        <v>4.3944000000000001</v>
      </c>
      <c r="W81" s="1">
        <v>20.142399999999999</v>
      </c>
      <c r="X81" s="1">
        <v>7.6786000000000003</v>
      </c>
      <c r="Y81" s="1"/>
      <c r="Z81" s="1">
        <f t="shared" si="23"/>
        <v>208</v>
      </c>
      <c r="AA81" s="1"/>
      <c r="AB81" s="1">
        <v>108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111</v>
      </c>
      <c r="B82" s="1" t="s">
        <v>34</v>
      </c>
      <c r="C82" s="1">
        <v>4</v>
      </c>
      <c r="D82" s="1">
        <v>110</v>
      </c>
      <c r="E82" s="1">
        <v>38</v>
      </c>
      <c r="F82" s="1">
        <v>72</v>
      </c>
      <c r="G82" s="6">
        <v>0.4</v>
      </c>
      <c r="H82" s="1">
        <v>55</v>
      </c>
      <c r="I82" s="1" t="s">
        <v>28</v>
      </c>
      <c r="J82" s="1">
        <v>77</v>
      </c>
      <c r="K82" s="1">
        <f t="shared" si="18"/>
        <v>-39</v>
      </c>
      <c r="L82" s="1"/>
      <c r="M82" s="1"/>
      <c r="N82" s="1"/>
      <c r="O82" s="1">
        <f t="shared" si="19"/>
        <v>7.6</v>
      </c>
      <c r="P82" s="5">
        <f>13*O82-F82</f>
        <v>26.799999999999997</v>
      </c>
      <c r="Q82" s="19">
        <f t="shared" si="24"/>
        <v>180</v>
      </c>
      <c r="R82" s="26">
        <f>IFERROR(VLOOKUP(A82,[1]TDSheet!$A:$G,7,0),0)</f>
        <v>80</v>
      </c>
      <c r="S82" s="21">
        <v>180</v>
      </c>
      <c r="T82" s="1">
        <f t="shared" si="22"/>
        <v>33.15789473684211</v>
      </c>
      <c r="U82" s="1">
        <f t="shared" si="20"/>
        <v>9.4736842105263168</v>
      </c>
      <c r="V82" s="1">
        <v>10.4</v>
      </c>
      <c r="W82" s="1">
        <v>13.2</v>
      </c>
      <c r="X82" s="1"/>
      <c r="Y82" s="1"/>
      <c r="Z82" s="1">
        <f t="shared" si="23"/>
        <v>72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112</v>
      </c>
      <c r="B83" s="1" t="s">
        <v>27</v>
      </c>
      <c r="C83" s="1">
        <v>-4.09</v>
      </c>
      <c r="D83" s="1">
        <v>107.06100000000001</v>
      </c>
      <c r="E83" s="1">
        <v>48.081000000000003</v>
      </c>
      <c r="F83" s="1">
        <v>54.89</v>
      </c>
      <c r="G83" s="6">
        <v>1</v>
      </c>
      <c r="H83" s="1">
        <v>55</v>
      </c>
      <c r="I83" s="1" t="s">
        <v>28</v>
      </c>
      <c r="J83" s="1">
        <v>57.9</v>
      </c>
      <c r="K83" s="1">
        <f t="shared" si="18"/>
        <v>-9.8189999999999955</v>
      </c>
      <c r="L83" s="1"/>
      <c r="M83" s="1"/>
      <c r="N83" s="1"/>
      <c r="O83" s="1">
        <f t="shared" si="19"/>
        <v>9.616200000000001</v>
      </c>
      <c r="P83" s="5">
        <f>13*O83-F83</f>
        <v>70.12060000000001</v>
      </c>
      <c r="Q83" s="19">
        <f t="shared" si="21"/>
        <v>70.12060000000001</v>
      </c>
      <c r="R83" s="26">
        <f>IFERROR(VLOOKUP(A83,[1]TDSheet!$A:$G,7,0),0)</f>
        <v>80</v>
      </c>
      <c r="S83" s="21"/>
      <c r="T83" s="1">
        <f t="shared" si="22"/>
        <v>13</v>
      </c>
      <c r="U83" s="1">
        <f t="shared" si="20"/>
        <v>5.7080759551590017</v>
      </c>
      <c r="V83" s="1">
        <v>9.8878000000000004</v>
      </c>
      <c r="W83" s="1">
        <v>6.7248000000000001</v>
      </c>
      <c r="X83" s="1">
        <v>4.8201999999999998</v>
      </c>
      <c r="Y83" s="1"/>
      <c r="Z83" s="1">
        <f t="shared" si="23"/>
        <v>70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113</v>
      </c>
      <c r="B84" s="1" t="s">
        <v>34</v>
      </c>
      <c r="C84" s="1">
        <v>-3</v>
      </c>
      <c r="D84" s="1">
        <v>121</v>
      </c>
      <c r="E84" s="1">
        <v>88</v>
      </c>
      <c r="F84" s="1">
        <v>21</v>
      </c>
      <c r="G84" s="6">
        <v>0.3</v>
      </c>
      <c r="H84" s="1">
        <v>40</v>
      </c>
      <c r="I84" s="1" t="s">
        <v>28</v>
      </c>
      <c r="J84" s="1">
        <v>128</v>
      </c>
      <c r="K84" s="1">
        <f t="shared" si="18"/>
        <v>-40</v>
      </c>
      <c r="L84" s="1"/>
      <c r="M84" s="1"/>
      <c r="N84" s="1"/>
      <c r="O84" s="1">
        <f t="shared" si="19"/>
        <v>17.600000000000001</v>
      </c>
      <c r="P84" s="5">
        <f>9*O84-F84</f>
        <v>137.4</v>
      </c>
      <c r="Q84" s="19">
        <f t="shared" ref="Q84:Q87" si="25">S84</f>
        <v>200</v>
      </c>
      <c r="R84" s="26">
        <f>IFERROR(VLOOKUP(A84,[1]TDSheet!$A:$G,7,0),0)</f>
        <v>40</v>
      </c>
      <c r="S84" s="21">
        <v>200</v>
      </c>
      <c r="T84" s="1">
        <f t="shared" si="22"/>
        <v>12.556818181818182</v>
      </c>
      <c r="U84" s="1">
        <f t="shared" si="20"/>
        <v>1.1931818181818181</v>
      </c>
      <c r="V84" s="1">
        <v>9.1999999999999993</v>
      </c>
      <c r="W84" s="1">
        <v>8.6</v>
      </c>
      <c r="X84" s="1">
        <v>6.6</v>
      </c>
      <c r="Y84" s="1"/>
      <c r="Z84" s="1">
        <f t="shared" si="23"/>
        <v>60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114</v>
      </c>
      <c r="B85" s="1" t="s">
        <v>34</v>
      </c>
      <c r="C85" s="1">
        <v>1</v>
      </c>
      <c r="D85" s="1">
        <v>104</v>
      </c>
      <c r="E85" s="1">
        <v>46</v>
      </c>
      <c r="F85" s="1">
        <v>50</v>
      </c>
      <c r="G85" s="6">
        <v>0.3</v>
      </c>
      <c r="H85" s="1">
        <v>40</v>
      </c>
      <c r="I85" s="1" t="s">
        <v>28</v>
      </c>
      <c r="J85" s="1">
        <v>83</v>
      </c>
      <c r="K85" s="1">
        <f t="shared" si="18"/>
        <v>-37</v>
      </c>
      <c r="L85" s="1"/>
      <c r="M85" s="1"/>
      <c r="N85" s="1"/>
      <c r="O85" s="1">
        <f t="shared" si="19"/>
        <v>9.1999999999999993</v>
      </c>
      <c r="P85" s="5">
        <f>13*O85-F85</f>
        <v>69.599999999999994</v>
      </c>
      <c r="Q85" s="19">
        <f t="shared" si="25"/>
        <v>100</v>
      </c>
      <c r="R85" s="26">
        <f>IFERROR(VLOOKUP(A85,[1]TDSheet!$A:$G,7,0),0)</f>
        <v>80</v>
      </c>
      <c r="S85" s="21">
        <v>100</v>
      </c>
      <c r="T85" s="1">
        <f t="shared" si="22"/>
        <v>16.304347826086957</v>
      </c>
      <c r="U85" s="1">
        <f t="shared" si="20"/>
        <v>5.4347826086956523</v>
      </c>
      <c r="V85" s="1">
        <v>4.2</v>
      </c>
      <c r="W85" s="1">
        <v>10.4</v>
      </c>
      <c r="X85" s="1">
        <v>5</v>
      </c>
      <c r="Y85" s="1"/>
      <c r="Z85" s="1">
        <f t="shared" si="23"/>
        <v>30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115</v>
      </c>
      <c r="B86" s="1" t="s">
        <v>34</v>
      </c>
      <c r="C86" s="1">
        <v>32</v>
      </c>
      <c r="D86" s="1">
        <v>78</v>
      </c>
      <c r="E86" s="1">
        <v>40</v>
      </c>
      <c r="F86" s="1">
        <v>67</v>
      </c>
      <c r="G86" s="6">
        <v>0.3</v>
      </c>
      <c r="H86" s="1">
        <v>40</v>
      </c>
      <c r="I86" s="1" t="s">
        <v>28</v>
      </c>
      <c r="J86" s="1">
        <v>58</v>
      </c>
      <c r="K86" s="1">
        <f t="shared" si="18"/>
        <v>-18</v>
      </c>
      <c r="L86" s="1"/>
      <c r="M86" s="1"/>
      <c r="N86" s="1"/>
      <c r="O86" s="1">
        <f t="shared" si="19"/>
        <v>8</v>
      </c>
      <c r="P86" s="5">
        <f>13*O86-F86</f>
        <v>37</v>
      </c>
      <c r="Q86" s="19">
        <f t="shared" si="25"/>
        <v>100</v>
      </c>
      <c r="R86" s="26">
        <f>IFERROR(VLOOKUP(A86,[1]TDSheet!$A:$G,7,0),0)</f>
        <v>150</v>
      </c>
      <c r="S86" s="21">
        <v>100</v>
      </c>
      <c r="T86" s="1">
        <f t="shared" si="22"/>
        <v>20.875</v>
      </c>
      <c r="U86" s="1">
        <f t="shared" si="20"/>
        <v>8.375</v>
      </c>
      <c r="V86" s="1">
        <v>11.4</v>
      </c>
      <c r="W86" s="1">
        <v>9.6</v>
      </c>
      <c r="X86" s="1">
        <v>2.8</v>
      </c>
      <c r="Y86" s="1"/>
      <c r="Z86" s="1">
        <f t="shared" si="23"/>
        <v>30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116</v>
      </c>
      <c r="B87" s="1" t="s">
        <v>34</v>
      </c>
      <c r="C87" s="1">
        <v>-7</v>
      </c>
      <c r="D87" s="1">
        <v>300</v>
      </c>
      <c r="E87" s="1">
        <v>128</v>
      </c>
      <c r="F87" s="1">
        <v>146</v>
      </c>
      <c r="G87" s="6">
        <v>0.375</v>
      </c>
      <c r="H87" s="1">
        <v>50</v>
      </c>
      <c r="I87" s="1" t="s">
        <v>28</v>
      </c>
      <c r="J87" s="1">
        <v>205</v>
      </c>
      <c r="K87" s="1">
        <f t="shared" si="18"/>
        <v>-77</v>
      </c>
      <c r="L87" s="1"/>
      <c r="M87" s="1"/>
      <c r="N87" s="1"/>
      <c r="O87" s="1">
        <f t="shared" si="19"/>
        <v>25.6</v>
      </c>
      <c r="P87" s="5">
        <f>13*O87-F87</f>
        <v>186.8</v>
      </c>
      <c r="Q87" s="19">
        <f t="shared" si="25"/>
        <v>180</v>
      </c>
      <c r="R87" s="26">
        <f>IFERROR(VLOOKUP(A87,[1]TDSheet!$A:$G,7,0),0)</f>
        <v>300</v>
      </c>
      <c r="S87" s="21">
        <v>180</v>
      </c>
      <c r="T87" s="1">
        <f t="shared" si="22"/>
        <v>12.734375</v>
      </c>
      <c r="U87" s="1">
        <f t="shared" si="20"/>
        <v>5.703125</v>
      </c>
      <c r="V87" s="1">
        <v>16</v>
      </c>
      <c r="W87" s="1">
        <v>27.4</v>
      </c>
      <c r="X87" s="1">
        <v>14.8</v>
      </c>
      <c r="Y87" s="1"/>
      <c r="Z87" s="1">
        <f t="shared" si="23"/>
        <v>68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117</v>
      </c>
      <c r="B88" s="1" t="s">
        <v>27</v>
      </c>
      <c r="C88" s="1"/>
      <c r="D88" s="1"/>
      <c r="E88" s="15">
        <f>E69</f>
        <v>34.828000000000003</v>
      </c>
      <c r="F88" s="15">
        <f>F69</f>
        <v>84.832999999999998</v>
      </c>
      <c r="G88" s="6">
        <v>1</v>
      </c>
      <c r="H88" s="1">
        <v>55</v>
      </c>
      <c r="I88" s="1" t="s">
        <v>28</v>
      </c>
      <c r="J88" s="1"/>
      <c r="K88" s="1">
        <f t="shared" si="18"/>
        <v>34.828000000000003</v>
      </c>
      <c r="L88" s="1"/>
      <c r="M88" s="1"/>
      <c r="N88" s="1"/>
      <c r="O88" s="1">
        <f t="shared" si="19"/>
        <v>6.9656000000000002</v>
      </c>
      <c r="P88" s="5">
        <f>13*O88-F88</f>
        <v>5.7198000000000064</v>
      </c>
      <c r="Q88" s="19">
        <f t="shared" si="21"/>
        <v>5.7198000000000064</v>
      </c>
      <c r="R88" s="26">
        <f>IFERROR(VLOOKUP(A88,[1]TDSheet!$A:$G,7,0),0)</f>
        <v>120</v>
      </c>
      <c r="S88" s="21"/>
      <c r="T88" s="1">
        <f t="shared" si="22"/>
        <v>13</v>
      </c>
      <c r="U88" s="1">
        <f t="shared" si="20"/>
        <v>12.178850350292867</v>
      </c>
      <c r="V88" s="1">
        <v>7.0122</v>
      </c>
      <c r="W88" s="1">
        <v>11.884399999999999</v>
      </c>
      <c r="X88" s="1">
        <v>0.54259999999999997</v>
      </c>
      <c r="Y88" s="1" t="s">
        <v>75</v>
      </c>
      <c r="Z88" s="1">
        <f t="shared" si="23"/>
        <v>6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9" t="s">
        <v>118</v>
      </c>
      <c r="B89" s="1" t="s">
        <v>34</v>
      </c>
      <c r="C89" s="1"/>
      <c r="D89" s="1"/>
      <c r="E89" s="15">
        <v>16</v>
      </c>
      <c r="F89" s="15">
        <v>-17</v>
      </c>
      <c r="G89" s="6">
        <v>0</v>
      </c>
      <c r="H89" s="1" t="e">
        <v>#N/A</v>
      </c>
      <c r="I89" s="1" t="s">
        <v>121</v>
      </c>
      <c r="J89" s="1">
        <v>17</v>
      </c>
      <c r="K89" s="1">
        <f t="shared" si="18"/>
        <v>-1</v>
      </c>
      <c r="L89" s="1"/>
      <c r="M89" s="1"/>
      <c r="N89" s="1"/>
      <c r="O89" s="1">
        <f t="shared" si="19"/>
        <v>3.2</v>
      </c>
      <c r="P89" s="5"/>
      <c r="Q89" s="19">
        <f t="shared" si="21"/>
        <v>0</v>
      </c>
      <c r="R89" s="26">
        <f>IFERROR(VLOOKUP(A89,[1]TDSheet!$A:$G,7,0),0)</f>
        <v>0</v>
      </c>
      <c r="S89" s="21"/>
      <c r="T89" s="1">
        <f t="shared" si="22"/>
        <v>-5.3125</v>
      </c>
      <c r="U89" s="1">
        <f t="shared" si="20"/>
        <v>-5.3125</v>
      </c>
      <c r="V89" s="1">
        <v>0</v>
      </c>
      <c r="W89" s="1">
        <v>0</v>
      </c>
      <c r="X89" s="1">
        <v>0</v>
      </c>
      <c r="Y89" s="1"/>
      <c r="Z89" s="1">
        <f t="shared" si="23"/>
        <v>0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9" t="s">
        <v>119</v>
      </c>
      <c r="B90" s="1" t="s">
        <v>34</v>
      </c>
      <c r="C90" s="1"/>
      <c r="D90" s="1"/>
      <c r="E90" s="15">
        <v>13</v>
      </c>
      <c r="F90" s="15">
        <v>-15</v>
      </c>
      <c r="G90" s="6">
        <v>0</v>
      </c>
      <c r="H90" s="1" t="e">
        <v>#N/A</v>
      </c>
      <c r="I90" s="1" t="s">
        <v>121</v>
      </c>
      <c r="J90" s="1">
        <v>16</v>
      </c>
      <c r="K90" s="1">
        <f t="shared" si="18"/>
        <v>-3</v>
      </c>
      <c r="L90" s="1"/>
      <c r="M90" s="1"/>
      <c r="N90" s="1"/>
      <c r="O90" s="1">
        <f t="shared" si="19"/>
        <v>2.6</v>
      </c>
      <c r="P90" s="5"/>
      <c r="Q90" s="19">
        <f t="shared" si="21"/>
        <v>0</v>
      </c>
      <c r="R90" s="26">
        <f>IFERROR(VLOOKUP(A90,[1]TDSheet!$A:$G,7,0),0)</f>
        <v>0</v>
      </c>
      <c r="S90" s="21"/>
      <c r="T90" s="1">
        <f t="shared" si="22"/>
        <v>-5.7692307692307692</v>
      </c>
      <c r="U90" s="1">
        <f t="shared" si="20"/>
        <v>-5.7692307692307692</v>
      </c>
      <c r="V90" s="1">
        <v>0</v>
      </c>
      <c r="W90" s="1">
        <v>0</v>
      </c>
      <c r="X90" s="1">
        <v>0</v>
      </c>
      <c r="Y90" s="1"/>
      <c r="Z90" s="1">
        <f t="shared" si="23"/>
        <v>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9" t="s">
        <v>120</v>
      </c>
      <c r="B91" s="1" t="s">
        <v>34</v>
      </c>
      <c r="C91" s="1"/>
      <c r="D91" s="1"/>
      <c r="E91" s="15">
        <v>11</v>
      </c>
      <c r="F91" s="15">
        <v>-15</v>
      </c>
      <c r="G91" s="6">
        <v>0</v>
      </c>
      <c r="H91" s="1" t="e">
        <v>#N/A</v>
      </c>
      <c r="I91" s="1" t="s">
        <v>121</v>
      </c>
      <c r="J91" s="1">
        <v>19</v>
      </c>
      <c r="K91" s="1">
        <f t="shared" si="18"/>
        <v>-8</v>
      </c>
      <c r="L91" s="1"/>
      <c r="M91" s="1"/>
      <c r="N91" s="1"/>
      <c r="O91" s="1">
        <f t="shared" si="19"/>
        <v>2.2000000000000002</v>
      </c>
      <c r="P91" s="5"/>
      <c r="Q91" s="19">
        <f t="shared" si="21"/>
        <v>0</v>
      </c>
      <c r="R91" s="26">
        <f>IFERROR(VLOOKUP(A91,[1]TDSheet!$A:$G,7,0),0)</f>
        <v>0</v>
      </c>
      <c r="S91" s="21"/>
      <c r="T91" s="1">
        <f t="shared" si="22"/>
        <v>-6.8181818181818175</v>
      </c>
      <c r="U91" s="1">
        <f t="shared" si="20"/>
        <v>-6.8181818181818175</v>
      </c>
      <c r="V91" s="1">
        <v>0.4</v>
      </c>
      <c r="W91" s="1">
        <v>0</v>
      </c>
      <c r="X91" s="1">
        <v>0</v>
      </c>
      <c r="Y91" s="1"/>
      <c r="Z91" s="1">
        <f t="shared" si="23"/>
        <v>0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129</v>
      </c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9">
        <f t="shared" si="21"/>
        <v>0</v>
      </c>
      <c r="R92" s="26">
        <f>IFERROR(VLOOKUP(A92,[1]TDSheet!$A:$G,7,0),0)</f>
        <v>0</v>
      </c>
      <c r="S92" s="21"/>
      <c r="T92" s="1"/>
      <c r="U92" s="1"/>
      <c r="V92" s="1"/>
      <c r="W92" s="1"/>
      <c r="X92" s="1"/>
      <c r="Y92" s="1"/>
      <c r="Z92" s="1">
        <f t="shared" si="23"/>
        <v>0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131</v>
      </c>
      <c r="B93" s="1" t="s">
        <v>34</v>
      </c>
      <c r="C93" s="1"/>
      <c r="D93" s="1"/>
      <c r="E93" s="1"/>
      <c r="F93" s="1"/>
      <c r="G93" s="6">
        <v>0.4</v>
      </c>
      <c r="H93" s="1" t="e">
        <v>#N/A</v>
      </c>
      <c r="I93" s="1" t="s">
        <v>28</v>
      </c>
      <c r="J93" s="1"/>
      <c r="K93" s="1"/>
      <c r="L93" s="1"/>
      <c r="M93" s="1"/>
      <c r="N93" s="1"/>
      <c r="O93" s="1">
        <f t="shared" si="19"/>
        <v>0</v>
      </c>
      <c r="P93" s="1"/>
      <c r="Q93" s="19">
        <f t="shared" ref="Q93:Q97" si="26">S93</f>
        <v>200</v>
      </c>
      <c r="R93" s="26">
        <f>IFERROR(VLOOKUP(A93,[1]TDSheet!$A:$G,7,0),0)</f>
        <v>0</v>
      </c>
      <c r="S93" s="21">
        <v>200</v>
      </c>
      <c r="T93" s="1" t="e">
        <f t="shared" ref="T93:T97" si="27">(F93+Q93)/O93</f>
        <v>#DIV/0!</v>
      </c>
      <c r="U93" s="1" t="e">
        <f t="shared" ref="U93:U97" si="28">F93/O93</f>
        <v>#DIV/0!</v>
      </c>
      <c r="V93" s="1">
        <v>0</v>
      </c>
      <c r="W93" s="1">
        <v>0</v>
      </c>
      <c r="X93" s="1">
        <v>0</v>
      </c>
      <c r="Y93" s="1" t="s">
        <v>137</v>
      </c>
      <c r="Z93" s="1">
        <f t="shared" si="23"/>
        <v>80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132</v>
      </c>
      <c r="B94" s="1" t="s">
        <v>34</v>
      </c>
      <c r="C94" s="1"/>
      <c r="D94" s="1"/>
      <c r="E94" s="1"/>
      <c r="F94" s="1"/>
      <c r="G94" s="6">
        <v>0.35</v>
      </c>
      <c r="H94" s="1" t="e">
        <v>#N/A</v>
      </c>
      <c r="I94" s="1" t="s">
        <v>28</v>
      </c>
      <c r="J94" s="1"/>
      <c r="K94" s="1"/>
      <c r="L94" s="1"/>
      <c r="M94" s="1"/>
      <c r="N94" s="1"/>
      <c r="O94" s="1">
        <f t="shared" si="19"/>
        <v>0</v>
      </c>
      <c r="P94" s="1"/>
      <c r="Q94" s="19">
        <f t="shared" si="26"/>
        <v>200</v>
      </c>
      <c r="R94" s="26">
        <f>IFERROR(VLOOKUP(A94,[1]TDSheet!$A:$G,7,0),0)</f>
        <v>0</v>
      </c>
      <c r="S94" s="21">
        <v>200</v>
      </c>
      <c r="T94" s="1" t="e">
        <f t="shared" si="27"/>
        <v>#DIV/0!</v>
      </c>
      <c r="U94" s="1" t="e">
        <f t="shared" si="28"/>
        <v>#DIV/0!</v>
      </c>
      <c r="V94" s="1">
        <v>0</v>
      </c>
      <c r="W94" s="1">
        <v>0</v>
      </c>
      <c r="X94" s="1">
        <v>0</v>
      </c>
      <c r="Y94" s="1" t="s">
        <v>137</v>
      </c>
      <c r="Z94" s="1">
        <f t="shared" si="23"/>
        <v>70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133</v>
      </c>
      <c r="B95" s="1" t="s">
        <v>34</v>
      </c>
      <c r="C95" s="1"/>
      <c r="D95" s="1"/>
      <c r="E95" s="1"/>
      <c r="F95" s="1"/>
      <c r="G95" s="6">
        <v>0.33</v>
      </c>
      <c r="H95" s="1" t="e">
        <v>#N/A</v>
      </c>
      <c r="I95" s="1" t="s">
        <v>28</v>
      </c>
      <c r="J95" s="1"/>
      <c r="K95" s="1"/>
      <c r="L95" s="1"/>
      <c r="M95" s="1"/>
      <c r="N95" s="1"/>
      <c r="O95" s="1">
        <f t="shared" si="19"/>
        <v>0</v>
      </c>
      <c r="P95" s="1"/>
      <c r="Q95" s="19">
        <f t="shared" si="26"/>
        <v>200</v>
      </c>
      <c r="R95" s="26">
        <f>IFERROR(VLOOKUP(A95,[1]TDSheet!$A:$G,7,0),0)</f>
        <v>0</v>
      </c>
      <c r="S95" s="21">
        <v>200</v>
      </c>
      <c r="T95" s="1" t="e">
        <f t="shared" si="27"/>
        <v>#DIV/0!</v>
      </c>
      <c r="U95" s="1" t="e">
        <f t="shared" si="28"/>
        <v>#DIV/0!</v>
      </c>
      <c r="V95" s="1">
        <v>0</v>
      </c>
      <c r="W95" s="1">
        <v>0</v>
      </c>
      <c r="X95" s="1">
        <v>0</v>
      </c>
      <c r="Y95" s="1" t="s">
        <v>137</v>
      </c>
      <c r="Z95" s="1">
        <f t="shared" si="23"/>
        <v>66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5" customHeight="1" x14ac:dyDescent="0.25">
      <c r="A96" s="1" t="s">
        <v>139</v>
      </c>
      <c r="B96" s="1" t="s">
        <v>27</v>
      </c>
      <c r="C96" s="1"/>
      <c r="D96" s="1"/>
      <c r="E96" s="1"/>
      <c r="F96" s="1"/>
      <c r="G96" s="6">
        <v>1</v>
      </c>
      <c r="H96" s="1" t="e">
        <v>#N/A</v>
      </c>
      <c r="I96" s="1" t="s">
        <v>28</v>
      </c>
      <c r="J96" s="1"/>
      <c r="K96" s="1"/>
      <c r="L96" s="1"/>
      <c r="M96" s="1"/>
      <c r="N96" s="1"/>
      <c r="O96" s="1">
        <f t="shared" si="19"/>
        <v>0</v>
      </c>
      <c r="P96" s="1"/>
      <c r="Q96" s="19">
        <f t="shared" si="26"/>
        <v>100</v>
      </c>
      <c r="R96" s="26">
        <f>IFERROR(VLOOKUP(A96,[1]TDSheet!$A:$G,7,0),0)</f>
        <v>0</v>
      </c>
      <c r="S96" s="21">
        <v>100</v>
      </c>
      <c r="T96" s="1" t="e">
        <f t="shared" si="27"/>
        <v>#DIV/0!</v>
      </c>
      <c r="U96" s="1" t="e">
        <f t="shared" si="28"/>
        <v>#DIV/0!</v>
      </c>
      <c r="V96" s="1">
        <v>0</v>
      </c>
      <c r="W96" s="1">
        <v>0</v>
      </c>
      <c r="X96" s="1">
        <v>0</v>
      </c>
      <c r="Y96" s="1" t="s">
        <v>137</v>
      </c>
      <c r="Z96" s="1">
        <f t="shared" si="23"/>
        <v>100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130</v>
      </c>
      <c r="B97" s="1" t="s">
        <v>27</v>
      </c>
      <c r="C97" s="1"/>
      <c r="D97" s="1"/>
      <c r="E97" s="1"/>
      <c r="F97" s="1"/>
      <c r="G97" s="6">
        <v>1</v>
      </c>
      <c r="H97" s="1" t="e">
        <v>#N/A</v>
      </c>
      <c r="I97" s="1" t="s">
        <v>28</v>
      </c>
      <c r="J97" s="1"/>
      <c r="K97" s="1"/>
      <c r="L97" s="1"/>
      <c r="M97" s="1"/>
      <c r="N97" s="1"/>
      <c r="O97" s="1">
        <f t="shared" si="19"/>
        <v>0</v>
      </c>
      <c r="P97" s="1"/>
      <c r="Q97" s="19">
        <f t="shared" si="26"/>
        <v>50</v>
      </c>
      <c r="R97" s="26">
        <f>IFERROR(VLOOKUP(A97,[1]TDSheet!$A:$G,7,0),0)</f>
        <v>0</v>
      </c>
      <c r="S97" s="21">
        <v>50</v>
      </c>
      <c r="T97" s="1" t="e">
        <f t="shared" si="27"/>
        <v>#DIV/0!</v>
      </c>
      <c r="U97" s="1" t="e">
        <f t="shared" si="28"/>
        <v>#DIV/0!</v>
      </c>
      <c r="V97" s="1">
        <v>0</v>
      </c>
      <c r="W97" s="1">
        <v>0</v>
      </c>
      <c r="X97" s="1">
        <v>0</v>
      </c>
      <c r="Y97" s="1" t="s">
        <v>137</v>
      </c>
      <c r="Z97" s="1">
        <f t="shared" si="23"/>
        <v>50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</sheetData>
  <autoFilter ref="A3:Z97" xr:uid="{0D349E37-E6DA-4F23-B980-65FA417027C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2025-04-14T10:27:19Z</dcterms:created>
  <dcterms:modified xsi:type="dcterms:W3CDTF">2025-04-21T09:04:46Z</dcterms:modified>
</cp:coreProperties>
</file>