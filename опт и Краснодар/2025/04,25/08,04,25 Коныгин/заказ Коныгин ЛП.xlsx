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39563D8B-0B8A-49B8-9916-3C41C4D6007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Y160" i="1" s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BO118" i="1"/>
  <c r="BM118" i="1"/>
  <c r="Y118" i="1"/>
  <c r="Y128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7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Y61" i="1" s="1"/>
  <c r="P57" i="1"/>
  <c r="X55" i="1"/>
  <c r="X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X596" i="1" s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Z54" i="1" l="1"/>
  <c r="Z193" i="1"/>
  <c r="Y27" i="1"/>
  <c r="Y31" i="1"/>
  <c r="Y39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Z148" i="1" s="1"/>
  <c r="BP159" i="1"/>
  <c r="BN159" i="1"/>
  <c r="Z159" i="1"/>
  <c r="Y161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Z273" i="1"/>
  <c r="BP271" i="1"/>
  <c r="BN271" i="1"/>
  <c r="Z271" i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Z346" i="1" s="1"/>
  <c r="Y347" i="1"/>
  <c r="Z359" i="1"/>
  <c r="BP357" i="1"/>
  <c r="BN357" i="1"/>
  <c r="Z357" i="1"/>
  <c r="Y359" i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Z26" i="1" s="1"/>
  <c r="BN23" i="1"/>
  <c r="Y593" i="1" s="1"/>
  <c r="Z25" i="1"/>
  <c r="BN25" i="1"/>
  <c r="Y26" i="1"/>
  <c r="X592" i="1"/>
  <c r="Z29" i="1"/>
  <c r="Z30" i="1" s="1"/>
  <c r="BN29" i="1"/>
  <c r="BP29" i="1"/>
  <c r="Y594" i="1" s="1"/>
  <c r="Z35" i="1"/>
  <c r="Z39" i="1" s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Z61" i="1" s="1"/>
  <c r="BN58" i="1"/>
  <c r="Z60" i="1"/>
  <c r="BN60" i="1"/>
  <c r="Z64" i="1"/>
  <c r="Z67" i="1" s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Z101" i="1" s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Z109" i="1" s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Y148" i="1"/>
  <c r="BP157" i="1"/>
  <c r="BN157" i="1"/>
  <c r="Z157" i="1"/>
  <c r="Y165" i="1"/>
  <c r="BP175" i="1"/>
  <c r="BN175" i="1"/>
  <c r="Z175" i="1"/>
  <c r="BP180" i="1"/>
  <c r="BN180" i="1"/>
  <c r="Z180" i="1"/>
  <c r="Y198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Z385" i="1" s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Z422" i="1" s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Z496" i="1" s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548" i="1"/>
  <c r="Z518" i="1"/>
  <c r="Z443" i="1"/>
  <c r="Z325" i="1"/>
  <c r="Z340" i="1"/>
  <c r="Y592" i="1"/>
  <c r="Z566" i="1"/>
  <c r="Z524" i="1"/>
  <c r="Z529" i="1"/>
  <c r="Z238" i="1"/>
  <c r="Z183" i="1"/>
  <c r="Z160" i="1"/>
  <c r="Z127" i="1"/>
  <c r="Z597" i="1" s="1"/>
  <c r="Z76" i="1"/>
  <c r="Y596" i="1"/>
  <c r="Z243" i="1"/>
  <c r="Z221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<sst xmlns="http://schemas.openxmlformats.org/spreadsheetml/2006/main" count="2737" uniqueCount="969">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</sst>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5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120</v>
      </c>
      <c r="Y35" s="666">
        <f>IFERROR(IF(X35="",0,CEILING((X35/$H35),1)*$H35),"")</f>
        <v>129.60000000000002</v>
      </c>
      <c r="Z35" s="36">
        <f>IFERROR(IF(Y35=0,"",ROUNDUP(Y35/H35,0)*0.01898),"")</f>
        <v>0.22776000000000002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124.83333333333331</v>
      </c>
      <c r="BN35" s="64">
        <f>IFERROR(Y35*I35/H35,"0")</f>
        <v>134.82000000000002</v>
      </c>
      <c r="BO35" s="64">
        <f>IFERROR(1/J35*(X35/H35),"0")</f>
        <v>0.1736111111111111</v>
      </c>
      <c r="BP35" s="64">
        <f>IFERROR(1/J35*(Y35/H35),"0")</f>
        <v>0.18750000000000003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8</v>
      </c>
      <c r="Y36" s="666">
        <f>IFERROR(IF(X36="",0,CEILING((X36/$H36),1)*$H36),"")</f>
        <v>8</v>
      </c>
      <c r="Z36" s="36">
        <f>IFERROR(IF(Y36=0,"",ROUNDUP(Y36/H36,0)*0.00902),"")</f>
        <v>1.804E-2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8.42</v>
      </c>
      <c r="BN36" s="64">
        <f>IFERROR(Y36*I36/H36,"0")</f>
        <v>8.42</v>
      </c>
      <c r="BO36" s="64">
        <f>IFERROR(1/J36*(X36/H36),"0")</f>
        <v>1.5151515151515152E-2</v>
      </c>
      <c r="BP36" s="64">
        <f>IFERROR(1/J36*(Y36/H36),"0")</f>
        <v>1.5151515151515152E-2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13.111111111111111</v>
      </c>
      <c r="Y39" s="667">
        <f>IFERROR(Y35/H35,"0")+IFERROR(Y36/H36,"0")+IFERROR(Y37/H37,"0")+IFERROR(Y38/H38,"0")</f>
        <v>14.000000000000002</v>
      </c>
      <c r="Z39" s="667">
        <f>IFERROR(IF(Z35="",0,Z35),"0")+IFERROR(IF(Z36="",0,Z36),"0")+IFERROR(IF(Z37="",0,Z37),"0")+IFERROR(IF(Z38="",0,Z38),"0")</f>
        <v>0.24580000000000002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128</v>
      </c>
      <c r="Y40" s="667">
        <f>IFERROR(SUM(Y35:Y38),"0")</f>
        <v>137.60000000000002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110</v>
      </c>
      <c r="Y57" s="666">
        <f>IFERROR(IF(X57="",0,CEILING((X57/$H57),1)*$H57),"")</f>
        <v>118.80000000000001</v>
      </c>
      <c r="Z57" s="36">
        <f>IFERROR(IF(Y57=0,"",ROUNDUP(Y57/H57,0)*0.01898),"")</f>
        <v>0.20877999999999999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114.43055555555554</v>
      </c>
      <c r="BN57" s="64">
        <f>IFERROR(Y57*I57/H57,"0")</f>
        <v>123.58499999999999</v>
      </c>
      <c r="BO57" s="64">
        <f>IFERROR(1/J57*(X57/H57),"0")</f>
        <v>0.15914351851851852</v>
      </c>
      <c r="BP57" s="64">
        <f>IFERROR(1/J57*(Y57/H57),"0")</f>
        <v>0.171875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10.185185185185185</v>
      </c>
      <c r="Y61" s="667">
        <f>IFERROR(Y57/H57,"0")+IFERROR(Y58/H58,"0")+IFERROR(Y59/H59,"0")+IFERROR(Y60/H60,"0")</f>
        <v>11</v>
      </c>
      <c r="Z61" s="667">
        <f>IFERROR(IF(Z57="",0,Z57),"0")+IFERROR(IF(Z58="",0,Z58),"0")+IFERROR(IF(Z59="",0,Z59),"0")+IFERROR(IF(Z60="",0,Z60),"0")</f>
        <v>0.20877999999999999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110</v>
      </c>
      <c r="Y62" s="667">
        <f>IFERROR(SUM(Y57:Y60),"0")</f>
        <v>118.80000000000001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80</v>
      </c>
      <c r="Y86" s="666">
        <f>IFERROR(IF(X86="",0,CEILING((X86/$H86),1)*$H86),"")</f>
        <v>86.4</v>
      </c>
      <c r="Z86" s="36">
        <f>IFERROR(IF(Y86=0,"",ROUNDUP(Y86/H86,0)*0.01898),"")</f>
        <v>0.15184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83.222222222222214</v>
      </c>
      <c r="BN86" s="64">
        <f>IFERROR(Y86*I86/H86,"0")</f>
        <v>89.88</v>
      </c>
      <c r="BO86" s="64">
        <f>IFERROR(1/J86*(X86/H86),"0")</f>
        <v>0.11574074074074073</v>
      </c>
      <c r="BP86" s="64">
        <f>IFERROR(1/J86*(Y86/H86),"0")</f>
        <v>0.125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7.4074074074074066</v>
      </c>
      <c r="Y89" s="667">
        <f>IFERROR(Y86/H86,"0")+IFERROR(Y87/H87,"0")+IFERROR(Y88/H88,"0")</f>
        <v>8</v>
      </c>
      <c r="Z89" s="667">
        <f>IFERROR(IF(Z86="",0,Z86),"0")+IFERROR(IF(Z87="",0,Z87),"0")+IFERROR(IF(Z88="",0,Z88),"0")</f>
        <v>0.15184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80</v>
      </c>
      <c r="Y90" s="667">
        <f>IFERROR(SUM(Y86:Y88),"0")</f>
        <v>86.4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40</v>
      </c>
      <c r="Y120" s="666">
        <f t="shared" si="15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42.442857142857136</v>
      </c>
      <c r="BN120" s="64">
        <f t="shared" si="17"/>
        <v>44.564999999999998</v>
      </c>
      <c r="BO120" s="64">
        <f t="shared" si="18"/>
        <v>7.4404761904761904E-2</v>
      </c>
      <c r="BP120" s="64">
        <f t="shared" si="19"/>
        <v>7.8125E-2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4.7619047619047619</v>
      </c>
      <c r="Y127" s="667">
        <f>IFERROR(Y118/H118,"0")+IFERROR(Y119/H119,"0")+IFERROR(Y120/H120,"0")+IFERROR(Y121/H121,"0")+IFERROR(Y122/H122,"0")+IFERROR(Y123/H123,"0")+IFERROR(Y124/H124,"0")+IFERROR(Y125/H125,"0")+IFERROR(Y126/H126,"0")</f>
        <v>5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9.4899999999999998E-2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40</v>
      </c>
      <c r="Y128" s="667">
        <f>IFERROR(SUM(Y118:Y126),"0")</f>
        <v>42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150</v>
      </c>
      <c r="Y321" s="666">
        <f t="shared" si="47"/>
        <v>151.20000000000002</v>
      </c>
      <c r="Z321" s="36">
        <f>IFERROR(IF(Y321=0,"",ROUNDUP(Y321/H321,0)*0.01898),"")</f>
        <v>0.26572000000000001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156.04166666666666</v>
      </c>
      <c r="BN321" s="64">
        <f t="shared" si="49"/>
        <v>157.29000000000002</v>
      </c>
      <c r="BO321" s="64">
        <f t="shared" si="50"/>
        <v>0.21701388888888887</v>
      </c>
      <c r="BP321" s="64">
        <f t="shared" si="51"/>
        <v>0.21875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13.888888888888888</v>
      </c>
      <c r="Y325" s="667">
        <f>IFERROR(Y319/H319,"0")+IFERROR(Y320/H320,"0")+IFERROR(Y321/H321,"0")+IFERROR(Y322/H322,"0")+IFERROR(Y323/H323,"0")+IFERROR(Y324/H324,"0")</f>
        <v>14</v>
      </c>
      <c r="Z325" s="667">
        <f>IFERROR(IF(Z319="",0,Z319),"0")+IFERROR(IF(Z320="",0,Z320),"0")+IFERROR(IF(Z321="",0,Z321),"0")+IFERROR(IF(Z322="",0,Z322),"0")+IFERROR(IF(Z323="",0,Z323),"0")+IFERROR(IF(Z324="",0,Z324),"0")</f>
        <v>0.26572000000000001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150</v>
      </c>
      <c r="Y326" s="667">
        <f>IFERROR(SUM(Y319:Y324),"0")</f>
        <v>151.20000000000002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60</v>
      </c>
      <c r="Y328" s="666">
        <f>IFERROR(IF(X328="",0,CEILING((X328/$H328),1)*$H328),"")</f>
        <v>63</v>
      </c>
      <c r="Z328" s="36">
        <f>IFERROR(IF(Y328=0,"",ROUNDUP(Y328/H328,0)*0.00902),"")</f>
        <v>0.1353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63.857142857142854</v>
      </c>
      <c r="BN328" s="64">
        <f>IFERROR(Y328*I328/H328,"0")</f>
        <v>67.049999999999983</v>
      </c>
      <c r="BO328" s="64">
        <f>IFERROR(1/J328*(X328/H328),"0")</f>
        <v>0.10822510822510822</v>
      </c>
      <c r="BP328" s="64">
        <f>IFERROR(1/J328*(Y328/H328),"0")</f>
        <v>0.11363636363636365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60</v>
      </c>
      <c r="Y329" s="666">
        <f>IFERROR(IF(X329="",0,CEILING((X329/$H329),1)*$H329),"")</f>
        <v>63</v>
      </c>
      <c r="Z329" s="36">
        <f>IFERROR(IF(Y329=0,"",ROUNDUP(Y329/H329,0)*0.00902),"")</f>
        <v>0.1353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63.857142857142854</v>
      </c>
      <c r="BN329" s="64">
        <f>IFERROR(Y329*I329/H329,"0")</f>
        <v>67.049999999999983</v>
      </c>
      <c r="BO329" s="64">
        <f>IFERROR(1/J329*(X329/H329),"0")</f>
        <v>0.10822510822510822</v>
      </c>
      <c r="BP329" s="64">
        <f>IFERROR(1/J329*(Y329/H329),"0")</f>
        <v>0.11363636363636365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28.571428571428569</v>
      </c>
      <c r="Y332" s="667">
        <f>IFERROR(Y328/H328,"0")+IFERROR(Y329/H329,"0")+IFERROR(Y330/H330,"0")+IFERROR(Y331/H331,"0")</f>
        <v>30</v>
      </c>
      <c r="Z332" s="667">
        <f>IFERROR(IF(Z328="",0,Z328),"0")+IFERROR(IF(Z329="",0,Z329),"0")+IFERROR(IF(Z330="",0,Z330),"0")+IFERROR(IF(Z331="",0,Z331),"0")</f>
        <v>0.27060000000000001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120</v>
      </c>
      <c r="Y333" s="667">
        <f>IFERROR(SUM(Y328:Y331),"0")</f>
        <v>126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670</v>
      </c>
      <c r="Y335" s="666">
        <f>IFERROR(IF(X335="",0,CEILING((X335/$H335),1)*$H335),"")</f>
        <v>670.8</v>
      </c>
      <c r="Z335" s="36">
        <f>IFERROR(IF(Y335=0,"",ROUNDUP(Y335/H335,0)*0.01898),"")</f>
        <v>1.63228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714.06538461538469</v>
      </c>
      <c r="BN335" s="64">
        <f>IFERROR(Y335*I335/H335,"0")</f>
        <v>714.91800000000012</v>
      </c>
      <c r="BO335" s="64">
        <f>IFERROR(1/J335*(X335/H335),"0")</f>
        <v>1.3421474358974359</v>
      </c>
      <c r="BP335" s="64">
        <f>IFERROR(1/J335*(Y335/H335),"0")</f>
        <v>1.34375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85.897435897435898</v>
      </c>
      <c r="Y340" s="667">
        <f>IFERROR(Y335/H335,"0")+IFERROR(Y336/H336,"0")+IFERROR(Y337/H337,"0")+IFERROR(Y338/H338,"0")+IFERROR(Y339/H339,"0")</f>
        <v>86</v>
      </c>
      <c r="Z340" s="667">
        <f>IFERROR(IF(Z335="",0,Z335),"0")+IFERROR(IF(Z336="",0,Z336),"0")+IFERROR(IF(Z337="",0,Z337),"0")+IFERROR(IF(Z338="",0,Z338),"0")+IFERROR(IF(Z339="",0,Z339),"0")</f>
        <v>1.63228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670</v>
      </c>
      <c r="Y341" s="667">
        <f>IFERROR(SUM(Y335:Y339),"0")</f>
        <v>670.8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120</v>
      </c>
      <c r="Y367" s="666">
        <f>IFERROR(IF(X367="",0,CEILING((X367/$H367),1)*$H367),"")</f>
        <v>121.5</v>
      </c>
      <c r="Z367" s="36">
        <f>IFERROR(IF(Y367=0,"",ROUNDUP(Y367/H367,0)*0.01898),"")</f>
        <v>0.28470000000000001</v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127.6888888888889</v>
      </c>
      <c r="BN367" s="64">
        <f>IFERROR(Y367*I367/H367,"0")</f>
        <v>129.285</v>
      </c>
      <c r="BO367" s="64">
        <f>IFERROR(1/J367*(X367/H367),"0")</f>
        <v>0.23148148148148148</v>
      </c>
      <c r="BP367" s="64">
        <f>IFERROR(1/J367*(Y367/H367),"0")</f>
        <v>0.234375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14.814814814814815</v>
      </c>
      <c r="Y370" s="667">
        <f>IFERROR(Y367/H367,"0")+IFERROR(Y368/H368,"0")+IFERROR(Y369/H369,"0")</f>
        <v>15</v>
      </c>
      <c r="Z370" s="667">
        <f>IFERROR(IF(Z367="",0,Z367),"0")+IFERROR(IF(Z368="",0,Z368),"0")+IFERROR(IF(Z369="",0,Z369),"0")</f>
        <v>0.28470000000000001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120</v>
      </c>
      <c r="Y371" s="667">
        <f>IFERROR(SUM(Y367:Y369),"0")</f>
        <v>121.5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150</v>
      </c>
      <c r="Y376" s="666">
        <f t="shared" si="52"/>
        <v>150</v>
      </c>
      <c r="Z376" s="36">
        <f>IFERROR(IF(Y376=0,"",ROUNDUP(Y376/H376,0)*0.02175),"")</f>
        <v>0.21749999999999997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154.80000000000001</v>
      </c>
      <c r="BN376" s="64">
        <f t="shared" si="54"/>
        <v>154.80000000000001</v>
      </c>
      <c r="BO376" s="64">
        <f t="shared" si="55"/>
        <v>0.20833333333333331</v>
      </c>
      <c r="BP376" s="64">
        <f t="shared" si="56"/>
        <v>0.20833333333333331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150</v>
      </c>
      <c r="Y378" s="666">
        <f t="shared" si="52"/>
        <v>150</v>
      </c>
      <c r="Z378" s="36">
        <f>IFERROR(IF(Y378=0,"",ROUNDUP(Y378/H378,0)*0.02175),"")</f>
        <v>0.21749999999999997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154.80000000000001</v>
      </c>
      <c r="BN378" s="64">
        <f t="shared" si="54"/>
        <v>154.80000000000001</v>
      </c>
      <c r="BO378" s="64">
        <f t="shared" si="55"/>
        <v>0.20833333333333331</v>
      </c>
      <c r="BP378" s="64">
        <f t="shared" si="56"/>
        <v>0.20833333333333331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300</v>
      </c>
      <c r="Y379" s="666">
        <f t="shared" si="52"/>
        <v>300</v>
      </c>
      <c r="Z379" s="36">
        <f>IFERROR(IF(Y379=0,"",ROUNDUP(Y379/H379,0)*0.02175),"")</f>
        <v>0.43499999999999994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309.60000000000002</v>
      </c>
      <c r="BN379" s="64">
        <f t="shared" si="54"/>
        <v>309.60000000000002</v>
      </c>
      <c r="BO379" s="64">
        <f t="shared" si="55"/>
        <v>0.41666666666666663</v>
      </c>
      <c r="BP379" s="64">
        <f t="shared" si="56"/>
        <v>0.41666666666666663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0.86999999999999988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600</v>
      </c>
      <c r="Y386" s="667">
        <f>IFERROR(SUM(Y375:Y384),"0")</f>
        <v>600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860</v>
      </c>
      <c r="Y388" s="666">
        <f>IFERROR(IF(X388="",0,CEILING((X388/$H388),1)*$H388),"")</f>
        <v>870</v>
      </c>
      <c r="Z388" s="36">
        <f>IFERROR(IF(Y388=0,"",ROUNDUP(Y388/H388,0)*0.02175),"")</f>
        <v>1.2614999999999998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887.5200000000001</v>
      </c>
      <c r="BN388" s="64">
        <f>IFERROR(Y388*I388/H388,"0")</f>
        <v>897.84</v>
      </c>
      <c r="BO388" s="64">
        <f>IFERROR(1/J388*(X388/H388),"0")</f>
        <v>1.1944444444444444</v>
      </c>
      <c r="BP388" s="64">
        <f>IFERROR(1/J388*(Y388/H388),"0")</f>
        <v>1.2083333333333333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57.333333333333336</v>
      </c>
      <c r="Y390" s="667">
        <f>IFERROR(Y388/H388,"0")+IFERROR(Y389/H389,"0")</f>
        <v>58</v>
      </c>
      <c r="Z390" s="667">
        <f>IFERROR(IF(Z388="",0,Z388),"0")+IFERROR(IF(Z389="",0,Z389),"0")</f>
        <v>1.2614999999999998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860</v>
      </c>
      <c r="Y391" s="667">
        <f>IFERROR(SUM(Y388:Y389),"0")</f>
        <v>870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40</v>
      </c>
      <c r="Y417" s="666">
        <f>IFERROR(IF(X417="",0,CEILING((X417/$H417),1)*$H417),"")</f>
        <v>45</v>
      </c>
      <c r="Z417" s="36">
        <f>IFERROR(IF(Y417=0,"",ROUNDUP(Y417/H417,0)*0.01898),"")</f>
        <v>9.4899999999999998E-2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42.306666666666665</v>
      </c>
      <c r="BN417" s="64">
        <f>IFERROR(Y417*I417/H417,"0")</f>
        <v>47.594999999999999</v>
      </c>
      <c r="BO417" s="64">
        <f>IFERROR(1/J417*(X417/H417),"0")</f>
        <v>6.9444444444444448E-2</v>
      </c>
      <c r="BP417" s="64">
        <f>IFERROR(1/J417*(Y417/H417),"0")</f>
        <v>7.8125E-2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4.4444444444444446</v>
      </c>
      <c r="Y422" s="667">
        <f>IFERROR(Y417/H417,"0")+IFERROR(Y418/H418,"0")+IFERROR(Y419/H419,"0")+IFERROR(Y420/H420,"0")+IFERROR(Y421/H421,"0")</f>
        <v>5</v>
      </c>
      <c r="Z422" s="667">
        <f>IFERROR(IF(Z417="",0,Z417),"0")+IFERROR(IF(Z418="",0,Z418),"0")+IFERROR(IF(Z419="",0,Z419),"0")+IFERROR(IF(Z420="",0,Z420),"0")+IFERROR(IF(Z421="",0,Z421),"0")</f>
        <v>9.4899999999999998E-2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40</v>
      </c>
      <c r="Y423" s="667">
        <f>IFERROR(SUM(Y417:Y421),"0")</f>
        <v>45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25</v>
      </c>
      <c r="Y457" s="666">
        <f>IFERROR(IF(X457="",0,CEILING((X457/$H457),1)*$H457),"")</f>
        <v>27</v>
      </c>
      <c r="Z457" s="36">
        <f>IFERROR(IF(Y457=0,"",ROUNDUP(Y457/H457,0)*0.00902),"")</f>
        <v>4.5100000000000001E-2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25.972222222222221</v>
      </c>
      <c r="BN457" s="64">
        <f>IFERROR(Y457*I457/H457,"0")</f>
        <v>28.049999999999997</v>
      </c>
      <c r="BO457" s="64">
        <f>IFERROR(1/J457*(X457/H457),"0")</f>
        <v>3.5072951739618406E-2</v>
      </c>
      <c r="BP457" s="64">
        <f>IFERROR(1/J457*(Y457/H457),"0")</f>
        <v>3.787878787878788E-2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4.6296296296296298</v>
      </c>
      <c r="Y461" s="667">
        <f>IFERROR(Y457/H457,"0")+IFERROR(Y458/H458,"0")+IFERROR(Y459/H459,"0")+IFERROR(Y460/H460,"0")</f>
        <v>5</v>
      </c>
      <c r="Z461" s="667">
        <f>IFERROR(IF(Z457="",0,Z457),"0")+IFERROR(IF(Z458="",0,Z458),"0")+IFERROR(IF(Z459="",0,Z459),"0")+IFERROR(IF(Z460="",0,Z460),"0")</f>
        <v>4.5100000000000001E-2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25</v>
      </c>
      <c r="Y462" s="667">
        <f>IFERROR(SUM(Y457:Y460),"0")</f>
        <v>27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150</v>
      </c>
      <c r="Y483" s="666">
        <f t="shared" si="68"/>
        <v>153.12</v>
      </c>
      <c r="Z483" s="36">
        <f>IFERROR(IF(Y483=0,"",ROUNDUP(Y483/H483,0)*0.01196),"")</f>
        <v>0.34683999999999998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160.22727272727272</v>
      </c>
      <c r="BN483" s="64">
        <f t="shared" si="70"/>
        <v>163.56</v>
      </c>
      <c r="BO483" s="64">
        <f t="shared" si="71"/>
        <v>0.27316433566433568</v>
      </c>
      <c r="BP483" s="64">
        <f t="shared" si="72"/>
        <v>0.27884615384615385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70</v>
      </c>
      <c r="Y484" s="666">
        <f t="shared" si="68"/>
        <v>73.92</v>
      </c>
      <c r="Z484" s="36">
        <f>IFERROR(IF(Y484=0,"",ROUNDUP(Y484/H484,0)*0.01196),"")</f>
        <v>0.16744000000000001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74.772727272727266</v>
      </c>
      <c r="BN484" s="64">
        <f t="shared" si="70"/>
        <v>78.959999999999994</v>
      </c>
      <c r="BO484" s="64">
        <f t="shared" si="71"/>
        <v>0.12747668997668998</v>
      </c>
      <c r="BP484" s="64">
        <f t="shared" si="72"/>
        <v>0.13461538461538464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41.666666666666664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43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0.51427999999999996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220</v>
      </c>
      <c r="Y497" s="667">
        <f>IFERROR(SUM(Y481:Y495),"0")</f>
        <v>227.04000000000002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200</v>
      </c>
      <c r="Y499" s="666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37.878787878787875</v>
      </c>
      <c r="Y503" s="667">
        <f>IFERROR(Y499/H499,"0")+IFERROR(Y500/H500,"0")+IFERROR(Y501/H501,"0")+IFERROR(Y502/H502,"0")</f>
        <v>38</v>
      </c>
      <c r="Z503" s="667">
        <f>IFERROR(IF(Z499="",0,Z499),"0")+IFERROR(IF(Z500="",0,Z500),"0")+IFERROR(IF(Z501="",0,Z501),"0")+IFERROR(IF(Z502="",0,Z502),"0")</f>
        <v>0.45448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200</v>
      </c>
      <c r="Y504" s="667">
        <f>IFERROR(SUM(Y499:Y502),"0")</f>
        <v>200.64000000000001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70</v>
      </c>
      <c r="Y506" s="666">
        <f t="shared" ref="Y506:Y517" si="73">IFERROR(IF(X506="",0,CEILING((X506/$H506),1)*$H506),"")</f>
        <v>73.92</v>
      </c>
      <c r="Z506" s="36">
        <f>IFERROR(IF(Y506=0,"",ROUNDUP(Y506/H506,0)*0.01196),"")</f>
        <v>0.16744000000000001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74.772727272727266</v>
      </c>
      <c r="BN506" s="64">
        <f t="shared" ref="BN506:BN517" si="75">IFERROR(Y506*I506/H506,"0")</f>
        <v>78.959999999999994</v>
      </c>
      <c r="BO506" s="64">
        <f t="shared" ref="BO506:BO517" si="76">IFERROR(1/J506*(X506/H506),"0")</f>
        <v>0.12747668997668998</v>
      </c>
      <c r="BP506" s="64">
        <f t="shared" ref="BP506:BP517" si="77">IFERROR(1/J506*(Y506/H506),"0")</f>
        <v>0.13461538461538464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60</v>
      </c>
      <c r="Y507" s="666">
        <f t="shared" si="73"/>
        <v>63.36</v>
      </c>
      <c r="Z507" s="36">
        <f>IFERROR(IF(Y507=0,"",ROUNDUP(Y507/H507,0)*0.01196),"")</f>
        <v>0.14352000000000001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64.090909090909079</v>
      </c>
      <c r="BN507" s="64">
        <f t="shared" si="75"/>
        <v>67.679999999999993</v>
      </c>
      <c r="BO507" s="64">
        <f t="shared" si="76"/>
        <v>0.10926573426573427</v>
      </c>
      <c r="BP507" s="64">
        <f t="shared" si="77"/>
        <v>0.11538461538461539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90</v>
      </c>
      <c r="Y508" s="666">
        <f t="shared" si="73"/>
        <v>95.04</v>
      </c>
      <c r="Z508" s="36">
        <f>IFERROR(IF(Y508=0,"",ROUNDUP(Y508/H508,0)*0.01196),"")</f>
        <v>0.21528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96.136363636363626</v>
      </c>
      <c r="BN508" s="64">
        <f t="shared" si="75"/>
        <v>101.52000000000001</v>
      </c>
      <c r="BO508" s="64">
        <f t="shared" si="76"/>
        <v>0.16389860139860138</v>
      </c>
      <c r="BP508" s="64">
        <f t="shared" si="77"/>
        <v>0.17307692307692307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41.666666666666664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44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0.52624000000000004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220</v>
      </c>
      <c r="Y519" s="667">
        <f>IFERROR(SUM(Y506:Y517),"0")</f>
        <v>232.32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50</v>
      </c>
      <c r="Y552" s="666">
        <f t="shared" si="83"/>
        <v>50.400000000000006</v>
      </c>
      <c r="Z552" s="36">
        <f>IFERROR(IF(Y552=0,"",ROUNDUP(Y552/H552,0)*0.00902),"")</f>
        <v>0.10824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53.214285714285715</v>
      </c>
      <c r="BN552" s="64">
        <f t="shared" si="85"/>
        <v>53.64</v>
      </c>
      <c r="BO552" s="64">
        <f t="shared" si="86"/>
        <v>9.0187590187590191E-2</v>
      </c>
      <c r="BP552" s="64">
        <f t="shared" si="87"/>
        <v>9.0909090909090912E-2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11.904761904761905</v>
      </c>
      <c r="Y558" s="667">
        <f>IFERROR(Y551/H551,"0")+IFERROR(Y552/H552,"0")+IFERROR(Y553/H553,"0")+IFERROR(Y554/H554,"0")+IFERROR(Y555/H555,"0")+IFERROR(Y556/H556,"0")+IFERROR(Y557/H557,"0")</f>
        <v>12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0.10824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50</v>
      </c>
      <c r="Y559" s="667">
        <f>IFERROR(SUM(Y551:Y557),"0")</f>
        <v>50.400000000000006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20</v>
      </c>
      <c r="Y561" s="666">
        <f>IFERROR(IF(X561="",0,CEILING((X561/$H561),1)*$H561),"")</f>
        <v>27</v>
      </c>
      <c r="Z561" s="36">
        <f>IFERROR(IF(Y561=0,"",ROUNDUP(Y561/H561,0)*0.01898),"")</f>
        <v>5.6940000000000004E-2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21.153333333333332</v>
      </c>
      <c r="BN561" s="64">
        <f>IFERROR(Y561*I561/H561,"0")</f>
        <v>28.556999999999999</v>
      </c>
      <c r="BO561" s="64">
        <f>IFERROR(1/J561*(X561/H561),"0")</f>
        <v>3.4722222222222224E-2</v>
      </c>
      <c r="BP561" s="64">
        <f>IFERROR(1/J561*(Y561/H561),"0")</f>
        <v>4.6875E-2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2.2222222222222223</v>
      </c>
      <c r="Y566" s="667">
        <f>IFERROR(Y561/H561,"0")+IFERROR(Y562/H562,"0")+IFERROR(Y563/H563,"0")+IFERROR(Y564/H564,"0")+IFERROR(Y565/H565,"0")</f>
        <v>3</v>
      </c>
      <c r="Z566" s="667">
        <f>IFERROR(IF(Z561="",0,Z561),"0")+IFERROR(IF(Z562="",0,Z562),"0")+IFERROR(IF(Z563="",0,Z563),"0")+IFERROR(IF(Z564="",0,Z564),"0")+IFERROR(IF(Z565="",0,Z565),"0")</f>
        <v>5.6940000000000004E-2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20</v>
      </c>
      <c r="Y567" s="667">
        <f>IFERROR(SUM(Y561:Y565),"0")</f>
        <v>27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3653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3733.7000000000003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3831.8620657120655</v>
      </c>
      <c r="Y593" s="667">
        <f>IFERROR(SUM(BN22:BN589),"0")</f>
        <v>3916.7449999999999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6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3981.8620657120655</v>
      </c>
      <c r="Y595" s="667">
        <f>GrossWeightTotalR+PalletQtyTotalR*25</f>
        <v>4091.7449999999999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420.38468938468947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431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7.0863000000000005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137.60000000000002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118.80000000000001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86.4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42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948</v>
      </c>
      <c r="V602" s="46">
        <f>IFERROR(Y363*1,"0")+IFERROR(Y367*1,"0")+IFERROR(Y368*1,"0")+IFERROR(Y369*1,"0")</f>
        <v>121.5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1470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45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27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660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77.400000000000006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2025-04-08T09:51:51Z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