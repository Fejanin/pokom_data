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A3D221D-5F2B-498F-BC01-C2CCD9DEE1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Лист1!$C$1:$C$134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" i="1" l="1"/>
  <c r="D60" i="1"/>
  <c r="D62" i="1" l="1"/>
  <c r="D59" i="1"/>
  <c r="D7" i="1" l="1"/>
  <c r="D35" i="1" l="1"/>
  <c r="D44" i="1" l="1"/>
  <c r="D40" i="1"/>
  <c r="D36" i="1"/>
  <c r="D34" i="1"/>
  <c r="D32" i="1"/>
  <c r="D30" i="1"/>
  <c r="D29" i="1"/>
  <c r="D25" i="1"/>
  <c r="D23" i="1"/>
  <c r="D21" i="1"/>
  <c r="D20" i="1"/>
  <c r="D19" i="1"/>
  <c r="D13" i="1"/>
  <c r="D9" i="1"/>
  <c r="D10" i="1"/>
  <c r="D6" i="1"/>
  <c r="D5" i="1"/>
  <c r="D3" i="1"/>
  <c r="D17" i="1" l="1"/>
  <c r="D55" i="1" l="1"/>
  <c r="D56" i="1"/>
  <c r="D38" i="1" l="1"/>
  <c r="D37" i="1" l="1"/>
  <c r="D54" i="1" l="1"/>
  <c r="D53" i="1"/>
  <c r="D52" i="1"/>
  <c r="D58" i="1" l="1"/>
  <c r="D57" i="1"/>
  <c r="D41" i="1"/>
  <c r="D51" i="1" l="1"/>
  <c r="D50" i="1"/>
  <c r="D49" i="1"/>
  <c r="D48" i="1"/>
  <c r="D47" i="1"/>
  <c r="D46" i="1"/>
  <c r="D43" i="1" l="1"/>
  <c r="D42" i="1"/>
  <c r="D31" i="1" l="1"/>
  <c r="D33" i="1"/>
  <c r="D39" i="1" l="1"/>
  <c r="D4" i="1" l="1"/>
  <c r="D8" i="1" l="1"/>
  <c r="D11" i="1"/>
  <c r="D12" i="1"/>
  <c r="D14" i="1"/>
  <c r="D15" i="1"/>
  <c r="D16" i="1"/>
  <c r="D22" i="1"/>
  <c r="D26" i="1"/>
  <c r="D27" i="1"/>
  <c r="D28" i="1"/>
  <c r="D18" i="1" l="1"/>
  <c r="D24" i="1"/>
  <c r="D45" i="1" l="1"/>
  <c r="D63" i="1" s="1"/>
</calcChain>
</file>

<file path=xl/sharedStrings.xml><?xml version="1.0" encoding="utf-8"?>
<sst xmlns="http://schemas.openxmlformats.org/spreadsheetml/2006/main" count="88" uniqueCount="88">
  <si>
    <t>Склад</t>
  </si>
  <si>
    <t>Артикул</t>
  </si>
  <si>
    <t>2-017001</t>
  </si>
  <si>
    <t>Ветчина Особая Нежная 2,5кг п/а (Особый Рецепт) 60 суток, кг</t>
  </si>
  <si>
    <t>4-008220</t>
  </si>
  <si>
    <t>4-045289</t>
  </si>
  <si>
    <t>4-046642</t>
  </si>
  <si>
    <t>4-034313</t>
  </si>
  <si>
    <t>4-030352</t>
  </si>
  <si>
    <t>Докторская  ГОСТ Дугушка вес 800гр (Стародвор) 55 суток, кг</t>
  </si>
  <si>
    <t>4-036307</t>
  </si>
  <si>
    <t>4-008686</t>
  </si>
  <si>
    <t>4-045903</t>
  </si>
  <si>
    <t>Колбаса Балыкбургская Баварушка в/к 700гр (Стародвор) 45 суток, кг</t>
  </si>
  <si>
    <t>5-023241</t>
  </si>
  <si>
    <t>5-030589</t>
  </si>
  <si>
    <t>Колбаса Вязанка Докторская ГОСТ 1,3кг (Стародвор) 50 суток, кг</t>
  </si>
  <si>
    <t>4-025183</t>
  </si>
  <si>
    <t>Колбаса Вязанка Докторская ГОСТ 400гр (Стародвор) 50 суток, шт</t>
  </si>
  <si>
    <t>3-023783</t>
  </si>
  <si>
    <t>4-001875</t>
  </si>
  <si>
    <t>1-024168</t>
  </si>
  <si>
    <t>3-005088</t>
  </si>
  <si>
    <t>Колбаса Ообая со шпиком 2сорт 2,5кг (Стародворье) 60 суток, кг</t>
  </si>
  <si>
    <t>4-034401</t>
  </si>
  <si>
    <t>Сервелат Дугушка Запеченый  в/к вес (Стародворье) 55 суток, кг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</si>
  <si>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</si>
  <si>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</si>
  <si>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4-015157</t>
  </si>
  <si>
    <t>6-014587</t>
  </si>
  <si>
    <t>Сосиски Молочные Вязанка молокуши 1,3кг (Стародвор) 40 суток, кг</t>
  </si>
  <si>
    <t>5-017747</t>
  </si>
  <si>
    <t>Сосиски Молочные Вязанка молокуши 450гр МГС ц/о (Стародвор) 40 суток, шт</t>
  </si>
  <si>
    <t>4-046643</t>
  </si>
  <si>
    <t>Сосиски Молочные для Завтрака без свинины 400гр (Особый рецепт) 40 суток, шт</t>
  </si>
  <si>
    <t>4-036462</t>
  </si>
  <si>
    <t>Сосиски Молочные для Завтрака без свинины п/а 1,3кг (Славница) 40 суток, кг</t>
  </si>
  <si>
    <t>5-026801</t>
  </si>
  <si>
    <t>Сосиски Сливочные Вязанка Сливушки 450гр МГС  (Стародвор) 40 суток, шт</t>
  </si>
  <si>
    <t>Итого</t>
  </si>
  <si>
    <t>Сосиски Ганноверские Бордо Весовые П/а Стародворье</t>
  </si>
  <si>
    <t xml:space="preserve"> Вес</t>
  </si>
  <si>
    <t>Номенклатура</t>
  </si>
  <si>
    <t>Ветчина Столичная  Вязанка 1,3кг (Стародвор) 45 суток, кг филейская</t>
  </si>
  <si>
    <t>Колбаса Вареная Классическая Вязанка высш.сорт кг  (Стародвор) 45 суток, кг 1,3 Филейская</t>
  </si>
  <si>
    <t>Сервелат Кремлевский в/к 700гр (Стародворье) 40 суток, кг</t>
  </si>
  <si>
    <t>Филейбургская с сочным окороком в/к в/у 700гр (Стародвор) 45 суток, кг</t>
  </si>
  <si>
    <t>Колбаса Вареная Классическая Вязанка высш.сорт 450гр (Стародвор) 45 суток, шт Филейская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</si>
  <si>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</si>
  <si>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</si>
  <si>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Ветчина Столичная  Вязанка 450гр (Стародвор) 45 суток, шт филейская</t>
  </si>
  <si>
    <t>Салями Филейбург зернист  в/к 350гр (Стародвор) 45 суток шт</t>
  </si>
  <si>
    <t>Мясорубская  в/к 350гр (Стародвор) 45 суток шт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</si>
  <si>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</si>
  <si>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</si>
  <si>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Колбаса полукопченая Аль-Ислами ТМ Вязанка Халяль фиброуз в/у ф/в 0,35 кг Казахстан АК</t>
  </si>
  <si>
    <t>Колбаса полукопченая Аль-Ислами ТМ Вязанка Халяль фиброуз в/у ф/в 0,35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</si>
  <si>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</si>
  <si>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</si>
  <si>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Сервелат Кремлевский в/к 350гр (Стародворье) 40 суток, кг Срез</t>
  </si>
  <si>
    <t>Швейцарская с/к</t>
  </si>
  <si>
    <t>Сервелат Левантский 0,7</t>
  </si>
  <si>
    <t>Салями Филейбург зернист  в/к 700гр (Стародвор) 45 суток ru</t>
  </si>
  <si>
    <t>Вязанка сервелат Столичный 0,7</t>
  </si>
  <si>
    <t>Вязанка салями Финская 0,7</t>
  </si>
  <si>
    <t>Колбаса Вареная Вязанка Сливушки 1,3кг (Стародвор) 50 суток, кг</t>
  </si>
  <si>
    <t>Сосиски Баварские с сыром мгс ф/в 350гр (Стародворье) 35 суток, шт</t>
  </si>
  <si>
    <t>Заказ Количество</t>
  </si>
  <si>
    <t xml:space="preserve">Колбаса Вязанка со шпиком 1,3 вес 60 суток, </t>
  </si>
  <si>
    <t>Ветчина Дугушка  вес (Стародворье) 55 суток, кг</t>
  </si>
  <si>
    <t>Со шпиком Дугушка   вес (Стародворье) 55 суток, кг</t>
  </si>
  <si>
    <t>Сочинка зернистая 0,8</t>
  </si>
  <si>
    <t>Филейная Оригин без свин 400гр (Особый рецепт) 60 суток, шт</t>
  </si>
  <si>
    <t>Филейная Оригин без свин вес 800гр (Стародвор) 60 суток, кг</t>
  </si>
  <si>
    <t>Филейная Оригин без свин большой батон 1,8кг (Особый рецепт) 60 суток, кг</t>
  </si>
  <si>
    <t>Молочная Дугушка  800гр (Стародвор) 55 суток, кг</t>
  </si>
  <si>
    <t>Колбаса Филейная Особая 2 сорт 2,5кг (Славница 60 суток), кг</t>
  </si>
  <si>
    <t>Сочинка По Фински 0,8</t>
  </si>
  <si>
    <t>Сочинка По Европейски 0,8</t>
  </si>
  <si>
    <t>Колбаса Молочная  Особая п/а вес (Стародвор) 60 суток, 2,5 кг</t>
  </si>
  <si>
    <t>Стародворская Дугушка ТУ  800гр (Стародвор) 55 суток, кг</t>
  </si>
  <si>
    <t>Рубл Дугушка  вес (Стародворье) 55 суток, кг</t>
  </si>
  <si>
    <t>Салями Дугушка</t>
  </si>
  <si>
    <t xml:space="preserve">Колбаса Сочинка рубленная </t>
  </si>
  <si>
    <t>Колбаса вареная персидская халяль 1,3</t>
  </si>
  <si>
    <t>Сосиски вязанка аравийские халяль 1,3</t>
  </si>
  <si>
    <t xml:space="preserve">Колбаса Вареная Вязанка Сливушки 450 гр </t>
  </si>
  <si>
    <t>Филедворский натурин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</si>
</sst>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  <font>
      <b/>
      <sz val="16"/>
      <name val="Arial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1" xfId="1" applyNumberFormat="1" applyFont="1" applyBorder="1" applyAlignment="1">
      <alignment vertical="top" wrapText="1"/>
    </xf>
    <xf numFmtId="0" fontId="1" fillId="0" borderId="1" xfId="1" applyNumberFormat="1" applyFont="1" applyBorder="1" applyAlignment="1">
      <alignment vertical="top" wrapText="1" indent="2"/>
    </xf>
    <xf numFmtId="0" fontId="1" fillId="0" borderId="1" xfId="1" applyNumberFormat="1" applyFont="1" applyBorder="1" applyAlignment="1">
      <alignment horizontal="right" vertical="top"/>
    </xf>
    <xf numFmtId="1" fontId="1" fillId="0" borderId="1" xfId="1" applyNumberFormat="1" applyFont="1" applyBorder="1" applyAlignment="1">
      <alignment horizontal="left" vertical="top" wrapText="1"/>
    </xf>
    <xf numFmtId="164" fontId="1" fillId="0" borderId="1" xfId="1" applyNumberFormat="1" applyFont="1" applyBorder="1" applyAlignment="1">
      <alignment horizontal="left" vertical="top" wrapText="1"/>
    </xf>
    <xf numFmtId="0" fontId="1" fillId="0" borderId="0" xfId="1"/>
    <xf numFmtId="0" fontId="0" fillId="0" borderId="4" xfId="0" applyBorder="1"/>
    <xf numFmtId="0" fontId="4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0" fontId="1" fillId="0" borderId="2" xfId="1" applyNumberFormat="1" applyFont="1" applyBorder="1" applyAlignment="1">
      <alignment vertical="top" wrapText="1" indent="2"/>
    </xf>
    <xf numFmtId="0" fontId="1" fillId="0" borderId="2" xfId="1" applyNumberFormat="1" applyFont="1" applyBorder="1" applyAlignment="1">
      <alignment horizontal="right" vertical="top"/>
    </xf>
    <xf numFmtId="0" fontId="2" fillId="2" borderId="5" xfId="1" applyNumberFormat="1" applyFont="1" applyFill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/>
    </xf>
    <xf numFmtId="0" fontId="1" fillId="0" borderId="4" xfId="1" applyNumberFormat="1" applyFont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 indent="2"/>
    </xf>
    <xf numFmtId="0" fontId="1" fillId="0" borderId="4" xfId="1" applyBorder="1"/>
    <xf numFmtId="0" fontId="3" fillId="0" borderId="4" xfId="1" applyNumberFormat="1" applyFont="1" applyBorder="1" applyAlignment="1">
      <alignment vertical="top"/>
    </xf>
    <xf numFmtId="0" fontId="5" fillId="0" borderId="4" xfId="0" applyFont="1" applyBorder="1"/>
    <xf numFmtId="0" fontId="2" fillId="3" borderId="4" xfId="1" applyNumberFormat="1" applyFont="1" applyFill="1" applyBorder="1" applyAlignment="1">
      <alignment vertical="top"/>
    </xf>
    <xf numFmtId="0" fontId="2" fillId="3" borderId="4" xfId="1" applyNumberFormat="1" applyFont="1" applyFill="1" applyBorder="1" applyAlignment="1">
      <alignment horizontal="right" vertical="top"/>
    </xf>
    <xf numFmtId="0" fontId="6" fillId="3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vertical="top"/>
    </xf>
    <xf numFmtId="0" fontId="6" fillId="4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horizontal="right" vertical="top"/>
    </xf>
    <xf numFmtId="0" fontId="7" fillId="0" borderId="4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1" fillId="0" borderId="3" xfId="1" applyNumberFormat="1" applyFont="1" applyBorder="1" applyAlignment="1">
      <alignment vertical="top" wrapText="1" indent="2"/>
    </xf>
    <xf numFmtId="0" fontId="1" fillId="4" borderId="1" xfId="1" applyNumberFormat="1" applyFont="1" applyFill="1" applyBorder="1" applyAlignment="1">
      <alignment horizontal="right" vertical="top"/>
    </xf>
    <xf numFmtId="0" fontId="1" fillId="4" borderId="2" xfId="1" applyNumberFormat="1" applyFont="1" applyFill="1" applyBorder="1" applyAlignment="1">
      <alignment horizontal="right" vertical="top"/>
    </xf>
    <xf numFmtId="0" fontId="1" fillId="4" borderId="4" xfId="1" applyNumberFormat="1" applyFont="1" applyFill="1" applyBorder="1" applyAlignment="1">
      <alignment horizontal="right" vertical="top"/>
    </xf>
    <xf numFmtId="0" fontId="1" fillId="4" borderId="4" xfId="1" applyFill="1" applyBorder="1"/>
    <xf numFmtId="0" fontId="0" fillId="4" borderId="4" xfId="0" applyFill="1" applyBorder="1"/>
    <xf numFmtId="0" fontId="2" fillId="2" borderId="1" xfId="1" applyNumberFormat="1" applyFont="1" applyFill="1" applyBorder="1" applyAlignment="1">
      <alignment vertical="top" wrapText="1"/>
    </xf>
    <xf numFmtId="0" fontId="2" fillId="2" borderId="5" xfId="1" applyNumberFormat="1" applyFont="1" applyFill="1" applyBorder="1" applyAlignment="1">
      <alignment vertical="top"/>
    </xf>
    <xf numFmtId="0" fontId="2" fillId="4" borderId="2" xfId="1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zoomScale="120" zoomScaleNormal="120" workbookViewId="0">
      <selection activeCell="F6" sqref="F6"/>
    </sheetView>
  </sheetViews>
  <sheetFormatPr defaultRowHeight="15" x14ac:dyDescent="0.25"/>
  <cols>
    <col min="2" max="2" width="65.140625" customWidth="1"/>
    <col min="3" max="3" width="12.140625" customWidth="1"/>
    <col min="4" max="4" width="11.85546875" customWidth="1"/>
    <col min="5" max="5" width="26" customWidth="1"/>
    <col min="6" max="6" width="25" customWidth="1"/>
  </cols>
  <sheetData>
    <row r="1" spans="1:4" ht="42" customHeight="1" x14ac:dyDescent="0.25">
      <c r="A1" s="34" t="s">
        <v>0</v>
      </c>
      <c r="B1" s="34"/>
      <c r="C1" s="36" t="s">
        <v>67</v>
      </c>
      <c r="D1" s="38" t="s">
        <v>41</v>
      </c>
    </row>
    <row r="2" spans="1:4" x14ac:dyDescent="0.25">
      <c r="A2" s="1" t="s">
        <v>1</v>
      </c>
      <c r="B2" s="9" t="s">
        <v>42</v>
      </c>
      <c r="C2" s="37"/>
      <c r="D2" s="39"/>
    </row>
    <row r="3" spans="1:4" x14ac:dyDescent="0.25">
      <c r="A3" s="2" t="s">
        <v>2</v>
      </c>
      <c r="B3" s="3" t="s">
        <v>3</v>
      </c>
      <c r="C3" s="29">
        <v>600</v>
      </c>
      <c r="D3" s="4">
        <f>C3</f>
        <v>600</v>
      </c>
    </row>
    <row r="4" spans="1:4" x14ac:dyDescent="0.25">
      <c r="A4" s="2" t="s">
        <v>4</v>
      </c>
      <c r="B4" s="3" t="s">
        <v>43</v>
      </c>
      <c r="C4" s="29">
        <v>100</v>
      </c>
      <c r="D4" s="4">
        <f>C4</f>
        <v>100</v>
      </c>
    </row>
    <row r="5" spans="1:4" x14ac:dyDescent="0.25">
      <c r="A5" s="5">
        <v>1024169</v>
      </c>
      <c r="B5" s="3" t="s">
        <v>50</v>
      </c>
      <c r="C5" s="29">
        <v>90</v>
      </c>
      <c r="D5" s="4">
        <f>C5*0.45</f>
        <v>40.5</v>
      </c>
    </row>
    <row r="6" spans="1:4" ht="14.25" customHeight="1" x14ac:dyDescent="0.25">
      <c r="A6" s="2" t="s">
        <v>5</v>
      </c>
      <c r="B6" s="3" t="s">
        <v>72</v>
      </c>
      <c r="C6" s="29">
        <v>0</v>
      </c>
      <c r="D6" s="4">
        <f>C6*0.4</f>
        <v>0</v>
      </c>
    </row>
    <row r="7" spans="1:4" x14ac:dyDescent="0.25">
      <c r="A7" s="2" t="s">
        <v>6</v>
      </c>
      <c r="B7" s="3" t="s">
        <v>74</v>
      </c>
      <c r="C7" s="29">
        <v>50</v>
      </c>
      <c r="D7" s="4">
        <f>C7</f>
        <v>50</v>
      </c>
    </row>
    <row r="8" spans="1:4" x14ac:dyDescent="0.25">
      <c r="A8" s="2" t="s">
        <v>7</v>
      </c>
      <c r="B8" s="3" t="s">
        <v>73</v>
      </c>
      <c r="C8" s="29">
        <v>200</v>
      </c>
      <c r="D8" s="4">
        <f t="shared" ref="D8:D12" si="0">C8</f>
        <v>200</v>
      </c>
    </row>
    <row r="9" spans="1:4" x14ac:dyDescent="0.25">
      <c r="A9" s="2" t="s">
        <v>8</v>
      </c>
      <c r="B9" s="3" t="s">
        <v>9</v>
      </c>
      <c r="C9" s="29">
        <v>40</v>
      </c>
      <c r="D9" s="4">
        <f>C9</f>
        <v>40</v>
      </c>
    </row>
    <row r="10" spans="1:4" x14ac:dyDescent="0.25">
      <c r="A10" s="2" t="s">
        <v>10</v>
      </c>
      <c r="B10" s="3" t="s">
        <v>80</v>
      </c>
      <c r="C10" s="29">
        <v>30</v>
      </c>
      <c r="D10" s="4">
        <f>C10</f>
        <v>30</v>
      </c>
    </row>
    <row r="11" spans="1:4" x14ac:dyDescent="0.25">
      <c r="A11" s="2" t="s">
        <v>11</v>
      </c>
      <c r="B11" s="3" t="s">
        <v>86</v>
      </c>
      <c r="C11" s="29">
        <v>0</v>
      </c>
      <c r="D11" s="4">
        <f t="shared" si="0"/>
        <v>0</v>
      </c>
    </row>
    <row r="12" spans="1:4" x14ac:dyDescent="0.25">
      <c r="A12" s="2" t="s">
        <v>12</v>
      </c>
      <c r="B12" s="3" t="s">
        <v>13</v>
      </c>
      <c r="C12" s="29">
        <v>20</v>
      </c>
      <c r="D12" s="4">
        <f t="shared" si="0"/>
        <v>20</v>
      </c>
    </row>
    <row r="13" spans="1:4" ht="22.5" x14ac:dyDescent="0.25">
      <c r="A13" s="2" t="s">
        <v>14</v>
      </c>
      <c r="B13" s="3" t="s">
        <v>47</v>
      </c>
      <c r="C13" s="29">
        <v>100</v>
      </c>
      <c r="D13" s="4">
        <f>C13*0.45</f>
        <v>45</v>
      </c>
    </row>
    <row r="14" spans="1:4" ht="22.5" x14ac:dyDescent="0.25">
      <c r="A14" s="6">
        <v>5.0229790000000003</v>
      </c>
      <c r="B14" s="3" t="s">
        <v>44</v>
      </c>
      <c r="C14" s="29">
        <v>100</v>
      </c>
      <c r="D14" s="4">
        <f t="shared" ref="D14:D39" si="1">C14</f>
        <v>100</v>
      </c>
    </row>
    <row r="15" spans="1:4" x14ac:dyDescent="0.25">
      <c r="A15" s="2" t="s">
        <v>15</v>
      </c>
      <c r="B15" s="3" t="s">
        <v>16</v>
      </c>
      <c r="C15" s="29">
        <v>800</v>
      </c>
      <c r="D15" s="4">
        <f t="shared" si="1"/>
        <v>800</v>
      </c>
    </row>
    <row r="16" spans="1:4" x14ac:dyDescent="0.25">
      <c r="A16" s="2" t="s">
        <v>17</v>
      </c>
      <c r="B16" s="3" t="s">
        <v>18</v>
      </c>
      <c r="C16" s="29">
        <v>150</v>
      </c>
      <c r="D16" s="4">
        <f>C16*0.4</f>
        <v>60</v>
      </c>
    </row>
    <row r="17" spans="1:4" x14ac:dyDescent="0.25">
      <c r="A17" s="2"/>
      <c r="B17" s="3" t="s">
        <v>75</v>
      </c>
      <c r="C17" s="29">
        <v>15</v>
      </c>
      <c r="D17" s="4">
        <f t="shared" si="1"/>
        <v>15</v>
      </c>
    </row>
    <row r="18" spans="1:4" x14ac:dyDescent="0.25">
      <c r="A18" s="2" t="s">
        <v>19</v>
      </c>
      <c r="B18" s="3" t="s">
        <v>76</v>
      </c>
      <c r="C18" s="29">
        <v>900</v>
      </c>
      <c r="D18" s="4">
        <f t="shared" si="1"/>
        <v>900</v>
      </c>
    </row>
    <row r="19" spans="1:4" x14ac:dyDescent="0.25">
      <c r="A19" s="2" t="s">
        <v>20</v>
      </c>
      <c r="B19" s="3" t="s">
        <v>48</v>
      </c>
      <c r="C19" s="29">
        <v>100</v>
      </c>
      <c r="D19" s="4">
        <f>C19</f>
        <v>100</v>
      </c>
    </row>
    <row r="20" spans="1:4" ht="17.25" customHeight="1" x14ac:dyDescent="0.25">
      <c r="A20" s="2" t="s">
        <v>21</v>
      </c>
      <c r="B20" s="3" t="s">
        <v>49</v>
      </c>
      <c r="C20" s="29">
        <v>80</v>
      </c>
      <c r="D20" s="4">
        <f>C20*0.5</f>
        <v>40</v>
      </c>
    </row>
    <row r="21" spans="1:4" x14ac:dyDescent="0.25">
      <c r="A21" s="6">
        <v>5.0262859999999998</v>
      </c>
      <c r="B21" s="3" t="s">
        <v>79</v>
      </c>
      <c r="C21" s="29">
        <v>100</v>
      </c>
      <c r="D21" s="4">
        <f>C21</f>
        <v>100</v>
      </c>
    </row>
    <row r="22" spans="1:4" x14ac:dyDescent="0.25">
      <c r="A22" s="2" t="s">
        <v>22</v>
      </c>
      <c r="B22" s="3" t="s">
        <v>23</v>
      </c>
      <c r="C22" s="29">
        <v>600</v>
      </c>
      <c r="D22" s="4">
        <f t="shared" si="1"/>
        <v>600</v>
      </c>
    </row>
    <row r="23" spans="1:4" x14ac:dyDescent="0.25">
      <c r="A23" s="2"/>
      <c r="B23" s="3" t="s">
        <v>65</v>
      </c>
      <c r="C23" s="29">
        <v>0</v>
      </c>
      <c r="D23" s="4">
        <f>C23</f>
        <v>0</v>
      </c>
    </row>
    <row r="24" spans="1:4" x14ac:dyDescent="0.25">
      <c r="A24" s="2" t="s">
        <v>24</v>
      </c>
      <c r="B24" s="3" t="s">
        <v>25</v>
      </c>
      <c r="C24" s="29">
        <v>30</v>
      </c>
      <c r="D24" s="4">
        <f t="shared" si="1"/>
        <v>30</v>
      </c>
    </row>
    <row r="25" spans="1:4" x14ac:dyDescent="0.25">
      <c r="A25" s="6">
        <v>4.0459389999999997</v>
      </c>
      <c r="B25" s="3" t="s">
        <v>26</v>
      </c>
      <c r="C25" s="29">
        <v>60</v>
      </c>
      <c r="D25" s="4">
        <f>C25*0.35</f>
        <v>21</v>
      </c>
    </row>
    <row r="26" spans="1:4" x14ac:dyDescent="0.25">
      <c r="A26" s="6">
        <v>4.0220039999999999</v>
      </c>
      <c r="B26" s="3" t="s">
        <v>27</v>
      </c>
      <c r="C26" s="29">
        <v>300</v>
      </c>
      <c r="D26" s="4">
        <f t="shared" si="1"/>
        <v>300</v>
      </c>
    </row>
    <row r="27" spans="1:4" x14ac:dyDescent="0.25">
      <c r="A27" s="2" t="s">
        <v>28</v>
      </c>
      <c r="B27" s="3" t="s">
        <v>66</v>
      </c>
      <c r="C27" s="29">
        <v>30</v>
      </c>
      <c r="D27" s="4">
        <f>C27*0.35</f>
        <v>10.5</v>
      </c>
    </row>
    <row r="28" spans="1:4" x14ac:dyDescent="0.25">
      <c r="A28" s="2" t="s">
        <v>29</v>
      </c>
      <c r="B28" s="3" t="s">
        <v>30</v>
      </c>
      <c r="C28" s="29">
        <v>100</v>
      </c>
      <c r="D28" s="4">
        <f t="shared" si="1"/>
        <v>100</v>
      </c>
    </row>
    <row r="29" spans="1:4" x14ac:dyDescent="0.25">
      <c r="A29" s="2" t="s">
        <v>31</v>
      </c>
      <c r="B29" s="3" t="s">
        <v>32</v>
      </c>
      <c r="C29" s="29">
        <v>20</v>
      </c>
      <c r="D29" s="4">
        <f>C29*0.45</f>
        <v>9</v>
      </c>
    </row>
    <row r="30" spans="1:4" ht="22.5" x14ac:dyDescent="0.25">
      <c r="A30" s="2" t="s">
        <v>33</v>
      </c>
      <c r="B30" s="3" t="s">
        <v>34</v>
      </c>
      <c r="C30" s="29">
        <v>250</v>
      </c>
      <c r="D30" s="4">
        <f>C30*0.4</f>
        <v>100</v>
      </c>
    </row>
    <row r="31" spans="1:4" x14ac:dyDescent="0.25">
      <c r="A31" s="10" t="s">
        <v>35</v>
      </c>
      <c r="B31" s="11" t="s">
        <v>36</v>
      </c>
      <c r="C31" s="30">
        <v>1200</v>
      </c>
      <c r="D31" s="12">
        <f t="shared" si="1"/>
        <v>1200</v>
      </c>
    </row>
    <row r="32" spans="1:4" x14ac:dyDescent="0.25">
      <c r="A32" s="14" t="s">
        <v>37</v>
      </c>
      <c r="B32" s="16" t="s">
        <v>38</v>
      </c>
      <c r="C32" s="31">
        <v>15</v>
      </c>
      <c r="D32" s="15">
        <f>C32*0.45</f>
        <v>6.75</v>
      </c>
    </row>
    <row r="33" spans="1:4" x14ac:dyDescent="0.25">
      <c r="A33" s="14"/>
      <c r="B33" s="3" t="s">
        <v>81</v>
      </c>
      <c r="C33" s="30">
        <v>15</v>
      </c>
      <c r="D33" s="12">
        <f t="shared" ref="D33" si="2">C33</f>
        <v>15</v>
      </c>
    </row>
    <row r="34" spans="1:4" x14ac:dyDescent="0.25">
      <c r="A34" s="14"/>
      <c r="B34" s="26" t="s">
        <v>40</v>
      </c>
      <c r="C34" s="31">
        <v>150</v>
      </c>
      <c r="D34" s="15">
        <f>C34</f>
        <v>150</v>
      </c>
    </row>
    <row r="35" spans="1:4" x14ac:dyDescent="0.25">
      <c r="A35" s="14"/>
      <c r="B35" s="27" t="s">
        <v>78</v>
      </c>
      <c r="C35" s="29">
        <v>50</v>
      </c>
      <c r="D35" s="4">
        <f>C35</f>
        <v>50</v>
      </c>
    </row>
    <row r="36" spans="1:4" x14ac:dyDescent="0.25">
      <c r="A36" s="14"/>
      <c r="B36" s="3" t="s">
        <v>70</v>
      </c>
      <c r="C36" s="29">
        <v>20</v>
      </c>
      <c r="D36" s="4">
        <f>C36</f>
        <v>20</v>
      </c>
    </row>
    <row r="37" spans="1:4" x14ac:dyDescent="0.25">
      <c r="A37" s="14"/>
      <c r="B37" s="3" t="s">
        <v>69</v>
      </c>
      <c r="C37" s="29">
        <v>20</v>
      </c>
      <c r="D37" s="4">
        <f t="shared" ref="D37:D38" si="3">C37</f>
        <v>20</v>
      </c>
    </row>
    <row r="38" spans="1:4" x14ac:dyDescent="0.25">
      <c r="A38" s="14"/>
      <c r="B38" s="16" t="s">
        <v>62</v>
      </c>
      <c r="C38" s="31">
        <v>20</v>
      </c>
      <c r="D38" s="15">
        <f t="shared" si="3"/>
        <v>20</v>
      </c>
    </row>
    <row r="39" spans="1:4" x14ac:dyDescent="0.25">
      <c r="A39" s="14"/>
      <c r="B39" s="28" t="s">
        <v>68</v>
      </c>
      <c r="C39" s="31">
        <v>50</v>
      </c>
      <c r="D39" s="15">
        <f t="shared" si="1"/>
        <v>50</v>
      </c>
    </row>
    <row r="40" spans="1:4" x14ac:dyDescent="0.25">
      <c r="A40" s="14"/>
      <c r="B40" s="16" t="s">
        <v>45</v>
      </c>
      <c r="C40" s="32">
        <v>50</v>
      </c>
      <c r="D40" s="8">
        <f>C40</f>
        <v>50</v>
      </c>
    </row>
    <row r="41" spans="1:4" ht="20.25" x14ac:dyDescent="0.25">
      <c r="A41" s="18"/>
      <c r="B41" s="16" t="s">
        <v>59</v>
      </c>
      <c r="C41" s="32">
        <v>0</v>
      </c>
      <c r="D41" s="8">
        <f>C41*0.35</f>
        <v>0</v>
      </c>
    </row>
    <row r="42" spans="1:4" ht="20.25" x14ac:dyDescent="0.25">
      <c r="A42" s="18"/>
      <c r="B42" s="16" t="s">
        <v>51</v>
      </c>
      <c r="C42" s="32">
        <v>20</v>
      </c>
      <c r="D42" s="8">
        <f>C42*0.35</f>
        <v>7</v>
      </c>
    </row>
    <row r="43" spans="1:4" ht="20.25" x14ac:dyDescent="0.25">
      <c r="A43" s="18"/>
      <c r="B43" s="16" t="s">
        <v>52</v>
      </c>
      <c r="C43" s="32">
        <v>60</v>
      </c>
      <c r="D43" s="8">
        <f>C43*0.35</f>
        <v>21</v>
      </c>
    </row>
    <row r="44" spans="1:4" x14ac:dyDescent="0.25">
      <c r="A44" s="17"/>
      <c r="B44" s="16" t="s">
        <v>46</v>
      </c>
      <c r="C44" s="33">
        <v>20</v>
      </c>
      <c r="D44" s="8">
        <f>C44</f>
        <v>20</v>
      </c>
    </row>
    <row r="45" spans="1:4" hidden="1" x14ac:dyDescent="0.25">
      <c r="A45" s="35" t="s">
        <v>39</v>
      </c>
      <c r="B45" s="35"/>
      <c r="C45" s="13"/>
      <c r="D45" s="13">
        <f>SUM(D3:D44)</f>
        <v>6040.75</v>
      </c>
    </row>
    <row r="46" spans="1:4" ht="30" x14ac:dyDescent="0.25">
      <c r="A46" s="23"/>
      <c r="B46" s="24" t="s">
        <v>53</v>
      </c>
      <c r="C46" s="25">
        <v>30</v>
      </c>
      <c r="D46" s="25">
        <f>C46*0.4</f>
        <v>12</v>
      </c>
    </row>
    <row r="47" spans="1:4" ht="30" hidden="1" x14ac:dyDescent="0.25">
      <c r="A47" s="20"/>
      <c r="B47" s="22" t="s">
        <v>54</v>
      </c>
      <c r="C47" s="21"/>
      <c r="D47" s="21">
        <f t="shared" ref="D47" si="4">C47*0.4</f>
        <v>0</v>
      </c>
    </row>
    <row r="48" spans="1:4" ht="30" x14ac:dyDescent="0.25">
      <c r="A48" s="23"/>
      <c r="B48" s="24" t="s">
        <v>55</v>
      </c>
      <c r="C48" s="25">
        <v>0</v>
      </c>
      <c r="D48" s="25">
        <f>C48*0.35</f>
        <v>0</v>
      </c>
    </row>
    <row r="49" spans="1:4" ht="30" hidden="1" x14ac:dyDescent="0.25">
      <c r="A49" s="20"/>
      <c r="B49" s="22" t="s">
        <v>56</v>
      </c>
      <c r="C49" s="21"/>
      <c r="D49" s="21">
        <f>C49*0.35</f>
        <v>0</v>
      </c>
    </row>
    <row r="50" spans="1:4" ht="30" x14ac:dyDescent="0.25">
      <c r="A50" s="23"/>
      <c r="B50" s="24" t="s">
        <v>57</v>
      </c>
      <c r="C50" s="25">
        <v>20</v>
      </c>
      <c r="D50" s="25">
        <f>C50*0.33</f>
        <v>6.6000000000000005</v>
      </c>
    </row>
    <row r="51" spans="1:4" ht="30" hidden="1" x14ac:dyDescent="0.25">
      <c r="A51" s="20"/>
      <c r="B51" s="22" t="s">
        <v>58</v>
      </c>
      <c r="C51" s="21"/>
      <c r="D51" s="21">
        <f>C51*0.33</f>
        <v>0</v>
      </c>
    </row>
    <row r="52" spans="1:4" x14ac:dyDescent="0.25">
      <c r="A52" s="20"/>
      <c r="B52" s="27" t="s">
        <v>71</v>
      </c>
      <c r="C52" s="25">
        <v>50</v>
      </c>
      <c r="D52" s="4">
        <f>C52*0.45</f>
        <v>22.5</v>
      </c>
    </row>
    <row r="53" spans="1:4" x14ac:dyDescent="0.25">
      <c r="A53" s="20"/>
      <c r="B53" s="27" t="s">
        <v>61</v>
      </c>
      <c r="C53" s="25">
        <v>30</v>
      </c>
      <c r="D53" s="21">
        <f>C53</f>
        <v>30</v>
      </c>
    </row>
    <row r="54" spans="1:4" x14ac:dyDescent="0.25">
      <c r="A54" s="20"/>
      <c r="B54" s="27" t="s">
        <v>77</v>
      </c>
      <c r="C54" s="25">
        <v>50</v>
      </c>
      <c r="D54" s="21">
        <f>C54</f>
        <v>50</v>
      </c>
    </row>
    <row r="55" spans="1:4" x14ac:dyDescent="0.25">
      <c r="A55" s="20"/>
      <c r="B55" s="16" t="s">
        <v>64</v>
      </c>
      <c r="C55" s="25">
        <v>20</v>
      </c>
      <c r="D55" s="21">
        <f t="shared" ref="D55:D56" si="5">C55</f>
        <v>20</v>
      </c>
    </row>
    <row r="56" spans="1:4" x14ac:dyDescent="0.25">
      <c r="A56" s="20"/>
      <c r="B56" s="16" t="s">
        <v>63</v>
      </c>
      <c r="C56" s="25">
        <v>40</v>
      </c>
      <c r="D56" s="21">
        <f t="shared" si="5"/>
        <v>40</v>
      </c>
    </row>
    <row r="57" spans="1:4" x14ac:dyDescent="0.25">
      <c r="A57" s="20"/>
      <c r="B57" s="16" t="s">
        <v>60</v>
      </c>
      <c r="C57" s="25">
        <v>0</v>
      </c>
      <c r="D57" s="21">
        <f>C57*0.18</f>
        <v>0</v>
      </c>
    </row>
    <row r="58" spans="1:4" x14ac:dyDescent="0.25">
      <c r="A58" s="20"/>
      <c r="B58" s="16" t="s">
        <v>87</v>
      </c>
      <c r="C58" s="25">
        <v>50</v>
      </c>
      <c r="D58" s="21">
        <f>C58*0.33</f>
        <v>16.5</v>
      </c>
    </row>
    <row r="59" spans="1:4" x14ac:dyDescent="0.25">
      <c r="A59" s="20"/>
      <c r="B59" s="16" t="s">
        <v>82</v>
      </c>
      <c r="C59" s="25">
        <v>30</v>
      </c>
      <c r="D59" s="21">
        <f>C59</f>
        <v>30</v>
      </c>
    </row>
    <row r="60" spans="1:4" x14ac:dyDescent="0.25">
      <c r="A60" s="20"/>
      <c r="B60" s="16" t="s">
        <v>85</v>
      </c>
      <c r="C60" s="25">
        <v>50</v>
      </c>
      <c r="D60" s="21">
        <f>C60*1.3</f>
        <v>65</v>
      </c>
    </row>
    <row r="61" spans="1:4" x14ac:dyDescent="0.25">
      <c r="A61" s="20"/>
      <c r="B61" s="16" t="s">
        <v>84</v>
      </c>
      <c r="C61" s="25">
        <v>50</v>
      </c>
      <c r="D61" s="21">
        <f>C61*1.3</f>
        <v>65</v>
      </c>
    </row>
    <row r="62" spans="1:4" ht="15.75" customHeight="1" x14ac:dyDescent="0.25">
      <c r="A62" s="20"/>
      <c r="B62" s="16" t="s">
        <v>83</v>
      </c>
      <c r="C62" s="25">
        <v>15</v>
      </c>
      <c r="D62" s="21">
        <f>C62</f>
        <v>15</v>
      </c>
    </row>
    <row r="63" spans="1:4" ht="15" customHeight="1" x14ac:dyDescent="0.25">
      <c r="A63" s="17"/>
      <c r="B63" s="8"/>
      <c r="C63" s="8">
        <v>0</v>
      </c>
      <c r="D63" s="19">
        <f>SUM(D45)+D62</f>
        <v>6055.75</v>
      </c>
    </row>
    <row r="64" spans="1:4" x14ac:dyDescent="0.25">
      <c r="A64" s="7"/>
    </row>
    <row r="65" spans="1:3" x14ac:dyDescent="0.25">
      <c r="A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</sheetData>
  <mergeCells count="4">
    <mergeCell ref="A1:B1"/>
    <mergeCell ref="A45:B45"/>
    <mergeCell ref="C1:C2"/>
    <mergeCell ref="D1:D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2025-04-22T06:39:35Z</dcterms:modified>
</cp:coreProperties>
</file>