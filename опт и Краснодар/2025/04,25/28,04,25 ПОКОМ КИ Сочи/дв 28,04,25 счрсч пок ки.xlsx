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8,04,25 ПОКОМ КИ Сочи\"/>
    </mc:Choice>
  </mc:AlternateContent>
  <xr:revisionPtr revIDLastSave="0" documentId="13_ncr:1_{57459252-0C9F-4098-8D17-3888912113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0" i="1" l="1"/>
  <c r="AF18" i="1"/>
  <c r="E66" i="1"/>
  <c r="O66" i="1" s="1"/>
  <c r="P66" i="1" s="1"/>
  <c r="E50" i="1"/>
  <c r="K50" i="1" s="1"/>
  <c r="E45" i="1"/>
  <c r="O45" i="1" s="1"/>
  <c r="O7" i="1"/>
  <c r="P7" i="1" s="1"/>
  <c r="AF7" i="1" s="1"/>
  <c r="O8" i="1"/>
  <c r="P8" i="1" s="1"/>
  <c r="AF8" i="1" s="1"/>
  <c r="O9" i="1"/>
  <c r="S9" i="1" s="1"/>
  <c r="O10" i="1"/>
  <c r="O11" i="1"/>
  <c r="S11" i="1" s="1"/>
  <c r="O12" i="1"/>
  <c r="P12" i="1" s="1"/>
  <c r="AF12" i="1" s="1"/>
  <c r="O13" i="1"/>
  <c r="O14" i="1"/>
  <c r="O15" i="1"/>
  <c r="AF15" i="1" s="1"/>
  <c r="O16" i="1"/>
  <c r="S16" i="1" s="1"/>
  <c r="O17" i="1"/>
  <c r="P17" i="1" s="1"/>
  <c r="O18" i="1"/>
  <c r="O19" i="1"/>
  <c r="O20" i="1"/>
  <c r="O21" i="1"/>
  <c r="S21" i="1" s="1"/>
  <c r="O22" i="1"/>
  <c r="O23" i="1"/>
  <c r="P23" i="1" s="1"/>
  <c r="AF23" i="1" s="1"/>
  <c r="O24" i="1"/>
  <c r="O25" i="1"/>
  <c r="P25" i="1" s="1"/>
  <c r="AF25" i="1" s="1"/>
  <c r="O26" i="1"/>
  <c r="O27" i="1"/>
  <c r="AF27" i="1" s="1"/>
  <c r="O28" i="1"/>
  <c r="S28" i="1" s="1"/>
  <c r="O29" i="1"/>
  <c r="O30" i="1"/>
  <c r="S30" i="1" s="1"/>
  <c r="O31" i="1"/>
  <c r="P31" i="1" s="1"/>
  <c r="AF31" i="1" s="1"/>
  <c r="O32" i="1"/>
  <c r="S32" i="1" s="1"/>
  <c r="O33" i="1"/>
  <c r="S33" i="1" s="1"/>
  <c r="O34" i="1"/>
  <c r="O35" i="1"/>
  <c r="P35" i="1" s="1"/>
  <c r="AF35" i="1" s="1"/>
  <c r="O36" i="1"/>
  <c r="O37" i="1"/>
  <c r="P37" i="1" s="1"/>
  <c r="AF37" i="1" s="1"/>
  <c r="O38" i="1"/>
  <c r="O39" i="1"/>
  <c r="S39" i="1" s="1"/>
  <c r="O40" i="1"/>
  <c r="S40" i="1" s="1"/>
  <c r="O41" i="1"/>
  <c r="O42" i="1"/>
  <c r="O43" i="1"/>
  <c r="AF43" i="1" s="1"/>
  <c r="O44" i="1"/>
  <c r="P44" i="1" s="1"/>
  <c r="O46" i="1"/>
  <c r="S46" i="1" s="1"/>
  <c r="O47" i="1"/>
  <c r="O48" i="1"/>
  <c r="AF48" i="1" s="1"/>
  <c r="O49" i="1"/>
  <c r="O50" i="1"/>
  <c r="O51" i="1"/>
  <c r="O52" i="1"/>
  <c r="P52" i="1" s="1"/>
  <c r="AF52" i="1" s="1"/>
  <c r="O53" i="1"/>
  <c r="P53" i="1" s="1"/>
  <c r="O54" i="1"/>
  <c r="P54" i="1" s="1"/>
  <c r="AF54" i="1" s="1"/>
  <c r="O55" i="1"/>
  <c r="P55" i="1" s="1"/>
  <c r="O56" i="1"/>
  <c r="AF56" i="1" s="1"/>
  <c r="O57" i="1"/>
  <c r="P57" i="1" s="1"/>
  <c r="O58" i="1"/>
  <c r="AF58" i="1" s="1"/>
  <c r="O59" i="1"/>
  <c r="O60" i="1"/>
  <c r="AF60" i="1" s="1"/>
  <c r="O61" i="1"/>
  <c r="O62" i="1"/>
  <c r="P62" i="1" s="1"/>
  <c r="AF62" i="1" s="1"/>
  <c r="O63" i="1"/>
  <c r="O64" i="1"/>
  <c r="O65" i="1"/>
  <c r="P65" i="1" s="1"/>
  <c r="O67" i="1"/>
  <c r="O68" i="1"/>
  <c r="S68" i="1" s="1"/>
  <c r="O69" i="1"/>
  <c r="S69" i="1" s="1"/>
  <c r="O70" i="1"/>
  <c r="S70" i="1" s="1"/>
  <c r="O71" i="1"/>
  <c r="S71" i="1" s="1"/>
  <c r="O72" i="1"/>
  <c r="S72" i="1" s="1"/>
  <c r="O73" i="1"/>
  <c r="AF73" i="1" s="1"/>
  <c r="O74" i="1"/>
  <c r="S74" i="1" s="1"/>
  <c r="O75" i="1"/>
  <c r="O76" i="1"/>
  <c r="P76" i="1" s="1"/>
  <c r="AF76" i="1" s="1"/>
  <c r="O77" i="1"/>
  <c r="O78" i="1"/>
  <c r="P78" i="1" s="1"/>
  <c r="AF78" i="1" s="1"/>
  <c r="O79" i="1"/>
  <c r="P79" i="1" s="1"/>
  <c r="O80" i="1"/>
  <c r="P80" i="1" s="1"/>
  <c r="AF80" i="1" s="1"/>
  <c r="O81" i="1"/>
  <c r="O82" i="1"/>
  <c r="S82" i="1" s="1"/>
  <c r="O83" i="1"/>
  <c r="AF83" i="1" s="1"/>
  <c r="O84" i="1"/>
  <c r="P84" i="1" s="1"/>
  <c r="O85" i="1"/>
  <c r="O86" i="1"/>
  <c r="S86" i="1" s="1"/>
  <c r="O87" i="1"/>
  <c r="S87" i="1" s="1"/>
  <c r="O88" i="1"/>
  <c r="S88" i="1" s="1"/>
  <c r="O89" i="1"/>
  <c r="S89" i="1" s="1"/>
  <c r="O90" i="1"/>
  <c r="O91" i="1"/>
  <c r="AF91" i="1" s="1"/>
  <c r="O92" i="1"/>
  <c r="O6" i="1"/>
  <c r="T6" i="1" s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49" i="1"/>
  <c r="K48" i="1"/>
  <c r="K47" i="1"/>
  <c r="K46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AF13" i="1"/>
  <c r="K13" i="1"/>
  <c r="K12" i="1"/>
  <c r="K11" i="1"/>
  <c r="K10" i="1"/>
  <c r="K9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L5" i="1"/>
  <c r="J5" i="1"/>
  <c r="F5" i="1"/>
  <c r="P64" i="1" l="1"/>
  <c r="AF64" i="1" s="1"/>
  <c r="P50" i="1"/>
  <c r="AF50" i="1" s="1"/>
  <c r="P85" i="1"/>
  <c r="AF85" i="1" s="1"/>
  <c r="P41" i="1"/>
  <c r="AF41" i="1" s="1"/>
  <c r="P45" i="1"/>
  <c r="AF45" i="1" s="1"/>
  <c r="P6" i="1"/>
  <c r="S6" i="1" s="1"/>
  <c r="AF66" i="1"/>
  <c r="AF81" i="1"/>
  <c r="AF79" i="1"/>
  <c r="AF77" i="1"/>
  <c r="AF75" i="1"/>
  <c r="AF67" i="1"/>
  <c r="P29" i="1"/>
  <c r="AF29" i="1" s="1"/>
  <c r="AF19" i="1"/>
  <c r="AF17" i="1"/>
  <c r="S80" i="1"/>
  <c r="S78" i="1"/>
  <c r="S76" i="1"/>
  <c r="S65" i="1"/>
  <c r="S49" i="1"/>
  <c r="S24" i="1"/>
  <c r="S20" i="1"/>
  <c r="S18" i="1"/>
  <c r="S14" i="1"/>
  <c r="S12" i="1"/>
  <c r="S8" i="1"/>
  <c r="S45" i="1"/>
  <c r="S66" i="1"/>
  <c r="P10" i="1"/>
  <c r="AF10" i="1" s="1"/>
  <c r="AF14" i="1"/>
  <c r="AF22" i="1"/>
  <c r="AF24" i="1"/>
  <c r="AF26" i="1"/>
  <c r="P34" i="1"/>
  <c r="AF34" i="1" s="1"/>
  <c r="P36" i="1"/>
  <c r="AF36" i="1" s="1"/>
  <c r="P38" i="1"/>
  <c r="AF38" i="1" s="1"/>
  <c r="P42" i="1"/>
  <c r="AF42" i="1" s="1"/>
  <c r="AF44" i="1"/>
  <c r="AF47" i="1"/>
  <c r="AF49" i="1"/>
  <c r="P51" i="1"/>
  <c r="AF51" i="1" s="1"/>
  <c r="AF53" i="1"/>
  <c r="AF55" i="1"/>
  <c r="AF57" i="1"/>
  <c r="AF59" i="1"/>
  <c r="AF61" i="1"/>
  <c r="P63" i="1"/>
  <c r="AF63" i="1" s="1"/>
  <c r="AF65" i="1"/>
  <c r="AF84" i="1"/>
  <c r="AF90" i="1"/>
  <c r="AF92" i="1"/>
  <c r="S91" i="1"/>
  <c r="S83" i="1"/>
  <c r="S73" i="1"/>
  <c r="S64" i="1"/>
  <c r="S62" i="1"/>
  <c r="S60" i="1"/>
  <c r="S58" i="1"/>
  <c r="S56" i="1"/>
  <c r="S54" i="1"/>
  <c r="S52" i="1"/>
  <c r="S50" i="1"/>
  <c r="S48" i="1"/>
  <c r="S43" i="1"/>
  <c r="S41" i="1"/>
  <c r="S37" i="1"/>
  <c r="S35" i="1"/>
  <c r="S31" i="1"/>
  <c r="S27" i="1"/>
  <c r="S25" i="1"/>
  <c r="S23" i="1"/>
  <c r="S15" i="1"/>
  <c r="S13" i="1"/>
  <c r="S7" i="1"/>
  <c r="K66" i="1"/>
  <c r="E5" i="1"/>
  <c r="K45" i="1"/>
  <c r="K5" i="1" s="1"/>
  <c r="T85" i="1"/>
  <c r="T69" i="1"/>
  <c r="T53" i="1"/>
  <c r="T37" i="1"/>
  <c r="T21" i="1"/>
  <c r="T92" i="1"/>
  <c r="T77" i="1"/>
  <c r="T61" i="1"/>
  <c r="T45" i="1"/>
  <c r="T29" i="1"/>
  <c r="T13" i="1"/>
  <c r="T89" i="1"/>
  <c r="T81" i="1"/>
  <c r="T73" i="1"/>
  <c r="T65" i="1"/>
  <c r="T57" i="1"/>
  <c r="T49" i="1"/>
  <c r="T41" i="1"/>
  <c r="T33" i="1"/>
  <c r="T25" i="1"/>
  <c r="T17" i="1"/>
  <c r="T9" i="1"/>
  <c r="T90" i="1"/>
  <c r="T87" i="1"/>
  <c r="T83" i="1"/>
  <c r="T79" i="1"/>
  <c r="T75" i="1"/>
  <c r="T71" i="1"/>
  <c r="T67" i="1"/>
  <c r="T63" i="1"/>
  <c r="T59" i="1"/>
  <c r="T55" i="1"/>
  <c r="T51" i="1"/>
  <c r="T47" i="1"/>
  <c r="T43" i="1"/>
  <c r="T39" i="1"/>
  <c r="T35" i="1"/>
  <c r="T31" i="1"/>
  <c r="T27" i="1"/>
  <c r="T23" i="1"/>
  <c r="T19" i="1"/>
  <c r="T15" i="1"/>
  <c r="T11" i="1"/>
  <c r="T7" i="1"/>
  <c r="T91" i="1"/>
  <c r="O5" i="1"/>
  <c r="T88" i="1"/>
  <c r="T86" i="1"/>
  <c r="T84" i="1"/>
  <c r="T82" i="1"/>
  <c r="T80" i="1"/>
  <c r="T78" i="1"/>
  <c r="T76" i="1"/>
  <c r="T74" i="1"/>
  <c r="T72" i="1"/>
  <c r="T70" i="1"/>
  <c r="T68" i="1"/>
  <c r="T66" i="1"/>
  <c r="T64" i="1"/>
  <c r="T62" i="1"/>
  <c r="T60" i="1"/>
  <c r="T58" i="1"/>
  <c r="T56" i="1"/>
  <c r="T54" i="1"/>
  <c r="T52" i="1"/>
  <c r="T50" i="1"/>
  <c r="T48" i="1"/>
  <c r="T46" i="1"/>
  <c r="T44" i="1"/>
  <c r="T42" i="1"/>
  <c r="T40" i="1"/>
  <c r="T38" i="1"/>
  <c r="T36" i="1"/>
  <c r="T34" i="1"/>
  <c r="T32" i="1"/>
  <c r="T30" i="1"/>
  <c r="T28" i="1"/>
  <c r="T26" i="1"/>
  <c r="T24" i="1"/>
  <c r="T22" i="1"/>
  <c r="T20" i="1"/>
  <c r="T18" i="1"/>
  <c r="T16" i="1"/>
  <c r="T14" i="1"/>
  <c r="T12" i="1"/>
  <c r="T10" i="1"/>
  <c r="T8" i="1"/>
  <c r="S85" i="1" l="1"/>
  <c r="S38" i="1"/>
  <c r="S57" i="1"/>
  <c r="S34" i="1"/>
  <c r="S44" i="1"/>
  <c r="S53" i="1"/>
  <c r="S61" i="1"/>
  <c r="S10" i="1"/>
  <c r="S84" i="1"/>
  <c r="S92" i="1"/>
  <c r="S22" i="1"/>
  <c r="S26" i="1"/>
  <c r="S36" i="1"/>
  <c r="S42" i="1"/>
  <c r="S47" i="1"/>
  <c r="S51" i="1"/>
  <c r="S55" i="1"/>
  <c r="S59" i="1"/>
  <c r="S63" i="1"/>
  <c r="S90" i="1"/>
  <c r="AF6" i="1"/>
  <c r="AF5" i="1" s="1"/>
  <c r="P5" i="1"/>
  <c r="S17" i="1"/>
  <c r="S19" i="1"/>
  <c r="S29" i="1"/>
  <c r="S67" i="1"/>
  <c r="S75" i="1"/>
  <c r="S77" i="1"/>
  <c r="S79" i="1"/>
  <c r="S81" i="1"/>
</calcChain>
</file>

<file path=xl/sharedStrings.xml><?xml version="1.0" encoding="utf-8"?>
<sst xmlns="http://schemas.openxmlformats.org/spreadsheetml/2006/main" count="347" uniqueCount="145">
  <si>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</si>
  <si>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</si>
  <si>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</si>
  <si>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</si>
  <si>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</si>
  <si>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</si>
  <si>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</si>
  <si>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</si>
  <si>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</si>
  <si>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</si>
  <si>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</si>
  <si>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</si>
  <si>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</si>
  <si>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</si>
  <si>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</si>
  <si>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</si>
  <si>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</si>
  <si>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</si>
  <si>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</si>
  <si>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</si>
  <si>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</si>
  <si>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</si>
  <si>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</si>
  <si>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24,04,</t>
  </si>
  <si>
    <t>28,04,</t>
  </si>
  <si>
    <t>21,04,</t>
  </si>
  <si>
    <t>14,04,</t>
  </si>
  <si>
    <t>07,04,</t>
  </si>
  <si>
    <t>31,03,</t>
  </si>
  <si>
    <t>24,03,</t>
  </si>
  <si>
    <t>17,03,</t>
  </si>
  <si>
    <t>10,03,</t>
  </si>
  <si>
    <t>03,03,</t>
  </si>
  <si>
    <t>24,02,</t>
  </si>
  <si>
    <t>17,02,</t>
  </si>
  <si>
    <t xml:space="preserve"> 005  Колбаса Докторская ГОСТ, Вязанка вектор,ВЕС. ПОКОМ</t>
  </si>
  <si>
    <t>кг</t>
  </si>
  <si>
    <t>в матрице</t>
  </si>
  <si>
    <t>08,04,25 филиал обнулил</t>
  </si>
  <si>
    <t xml:space="preserve"> 016  Сосиски Вязанка Молочные, Вязанка вискофан  ВЕС.ПОКОМ</t>
  </si>
  <si>
    <t>22,04,25 филиал обнулил</t>
  </si>
  <si>
    <t xml:space="preserve"> 023  Колбаса Докторская ГОСТ, Вязанка вектор, 0,4 кг, ПОКОМ</t>
  </si>
  <si>
    <t>шт</t>
  </si>
  <si>
    <t xml:space="preserve"> 029  Сосиски Венские, Вязанка NDX МГС, 0.5кг, ПОКОМ</t>
  </si>
  <si>
    <t>нет потребности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</si>
  <si>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</si>
  <si>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</si>
  <si>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нет потребности / 20,03,25 списание 21шт. (брак)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</si>
  <si>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</si>
  <si>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</si>
  <si>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</si>
  <si>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</si>
  <si>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</si>
  <si>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>необходимо увеличить продажи!!!</t>
  </si>
  <si>
    <t xml:space="preserve"> 054  Колбаса вареная Филейбургская с филе сочного окорока, 0,45 кг, БАВАРУШКА ПОКОМ</t>
  </si>
  <si>
    <t>нет потребности / 20,01,25 списание 24шт.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</si>
  <si>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</si>
  <si>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</si>
  <si>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</si>
  <si>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</si>
  <si>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</si>
  <si>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>нет потребности (филиал постоянно обнуляет) / 21,02,25 списание 49шт. (недостача)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</si>
  <si>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</si>
  <si>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</si>
  <si>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</si>
  <si>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</si>
  <si>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</si>
  <si>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</si>
  <si>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247  Сардельки Нежные, ВЕС.  ПОКОМ</t>
  </si>
  <si>
    <t>нет потребности (филиал постоянно обнуляет)</t>
  </si>
  <si>
    <t xml:space="preserve"> 250  Сардельки стародворские с говядиной в обол. NDX, ВЕС. ПОКОМ</t>
  </si>
  <si>
    <t>15,04,25 филиал обнулил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</si>
  <si>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</si>
  <si>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</si>
  <si>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</si>
  <si>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264  Колбаса Молочная стародворская, амифлекс, ВЕС, ТМ Стародворье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</si>
  <si>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</si>
  <si>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</si>
  <si>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</si>
  <si>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</si>
  <si>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</si>
  <si>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</si>
  <si>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</si>
  <si>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</si>
  <si>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</si>
  <si>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</si>
  <si>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</si>
  <si>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</si>
  <si>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</si>
  <si>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нет потребности / 20,03,25 списание 17шт. (брак)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</si>
  <si>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</si>
  <si>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</si>
  <si>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</si>
  <si>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>заказы только под Перевезенцева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</si>
  <si>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</si>
  <si>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</si>
  <si>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</si>
  <si>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</si>
  <si>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</si>
  <si>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</si>
  <si>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</si>
  <si>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>20,03,25 списание 18кг (брак)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</si>
  <si>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</si>
  <si>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</si>
  <si>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</si>
  <si>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</si>
  <si>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</si>
  <si>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</si>
  <si>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</si>
  <si>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>08,01,25 списание 24 шт.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</si>
  <si>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</si>
  <si>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</si>
  <si>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</si>
  <si>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</si>
  <si>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>11,02,25 списание 53шт. (недостача)</t>
  </si>
  <si>
    <t xml:space="preserve"> 425 Сосиски Датские ТМ Зареченские,  0,3 кг.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</si>
  <si>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</si>
  <si>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</si>
  <si>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</si>
  <si>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</si>
  <si>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20,03,25 списание 43шт. (брак)</t>
  </si>
  <si>
    <t xml:space="preserve"> 436  Колбаса Молочная стародворская с молоком, ВЕС, ТМ Стародворье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</si>
  <si>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</si>
  <si>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</si>
  <si>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</si>
  <si>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</si>
  <si>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</si>
  <si>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</si>
  <si>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</si>
  <si>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</si>
  <si>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</si>
  <si>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</si>
  <si>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</si>
  <si>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</si>
  <si>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</si>
  <si>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</si>
  <si>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</si>
  <si>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</si>
  <si>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</si>
  <si>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Деликатесы в/к «Грудинка копчено-вареная» Фикс.вес 0,12 нарезка ТМ «Стародворье»</t>
  </si>
  <si>
    <t>новинки / завод не отгрузил</t>
  </si>
  <si>
    <t>Деликатесы с/к «Бекон сырокопченый» Фикс.вес 0,12 нарезка ТМ «Стародворье»</t>
  </si>
  <si>
    <t>Сырокопченые колбасы «Мраморная» Фикс.вес 0,07 нарезка ТМ «Стародворье»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</si>
  <si>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новинки</t>
    </r>
  </si>
  <si>
    <t>необходимо увеличить продажи / 22,04,25 филиал обнулил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</si>
</sst>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 applyFill="1"/>
    <xf numFmtId="164" fontId="4" fillId="7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6" sqref="R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7109375" customWidth="1"/>
    <col min="14" max="17" width="7" customWidth="1"/>
    <col min="18" max="18" width="21" customWidth="1"/>
    <col min="19" max="20" width="5" customWidth="1"/>
    <col min="21" max="30" width="6" customWidth="1"/>
    <col min="31" max="31" width="47.8554687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3417.5299999999993</v>
      </c>
      <c r="F5" s="4">
        <f>SUM(F6:F498)</f>
        <v>1622.2960000000003</v>
      </c>
      <c r="G5" s="7"/>
      <c r="H5" s="1"/>
      <c r="I5" s="1"/>
      <c r="J5" s="4">
        <f t="shared" ref="J5:Q5" si="0">SUM(J6:J498)</f>
        <v>3653.7869999999998</v>
      </c>
      <c r="K5" s="4">
        <f t="shared" si="0"/>
        <v>-236.25699999999992</v>
      </c>
      <c r="L5" s="4">
        <f t="shared" si="0"/>
        <v>0</v>
      </c>
      <c r="M5" s="4">
        <f t="shared" si="0"/>
        <v>0</v>
      </c>
      <c r="N5" s="4">
        <f t="shared" si="0"/>
        <v>3056.6822000000002</v>
      </c>
      <c r="O5" s="4">
        <f t="shared" si="0"/>
        <v>683.5060000000002</v>
      </c>
      <c r="P5" s="4">
        <f t="shared" si="0"/>
        <v>3816.8312000000001</v>
      </c>
      <c r="Q5" s="4">
        <f t="shared" si="0"/>
        <v>0</v>
      </c>
      <c r="R5" s="1"/>
      <c r="S5" s="1"/>
      <c r="T5" s="1"/>
      <c r="U5" s="4">
        <f t="shared" ref="U5:AD5" si="1">SUM(U6:U498)</f>
        <v>639.89100000000008</v>
      </c>
      <c r="V5" s="4">
        <f t="shared" si="1"/>
        <v>659.04860000000008</v>
      </c>
      <c r="W5" s="4">
        <f t="shared" si="1"/>
        <v>673.02480000000003</v>
      </c>
      <c r="X5" s="4">
        <f t="shared" si="1"/>
        <v>678.7124</v>
      </c>
      <c r="Y5" s="4">
        <f t="shared" si="1"/>
        <v>636.24639999999988</v>
      </c>
      <c r="Z5" s="4">
        <f t="shared" si="1"/>
        <v>620.6198000000004</v>
      </c>
      <c r="AA5" s="4">
        <f t="shared" si="1"/>
        <v>605.27700000000004</v>
      </c>
      <c r="AB5" s="4">
        <f t="shared" si="1"/>
        <v>663.66739999999993</v>
      </c>
      <c r="AC5" s="4">
        <f t="shared" si="1"/>
        <v>689.05679999999995</v>
      </c>
      <c r="AD5" s="4">
        <f t="shared" si="1"/>
        <v>475.52019999999993</v>
      </c>
      <c r="AE5" s="1"/>
      <c r="AF5" s="4">
        <f>SUM(AF6:AF498)</f>
        <v>2076.8491999999992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-0.02</v>
      </c>
      <c r="D6" s="1">
        <v>46.356999999999999</v>
      </c>
      <c r="E6" s="1">
        <v>42.237000000000002</v>
      </c>
      <c r="F6" s="1">
        <v>4.0999999999999996</v>
      </c>
      <c r="G6" s="7">
        <v>1</v>
      </c>
      <c r="H6" s="1">
        <v>50</v>
      </c>
      <c r="I6" s="1" t="s">
        <v>37</v>
      </c>
      <c r="J6" s="1">
        <v>40.799999999999997</v>
      </c>
      <c r="K6" s="1">
        <f t="shared" ref="K6:K37" si="2">E6-J6</f>
        <v>1.4370000000000047</v>
      </c>
      <c r="L6" s="1"/>
      <c r="M6" s="1"/>
      <c r="N6" s="1">
        <v>0</v>
      </c>
      <c r="O6" s="1">
        <f>E6/5</f>
        <v>8.4474</v>
      </c>
      <c r="P6" s="5">
        <f>6*O6-N6-F6</f>
        <v>46.584399999999995</v>
      </c>
      <c r="Q6" s="5"/>
      <c r="R6" s="1"/>
      <c r="S6" s="1">
        <f>(F6+N6+P6)/O6</f>
        <v>6</v>
      </c>
      <c r="T6" s="1">
        <f>(F6+N6)/O6</f>
        <v>0.48535644103511133</v>
      </c>
      <c r="U6" s="1">
        <v>2.6751999999999998</v>
      </c>
      <c r="V6" s="1">
        <v>4.2896000000000001</v>
      </c>
      <c r="W6" s="1">
        <v>2.9956</v>
      </c>
      <c r="X6" s="1">
        <v>3.4784000000000002</v>
      </c>
      <c r="Y6" s="1">
        <v>2.6669999999999998</v>
      </c>
      <c r="Z6" s="1">
        <v>3.4977999999999998</v>
      </c>
      <c r="AA6" s="1">
        <v>1.5964</v>
      </c>
      <c r="AB6" s="1">
        <v>3.972399999999999</v>
      </c>
      <c r="AC6" s="1">
        <v>6.0983999999999998</v>
      </c>
      <c r="AD6" s="1">
        <v>3.2120000000000002</v>
      </c>
      <c r="AE6" s="1" t="s">
        <v>38</v>
      </c>
      <c r="AF6" s="1">
        <f>G6*P6</f>
        <v>46.584399999999995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36</v>
      </c>
      <c r="C7" s="1">
        <v>31.152000000000001</v>
      </c>
      <c r="D7" s="1">
        <v>60.322000000000003</v>
      </c>
      <c r="E7" s="1">
        <v>39.277999999999999</v>
      </c>
      <c r="F7" s="1">
        <v>44.07</v>
      </c>
      <c r="G7" s="7">
        <v>1</v>
      </c>
      <c r="H7" s="1">
        <v>45</v>
      </c>
      <c r="I7" s="1" t="s">
        <v>37</v>
      </c>
      <c r="J7" s="1">
        <v>36.299999999999997</v>
      </c>
      <c r="K7" s="1">
        <f t="shared" si="2"/>
        <v>2.9780000000000015</v>
      </c>
      <c r="L7" s="1"/>
      <c r="M7" s="1"/>
      <c r="N7" s="1">
        <v>0</v>
      </c>
      <c r="O7" s="1">
        <f t="shared" ref="O7:O70" si="3">E7/5</f>
        <v>7.8555999999999999</v>
      </c>
      <c r="P7" s="5">
        <f t="shared" ref="P7:P8" si="4">13*O7-N7-F7</f>
        <v>58.052799999999998</v>
      </c>
      <c r="Q7" s="5"/>
      <c r="R7" s="1"/>
      <c r="S7" s="1">
        <f t="shared" ref="S7:S70" si="5">(F7+N7+P7)/O7</f>
        <v>13</v>
      </c>
      <c r="T7" s="1">
        <f t="shared" ref="T7:T70" si="6">(F7+N7)/O7</f>
        <v>5.6100106930088094</v>
      </c>
      <c r="U7" s="1">
        <v>8.1135999999999999</v>
      </c>
      <c r="V7" s="1">
        <v>9.2059999999999995</v>
      </c>
      <c r="W7" s="1">
        <v>0.75679999999999992</v>
      </c>
      <c r="X7" s="1">
        <v>16.958400000000001</v>
      </c>
      <c r="Y7" s="1">
        <v>5.0888</v>
      </c>
      <c r="Z7" s="1">
        <v>8.4304000000000006</v>
      </c>
      <c r="AA7" s="1">
        <v>4.2012</v>
      </c>
      <c r="AB7" s="1">
        <v>8.6690000000000005</v>
      </c>
      <c r="AC7" s="1">
        <v>10.283200000000001</v>
      </c>
      <c r="AD7" s="1">
        <v>8.7986000000000004</v>
      </c>
      <c r="AE7" s="1" t="s">
        <v>40</v>
      </c>
      <c r="AF7" s="1">
        <f>G7*P7</f>
        <v>58.052799999999998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42</v>
      </c>
      <c r="C8" s="1">
        <v>72</v>
      </c>
      <c r="D8" s="1">
        <v>174</v>
      </c>
      <c r="E8" s="1">
        <v>158</v>
      </c>
      <c r="F8" s="1">
        <v>54</v>
      </c>
      <c r="G8" s="7">
        <v>0.4</v>
      </c>
      <c r="H8" s="1">
        <v>50</v>
      </c>
      <c r="I8" s="1" t="s">
        <v>37</v>
      </c>
      <c r="J8" s="1">
        <v>192</v>
      </c>
      <c r="K8" s="1">
        <f t="shared" si="2"/>
        <v>-34</v>
      </c>
      <c r="L8" s="1"/>
      <c r="M8" s="1"/>
      <c r="N8" s="1">
        <v>176.2</v>
      </c>
      <c r="O8" s="1">
        <f t="shared" si="3"/>
        <v>31.6</v>
      </c>
      <c r="P8" s="5">
        <f t="shared" si="4"/>
        <v>180.60000000000002</v>
      </c>
      <c r="Q8" s="5"/>
      <c r="R8" s="1"/>
      <c r="S8" s="1">
        <f t="shared" si="5"/>
        <v>13</v>
      </c>
      <c r="T8" s="1">
        <f t="shared" si="6"/>
        <v>7.2848101265822782</v>
      </c>
      <c r="U8" s="1">
        <v>32.4</v>
      </c>
      <c r="V8" s="1">
        <v>32.200000000000003</v>
      </c>
      <c r="W8" s="1">
        <v>32</v>
      </c>
      <c r="X8" s="1">
        <v>35</v>
      </c>
      <c r="Y8" s="1">
        <v>37.4</v>
      </c>
      <c r="Z8" s="1">
        <v>30.6</v>
      </c>
      <c r="AA8" s="1">
        <v>25.2</v>
      </c>
      <c r="AB8" s="1">
        <v>39.200000000000003</v>
      </c>
      <c r="AC8" s="1">
        <v>38.4</v>
      </c>
      <c r="AD8" s="1">
        <v>32.6</v>
      </c>
      <c r="AE8" s="1"/>
      <c r="AF8" s="1">
        <f>G8*P8</f>
        <v>72.240000000000009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0" t="s">
        <v>43</v>
      </c>
      <c r="B9" s="10" t="s">
        <v>42</v>
      </c>
      <c r="C9" s="10"/>
      <c r="D9" s="10"/>
      <c r="E9" s="10"/>
      <c r="F9" s="10"/>
      <c r="G9" s="11">
        <v>0</v>
      </c>
      <c r="H9" s="10">
        <v>31</v>
      </c>
      <c r="I9" s="10" t="s">
        <v>37</v>
      </c>
      <c r="J9" s="10"/>
      <c r="K9" s="10">
        <f t="shared" si="2"/>
        <v>0</v>
      </c>
      <c r="L9" s="10"/>
      <c r="M9" s="10"/>
      <c r="N9" s="10">
        <v>0</v>
      </c>
      <c r="O9" s="10">
        <f t="shared" si="3"/>
        <v>0</v>
      </c>
      <c r="P9" s="12"/>
      <c r="Q9" s="12"/>
      <c r="R9" s="10"/>
      <c r="S9" s="10" t="e">
        <f t="shared" si="5"/>
        <v>#DIV/0!</v>
      </c>
      <c r="T9" s="10" t="e">
        <f t="shared" si="6"/>
        <v>#DIV/0!</v>
      </c>
      <c r="U9" s="10">
        <v>0</v>
      </c>
      <c r="V9" s="10">
        <v>0</v>
      </c>
      <c r="W9" s="10">
        <v>0</v>
      </c>
      <c r="X9" s="10">
        <v>-0.2</v>
      </c>
      <c r="Y9" s="10">
        <v>0</v>
      </c>
      <c r="Z9" s="10">
        <v>-0.4</v>
      </c>
      <c r="AA9" s="10">
        <v>-0.4</v>
      </c>
      <c r="AB9" s="10">
        <v>0.6</v>
      </c>
      <c r="AC9" s="10">
        <v>0</v>
      </c>
      <c r="AD9" s="10">
        <v>-0.2</v>
      </c>
      <c r="AE9" s="10" t="s">
        <v>44</v>
      </c>
      <c r="AF9" s="10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42</v>
      </c>
      <c r="C10" s="1">
        <v>117</v>
      </c>
      <c r="D10" s="1">
        <v>3</v>
      </c>
      <c r="E10" s="1">
        <v>111</v>
      </c>
      <c r="F10" s="1">
        <v>4</v>
      </c>
      <c r="G10" s="7">
        <v>0.45</v>
      </c>
      <c r="H10" s="1">
        <v>45</v>
      </c>
      <c r="I10" s="1" t="s">
        <v>37</v>
      </c>
      <c r="J10" s="1">
        <v>124</v>
      </c>
      <c r="K10" s="1">
        <f t="shared" si="2"/>
        <v>-13</v>
      </c>
      <c r="L10" s="1"/>
      <c r="M10" s="1"/>
      <c r="N10" s="1">
        <v>142</v>
      </c>
      <c r="O10" s="1">
        <f t="shared" si="3"/>
        <v>22.2</v>
      </c>
      <c r="P10" s="5">
        <f>13*O10-N10-F10</f>
        <v>142.59999999999997</v>
      </c>
      <c r="Q10" s="5"/>
      <c r="R10" s="1"/>
      <c r="S10" s="1">
        <f t="shared" si="5"/>
        <v>12.999999999999998</v>
      </c>
      <c r="T10" s="1">
        <f t="shared" si="6"/>
        <v>6.5765765765765769</v>
      </c>
      <c r="U10" s="1">
        <v>20</v>
      </c>
      <c r="V10" s="1">
        <v>16.8</v>
      </c>
      <c r="W10" s="1">
        <v>19.8</v>
      </c>
      <c r="X10" s="1">
        <v>26.8</v>
      </c>
      <c r="Y10" s="1">
        <v>21.2</v>
      </c>
      <c r="Z10" s="1">
        <v>23.8</v>
      </c>
      <c r="AA10" s="1">
        <v>20</v>
      </c>
      <c r="AB10" s="1">
        <v>22.8</v>
      </c>
      <c r="AC10" s="1">
        <v>21.6</v>
      </c>
      <c r="AD10" s="1">
        <v>18</v>
      </c>
      <c r="AE10" s="1"/>
      <c r="AF10" s="1">
        <f>G10*P10</f>
        <v>64.169999999999987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0" t="s">
        <v>46</v>
      </c>
      <c r="B11" s="10" t="s">
        <v>42</v>
      </c>
      <c r="C11" s="10"/>
      <c r="D11" s="10"/>
      <c r="E11" s="10"/>
      <c r="F11" s="10"/>
      <c r="G11" s="11">
        <v>0</v>
      </c>
      <c r="H11" s="10" t="e">
        <v>#N/A</v>
      </c>
      <c r="I11" s="10" t="s">
        <v>37</v>
      </c>
      <c r="J11" s="10"/>
      <c r="K11" s="10">
        <f t="shared" si="2"/>
        <v>0</v>
      </c>
      <c r="L11" s="10"/>
      <c r="M11" s="10"/>
      <c r="N11" s="10">
        <v>0</v>
      </c>
      <c r="O11" s="10">
        <f t="shared" si="3"/>
        <v>0</v>
      </c>
      <c r="P11" s="12"/>
      <c r="Q11" s="12"/>
      <c r="R11" s="10"/>
      <c r="S11" s="10" t="e">
        <f t="shared" si="5"/>
        <v>#DIV/0!</v>
      </c>
      <c r="T11" s="10" t="e">
        <f t="shared" si="6"/>
        <v>#DIV/0!</v>
      </c>
      <c r="U11" s="10">
        <v>-0.2</v>
      </c>
      <c r="V11" s="10">
        <v>0</v>
      </c>
      <c r="W11" s="10">
        <v>-0.4</v>
      </c>
      <c r="X11" s="10">
        <v>-0.4</v>
      </c>
      <c r="Y11" s="10">
        <v>-0.8</v>
      </c>
      <c r="Z11" s="10">
        <v>-0.4</v>
      </c>
      <c r="AA11" s="10">
        <v>0.6</v>
      </c>
      <c r="AB11" s="10">
        <v>2.2000000000000002</v>
      </c>
      <c r="AC11" s="10">
        <v>3.4</v>
      </c>
      <c r="AD11" s="10">
        <v>2.6</v>
      </c>
      <c r="AE11" s="10" t="s">
        <v>47</v>
      </c>
      <c r="AF11" s="10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42</v>
      </c>
      <c r="C12" s="1">
        <v>24</v>
      </c>
      <c r="D12" s="1">
        <v>81</v>
      </c>
      <c r="E12" s="1">
        <v>91</v>
      </c>
      <c r="F12" s="1">
        <v>1</v>
      </c>
      <c r="G12" s="7">
        <v>0.45</v>
      </c>
      <c r="H12" s="1">
        <v>45</v>
      </c>
      <c r="I12" s="1" t="s">
        <v>37</v>
      </c>
      <c r="J12" s="1">
        <v>113</v>
      </c>
      <c r="K12" s="1">
        <f t="shared" si="2"/>
        <v>-22</v>
      </c>
      <c r="L12" s="1"/>
      <c r="M12" s="1"/>
      <c r="N12" s="1">
        <v>190.8</v>
      </c>
      <c r="O12" s="1">
        <f t="shared" si="3"/>
        <v>18.2</v>
      </c>
      <c r="P12" s="5">
        <f t="shared" ref="P12" si="7">13*O12-N12-F12</f>
        <v>44.799999999999983</v>
      </c>
      <c r="Q12" s="5"/>
      <c r="R12" s="1"/>
      <c r="S12" s="1">
        <f t="shared" si="5"/>
        <v>13</v>
      </c>
      <c r="T12" s="1">
        <f t="shared" si="6"/>
        <v>10.53846153846154</v>
      </c>
      <c r="U12" s="1">
        <v>22.6</v>
      </c>
      <c r="V12" s="1">
        <v>17</v>
      </c>
      <c r="W12" s="1">
        <v>25.2</v>
      </c>
      <c r="X12" s="1">
        <v>21.6</v>
      </c>
      <c r="Y12" s="1">
        <v>21.6</v>
      </c>
      <c r="Z12" s="1">
        <v>20.2</v>
      </c>
      <c r="AA12" s="1">
        <v>18.399999999999999</v>
      </c>
      <c r="AB12" s="1">
        <v>16.8</v>
      </c>
      <c r="AC12" s="1">
        <v>19.8</v>
      </c>
      <c r="AD12" s="1">
        <v>20</v>
      </c>
      <c r="AE12" s="1"/>
      <c r="AF12" s="1">
        <f>G12*P12</f>
        <v>20.159999999999993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3" t="s">
        <v>49</v>
      </c>
      <c r="B13" s="1" t="s">
        <v>42</v>
      </c>
      <c r="C13" s="1"/>
      <c r="D13" s="1"/>
      <c r="E13" s="1">
        <v>-1</v>
      </c>
      <c r="F13" s="1"/>
      <c r="G13" s="7">
        <v>0.5</v>
      </c>
      <c r="H13" s="1">
        <v>40</v>
      </c>
      <c r="I13" s="1" t="s">
        <v>37</v>
      </c>
      <c r="J13" s="1"/>
      <c r="K13" s="1">
        <f t="shared" si="2"/>
        <v>-1</v>
      </c>
      <c r="L13" s="1"/>
      <c r="M13" s="1"/>
      <c r="N13" s="13"/>
      <c r="O13" s="1">
        <f t="shared" si="3"/>
        <v>-0.2</v>
      </c>
      <c r="P13" s="14">
        <v>10</v>
      </c>
      <c r="Q13" s="5"/>
      <c r="R13" s="1"/>
      <c r="S13" s="1">
        <f t="shared" si="5"/>
        <v>-50</v>
      </c>
      <c r="T13" s="1">
        <f t="shared" si="6"/>
        <v>0</v>
      </c>
      <c r="U13" s="1">
        <v>2.8</v>
      </c>
      <c r="V13" s="1">
        <v>4.5999999999999996</v>
      </c>
      <c r="W13" s="1">
        <v>0.8</v>
      </c>
      <c r="X13" s="1">
        <v>6.2</v>
      </c>
      <c r="Y13" s="1">
        <v>0.2</v>
      </c>
      <c r="Z13" s="1">
        <v>4.2</v>
      </c>
      <c r="AA13" s="1">
        <v>2.6</v>
      </c>
      <c r="AB13" s="1">
        <v>3.8</v>
      </c>
      <c r="AC13" s="1">
        <v>1.8</v>
      </c>
      <c r="AD13" s="1">
        <v>3.8</v>
      </c>
      <c r="AE13" s="13" t="s">
        <v>50</v>
      </c>
      <c r="AF13" s="1">
        <f>G13*P13</f>
        <v>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42</v>
      </c>
      <c r="C14" s="1">
        <v>3</v>
      </c>
      <c r="D14" s="1"/>
      <c r="E14" s="1">
        <v>2</v>
      </c>
      <c r="F14" s="1">
        <v>1</v>
      </c>
      <c r="G14" s="7">
        <v>0.4</v>
      </c>
      <c r="H14" s="1">
        <v>50</v>
      </c>
      <c r="I14" s="1" t="s">
        <v>37</v>
      </c>
      <c r="J14" s="1">
        <v>2</v>
      </c>
      <c r="K14" s="1">
        <f t="shared" si="2"/>
        <v>0</v>
      </c>
      <c r="L14" s="1"/>
      <c r="M14" s="1"/>
      <c r="N14" s="1">
        <v>4.8</v>
      </c>
      <c r="O14" s="1">
        <f t="shared" si="3"/>
        <v>0.4</v>
      </c>
      <c r="P14" s="5"/>
      <c r="Q14" s="5"/>
      <c r="R14" s="1"/>
      <c r="S14" s="1">
        <f t="shared" si="5"/>
        <v>14.499999999999998</v>
      </c>
      <c r="T14" s="1">
        <f t="shared" si="6"/>
        <v>14.499999999999998</v>
      </c>
      <c r="U14" s="1">
        <v>0.6</v>
      </c>
      <c r="V14" s="1">
        <v>0.4</v>
      </c>
      <c r="W14" s="1">
        <v>-0.8</v>
      </c>
      <c r="X14" s="1">
        <v>-1</v>
      </c>
      <c r="Y14" s="1">
        <v>-0.4</v>
      </c>
      <c r="Z14" s="1">
        <v>0.8</v>
      </c>
      <c r="AA14" s="1">
        <v>1</v>
      </c>
      <c r="AB14" s="1">
        <v>0.4</v>
      </c>
      <c r="AC14" s="1">
        <v>1.2</v>
      </c>
      <c r="AD14" s="1">
        <v>0.4</v>
      </c>
      <c r="AE14" s="1"/>
      <c r="AF14" s="1">
        <f>G14*P14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42</v>
      </c>
      <c r="C15" s="1">
        <v>58</v>
      </c>
      <c r="D15" s="1"/>
      <c r="E15" s="1">
        <v>13</v>
      </c>
      <c r="F15" s="1">
        <v>45</v>
      </c>
      <c r="G15" s="7">
        <v>0.17</v>
      </c>
      <c r="H15" s="1">
        <v>180</v>
      </c>
      <c r="I15" s="1" t="s">
        <v>37</v>
      </c>
      <c r="J15" s="1">
        <v>13</v>
      </c>
      <c r="K15" s="1">
        <f t="shared" si="2"/>
        <v>0</v>
      </c>
      <c r="L15" s="1"/>
      <c r="M15" s="1"/>
      <c r="N15" s="1">
        <v>0</v>
      </c>
      <c r="O15" s="1">
        <f t="shared" si="3"/>
        <v>2.6</v>
      </c>
      <c r="P15" s="5"/>
      <c r="Q15" s="5"/>
      <c r="R15" s="1"/>
      <c r="S15" s="1">
        <f t="shared" si="5"/>
        <v>17.307692307692307</v>
      </c>
      <c r="T15" s="1">
        <f t="shared" si="6"/>
        <v>17.307692307692307</v>
      </c>
      <c r="U15" s="1">
        <v>3.6</v>
      </c>
      <c r="V15" s="1">
        <v>2.6</v>
      </c>
      <c r="W15" s="1">
        <v>0.8</v>
      </c>
      <c r="X15" s="1">
        <v>4</v>
      </c>
      <c r="Y15" s="1">
        <v>1.8</v>
      </c>
      <c r="Z15" s="1">
        <v>1.2</v>
      </c>
      <c r="AA15" s="1">
        <v>2.4</v>
      </c>
      <c r="AB15" s="1">
        <v>1.6</v>
      </c>
      <c r="AC15" s="1">
        <v>1.4</v>
      </c>
      <c r="AD15" s="1">
        <v>1.2</v>
      </c>
      <c r="AE15" s="17" t="s">
        <v>53</v>
      </c>
      <c r="AF15" s="1">
        <f>G15*P15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0" t="s">
        <v>54</v>
      </c>
      <c r="B16" s="10" t="s">
        <v>42</v>
      </c>
      <c r="C16" s="10"/>
      <c r="D16" s="10"/>
      <c r="E16" s="10"/>
      <c r="F16" s="10"/>
      <c r="G16" s="11">
        <v>0</v>
      </c>
      <c r="H16" s="10">
        <v>50</v>
      </c>
      <c r="I16" s="10" t="s">
        <v>37</v>
      </c>
      <c r="J16" s="10"/>
      <c r="K16" s="10">
        <f t="shared" si="2"/>
        <v>0</v>
      </c>
      <c r="L16" s="10"/>
      <c r="M16" s="10"/>
      <c r="N16" s="10">
        <v>0</v>
      </c>
      <c r="O16" s="10">
        <f t="shared" si="3"/>
        <v>0</v>
      </c>
      <c r="P16" s="12"/>
      <c r="Q16" s="12"/>
      <c r="R16" s="10"/>
      <c r="S16" s="10" t="e">
        <f t="shared" si="5"/>
        <v>#DIV/0!</v>
      </c>
      <c r="T16" s="10" t="e">
        <f t="shared" si="6"/>
        <v>#DIV/0!</v>
      </c>
      <c r="U16" s="10">
        <v>0</v>
      </c>
      <c r="V16" s="10">
        <v>0</v>
      </c>
      <c r="W16" s="10">
        <v>-0.2</v>
      </c>
      <c r="X16" s="10">
        <v>0</v>
      </c>
      <c r="Y16" s="10">
        <v>0</v>
      </c>
      <c r="Z16" s="10">
        <v>0</v>
      </c>
      <c r="AA16" s="10">
        <v>0.2</v>
      </c>
      <c r="AB16" s="10">
        <v>0.4</v>
      </c>
      <c r="AC16" s="10">
        <v>0</v>
      </c>
      <c r="AD16" s="10">
        <v>0</v>
      </c>
      <c r="AE16" s="10" t="s">
        <v>55</v>
      </c>
      <c r="AF16" s="10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56</v>
      </c>
      <c r="B17" s="1" t="s">
        <v>42</v>
      </c>
      <c r="C17" s="1">
        <v>1</v>
      </c>
      <c r="D17" s="1">
        <v>46</v>
      </c>
      <c r="E17" s="1">
        <v>22</v>
      </c>
      <c r="F17" s="1">
        <v>17</v>
      </c>
      <c r="G17" s="7">
        <v>0.3</v>
      </c>
      <c r="H17" s="1">
        <v>40</v>
      </c>
      <c r="I17" s="1" t="s">
        <v>37</v>
      </c>
      <c r="J17" s="1">
        <v>26</v>
      </c>
      <c r="K17" s="1">
        <f t="shared" si="2"/>
        <v>-4</v>
      </c>
      <c r="L17" s="1"/>
      <c r="M17" s="1"/>
      <c r="N17" s="1">
        <v>0</v>
      </c>
      <c r="O17" s="1">
        <f t="shared" si="3"/>
        <v>4.4000000000000004</v>
      </c>
      <c r="P17" s="5">
        <f>12*O17-N17-F17</f>
        <v>35.800000000000004</v>
      </c>
      <c r="Q17" s="5"/>
      <c r="R17" s="1"/>
      <c r="S17" s="1">
        <f t="shared" si="5"/>
        <v>12</v>
      </c>
      <c r="T17" s="1">
        <f t="shared" si="6"/>
        <v>3.8636363636363633</v>
      </c>
      <c r="U17" s="1">
        <v>1.2</v>
      </c>
      <c r="V17" s="1">
        <v>4.8</v>
      </c>
      <c r="W17" s="1">
        <v>3.2</v>
      </c>
      <c r="X17" s="1">
        <v>2.6</v>
      </c>
      <c r="Y17" s="1">
        <v>3</v>
      </c>
      <c r="Z17" s="1">
        <v>1.4</v>
      </c>
      <c r="AA17" s="1">
        <v>4.2</v>
      </c>
      <c r="AB17" s="1">
        <v>3</v>
      </c>
      <c r="AC17" s="1">
        <v>2.2000000000000002</v>
      </c>
      <c r="AD17" s="1">
        <v>2.2000000000000002</v>
      </c>
      <c r="AE17" s="1"/>
      <c r="AF17" s="1">
        <f>G17*P17</f>
        <v>10.74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57</v>
      </c>
      <c r="B18" s="1" t="s">
        <v>42</v>
      </c>
      <c r="C18" s="1">
        <v>2</v>
      </c>
      <c r="D18" s="1"/>
      <c r="E18" s="1"/>
      <c r="F18" s="1">
        <v>1</v>
      </c>
      <c r="G18" s="7">
        <v>0.4</v>
      </c>
      <c r="H18" s="1" t="e">
        <v>#N/A</v>
      </c>
      <c r="I18" s="1" t="s">
        <v>37</v>
      </c>
      <c r="J18" s="1">
        <v>1</v>
      </c>
      <c r="K18" s="1">
        <f t="shared" si="2"/>
        <v>-1</v>
      </c>
      <c r="L18" s="1"/>
      <c r="M18" s="1"/>
      <c r="N18" s="1">
        <v>6.8000000000000007</v>
      </c>
      <c r="O18" s="1">
        <f t="shared" si="3"/>
        <v>0</v>
      </c>
      <c r="P18" s="5"/>
      <c r="Q18" s="5"/>
      <c r="R18" s="1"/>
      <c r="S18" s="1" t="e">
        <f t="shared" si="5"/>
        <v>#DIV/0!</v>
      </c>
      <c r="T18" s="1" t="e">
        <f t="shared" si="6"/>
        <v>#DIV/0!</v>
      </c>
      <c r="U18" s="1">
        <v>0.8</v>
      </c>
      <c r="V18" s="1">
        <v>0.8</v>
      </c>
      <c r="W18" s="1">
        <v>0</v>
      </c>
      <c r="X18" s="1">
        <v>1</v>
      </c>
      <c r="Y18" s="1">
        <v>0.2</v>
      </c>
      <c r="Z18" s="1">
        <v>0.4</v>
      </c>
      <c r="AA18" s="1">
        <v>1.6</v>
      </c>
      <c r="AB18" s="1">
        <v>1</v>
      </c>
      <c r="AC18" s="1">
        <v>0.6</v>
      </c>
      <c r="AD18" s="1">
        <v>0.4</v>
      </c>
      <c r="AE18" s="1"/>
      <c r="AF18" s="1">
        <f>G18*P18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58</v>
      </c>
      <c r="B19" s="1" t="s">
        <v>42</v>
      </c>
      <c r="C19" s="1">
        <v>76</v>
      </c>
      <c r="D19" s="1">
        <v>1</v>
      </c>
      <c r="E19" s="1">
        <v>-12</v>
      </c>
      <c r="F19" s="1">
        <v>76</v>
      </c>
      <c r="G19" s="7">
        <v>0.35</v>
      </c>
      <c r="H19" s="1">
        <v>40</v>
      </c>
      <c r="I19" s="1" t="s">
        <v>37</v>
      </c>
      <c r="J19" s="1">
        <v>37</v>
      </c>
      <c r="K19" s="1">
        <f t="shared" si="2"/>
        <v>-49</v>
      </c>
      <c r="L19" s="1"/>
      <c r="M19" s="1"/>
      <c r="N19" s="1">
        <v>0</v>
      </c>
      <c r="O19" s="1">
        <f t="shared" si="3"/>
        <v>-2.4</v>
      </c>
      <c r="P19" s="5"/>
      <c r="Q19" s="5"/>
      <c r="R19" s="1"/>
      <c r="S19" s="1">
        <f t="shared" si="5"/>
        <v>-31.666666666666668</v>
      </c>
      <c r="T19" s="1">
        <f t="shared" si="6"/>
        <v>-31.666666666666668</v>
      </c>
      <c r="U19" s="1">
        <v>-2.8</v>
      </c>
      <c r="V19" s="1">
        <v>-1.8</v>
      </c>
      <c r="W19" s="1">
        <v>2</v>
      </c>
      <c r="X19" s="1">
        <v>2.2000000000000002</v>
      </c>
      <c r="Y19" s="1">
        <v>7</v>
      </c>
      <c r="Z19" s="1">
        <v>11.8</v>
      </c>
      <c r="AA19" s="1">
        <v>1.4</v>
      </c>
      <c r="AB19" s="1">
        <v>11.4</v>
      </c>
      <c r="AC19" s="1">
        <v>28.6</v>
      </c>
      <c r="AD19" s="1">
        <v>10.4</v>
      </c>
      <c r="AE19" s="17" t="s">
        <v>53</v>
      </c>
      <c r="AF19" s="1">
        <f>G19*P19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59</v>
      </c>
      <c r="B20" s="1" t="s">
        <v>42</v>
      </c>
      <c r="C20" s="1">
        <v>34</v>
      </c>
      <c r="D20" s="1"/>
      <c r="E20" s="1">
        <v>17</v>
      </c>
      <c r="F20" s="1">
        <v>17</v>
      </c>
      <c r="G20" s="7">
        <v>0.17</v>
      </c>
      <c r="H20" s="1">
        <v>120</v>
      </c>
      <c r="I20" s="1" t="s">
        <v>37</v>
      </c>
      <c r="J20" s="1">
        <v>17</v>
      </c>
      <c r="K20" s="1">
        <f t="shared" si="2"/>
        <v>0</v>
      </c>
      <c r="L20" s="1"/>
      <c r="M20" s="1"/>
      <c r="N20" s="1">
        <v>33.600000000000009</v>
      </c>
      <c r="O20" s="1">
        <f t="shared" si="3"/>
        <v>3.4</v>
      </c>
      <c r="P20" s="5"/>
      <c r="Q20" s="5"/>
      <c r="R20" s="1"/>
      <c r="S20" s="1">
        <f t="shared" si="5"/>
        <v>14.882352941176473</v>
      </c>
      <c r="T20" s="1">
        <f t="shared" si="6"/>
        <v>14.882352941176473</v>
      </c>
      <c r="U20" s="1">
        <v>5.2</v>
      </c>
      <c r="V20" s="1">
        <v>3.8</v>
      </c>
      <c r="W20" s="1">
        <v>5.8</v>
      </c>
      <c r="X20" s="1">
        <v>6.4</v>
      </c>
      <c r="Y20" s="1">
        <v>4.4000000000000004</v>
      </c>
      <c r="Z20" s="1">
        <v>6.6</v>
      </c>
      <c r="AA20" s="1">
        <v>5</v>
      </c>
      <c r="AB20" s="1">
        <v>4.8</v>
      </c>
      <c r="AC20" s="1">
        <v>5.6</v>
      </c>
      <c r="AD20" s="1">
        <v>3.4</v>
      </c>
      <c r="AE20" s="1"/>
      <c r="AF20" s="1">
        <f>G20*P20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0" t="s">
        <v>60</v>
      </c>
      <c r="B21" s="10" t="s">
        <v>42</v>
      </c>
      <c r="C21" s="10"/>
      <c r="D21" s="10"/>
      <c r="E21" s="10"/>
      <c r="F21" s="10"/>
      <c r="G21" s="11">
        <v>0</v>
      </c>
      <c r="H21" s="10">
        <v>120</v>
      </c>
      <c r="I21" s="10" t="s">
        <v>37</v>
      </c>
      <c r="J21" s="10"/>
      <c r="K21" s="10">
        <f t="shared" si="2"/>
        <v>0</v>
      </c>
      <c r="L21" s="10"/>
      <c r="M21" s="10"/>
      <c r="N21" s="10">
        <v>0</v>
      </c>
      <c r="O21" s="10">
        <f t="shared" si="3"/>
        <v>0</v>
      </c>
      <c r="P21" s="12"/>
      <c r="Q21" s="12"/>
      <c r="R21" s="10"/>
      <c r="S21" s="10" t="e">
        <f t="shared" si="5"/>
        <v>#DIV/0!</v>
      </c>
      <c r="T21" s="10" t="e">
        <f t="shared" si="6"/>
        <v>#DIV/0!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 t="s">
        <v>61</v>
      </c>
      <c r="AF21" s="10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62</v>
      </c>
      <c r="B22" s="1" t="s">
        <v>42</v>
      </c>
      <c r="C22" s="1">
        <v>2</v>
      </c>
      <c r="D22" s="1"/>
      <c r="E22" s="1"/>
      <c r="F22" s="1"/>
      <c r="G22" s="7">
        <v>0.35</v>
      </c>
      <c r="H22" s="1">
        <v>45</v>
      </c>
      <c r="I22" s="1" t="s">
        <v>37</v>
      </c>
      <c r="J22" s="1">
        <v>2</v>
      </c>
      <c r="K22" s="1">
        <f t="shared" si="2"/>
        <v>-2</v>
      </c>
      <c r="L22" s="1"/>
      <c r="M22" s="1"/>
      <c r="N22" s="1">
        <v>4.5999999999999996</v>
      </c>
      <c r="O22" s="1">
        <f t="shared" si="3"/>
        <v>0</v>
      </c>
      <c r="P22" s="5"/>
      <c r="Q22" s="5"/>
      <c r="R22" s="1"/>
      <c r="S22" s="1" t="e">
        <f t="shared" si="5"/>
        <v>#DIV/0!</v>
      </c>
      <c r="T22" s="1" t="e">
        <f t="shared" si="6"/>
        <v>#DIV/0!</v>
      </c>
      <c r="U22" s="1">
        <v>0.6</v>
      </c>
      <c r="V22" s="1">
        <v>-0.4</v>
      </c>
      <c r="W22" s="1">
        <v>-0.2</v>
      </c>
      <c r="X22" s="1">
        <v>0.4</v>
      </c>
      <c r="Y22" s="1">
        <v>-0.6</v>
      </c>
      <c r="Z22" s="1">
        <v>0.2</v>
      </c>
      <c r="AA22" s="1">
        <v>0.4</v>
      </c>
      <c r="AB22" s="1">
        <v>0.6</v>
      </c>
      <c r="AC22" s="1">
        <v>1</v>
      </c>
      <c r="AD22" s="1">
        <v>1.6</v>
      </c>
      <c r="AE22" s="1"/>
      <c r="AF22" s="1">
        <f t="shared" ref="AF22:AF27" si="8">G22*P22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63</v>
      </c>
      <c r="B23" s="1" t="s">
        <v>42</v>
      </c>
      <c r="C23" s="1"/>
      <c r="D23" s="1">
        <v>6</v>
      </c>
      <c r="E23" s="1">
        <v>3</v>
      </c>
      <c r="F23" s="1"/>
      <c r="G23" s="7">
        <v>0.35</v>
      </c>
      <c r="H23" s="1">
        <v>45</v>
      </c>
      <c r="I23" s="1" t="s">
        <v>37</v>
      </c>
      <c r="J23" s="1">
        <v>6</v>
      </c>
      <c r="K23" s="1">
        <f t="shared" si="2"/>
        <v>-3</v>
      </c>
      <c r="L23" s="1"/>
      <c r="M23" s="1"/>
      <c r="N23" s="1">
        <v>0</v>
      </c>
      <c r="O23" s="1">
        <f t="shared" si="3"/>
        <v>0.6</v>
      </c>
      <c r="P23" s="5">
        <f t="shared" ref="P23:P25" si="9">13*O23-N23-F23</f>
        <v>7.8</v>
      </c>
      <c r="Q23" s="5"/>
      <c r="R23" s="1"/>
      <c r="S23" s="1">
        <f t="shared" si="5"/>
        <v>13</v>
      </c>
      <c r="T23" s="1">
        <f t="shared" si="6"/>
        <v>0</v>
      </c>
      <c r="U23" s="1">
        <v>0.2</v>
      </c>
      <c r="V23" s="1">
        <v>-0.8</v>
      </c>
      <c r="W23" s="1">
        <v>-0.6</v>
      </c>
      <c r="X23" s="1">
        <v>0.4</v>
      </c>
      <c r="Y23" s="1">
        <v>0</v>
      </c>
      <c r="Z23" s="1">
        <v>0.6</v>
      </c>
      <c r="AA23" s="1">
        <v>0.8</v>
      </c>
      <c r="AB23" s="1">
        <v>2.4</v>
      </c>
      <c r="AC23" s="1">
        <v>1.2</v>
      </c>
      <c r="AD23" s="1">
        <v>1.4</v>
      </c>
      <c r="AE23" s="1"/>
      <c r="AF23" s="1">
        <f t="shared" si="8"/>
        <v>2.73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64</v>
      </c>
      <c r="B24" s="1" t="s">
        <v>42</v>
      </c>
      <c r="C24" s="1">
        <v>9</v>
      </c>
      <c r="D24" s="1"/>
      <c r="E24" s="1">
        <v>1</v>
      </c>
      <c r="F24" s="1">
        <v>1</v>
      </c>
      <c r="G24" s="7">
        <v>0.35</v>
      </c>
      <c r="H24" s="1">
        <v>45</v>
      </c>
      <c r="I24" s="1" t="s">
        <v>37</v>
      </c>
      <c r="J24" s="1">
        <v>7</v>
      </c>
      <c r="K24" s="1">
        <f t="shared" si="2"/>
        <v>-6</v>
      </c>
      <c r="L24" s="1"/>
      <c r="M24" s="1"/>
      <c r="N24" s="1">
        <v>0</v>
      </c>
      <c r="O24" s="1">
        <f t="shared" si="3"/>
        <v>0.2</v>
      </c>
      <c r="P24" s="5">
        <v>6</v>
      </c>
      <c r="Q24" s="5"/>
      <c r="R24" s="1"/>
      <c r="S24" s="1">
        <f t="shared" si="5"/>
        <v>35</v>
      </c>
      <c r="T24" s="1">
        <f t="shared" si="6"/>
        <v>5</v>
      </c>
      <c r="U24" s="1">
        <v>0</v>
      </c>
      <c r="V24" s="1">
        <v>-0.6</v>
      </c>
      <c r="W24" s="1">
        <v>1.2</v>
      </c>
      <c r="X24" s="1">
        <v>0</v>
      </c>
      <c r="Y24" s="1">
        <v>0.4</v>
      </c>
      <c r="Z24" s="1">
        <v>1</v>
      </c>
      <c r="AA24" s="1">
        <v>1.2</v>
      </c>
      <c r="AB24" s="1">
        <v>2.4</v>
      </c>
      <c r="AC24" s="1">
        <v>2.4</v>
      </c>
      <c r="AD24" s="1">
        <v>2</v>
      </c>
      <c r="AE24" s="1"/>
      <c r="AF24" s="1">
        <f t="shared" si="8"/>
        <v>2.0999999999999996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65</v>
      </c>
      <c r="B25" s="1" t="s">
        <v>36</v>
      </c>
      <c r="C25" s="1">
        <v>268.17700000000002</v>
      </c>
      <c r="D25" s="1">
        <v>286.97000000000003</v>
      </c>
      <c r="E25" s="1">
        <v>203.02799999999999</v>
      </c>
      <c r="F25" s="1">
        <v>352.11900000000003</v>
      </c>
      <c r="G25" s="7">
        <v>1</v>
      </c>
      <c r="H25" s="1">
        <v>50</v>
      </c>
      <c r="I25" s="1" t="s">
        <v>37</v>
      </c>
      <c r="J25" s="1">
        <v>202.7</v>
      </c>
      <c r="K25" s="1">
        <f t="shared" si="2"/>
        <v>0.32800000000000296</v>
      </c>
      <c r="L25" s="1"/>
      <c r="M25" s="1"/>
      <c r="N25" s="1">
        <v>0</v>
      </c>
      <c r="O25" s="1">
        <f t="shared" si="3"/>
        <v>40.605599999999995</v>
      </c>
      <c r="P25" s="5">
        <f t="shared" si="9"/>
        <v>175.75379999999996</v>
      </c>
      <c r="Q25" s="5"/>
      <c r="R25" s="1"/>
      <c r="S25" s="1">
        <f t="shared" si="5"/>
        <v>13.000000000000002</v>
      </c>
      <c r="T25" s="1">
        <f t="shared" si="6"/>
        <v>8.6716856788226266</v>
      </c>
      <c r="U25" s="1">
        <v>43.030200000000001</v>
      </c>
      <c r="V25" s="1">
        <v>58.855800000000002</v>
      </c>
      <c r="W25" s="1">
        <v>69.599400000000003</v>
      </c>
      <c r="X25" s="1">
        <v>38.214799999999997</v>
      </c>
      <c r="Y25" s="1">
        <v>45.501600000000003</v>
      </c>
      <c r="Z25" s="1">
        <v>41.989800000000002</v>
      </c>
      <c r="AA25" s="1">
        <v>38.4328</v>
      </c>
      <c r="AB25" s="1">
        <v>40.034599999999998</v>
      </c>
      <c r="AC25" s="1">
        <v>66.671000000000006</v>
      </c>
      <c r="AD25" s="1">
        <v>10.6654</v>
      </c>
      <c r="AE25" s="1" t="s">
        <v>40</v>
      </c>
      <c r="AF25" s="1">
        <f t="shared" si="8"/>
        <v>175.75379999999996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66</v>
      </c>
      <c r="B26" s="1" t="s">
        <v>36</v>
      </c>
      <c r="C26" s="1">
        <v>10.816000000000001</v>
      </c>
      <c r="D26" s="1"/>
      <c r="E26" s="1">
        <v>1.9610000000000001</v>
      </c>
      <c r="F26" s="1">
        <v>8.8550000000000004</v>
      </c>
      <c r="G26" s="7">
        <v>1</v>
      </c>
      <c r="H26" s="1">
        <v>180</v>
      </c>
      <c r="I26" s="1" t="s">
        <v>37</v>
      </c>
      <c r="J26" s="1">
        <v>1.9</v>
      </c>
      <c r="K26" s="1">
        <f t="shared" si="2"/>
        <v>6.1000000000000165E-2</v>
      </c>
      <c r="L26" s="1"/>
      <c r="M26" s="1"/>
      <c r="N26" s="1">
        <v>0</v>
      </c>
      <c r="O26" s="1">
        <f t="shared" si="3"/>
        <v>0.39219999999999999</v>
      </c>
      <c r="P26" s="5"/>
      <c r="Q26" s="5"/>
      <c r="R26" s="1"/>
      <c r="S26" s="1">
        <f t="shared" si="5"/>
        <v>22.577766445690976</v>
      </c>
      <c r="T26" s="1">
        <f t="shared" si="6"/>
        <v>22.577766445690976</v>
      </c>
      <c r="U26" s="1">
        <v>0.61480000000000001</v>
      </c>
      <c r="V26" s="1">
        <v>0.21959999999999999</v>
      </c>
      <c r="W26" s="1">
        <v>0.52339999999999998</v>
      </c>
      <c r="X26" s="1">
        <v>0.14499999999999999</v>
      </c>
      <c r="Y26" s="1">
        <v>0.1484</v>
      </c>
      <c r="Z26" s="1">
        <v>0.1492</v>
      </c>
      <c r="AA26" s="1">
        <v>0</v>
      </c>
      <c r="AB26" s="1">
        <v>7.2999999999999995E-2</v>
      </c>
      <c r="AC26" s="1">
        <v>0.14979999999999999</v>
      </c>
      <c r="AD26" s="1">
        <v>7.3599999999999999E-2</v>
      </c>
      <c r="AE26" s="18" t="s">
        <v>143</v>
      </c>
      <c r="AF26" s="1">
        <f t="shared" si="8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67</v>
      </c>
      <c r="B27" s="1" t="s">
        <v>36</v>
      </c>
      <c r="C27" s="1"/>
      <c r="D27" s="1">
        <v>124.98</v>
      </c>
      <c r="E27" s="1"/>
      <c r="F27" s="1"/>
      <c r="G27" s="7">
        <v>1</v>
      </c>
      <c r="H27" s="1">
        <v>40</v>
      </c>
      <c r="I27" s="1" t="s">
        <v>37</v>
      </c>
      <c r="J27" s="1"/>
      <c r="K27" s="1">
        <f t="shared" si="2"/>
        <v>0</v>
      </c>
      <c r="L27" s="1"/>
      <c r="M27" s="1"/>
      <c r="N27" s="1">
        <v>220</v>
      </c>
      <c r="O27" s="1">
        <f t="shared" si="3"/>
        <v>0</v>
      </c>
      <c r="P27" s="5"/>
      <c r="Q27" s="5"/>
      <c r="R27" s="1"/>
      <c r="S27" s="1" t="e">
        <f t="shared" si="5"/>
        <v>#DIV/0!</v>
      </c>
      <c r="T27" s="1" t="e">
        <f t="shared" si="6"/>
        <v>#DIV/0!</v>
      </c>
      <c r="U27" s="1">
        <v>24.995999999999999</v>
      </c>
      <c r="V27" s="1">
        <v>28.338799999999999</v>
      </c>
      <c r="W27" s="1">
        <v>32.901799999999987</v>
      </c>
      <c r="X27" s="1">
        <v>0</v>
      </c>
      <c r="Y27" s="1">
        <v>23.2928</v>
      </c>
      <c r="Z27" s="1">
        <v>0</v>
      </c>
      <c r="AA27" s="1">
        <v>30.606000000000002</v>
      </c>
      <c r="AB27" s="1">
        <v>26.236799999999999</v>
      </c>
      <c r="AC27" s="1">
        <v>26.939399999999999</v>
      </c>
      <c r="AD27" s="1">
        <v>0</v>
      </c>
      <c r="AE27" s="1"/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0" t="s">
        <v>68</v>
      </c>
      <c r="B28" s="10" t="s">
        <v>36</v>
      </c>
      <c r="C28" s="10"/>
      <c r="D28" s="10"/>
      <c r="E28" s="10"/>
      <c r="F28" s="10"/>
      <c r="G28" s="11">
        <v>0</v>
      </c>
      <c r="H28" s="10">
        <v>30</v>
      </c>
      <c r="I28" s="10" t="s">
        <v>37</v>
      </c>
      <c r="J28" s="10"/>
      <c r="K28" s="10">
        <f t="shared" si="2"/>
        <v>0</v>
      </c>
      <c r="L28" s="10"/>
      <c r="M28" s="10"/>
      <c r="N28" s="10">
        <v>0</v>
      </c>
      <c r="O28" s="10">
        <f t="shared" si="3"/>
        <v>0</v>
      </c>
      <c r="P28" s="12"/>
      <c r="Q28" s="12"/>
      <c r="R28" s="10"/>
      <c r="S28" s="10" t="e">
        <f t="shared" si="5"/>
        <v>#DIV/0!</v>
      </c>
      <c r="T28" s="10" t="e">
        <f t="shared" si="6"/>
        <v>#DIV/0!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 t="s">
        <v>69</v>
      </c>
      <c r="AF28" s="10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70</v>
      </c>
      <c r="B29" s="1" t="s">
        <v>36</v>
      </c>
      <c r="C29" s="1">
        <v>20.068000000000001</v>
      </c>
      <c r="D29" s="1"/>
      <c r="E29" s="1">
        <v>14.819000000000001</v>
      </c>
      <c r="F29" s="1">
        <v>5.2489999999999997</v>
      </c>
      <c r="G29" s="7">
        <v>1</v>
      </c>
      <c r="H29" s="1">
        <v>30</v>
      </c>
      <c r="I29" s="1" t="s">
        <v>37</v>
      </c>
      <c r="J29" s="1">
        <v>19.536999999999999</v>
      </c>
      <c r="K29" s="1">
        <f t="shared" si="2"/>
        <v>-4.7179999999999982</v>
      </c>
      <c r="L29" s="1"/>
      <c r="M29" s="1"/>
      <c r="N29" s="1">
        <v>9.6812000000000005</v>
      </c>
      <c r="O29" s="1">
        <f t="shared" si="3"/>
        <v>2.9638</v>
      </c>
      <c r="P29" s="5">
        <f>13*O29-N29-F29</f>
        <v>23.599200000000003</v>
      </c>
      <c r="Q29" s="5"/>
      <c r="R29" s="1"/>
      <c r="S29" s="1">
        <f t="shared" si="5"/>
        <v>13.000000000000002</v>
      </c>
      <c r="T29" s="1">
        <f t="shared" si="6"/>
        <v>5.0375194007692823</v>
      </c>
      <c r="U29" s="1">
        <v>2.2884000000000002</v>
      </c>
      <c r="V29" s="1">
        <v>8.1918000000000006</v>
      </c>
      <c r="W29" s="1">
        <v>2.9556</v>
      </c>
      <c r="X29" s="1">
        <v>6.8037999999999998</v>
      </c>
      <c r="Y29" s="1">
        <v>7.4885999999999999</v>
      </c>
      <c r="Z29" s="1">
        <v>2.8643999999999998</v>
      </c>
      <c r="AA29" s="1">
        <v>1.0327999999999999</v>
      </c>
      <c r="AB29" s="1">
        <v>8.7065999999999999</v>
      </c>
      <c r="AC29" s="1">
        <v>3.9024000000000001</v>
      </c>
      <c r="AD29" s="1">
        <v>6.7674000000000003</v>
      </c>
      <c r="AE29" s="1" t="s">
        <v>71</v>
      </c>
      <c r="AF29" s="1">
        <f>G29*P29</f>
        <v>23.599200000000003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0" t="s">
        <v>72</v>
      </c>
      <c r="B30" s="10" t="s">
        <v>36</v>
      </c>
      <c r="C30" s="10"/>
      <c r="D30" s="10"/>
      <c r="E30" s="10"/>
      <c r="F30" s="10"/>
      <c r="G30" s="11">
        <v>0</v>
      </c>
      <c r="H30" s="10">
        <v>45</v>
      </c>
      <c r="I30" s="10" t="s">
        <v>37</v>
      </c>
      <c r="J30" s="10"/>
      <c r="K30" s="10">
        <f t="shared" si="2"/>
        <v>0</v>
      </c>
      <c r="L30" s="10"/>
      <c r="M30" s="10"/>
      <c r="N30" s="10">
        <v>0</v>
      </c>
      <c r="O30" s="10">
        <f t="shared" si="3"/>
        <v>0</v>
      </c>
      <c r="P30" s="12"/>
      <c r="Q30" s="12"/>
      <c r="R30" s="10"/>
      <c r="S30" s="10" t="e">
        <f t="shared" si="5"/>
        <v>#DIV/0!</v>
      </c>
      <c r="T30" s="10" t="e">
        <f t="shared" si="6"/>
        <v>#DIV/0!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 t="s">
        <v>69</v>
      </c>
      <c r="AF30" s="10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73</v>
      </c>
      <c r="B31" s="1" t="s">
        <v>36</v>
      </c>
      <c r="C31" s="1">
        <v>298.53199999999998</v>
      </c>
      <c r="D31" s="1">
        <v>215.583</v>
      </c>
      <c r="E31" s="1">
        <v>353.68099999999998</v>
      </c>
      <c r="F31" s="1">
        <v>159.79400000000001</v>
      </c>
      <c r="G31" s="7">
        <v>1</v>
      </c>
      <c r="H31" s="1">
        <v>40</v>
      </c>
      <c r="I31" s="1" t="s">
        <v>37</v>
      </c>
      <c r="J31" s="1">
        <v>353.7</v>
      </c>
      <c r="K31" s="1">
        <f t="shared" si="2"/>
        <v>-1.9000000000005457E-2</v>
      </c>
      <c r="L31" s="1"/>
      <c r="M31" s="1"/>
      <c r="N31" s="1">
        <v>173.94380000000001</v>
      </c>
      <c r="O31" s="1">
        <f t="shared" si="3"/>
        <v>70.736199999999997</v>
      </c>
      <c r="P31" s="5">
        <f>13*O31-N31-F31</f>
        <v>585.83280000000002</v>
      </c>
      <c r="Q31" s="5"/>
      <c r="R31" s="1"/>
      <c r="S31" s="1">
        <f t="shared" si="5"/>
        <v>13</v>
      </c>
      <c r="T31" s="1">
        <f t="shared" si="6"/>
        <v>4.7180623216966699</v>
      </c>
      <c r="U31" s="1">
        <v>52.927599999999998</v>
      </c>
      <c r="V31" s="1">
        <v>61.401000000000003</v>
      </c>
      <c r="W31" s="1">
        <v>38.874600000000001</v>
      </c>
      <c r="X31" s="1">
        <v>77.09020000000001</v>
      </c>
      <c r="Y31" s="1">
        <v>25.241399999999999</v>
      </c>
      <c r="Z31" s="1">
        <v>63.412599999999998</v>
      </c>
      <c r="AA31" s="1">
        <v>32.993000000000002</v>
      </c>
      <c r="AB31" s="1">
        <v>32.372799999999998</v>
      </c>
      <c r="AC31" s="1">
        <v>51.672400000000003</v>
      </c>
      <c r="AD31" s="1">
        <v>44.051200000000001</v>
      </c>
      <c r="AE31" s="1"/>
      <c r="AF31" s="1">
        <f>G31*P31</f>
        <v>585.83280000000002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0" t="s">
        <v>74</v>
      </c>
      <c r="B32" s="10" t="s">
        <v>36</v>
      </c>
      <c r="C32" s="10"/>
      <c r="D32" s="10"/>
      <c r="E32" s="10"/>
      <c r="F32" s="10"/>
      <c r="G32" s="11">
        <v>0</v>
      </c>
      <c r="H32" s="10">
        <v>40</v>
      </c>
      <c r="I32" s="10" t="s">
        <v>37</v>
      </c>
      <c r="J32" s="10"/>
      <c r="K32" s="10">
        <f t="shared" si="2"/>
        <v>0</v>
      </c>
      <c r="L32" s="10"/>
      <c r="M32" s="10"/>
      <c r="N32" s="10">
        <v>0</v>
      </c>
      <c r="O32" s="10">
        <f t="shared" si="3"/>
        <v>0</v>
      </c>
      <c r="P32" s="12"/>
      <c r="Q32" s="12"/>
      <c r="R32" s="10"/>
      <c r="S32" s="10" t="e">
        <f t="shared" si="5"/>
        <v>#DIV/0!</v>
      </c>
      <c r="T32" s="10" t="e">
        <f t="shared" si="6"/>
        <v>#DIV/0!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0.1804</v>
      </c>
      <c r="AD32" s="10">
        <v>0.29399999999999998</v>
      </c>
      <c r="AE32" s="10" t="s">
        <v>44</v>
      </c>
      <c r="AF32" s="10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0" t="s">
        <v>75</v>
      </c>
      <c r="B33" s="10" t="s">
        <v>36</v>
      </c>
      <c r="C33" s="10"/>
      <c r="D33" s="10"/>
      <c r="E33" s="10"/>
      <c r="F33" s="10"/>
      <c r="G33" s="11">
        <v>0</v>
      </c>
      <c r="H33" s="10">
        <v>55</v>
      </c>
      <c r="I33" s="10" t="s">
        <v>37</v>
      </c>
      <c r="J33" s="10"/>
      <c r="K33" s="10">
        <f t="shared" si="2"/>
        <v>0</v>
      </c>
      <c r="L33" s="10"/>
      <c r="M33" s="10"/>
      <c r="N33" s="10">
        <v>0</v>
      </c>
      <c r="O33" s="10">
        <f t="shared" si="3"/>
        <v>0</v>
      </c>
      <c r="P33" s="12"/>
      <c r="Q33" s="12"/>
      <c r="R33" s="10"/>
      <c r="S33" s="10" t="e">
        <f t="shared" si="5"/>
        <v>#DIV/0!</v>
      </c>
      <c r="T33" s="10" t="e">
        <f t="shared" si="6"/>
        <v>#DIV/0!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 t="s">
        <v>69</v>
      </c>
      <c r="AF33" s="10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76</v>
      </c>
      <c r="B34" s="1" t="s">
        <v>42</v>
      </c>
      <c r="C34" s="1">
        <v>7</v>
      </c>
      <c r="D34" s="1">
        <v>26</v>
      </c>
      <c r="E34" s="1">
        <v>10</v>
      </c>
      <c r="F34" s="1">
        <v>13</v>
      </c>
      <c r="G34" s="7">
        <v>0.35</v>
      </c>
      <c r="H34" s="1">
        <v>40</v>
      </c>
      <c r="I34" s="1" t="s">
        <v>37</v>
      </c>
      <c r="J34" s="1">
        <v>13</v>
      </c>
      <c r="K34" s="1">
        <f t="shared" si="2"/>
        <v>-3</v>
      </c>
      <c r="L34" s="1"/>
      <c r="M34" s="1"/>
      <c r="N34" s="1">
        <v>0</v>
      </c>
      <c r="O34" s="1">
        <f t="shared" si="3"/>
        <v>2</v>
      </c>
      <c r="P34" s="5">
        <f t="shared" ref="P34:P38" si="10">13*O34-N34-F34</f>
        <v>13</v>
      </c>
      <c r="Q34" s="5"/>
      <c r="R34" s="1"/>
      <c r="S34" s="1">
        <f t="shared" si="5"/>
        <v>13</v>
      </c>
      <c r="T34" s="1">
        <f t="shared" si="6"/>
        <v>6.5</v>
      </c>
      <c r="U34" s="1">
        <v>1.4</v>
      </c>
      <c r="V34" s="1">
        <v>2.6</v>
      </c>
      <c r="W34" s="1">
        <v>0</v>
      </c>
      <c r="X34" s="1">
        <v>3.6</v>
      </c>
      <c r="Y34" s="1">
        <v>0.8</v>
      </c>
      <c r="Z34" s="1">
        <v>0</v>
      </c>
      <c r="AA34" s="1">
        <v>1.2</v>
      </c>
      <c r="AB34" s="1">
        <v>-1</v>
      </c>
      <c r="AC34" s="1">
        <v>1.6</v>
      </c>
      <c r="AD34" s="1">
        <v>1.6</v>
      </c>
      <c r="AE34" s="1"/>
      <c r="AF34" s="1">
        <f>G34*P34</f>
        <v>4.55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77</v>
      </c>
      <c r="B35" s="1" t="s">
        <v>42</v>
      </c>
      <c r="C35" s="1">
        <v>5</v>
      </c>
      <c r="D35" s="1">
        <v>141</v>
      </c>
      <c r="E35" s="1">
        <v>119</v>
      </c>
      <c r="F35" s="1">
        <v>14</v>
      </c>
      <c r="G35" s="7">
        <v>0.4</v>
      </c>
      <c r="H35" s="1">
        <v>45</v>
      </c>
      <c r="I35" s="1" t="s">
        <v>37</v>
      </c>
      <c r="J35" s="1">
        <v>128</v>
      </c>
      <c r="K35" s="1">
        <f t="shared" si="2"/>
        <v>-9</v>
      </c>
      <c r="L35" s="1"/>
      <c r="M35" s="1"/>
      <c r="N35" s="1">
        <v>174.2</v>
      </c>
      <c r="O35" s="1">
        <f t="shared" si="3"/>
        <v>23.8</v>
      </c>
      <c r="P35" s="5">
        <f t="shared" si="10"/>
        <v>121.20000000000005</v>
      </c>
      <c r="Q35" s="5"/>
      <c r="R35" s="1"/>
      <c r="S35" s="1">
        <f t="shared" si="5"/>
        <v>13.000000000000002</v>
      </c>
      <c r="T35" s="1">
        <f t="shared" si="6"/>
        <v>7.9075630252100835</v>
      </c>
      <c r="U35" s="1">
        <v>24.4</v>
      </c>
      <c r="V35" s="1">
        <v>20</v>
      </c>
      <c r="W35" s="1">
        <v>17.8</v>
      </c>
      <c r="X35" s="1">
        <v>19.399999999999999</v>
      </c>
      <c r="Y35" s="1">
        <v>22.4</v>
      </c>
      <c r="Z35" s="1">
        <v>17.2</v>
      </c>
      <c r="AA35" s="1">
        <v>21.4</v>
      </c>
      <c r="AB35" s="1">
        <v>18.2</v>
      </c>
      <c r="AC35" s="1">
        <v>19.600000000000001</v>
      </c>
      <c r="AD35" s="1">
        <v>16</v>
      </c>
      <c r="AE35" s="1"/>
      <c r="AF35" s="1">
        <f>G35*P35</f>
        <v>48.480000000000018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78</v>
      </c>
      <c r="B36" s="1" t="s">
        <v>42</v>
      </c>
      <c r="C36" s="1">
        <v>74</v>
      </c>
      <c r="D36" s="1">
        <v>95</v>
      </c>
      <c r="E36" s="1">
        <v>103</v>
      </c>
      <c r="F36" s="1">
        <v>44</v>
      </c>
      <c r="G36" s="7">
        <v>0.45</v>
      </c>
      <c r="H36" s="1">
        <v>50</v>
      </c>
      <c r="I36" s="1" t="s">
        <v>37</v>
      </c>
      <c r="J36" s="1">
        <v>125</v>
      </c>
      <c r="K36" s="1">
        <f t="shared" si="2"/>
        <v>-22</v>
      </c>
      <c r="L36" s="1"/>
      <c r="M36" s="1"/>
      <c r="N36" s="1">
        <v>147.6</v>
      </c>
      <c r="O36" s="1">
        <f t="shared" si="3"/>
        <v>20.6</v>
      </c>
      <c r="P36" s="5">
        <f t="shared" si="10"/>
        <v>76.200000000000017</v>
      </c>
      <c r="Q36" s="5"/>
      <c r="R36" s="1"/>
      <c r="S36" s="1">
        <f t="shared" si="5"/>
        <v>13</v>
      </c>
      <c r="T36" s="1">
        <f t="shared" si="6"/>
        <v>9.3009708737864063</v>
      </c>
      <c r="U36" s="1">
        <v>24.2</v>
      </c>
      <c r="V36" s="1">
        <v>22.2</v>
      </c>
      <c r="W36" s="1">
        <v>22</v>
      </c>
      <c r="X36" s="1">
        <v>25.4</v>
      </c>
      <c r="Y36" s="1">
        <v>24.6</v>
      </c>
      <c r="Z36" s="1">
        <v>20.6</v>
      </c>
      <c r="AA36" s="1">
        <v>24.6</v>
      </c>
      <c r="AB36" s="1">
        <v>28.4</v>
      </c>
      <c r="AC36" s="1">
        <v>24.4</v>
      </c>
      <c r="AD36" s="1">
        <v>20.6</v>
      </c>
      <c r="AE36" s="1"/>
      <c r="AF36" s="1">
        <f>G36*P36</f>
        <v>34.290000000000006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79</v>
      </c>
      <c r="B37" s="1" t="s">
        <v>42</v>
      </c>
      <c r="C37" s="1">
        <v>40</v>
      </c>
      <c r="D37" s="1">
        <v>91</v>
      </c>
      <c r="E37" s="1">
        <v>102</v>
      </c>
      <c r="F37" s="1"/>
      <c r="G37" s="7">
        <v>0.4</v>
      </c>
      <c r="H37" s="1">
        <v>45</v>
      </c>
      <c r="I37" s="1" t="s">
        <v>37</v>
      </c>
      <c r="J37" s="1">
        <v>118</v>
      </c>
      <c r="K37" s="1">
        <f t="shared" si="2"/>
        <v>-16</v>
      </c>
      <c r="L37" s="1"/>
      <c r="M37" s="1"/>
      <c r="N37" s="1">
        <v>145.4</v>
      </c>
      <c r="O37" s="1">
        <f t="shared" si="3"/>
        <v>20.399999999999999</v>
      </c>
      <c r="P37" s="5">
        <f t="shared" si="10"/>
        <v>119.79999999999998</v>
      </c>
      <c r="Q37" s="5"/>
      <c r="R37" s="1"/>
      <c r="S37" s="1">
        <f t="shared" si="5"/>
        <v>13</v>
      </c>
      <c r="T37" s="1">
        <f t="shared" si="6"/>
        <v>7.1274509803921573</v>
      </c>
      <c r="U37" s="1">
        <v>19.8</v>
      </c>
      <c r="V37" s="1">
        <v>13</v>
      </c>
      <c r="W37" s="1">
        <v>17.8</v>
      </c>
      <c r="X37" s="1">
        <v>12.2</v>
      </c>
      <c r="Y37" s="1">
        <v>23</v>
      </c>
      <c r="Z37" s="1">
        <v>15</v>
      </c>
      <c r="AA37" s="1">
        <v>20.2</v>
      </c>
      <c r="AB37" s="1">
        <v>18.399999999999999</v>
      </c>
      <c r="AC37" s="1">
        <v>16.399999999999999</v>
      </c>
      <c r="AD37" s="1">
        <v>15</v>
      </c>
      <c r="AE37" s="1"/>
      <c r="AF37" s="1">
        <f>G37*P37</f>
        <v>47.919999999999995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80</v>
      </c>
      <c r="B38" s="1" t="s">
        <v>42</v>
      </c>
      <c r="C38" s="1">
        <v>7</v>
      </c>
      <c r="D38" s="1">
        <v>106</v>
      </c>
      <c r="E38" s="1">
        <v>82</v>
      </c>
      <c r="F38" s="1">
        <v>1</v>
      </c>
      <c r="G38" s="7">
        <v>0.4</v>
      </c>
      <c r="H38" s="1">
        <v>50</v>
      </c>
      <c r="I38" s="1" t="s">
        <v>37</v>
      </c>
      <c r="J38" s="1">
        <v>117</v>
      </c>
      <c r="K38" s="1">
        <f t="shared" ref="K38:K69" si="11">E38-J38</f>
        <v>-35</v>
      </c>
      <c r="L38" s="1"/>
      <c r="M38" s="1"/>
      <c r="N38" s="1">
        <v>160.4</v>
      </c>
      <c r="O38" s="1">
        <f t="shared" si="3"/>
        <v>16.399999999999999</v>
      </c>
      <c r="P38" s="5">
        <f t="shared" si="10"/>
        <v>51.799999999999983</v>
      </c>
      <c r="Q38" s="5"/>
      <c r="R38" s="1"/>
      <c r="S38" s="1">
        <f t="shared" si="5"/>
        <v>13</v>
      </c>
      <c r="T38" s="1">
        <f t="shared" si="6"/>
        <v>9.8414634146341484</v>
      </c>
      <c r="U38" s="1">
        <v>20.8</v>
      </c>
      <c r="V38" s="1">
        <v>16.399999999999999</v>
      </c>
      <c r="W38" s="1">
        <v>14.4</v>
      </c>
      <c r="X38" s="1">
        <v>22.8</v>
      </c>
      <c r="Y38" s="1">
        <v>23.2</v>
      </c>
      <c r="Z38" s="1">
        <v>16.8</v>
      </c>
      <c r="AA38" s="1">
        <v>11</v>
      </c>
      <c r="AB38" s="1">
        <v>45.6</v>
      </c>
      <c r="AC38" s="1">
        <v>23.2</v>
      </c>
      <c r="AD38" s="1">
        <v>28.6</v>
      </c>
      <c r="AE38" s="1"/>
      <c r="AF38" s="1">
        <f>G38*P38</f>
        <v>20.719999999999995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 t="s">
        <v>81</v>
      </c>
      <c r="B39" s="10" t="s">
        <v>42</v>
      </c>
      <c r="C39" s="10"/>
      <c r="D39" s="10"/>
      <c r="E39" s="10"/>
      <c r="F39" s="10"/>
      <c r="G39" s="11">
        <v>0</v>
      </c>
      <c r="H39" s="10">
        <v>40</v>
      </c>
      <c r="I39" s="10" t="s">
        <v>37</v>
      </c>
      <c r="J39" s="10"/>
      <c r="K39" s="10">
        <f t="shared" si="11"/>
        <v>0</v>
      </c>
      <c r="L39" s="10"/>
      <c r="M39" s="10"/>
      <c r="N39" s="10">
        <v>0</v>
      </c>
      <c r="O39" s="10">
        <f t="shared" si="3"/>
        <v>0</v>
      </c>
      <c r="P39" s="12"/>
      <c r="Q39" s="12"/>
      <c r="R39" s="10"/>
      <c r="S39" s="10" t="e">
        <f t="shared" si="5"/>
        <v>#DIV/0!</v>
      </c>
      <c r="T39" s="10" t="e">
        <f t="shared" si="6"/>
        <v>#DIV/0!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-0.2</v>
      </c>
      <c r="AE39" s="10" t="s">
        <v>69</v>
      </c>
      <c r="AF39" s="10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0" t="s">
        <v>82</v>
      </c>
      <c r="B40" s="10" t="s">
        <v>36</v>
      </c>
      <c r="C40" s="10"/>
      <c r="D40" s="10"/>
      <c r="E40" s="10"/>
      <c r="F40" s="10"/>
      <c r="G40" s="11">
        <v>0</v>
      </c>
      <c r="H40" s="10">
        <v>45</v>
      </c>
      <c r="I40" s="10" t="s">
        <v>37</v>
      </c>
      <c r="J40" s="10"/>
      <c r="K40" s="10">
        <f t="shared" si="11"/>
        <v>0</v>
      </c>
      <c r="L40" s="10"/>
      <c r="M40" s="10"/>
      <c r="N40" s="10">
        <v>0</v>
      </c>
      <c r="O40" s="10">
        <f t="shared" si="3"/>
        <v>0</v>
      </c>
      <c r="P40" s="12"/>
      <c r="Q40" s="12"/>
      <c r="R40" s="10"/>
      <c r="S40" s="10" t="e">
        <f t="shared" si="5"/>
        <v>#DIV/0!</v>
      </c>
      <c r="T40" s="10" t="e">
        <f t="shared" si="6"/>
        <v>#DIV/0!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 t="s">
        <v>69</v>
      </c>
      <c r="AF40" s="10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83</v>
      </c>
      <c r="B41" s="1" t="s">
        <v>42</v>
      </c>
      <c r="C41" s="1">
        <v>141</v>
      </c>
      <c r="D41" s="1"/>
      <c r="E41" s="1">
        <v>88</v>
      </c>
      <c r="F41" s="1">
        <v>53</v>
      </c>
      <c r="G41" s="7">
        <v>0.1</v>
      </c>
      <c r="H41" s="1">
        <v>730</v>
      </c>
      <c r="I41" s="1" t="s">
        <v>37</v>
      </c>
      <c r="J41" s="1">
        <v>88</v>
      </c>
      <c r="K41" s="1">
        <f t="shared" si="11"/>
        <v>0</v>
      </c>
      <c r="L41" s="1"/>
      <c r="M41" s="1"/>
      <c r="N41" s="1">
        <v>0</v>
      </c>
      <c r="O41" s="1">
        <f t="shared" si="3"/>
        <v>17.600000000000001</v>
      </c>
      <c r="P41" s="5">
        <f>11*O41-N41-F41</f>
        <v>140.60000000000002</v>
      </c>
      <c r="Q41" s="5"/>
      <c r="R41" s="1"/>
      <c r="S41" s="1">
        <f t="shared" si="5"/>
        <v>11</v>
      </c>
      <c r="T41" s="1">
        <f t="shared" si="6"/>
        <v>3.0113636363636362</v>
      </c>
      <c r="U41" s="1">
        <v>7.2</v>
      </c>
      <c r="V41" s="1">
        <v>9.1999999999999993</v>
      </c>
      <c r="W41" s="1">
        <v>15.8</v>
      </c>
      <c r="X41" s="1">
        <v>17</v>
      </c>
      <c r="Y41" s="1">
        <v>12</v>
      </c>
      <c r="Z41" s="1">
        <v>12.4</v>
      </c>
      <c r="AA41" s="1">
        <v>7.4</v>
      </c>
      <c r="AB41" s="1">
        <v>4</v>
      </c>
      <c r="AC41" s="1">
        <v>13.4</v>
      </c>
      <c r="AD41" s="1">
        <v>5.8</v>
      </c>
      <c r="AE41" s="1"/>
      <c r="AF41" s="1">
        <f>G41*P41</f>
        <v>14.060000000000002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84</v>
      </c>
      <c r="B42" s="1" t="s">
        <v>42</v>
      </c>
      <c r="C42" s="1">
        <v>76</v>
      </c>
      <c r="D42" s="1"/>
      <c r="E42" s="1">
        <v>54</v>
      </c>
      <c r="F42" s="1">
        <v>8</v>
      </c>
      <c r="G42" s="7">
        <v>0.35</v>
      </c>
      <c r="H42" s="1">
        <v>40</v>
      </c>
      <c r="I42" s="1" t="s">
        <v>37</v>
      </c>
      <c r="J42" s="1">
        <v>68</v>
      </c>
      <c r="K42" s="1">
        <f t="shared" si="11"/>
        <v>-14</v>
      </c>
      <c r="L42" s="1"/>
      <c r="M42" s="1"/>
      <c r="N42" s="1">
        <v>51.400000000000013</v>
      </c>
      <c r="O42" s="1">
        <f t="shared" si="3"/>
        <v>10.8</v>
      </c>
      <c r="P42" s="5">
        <f t="shared" ref="P42" si="12">13*O42-N42-F42</f>
        <v>81</v>
      </c>
      <c r="Q42" s="5"/>
      <c r="R42" s="1"/>
      <c r="S42" s="1">
        <f t="shared" si="5"/>
        <v>13</v>
      </c>
      <c r="T42" s="1">
        <f t="shared" si="6"/>
        <v>5.5000000000000009</v>
      </c>
      <c r="U42" s="1">
        <v>9.8000000000000007</v>
      </c>
      <c r="V42" s="1">
        <v>9.1999999999999993</v>
      </c>
      <c r="W42" s="1">
        <v>9</v>
      </c>
      <c r="X42" s="1">
        <v>19.8</v>
      </c>
      <c r="Y42" s="1">
        <v>15</v>
      </c>
      <c r="Z42" s="1">
        <v>17.399999999999999</v>
      </c>
      <c r="AA42" s="1">
        <v>12.6</v>
      </c>
      <c r="AB42" s="1">
        <v>11.4</v>
      </c>
      <c r="AC42" s="1">
        <v>13.6</v>
      </c>
      <c r="AD42" s="1">
        <v>10.4</v>
      </c>
      <c r="AE42" s="1"/>
      <c r="AF42" s="1">
        <f>G42*P42</f>
        <v>28.349999999999998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85</v>
      </c>
      <c r="B43" s="1" t="s">
        <v>42</v>
      </c>
      <c r="C43" s="1">
        <v>5</v>
      </c>
      <c r="D43" s="1"/>
      <c r="E43" s="1">
        <v>-2</v>
      </c>
      <c r="F43" s="1">
        <v>1</v>
      </c>
      <c r="G43" s="7">
        <v>0.4</v>
      </c>
      <c r="H43" s="1">
        <v>40</v>
      </c>
      <c r="I43" s="1" t="s">
        <v>37</v>
      </c>
      <c r="J43" s="1">
        <v>13</v>
      </c>
      <c r="K43" s="1">
        <f t="shared" si="11"/>
        <v>-15</v>
      </c>
      <c r="L43" s="1"/>
      <c r="M43" s="1"/>
      <c r="N43" s="1">
        <v>21</v>
      </c>
      <c r="O43" s="1">
        <f t="shared" si="3"/>
        <v>-0.4</v>
      </c>
      <c r="P43" s="5"/>
      <c r="Q43" s="5"/>
      <c r="R43" s="1"/>
      <c r="S43" s="1">
        <f t="shared" si="5"/>
        <v>-55</v>
      </c>
      <c r="T43" s="1">
        <f t="shared" si="6"/>
        <v>-55</v>
      </c>
      <c r="U43" s="1">
        <v>2.6</v>
      </c>
      <c r="V43" s="1">
        <v>1</v>
      </c>
      <c r="W43" s="1">
        <v>0.2</v>
      </c>
      <c r="X43" s="1">
        <v>2.4</v>
      </c>
      <c r="Y43" s="1">
        <v>1.2</v>
      </c>
      <c r="Z43" s="1">
        <v>2</v>
      </c>
      <c r="AA43" s="1">
        <v>5</v>
      </c>
      <c r="AB43" s="1">
        <v>2.6</v>
      </c>
      <c r="AC43" s="1">
        <v>5</v>
      </c>
      <c r="AD43" s="1">
        <v>1.6</v>
      </c>
      <c r="AE43" s="1"/>
      <c r="AF43" s="1">
        <f>G43*P43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86</v>
      </c>
      <c r="B44" s="1" t="s">
        <v>42</v>
      </c>
      <c r="C44" s="1">
        <v>19</v>
      </c>
      <c r="D44" s="1">
        <v>3</v>
      </c>
      <c r="E44" s="1">
        <v>16</v>
      </c>
      <c r="F44" s="1"/>
      <c r="G44" s="7">
        <v>0.4</v>
      </c>
      <c r="H44" s="1">
        <v>45</v>
      </c>
      <c r="I44" s="1" t="s">
        <v>37</v>
      </c>
      <c r="J44" s="1">
        <v>23</v>
      </c>
      <c r="K44" s="1">
        <f t="shared" si="11"/>
        <v>-7</v>
      </c>
      <c r="L44" s="1"/>
      <c r="M44" s="1"/>
      <c r="N44" s="1">
        <v>0</v>
      </c>
      <c r="O44" s="1">
        <f t="shared" si="3"/>
        <v>3.2</v>
      </c>
      <c r="P44" s="5">
        <f>8*O44-N44-F44</f>
        <v>25.6</v>
      </c>
      <c r="Q44" s="5"/>
      <c r="R44" s="1"/>
      <c r="S44" s="1">
        <f t="shared" si="5"/>
        <v>8</v>
      </c>
      <c r="T44" s="1">
        <f t="shared" si="6"/>
        <v>0</v>
      </c>
      <c r="U44" s="1">
        <v>0.2</v>
      </c>
      <c r="V44" s="1">
        <v>1.4</v>
      </c>
      <c r="W44" s="1">
        <v>2.8</v>
      </c>
      <c r="X44" s="1">
        <v>1.4</v>
      </c>
      <c r="Y44" s="1">
        <v>2.4</v>
      </c>
      <c r="Z44" s="1">
        <v>2.4</v>
      </c>
      <c r="AA44" s="1">
        <v>4</v>
      </c>
      <c r="AB44" s="1">
        <v>2.2000000000000002</v>
      </c>
      <c r="AC44" s="1">
        <v>4.4000000000000004</v>
      </c>
      <c r="AD44" s="1">
        <v>2.4</v>
      </c>
      <c r="AE44" s="1"/>
      <c r="AF44" s="1">
        <f>G44*P44</f>
        <v>10.240000000000002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87</v>
      </c>
      <c r="B45" s="1" t="s">
        <v>42</v>
      </c>
      <c r="C45" s="1">
        <v>48</v>
      </c>
      <c r="D45" s="1">
        <v>146</v>
      </c>
      <c r="E45" s="16">
        <f>71+E86</f>
        <v>125</v>
      </c>
      <c r="F45" s="1">
        <v>18</v>
      </c>
      <c r="G45" s="7">
        <v>0.35</v>
      </c>
      <c r="H45" s="1">
        <v>40</v>
      </c>
      <c r="I45" s="1" t="s">
        <v>37</v>
      </c>
      <c r="J45" s="1">
        <v>85</v>
      </c>
      <c r="K45" s="1">
        <f t="shared" si="11"/>
        <v>40</v>
      </c>
      <c r="L45" s="1"/>
      <c r="M45" s="1"/>
      <c r="N45" s="1">
        <v>0</v>
      </c>
      <c r="O45" s="1">
        <f t="shared" si="3"/>
        <v>25</v>
      </c>
      <c r="P45" s="5">
        <f>9*O45-N45-F45</f>
        <v>207</v>
      </c>
      <c r="Q45" s="5"/>
      <c r="R45" s="1"/>
      <c r="S45" s="1">
        <f t="shared" si="5"/>
        <v>9</v>
      </c>
      <c r="T45" s="1">
        <f t="shared" si="6"/>
        <v>0.72</v>
      </c>
      <c r="U45" s="1">
        <v>9</v>
      </c>
      <c r="V45" s="1">
        <v>20</v>
      </c>
      <c r="W45" s="1">
        <v>13.4</v>
      </c>
      <c r="X45" s="1">
        <v>14.4</v>
      </c>
      <c r="Y45" s="1">
        <v>12.2</v>
      </c>
      <c r="Z45" s="1">
        <v>13</v>
      </c>
      <c r="AA45" s="1">
        <v>11.8</v>
      </c>
      <c r="AB45" s="1">
        <v>14.8</v>
      </c>
      <c r="AC45" s="1">
        <v>14.8</v>
      </c>
      <c r="AD45" s="1">
        <v>12.8</v>
      </c>
      <c r="AE45" s="1"/>
      <c r="AF45" s="1">
        <f>G45*P45</f>
        <v>72.449999999999989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0" t="s">
        <v>88</v>
      </c>
      <c r="B46" s="10" t="s">
        <v>42</v>
      </c>
      <c r="C46" s="10"/>
      <c r="D46" s="10"/>
      <c r="E46" s="10">
        <v>-1</v>
      </c>
      <c r="F46" s="10"/>
      <c r="G46" s="11">
        <v>0</v>
      </c>
      <c r="H46" s="10" t="e">
        <v>#N/A</v>
      </c>
      <c r="I46" s="10" t="s">
        <v>37</v>
      </c>
      <c r="J46" s="10"/>
      <c r="K46" s="10">
        <f t="shared" si="11"/>
        <v>-1</v>
      </c>
      <c r="L46" s="10"/>
      <c r="M46" s="10"/>
      <c r="N46" s="10">
        <v>0</v>
      </c>
      <c r="O46" s="10">
        <f t="shared" si="3"/>
        <v>-0.2</v>
      </c>
      <c r="P46" s="12"/>
      <c r="Q46" s="12"/>
      <c r="R46" s="10"/>
      <c r="S46" s="10">
        <f t="shared" si="5"/>
        <v>0</v>
      </c>
      <c r="T46" s="10">
        <f t="shared" si="6"/>
        <v>0</v>
      </c>
      <c r="U46" s="10">
        <v>-0.2</v>
      </c>
      <c r="V46" s="10">
        <v>0</v>
      </c>
      <c r="W46" s="10">
        <v>0</v>
      </c>
      <c r="X46" s="10">
        <v>0</v>
      </c>
      <c r="Y46" s="10">
        <v>-0.4</v>
      </c>
      <c r="Z46" s="10">
        <v>-0.4</v>
      </c>
      <c r="AA46" s="10">
        <v>0</v>
      </c>
      <c r="AB46" s="10">
        <v>1</v>
      </c>
      <c r="AC46" s="10">
        <v>0.8</v>
      </c>
      <c r="AD46" s="10">
        <v>0.2</v>
      </c>
      <c r="AE46" s="10" t="s">
        <v>89</v>
      </c>
      <c r="AF46" s="10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90</v>
      </c>
      <c r="B47" s="1" t="s">
        <v>36</v>
      </c>
      <c r="C47" s="1">
        <v>23.17</v>
      </c>
      <c r="D47" s="1">
        <v>76.941999999999993</v>
      </c>
      <c r="E47" s="1">
        <v>18.946000000000002</v>
      </c>
      <c r="F47" s="1">
        <v>5.4119999999999999</v>
      </c>
      <c r="G47" s="7">
        <v>1</v>
      </c>
      <c r="H47" s="1">
        <v>50</v>
      </c>
      <c r="I47" s="1" t="s">
        <v>37</v>
      </c>
      <c r="J47" s="1">
        <v>18.95</v>
      </c>
      <c r="K47" s="1">
        <f t="shared" si="11"/>
        <v>-3.9999999999977831E-3</v>
      </c>
      <c r="L47" s="1"/>
      <c r="M47" s="1"/>
      <c r="N47" s="1">
        <v>130</v>
      </c>
      <c r="O47" s="1">
        <f t="shared" si="3"/>
        <v>3.7892000000000001</v>
      </c>
      <c r="P47" s="5"/>
      <c r="Q47" s="5"/>
      <c r="R47" s="1"/>
      <c r="S47" s="1">
        <f t="shared" si="5"/>
        <v>35.736303177451703</v>
      </c>
      <c r="T47" s="1">
        <f t="shared" si="6"/>
        <v>35.736303177451703</v>
      </c>
      <c r="U47" s="1">
        <v>16.4726</v>
      </c>
      <c r="V47" s="1">
        <v>11.609400000000001</v>
      </c>
      <c r="W47" s="1">
        <v>38.404600000000002</v>
      </c>
      <c r="X47" s="1">
        <v>1.9878</v>
      </c>
      <c r="Y47" s="1">
        <v>18.023199999999999</v>
      </c>
      <c r="Z47" s="1">
        <v>3.4502000000000002</v>
      </c>
      <c r="AA47" s="1">
        <v>32.298999999999999</v>
      </c>
      <c r="AB47" s="1">
        <v>18.496400000000001</v>
      </c>
      <c r="AC47" s="1">
        <v>13.9</v>
      </c>
      <c r="AD47" s="1">
        <v>3.7440000000000002</v>
      </c>
      <c r="AE47" s="1"/>
      <c r="AF47" s="1">
        <f t="shared" ref="AF47:AF67" si="13">G47*P47</f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91</v>
      </c>
      <c r="B48" s="1" t="s">
        <v>36</v>
      </c>
      <c r="C48" s="1">
        <v>9.3699999999999992</v>
      </c>
      <c r="D48" s="1">
        <v>0.13</v>
      </c>
      <c r="E48" s="1">
        <v>6.7930000000000001</v>
      </c>
      <c r="F48" s="1">
        <v>2.577</v>
      </c>
      <c r="G48" s="7">
        <v>1</v>
      </c>
      <c r="H48" s="1">
        <v>50</v>
      </c>
      <c r="I48" s="1" t="s">
        <v>37</v>
      </c>
      <c r="J48" s="1">
        <v>6.6</v>
      </c>
      <c r="K48" s="1">
        <f t="shared" si="11"/>
        <v>0.1930000000000005</v>
      </c>
      <c r="L48" s="1"/>
      <c r="M48" s="1"/>
      <c r="N48" s="1">
        <v>16.857199999999999</v>
      </c>
      <c r="O48" s="1">
        <f t="shared" si="3"/>
        <v>1.3586</v>
      </c>
      <c r="P48" s="5"/>
      <c r="Q48" s="5"/>
      <c r="R48" s="1"/>
      <c r="S48" s="1">
        <f t="shared" si="5"/>
        <v>14.304578242308256</v>
      </c>
      <c r="T48" s="1">
        <f t="shared" si="6"/>
        <v>14.304578242308256</v>
      </c>
      <c r="U48" s="1">
        <v>2.1856</v>
      </c>
      <c r="V48" s="1">
        <v>0</v>
      </c>
      <c r="W48" s="1">
        <v>0.27579999999999999</v>
      </c>
      <c r="X48" s="1">
        <v>0</v>
      </c>
      <c r="Y48" s="1">
        <v>1.6240000000000001</v>
      </c>
      <c r="Z48" s="1">
        <v>1.0828</v>
      </c>
      <c r="AA48" s="1">
        <v>0</v>
      </c>
      <c r="AB48" s="1">
        <v>1.3520000000000001</v>
      </c>
      <c r="AC48" s="1">
        <v>2.1560000000000001</v>
      </c>
      <c r="AD48" s="1">
        <v>1.5960000000000001</v>
      </c>
      <c r="AE48" s="1"/>
      <c r="AF48" s="1">
        <f t="shared" si="13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5" t="s">
        <v>92</v>
      </c>
      <c r="B49" s="1" t="s">
        <v>36</v>
      </c>
      <c r="C49" s="1"/>
      <c r="D49" s="1"/>
      <c r="E49" s="1"/>
      <c r="F49" s="1"/>
      <c r="G49" s="7">
        <v>1</v>
      </c>
      <c r="H49" s="1">
        <v>40</v>
      </c>
      <c r="I49" s="1" t="s">
        <v>37</v>
      </c>
      <c r="J49" s="1"/>
      <c r="K49" s="1">
        <f t="shared" si="11"/>
        <v>0</v>
      </c>
      <c r="L49" s="1"/>
      <c r="M49" s="1"/>
      <c r="N49" s="1">
        <v>50</v>
      </c>
      <c r="O49" s="1">
        <f t="shared" si="3"/>
        <v>0</v>
      </c>
      <c r="P49" s="5"/>
      <c r="Q49" s="5"/>
      <c r="R49" s="1"/>
      <c r="S49" s="1" t="e">
        <f t="shared" si="5"/>
        <v>#DIV/0!</v>
      </c>
      <c r="T49" s="1" t="e">
        <f t="shared" si="6"/>
        <v>#DIV/0!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93</v>
      </c>
      <c r="AF49" s="1">
        <f t="shared" si="13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94</v>
      </c>
      <c r="B50" s="1" t="s">
        <v>42</v>
      </c>
      <c r="C50" s="1">
        <v>101</v>
      </c>
      <c r="D50" s="1">
        <v>246</v>
      </c>
      <c r="E50" s="16">
        <f>149+E87</f>
        <v>239</v>
      </c>
      <c r="F50" s="1"/>
      <c r="G50" s="7">
        <v>0.45</v>
      </c>
      <c r="H50" s="1">
        <v>50</v>
      </c>
      <c r="I50" s="1" t="s">
        <v>37</v>
      </c>
      <c r="J50" s="1">
        <v>212</v>
      </c>
      <c r="K50" s="1">
        <f t="shared" si="11"/>
        <v>27</v>
      </c>
      <c r="L50" s="1"/>
      <c r="M50" s="1"/>
      <c r="N50" s="1">
        <v>200</v>
      </c>
      <c r="O50" s="1">
        <f t="shared" si="3"/>
        <v>47.8</v>
      </c>
      <c r="P50" s="5">
        <f>12*O50-N50-F50</f>
        <v>373.59999999999991</v>
      </c>
      <c r="Q50" s="5"/>
      <c r="R50" s="1"/>
      <c r="S50" s="1">
        <f t="shared" si="5"/>
        <v>11.999999999999998</v>
      </c>
      <c r="T50" s="1">
        <f t="shared" si="6"/>
        <v>4.1841004184100417</v>
      </c>
      <c r="U50" s="1">
        <v>40.6</v>
      </c>
      <c r="V50" s="1">
        <v>46.2</v>
      </c>
      <c r="W50" s="1">
        <v>40.200000000000003</v>
      </c>
      <c r="X50" s="1">
        <v>33.6</v>
      </c>
      <c r="Y50" s="1">
        <v>30.8</v>
      </c>
      <c r="Z50" s="1">
        <v>32.4</v>
      </c>
      <c r="AA50" s="1">
        <v>39.799999999999997</v>
      </c>
      <c r="AB50" s="1">
        <v>31</v>
      </c>
      <c r="AC50" s="1">
        <v>35.200000000000003</v>
      </c>
      <c r="AD50" s="1">
        <v>23.6</v>
      </c>
      <c r="AE50" s="1"/>
      <c r="AF50" s="1">
        <f t="shared" si="13"/>
        <v>168.11999999999998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95</v>
      </c>
      <c r="B51" s="1" t="s">
        <v>42</v>
      </c>
      <c r="C51" s="1">
        <v>58</v>
      </c>
      <c r="D51" s="1">
        <v>151</v>
      </c>
      <c r="E51" s="1">
        <v>163</v>
      </c>
      <c r="F51" s="1">
        <v>25</v>
      </c>
      <c r="G51" s="7">
        <v>0.45</v>
      </c>
      <c r="H51" s="1">
        <v>50</v>
      </c>
      <c r="I51" s="1" t="s">
        <v>37</v>
      </c>
      <c r="J51" s="1">
        <v>176</v>
      </c>
      <c r="K51" s="1">
        <f t="shared" si="11"/>
        <v>-13</v>
      </c>
      <c r="L51" s="1"/>
      <c r="M51" s="1"/>
      <c r="N51" s="1">
        <v>212.4</v>
      </c>
      <c r="O51" s="1">
        <f t="shared" si="3"/>
        <v>32.6</v>
      </c>
      <c r="P51" s="5">
        <f t="shared" ref="P51:P63" si="14">13*O51-N51-F51</f>
        <v>186.4</v>
      </c>
      <c r="Q51" s="5"/>
      <c r="R51" s="1"/>
      <c r="S51" s="1">
        <f t="shared" si="5"/>
        <v>13</v>
      </c>
      <c r="T51" s="1">
        <f t="shared" si="6"/>
        <v>7.2822085889570554</v>
      </c>
      <c r="U51" s="1">
        <v>31.8</v>
      </c>
      <c r="V51" s="1">
        <v>28.4</v>
      </c>
      <c r="W51" s="1">
        <v>28.8</v>
      </c>
      <c r="X51" s="1">
        <v>31.2</v>
      </c>
      <c r="Y51" s="1">
        <v>27.8</v>
      </c>
      <c r="Z51" s="1">
        <v>28.6</v>
      </c>
      <c r="AA51" s="1">
        <v>31.8</v>
      </c>
      <c r="AB51" s="1">
        <v>31.8</v>
      </c>
      <c r="AC51" s="1">
        <v>33.799999999999997</v>
      </c>
      <c r="AD51" s="1">
        <v>23</v>
      </c>
      <c r="AE51" s="1"/>
      <c r="AF51" s="1">
        <f t="shared" si="13"/>
        <v>83.88000000000001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96</v>
      </c>
      <c r="B52" s="1" t="s">
        <v>42</v>
      </c>
      <c r="C52" s="1">
        <v>90</v>
      </c>
      <c r="D52" s="1">
        <v>2</v>
      </c>
      <c r="E52" s="1">
        <v>78</v>
      </c>
      <c r="F52" s="1"/>
      <c r="G52" s="7">
        <v>0.45</v>
      </c>
      <c r="H52" s="1">
        <v>50</v>
      </c>
      <c r="I52" s="1" t="s">
        <v>37</v>
      </c>
      <c r="J52" s="1">
        <v>93</v>
      </c>
      <c r="K52" s="1">
        <f t="shared" si="11"/>
        <v>-15</v>
      </c>
      <c r="L52" s="1"/>
      <c r="M52" s="1"/>
      <c r="N52" s="1">
        <v>145.6</v>
      </c>
      <c r="O52" s="1">
        <f t="shared" si="3"/>
        <v>15.6</v>
      </c>
      <c r="P52" s="5">
        <f t="shared" si="14"/>
        <v>57.199999999999989</v>
      </c>
      <c r="Q52" s="5"/>
      <c r="R52" s="1"/>
      <c r="S52" s="1">
        <f t="shared" si="5"/>
        <v>13</v>
      </c>
      <c r="T52" s="1">
        <f t="shared" si="6"/>
        <v>9.3333333333333339</v>
      </c>
      <c r="U52" s="1">
        <v>18.2</v>
      </c>
      <c r="V52" s="1">
        <v>14.2</v>
      </c>
      <c r="W52" s="1">
        <v>11.2</v>
      </c>
      <c r="X52" s="1">
        <v>34.4</v>
      </c>
      <c r="Y52" s="1">
        <v>31.6</v>
      </c>
      <c r="Z52" s="1">
        <v>33.4</v>
      </c>
      <c r="AA52" s="1">
        <v>36.4</v>
      </c>
      <c r="AB52" s="1">
        <v>15.4</v>
      </c>
      <c r="AC52" s="1">
        <v>21.2</v>
      </c>
      <c r="AD52" s="1">
        <v>17.600000000000001</v>
      </c>
      <c r="AE52" s="1"/>
      <c r="AF52" s="1">
        <f t="shared" si="13"/>
        <v>25.739999999999995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97</v>
      </c>
      <c r="B53" s="1" t="s">
        <v>42</v>
      </c>
      <c r="C53" s="1">
        <v>2</v>
      </c>
      <c r="D53" s="1">
        <v>36</v>
      </c>
      <c r="E53" s="1">
        <v>13</v>
      </c>
      <c r="F53" s="1">
        <v>7</v>
      </c>
      <c r="G53" s="7">
        <v>0.4</v>
      </c>
      <c r="H53" s="1">
        <v>40</v>
      </c>
      <c r="I53" s="1" t="s">
        <v>37</v>
      </c>
      <c r="J53" s="1">
        <v>17</v>
      </c>
      <c r="K53" s="1">
        <f t="shared" si="11"/>
        <v>-4</v>
      </c>
      <c r="L53" s="1"/>
      <c r="M53" s="1"/>
      <c r="N53" s="1">
        <v>0</v>
      </c>
      <c r="O53" s="1">
        <f t="shared" si="3"/>
        <v>2.6</v>
      </c>
      <c r="P53" s="5">
        <f>11*O53-N53-F53</f>
        <v>21.6</v>
      </c>
      <c r="Q53" s="5"/>
      <c r="R53" s="1"/>
      <c r="S53" s="1">
        <f t="shared" si="5"/>
        <v>11</v>
      </c>
      <c r="T53" s="1">
        <f t="shared" si="6"/>
        <v>2.6923076923076921</v>
      </c>
      <c r="U53" s="1">
        <v>1.8</v>
      </c>
      <c r="V53" s="1">
        <v>3.4</v>
      </c>
      <c r="W53" s="1">
        <v>-0.2</v>
      </c>
      <c r="X53" s="1">
        <v>3.8</v>
      </c>
      <c r="Y53" s="1">
        <v>1.6</v>
      </c>
      <c r="Z53" s="1">
        <v>1.8</v>
      </c>
      <c r="AA53" s="1">
        <v>4.2</v>
      </c>
      <c r="AB53" s="1">
        <v>3.2</v>
      </c>
      <c r="AC53" s="1">
        <v>2.8</v>
      </c>
      <c r="AD53" s="1">
        <v>3</v>
      </c>
      <c r="AE53" s="1"/>
      <c r="AF53" s="1">
        <f t="shared" si="13"/>
        <v>8.64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36</v>
      </c>
      <c r="C54" s="1">
        <v>27.954999999999998</v>
      </c>
      <c r="D54" s="1">
        <v>32.177</v>
      </c>
      <c r="E54" s="1">
        <v>29.564</v>
      </c>
      <c r="F54" s="1">
        <v>30.568000000000001</v>
      </c>
      <c r="G54" s="7">
        <v>1</v>
      </c>
      <c r="H54" s="1">
        <v>55</v>
      </c>
      <c r="I54" s="1" t="s">
        <v>37</v>
      </c>
      <c r="J54" s="1">
        <v>35.700000000000003</v>
      </c>
      <c r="K54" s="1">
        <f t="shared" si="11"/>
        <v>-6.1360000000000028</v>
      </c>
      <c r="L54" s="1"/>
      <c r="M54" s="1"/>
      <c r="N54" s="1">
        <v>0</v>
      </c>
      <c r="O54" s="1">
        <f t="shared" si="3"/>
        <v>5.9127999999999998</v>
      </c>
      <c r="P54" s="5">
        <f t="shared" si="14"/>
        <v>46.298400000000001</v>
      </c>
      <c r="Q54" s="5"/>
      <c r="R54" s="1"/>
      <c r="S54" s="1">
        <f t="shared" si="5"/>
        <v>13</v>
      </c>
      <c r="T54" s="1">
        <f t="shared" si="6"/>
        <v>5.169801109457449</v>
      </c>
      <c r="U54" s="1">
        <v>7.3999999999999986E-3</v>
      </c>
      <c r="V54" s="1">
        <v>4.0432000000000006</v>
      </c>
      <c r="W54" s="1">
        <v>1.7302</v>
      </c>
      <c r="X54" s="1">
        <v>2.6911999999999998</v>
      </c>
      <c r="Y54" s="1">
        <v>4.5650000000000004</v>
      </c>
      <c r="Z54" s="1">
        <v>6.1416000000000004</v>
      </c>
      <c r="AA54" s="1">
        <v>3.7387999999999999</v>
      </c>
      <c r="AB54" s="1">
        <v>4.806</v>
      </c>
      <c r="AC54" s="1">
        <v>4.2759999999999998</v>
      </c>
      <c r="AD54" s="1">
        <v>5.6277999999999997</v>
      </c>
      <c r="AE54" s="1"/>
      <c r="AF54" s="1">
        <f t="shared" si="13"/>
        <v>46.298400000000001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42</v>
      </c>
      <c r="C55" s="1">
        <v>150</v>
      </c>
      <c r="D55" s="1"/>
      <c r="E55" s="1">
        <v>80</v>
      </c>
      <c r="F55" s="1">
        <v>70</v>
      </c>
      <c r="G55" s="7">
        <v>0.1</v>
      </c>
      <c r="H55" s="1">
        <v>730</v>
      </c>
      <c r="I55" s="1" t="s">
        <v>37</v>
      </c>
      <c r="J55" s="1">
        <v>80</v>
      </c>
      <c r="K55" s="1">
        <f t="shared" si="11"/>
        <v>0</v>
      </c>
      <c r="L55" s="1"/>
      <c r="M55" s="1"/>
      <c r="N55" s="1">
        <v>0</v>
      </c>
      <c r="O55" s="1">
        <f t="shared" si="3"/>
        <v>16</v>
      </c>
      <c r="P55" s="5">
        <f>12*O55-N55-F55</f>
        <v>122</v>
      </c>
      <c r="Q55" s="5"/>
      <c r="R55" s="1"/>
      <c r="S55" s="1">
        <f t="shared" si="5"/>
        <v>12</v>
      </c>
      <c r="T55" s="1">
        <f t="shared" si="6"/>
        <v>4.375</v>
      </c>
      <c r="U55" s="1">
        <v>6.6</v>
      </c>
      <c r="V55" s="1">
        <v>6.2</v>
      </c>
      <c r="W55" s="1">
        <v>8.1999999999999993</v>
      </c>
      <c r="X55" s="1">
        <v>16.600000000000001</v>
      </c>
      <c r="Y55" s="1">
        <v>13.8</v>
      </c>
      <c r="Z55" s="1">
        <v>15.4</v>
      </c>
      <c r="AA55" s="1">
        <v>6.6</v>
      </c>
      <c r="AB55" s="1">
        <v>9.8000000000000007</v>
      </c>
      <c r="AC55" s="1">
        <v>11.2</v>
      </c>
      <c r="AD55" s="1">
        <v>4.2</v>
      </c>
      <c r="AE55" s="1"/>
      <c r="AF55" s="1">
        <f t="shared" si="13"/>
        <v>12.200000000000001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100</v>
      </c>
      <c r="B56" s="1" t="s">
        <v>36</v>
      </c>
      <c r="C56" s="1">
        <v>7.3390000000000004</v>
      </c>
      <c r="D56" s="1"/>
      <c r="E56" s="1">
        <v>6.5350000000000001</v>
      </c>
      <c r="F56" s="1">
        <v>0.80400000000000005</v>
      </c>
      <c r="G56" s="7">
        <v>1</v>
      </c>
      <c r="H56" s="1">
        <v>40</v>
      </c>
      <c r="I56" s="1" t="s">
        <v>37</v>
      </c>
      <c r="J56" s="1">
        <v>6.4</v>
      </c>
      <c r="K56" s="1">
        <f t="shared" si="11"/>
        <v>0.13499999999999979</v>
      </c>
      <c r="L56" s="1"/>
      <c r="M56" s="1"/>
      <c r="N56" s="1">
        <v>40</v>
      </c>
      <c r="O56" s="1">
        <f t="shared" si="3"/>
        <v>1.3069999999999999</v>
      </c>
      <c r="P56" s="5"/>
      <c r="Q56" s="5"/>
      <c r="R56" s="1"/>
      <c r="S56" s="1">
        <f t="shared" si="5"/>
        <v>31.219586840091818</v>
      </c>
      <c r="T56" s="1">
        <f t="shared" si="6"/>
        <v>31.219586840091818</v>
      </c>
      <c r="U56" s="1">
        <v>12.0656</v>
      </c>
      <c r="V56" s="1">
        <v>2.9134000000000002</v>
      </c>
      <c r="W56" s="1">
        <v>6.8151999999999999</v>
      </c>
      <c r="X56" s="1">
        <v>3.8570000000000002</v>
      </c>
      <c r="Y56" s="1">
        <v>2.4350000000000001</v>
      </c>
      <c r="Z56" s="1">
        <v>3.5722</v>
      </c>
      <c r="AA56" s="1">
        <v>1.4634</v>
      </c>
      <c r="AB56" s="1">
        <v>0.81579999999999997</v>
      </c>
      <c r="AC56" s="1">
        <v>4.7202000000000002</v>
      </c>
      <c r="AD56" s="1">
        <v>0.8093999999999999</v>
      </c>
      <c r="AE56" s="1" t="s">
        <v>101</v>
      </c>
      <c r="AF56" s="1">
        <f t="shared" si="13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102</v>
      </c>
      <c r="B57" s="1" t="s">
        <v>36</v>
      </c>
      <c r="C57" s="1">
        <v>68.384</v>
      </c>
      <c r="D57" s="1"/>
      <c r="E57" s="1">
        <v>37.066000000000003</v>
      </c>
      <c r="F57" s="1">
        <v>31.318000000000001</v>
      </c>
      <c r="G57" s="7">
        <v>1</v>
      </c>
      <c r="H57" s="1">
        <v>40</v>
      </c>
      <c r="I57" s="1" t="s">
        <v>37</v>
      </c>
      <c r="J57" s="1">
        <v>33.200000000000003</v>
      </c>
      <c r="K57" s="1">
        <f t="shared" si="11"/>
        <v>3.8659999999999997</v>
      </c>
      <c r="L57" s="1"/>
      <c r="M57" s="1"/>
      <c r="N57" s="1">
        <v>0</v>
      </c>
      <c r="O57" s="1">
        <f t="shared" si="3"/>
        <v>7.4132000000000007</v>
      </c>
      <c r="P57" s="5">
        <f>12*O57-N57-F57</f>
        <v>57.640400000000014</v>
      </c>
      <c r="Q57" s="5"/>
      <c r="R57" s="1"/>
      <c r="S57" s="1">
        <f t="shared" si="5"/>
        <v>12</v>
      </c>
      <c r="T57" s="1">
        <f t="shared" si="6"/>
        <v>4.2246263422003993</v>
      </c>
      <c r="U57" s="1">
        <v>2.0912000000000002</v>
      </c>
      <c r="V57" s="1">
        <v>0.16239999999999999</v>
      </c>
      <c r="W57" s="1">
        <v>9.3781999999999996</v>
      </c>
      <c r="X57" s="1">
        <v>-0.1608</v>
      </c>
      <c r="Y57" s="1">
        <v>6.6153999999999993</v>
      </c>
      <c r="Z57" s="1">
        <v>1.4508000000000001</v>
      </c>
      <c r="AA57" s="1">
        <v>-0.48399999999999999</v>
      </c>
      <c r="AB57" s="1">
        <v>4.3462000000000014</v>
      </c>
      <c r="AC57" s="1">
        <v>0.3216</v>
      </c>
      <c r="AD57" s="1">
        <v>1.1312</v>
      </c>
      <c r="AE57" s="1"/>
      <c r="AF57" s="1">
        <f t="shared" si="13"/>
        <v>57.640400000000014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103</v>
      </c>
      <c r="B58" s="1" t="s">
        <v>42</v>
      </c>
      <c r="C58" s="1">
        <v>8</v>
      </c>
      <c r="D58" s="1"/>
      <c r="E58" s="1">
        <v>5</v>
      </c>
      <c r="F58" s="1"/>
      <c r="G58" s="7">
        <v>0.6</v>
      </c>
      <c r="H58" s="1">
        <v>60</v>
      </c>
      <c r="I58" s="1" t="s">
        <v>37</v>
      </c>
      <c r="J58" s="1">
        <v>8</v>
      </c>
      <c r="K58" s="1">
        <f t="shared" si="11"/>
        <v>-3</v>
      </c>
      <c r="L58" s="1"/>
      <c r="M58" s="1"/>
      <c r="N58" s="1">
        <v>20.6</v>
      </c>
      <c r="O58" s="1">
        <f t="shared" si="3"/>
        <v>1</v>
      </c>
      <c r="P58" s="5"/>
      <c r="Q58" s="5"/>
      <c r="R58" s="1"/>
      <c r="S58" s="1">
        <f t="shared" si="5"/>
        <v>20.6</v>
      </c>
      <c r="T58" s="1">
        <f t="shared" si="6"/>
        <v>20.6</v>
      </c>
      <c r="U58" s="1">
        <v>2.6</v>
      </c>
      <c r="V58" s="1">
        <v>0.8</v>
      </c>
      <c r="W58" s="1">
        <v>0.6</v>
      </c>
      <c r="X58" s="1">
        <v>0.8</v>
      </c>
      <c r="Y58" s="1">
        <v>2.6</v>
      </c>
      <c r="Z58" s="1">
        <v>4.2</v>
      </c>
      <c r="AA58" s="1">
        <v>2.2000000000000002</v>
      </c>
      <c r="AB58" s="1">
        <v>0.8</v>
      </c>
      <c r="AC58" s="1">
        <v>2.2000000000000002</v>
      </c>
      <c r="AD58" s="1">
        <v>1.4</v>
      </c>
      <c r="AE58" s="1"/>
      <c r="AF58" s="1">
        <f t="shared" si="13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104</v>
      </c>
      <c r="B59" s="1" t="s">
        <v>42</v>
      </c>
      <c r="C59" s="1">
        <v>2</v>
      </c>
      <c r="D59" s="1"/>
      <c r="E59" s="1">
        <v>1</v>
      </c>
      <c r="F59" s="1"/>
      <c r="G59" s="7">
        <v>0.6</v>
      </c>
      <c r="H59" s="1">
        <v>60</v>
      </c>
      <c r="I59" s="1" t="s">
        <v>37</v>
      </c>
      <c r="J59" s="1">
        <v>4</v>
      </c>
      <c r="K59" s="1">
        <f t="shared" si="11"/>
        <v>-3</v>
      </c>
      <c r="L59" s="1"/>
      <c r="M59" s="1"/>
      <c r="N59" s="1">
        <v>28.6</v>
      </c>
      <c r="O59" s="1">
        <f t="shared" si="3"/>
        <v>0.2</v>
      </c>
      <c r="P59" s="5"/>
      <c r="Q59" s="5"/>
      <c r="R59" s="1"/>
      <c r="S59" s="1">
        <f t="shared" si="5"/>
        <v>143</v>
      </c>
      <c r="T59" s="1">
        <f t="shared" si="6"/>
        <v>143</v>
      </c>
      <c r="U59" s="1">
        <v>3.4</v>
      </c>
      <c r="V59" s="1">
        <v>1.2</v>
      </c>
      <c r="W59" s="1">
        <v>2.2000000000000002</v>
      </c>
      <c r="X59" s="1">
        <v>1.2</v>
      </c>
      <c r="Y59" s="1">
        <v>0.8</v>
      </c>
      <c r="Z59" s="1">
        <v>3.8</v>
      </c>
      <c r="AA59" s="1">
        <v>1.6</v>
      </c>
      <c r="AB59" s="1">
        <v>1.4</v>
      </c>
      <c r="AC59" s="1">
        <v>2.8</v>
      </c>
      <c r="AD59" s="1">
        <v>1.2</v>
      </c>
      <c r="AE59" s="1"/>
      <c r="AF59" s="1">
        <f t="shared" si="13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105</v>
      </c>
      <c r="B60" s="1" t="s">
        <v>42</v>
      </c>
      <c r="C60" s="1">
        <v>3</v>
      </c>
      <c r="D60" s="1"/>
      <c r="E60" s="1">
        <v>-2</v>
      </c>
      <c r="F60" s="1">
        <v>3</v>
      </c>
      <c r="G60" s="7">
        <v>0.6</v>
      </c>
      <c r="H60" s="1">
        <v>60</v>
      </c>
      <c r="I60" s="1" t="s">
        <v>37</v>
      </c>
      <c r="J60" s="1">
        <v>18</v>
      </c>
      <c r="K60" s="1">
        <f t="shared" si="11"/>
        <v>-20</v>
      </c>
      <c r="L60" s="1"/>
      <c r="M60" s="1"/>
      <c r="N60" s="1">
        <v>17</v>
      </c>
      <c r="O60" s="1">
        <f t="shared" si="3"/>
        <v>-0.4</v>
      </c>
      <c r="P60" s="5"/>
      <c r="Q60" s="5"/>
      <c r="R60" s="1"/>
      <c r="S60" s="1">
        <f t="shared" si="5"/>
        <v>-50</v>
      </c>
      <c r="T60" s="1">
        <f t="shared" si="6"/>
        <v>-50</v>
      </c>
      <c r="U60" s="1">
        <v>2</v>
      </c>
      <c r="V60" s="1">
        <v>1.4</v>
      </c>
      <c r="W60" s="1">
        <v>1.2</v>
      </c>
      <c r="X60" s="1">
        <v>2.4</v>
      </c>
      <c r="Y60" s="1">
        <v>1.8</v>
      </c>
      <c r="Z60" s="1">
        <v>3.8</v>
      </c>
      <c r="AA60" s="1">
        <v>2.6</v>
      </c>
      <c r="AB60" s="1">
        <v>1.2</v>
      </c>
      <c r="AC60" s="1">
        <v>3.2</v>
      </c>
      <c r="AD60" s="1">
        <v>1.4</v>
      </c>
      <c r="AE60" s="1" t="s">
        <v>71</v>
      </c>
      <c r="AF60" s="1">
        <f t="shared" si="13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106</v>
      </c>
      <c r="B61" s="1" t="s">
        <v>42</v>
      </c>
      <c r="C61" s="1">
        <v>-1</v>
      </c>
      <c r="D61" s="1">
        <v>17</v>
      </c>
      <c r="E61" s="1">
        <v>15</v>
      </c>
      <c r="F61" s="1"/>
      <c r="G61" s="7">
        <v>0.6</v>
      </c>
      <c r="H61" s="1">
        <v>55</v>
      </c>
      <c r="I61" s="1" t="s">
        <v>37</v>
      </c>
      <c r="J61" s="1">
        <v>18</v>
      </c>
      <c r="K61" s="1">
        <f t="shared" si="11"/>
        <v>-3</v>
      </c>
      <c r="L61" s="1"/>
      <c r="M61" s="1"/>
      <c r="N61" s="1">
        <v>35.400000000000013</v>
      </c>
      <c r="O61" s="1">
        <f t="shared" si="3"/>
        <v>3</v>
      </c>
      <c r="P61" s="5">
        <v>6</v>
      </c>
      <c r="Q61" s="5"/>
      <c r="R61" s="1"/>
      <c r="S61" s="1">
        <f t="shared" si="5"/>
        <v>13.800000000000004</v>
      </c>
      <c r="T61" s="1">
        <f t="shared" si="6"/>
        <v>11.800000000000004</v>
      </c>
      <c r="U61" s="1">
        <v>4.2</v>
      </c>
      <c r="V61" s="1">
        <v>3</v>
      </c>
      <c r="W61" s="1">
        <v>3</v>
      </c>
      <c r="X61" s="1">
        <v>5.2</v>
      </c>
      <c r="Y61" s="1">
        <v>3</v>
      </c>
      <c r="Z61" s="1">
        <v>3.8</v>
      </c>
      <c r="AA61" s="1">
        <v>4.4000000000000004</v>
      </c>
      <c r="AB61" s="1">
        <v>2.4</v>
      </c>
      <c r="AC61" s="1">
        <v>3.8</v>
      </c>
      <c r="AD61" s="1">
        <v>2.4</v>
      </c>
      <c r="AE61" s="1"/>
      <c r="AF61" s="1">
        <f t="shared" si="13"/>
        <v>3.5999999999999996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107</v>
      </c>
      <c r="B62" s="1" t="s">
        <v>42</v>
      </c>
      <c r="C62" s="1">
        <v>17</v>
      </c>
      <c r="D62" s="1">
        <v>33</v>
      </c>
      <c r="E62" s="1">
        <v>44</v>
      </c>
      <c r="F62" s="1"/>
      <c r="G62" s="7">
        <v>0.4</v>
      </c>
      <c r="H62" s="1">
        <v>90</v>
      </c>
      <c r="I62" s="1" t="s">
        <v>37</v>
      </c>
      <c r="J62" s="1">
        <v>55</v>
      </c>
      <c r="K62" s="1">
        <f t="shared" si="11"/>
        <v>-11</v>
      </c>
      <c r="L62" s="1"/>
      <c r="M62" s="1"/>
      <c r="N62" s="1">
        <v>99.800000000000011</v>
      </c>
      <c r="O62" s="1">
        <f t="shared" si="3"/>
        <v>8.8000000000000007</v>
      </c>
      <c r="P62" s="5">
        <f t="shared" si="14"/>
        <v>14.599999999999994</v>
      </c>
      <c r="Q62" s="5"/>
      <c r="R62" s="1"/>
      <c r="S62" s="1">
        <f t="shared" si="5"/>
        <v>13</v>
      </c>
      <c r="T62" s="1">
        <f t="shared" si="6"/>
        <v>11.340909090909092</v>
      </c>
      <c r="U62" s="1">
        <v>12.4</v>
      </c>
      <c r="V62" s="1">
        <v>8.4</v>
      </c>
      <c r="W62" s="1">
        <v>9.4</v>
      </c>
      <c r="X62" s="1">
        <v>10.6</v>
      </c>
      <c r="Y62" s="1">
        <v>9</v>
      </c>
      <c r="Z62" s="1">
        <v>9</v>
      </c>
      <c r="AA62" s="1">
        <v>10.8</v>
      </c>
      <c r="AB62" s="1">
        <v>9.6</v>
      </c>
      <c r="AC62" s="1">
        <v>8.4</v>
      </c>
      <c r="AD62" s="1">
        <v>9.8000000000000007</v>
      </c>
      <c r="AE62" s="1"/>
      <c r="AF62" s="1">
        <f t="shared" si="13"/>
        <v>5.8399999999999981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108</v>
      </c>
      <c r="B63" s="1" t="s">
        <v>42</v>
      </c>
      <c r="C63" s="1">
        <v>51</v>
      </c>
      <c r="D63" s="1">
        <v>35</v>
      </c>
      <c r="E63" s="1">
        <v>41</v>
      </c>
      <c r="F63" s="1">
        <v>3</v>
      </c>
      <c r="G63" s="7">
        <v>0.33</v>
      </c>
      <c r="H63" s="1" t="e">
        <v>#N/A</v>
      </c>
      <c r="I63" s="1" t="s">
        <v>37</v>
      </c>
      <c r="J63" s="1">
        <v>46</v>
      </c>
      <c r="K63" s="1">
        <f t="shared" si="11"/>
        <v>-5</v>
      </c>
      <c r="L63" s="1"/>
      <c r="M63" s="1"/>
      <c r="N63" s="1">
        <v>80</v>
      </c>
      <c r="O63" s="1">
        <f t="shared" si="3"/>
        <v>8.1999999999999993</v>
      </c>
      <c r="P63" s="5">
        <f t="shared" si="14"/>
        <v>23.599999999999994</v>
      </c>
      <c r="Q63" s="5"/>
      <c r="R63" s="1"/>
      <c r="S63" s="1">
        <f t="shared" si="5"/>
        <v>13</v>
      </c>
      <c r="T63" s="1">
        <f t="shared" si="6"/>
        <v>10.121951219512196</v>
      </c>
      <c r="U63" s="1">
        <v>7.6</v>
      </c>
      <c r="V63" s="1">
        <v>7.4</v>
      </c>
      <c r="W63" s="1">
        <v>10</v>
      </c>
      <c r="X63" s="1">
        <v>4.5999999999999996</v>
      </c>
      <c r="Y63" s="1">
        <v>11</v>
      </c>
      <c r="Z63" s="1">
        <v>6.2</v>
      </c>
      <c r="AA63" s="1">
        <v>6.4</v>
      </c>
      <c r="AB63" s="1">
        <v>9.1999999999999993</v>
      </c>
      <c r="AC63" s="1">
        <v>3.4</v>
      </c>
      <c r="AD63" s="1">
        <v>7.4</v>
      </c>
      <c r="AE63" s="1" t="s">
        <v>109</v>
      </c>
      <c r="AF63" s="1">
        <f t="shared" si="13"/>
        <v>7.7879999999999985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110</v>
      </c>
      <c r="B64" s="1" t="s">
        <v>42</v>
      </c>
      <c r="C64" s="1">
        <v>51</v>
      </c>
      <c r="D64" s="1">
        <v>3</v>
      </c>
      <c r="E64" s="1">
        <v>46</v>
      </c>
      <c r="F64" s="1">
        <v>8</v>
      </c>
      <c r="G64" s="7">
        <v>0.35</v>
      </c>
      <c r="H64" s="1">
        <v>90</v>
      </c>
      <c r="I64" s="1" t="s">
        <v>37</v>
      </c>
      <c r="J64" s="1">
        <v>46</v>
      </c>
      <c r="K64" s="1">
        <f t="shared" si="11"/>
        <v>0</v>
      </c>
      <c r="L64" s="1"/>
      <c r="M64" s="1"/>
      <c r="N64" s="1">
        <v>30</v>
      </c>
      <c r="O64" s="1">
        <f t="shared" si="3"/>
        <v>9.1999999999999993</v>
      </c>
      <c r="P64" s="5">
        <f>12*O64-N64-F64</f>
        <v>72.399999999999991</v>
      </c>
      <c r="Q64" s="5"/>
      <c r="R64" s="1"/>
      <c r="S64" s="1">
        <f t="shared" si="5"/>
        <v>12</v>
      </c>
      <c r="T64" s="1">
        <f t="shared" si="6"/>
        <v>4.1304347826086962</v>
      </c>
      <c r="U64" s="1">
        <v>4.8</v>
      </c>
      <c r="V64" s="1">
        <v>4.8</v>
      </c>
      <c r="W64" s="1">
        <v>5.4</v>
      </c>
      <c r="X64" s="1">
        <v>9.1999999999999993</v>
      </c>
      <c r="Y64" s="1">
        <v>3.8</v>
      </c>
      <c r="Z64" s="1">
        <v>7.2</v>
      </c>
      <c r="AA64" s="1">
        <v>2.6</v>
      </c>
      <c r="AB64" s="1">
        <v>5.8</v>
      </c>
      <c r="AC64" s="1">
        <v>4.8</v>
      </c>
      <c r="AD64" s="1">
        <v>8.8000000000000007</v>
      </c>
      <c r="AE64" s="1"/>
      <c r="AF64" s="1">
        <f t="shared" si="13"/>
        <v>25.339999999999996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111</v>
      </c>
      <c r="B65" s="1" t="s">
        <v>42</v>
      </c>
      <c r="C65" s="1">
        <v>16</v>
      </c>
      <c r="D65" s="1">
        <v>6</v>
      </c>
      <c r="E65" s="1">
        <v>18</v>
      </c>
      <c r="F65" s="1"/>
      <c r="G65" s="7">
        <v>0.35</v>
      </c>
      <c r="H65" s="1">
        <v>40</v>
      </c>
      <c r="I65" s="1" t="s">
        <v>37</v>
      </c>
      <c r="J65" s="1">
        <v>24</v>
      </c>
      <c r="K65" s="1">
        <f t="shared" si="11"/>
        <v>-6</v>
      </c>
      <c r="L65" s="1"/>
      <c r="M65" s="1"/>
      <c r="N65" s="1">
        <v>0</v>
      </c>
      <c r="O65" s="1">
        <f t="shared" si="3"/>
        <v>3.6</v>
      </c>
      <c r="P65" s="5">
        <f t="shared" ref="P65:P66" si="15">8*O65-N65-F65</f>
        <v>28.8</v>
      </c>
      <c r="Q65" s="5"/>
      <c r="R65" s="1"/>
      <c r="S65" s="1">
        <f t="shared" si="5"/>
        <v>8</v>
      </c>
      <c r="T65" s="1">
        <f t="shared" si="6"/>
        <v>0</v>
      </c>
      <c r="U65" s="1">
        <v>1.8</v>
      </c>
      <c r="V65" s="1">
        <v>3.2</v>
      </c>
      <c r="W65" s="1">
        <v>4</v>
      </c>
      <c r="X65" s="1">
        <v>4.2</v>
      </c>
      <c r="Y65" s="1">
        <v>2.8</v>
      </c>
      <c r="Z65" s="1">
        <v>5.2</v>
      </c>
      <c r="AA65" s="1">
        <v>2.4</v>
      </c>
      <c r="AB65" s="1">
        <v>4.2</v>
      </c>
      <c r="AC65" s="1">
        <v>3.4</v>
      </c>
      <c r="AD65" s="1">
        <v>3.6</v>
      </c>
      <c r="AE65" s="1"/>
      <c r="AF65" s="1">
        <f t="shared" si="13"/>
        <v>10.08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112</v>
      </c>
      <c r="B66" s="1" t="s">
        <v>42</v>
      </c>
      <c r="C66" s="1">
        <v>45</v>
      </c>
      <c r="D66" s="1">
        <v>247</v>
      </c>
      <c r="E66" s="16">
        <f>84+E88+E89</f>
        <v>225</v>
      </c>
      <c r="F66" s="1"/>
      <c r="G66" s="7">
        <v>0.35</v>
      </c>
      <c r="H66" s="1">
        <v>45</v>
      </c>
      <c r="I66" s="1" t="s">
        <v>37</v>
      </c>
      <c r="J66" s="1">
        <v>97</v>
      </c>
      <c r="K66" s="1">
        <f t="shared" si="11"/>
        <v>128</v>
      </c>
      <c r="L66" s="1"/>
      <c r="M66" s="1"/>
      <c r="N66" s="1">
        <v>0</v>
      </c>
      <c r="O66" s="1">
        <f t="shared" si="3"/>
        <v>45</v>
      </c>
      <c r="P66" s="5">
        <f t="shared" si="15"/>
        <v>360</v>
      </c>
      <c r="Q66" s="5"/>
      <c r="R66" s="1"/>
      <c r="S66" s="1">
        <f t="shared" si="5"/>
        <v>8</v>
      </c>
      <c r="T66" s="1">
        <f t="shared" si="6"/>
        <v>0</v>
      </c>
      <c r="U66" s="1">
        <v>4.5999999999999996</v>
      </c>
      <c r="V66" s="1">
        <v>29</v>
      </c>
      <c r="W66" s="1">
        <v>14.2</v>
      </c>
      <c r="X66" s="1">
        <v>26.4</v>
      </c>
      <c r="Y66" s="1">
        <v>26.4</v>
      </c>
      <c r="Z66" s="1">
        <v>26</v>
      </c>
      <c r="AA66" s="1">
        <v>27.4</v>
      </c>
      <c r="AB66" s="1">
        <v>17.399999999999999</v>
      </c>
      <c r="AC66" s="1">
        <v>14</v>
      </c>
      <c r="AD66" s="1">
        <v>24.8</v>
      </c>
      <c r="AE66" s="1"/>
      <c r="AF66" s="1">
        <f t="shared" si="13"/>
        <v>125.99999999999999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113</v>
      </c>
      <c r="B67" s="1" t="s">
        <v>42</v>
      </c>
      <c r="C67" s="1"/>
      <c r="D67" s="1">
        <v>24</v>
      </c>
      <c r="E67" s="1">
        <v>7</v>
      </c>
      <c r="F67" s="1">
        <v>16</v>
      </c>
      <c r="G67" s="7">
        <v>0.3</v>
      </c>
      <c r="H67" s="1">
        <v>50</v>
      </c>
      <c r="I67" s="1" t="s">
        <v>37</v>
      </c>
      <c r="J67" s="1">
        <v>8</v>
      </c>
      <c r="K67" s="1">
        <f t="shared" si="11"/>
        <v>-1</v>
      </c>
      <c r="L67" s="1"/>
      <c r="M67" s="1"/>
      <c r="N67" s="1">
        <v>0</v>
      </c>
      <c r="O67" s="1">
        <f t="shared" si="3"/>
        <v>1.4</v>
      </c>
      <c r="P67" s="5">
        <v>6</v>
      </c>
      <c r="Q67" s="5"/>
      <c r="R67" s="1"/>
      <c r="S67" s="1">
        <f t="shared" si="5"/>
        <v>15.714285714285715</v>
      </c>
      <c r="T67" s="1">
        <f t="shared" si="6"/>
        <v>11.428571428571429</v>
      </c>
      <c r="U67" s="1">
        <v>0.8</v>
      </c>
      <c r="V67" s="1">
        <v>2</v>
      </c>
      <c r="W67" s="1">
        <v>0.2</v>
      </c>
      <c r="X67" s="1">
        <v>3.2</v>
      </c>
      <c r="Y67" s="1">
        <v>2.4</v>
      </c>
      <c r="Z67" s="1">
        <v>1.6</v>
      </c>
      <c r="AA67" s="1">
        <v>2</v>
      </c>
      <c r="AB67" s="1">
        <v>1.6</v>
      </c>
      <c r="AC67" s="1">
        <v>0</v>
      </c>
      <c r="AD67" s="1">
        <v>0</v>
      </c>
      <c r="AE67" s="1" t="s">
        <v>114</v>
      </c>
      <c r="AF67" s="1">
        <f t="shared" si="13"/>
        <v>1.7999999999999998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0" t="s">
        <v>115</v>
      </c>
      <c r="B68" s="10" t="s">
        <v>42</v>
      </c>
      <c r="C68" s="10"/>
      <c r="D68" s="10"/>
      <c r="E68" s="10"/>
      <c r="F68" s="10"/>
      <c r="G68" s="11">
        <v>0</v>
      </c>
      <c r="H68" s="10">
        <v>40</v>
      </c>
      <c r="I68" s="10" t="s">
        <v>37</v>
      </c>
      <c r="J68" s="10"/>
      <c r="K68" s="10">
        <f t="shared" si="11"/>
        <v>0</v>
      </c>
      <c r="L68" s="10"/>
      <c r="M68" s="10"/>
      <c r="N68" s="10">
        <v>0</v>
      </c>
      <c r="O68" s="10">
        <f t="shared" si="3"/>
        <v>0</v>
      </c>
      <c r="P68" s="12"/>
      <c r="Q68" s="12"/>
      <c r="R68" s="10"/>
      <c r="S68" s="10" t="e">
        <f t="shared" si="5"/>
        <v>#DIV/0!</v>
      </c>
      <c r="T68" s="10" t="e">
        <f t="shared" si="6"/>
        <v>#DIV/0!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 t="s">
        <v>69</v>
      </c>
      <c r="AF68" s="10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0" t="s">
        <v>116</v>
      </c>
      <c r="B69" s="10" t="s">
        <v>42</v>
      </c>
      <c r="C69" s="10"/>
      <c r="D69" s="10"/>
      <c r="E69" s="10"/>
      <c r="F69" s="10"/>
      <c r="G69" s="11">
        <v>0</v>
      </c>
      <c r="H69" s="10">
        <v>55</v>
      </c>
      <c r="I69" s="10" t="s">
        <v>37</v>
      </c>
      <c r="J69" s="10"/>
      <c r="K69" s="10">
        <f t="shared" si="11"/>
        <v>0</v>
      </c>
      <c r="L69" s="10"/>
      <c r="M69" s="10"/>
      <c r="N69" s="10">
        <v>0</v>
      </c>
      <c r="O69" s="10">
        <f t="shared" si="3"/>
        <v>0</v>
      </c>
      <c r="P69" s="12"/>
      <c r="Q69" s="12"/>
      <c r="R69" s="10"/>
      <c r="S69" s="10" t="e">
        <f t="shared" si="5"/>
        <v>#DIV/0!</v>
      </c>
      <c r="T69" s="10" t="e">
        <f t="shared" si="6"/>
        <v>#DIV/0!</v>
      </c>
      <c r="U69" s="10">
        <v>0</v>
      </c>
      <c r="V69" s="10">
        <v>-0.2</v>
      </c>
      <c r="W69" s="10">
        <v>-0.2</v>
      </c>
      <c r="X69" s="10">
        <v>-0.2</v>
      </c>
      <c r="Y69" s="10">
        <v>-0.4</v>
      </c>
      <c r="Z69" s="10">
        <v>0.2</v>
      </c>
      <c r="AA69" s="10">
        <v>0.8</v>
      </c>
      <c r="AB69" s="10">
        <v>0</v>
      </c>
      <c r="AC69" s="10">
        <v>0.4</v>
      </c>
      <c r="AD69" s="10">
        <v>0.6</v>
      </c>
      <c r="AE69" s="10" t="s">
        <v>44</v>
      </c>
      <c r="AF69" s="10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0" t="s">
        <v>117</v>
      </c>
      <c r="B70" s="10" t="s">
        <v>36</v>
      </c>
      <c r="C70" s="10"/>
      <c r="D70" s="10"/>
      <c r="E70" s="10"/>
      <c r="F70" s="10"/>
      <c r="G70" s="11">
        <v>0</v>
      </c>
      <c r="H70" s="10">
        <v>55</v>
      </c>
      <c r="I70" s="10" t="s">
        <v>37</v>
      </c>
      <c r="J70" s="10"/>
      <c r="K70" s="10">
        <f t="shared" ref="K70:K92" si="16">E70-J70</f>
        <v>0</v>
      </c>
      <c r="L70" s="10"/>
      <c r="M70" s="10"/>
      <c r="N70" s="10">
        <v>0</v>
      </c>
      <c r="O70" s="10">
        <f t="shared" si="3"/>
        <v>0</v>
      </c>
      <c r="P70" s="12"/>
      <c r="Q70" s="12"/>
      <c r="R70" s="10"/>
      <c r="S70" s="10" t="e">
        <f t="shared" si="5"/>
        <v>#DIV/0!</v>
      </c>
      <c r="T70" s="10" t="e">
        <f t="shared" si="6"/>
        <v>#DIV/0!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 t="s">
        <v>69</v>
      </c>
      <c r="AF70" s="10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0" t="s">
        <v>118</v>
      </c>
      <c r="B71" s="10" t="s">
        <v>36</v>
      </c>
      <c r="C71" s="10"/>
      <c r="D71" s="10"/>
      <c r="E71" s="10"/>
      <c r="F71" s="10"/>
      <c r="G71" s="11">
        <v>0</v>
      </c>
      <c r="H71" s="10">
        <v>55</v>
      </c>
      <c r="I71" s="10" t="s">
        <v>37</v>
      </c>
      <c r="J71" s="10"/>
      <c r="K71" s="10">
        <f t="shared" si="16"/>
        <v>0</v>
      </c>
      <c r="L71" s="10"/>
      <c r="M71" s="10"/>
      <c r="N71" s="10">
        <v>0</v>
      </c>
      <c r="O71" s="10">
        <f t="shared" ref="O71:O92" si="17">E71/5</f>
        <v>0</v>
      </c>
      <c r="P71" s="12"/>
      <c r="Q71" s="12"/>
      <c r="R71" s="10"/>
      <c r="S71" s="10" t="e">
        <f t="shared" ref="S71:S92" si="18">(F71+N71+P71)/O71</f>
        <v>#DIV/0!</v>
      </c>
      <c r="T71" s="10" t="e">
        <f t="shared" ref="T71:T92" si="19">(F71+N71)/O71</f>
        <v>#DIV/0!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 t="s">
        <v>69</v>
      </c>
      <c r="AF71" s="10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0" t="s">
        <v>119</v>
      </c>
      <c r="B72" s="10" t="s">
        <v>42</v>
      </c>
      <c r="C72" s="10"/>
      <c r="D72" s="10"/>
      <c r="E72" s="10"/>
      <c r="F72" s="10"/>
      <c r="G72" s="11">
        <v>0</v>
      </c>
      <c r="H72" s="10">
        <v>55</v>
      </c>
      <c r="I72" s="10" t="s">
        <v>37</v>
      </c>
      <c r="J72" s="10"/>
      <c r="K72" s="10">
        <f t="shared" si="16"/>
        <v>0</v>
      </c>
      <c r="L72" s="10"/>
      <c r="M72" s="10"/>
      <c r="N72" s="10">
        <v>0</v>
      </c>
      <c r="O72" s="10">
        <f t="shared" si="17"/>
        <v>0</v>
      </c>
      <c r="P72" s="12"/>
      <c r="Q72" s="12"/>
      <c r="R72" s="10"/>
      <c r="S72" s="10" t="e">
        <f t="shared" si="18"/>
        <v>#DIV/0!</v>
      </c>
      <c r="T72" s="10" t="e">
        <f t="shared" si="19"/>
        <v>#DIV/0!</v>
      </c>
      <c r="U72" s="10">
        <v>0</v>
      </c>
      <c r="V72" s="10">
        <v>0</v>
      </c>
      <c r="W72" s="10">
        <v>0</v>
      </c>
      <c r="X72" s="10">
        <v>-0.2</v>
      </c>
      <c r="Y72" s="10">
        <v>-0.4</v>
      </c>
      <c r="Z72" s="10">
        <v>-0.8</v>
      </c>
      <c r="AA72" s="10">
        <v>-0.2</v>
      </c>
      <c r="AB72" s="10">
        <v>-1.6</v>
      </c>
      <c r="AC72" s="10">
        <v>0</v>
      </c>
      <c r="AD72" s="10">
        <v>1</v>
      </c>
      <c r="AE72" s="10" t="s">
        <v>120</v>
      </c>
      <c r="AF72" s="10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121</v>
      </c>
      <c r="B73" s="1" t="s">
        <v>36</v>
      </c>
      <c r="C73" s="1">
        <v>24.254000000000001</v>
      </c>
      <c r="D73" s="1"/>
      <c r="E73" s="1"/>
      <c r="F73" s="1">
        <v>24.254000000000001</v>
      </c>
      <c r="G73" s="7">
        <v>1</v>
      </c>
      <c r="H73" s="1" t="e">
        <v>#N/A</v>
      </c>
      <c r="I73" s="1" t="s">
        <v>37</v>
      </c>
      <c r="J73" s="1"/>
      <c r="K73" s="1">
        <f t="shared" si="16"/>
        <v>0</v>
      </c>
      <c r="L73" s="1"/>
      <c r="M73" s="1"/>
      <c r="N73" s="1">
        <v>0</v>
      </c>
      <c r="O73" s="1">
        <f t="shared" si="17"/>
        <v>0</v>
      </c>
      <c r="P73" s="5"/>
      <c r="Q73" s="5"/>
      <c r="R73" s="1"/>
      <c r="S73" s="1" t="e">
        <f t="shared" si="18"/>
        <v>#DIV/0!</v>
      </c>
      <c r="T73" s="1" t="e">
        <f t="shared" si="19"/>
        <v>#DIV/0!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7" t="s">
        <v>53</v>
      </c>
      <c r="AF73" s="1">
        <f>G73*P73</f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0" t="s">
        <v>122</v>
      </c>
      <c r="B74" s="10" t="s">
        <v>36</v>
      </c>
      <c r="C74" s="10"/>
      <c r="D74" s="10"/>
      <c r="E74" s="10"/>
      <c r="F74" s="10"/>
      <c r="G74" s="11">
        <v>0</v>
      </c>
      <c r="H74" s="10">
        <v>30</v>
      </c>
      <c r="I74" s="10" t="s">
        <v>37</v>
      </c>
      <c r="J74" s="10"/>
      <c r="K74" s="10">
        <f t="shared" si="16"/>
        <v>0</v>
      </c>
      <c r="L74" s="10"/>
      <c r="M74" s="10"/>
      <c r="N74" s="10">
        <v>0</v>
      </c>
      <c r="O74" s="10">
        <f t="shared" si="17"/>
        <v>0</v>
      </c>
      <c r="P74" s="12"/>
      <c r="Q74" s="12"/>
      <c r="R74" s="10"/>
      <c r="S74" s="10" t="e">
        <f t="shared" si="18"/>
        <v>#DIV/0!</v>
      </c>
      <c r="T74" s="10" t="e">
        <f t="shared" si="19"/>
        <v>#DIV/0!</v>
      </c>
      <c r="U74" s="10">
        <v>0</v>
      </c>
      <c r="V74" s="10">
        <v>0</v>
      </c>
      <c r="W74" s="10">
        <v>0</v>
      </c>
      <c r="X74" s="10">
        <v>-6.5200000000000008E-2</v>
      </c>
      <c r="Y74" s="10">
        <v>0.15859999999999999</v>
      </c>
      <c r="Z74" s="10">
        <v>0.66239999999999999</v>
      </c>
      <c r="AA74" s="10">
        <v>0</v>
      </c>
      <c r="AB74" s="10">
        <v>0</v>
      </c>
      <c r="AC74" s="10">
        <v>0</v>
      </c>
      <c r="AD74" s="10">
        <v>0</v>
      </c>
      <c r="AE74" s="10" t="s">
        <v>44</v>
      </c>
      <c r="AF74" s="10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123</v>
      </c>
      <c r="B75" s="1" t="s">
        <v>42</v>
      </c>
      <c r="C75" s="1">
        <v>13</v>
      </c>
      <c r="D75" s="1"/>
      <c r="E75" s="1">
        <v>1</v>
      </c>
      <c r="F75" s="1">
        <v>11</v>
      </c>
      <c r="G75" s="7">
        <v>0.3</v>
      </c>
      <c r="H75" s="1" t="e">
        <v>#N/A</v>
      </c>
      <c r="I75" s="1" t="s">
        <v>37</v>
      </c>
      <c r="J75" s="1">
        <v>2</v>
      </c>
      <c r="K75" s="1">
        <f t="shared" si="16"/>
        <v>-1</v>
      </c>
      <c r="L75" s="1"/>
      <c r="M75" s="1"/>
      <c r="N75" s="1">
        <v>0</v>
      </c>
      <c r="O75" s="1">
        <f t="shared" si="17"/>
        <v>0.2</v>
      </c>
      <c r="P75" s="5"/>
      <c r="Q75" s="5"/>
      <c r="R75" s="1"/>
      <c r="S75" s="1">
        <f t="shared" si="18"/>
        <v>55</v>
      </c>
      <c r="T75" s="1">
        <f t="shared" si="19"/>
        <v>55</v>
      </c>
      <c r="U75" s="1">
        <v>0</v>
      </c>
      <c r="V75" s="1">
        <v>0</v>
      </c>
      <c r="W75" s="1">
        <v>0.2</v>
      </c>
      <c r="X75" s="1">
        <v>0.4</v>
      </c>
      <c r="Y75" s="1">
        <v>0</v>
      </c>
      <c r="Z75" s="1">
        <v>0.2</v>
      </c>
      <c r="AA75" s="1">
        <v>0</v>
      </c>
      <c r="AB75" s="1">
        <v>0</v>
      </c>
      <c r="AC75" s="1">
        <v>0.8</v>
      </c>
      <c r="AD75" s="1">
        <v>0</v>
      </c>
      <c r="AE75" s="17" t="s">
        <v>53</v>
      </c>
      <c r="AF75" s="1">
        <f t="shared" ref="AF75:AF81" si="20">G75*P75</f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124</v>
      </c>
      <c r="B76" s="1" t="s">
        <v>36</v>
      </c>
      <c r="C76" s="1">
        <v>-0.19</v>
      </c>
      <c r="D76" s="1">
        <v>30.201000000000001</v>
      </c>
      <c r="E76" s="1">
        <v>30.010999999999999</v>
      </c>
      <c r="F76" s="1"/>
      <c r="G76" s="7">
        <v>1</v>
      </c>
      <c r="H76" s="1">
        <v>60</v>
      </c>
      <c r="I76" s="1" t="s">
        <v>37</v>
      </c>
      <c r="J76" s="1">
        <v>32.700000000000003</v>
      </c>
      <c r="K76" s="1">
        <f t="shared" si="16"/>
        <v>-2.6890000000000036</v>
      </c>
      <c r="L76" s="1"/>
      <c r="M76" s="1"/>
      <c r="N76" s="1">
        <v>45</v>
      </c>
      <c r="O76" s="1">
        <f t="shared" si="17"/>
        <v>6.0022000000000002</v>
      </c>
      <c r="P76" s="5">
        <f t="shared" ref="P76:P80" si="21">13*O76-N76-F76</f>
        <v>33.028599999999997</v>
      </c>
      <c r="Q76" s="5"/>
      <c r="R76" s="1"/>
      <c r="S76" s="1">
        <f t="shared" si="18"/>
        <v>13</v>
      </c>
      <c r="T76" s="1">
        <f t="shared" si="19"/>
        <v>7.4972510079637464</v>
      </c>
      <c r="U76" s="1">
        <v>10.0046</v>
      </c>
      <c r="V76" s="1">
        <v>7.9767999999999999</v>
      </c>
      <c r="W76" s="1">
        <v>6.5058000000000007</v>
      </c>
      <c r="X76" s="1">
        <v>5.5091999999999999</v>
      </c>
      <c r="Y76" s="1">
        <v>10.442600000000001</v>
      </c>
      <c r="Z76" s="1">
        <v>7.5801999999999996</v>
      </c>
      <c r="AA76" s="1">
        <v>7.8450000000000006</v>
      </c>
      <c r="AB76" s="1">
        <v>9.5809999999999995</v>
      </c>
      <c r="AC76" s="1">
        <v>9.4319999999999986</v>
      </c>
      <c r="AD76" s="1">
        <v>7.8367999999999993</v>
      </c>
      <c r="AE76" s="1"/>
      <c r="AF76" s="1">
        <f t="shared" si="20"/>
        <v>33.028599999999997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125</v>
      </c>
      <c r="B77" s="1" t="s">
        <v>36</v>
      </c>
      <c r="C77" s="1">
        <v>563.66700000000003</v>
      </c>
      <c r="D77" s="1"/>
      <c r="E77" s="1">
        <v>119.66800000000001</v>
      </c>
      <c r="F77" s="1">
        <v>383.76499999999999</v>
      </c>
      <c r="G77" s="7">
        <v>1</v>
      </c>
      <c r="H77" s="1">
        <v>60</v>
      </c>
      <c r="I77" s="1" t="s">
        <v>37</v>
      </c>
      <c r="J77" s="1">
        <v>127.8</v>
      </c>
      <c r="K77" s="1">
        <f t="shared" si="16"/>
        <v>-8.1319999999999908</v>
      </c>
      <c r="L77" s="1"/>
      <c r="M77" s="1"/>
      <c r="N77" s="1">
        <v>0</v>
      </c>
      <c r="O77" s="1">
        <f t="shared" si="17"/>
        <v>23.933600000000002</v>
      </c>
      <c r="P77" s="5"/>
      <c r="Q77" s="5"/>
      <c r="R77" s="1"/>
      <c r="S77" s="1">
        <f t="shared" si="18"/>
        <v>16.034570645452416</v>
      </c>
      <c r="T77" s="1">
        <f t="shared" si="19"/>
        <v>16.034570645452416</v>
      </c>
      <c r="U77" s="1">
        <v>39.553400000000003</v>
      </c>
      <c r="V77" s="1">
        <v>40.644199999999998</v>
      </c>
      <c r="W77" s="1">
        <v>68.641199999999998</v>
      </c>
      <c r="X77" s="1">
        <v>52.031399999999998</v>
      </c>
      <c r="Y77" s="1">
        <v>39.861400000000003</v>
      </c>
      <c r="Z77" s="1">
        <v>39.3354</v>
      </c>
      <c r="AA77" s="1">
        <v>14.455399999999999</v>
      </c>
      <c r="AB77" s="1">
        <v>68.823800000000006</v>
      </c>
      <c r="AC77" s="1">
        <v>32.188200000000002</v>
      </c>
      <c r="AD77" s="1">
        <v>4.3322000000000003</v>
      </c>
      <c r="AE77" s="18" t="s">
        <v>144</v>
      </c>
      <c r="AF77" s="1">
        <f t="shared" si="20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126</v>
      </c>
      <c r="B78" s="1" t="s">
        <v>36</v>
      </c>
      <c r="C78" s="1">
        <v>69.353999999999999</v>
      </c>
      <c r="D78" s="1"/>
      <c r="E78" s="1">
        <v>26.943000000000001</v>
      </c>
      <c r="F78" s="1">
        <v>42.411000000000001</v>
      </c>
      <c r="G78" s="7">
        <v>1</v>
      </c>
      <c r="H78" s="1">
        <v>60</v>
      </c>
      <c r="I78" s="1" t="s">
        <v>37</v>
      </c>
      <c r="J78" s="1">
        <v>27.5</v>
      </c>
      <c r="K78" s="1">
        <f t="shared" si="16"/>
        <v>-0.55699999999999861</v>
      </c>
      <c r="L78" s="1"/>
      <c r="M78" s="1"/>
      <c r="N78" s="1">
        <v>0</v>
      </c>
      <c r="O78" s="1">
        <f t="shared" si="17"/>
        <v>5.3886000000000003</v>
      </c>
      <c r="P78" s="5">
        <f t="shared" si="21"/>
        <v>27.640799999999999</v>
      </c>
      <c r="Q78" s="5"/>
      <c r="R78" s="1"/>
      <c r="S78" s="1">
        <f t="shared" si="18"/>
        <v>13</v>
      </c>
      <c r="T78" s="1">
        <f t="shared" si="19"/>
        <v>7.8705043981739227</v>
      </c>
      <c r="U78" s="1">
        <v>3.8647999999999998</v>
      </c>
      <c r="V78" s="1">
        <v>4.3966000000000003</v>
      </c>
      <c r="W78" s="1">
        <v>8.4665999999999997</v>
      </c>
      <c r="X78" s="1">
        <v>4.3712</v>
      </c>
      <c r="Y78" s="1">
        <v>5.8925999999999998</v>
      </c>
      <c r="Z78" s="1">
        <v>0</v>
      </c>
      <c r="AA78" s="1">
        <v>20.697199999999999</v>
      </c>
      <c r="AB78" s="1">
        <v>3.9809999999999999</v>
      </c>
      <c r="AC78" s="1">
        <v>5.7657999999999996</v>
      </c>
      <c r="AD78" s="1">
        <v>7.9542000000000002</v>
      </c>
      <c r="AE78" s="1"/>
      <c r="AF78" s="1">
        <f t="shared" si="20"/>
        <v>27.640799999999999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127</v>
      </c>
      <c r="B79" s="1" t="s">
        <v>42</v>
      </c>
      <c r="C79" s="1">
        <v>10</v>
      </c>
      <c r="D79" s="1">
        <v>1</v>
      </c>
      <c r="E79" s="1">
        <v>11</v>
      </c>
      <c r="F79" s="1"/>
      <c r="G79" s="7">
        <v>0.5</v>
      </c>
      <c r="H79" s="1">
        <v>60</v>
      </c>
      <c r="I79" s="1" t="s">
        <v>37</v>
      </c>
      <c r="J79" s="1">
        <v>12</v>
      </c>
      <c r="K79" s="1">
        <f t="shared" si="16"/>
        <v>-1</v>
      </c>
      <c r="L79" s="1"/>
      <c r="M79" s="1"/>
      <c r="N79" s="1">
        <v>0</v>
      </c>
      <c r="O79" s="1">
        <f t="shared" si="17"/>
        <v>2.2000000000000002</v>
      </c>
      <c r="P79" s="5">
        <f>8*O79-N79-F79</f>
        <v>17.600000000000001</v>
      </c>
      <c r="Q79" s="5"/>
      <c r="R79" s="1"/>
      <c r="S79" s="1">
        <f t="shared" si="18"/>
        <v>8</v>
      </c>
      <c r="T79" s="1">
        <f t="shared" si="19"/>
        <v>0</v>
      </c>
      <c r="U79" s="1">
        <v>0.2</v>
      </c>
      <c r="V79" s="1">
        <v>0.6</v>
      </c>
      <c r="W79" s="1">
        <v>0.8</v>
      </c>
      <c r="X79" s="1">
        <v>1.6</v>
      </c>
      <c r="Y79" s="1">
        <v>1.4</v>
      </c>
      <c r="Z79" s="1">
        <v>1.4</v>
      </c>
      <c r="AA79" s="1">
        <v>1</v>
      </c>
      <c r="AB79" s="1">
        <v>1</v>
      </c>
      <c r="AC79" s="1">
        <v>3.4</v>
      </c>
      <c r="AD79" s="1">
        <v>1.4</v>
      </c>
      <c r="AE79" s="1"/>
      <c r="AF79" s="1">
        <f t="shared" si="20"/>
        <v>8.8000000000000007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128</v>
      </c>
      <c r="B80" s="1" t="s">
        <v>42</v>
      </c>
      <c r="C80" s="1">
        <v>27</v>
      </c>
      <c r="D80" s="1"/>
      <c r="E80" s="1">
        <v>24</v>
      </c>
      <c r="F80" s="1"/>
      <c r="G80" s="7">
        <v>0.5</v>
      </c>
      <c r="H80" s="1">
        <v>40</v>
      </c>
      <c r="I80" s="1" t="s">
        <v>37</v>
      </c>
      <c r="J80" s="1">
        <v>31</v>
      </c>
      <c r="K80" s="1">
        <f t="shared" si="16"/>
        <v>-7</v>
      </c>
      <c r="L80" s="1"/>
      <c r="M80" s="1"/>
      <c r="N80" s="1">
        <v>22.4</v>
      </c>
      <c r="O80" s="1">
        <f t="shared" si="17"/>
        <v>4.8</v>
      </c>
      <c r="P80" s="5">
        <f t="shared" si="21"/>
        <v>40</v>
      </c>
      <c r="Q80" s="5"/>
      <c r="R80" s="1"/>
      <c r="S80" s="1">
        <f t="shared" si="18"/>
        <v>13</v>
      </c>
      <c r="T80" s="1">
        <f t="shared" si="19"/>
        <v>4.666666666666667</v>
      </c>
      <c r="U80" s="1">
        <v>3.8</v>
      </c>
      <c r="V80" s="1">
        <v>-1.6</v>
      </c>
      <c r="W80" s="1">
        <v>6.4</v>
      </c>
      <c r="X80" s="1">
        <v>-2.2000000000000002</v>
      </c>
      <c r="Y80" s="1">
        <v>4.2</v>
      </c>
      <c r="Z80" s="1">
        <v>2.4</v>
      </c>
      <c r="AA80" s="1">
        <v>3.4</v>
      </c>
      <c r="AB80" s="1">
        <v>6.8</v>
      </c>
      <c r="AC80" s="1">
        <v>5.2</v>
      </c>
      <c r="AD80" s="1">
        <v>4.5999999999999996</v>
      </c>
      <c r="AE80" s="1"/>
      <c r="AF80" s="1">
        <f t="shared" si="20"/>
        <v>20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129</v>
      </c>
      <c r="B81" s="1" t="s">
        <v>42</v>
      </c>
      <c r="C81" s="1">
        <v>4</v>
      </c>
      <c r="D81" s="1">
        <v>1</v>
      </c>
      <c r="E81" s="1">
        <v>-1</v>
      </c>
      <c r="F81" s="1"/>
      <c r="G81" s="7">
        <v>0.5</v>
      </c>
      <c r="H81" s="1">
        <v>60</v>
      </c>
      <c r="I81" s="1" t="s">
        <v>37</v>
      </c>
      <c r="J81" s="1">
        <v>5</v>
      </c>
      <c r="K81" s="1">
        <f t="shared" si="16"/>
        <v>-6</v>
      </c>
      <c r="L81" s="1"/>
      <c r="M81" s="1"/>
      <c r="N81" s="1">
        <v>18</v>
      </c>
      <c r="O81" s="1">
        <f t="shared" si="17"/>
        <v>-0.2</v>
      </c>
      <c r="P81" s="5"/>
      <c r="Q81" s="5"/>
      <c r="R81" s="1"/>
      <c r="S81" s="1">
        <f t="shared" si="18"/>
        <v>-90</v>
      </c>
      <c r="T81" s="1">
        <f t="shared" si="19"/>
        <v>-90</v>
      </c>
      <c r="U81" s="1">
        <v>2.2000000000000002</v>
      </c>
      <c r="V81" s="1">
        <v>0.6</v>
      </c>
      <c r="W81" s="1">
        <v>0.8</v>
      </c>
      <c r="X81" s="1">
        <v>1.2</v>
      </c>
      <c r="Y81" s="1">
        <v>2.4</v>
      </c>
      <c r="Z81" s="1">
        <v>3.2</v>
      </c>
      <c r="AA81" s="1">
        <v>2</v>
      </c>
      <c r="AB81" s="1">
        <v>-0.2</v>
      </c>
      <c r="AC81" s="1">
        <v>3.2</v>
      </c>
      <c r="AD81" s="1">
        <v>1</v>
      </c>
      <c r="AE81" s="1"/>
      <c r="AF81" s="1">
        <f t="shared" si="20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0" t="s">
        <v>130</v>
      </c>
      <c r="B82" s="10" t="s">
        <v>42</v>
      </c>
      <c r="C82" s="10"/>
      <c r="D82" s="10"/>
      <c r="E82" s="10">
        <v>-5</v>
      </c>
      <c r="F82" s="10"/>
      <c r="G82" s="11">
        <v>0</v>
      </c>
      <c r="H82" s="10" t="e">
        <v>#N/A</v>
      </c>
      <c r="I82" s="10" t="s">
        <v>37</v>
      </c>
      <c r="J82" s="10"/>
      <c r="K82" s="10">
        <f t="shared" si="16"/>
        <v>-5</v>
      </c>
      <c r="L82" s="10"/>
      <c r="M82" s="10"/>
      <c r="N82" s="10">
        <v>0</v>
      </c>
      <c r="O82" s="10">
        <f t="shared" si="17"/>
        <v>-1</v>
      </c>
      <c r="P82" s="12"/>
      <c r="Q82" s="12"/>
      <c r="R82" s="10"/>
      <c r="S82" s="10">
        <f t="shared" si="18"/>
        <v>0</v>
      </c>
      <c r="T82" s="10">
        <f t="shared" si="19"/>
        <v>0</v>
      </c>
      <c r="U82" s="10">
        <v>0.4</v>
      </c>
      <c r="V82" s="10">
        <v>-0.4</v>
      </c>
      <c r="W82" s="10">
        <v>-0.6</v>
      </c>
      <c r="X82" s="10">
        <v>0.6</v>
      </c>
      <c r="Y82" s="10">
        <v>-0.2</v>
      </c>
      <c r="Z82" s="10">
        <v>0.2</v>
      </c>
      <c r="AA82" s="10">
        <v>0</v>
      </c>
      <c r="AB82" s="10">
        <v>2.6</v>
      </c>
      <c r="AC82" s="10">
        <v>1.6</v>
      </c>
      <c r="AD82" s="10">
        <v>0.4</v>
      </c>
      <c r="AE82" s="10" t="s">
        <v>44</v>
      </c>
      <c r="AF82" s="10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131</v>
      </c>
      <c r="B83" s="1" t="s">
        <v>42</v>
      </c>
      <c r="C83" s="1">
        <v>10</v>
      </c>
      <c r="D83" s="1"/>
      <c r="E83" s="1">
        <v>-2</v>
      </c>
      <c r="F83" s="1">
        <v>10</v>
      </c>
      <c r="G83" s="7">
        <v>0.4</v>
      </c>
      <c r="H83" s="1" t="e">
        <v>#N/A</v>
      </c>
      <c r="I83" s="1" t="s">
        <v>37</v>
      </c>
      <c r="J83" s="1">
        <v>7</v>
      </c>
      <c r="K83" s="1">
        <f t="shared" si="16"/>
        <v>-9</v>
      </c>
      <c r="L83" s="1"/>
      <c r="M83" s="1"/>
      <c r="N83" s="1">
        <v>0</v>
      </c>
      <c r="O83" s="1">
        <f t="shared" si="17"/>
        <v>-0.4</v>
      </c>
      <c r="P83" s="5"/>
      <c r="Q83" s="5"/>
      <c r="R83" s="1"/>
      <c r="S83" s="1">
        <f t="shared" si="18"/>
        <v>-25</v>
      </c>
      <c r="T83" s="1">
        <f t="shared" si="19"/>
        <v>-25</v>
      </c>
      <c r="U83" s="1">
        <v>0.2</v>
      </c>
      <c r="V83" s="1">
        <v>0</v>
      </c>
      <c r="W83" s="1">
        <v>0</v>
      </c>
      <c r="X83" s="1">
        <v>0.4</v>
      </c>
      <c r="Y83" s="1">
        <v>0.2</v>
      </c>
      <c r="Z83" s="1">
        <v>0.4</v>
      </c>
      <c r="AA83" s="1">
        <v>0.2</v>
      </c>
      <c r="AB83" s="1">
        <v>2.2000000000000002</v>
      </c>
      <c r="AC83" s="1">
        <v>0.8</v>
      </c>
      <c r="AD83" s="1">
        <v>0.4</v>
      </c>
      <c r="AE83" s="17" t="s">
        <v>53</v>
      </c>
      <c r="AF83" s="1">
        <f>G83*P83</f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132</v>
      </c>
      <c r="B84" s="1" t="s">
        <v>42</v>
      </c>
      <c r="C84" s="1">
        <v>22</v>
      </c>
      <c r="D84" s="1">
        <v>67</v>
      </c>
      <c r="E84" s="1">
        <v>68</v>
      </c>
      <c r="F84" s="1">
        <v>5</v>
      </c>
      <c r="G84" s="7">
        <v>0.35</v>
      </c>
      <c r="H84" s="1" t="e">
        <v>#N/A</v>
      </c>
      <c r="I84" s="1" t="s">
        <v>37</v>
      </c>
      <c r="J84" s="1">
        <v>72</v>
      </c>
      <c r="K84" s="1">
        <f t="shared" si="16"/>
        <v>-4</v>
      </c>
      <c r="L84" s="1"/>
      <c r="M84" s="1"/>
      <c r="N84" s="1">
        <v>29.599999999999991</v>
      </c>
      <c r="O84" s="1">
        <f t="shared" si="17"/>
        <v>13.6</v>
      </c>
      <c r="P84" s="5">
        <f>11*O84-N84-F84</f>
        <v>115</v>
      </c>
      <c r="Q84" s="5"/>
      <c r="R84" s="1"/>
      <c r="S84" s="1">
        <f t="shared" si="18"/>
        <v>11</v>
      </c>
      <c r="T84" s="1">
        <f t="shared" si="19"/>
        <v>2.5441176470588234</v>
      </c>
      <c r="U84" s="1">
        <v>8.1999999999999993</v>
      </c>
      <c r="V84" s="1">
        <v>9.1999999999999993</v>
      </c>
      <c r="W84" s="1">
        <v>6.6</v>
      </c>
      <c r="X84" s="1">
        <v>10.8</v>
      </c>
      <c r="Y84" s="1">
        <v>10.8</v>
      </c>
      <c r="Z84" s="1">
        <v>9.1999999999999993</v>
      </c>
      <c r="AA84" s="1">
        <v>6</v>
      </c>
      <c r="AB84" s="1">
        <v>10.8</v>
      </c>
      <c r="AC84" s="1">
        <v>10.199999999999999</v>
      </c>
      <c r="AD84" s="1">
        <v>7.8</v>
      </c>
      <c r="AE84" s="1"/>
      <c r="AF84" s="1">
        <f>G84*P84</f>
        <v>40.25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133</v>
      </c>
      <c r="B85" s="1" t="s">
        <v>42</v>
      </c>
      <c r="C85" s="1"/>
      <c r="D85" s="1">
        <v>59</v>
      </c>
      <c r="E85" s="1">
        <v>32</v>
      </c>
      <c r="F85" s="1"/>
      <c r="G85" s="7">
        <v>0.3</v>
      </c>
      <c r="H85" s="1" t="e">
        <v>#N/A</v>
      </c>
      <c r="I85" s="1" t="s">
        <v>37</v>
      </c>
      <c r="J85" s="1">
        <v>52</v>
      </c>
      <c r="K85" s="1">
        <f t="shared" si="16"/>
        <v>-20</v>
      </c>
      <c r="L85" s="1"/>
      <c r="M85" s="1"/>
      <c r="N85" s="1">
        <v>23</v>
      </c>
      <c r="O85" s="1">
        <f t="shared" si="17"/>
        <v>6.4</v>
      </c>
      <c r="P85" s="5">
        <f>12*O85-N85-F85</f>
        <v>53.800000000000011</v>
      </c>
      <c r="Q85" s="5"/>
      <c r="R85" s="1"/>
      <c r="S85" s="1">
        <f t="shared" si="18"/>
        <v>12.000000000000002</v>
      </c>
      <c r="T85" s="1">
        <f t="shared" si="19"/>
        <v>3.59375</v>
      </c>
      <c r="U85" s="1">
        <v>5</v>
      </c>
      <c r="V85" s="1">
        <v>5.2</v>
      </c>
      <c r="W85" s="1">
        <v>5.4</v>
      </c>
      <c r="X85" s="1">
        <v>7.2</v>
      </c>
      <c r="Y85" s="1">
        <v>4.8</v>
      </c>
      <c r="Z85" s="1">
        <v>6.6</v>
      </c>
      <c r="AA85" s="1">
        <v>4.2</v>
      </c>
      <c r="AB85" s="1">
        <v>3.8</v>
      </c>
      <c r="AC85" s="1">
        <v>8.1999999999999993</v>
      </c>
      <c r="AD85" s="1">
        <v>4.6264000000000003</v>
      </c>
      <c r="AE85" s="1"/>
      <c r="AF85" s="1">
        <f>G85*P85</f>
        <v>16.140000000000004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134</v>
      </c>
      <c r="B86" s="1" t="s">
        <v>42</v>
      </c>
      <c r="C86" s="1">
        <v>-31</v>
      </c>
      <c r="D86" s="1">
        <v>85</v>
      </c>
      <c r="E86" s="16">
        <v>54</v>
      </c>
      <c r="F86" s="1"/>
      <c r="G86" s="7">
        <v>0</v>
      </c>
      <c r="H86" s="1" t="e">
        <v>#N/A</v>
      </c>
      <c r="I86" s="1" t="s">
        <v>135</v>
      </c>
      <c r="J86" s="1">
        <v>54</v>
      </c>
      <c r="K86" s="1">
        <f t="shared" si="16"/>
        <v>0</v>
      </c>
      <c r="L86" s="1"/>
      <c r="M86" s="1"/>
      <c r="N86" s="1">
        <v>0</v>
      </c>
      <c r="O86" s="1">
        <f t="shared" si="17"/>
        <v>10.8</v>
      </c>
      <c r="P86" s="5"/>
      <c r="Q86" s="5"/>
      <c r="R86" s="1"/>
      <c r="S86" s="1">
        <f t="shared" si="18"/>
        <v>0</v>
      </c>
      <c r="T86" s="1">
        <f t="shared" si="19"/>
        <v>0</v>
      </c>
      <c r="U86" s="1">
        <v>9</v>
      </c>
      <c r="V86" s="1">
        <v>9.4</v>
      </c>
      <c r="W86" s="1">
        <v>4.2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135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136</v>
      </c>
      <c r="B87" s="1" t="s">
        <v>42</v>
      </c>
      <c r="C87" s="1">
        <v>-79</v>
      </c>
      <c r="D87" s="1">
        <v>169</v>
      </c>
      <c r="E87" s="16">
        <v>90</v>
      </c>
      <c r="F87" s="1"/>
      <c r="G87" s="7">
        <v>0</v>
      </c>
      <c r="H87" s="1" t="e">
        <v>#N/A</v>
      </c>
      <c r="I87" s="1" t="s">
        <v>135</v>
      </c>
      <c r="J87" s="1">
        <v>110</v>
      </c>
      <c r="K87" s="1">
        <f t="shared" si="16"/>
        <v>-20</v>
      </c>
      <c r="L87" s="1"/>
      <c r="M87" s="1"/>
      <c r="N87" s="1">
        <v>0</v>
      </c>
      <c r="O87" s="1">
        <f t="shared" si="17"/>
        <v>18</v>
      </c>
      <c r="P87" s="5"/>
      <c r="Q87" s="5"/>
      <c r="R87" s="1"/>
      <c r="S87" s="1">
        <f t="shared" si="18"/>
        <v>0</v>
      </c>
      <c r="T87" s="1">
        <f t="shared" si="19"/>
        <v>0</v>
      </c>
      <c r="U87" s="1">
        <v>25.8</v>
      </c>
      <c r="V87" s="1">
        <v>21.6</v>
      </c>
      <c r="W87" s="1">
        <v>12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135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137</v>
      </c>
      <c r="B88" s="1" t="s">
        <v>42</v>
      </c>
      <c r="C88" s="1">
        <v>-47</v>
      </c>
      <c r="D88" s="1">
        <v>187</v>
      </c>
      <c r="E88" s="16">
        <v>140</v>
      </c>
      <c r="F88" s="1"/>
      <c r="G88" s="7">
        <v>0</v>
      </c>
      <c r="H88" s="1" t="e">
        <v>#N/A</v>
      </c>
      <c r="I88" s="1" t="s">
        <v>135</v>
      </c>
      <c r="J88" s="1">
        <v>144</v>
      </c>
      <c r="K88" s="1">
        <f t="shared" si="16"/>
        <v>-4</v>
      </c>
      <c r="L88" s="1"/>
      <c r="M88" s="1"/>
      <c r="N88" s="1">
        <v>0</v>
      </c>
      <c r="O88" s="1">
        <f t="shared" si="17"/>
        <v>28</v>
      </c>
      <c r="P88" s="5"/>
      <c r="Q88" s="5"/>
      <c r="R88" s="1"/>
      <c r="S88" s="1">
        <f t="shared" si="18"/>
        <v>0</v>
      </c>
      <c r="T88" s="1">
        <f t="shared" si="19"/>
        <v>0</v>
      </c>
      <c r="U88" s="1">
        <v>14.8</v>
      </c>
      <c r="V88" s="1">
        <v>16.2</v>
      </c>
      <c r="W88" s="1">
        <v>8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 t="s">
        <v>135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138</v>
      </c>
      <c r="B89" s="1" t="s">
        <v>42</v>
      </c>
      <c r="C89" s="1">
        <v>4</v>
      </c>
      <c r="D89" s="1"/>
      <c r="E89" s="16">
        <v>1</v>
      </c>
      <c r="F89" s="1"/>
      <c r="G89" s="7">
        <v>0</v>
      </c>
      <c r="H89" s="1" t="e">
        <v>#N/A</v>
      </c>
      <c r="I89" s="1" t="s">
        <v>135</v>
      </c>
      <c r="J89" s="1">
        <v>1</v>
      </c>
      <c r="K89" s="1">
        <f t="shared" si="16"/>
        <v>0</v>
      </c>
      <c r="L89" s="1"/>
      <c r="M89" s="1"/>
      <c r="N89" s="1">
        <v>0</v>
      </c>
      <c r="O89" s="1">
        <f t="shared" si="17"/>
        <v>0.2</v>
      </c>
      <c r="P89" s="5"/>
      <c r="Q89" s="5"/>
      <c r="R89" s="1"/>
      <c r="S89" s="1">
        <f t="shared" si="18"/>
        <v>0</v>
      </c>
      <c r="T89" s="1">
        <f t="shared" si="19"/>
        <v>0</v>
      </c>
      <c r="U89" s="1">
        <v>0</v>
      </c>
      <c r="V89" s="1">
        <v>2.2000000000000002</v>
      </c>
      <c r="W89" s="1">
        <v>0.4</v>
      </c>
      <c r="X89" s="1">
        <v>15.4</v>
      </c>
      <c r="Y89" s="1">
        <v>13.4</v>
      </c>
      <c r="Z89" s="1">
        <v>13.2</v>
      </c>
      <c r="AA89" s="1">
        <v>14</v>
      </c>
      <c r="AB89" s="1">
        <v>2.2000000000000002</v>
      </c>
      <c r="AC89" s="1">
        <v>0</v>
      </c>
      <c r="AD89" s="1">
        <v>0</v>
      </c>
      <c r="AE89" s="1" t="s">
        <v>135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5" t="s">
        <v>139</v>
      </c>
      <c r="B90" s="1" t="s">
        <v>42</v>
      </c>
      <c r="C90" s="1"/>
      <c r="D90" s="1"/>
      <c r="E90" s="1"/>
      <c r="F90" s="1"/>
      <c r="G90" s="7">
        <v>0.12</v>
      </c>
      <c r="H90" s="1">
        <v>45</v>
      </c>
      <c r="I90" s="1" t="s">
        <v>37</v>
      </c>
      <c r="J90" s="1"/>
      <c r="K90" s="1">
        <f t="shared" si="16"/>
        <v>0</v>
      </c>
      <c r="L90" s="1"/>
      <c r="M90" s="1"/>
      <c r="N90" s="1">
        <v>50</v>
      </c>
      <c r="O90" s="1">
        <f t="shared" si="17"/>
        <v>0</v>
      </c>
      <c r="P90" s="5"/>
      <c r="Q90" s="5"/>
      <c r="R90" s="1"/>
      <c r="S90" s="1" t="e">
        <f t="shared" si="18"/>
        <v>#DIV/0!</v>
      </c>
      <c r="T90" s="1" t="e">
        <f t="shared" si="19"/>
        <v>#DIV/0!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 t="s">
        <v>140</v>
      </c>
      <c r="AF90" s="1">
        <f>G90*P90</f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5" t="s">
        <v>141</v>
      </c>
      <c r="B91" s="1" t="s">
        <v>42</v>
      </c>
      <c r="C91" s="1"/>
      <c r="D91" s="1"/>
      <c r="E91" s="1"/>
      <c r="F91" s="1"/>
      <c r="G91" s="7">
        <v>0.12</v>
      </c>
      <c r="H91" s="1">
        <v>90</v>
      </c>
      <c r="I91" s="1" t="s">
        <v>37</v>
      </c>
      <c r="J91" s="1"/>
      <c r="K91" s="1">
        <f t="shared" si="16"/>
        <v>0</v>
      </c>
      <c r="L91" s="1"/>
      <c r="M91" s="1"/>
      <c r="N91" s="1">
        <v>50</v>
      </c>
      <c r="O91" s="1">
        <f t="shared" si="17"/>
        <v>0</v>
      </c>
      <c r="P91" s="5"/>
      <c r="Q91" s="5"/>
      <c r="R91" s="1"/>
      <c r="S91" s="1" t="e">
        <f t="shared" si="18"/>
        <v>#DIV/0!</v>
      </c>
      <c r="T91" s="1" t="e">
        <f t="shared" si="19"/>
        <v>#DIV/0!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 t="s">
        <v>140</v>
      </c>
      <c r="AF91" s="1">
        <f>G91*P91</f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5" t="s">
        <v>142</v>
      </c>
      <c r="B92" s="1" t="s">
        <v>42</v>
      </c>
      <c r="C92" s="1"/>
      <c r="D92" s="1"/>
      <c r="E92" s="1"/>
      <c r="F92" s="1"/>
      <c r="G92" s="7">
        <v>7.0000000000000007E-2</v>
      </c>
      <c r="H92" s="1">
        <v>60</v>
      </c>
      <c r="I92" s="1" t="s">
        <v>37</v>
      </c>
      <c r="J92" s="1"/>
      <c r="K92" s="1">
        <f t="shared" si="16"/>
        <v>0</v>
      </c>
      <c r="L92" s="1"/>
      <c r="M92" s="1"/>
      <c r="N92" s="1">
        <v>50</v>
      </c>
      <c r="O92" s="1">
        <f t="shared" si="17"/>
        <v>0</v>
      </c>
      <c r="P92" s="5"/>
      <c r="Q92" s="5"/>
      <c r="R92" s="1"/>
      <c r="S92" s="1" t="e">
        <f t="shared" si="18"/>
        <v>#DIV/0!</v>
      </c>
      <c r="T92" s="1" t="e">
        <f t="shared" si="19"/>
        <v>#DIV/0!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 t="s">
        <v>140</v>
      </c>
      <c r="AF92" s="1">
        <f>G92*P92</f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5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F92" xr:uid="{E59D2435-474E-43A3-A5C9-7FD9CBD47F2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2025-04-28T11:51:54Z</dcterms:created>
  <dcterms:modified xsi:type="dcterms:W3CDTF">2025-04-28T12:04:58Z</dcterms:modified>
</cp:coreProperties>
</file>