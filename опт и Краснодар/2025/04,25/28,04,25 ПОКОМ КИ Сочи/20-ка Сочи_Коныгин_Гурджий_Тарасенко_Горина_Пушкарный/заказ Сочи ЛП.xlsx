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och\"/>
    </mc:Choice>
  </mc:AlternateContent>
  <xr:revisionPtr revIDLastSave="0" documentId="13_ncr:1_{49B3DCD6-229D-489F-928A-F0E1E8D713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BP521" i="1"/>
  <c r="BO521" i="1"/>
  <c r="BN521" i="1"/>
  <c r="BM521" i="1"/>
  <c r="Z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BP517" i="1"/>
  <c r="BO517" i="1"/>
  <c r="BN517" i="1"/>
  <c r="BM517" i="1"/>
  <c r="Z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P506" i="1"/>
  <c r="BO505" i="1"/>
  <c r="BM505" i="1"/>
  <c r="Y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Y473" i="1" s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79" i="1" s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Y269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Y251" i="1" s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K606" i="1" s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Y180" i="1" s="1"/>
  <c r="P171" i="1"/>
  <c r="X169" i="1"/>
  <c r="Y168" i="1"/>
  <c r="X168" i="1"/>
  <c r="BP167" i="1"/>
  <c r="BO167" i="1"/>
  <c r="BN167" i="1"/>
  <c r="BM167" i="1"/>
  <c r="Z167" i="1"/>
  <c r="Z168" i="1" s="1"/>
  <c r="Y167" i="1"/>
  <c r="I606" i="1" s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Y158" i="1"/>
  <c r="X158" i="1"/>
  <c r="BP157" i="1"/>
  <c r="BO157" i="1"/>
  <c r="BN157" i="1"/>
  <c r="BM157" i="1"/>
  <c r="Z157" i="1"/>
  <c r="Y157" i="1"/>
  <c r="P157" i="1"/>
  <c r="BO156" i="1"/>
  <c r="BM156" i="1"/>
  <c r="Y156" i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G606" i="1" s="1"/>
  <c r="P135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7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6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X599" i="1" s="1"/>
  <c r="Y22" i="1"/>
  <c r="B606" i="1" s="1"/>
  <c r="P22" i="1"/>
  <c r="H10" i="1"/>
  <c r="A9" i="1"/>
  <c r="F10" i="1" s="1"/>
  <c r="D7" i="1"/>
  <c r="Q6" i="1"/>
  <c r="P2" i="1"/>
  <c r="H9" i="1" l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6" i="1"/>
  <c r="Y132" i="1"/>
  <c r="Y137" i="1"/>
  <c r="Y143" i="1"/>
  <c r="Y147" i="1"/>
  <c r="BP172" i="1"/>
  <c r="BN172" i="1"/>
  <c r="Z172" i="1"/>
  <c r="Z180" i="1" s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F9" i="1"/>
  <c r="J9" i="1"/>
  <c r="Z22" i="1"/>
  <c r="BN22" i="1"/>
  <c r="BP22" i="1"/>
  <c r="Z26" i="1"/>
  <c r="BN26" i="1"/>
  <c r="X600" i="1"/>
  <c r="Y29" i="1"/>
  <c r="C606" i="1"/>
  <c r="Z38" i="1"/>
  <c r="Z41" i="1" s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BN65" i="1"/>
  <c r="BP65" i="1"/>
  <c r="Z67" i="1"/>
  <c r="BN67" i="1"/>
  <c r="Z71" i="1"/>
  <c r="Z77" i="1" s="1"/>
  <c r="BN71" i="1"/>
  <c r="BP71" i="1"/>
  <c r="Z73" i="1"/>
  <c r="BN73" i="1"/>
  <c r="Z75" i="1"/>
  <c r="BN75" i="1"/>
  <c r="Z81" i="1"/>
  <c r="Z83" i="1" s="1"/>
  <c r="BN81" i="1"/>
  <c r="E606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Z110" i="1" s="1"/>
  <c r="BN107" i="1"/>
  <c r="Z109" i="1"/>
  <c r="BN109" i="1"/>
  <c r="Y110" i="1"/>
  <c r="Z113" i="1"/>
  <c r="BN113" i="1"/>
  <c r="BP113" i="1"/>
  <c r="Z115" i="1"/>
  <c r="BN115" i="1"/>
  <c r="Z119" i="1"/>
  <c r="Z126" i="1" s="1"/>
  <c r="BN119" i="1"/>
  <c r="BP119" i="1"/>
  <c r="Z124" i="1"/>
  <c r="BN124" i="1"/>
  <c r="Z130" i="1"/>
  <c r="Z131" i="1" s="1"/>
  <c r="BN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BP145" i="1"/>
  <c r="H606" i="1"/>
  <c r="Y153" i="1"/>
  <c r="Z158" i="1"/>
  <c r="BP156" i="1"/>
  <c r="BN156" i="1"/>
  <c r="Z156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BP218" i="1"/>
  <c r="BN218" i="1"/>
  <c r="Z218" i="1"/>
  <c r="Z224" i="1" s="1"/>
  <c r="BP222" i="1"/>
  <c r="BN222" i="1"/>
  <c r="Z222" i="1"/>
  <c r="Y169" i="1"/>
  <c r="Z233" i="1"/>
  <c r="Z241" i="1" s="1"/>
  <c r="BN233" i="1"/>
  <c r="BP233" i="1"/>
  <c r="Z235" i="1"/>
  <c r="BN235" i="1"/>
  <c r="Z237" i="1"/>
  <c r="BN237" i="1"/>
  <c r="Z239" i="1"/>
  <c r="BN239" i="1"/>
  <c r="Y242" i="1"/>
  <c r="Z249" i="1"/>
  <c r="Z250" i="1" s="1"/>
  <c r="BN249" i="1"/>
  <c r="BP249" i="1"/>
  <c r="Y250" i="1"/>
  <c r="L606" i="1"/>
  <c r="Z263" i="1"/>
  <c r="BN263" i="1"/>
  <c r="BP263" i="1"/>
  <c r="Z265" i="1"/>
  <c r="Z268" i="1" s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241" i="1"/>
  <c r="Y274" i="1"/>
  <c r="Y282" i="1"/>
  <c r="Y291" i="1"/>
  <c r="Y296" i="1"/>
  <c r="Y308" i="1"/>
  <c r="BP307" i="1"/>
  <c r="BN30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Z340" i="1" s="1"/>
  <c r="Y340" i="1"/>
  <c r="Z348" i="1"/>
  <c r="BP344" i="1"/>
  <c r="BN344" i="1"/>
  <c r="Z344" i="1"/>
  <c r="Y348" i="1"/>
  <c r="BP352" i="1"/>
  <c r="BN352" i="1"/>
  <c r="Z352" i="1"/>
  <c r="Z354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Y524" i="1"/>
  <c r="BP512" i="1"/>
  <c r="BN512" i="1"/>
  <c r="Z512" i="1"/>
  <c r="BP514" i="1"/>
  <c r="BN514" i="1"/>
  <c r="Z514" i="1"/>
  <c r="BP516" i="1"/>
  <c r="BN516" i="1"/>
  <c r="Z516" i="1"/>
  <c r="Y523" i="1"/>
  <c r="Z529" i="1"/>
  <c r="BP527" i="1"/>
  <c r="BN527" i="1"/>
  <c r="Z527" i="1"/>
  <c r="Y529" i="1"/>
  <c r="Z606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Z509" i="1" s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70" i="1" l="1"/>
  <c r="Z466" i="1"/>
  <c r="Z393" i="1"/>
  <c r="Z367" i="1"/>
  <c r="Z361" i="1"/>
  <c r="Z290" i="1"/>
  <c r="Z281" i="1"/>
  <c r="Z116" i="1"/>
  <c r="Z68" i="1"/>
  <c r="Z55" i="1"/>
  <c r="Y596" i="1"/>
  <c r="Y598" i="1"/>
  <c r="Z28" i="1"/>
  <c r="Z212" i="1"/>
  <c r="Y600" i="1"/>
  <c r="Z552" i="1"/>
  <c r="Z523" i="1"/>
  <c r="Z502" i="1"/>
  <c r="Y597" i="1"/>
  <c r="Y599" i="1" s="1"/>
  <c r="Z601" i="1" l="1"/>
</calcChain>
</file>

<file path=xl/sharedStrings.xml><?xml version="1.0" encoding="utf-8"?>
<sst xmlns="http://schemas.openxmlformats.org/spreadsheetml/2006/main" count="2760" uniqueCount="982">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</sst>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0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47</v>
      </c>
      <c r="Y37" s="668">
        <f>IFERROR(IF(X37="",0,CEILING((X37/$H37),1)*$H37),"")</f>
        <v>54</v>
      </c>
      <c r="Z37" s="36">
        <f>IFERROR(IF(Y37=0,"",ROUNDUP(Y37/H37,0)*0.01898),"")</f>
        <v>9.4899999999999998E-2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48.893055555555549</v>
      </c>
      <c r="BN37" s="64">
        <f>IFERROR(Y37*I37/H37,"0")</f>
        <v>56.17499999999999</v>
      </c>
      <c r="BO37" s="64">
        <f>IFERROR(1/J37*(X37/H37),"0")</f>
        <v>6.7997685185185175E-2</v>
      </c>
      <c r="BP37" s="64">
        <f>IFERROR(1/J37*(Y37/H37),"0")</f>
        <v>7.8125E-2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120</v>
      </c>
      <c r="Y38" s="668">
        <f>IFERROR(IF(X38="",0,CEILING((X38/$H38),1)*$H38),"")</f>
        <v>120</v>
      </c>
      <c r="Z38" s="36">
        <f>IFERROR(IF(Y38=0,"",ROUNDUP(Y38/H38,0)*0.00902),"")</f>
        <v>0.27060000000000001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126.3</v>
      </c>
      <c r="BN38" s="64">
        <f>IFERROR(Y38*I38/H38,"0")</f>
        <v>126.3</v>
      </c>
      <c r="BO38" s="64">
        <f>IFERROR(1/J38*(X38/H38),"0")</f>
        <v>0.22727272727272729</v>
      </c>
      <c r="BP38" s="64">
        <f>IFERROR(1/J38*(Y38/H38),"0")</f>
        <v>0.22727272727272729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34.351851851851848</v>
      </c>
      <c r="Y41" s="669">
        <f>IFERROR(Y37/H37,"0")+IFERROR(Y38/H38,"0")+IFERROR(Y39/H39,"0")+IFERROR(Y40/H40,"0")</f>
        <v>35</v>
      </c>
      <c r="Z41" s="669">
        <f>IFERROR(IF(Z37="",0,Z37),"0")+IFERROR(IF(Z38="",0,Z38),"0")+IFERROR(IF(Z39="",0,Z39),"0")+IFERROR(IF(Z40="",0,Z40),"0")</f>
        <v>0.36549999999999999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167</v>
      </c>
      <c r="Y42" s="669">
        <f>IFERROR(SUM(Y37:Y40),"0")</f>
        <v>174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46</v>
      </c>
      <c r="Y50" s="668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47.852777777777767</v>
      </c>
      <c r="BN50" s="64">
        <f t="shared" si="8"/>
        <v>56.17499999999999</v>
      </c>
      <c r="BO50" s="64">
        <f t="shared" si="9"/>
        <v>6.6550925925925916E-2</v>
      </c>
      <c r="BP50" s="64">
        <f t="shared" si="10"/>
        <v>7.8125E-2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180</v>
      </c>
      <c r="Y54" s="668">
        <f t="shared" si="6"/>
        <v>180</v>
      </c>
      <c r="Z54" s="36">
        <f>IFERROR(IF(Y54=0,"",ROUNDUP(Y54/H54,0)*0.00902),"")</f>
        <v>0.36080000000000001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188.39999999999998</v>
      </c>
      <c r="BN54" s="64">
        <f t="shared" si="8"/>
        <v>188.39999999999998</v>
      </c>
      <c r="BO54" s="64">
        <f t="shared" si="9"/>
        <v>0.30303030303030304</v>
      </c>
      <c r="BP54" s="64">
        <f t="shared" si="10"/>
        <v>0.30303030303030304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44.25925925925926</v>
      </c>
      <c r="Y55" s="669">
        <f>IFERROR(Y49/H49,"0")+IFERROR(Y50/H50,"0")+IFERROR(Y51/H51,"0")+IFERROR(Y52/H52,"0")+IFERROR(Y53/H53,"0")+IFERROR(Y54/H54,"0")</f>
        <v>45</v>
      </c>
      <c r="Z55" s="669">
        <f>IFERROR(IF(Z49="",0,Z49),"0")+IFERROR(IF(Z50="",0,Z50),"0")+IFERROR(IF(Z51="",0,Z51),"0")+IFERROR(IF(Z52="",0,Z52),"0")+IFERROR(IF(Z53="",0,Z53),"0")+IFERROR(IF(Z54="",0,Z54),"0")</f>
        <v>0.45569999999999999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226</v>
      </c>
      <c r="Y56" s="669">
        <f>IFERROR(SUM(Y49:Y54),"0")</f>
        <v>234</v>
      </c>
      <c r="Z56" s="37"/>
      <c r="AA56" s="670"/>
      <c r="AB56" s="670"/>
      <c r="AC56" s="670"/>
    </row>
    <row r="57" spans="1:68" ht="14.25" customHeight="1" x14ac:dyDescent="0.25">
      <c r="A57" s="684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210</v>
      </c>
      <c r="Y58" s="668">
        <f>IFERROR(IF(X58="",0,CEILING((X58/$H58),1)*$H58),"")</f>
        <v>216</v>
      </c>
      <c r="Z58" s="36">
        <f>IFERROR(IF(Y58=0,"",ROUNDUP(Y58/H58,0)*0.01898),"")</f>
        <v>0.37959999999999999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218.45833333333331</v>
      </c>
      <c r="BN58" s="64">
        <f>IFERROR(Y58*I58/H58,"0")</f>
        <v>224.69999999999996</v>
      </c>
      <c r="BO58" s="64">
        <f>IFERROR(1/J58*(X58/H58),"0")</f>
        <v>0.30381944444444442</v>
      </c>
      <c r="BP58" s="64">
        <f>IFERROR(1/J58*(Y58/H58),"0")</f>
        <v>0.3125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54</v>
      </c>
      <c r="Y61" s="668">
        <f>IFERROR(IF(X61="",0,CEILING((X61/$H61),1)*$H61),"")</f>
        <v>54</v>
      </c>
      <c r="Z61" s="36">
        <f>IFERROR(IF(Y61=0,"",ROUNDUP(Y61/H61,0)*0.00651),"")</f>
        <v>0.13020000000000001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57.599999999999987</v>
      </c>
      <c r="BN61" s="64">
        <f>IFERROR(Y61*I61/H61,"0")</f>
        <v>57.599999999999987</v>
      </c>
      <c r="BO61" s="64">
        <f>IFERROR(1/J61*(X61/H61),"0")</f>
        <v>0.1098901098901099</v>
      </c>
      <c r="BP61" s="64">
        <f>IFERROR(1/J61*(Y61/H61),"0")</f>
        <v>0.1098901098901099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39.444444444444443</v>
      </c>
      <c r="Y62" s="669">
        <f>IFERROR(Y58/H58,"0")+IFERROR(Y59/H59,"0")+IFERROR(Y60/H60,"0")+IFERROR(Y61/H61,"0")</f>
        <v>40</v>
      </c>
      <c r="Z62" s="669">
        <f>IFERROR(IF(Z58="",0,Z58),"0")+IFERROR(IF(Z59="",0,Z59),"0")+IFERROR(IF(Z60="",0,Z60),"0")+IFERROR(IF(Z61="",0,Z61),"0")</f>
        <v>0.50980000000000003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264</v>
      </c>
      <c r="Y63" s="669">
        <f>IFERROR(SUM(Y58:Y61),"0")</f>
        <v>270</v>
      </c>
      <c r="Z63" s="37"/>
      <c r="AA63" s="670"/>
      <c r="AB63" s="670"/>
      <c r="AC63" s="670"/>
    </row>
    <row r="64" spans="1:68" ht="14.25" customHeight="1" x14ac:dyDescent="0.25">
      <c r="A64" s="684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4</v>
      </c>
      <c r="Y87" s="668">
        <f>IFERROR(IF(X87="",0,CEILING((X87/$H87),1)*$H87),"")</f>
        <v>10.8</v>
      </c>
      <c r="Z87" s="36">
        <f>IFERROR(IF(Y87=0,"",ROUNDUP(Y87/H87,0)*0.01898),"")</f>
        <v>1.898E-2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4.1611111111111105</v>
      </c>
      <c r="BN87" s="64">
        <f>IFERROR(Y87*I87/H87,"0")</f>
        <v>11.234999999999999</v>
      </c>
      <c r="BO87" s="64">
        <f>IFERROR(1/J87*(X87/H87),"0")</f>
        <v>5.7870370370370367E-3</v>
      </c>
      <c r="BP87" s="64">
        <f>IFERROR(1/J87*(Y87/H87),"0")</f>
        <v>1.5625E-2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90</v>
      </c>
      <c r="Y89" s="668">
        <f>IFERROR(IF(X89="",0,CEILING((X89/$H89),1)*$H89),"")</f>
        <v>90</v>
      </c>
      <c r="Z89" s="36">
        <f>IFERROR(IF(Y89=0,"",ROUNDUP(Y89/H89,0)*0.00902),"")</f>
        <v>0.1804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94.199999999999989</v>
      </c>
      <c r="BN89" s="64">
        <f>IFERROR(Y89*I89/H89,"0")</f>
        <v>94.199999999999989</v>
      </c>
      <c r="BO89" s="64">
        <f>IFERROR(1/J89*(X89/H89),"0")</f>
        <v>0.15151515151515152</v>
      </c>
      <c r="BP89" s="64">
        <f>IFERROR(1/J89*(Y89/H89),"0")</f>
        <v>0.15151515151515152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20.37037037037037</v>
      </c>
      <c r="Y90" s="669">
        <f>IFERROR(Y87/H87,"0")+IFERROR(Y88/H88,"0")+IFERROR(Y89/H89,"0")</f>
        <v>21</v>
      </c>
      <c r="Z90" s="669">
        <f>IFERROR(IF(Z87="",0,Z87),"0")+IFERROR(IF(Z88="",0,Z88),"0")+IFERROR(IF(Z89="",0,Z89),"0")</f>
        <v>0.19938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94</v>
      </c>
      <c r="Y91" s="669">
        <f>IFERROR(SUM(Y87:Y89),"0")</f>
        <v>100.8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58</v>
      </c>
      <c r="Y93" s="668">
        <f t="shared" ref="Y93:Y101" si="16">IFERROR(IF(X93="",0,CEILING((X93/$H93),1)*$H93),"")</f>
        <v>58.800000000000004</v>
      </c>
      <c r="Z93" s="36">
        <f>IFERROR(IF(Y93=0,"",ROUNDUP(Y93/H93,0)*0.01898),"")</f>
        <v>0.13286000000000001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61.583571428571432</v>
      </c>
      <c r="BN93" s="64">
        <f t="shared" ref="BN93:BN101" si="18">IFERROR(Y93*I93/H93,"0")</f>
        <v>62.433000000000007</v>
      </c>
      <c r="BO93" s="64">
        <f t="shared" ref="BO93:BO101" si="19">IFERROR(1/J93*(X93/H93),"0")</f>
        <v>0.10788690476190475</v>
      </c>
      <c r="BP93" s="64">
        <f t="shared" ref="BP93:BP101" si="20">IFERROR(1/J93*(Y93/H93),"0")</f>
        <v>0.109375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6" t="s">
        <v>197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201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1" t="s">
        <v>205</v>
      </c>
      <c r="Q97" s="674"/>
      <c r="R97" s="674"/>
      <c r="S97" s="674"/>
      <c r="T97" s="675"/>
      <c r="U97" s="34"/>
      <c r="V97" s="34"/>
      <c r="W97" s="35" t="s">
        <v>69</v>
      </c>
      <c r="X97" s="667">
        <v>81</v>
      </c>
      <c r="Y97" s="668">
        <f t="shared" si="16"/>
        <v>81</v>
      </c>
      <c r="Z97" s="36">
        <f>IFERROR(IF(Y97=0,"",ROUNDUP(Y97/H97,0)*0.00651),"")</f>
        <v>0.1953</v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88.559999999999988</v>
      </c>
      <c r="BN97" s="64">
        <f t="shared" si="18"/>
        <v>88.559999999999988</v>
      </c>
      <c r="BO97" s="64">
        <f t="shared" si="19"/>
        <v>0.16483516483516483</v>
      </c>
      <c r="BP97" s="64">
        <f t="shared" si="20"/>
        <v>0.16483516483516483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88" t="s">
        <v>207</v>
      </c>
      <c r="Q98" s="674"/>
      <c r="R98" s="674"/>
      <c r="S98" s="674"/>
      <c r="T98" s="675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36.904761904761898</v>
      </c>
      <c r="Y102" s="669">
        <f>IFERROR(Y93/H93,"0")+IFERROR(Y94/H94,"0")+IFERROR(Y95/H95,"0")+IFERROR(Y96/H96,"0")+IFERROR(Y97/H97,"0")+IFERROR(Y98/H98,"0")+IFERROR(Y99/H99,"0")+IFERROR(Y100/H100,"0")+IFERROR(Y101/H101,"0")</f>
        <v>37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0.32816000000000001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139</v>
      </c>
      <c r="Y103" s="669">
        <f>IFERROR(SUM(Y93:Y101),"0")</f>
        <v>139.80000000000001</v>
      </c>
      <c r="Z103" s="37"/>
      <c r="AA103" s="670"/>
      <c r="AB103" s="670"/>
      <c r="AC103" s="670"/>
    </row>
    <row r="104" spans="1:68" ht="16.5" customHeight="1" x14ac:dyDescent="0.25">
      <c r="A104" s="685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68</v>
      </c>
      <c r="Y108" s="668">
        <f>IFERROR(IF(X108="",0,CEILING((X108/$H108),1)*$H108),"")</f>
        <v>72</v>
      </c>
      <c r="Z108" s="36">
        <f>IFERROR(IF(Y108=0,"",ROUNDUP(Y108/H108,0)*0.00902),"")</f>
        <v>0.14432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71.173333333333332</v>
      </c>
      <c r="BN108" s="64">
        <f>IFERROR(Y108*I108/H108,"0")</f>
        <v>75.36</v>
      </c>
      <c r="BO108" s="64">
        <f>IFERROR(1/J108*(X108/H108),"0")</f>
        <v>0.11447811447811448</v>
      </c>
      <c r="BP108" s="64">
        <f>IFERROR(1/J108*(Y108/H108),"0")</f>
        <v>0.12121212121212122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15.111111111111111</v>
      </c>
      <c r="Y110" s="669">
        <f>IFERROR(Y106/H106,"0")+IFERROR(Y107/H107,"0")+IFERROR(Y108/H108,"0")+IFERROR(Y109/H109,"0")</f>
        <v>16</v>
      </c>
      <c r="Z110" s="669">
        <f>IFERROR(IF(Z106="",0,Z106),"0")+IFERROR(IF(Z107="",0,Z107),"0")+IFERROR(IF(Z108="",0,Z108),"0")+IFERROR(IF(Z109="",0,Z109),"0")</f>
        <v>0.14432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68</v>
      </c>
      <c r="Y111" s="669">
        <f>IFERROR(SUM(Y106:Y109),"0")</f>
        <v>72</v>
      </c>
      <c r="Z111" s="37"/>
      <c r="AA111" s="670"/>
      <c r="AB111" s="670"/>
      <c r="AC111" s="670"/>
    </row>
    <row r="112" spans="1:68" ht="14.25" customHeight="1" x14ac:dyDescent="0.25">
      <c r="A112" s="684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2</v>
      </c>
      <c r="Y114" s="668">
        <f>IFERROR(IF(X114="",0,CEILING((X114/$H114),1)*$H114),"")</f>
        <v>2.4</v>
      </c>
      <c r="Z114" s="36">
        <f>IFERROR(IF(Y114=0,"",ROUNDUP(Y114/H114,0)*0.00502),"")</f>
        <v>5.0200000000000002E-3</v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2.0833333333333335</v>
      </c>
      <c r="BN114" s="64">
        <f>IFERROR(Y114*I114/H114,"0")</f>
        <v>2.5</v>
      </c>
      <c r="BO114" s="64">
        <f>IFERROR(1/J114*(X114/H114),"0")</f>
        <v>3.5612535612535618E-3</v>
      </c>
      <c r="BP114" s="64">
        <f>IFERROR(1/J114*(Y114/H114),"0")</f>
        <v>4.2735042735042739E-3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0.83333333333333337</v>
      </c>
      <c r="Y116" s="669">
        <f>IFERROR(Y113/H113,"0")+IFERROR(Y114/H114,"0")+IFERROR(Y115/H115,"0")</f>
        <v>1</v>
      </c>
      <c r="Z116" s="669">
        <f>IFERROR(IF(Z113="",0,Z113),"0")+IFERROR(IF(Z114="",0,Z114),"0")+IFERROR(IF(Z115="",0,Z115),"0")</f>
        <v>5.0200000000000002E-3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2</v>
      </c>
      <c r="Y117" s="669">
        <f>IFERROR(SUM(Y113:Y115),"0")</f>
        <v>2.4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231</v>
      </c>
      <c r="B121" s="54" t="s">
        <v>236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10" t="s">
        <v>237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46" t="s">
        <v>241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244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63</v>
      </c>
      <c r="Y123" s="668">
        <f t="shared" si="21"/>
        <v>64.800000000000011</v>
      </c>
      <c r="Z123" s="36">
        <f>IFERROR(IF(Y123=0,"",ROUNDUP(Y123/H123,0)*0.00651),"")</f>
        <v>0.15623999999999999</v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68.88</v>
      </c>
      <c r="BN123" s="64">
        <f t="shared" si="23"/>
        <v>70.848000000000013</v>
      </c>
      <c r="BO123" s="64">
        <f t="shared" si="24"/>
        <v>0.12820512820512822</v>
      </c>
      <c r="BP123" s="64">
        <f t="shared" si="25"/>
        <v>0.1318681318681319</v>
      </c>
    </row>
    <row r="124" spans="1:68" ht="27" customHeight="1" x14ac:dyDescent="0.25">
      <c r="A124" s="54" t="s">
        <v>245</v>
      </c>
      <c r="B124" s="54" t="s">
        <v>246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248</v>
      </c>
      <c r="B125" s="54" t="s">
        <v>249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23.333333333333332</v>
      </c>
      <c r="Y126" s="669">
        <f>IFERROR(Y119/H119,"0")+IFERROR(Y120/H120,"0")+IFERROR(Y121/H121,"0")+IFERROR(Y122/H122,"0")+IFERROR(Y123/H123,"0")+IFERROR(Y124/H124,"0")+IFERROR(Y125/H125,"0")</f>
        <v>24.000000000000004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0.15623999999999999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63</v>
      </c>
      <c r="Y127" s="669">
        <f>IFERROR(SUM(Y119:Y125),"0")</f>
        <v>64.800000000000011</v>
      </c>
      <c r="Z127" s="37"/>
      <c r="AA127" s="670"/>
      <c r="AB127" s="670"/>
      <c r="AC127" s="670"/>
    </row>
    <row r="128" spans="1:68" ht="14.25" customHeight="1" x14ac:dyDescent="0.25">
      <c r="A128" s="684" t="s">
        <v>175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251</v>
      </c>
      <c r="B129" s="54" t="s">
        <v>252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254</v>
      </c>
      <c r="B130" s="54" t="s">
        <v>255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257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258</v>
      </c>
      <c r="B135" s="54" t="s">
        <v>259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6</v>
      </c>
      <c r="Y136" s="668">
        <f>IFERROR(IF(X136="",0,CEILING((X136/$H136),1)*$H136),"")</f>
        <v>6.4</v>
      </c>
      <c r="Z136" s="36">
        <f>IFERROR(IF(Y136=0,"",ROUNDUP(Y136/H136,0)*0.00651),"")</f>
        <v>1.302E-2</v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6.3375000000000004</v>
      </c>
      <c r="BN136" s="64">
        <f>IFERROR(Y136*I136/H136,"0")</f>
        <v>6.76</v>
      </c>
      <c r="BO136" s="64">
        <f>IFERROR(1/J136*(X136/H136),"0")</f>
        <v>1.0302197802197804E-2</v>
      </c>
      <c r="BP136" s="64">
        <f>IFERROR(1/J136*(Y136/H136),"0")</f>
        <v>1.098901098901099E-2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1.875</v>
      </c>
      <c r="Y137" s="669">
        <f>IFERROR(Y135/H135,"0")+IFERROR(Y136/H136,"0")</f>
        <v>2</v>
      </c>
      <c r="Z137" s="669">
        <f>IFERROR(IF(Z135="",0,Z135),"0")+IFERROR(IF(Z136="",0,Z136),"0")</f>
        <v>1.302E-2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6</v>
      </c>
      <c r="Y138" s="669">
        <f>IFERROR(SUM(Y135:Y136),"0")</f>
        <v>6.4</v>
      </c>
      <c r="Z138" s="37"/>
      <c r="AA138" s="670"/>
      <c r="AB138" s="670"/>
      <c r="AC138" s="670"/>
    </row>
    <row r="139" spans="1:68" ht="14.25" customHeight="1" x14ac:dyDescent="0.25">
      <c r="A139" s="684" t="s">
        <v>149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25</v>
      </c>
      <c r="Y140" s="668">
        <f>IFERROR(IF(X140="",0,CEILING((X140/$H140),1)*$H140),"")</f>
        <v>25.2</v>
      </c>
      <c r="Z140" s="36">
        <f>IFERROR(IF(Y140=0,"",ROUNDUP(Y140/H140,0)*0.00651),"")</f>
        <v>5.8590000000000003E-2</v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27.392857142857146</v>
      </c>
      <c r="BN140" s="64">
        <f>IFERROR(Y140*I140/H140,"0")</f>
        <v>27.611999999999998</v>
      </c>
      <c r="BO140" s="64">
        <f>IFERROR(1/J140*(X140/H140),"0")</f>
        <v>4.9058084772370489E-2</v>
      </c>
      <c r="BP140" s="64">
        <f>IFERROR(1/J140*(Y140/H140),"0")</f>
        <v>4.9450549450549455E-2</v>
      </c>
    </row>
    <row r="141" spans="1:68" ht="27" customHeight="1" x14ac:dyDescent="0.25">
      <c r="A141" s="54" t="s">
        <v>262</v>
      </c>
      <c r="B141" s="54" t="s">
        <v>265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8.9285714285714288</v>
      </c>
      <c r="Y142" s="669">
        <f>IFERROR(Y140/H140,"0")+IFERROR(Y141/H141,"0")</f>
        <v>9</v>
      </c>
      <c r="Z142" s="669">
        <f>IFERROR(IF(Z140="",0,Z140),"0")+IFERROR(IF(Z141="",0,Z141),"0")</f>
        <v>5.8590000000000003E-2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25</v>
      </c>
      <c r="Y143" s="669">
        <f>IFERROR(SUM(Y140:Y141),"0")</f>
        <v>25.2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266</v>
      </c>
      <c r="B145" s="54" t="s">
        <v>267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8</v>
      </c>
      <c r="Y146" s="668">
        <f>IFERROR(IF(X146="",0,CEILING((X146/$H146),1)*$H146),"")</f>
        <v>10.56</v>
      </c>
      <c r="Z146" s="36">
        <f>IFERROR(IF(Y146=0,"",ROUNDUP(Y146/H146,0)*0.00651),"")</f>
        <v>2.6040000000000001E-2</v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8.8121212121212107</v>
      </c>
      <c r="BN146" s="64">
        <f>IFERROR(Y146*I146/H146,"0")</f>
        <v>11.632</v>
      </c>
      <c r="BO146" s="64">
        <f>IFERROR(1/J146*(X146/H146),"0")</f>
        <v>1.6650016650016652E-2</v>
      </c>
      <c r="BP146" s="64">
        <f>IFERROR(1/J146*(Y146/H146),"0")</f>
        <v>2.197802197802198E-2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3.0303030303030303</v>
      </c>
      <c r="Y147" s="669">
        <f>IFERROR(Y145/H145,"0")+IFERROR(Y146/H146,"0")</f>
        <v>4</v>
      </c>
      <c r="Z147" s="669">
        <f>IFERROR(IF(Z145="",0,Z145),"0")+IFERROR(IF(Z146="",0,Z146),"0")</f>
        <v>2.6040000000000001E-2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8</v>
      </c>
      <c r="Y148" s="669">
        <f>IFERROR(SUM(Y145:Y146),"0")</f>
        <v>10.56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44</v>
      </c>
      <c r="Y151" s="668">
        <f>IFERROR(IF(X151="",0,CEILING((X151/$H151),1)*$H151),"")</f>
        <v>44</v>
      </c>
      <c r="Z151" s="36">
        <f>IFERROR(IF(Y151=0,"",ROUNDUP(Y151/H151,0)*0.00902),"")</f>
        <v>9.9220000000000003E-2</v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46.31</v>
      </c>
      <c r="BN151" s="64">
        <f>IFERROR(Y151*I151/H151,"0")</f>
        <v>46.31</v>
      </c>
      <c r="BO151" s="64">
        <f>IFERROR(1/J151*(X151/H151),"0")</f>
        <v>8.3333333333333343E-2</v>
      </c>
      <c r="BP151" s="64">
        <f>IFERROR(1/J151*(Y151/H151),"0")</f>
        <v>8.3333333333333343E-2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11</v>
      </c>
      <c r="Y152" s="669">
        <f>IFERROR(Y151/H151,"0")</f>
        <v>11</v>
      </c>
      <c r="Z152" s="669">
        <f>IFERROR(IF(Z151="",0,Z151),"0")</f>
        <v>9.9220000000000003E-2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44</v>
      </c>
      <c r="Y153" s="669">
        <f>IFERROR(SUM(Y151:Y151),"0")</f>
        <v>44</v>
      </c>
      <c r="Z153" s="37"/>
      <c r="AA153" s="670"/>
      <c r="AB153" s="670"/>
      <c r="AC153" s="670"/>
    </row>
    <row r="154" spans="1:68" ht="14.25" customHeight="1" x14ac:dyDescent="0.25">
      <c r="A154" s="684" t="s">
        <v>149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272</v>
      </c>
      <c r="B155" s="54" t="s">
        <v>273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281</v>
      </c>
      <c r="B161" s="54" t="s">
        <v>282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284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285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138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286</v>
      </c>
      <c r="B167" s="54" t="s">
        <v>287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149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289</v>
      </c>
      <c r="B171" s="54" t="s">
        <v>290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18</v>
      </c>
      <c r="Y173" s="668">
        <f t="shared" si="26"/>
        <v>21</v>
      </c>
      <c r="Z173" s="36">
        <f>IFERROR(IF(Y173=0,"",ROUNDUP(Y173/H173,0)*0.00902),"")</f>
        <v>4.5100000000000001E-2</v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18.899999999999999</v>
      </c>
      <c r="BN173" s="64">
        <f t="shared" si="28"/>
        <v>22.049999999999997</v>
      </c>
      <c r="BO173" s="64">
        <f t="shared" si="29"/>
        <v>3.2467532467532464E-2</v>
      </c>
      <c r="BP173" s="64">
        <f t="shared" si="30"/>
        <v>3.787878787878788E-2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28</v>
      </c>
      <c r="Y174" s="668">
        <f t="shared" si="26"/>
        <v>29.400000000000002</v>
      </c>
      <c r="Z174" s="36">
        <f>IFERROR(IF(Y174=0,"",ROUNDUP(Y174/H174,0)*0.00502),"")</f>
        <v>7.0280000000000009E-2</v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29.733333333333331</v>
      </c>
      <c r="BN174" s="64">
        <f t="shared" si="28"/>
        <v>31.22</v>
      </c>
      <c r="BO174" s="64">
        <f t="shared" si="29"/>
        <v>5.6980056980056981E-2</v>
      </c>
      <c r="BP174" s="64">
        <f t="shared" si="30"/>
        <v>5.9829059829059839E-2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70" t="s">
        <v>304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72</v>
      </c>
      <c r="Y177" s="668">
        <f t="shared" si="26"/>
        <v>73.5</v>
      </c>
      <c r="Z177" s="36">
        <f>IFERROR(IF(Y177=0,"",ROUNDUP(Y177/H177,0)*0.00502),"")</f>
        <v>0.1757</v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75.428571428571431</v>
      </c>
      <c r="BN177" s="64">
        <f t="shared" si="28"/>
        <v>77</v>
      </c>
      <c r="BO177" s="64">
        <f t="shared" si="29"/>
        <v>0.14652014652014653</v>
      </c>
      <c r="BP177" s="64">
        <f t="shared" si="30"/>
        <v>0.1495726495726496</v>
      </c>
    </row>
    <row r="178" spans="1:68" ht="27" customHeight="1" x14ac:dyDescent="0.25">
      <c r="A178" s="54" t="s">
        <v>308</v>
      </c>
      <c r="B178" s="54" t="s">
        <v>309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51.904761904761898</v>
      </c>
      <c r="Y180" s="669">
        <f>IFERROR(Y171/H171,"0")+IFERROR(Y172/H172,"0")+IFERROR(Y173/H173,"0")+IFERROR(Y174/H174,"0")+IFERROR(Y175/H175,"0")+IFERROR(Y176/H176,"0")+IFERROR(Y177/H177,"0")+IFERROR(Y178/H178,"0")+IFERROR(Y179/H179,"0")</f>
        <v>54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0.29108000000000001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118</v>
      </c>
      <c r="Y181" s="669">
        <f>IFERROR(SUM(Y171:Y179),"0")</f>
        <v>123.9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313</v>
      </c>
      <c r="B183" s="54" t="s">
        <v>314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987" t="s">
        <v>317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53" t="s">
        <v>322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323</v>
      </c>
      <c r="B185" s="54" t="s">
        <v>324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42" t="s">
        <v>325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327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328</v>
      </c>
      <c r="B189" s="54" t="s">
        <v>329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0" t="s">
        <v>330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331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332</v>
      </c>
      <c r="B194" s="54" t="s">
        <v>333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335</v>
      </c>
      <c r="B195" s="54" t="s">
        <v>336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138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337</v>
      </c>
      <c r="B199" s="54" t="s">
        <v>338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340</v>
      </c>
      <c r="B200" s="54" t="s">
        <v>341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149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342</v>
      </c>
      <c r="B204" s="54" t="s">
        <v>343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40</v>
      </c>
      <c r="Y208" s="668">
        <f t="shared" si="31"/>
        <v>41.4</v>
      </c>
      <c r="Z208" s="36">
        <f>IFERROR(IF(Y208=0,"",ROUNDUP(Y208/H208,0)*0.00502),"")</f>
        <v>0.11546000000000001</v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42.888888888888893</v>
      </c>
      <c r="BN208" s="64">
        <f t="shared" si="33"/>
        <v>44.39</v>
      </c>
      <c r="BO208" s="64">
        <f t="shared" si="34"/>
        <v>9.4966761633428307E-2</v>
      </c>
      <c r="BP208" s="64">
        <f t="shared" si="35"/>
        <v>9.8290598290598302E-2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27</v>
      </c>
      <c r="Y209" s="668">
        <f t="shared" si="31"/>
        <v>27</v>
      </c>
      <c r="Z209" s="36">
        <f>IFERROR(IF(Y209=0,"",ROUNDUP(Y209/H209,0)*0.00502),"")</f>
        <v>7.5300000000000006E-2</v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28.499999999999996</v>
      </c>
      <c r="BN209" s="64">
        <f t="shared" si="33"/>
        <v>28.499999999999996</v>
      </c>
      <c r="BO209" s="64">
        <f t="shared" si="34"/>
        <v>6.4102564102564111E-2</v>
      </c>
      <c r="BP209" s="64">
        <f t="shared" si="35"/>
        <v>6.4102564102564111E-2</v>
      </c>
    </row>
    <row r="210" spans="1:68" ht="27" customHeight="1" x14ac:dyDescent="0.25">
      <c r="A210" s="54" t="s">
        <v>358</v>
      </c>
      <c r="B210" s="54" t="s">
        <v>359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360</v>
      </c>
      <c r="B211" s="54" t="s">
        <v>361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37.222222222222221</v>
      </c>
      <c r="Y212" s="669">
        <f>IFERROR(Y204/H204,"0")+IFERROR(Y205/H205,"0")+IFERROR(Y206/H206,"0")+IFERROR(Y207/H207,"0")+IFERROR(Y208/H208,"0")+IFERROR(Y209/H209,"0")+IFERROR(Y210/H210,"0")+IFERROR(Y211/H211,"0")</f>
        <v>38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0.19076000000000001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67</v>
      </c>
      <c r="Y213" s="669">
        <f>IFERROR(SUM(Y204:Y211),"0")</f>
        <v>68.400000000000006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362</v>
      </c>
      <c r="B215" s="54" t="s">
        <v>363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368</v>
      </c>
      <c r="B217" s="54" t="s">
        <v>369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60</v>
      </c>
      <c r="Y220" s="668">
        <f t="shared" si="36"/>
        <v>60</v>
      </c>
      <c r="Z220" s="36">
        <f t="shared" si="41"/>
        <v>0.16275000000000001</v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66.300000000000011</v>
      </c>
      <c r="BN220" s="64">
        <f t="shared" si="38"/>
        <v>66.300000000000011</v>
      </c>
      <c r="BO220" s="64">
        <f t="shared" si="39"/>
        <v>0.13736263736263737</v>
      </c>
      <c r="BP220" s="64">
        <f t="shared" si="40"/>
        <v>0.13736263736263737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60</v>
      </c>
      <c r="Y221" s="668">
        <f t="shared" si="36"/>
        <v>60</v>
      </c>
      <c r="Z221" s="36">
        <f t="shared" si="41"/>
        <v>0.16275000000000001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66.300000000000011</v>
      </c>
      <c r="BN221" s="64">
        <f t="shared" si="38"/>
        <v>66.300000000000011</v>
      </c>
      <c r="BO221" s="64">
        <f t="shared" si="39"/>
        <v>0.13736263736263737</v>
      </c>
      <c r="BP221" s="64">
        <f t="shared" si="40"/>
        <v>0.13736263736263737</v>
      </c>
    </row>
    <row r="222" spans="1:68" ht="27" customHeight="1" x14ac:dyDescent="0.25">
      <c r="A222" s="54" t="s">
        <v>380</v>
      </c>
      <c r="B222" s="54" t="s">
        <v>381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50</v>
      </c>
      <c r="Y224" s="669">
        <f>IFERROR(Y215/H215,"0")+IFERROR(Y216/H216,"0")+IFERROR(Y217/H217,"0")+IFERROR(Y218/H218,"0")+IFERROR(Y219/H219,"0")+IFERROR(Y220/H220,"0")+IFERROR(Y221/H221,"0")+IFERROR(Y222/H222,"0")+IFERROR(Y223/H223,"0")</f>
        <v>50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0.32550000000000001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120</v>
      </c>
      <c r="Y225" s="669">
        <f>IFERROR(SUM(Y215:Y223),"0")</f>
        <v>120</v>
      </c>
      <c r="Z225" s="37"/>
      <c r="AA225" s="670"/>
      <c r="AB225" s="670"/>
      <c r="AC225" s="670"/>
    </row>
    <row r="226" spans="1:68" ht="14.25" customHeight="1" x14ac:dyDescent="0.25">
      <c r="A226" s="684" t="s">
        <v>175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386</v>
      </c>
      <c r="B227" s="54" t="s">
        <v>387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12</v>
      </c>
      <c r="Y228" s="668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5</v>
      </c>
      <c r="Y229" s="669">
        <f>IFERROR(Y227/H227,"0")+IFERROR(Y228/H228,"0")</f>
        <v>5</v>
      </c>
      <c r="Z229" s="669">
        <f>IFERROR(IF(Z227="",0,Z227),"0")+IFERROR(IF(Z228="",0,Z228),"0")</f>
        <v>3.2550000000000003E-2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12</v>
      </c>
      <c r="Y230" s="669">
        <f>IFERROR(SUM(Y227:Y228),"0")</f>
        <v>12</v>
      </c>
      <c r="Z230" s="37"/>
      <c r="AA230" s="670"/>
      <c r="AB230" s="670"/>
      <c r="AC230" s="670"/>
    </row>
    <row r="231" spans="1:68" ht="16.5" customHeight="1" x14ac:dyDescent="0.25">
      <c r="A231" s="685" t="s">
        <v>392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393</v>
      </c>
      <c r="B233" s="54" t="s">
        <v>394</v>
      </c>
      <c r="C233" s="31">
        <v>4301011942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393</v>
      </c>
      <c r="B234" s="54" t="s">
        <v>397</v>
      </c>
      <c r="C234" s="31">
        <v>4301011826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4301011941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402</v>
      </c>
      <c r="B237" s="54" t="s">
        <v>404</v>
      </c>
      <c r="C237" s="31">
        <v>4301011721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406</v>
      </c>
      <c r="B238" s="54" t="s">
        <v>407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410</v>
      </c>
      <c r="B240" s="54" t="s">
        <v>411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138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412</v>
      </c>
      <c r="B244" s="54" t="s">
        <v>413</v>
      </c>
      <c r="C244" s="31">
        <v>4301020340</v>
      </c>
      <c r="D244" s="671">
        <v>4680115885721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7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412</v>
      </c>
      <c r="B245" s="54" t="s">
        <v>415</v>
      </c>
      <c r="C245" s="31">
        <v>4301020377</v>
      </c>
      <c r="D245" s="671">
        <v>4680115885981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71" t="s">
        <v>416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417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418</v>
      </c>
      <c r="B249" s="54" t="s">
        <v>419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00" t="s">
        <v>420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422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423</v>
      </c>
      <c r="B253" s="54" t="s">
        <v>424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4" t="s">
        <v>425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427</v>
      </c>
      <c r="B254" s="54" t="s">
        <v>428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21" t="s">
        <v>429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430</v>
      </c>
      <c r="B255" s="54" t="s">
        <v>431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3" t="s">
        <v>432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433</v>
      </c>
      <c r="B256" s="54" t="s">
        <v>434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5" t="s">
        <v>435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436</v>
      </c>
      <c r="B257" s="54" t="s">
        <v>437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8" t="s">
        <v>438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439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440</v>
      </c>
      <c r="B262" s="54" t="s">
        <v>441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443</v>
      </c>
      <c r="B263" s="54" t="s">
        <v>444</v>
      </c>
      <c r="C263" s="31">
        <v>4301011910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448</v>
      </c>
      <c r="B265" s="54" t="s">
        <v>449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451</v>
      </c>
      <c r="B266" s="54" t="s">
        <v>452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457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458</v>
      </c>
      <c r="B272" s="54" t="s">
        <v>459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461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462</v>
      </c>
      <c r="B277" s="54" t="s">
        <v>463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464</v>
      </c>
      <c r="B278" s="54" t="s">
        <v>465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470</v>
      </c>
      <c r="B280" s="54" t="s">
        <v>471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472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474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475</v>
      </c>
      <c r="B285" s="54" t="s">
        <v>476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3</v>
      </c>
      <c r="Y287" s="668">
        <f>IFERROR(IF(X287="",0,CEILING((X287/$H287),1)*$H287),"")</f>
        <v>4.8</v>
      </c>
      <c r="Z287" s="36">
        <f>IFERROR(IF(Y287=0,"",ROUNDUP(Y287/H287,0)*0.00651),"")</f>
        <v>1.302E-2</v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3.3150000000000004</v>
      </c>
      <c r="BN287" s="64">
        <f>IFERROR(Y287*I287/H287,"0")</f>
        <v>5.3040000000000003</v>
      </c>
      <c r="BO287" s="64">
        <f>IFERROR(1/J287*(X287/H287),"0")</f>
        <v>6.8681318681318689E-3</v>
      </c>
      <c r="BP287" s="64">
        <f>IFERROR(1/J287*(Y287/H287),"0")</f>
        <v>1.098901098901099E-2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10</v>
      </c>
      <c r="Y288" s="668">
        <f>IFERROR(IF(X288="",0,CEILING((X288/$H288),1)*$H288),"")</f>
        <v>12</v>
      </c>
      <c r="Z288" s="36">
        <f>IFERROR(IF(Y288=0,"",ROUNDUP(Y288/H288,0)*0.00651),"")</f>
        <v>3.2550000000000003E-2</v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10.75</v>
      </c>
      <c r="BN288" s="64">
        <f>IFERROR(Y288*I288/H288,"0")</f>
        <v>12.9</v>
      </c>
      <c r="BO288" s="64">
        <f>IFERROR(1/J288*(X288/H288),"0")</f>
        <v>2.2893772893772896E-2</v>
      </c>
      <c r="BP288" s="64">
        <f>IFERROR(1/J288*(Y288/H288),"0")</f>
        <v>2.7472527472527476E-2</v>
      </c>
    </row>
    <row r="289" spans="1:68" ht="27" customHeight="1" x14ac:dyDescent="0.25">
      <c r="A289" s="54" t="s">
        <v>486</v>
      </c>
      <c r="B289" s="54" t="s">
        <v>487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5.416666666666667</v>
      </c>
      <c r="Y290" s="669">
        <f>IFERROR(Y285/H285,"0")+IFERROR(Y286/H286,"0")+IFERROR(Y287/H287,"0")+IFERROR(Y288/H288,"0")+IFERROR(Y289/H289,"0")</f>
        <v>7</v>
      </c>
      <c r="Z290" s="669">
        <f>IFERROR(IF(Z285="",0,Z285),"0")+IFERROR(IF(Z286="",0,Z286),"0")+IFERROR(IF(Z287="",0,Z287),"0")+IFERROR(IF(Z288="",0,Z288),"0")+IFERROR(IF(Z289="",0,Z289),"0")</f>
        <v>4.5569999999999999E-2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13</v>
      </c>
      <c r="Y291" s="669">
        <f>IFERROR(SUM(Y285:Y289),"0")</f>
        <v>16.8</v>
      </c>
      <c r="Z291" s="37"/>
      <c r="AA291" s="670"/>
      <c r="AB291" s="670"/>
      <c r="AC291" s="670"/>
    </row>
    <row r="292" spans="1:68" ht="16.5" customHeight="1" x14ac:dyDescent="0.25">
      <c r="A292" s="685" t="s">
        <v>488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489</v>
      </c>
      <c r="B294" s="54" t="s">
        <v>490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492</v>
      </c>
      <c r="B298" s="54" t="s">
        <v>493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495</v>
      </c>
      <c r="B302" s="54" t="s">
        <v>496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498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499</v>
      </c>
      <c r="B307" s="54" t="s">
        <v>500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502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503</v>
      </c>
      <c r="B312" s="54" t="s">
        <v>504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149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5</v>
      </c>
      <c r="Y316" s="668">
        <f>IFERROR(IF(X316="",0,CEILING((X316/$H316),1)*$H316),"")</f>
        <v>6.3000000000000007</v>
      </c>
      <c r="Z316" s="36">
        <f>IFERROR(IF(Y316=0,"",ROUNDUP(Y316/H316,0)*0.00502),"")</f>
        <v>1.506E-2</v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5.2380952380952381</v>
      </c>
      <c r="BN316" s="64">
        <f>IFERROR(Y316*I316/H316,"0")</f>
        <v>6.6000000000000014</v>
      </c>
      <c r="BO316" s="64">
        <f>IFERROR(1/J316*(X316/H316),"0")</f>
        <v>1.0175010175010176E-2</v>
      </c>
      <c r="BP316" s="64">
        <f>IFERROR(1/J316*(Y316/H316),"0")</f>
        <v>1.2820512820512822E-2</v>
      </c>
    </row>
    <row r="317" spans="1:68" ht="37.5" customHeight="1" x14ac:dyDescent="0.25">
      <c r="A317" s="54" t="s">
        <v>508</v>
      </c>
      <c r="B317" s="54" t="s">
        <v>509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2.3809523809523809</v>
      </c>
      <c r="Y318" s="669">
        <f>IFERROR(Y316/H316,"0")+IFERROR(Y317/H317,"0")</f>
        <v>3</v>
      </c>
      <c r="Z318" s="669">
        <f>IFERROR(IF(Z316="",0,Z316),"0")+IFERROR(IF(Z317="",0,Z317),"0")</f>
        <v>1.506E-2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5</v>
      </c>
      <c r="Y319" s="669">
        <f>IFERROR(SUM(Y316:Y317),"0")</f>
        <v>6.3000000000000007</v>
      </c>
      <c r="Z319" s="37"/>
      <c r="AA319" s="670"/>
      <c r="AB319" s="670"/>
      <c r="AC319" s="670"/>
    </row>
    <row r="320" spans="1:68" ht="16.5" customHeight="1" x14ac:dyDescent="0.25">
      <c r="A320" s="685" t="s">
        <v>510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511</v>
      </c>
      <c r="B322" s="54" t="s">
        <v>512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515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516</v>
      </c>
      <c r="B327" s="54" t="s">
        <v>517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4301011911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69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149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300</v>
      </c>
      <c r="Y337" s="668">
        <f>IFERROR(IF(X337="",0,CEILING((X337/$H337),1)*$H337),"")</f>
        <v>302.40000000000003</v>
      </c>
      <c r="Z337" s="36">
        <f>IFERROR(IF(Y337=0,"",ROUNDUP(Y337/H337,0)*0.00902),"")</f>
        <v>0.64944000000000002</v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319.28571428571428</v>
      </c>
      <c r="BN337" s="64">
        <f>IFERROR(Y337*I337/H337,"0")</f>
        <v>321.83999999999997</v>
      </c>
      <c r="BO337" s="64">
        <f>IFERROR(1/J337*(X337/H337),"0")</f>
        <v>0.54112554112554112</v>
      </c>
      <c r="BP337" s="64">
        <f>IFERROR(1/J337*(Y337/H337),"0")</f>
        <v>0.54545454545454541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71.428571428571431</v>
      </c>
      <c r="Y340" s="669">
        <f>IFERROR(Y336/H336,"0")+IFERROR(Y337/H337,"0")+IFERROR(Y338/H338,"0")+IFERROR(Y339/H339,"0")</f>
        <v>72</v>
      </c>
      <c r="Z340" s="669">
        <f>IFERROR(IF(Z336="",0,Z336),"0")+IFERROR(IF(Z337="",0,Z337),"0")+IFERROR(IF(Z338="",0,Z338),"0")+IFERROR(IF(Z339="",0,Z339),"0")</f>
        <v>0.64944000000000002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300</v>
      </c>
      <c r="Y341" s="669">
        <f>IFERROR(SUM(Y336:Y339),"0")</f>
        <v>302.40000000000003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586</v>
      </c>
      <c r="Y343" s="668">
        <f>IFERROR(IF(X343="",0,CEILING((X343/$H343),1)*$H343),"")</f>
        <v>592.79999999999995</v>
      </c>
      <c r="Z343" s="36">
        <f>IFERROR(IF(Y343=0,"",ROUNDUP(Y343/H343,0)*0.01898),"")</f>
        <v>1.44248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624.54076923076934</v>
      </c>
      <c r="BN343" s="64">
        <f>IFERROR(Y343*I343/H343,"0")</f>
        <v>631.78800000000001</v>
      </c>
      <c r="BO343" s="64">
        <f>IFERROR(1/J343*(X343/H343),"0")</f>
        <v>1.1738782051282051</v>
      </c>
      <c r="BP343" s="64">
        <f>IFERROR(1/J343*(Y343/H343),"0")</f>
        <v>1.1875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30</v>
      </c>
      <c r="Y346" s="668">
        <f>IFERROR(IF(X346="",0,CEILING((X346/$H346),1)*$H346),"")</f>
        <v>30</v>
      </c>
      <c r="Z346" s="36">
        <f>IFERROR(IF(Y346=0,"",ROUNDUP(Y346/H346,0)*0.00651),"")</f>
        <v>6.5100000000000005E-2</v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32.46</v>
      </c>
      <c r="BN346" s="64">
        <f>IFERROR(Y346*I346/H346,"0")</f>
        <v>32.46</v>
      </c>
      <c r="BO346" s="64">
        <f>IFERROR(1/J346*(X346/H346),"0")</f>
        <v>5.4945054945054951E-2</v>
      </c>
      <c r="BP346" s="64">
        <f>IFERROR(1/J346*(Y346/H346),"0")</f>
        <v>5.4945054945054951E-2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85.128205128205124</v>
      </c>
      <c r="Y348" s="669">
        <f>IFERROR(Y343/H343,"0")+IFERROR(Y344/H344,"0")+IFERROR(Y345/H345,"0")+IFERROR(Y346/H346,"0")+IFERROR(Y347/H347,"0")</f>
        <v>86</v>
      </c>
      <c r="Z348" s="669">
        <f>IFERROR(IF(Z343="",0,Z343),"0")+IFERROR(IF(Z344="",0,Z344),"0")+IFERROR(IF(Z345="",0,Z345),"0")+IFERROR(IF(Z346="",0,Z346),"0")+IFERROR(IF(Z347="",0,Z347),"0")</f>
        <v>1.5075799999999999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616</v>
      </c>
      <c r="Y349" s="669">
        <f>IFERROR(SUM(Y343:Y347),"0")</f>
        <v>622.79999999999995</v>
      </c>
      <c r="Z349" s="37"/>
      <c r="AA349" s="670"/>
      <c r="AB349" s="670"/>
      <c r="AC349" s="670"/>
    </row>
    <row r="350" spans="1:68" ht="14.25" customHeight="1" x14ac:dyDescent="0.25">
      <c r="A350" s="684" t="s">
        <v>175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40</v>
      </c>
      <c r="Y352" s="668">
        <f>IFERROR(IF(X352="",0,CEILING((X352/$H352),1)*$H352),"")</f>
        <v>46.8</v>
      </c>
      <c r="Z352" s="36">
        <f>IFERROR(IF(Y352=0,"",ROUNDUP(Y352/H352,0)*0.01898),"")</f>
        <v>0.11388000000000001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42.66153846153847</v>
      </c>
      <c r="BN352" s="64">
        <f>IFERROR(Y352*I352/H352,"0")</f>
        <v>49.914000000000001</v>
      </c>
      <c r="BO352" s="64">
        <f>IFERROR(1/J352*(X352/H352),"0")</f>
        <v>8.0128205128205135E-2</v>
      </c>
      <c r="BP352" s="64">
        <f>IFERROR(1/J352*(Y352/H352),"0")</f>
        <v>9.375E-2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5.1282051282051286</v>
      </c>
      <c r="Y354" s="669">
        <f>IFERROR(Y351/H351,"0")+IFERROR(Y352/H352,"0")+IFERROR(Y353/H353,"0")</f>
        <v>6</v>
      </c>
      <c r="Z354" s="669">
        <f>IFERROR(IF(Z351="",0,Z351),"0")+IFERROR(IF(Z352="",0,Z352),"0")+IFERROR(IF(Z353="",0,Z353),"0")</f>
        <v>0.11388000000000001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40</v>
      </c>
      <c r="Y355" s="669">
        <f>IFERROR(SUM(Y351:Y353),"0")</f>
        <v>46.8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12</v>
      </c>
      <c r="Y364" s="668">
        <f>IFERROR(IF(X364="",0,CEILING((X364/$H364),1)*$H364),"")</f>
        <v>12</v>
      </c>
      <c r="Z364" s="36">
        <f>IFERROR(IF(Y364=0,"",ROUNDUP(Y364/H364,0)*0.00474),"")</f>
        <v>2.844E-2</v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13.440000000000001</v>
      </c>
      <c r="BN364" s="64">
        <f>IFERROR(Y364*I364/H364,"0")</f>
        <v>13.440000000000001</v>
      </c>
      <c r="BO364" s="64">
        <f>IFERROR(1/J364*(X364/H364),"0")</f>
        <v>2.5210084033613446E-2</v>
      </c>
      <c r="BP364" s="64">
        <f>IFERROR(1/J364*(Y364/H364),"0")</f>
        <v>2.5210084033613446E-2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14</v>
      </c>
      <c r="Y366" s="668">
        <f>IFERROR(IF(X366="",0,CEILING((X366/$H366),1)*$H366),"")</f>
        <v>14</v>
      </c>
      <c r="Z366" s="36">
        <f>IFERROR(IF(Y366=0,"",ROUNDUP(Y366/H366,0)*0.00474),"")</f>
        <v>3.3180000000000001E-2</v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15.680000000000001</v>
      </c>
      <c r="BN366" s="64">
        <f>IFERROR(Y366*I366/H366,"0")</f>
        <v>15.680000000000001</v>
      </c>
      <c r="BO366" s="64">
        <f>IFERROR(1/J366*(X366/H366),"0")</f>
        <v>2.9411764705882353E-2</v>
      </c>
      <c r="BP366" s="64">
        <f>IFERROR(1/J366*(Y366/H366),"0")</f>
        <v>2.9411764705882353E-2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13</v>
      </c>
      <c r="Y367" s="669">
        <f>IFERROR(Y364/H364,"0")+IFERROR(Y365/H365,"0")+IFERROR(Y366/H366,"0")</f>
        <v>13</v>
      </c>
      <c r="Z367" s="669">
        <f>IFERROR(IF(Z364="",0,Z364),"0")+IFERROR(IF(Z365="",0,Z365),"0")+IFERROR(IF(Z366="",0,Z366),"0")</f>
        <v>6.1620000000000001E-2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26</v>
      </c>
      <c r="Y368" s="669">
        <f>IFERROR(SUM(Y364:Y366),"0")</f>
        <v>26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149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11</v>
      </c>
      <c r="Y371" s="668">
        <f>IFERROR(IF(X371="",0,CEILING((X371/$H371),1)*$H371),"")</f>
        <v>12.6</v>
      </c>
      <c r="Z371" s="36">
        <f>IFERROR(IF(Y371=0,"",ROUNDUP(Y371/H371,0)*0.00651),"")</f>
        <v>4.5569999999999999E-2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12.393333333333333</v>
      </c>
      <c r="BN371" s="64">
        <f>IFERROR(Y371*I371/H371,"0")</f>
        <v>14.196</v>
      </c>
      <c r="BO371" s="64">
        <f>IFERROR(1/J371*(X371/H371),"0")</f>
        <v>3.3577533577533576E-2</v>
      </c>
      <c r="BP371" s="64">
        <f>IFERROR(1/J371*(Y371/H371),"0")</f>
        <v>3.8461538461538464E-2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6.1111111111111107</v>
      </c>
      <c r="Y372" s="669">
        <f>IFERROR(Y371/H371,"0")</f>
        <v>7</v>
      </c>
      <c r="Z372" s="669">
        <f>IFERROR(IF(Z371="",0,Z371),"0")</f>
        <v>4.5569999999999999E-2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11</v>
      </c>
      <c r="Y373" s="669">
        <f>IFERROR(SUM(Y371:Y371),"0")</f>
        <v>12.6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126</v>
      </c>
      <c r="Y376" s="668">
        <f>IFERROR(IF(X376="",0,CEILING((X376/$H376),1)*$H376),"")</f>
        <v>126</v>
      </c>
      <c r="Z376" s="36">
        <f>IFERROR(IF(Y376=0,"",ROUNDUP(Y376/H376,0)*0.00651),"")</f>
        <v>0.3906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141.11999999999998</v>
      </c>
      <c r="BN376" s="64">
        <f>IFERROR(Y376*I376/H376,"0")</f>
        <v>141.11999999999998</v>
      </c>
      <c r="BO376" s="64">
        <f>IFERROR(1/J376*(X376/H376),"0")</f>
        <v>0.32967032967032972</v>
      </c>
      <c r="BP376" s="64">
        <f>IFERROR(1/J376*(Y376/H376),"0")</f>
        <v>0.32967032967032972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10</v>
      </c>
      <c r="Y377" s="668">
        <f>IFERROR(IF(X377="",0,CEILING((X377/$H377),1)*$H377),"")</f>
        <v>10.5</v>
      </c>
      <c r="Z377" s="36">
        <f>IFERROR(IF(Y377=0,"",ROUNDUP(Y377/H377,0)*0.00651),"")</f>
        <v>3.2550000000000003E-2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11.142857142857142</v>
      </c>
      <c r="BN377" s="64">
        <f>IFERROR(Y377*I377/H377,"0")</f>
        <v>11.7</v>
      </c>
      <c r="BO377" s="64">
        <f>IFERROR(1/J377*(X377/H377),"0")</f>
        <v>2.6164311878597593E-2</v>
      </c>
      <c r="BP377" s="64">
        <f>IFERROR(1/J377*(Y377/H377),"0")</f>
        <v>2.7472527472527476E-2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64.761904761904759</v>
      </c>
      <c r="Y378" s="669">
        <f>IFERROR(Y375/H375,"0")+IFERROR(Y376/H376,"0")+IFERROR(Y377/H377,"0")</f>
        <v>65</v>
      </c>
      <c r="Z378" s="669">
        <f>IFERROR(IF(Z375="",0,Z375),"0")+IFERROR(IF(Z376="",0,Z376),"0")+IFERROR(IF(Z377="",0,Z377),"0")</f>
        <v>0.42315000000000003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136</v>
      </c>
      <c r="Y379" s="669">
        <f>IFERROR(SUM(Y375:Y377),"0")</f>
        <v>136.5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27" customHeight="1" x14ac:dyDescent="0.25">
      <c r="A383" s="54" t="s">
        <v>604</v>
      </c>
      <c r="B383" s="54" t="s">
        <v>605</v>
      </c>
      <c r="C383" s="31">
        <v>4301011946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6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28</v>
      </c>
      <c r="Y384" s="668">
        <f t="shared" si="57"/>
        <v>30</v>
      </c>
      <c r="Z384" s="36">
        <f>IFERROR(IF(Y384=0,"",ROUNDUP(Y384/H384,0)*0.02175),"")</f>
        <v>4.3499999999999997E-2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28.896000000000001</v>
      </c>
      <c r="BN384" s="64">
        <f t="shared" si="59"/>
        <v>30.96</v>
      </c>
      <c r="BO384" s="64">
        <f t="shared" si="60"/>
        <v>3.888888888888889E-2</v>
      </c>
      <c r="BP384" s="64">
        <f t="shared" si="61"/>
        <v>4.1666666666666664E-2</v>
      </c>
    </row>
    <row r="385" spans="1:68" ht="27" customHeight="1" x14ac:dyDescent="0.25">
      <c r="A385" s="54" t="s">
        <v>609</v>
      </c>
      <c r="B385" s="54" t="s">
        <v>610</v>
      </c>
      <c r="C385" s="31">
        <v>4301011947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33</v>
      </c>
      <c r="Y386" s="668">
        <f t="shared" si="57"/>
        <v>45</v>
      </c>
      <c r="Z386" s="36">
        <f>IFERROR(IF(Y386=0,"",ROUNDUP(Y386/H386,0)*0.02175),"")</f>
        <v>6.5250000000000002E-2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34.056000000000004</v>
      </c>
      <c r="BN386" s="64">
        <f t="shared" si="59"/>
        <v>46.440000000000005</v>
      </c>
      <c r="BO386" s="64">
        <f t="shared" si="60"/>
        <v>4.5833333333333337E-2</v>
      </c>
      <c r="BP386" s="64">
        <f t="shared" si="61"/>
        <v>6.25E-2</v>
      </c>
    </row>
    <row r="387" spans="1:68" ht="27" customHeight="1" x14ac:dyDescent="0.25">
      <c r="A387" s="54" t="s">
        <v>613</v>
      </c>
      <c r="B387" s="54" t="s">
        <v>614</v>
      </c>
      <c r="C387" s="31">
        <v>4301011943</v>
      </c>
      <c r="D387" s="671">
        <v>4680115884830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6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71">
        <v>4607091383997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200</v>
      </c>
      <c r="Y389" s="668">
        <f t="shared" si="57"/>
        <v>210</v>
      </c>
      <c r="Z389" s="36">
        <f>IFERROR(IF(Y389=0,"",ROUNDUP(Y389/H389,0)*0.02175),"")</f>
        <v>0.30449999999999999</v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206.4</v>
      </c>
      <c r="BN389" s="64">
        <f t="shared" si="59"/>
        <v>216.72</v>
      </c>
      <c r="BO389" s="64">
        <f t="shared" si="60"/>
        <v>0.27777777777777779</v>
      </c>
      <c r="BP389" s="64">
        <f t="shared" si="61"/>
        <v>0.29166666666666663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9</v>
      </c>
      <c r="Y391" s="668">
        <f t="shared" si="57"/>
        <v>10</v>
      </c>
      <c r="Z391" s="36">
        <f>IFERROR(IF(Y391=0,"",ROUNDUP(Y391/H391,0)*0.00902),"")</f>
        <v>1.804E-2</v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9.3780000000000001</v>
      </c>
      <c r="BN391" s="64">
        <f t="shared" si="59"/>
        <v>10.42</v>
      </c>
      <c r="BO391" s="64">
        <f t="shared" si="60"/>
        <v>1.3636363636363637E-2</v>
      </c>
      <c r="BP391" s="64">
        <f t="shared" si="61"/>
        <v>1.5151515151515152E-2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19.2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21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0.43129000000000001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270</v>
      </c>
      <c r="Y394" s="669">
        <f>IFERROR(SUM(Y383:Y392),"0")</f>
        <v>295</v>
      </c>
      <c r="Z394" s="37"/>
      <c r="AA394" s="670"/>
      <c r="AB394" s="670"/>
      <c r="AC394" s="670"/>
    </row>
    <row r="395" spans="1:68" ht="14.25" customHeight="1" x14ac:dyDescent="0.25">
      <c r="A395" s="684" t="s">
        <v>138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200</v>
      </c>
      <c r="Y396" s="668">
        <f>IFERROR(IF(X396="",0,CEILING((X396/$H396),1)*$H396),"")</f>
        <v>210</v>
      </c>
      <c r="Z396" s="36">
        <f>IFERROR(IF(Y396=0,"",ROUNDUP(Y396/H396,0)*0.02175),"")</f>
        <v>0.30449999999999999</v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206.4</v>
      </c>
      <c r="BN396" s="64">
        <f>IFERROR(Y396*I396/H396,"0")</f>
        <v>216.72</v>
      </c>
      <c r="BO396" s="64">
        <f>IFERROR(1/J396*(X396/H396),"0")</f>
        <v>0.27777777777777779</v>
      </c>
      <c r="BP396" s="64">
        <f>IFERROR(1/J396*(Y396/H396),"0")</f>
        <v>0.29166666666666663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2</v>
      </c>
      <c r="Y397" s="668">
        <f>IFERROR(IF(X397="",0,CEILING((X397/$H397),1)*$H397),"")</f>
        <v>4</v>
      </c>
      <c r="Z397" s="36">
        <f>IFERROR(IF(Y397=0,"",ROUNDUP(Y397/H397,0)*0.00902),"")</f>
        <v>9.0200000000000002E-3</v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2.105</v>
      </c>
      <c r="BN397" s="64">
        <f>IFERROR(Y397*I397/H397,"0")</f>
        <v>4.21</v>
      </c>
      <c r="BO397" s="64">
        <f>IFERROR(1/J397*(X397/H397),"0")</f>
        <v>3.787878787878788E-3</v>
      </c>
      <c r="BP397" s="64">
        <f>IFERROR(1/J397*(Y397/H397),"0")</f>
        <v>7.575757575757576E-3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13.833333333333334</v>
      </c>
      <c r="Y398" s="669">
        <f>IFERROR(Y396/H396,"0")+IFERROR(Y397/H397,"0")</f>
        <v>15</v>
      </c>
      <c r="Z398" s="669">
        <f>IFERROR(IF(Z396="",0,Z396),"0")+IFERROR(IF(Z397="",0,Z397),"0")</f>
        <v>0.31352000000000002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202</v>
      </c>
      <c r="Y399" s="669">
        <f>IFERROR(SUM(Y396:Y397),"0")</f>
        <v>214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175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149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175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149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4301031382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4301031406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3</v>
      </c>
      <c r="Y443" s="668">
        <f t="shared" si="62"/>
        <v>4.2</v>
      </c>
      <c r="Z443" s="36">
        <f t="shared" si="67"/>
        <v>1.004E-2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3.1857142857142855</v>
      </c>
      <c r="BN443" s="64">
        <f t="shared" si="64"/>
        <v>4.46</v>
      </c>
      <c r="BO443" s="64">
        <f t="shared" si="65"/>
        <v>6.1050061050061059E-3</v>
      </c>
      <c r="BP443" s="64">
        <f t="shared" si="66"/>
        <v>8.5470085470085479E-3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2</v>
      </c>
      <c r="Y446" s="668">
        <f t="shared" si="62"/>
        <v>2.1</v>
      </c>
      <c r="Z446" s="36">
        <f t="shared" si="67"/>
        <v>5.0200000000000002E-3</v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2.1238095238095238</v>
      </c>
      <c r="BN446" s="64">
        <f t="shared" si="64"/>
        <v>2.23</v>
      </c>
      <c r="BO446" s="64">
        <f t="shared" si="65"/>
        <v>4.0700040700040706E-3</v>
      </c>
      <c r="BP446" s="64">
        <f t="shared" si="66"/>
        <v>4.2735042735042739E-3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2.3809523809523809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1.506E-2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5</v>
      </c>
      <c r="Y449" s="669">
        <f>IFERROR(SUM(Y436:Y447),"0")</f>
        <v>6.3000000000000007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138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149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149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175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4301012035</v>
      </c>
      <c r="D493" s="671">
        <v>4680115880603</v>
      </c>
      <c r="E493" s="672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4301011778</v>
      </c>
      <c r="D494" s="671">
        <v>4680115880603</v>
      </c>
      <c r="E494" s="672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12</v>
      </c>
      <c r="Y494" s="668">
        <f t="shared" si="68"/>
        <v>14.4</v>
      </c>
      <c r="Z494" s="36">
        <f>IFERROR(IF(Y494=0,"",ROUNDUP(Y494/H494,0)*0.00902),"")</f>
        <v>3.6080000000000001E-2</v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12.7</v>
      </c>
      <c r="BN494" s="64">
        <f t="shared" si="71"/>
        <v>15.24</v>
      </c>
      <c r="BO494" s="64">
        <f t="shared" si="72"/>
        <v>2.5252525252525252E-2</v>
      </c>
      <c r="BP494" s="64">
        <f t="shared" si="73"/>
        <v>3.0303030303030304E-2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4301012034</v>
      </c>
      <c r="D499" s="671">
        <v>4607091389982</v>
      </c>
      <c r="E499" s="672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785</v>
      </c>
      <c r="B500" s="54" t="s">
        <v>787</v>
      </c>
      <c r="C500" s="31">
        <v>4301011784</v>
      </c>
      <c r="D500" s="671">
        <v>4607091389982</v>
      </c>
      <c r="E500" s="672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3.333333333333333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4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3.6080000000000001E-2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12</v>
      </c>
      <c r="Y503" s="669">
        <f>IFERROR(SUM(Y486:Y501),"0")</f>
        <v>14.4</v>
      </c>
      <c r="Z503" s="37"/>
      <c r="AA503" s="670"/>
      <c r="AB503" s="670"/>
      <c r="AC503" s="670"/>
    </row>
    <row r="504" spans="1:68" ht="14.25" customHeight="1" x14ac:dyDescent="0.25">
      <c r="A504" s="684" t="s">
        <v>138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4301020334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9" t="s">
        <v>792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90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149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4301031351</v>
      </c>
      <c r="D516" s="671">
        <v>4680115882072</v>
      </c>
      <c r="E516" s="672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817</v>
      </c>
      <c r="B517" s="54" t="s">
        <v>820</v>
      </c>
      <c r="C517" s="31">
        <v>4301031383</v>
      </c>
      <c r="D517" s="671">
        <v>4680115882072</v>
      </c>
      <c r="E517" s="672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4301031419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694" t="s">
        <v>823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6</v>
      </c>
      <c r="Y518" s="668">
        <f t="shared" si="74"/>
        <v>9.6</v>
      </c>
      <c r="Z518" s="36">
        <f>IFERROR(IF(Y518=0,"",ROUNDUP(Y518/H518,0)*0.00902),"")</f>
        <v>1.804E-2</v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8.6624999999999996</v>
      </c>
      <c r="BN518" s="64">
        <f t="shared" si="76"/>
        <v>13.86</v>
      </c>
      <c r="BO518" s="64">
        <f t="shared" si="77"/>
        <v>9.46969696969697E-3</v>
      </c>
      <c r="BP518" s="64">
        <f t="shared" si="78"/>
        <v>1.5151515151515152E-2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6</v>
      </c>
      <c r="Y519" s="668">
        <f t="shared" si="74"/>
        <v>9.6</v>
      </c>
      <c r="Z519" s="36">
        <f>IFERROR(IF(Y519=0,"",ROUNDUP(Y519/H519,0)*0.00902),"")</f>
        <v>1.804E-2</v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8.3625000000000007</v>
      </c>
      <c r="BN519" s="64">
        <f t="shared" si="76"/>
        <v>13.38</v>
      </c>
      <c r="BO519" s="64">
        <f t="shared" si="77"/>
        <v>9.46969696969697E-3</v>
      </c>
      <c r="BP519" s="64">
        <f t="shared" si="78"/>
        <v>1.5151515151515152E-2</v>
      </c>
    </row>
    <row r="520" spans="1:68" ht="27" customHeight="1" x14ac:dyDescent="0.25">
      <c r="A520" s="54" t="s">
        <v>827</v>
      </c>
      <c r="B520" s="54" t="s">
        <v>828</v>
      </c>
      <c r="C520" s="31">
        <v>4301031384</v>
      </c>
      <c r="D520" s="671">
        <v>4680115882096</v>
      </c>
      <c r="E520" s="672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829</v>
      </c>
      <c r="C521" s="31">
        <v>4301031253</v>
      </c>
      <c r="D521" s="671">
        <v>4680115882096</v>
      </c>
      <c r="E521" s="672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2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6</v>
      </c>
      <c r="Y521" s="668">
        <f t="shared" si="74"/>
        <v>7.2</v>
      </c>
      <c r="Z521" s="36">
        <f>IFERROR(IF(Y521=0,"",ROUNDUP(Y521/H521,0)*0.00902),"")</f>
        <v>1.804E-2</v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6.35</v>
      </c>
      <c r="BN521" s="64">
        <f t="shared" si="76"/>
        <v>7.62</v>
      </c>
      <c r="BO521" s="64">
        <f t="shared" si="77"/>
        <v>1.2626262626262626E-2</v>
      </c>
      <c r="BP521" s="64">
        <f t="shared" si="78"/>
        <v>1.5151515151515152E-2</v>
      </c>
    </row>
    <row r="522" spans="1:68" ht="27" customHeight="1" x14ac:dyDescent="0.25">
      <c r="A522" s="54" t="s">
        <v>827</v>
      </c>
      <c r="B522" s="54" t="s">
        <v>831</v>
      </c>
      <c r="C522" s="31">
        <v>4301031417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3" t="s">
        <v>832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4.1666666666666661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6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5.4120000000000001E-2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18</v>
      </c>
      <c r="Y524" s="669">
        <f>IFERROR(SUM(Y512:Y522),"0")</f>
        <v>26.4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175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138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149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4301051887</v>
      </c>
      <c r="D565" s="671">
        <v>4640242180533</v>
      </c>
      <c r="E565" s="672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4301052046</v>
      </c>
      <c r="D566" s="671">
        <v>4640242180533</v>
      </c>
      <c r="E566" s="672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175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4301060485</v>
      </c>
      <c r="D573" s="671">
        <v>4640242180120</v>
      </c>
      <c r="E573" s="672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4301060496</v>
      </c>
      <c r="D574" s="671">
        <v>4640242180120</v>
      </c>
      <c r="E574" s="672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4301060486</v>
      </c>
      <c r="D575" s="671">
        <v>4640242180137</v>
      </c>
      <c r="E575" s="672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4301060498</v>
      </c>
      <c r="D576" s="671">
        <v>4640242180137</v>
      </c>
      <c r="E576" s="672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138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149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3077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3194.5600000000009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3268.9556193806197</v>
      </c>
      <c r="Y597" s="669">
        <f>IFERROR(SUM(BN22:BN593),"0")</f>
        <v>3395.021999999999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6</v>
      </c>
      <c r="Y598" s="38">
        <f>ROUNDUP(SUM(BP22:BP593),0)</f>
        <v>6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3418.9556193806197</v>
      </c>
      <c r="Y599" s="669">
        <f>GrossWeightTotalR+PalletQtyTotalR*25</f>
        <v>3545.021999999999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679.83922651422654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700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6.9128199999999991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284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183</v>
      </c>
      <c r="F604" s="698" t="s">
        <v>214</v>
      </c>
      <c r="G604" s="698" t="s">
        <v>257</v>
      </c>
      <c r="H604" s="698" t="s">
        <v>96</v>
      </c>
      <c r="I604" s="698" t="s">
        <v>285</v>
      </c>
      <c r="J604" s="698" t="s">
        <v>331</v>
      </c>
      <c r="K604" s="698" t="s">
        <v>392</v>
      </c>
      <c r="L604" s="698" t="s">
        <v>439</v>
      </c>
      <c r="M604" s="698" t="s">
        <v>457</v>
      </c>
      <c r="N604" s="665"/>
      <c r="O604" s="698" t="s">
        <v>461</v>
      </c>
      <c r="P604" s="698" t="s">
        <v>474</v>
      </c>
      <c r="Q604" s="698" t="s">
        <v>488</v>
      </c>
      <c r="R604" s="698" t="s">
        <v>498</v>
      </c>
      <c r="S604" s="698" t="s">
        <v>502</v>
      </c>
      <c r="T604" s="698" t="s">
        <v>510</v>
      </c>
      <c r="U604" s="698" t="s">
        <v>515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174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504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240.6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139.20000000000002</v>
      </c>
      <c r="G606" s="46">
        <f>IFERROR(Y135*1,"0")+IFERROR(Y136*1,"0")+IFERROR(Y140*1,"0")+IFERROR(Y141*1,"0")+IFERROR(Y145*1,"0")+IFERROR(Y146*1,"0")</f>
        <v>42.160000000000004</v>
      </c>
      <c r="H606" s="46">
        <f>IFERROR(Y151*1,"0")+IFERROR(Y155*1,"0")+IFERROR(Y156*1,"0")+IFERROR(Y157*1,"0")+IFERROR(Y161*1,"0")</f>
        <v>44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123.9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200.4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16.8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6.3000000000000007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998</v>
      </c>
      <c r="V606" s="46">
        <f>IFERROR(Y371*1,"0")+IFERROR(Y375*1,"0")+IFERROR(Y376*1,"0")+IFERROR(Y377*1,"0")</f>
        <v>149.1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509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6.3000000000000007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40.800000000000004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2025-04-29T08:20:04Z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