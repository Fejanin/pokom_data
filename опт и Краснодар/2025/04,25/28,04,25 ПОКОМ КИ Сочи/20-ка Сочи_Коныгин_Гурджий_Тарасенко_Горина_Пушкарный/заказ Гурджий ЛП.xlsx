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7C14B2B0-FBEF-4F19-8677-5CF7EC10E72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BP521" i="1"/>
  <c r="BO521" i="1"/>
  <c r="BN521" i="1"/>
  <c r="BM521" i="1"/>
  <c r="Z521" i="1"/>
  <c r="Y521" i="1"/>
  <c r="P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BP517" i="1"/>
  <c r="BO517" i="1"/>
  <c r="BN517" i="1"/>
  <c r="BM517" i="1"/>
  <c r="Z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P506" i="1"/>
  <c r="BO505" i="1"/>
  <c r="BM505" i="1"/>
  <c r="Y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Y473" i="1" s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Y379" i="1" s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Y300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P606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O606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Y269" i="1" s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Y251" i="1" s="1"/>
  <c r="X247" i="1"/>
  <c r="Y246" i="1"/>
  <c r="X246" i="1"/>
  <c r="BP245" i="1"/>
  <c r="BO245" i="1"/>
  <c r="BN245" i="1"/>
  <c r="BM245" i="1"/>
  <c r="Z245" i="1"/>
  <c r="Y245" i="1"/>
  <c r="BP244" i="1"/>
  <c r="BO244" i="1"/>
  <c r="BN244" i="1"/>
  <c r="BM244" i="1"/>
  <c r="Z244" i="1"/>
  <c r="Z246" i="1" s="1"/>
  <c r="Y244" i="1"/>
  <c r="Y247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K606" i="1" s="1"/>
  <c r="P233" i="1"/>
  <c r="X230" i="1"/>
  <c r="X229" i="1"/>
  <c r="BO228" i="1"/>
  <c r="BM228" i="1"/>
  <c r="Y228" i="1"/>
  <c r="Y230" i="1" s="1"/>
  <c r="P228" i="1"/>
  <c r="BP227" i="1"/>
  <c r="BO227" i="1"/>
  <c r="BN227" i="1"/>
  <c r="BM227" i="1"/>
  <c r="Z227" i="1"/>
  <c r="Y227" i="1"/>
  <c r="Y229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4" i="1" s="1"/>
  <c r="P216" i="1"/>
  <c r="BP215" i="1"/>
  <c r="BO215" i="1"/>
  <c r="BN215" i="1"/>
  <c r="BM215" i="1"/>
  <c r="Z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Y196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Y181" i="1" s="1"/>
  <c r="P172" i="1"/>
  <c r="BP171" i="1"/>
  <c r="BO171" i="1"/>
  <c r="BN171" i="1"/>
  <c r="BM171" i="1"/>
  <c r="Z171" i="1"/>
  <c r="Y171" i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Y158" i="1"/>
  <c r="X158" i="1"/>
  <c r="BP157" i="1"/>
  <c r="BO157" i="1"/>
  <c r="BN157" i="1"/>
  <c r="BM157" i="1"/>
  <c r="Z157" i="1"/>
  <c r="Y157" i="1"/>
  <c r="P157" i="1"/>
  <c r="BO156" i="1"/>
  <c r="BM156" i="1"/>
  <c r="Y156" i="1"/>
  <c r="P156" i="1"/>
  <c r="BP155" i="1"/>
  <c r="BO155" i="1"/>
  <c r="BN155" i="1"/>
  <c r="BM155" i="1"/>
  <c r="Z155" i="1"/>
  <c r="Y155" i="1"/>
  <c r="Y159" i="1" s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G606" i="1" s="1"/>
  <c r="P135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Y126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Y102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6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6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8" i="1" s="1"/>
  <c r="BM22" i="1"/>
  <c r="X597" i="1" s="1"/>
  <c r="X599" i="1" s="1"/>
  <c r="Y22" i="1"/>
  <c r="B606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600" i="1"/>
  <c r="Y29" i="1"/>
  <c r="C606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6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Z126" i="1" s="1"/>
  <c r="BN119" i="1"/>
  <c r="BP119" i="1"/>
  <c r="Z124" i="1"/>
  <c r="BN124" i="1"/>
  <c r="Y127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BP141" i="1"/>
  <c r="Z145" i="1"/>
  <c r="Z147" i="1" s="1"/>
  <c r="BN145" i="1"/>
  <c r="BP145" i="1"/>
  <c r="Y148" i="1"/>
  <c r="H606" i="1"/>
  <c r="Y153" i="1"/>
  <c r="Z158" i="1"/>
  <c r="BP156" i="1"/>
  <c r="BN156" i="1"/>
  <c r="Z156" i="1"/>
  <c r="I606" i="1"/>
  <c r="Y180" i="1"/>
  <c r="BP174" i="1"/>
  <c r="BN174" i="1"/>
  <c r="Z174" i="1"/>
  <c r="BP179" i="1"/>
  <c r="BN179" i="1"/>
  <c r="Z179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H9" i="1"/>
  <c r="Y28" i="1"/>
  <c r="Y55" i="1"/>
  <c r="Y137" i="1"/>
  <c r="BP172" i="1"/>
  <c r="BN172" i="1"/>
  <c r="Z172" i="1"/>
  <c r="Z180" i="1" s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Z212" i="1" s="1"/>
  <c r="BP208" i="1"/>
  <c r="BN208" i="1"/>
  <c r="Z208" i="1"/>
  <c r="Y212" i="1"/>
  <c r="Y169" i="1"/>
  <c r="Z216" i="1"/>
  <c r="Z224" i="1" s="1"/>
  <c r="BN216" i="1"/>
  <c r="BP216" i="1"/>
  <c r="Z218" i="1"/>
  <c r="BN218" i="1"/>
  <c r="Z220" i="1"/>
  <c r="BN220" i="1"/>
  <c r="Z222" i="1"/>
  <c r="BN222" i="1"/>
  <c r="Z228" i="1"/>
  <c r="Z229" i="1" s="1"/>
  <c r="BN228" i="1"/>
  <c r="BP228" i="1"/>
  <c r="Z233" i="1"/>
  <c r="Z241" i="1" s="1"/>
  <c r="BN233" i="1"/>
  <c r="BP233" i="1"/>
  <c r="Z235" i="1"/>
  <c r="BN235" i="1"/>
  <c r="Z237" i="1"/>
  <c r="BN237" i="1"/>
  <c r="Z239" i="1"/>
  <c r="BN239" i="1"/>
  <c r="Y242" i="1"/>
  <c r="Z249" i="1"/>
  <c r="Z250" i="1" s="1"/>
  <c r="BN249" i="1"/>
  <c r="BP249" i="1"/>
  <c r="Y250" i="1"/>
  <c r="L606" i="1"/>
  <c r="Z263" i="1"/>
  <c r="BN263" i="1"/>
  <c r="BP263" i="1"/>
  <c r="Z265" i="1"/>
  <c r="Z268" i="1" s="1"/>
  <c r="BN265" i="1"/>
  <c r="Z267" i="1"/>
  <c r="BN267" i="1"/>
  <c r="Y268" i="1"/>
  <c r="Z272" i="1"/>
  <c r="Z273" i="1" s="1"/>
  <c r="BN272" i="1"/>
  <c r="BP272" i="1"/>
  <c r="Y273" i="1"/>
  <c r="Z277" i="1"/>
  <c r="BN277" i="1"/>
  <c r="BP277" i="1"/>
  <c r="Z279" i="1"/>
  <c r="BN279" i="1"/>
  <c r="Z280" i="1"/>
  <c r="BN280" i="1"/>
  <c r="Y281" i="1"/>
  <c r="Z285" i="1"/>
  <c r="BN285" i="1"/>
  <c r="BP285" i="1"/>
  <c r="Z287" i="1"/>
  <c r="BN287" i="1"/>
  <c r="Z289" i="1"/>
  <c r="BN289" i="1"/>
  <c r="Y290" i="1"/>
  <c r="Z294" i="1"/>
  <c r="Z295" i="1" s="1"/>
  <c r="BN294" i="1"/>
  <c r="BP294" i="1"/>
  <c r="Y295" i="1"/>
  <c r="Z298" i="1"/>
  <c r="Z299" i="1" s="1"/>
  <c r="BN298" i="1"/>
  <c r="BP298" i="1"/>
  <c r="Y299" i="1"/>
  <c r="Z302" i="1"/>
  <c r="Z303" i="1" s="1"/>
  <c r="BN302" i="1"/>
  <c r="BP302" i="1"/>
  <c r="Y303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241" i="1"/>
  <c r="Y274" i="1"/>
  <c r="Y282" i="1"/>
  <c r="Y291" i="1"/>
  <c r="Y296" i="1"/>
  <c r="Y308" i="1"/>
  <c r="BP307" i="1"/>
  <c r="BN307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Z340" i="1" s="1"/>
  <c r="Y340" i="1"/>
  <c r="Z348" i="1"/>
  <c r="BP344" i="1"/>
  <c r="BN344" i="1"/>
  <c r="Z344" i="1"/>
  <c r="Y348" i="1"/>
  <c r="BP352" i="1"/>
  <c r="BN352" i="1"/>
  <c r="Z352" i="1"/>
  <c r="Z354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BP470" i="1"/>
  <c r="BN470" i="1"/>
  <c r="Z470" i="1"/>
  <c r="Z472" i="1" s="1"/>
  <c r="Y524" i="1"/>
  <c r="BP512" i="1"/>
  <c r="BN512" i="1"/>
  <c r="Z512" i="1"/>
  <c r="BP514" i="1"/>
  <c r="BN514" i="1"/>
  <c r="Z514" i="1"/>
  <c r="BP516" i="1"/>
  <c r="BN516" i="1"/>
  <c r="Z516" i="1"/>
  <c r="Y523" i="1"/>
  <c r="Z529" i="1"/>
  <c r="BP527" i="1"/>
  <c r="BN527" i="1"/>
  <c r="Z527" i="1"/>
  <c r="Y529" i="1"/>
  <c r="Z606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Z509" i="1" s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70" i="1" l="1"/>
  <c r="Z466" i="1"/>
  <c r="Z393" i="1"/>
  <c r="Z367" i="1"/>
  <c r="Z361" i="1"/>
  <c r="Z290" i="1"/>
  <c r="Z281" i="1"/>
  <c r="Z55" i="1"/>
  <c r="Y596" i="1"/>
  <c r="Y598" i="1"/>
  <c r="Z28" i="1"/>
  <c r="Z552" i="1"/>
  <c r="Z523" i="1"/>
  <c r="Z502" i="1"/>
  <c r="Y600" i="1"/>
  <c r="Y597" i="1"/>
  <c r="Y599" i="1" s="1"/>
  <c r="Z601" i="1" l="1"/>
</calcChain>
</file>

<file path=xl/sharedStrings.xml><?xml version="1.0" encoding="utf-8"?>
<sst xmlns="http://schemas.openxmlformats.org/spreadsheetml/2006/main" count="2760" uniqueCount="982">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</sst>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6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300</v>
      </c>
      <c r="Y50" s="668">
        <f t="shared" si="6"/>
        <v>302.40000000000003</v>
      </c>
      <c r="Z50" s="36">
        <f>IFERROR(IF(Y50=0,"",ROUNDUP(Y50/H50,0)*0.01898),"")</f>
        <v>0.53144000000000002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312.08333333333331</v>
      </c>
      <c r="BN50" s="64">
        <f t="shared" si="8"/>
        <v>314.58000000000004</v>
      </c>
      <c r="BO50" s="64">
        <f t="shared" si="9"/>
        <v>0.43402777777777773</v>
      </c>
      <c r="BP50" s="64">
        <f t="shared" si="10"/>
        <v>0.4375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27.777777777777775</v>
      </c>
      <c r="Y55" s="669">
        <f>IFERROR(Y49/H49,"0")+IFERROR(Y50/H50,"0")+IFERROR(Y51/H51,"0")+IFERROR(Y52/H52,"0")+IFERROR(Y53/H53,"0")+IFERROR(Y54/H54,"0")</f>
        <v>28</v>
      </c>
      <c r="Z55" s="669">
        <f>IFERROR(IF(Z49="",0,Z49),"0")+IFERROR(IF(Z50="",0,Z50),"0")+IFERROR(IF(Z51="",0,Z51),"0")+IFERROR(IF(Z52="",0,Z52),"0")+IFERROR(IF(Z53="",0,Z53),"0")+IFERROR(IF(Z54="",0,Z54),"0")</f>
        <v>0.53144000000000002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300</v>
      </c>
      <c r="Y56" s="669">
        <f>IFERROR(SUM(Y49:Y54),"0")</f>
        <v>302.40000000000003</v>
      </c>
      <c r="Z56" s="37"/>
      <c r="AA56" s="670"/>
      <c r="AB56" s="670"/>
      <c r="AC56" s="670"/>
    </row>
    <row r="57" spans="1:68" ht="14.25" customHeight="1" x14ac:dyDescent="0.25">
      <c r="A57" s="684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150</v>
      </c>
      <c r="Y73" s="668">
        <f t="shared" si="11"/>
        <v>151.20000000000002</v>
      </c>
      <c r="Z73" s="36">
        <f>IFERROR(IF(Y73=0,"",ROUNDUP(Y73/H73,0)*0.01898),"")</f>
        <v>0.34164</v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159.05357142857142</v>
      </c>
      <c r="BN73" s="64">
        <f t="shared" si="13"/>
        <v>160.32600000000002</v>
      </c>
      <c r="BO73" s="64">
        <f t="shared" si="14"/>
        <v>0.27901785714285715</v>
      </c>
      <c r="BP73" s="64">
        <f t="shared" si="15"/>
        <v>0.28125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17.857142857142858</v>
      </c>
      <c r="Y77" s="669">
        <f>IFERROR(Y71/H71,"0")+IFERROR(Y72/H72,"0")+IFERROR(Y73/H73,"0")+IFERROR(Y74/H74,"0")+IFERROR(Y75/H75,"0")+IFERROR(Y76/H76,"0")</f>
        <v>18</v>
      </c>
      <c r="Z77" s="669">
        <f>IFERROR(IF(Z71="",0,Z71),"0")+IFERROR(IF(Z72="",0,Z72),"0")+IFERROR(IF(Z73="",0,Z73),"0")+IFERROR(IF(Z74="",0,Z74),"0")+IFERROR(IF(Z75="",0,Z75),"0")+IFERROR(IF(Z76="",0,Z76),"0")</f>
        <v>0.34164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150</v>
      </c>
      <c r="Y78" s="669">
        <f>IFERROR(SUM(Y71:Y76),"0")</f>
        <v>151.20000000000002</v>
      </c>
      <c r="Z78" s="37"/>
      <c r="AA78" s="670"/>
      <c r="AB78" s="670"/>
      <c r="AC78" s="670"/>
    </row>
    <row r="79" spans="1:68" ht="14.25" customHeight="1" x14ac:dyDescent="0.25">
      <c r="A79" s="684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6" t="s">
        <v>197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201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71" t="s">
        <v>205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88" t="s">
        <v>207</v>
      </c>
      <c r="Q98" s="674"/>
      <c r="R98" s="674"/>
      <c r="S98" s="674"/>
      <c r="T98" s="675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customHeight="1" x14ac:dyDescent="0.25">
      <c r="A104" s="685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customHeight="1" x14ac:dyDescent="0.25">
      <c r="A112" s="684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231</v>
      </c>
      <c r="B121" s="54" t="s">
        <v>236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10" t="s">
        <v>237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239</v>
      </c>
      <c r="B122" s="54" t="s">
        <v>240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46" t="s">
        <v>241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244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245</v>
      </c>
      <c r="B124" s="54" t="s">
        <v>246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248</v>
      </c>
      <c r="B125" s="54" t="s">
        <v>249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customHeight="1" x14ac:dyDescent="0.25">
      <c r="A128" s="684" t="s">
        <v>175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251</v>
      </c>
      <c r="B129" s="54" t="s">
        <v>252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254</v>
      </c>
      <c r="B130" s="54" t="s">
        <v>255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257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258</v>
      </c>
      <c r="B135" s="54" t="s">
        <v>259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149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262</v>
      </c>
      <c r="B141" s="54" t="s">
        <v>265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266</v>
      </c>
      <c r="B145" s="54" t="s">
        <v>267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149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272</v>
      </c>
      <c r="B155" s="54" t="s">
        <v>273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50.4</v>
      </c>
      <c r="Y156" s="668">
        <f>IFERROR(IF(X156="",0,CEILING((X156/$H156),1)*$H156),"")</f>
        <v>50.400000000000006</v>
      </c>
      <c r="Z156" s="36">
        <f>IFERROR(IF(Y156=0,"",ROUNDUP(Y156/H156,0)*0.00651),"")</f>
        <v>7.8119999999999995E-2</v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53.639999999999993</v>
      </c>
      <c r="BN156" s="64">
        <f>IFERROR(Y156*I156/H156,"0")</f>
        <v>53.64</v>
      </c>
      <c r="BO156" s="64">
        <f>IFERROR(1/J156*(X156/H156),"0")</f>
        <v>6.5934065934065936E-2</v>
      </c>
      <c r="BP156" s="64">
        <f>IFERROR(1/J156*(Y156/H156),"0")</f>
        <v>6.5934065934065936E-2</v>
      </c>
    </row>
    <row r="157" spans="1:68" ht="16.5" customHeight="1" x14ac:dyDescent="0.25">
      <c r="A157" s="54" t="s">
        <v>278</v>
      </c>
      <c r="B157" s="54" t="s">
        <v>279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12</v>
      </c>
      <c r="Y158" s="669">
        <f>IFERROR(Y155/H155,"0")+IFERROR(Y156/H156,"0")+IFERROR(Y157/H157,"0")</f>
        <v>12</v>
      </c>
      <c r="Z158" s="669">
        <f>IFERROR(IF(Z155="",0,Z155),"0")+IFERROR(IF(Z156="",0,Z156),"0")+IFERROR(IF(Z157="",0,Z157),"0")</f>
        <v>7.8119999999999995E-2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50.4</v>
      </c>
      <c r="Y159" s="669">
        <f>IFERROR(SUM(Y155:Y157),"0")</f>
        <v>50.400000000000006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281</v>
      </c>
      <c r="B161" s="54" t="s">
        <v>282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284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285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138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286</v>
      </c>
      <c r="B167" s="54" t="s">
        <v>287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149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289</v>
      </c>
      <c r="B171" s="54" t="s">
        <v>290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70" t="s">
        <v>304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313</v>
      </c>
      <c r="B183" s="54" t="s">
        <v>314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987" t="s">
        <v>317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53" t="s">
        <v>322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323</v>
      </c>
      <c r="B185" s="54" t="s">
        <v>324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42" t="s">
        <v>325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327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328</v>
      </c>
      <c r="B189" s="54" t="s">
        <v>329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0" t="s">
        <v>330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331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332</v>
      </c>
      <c r="B194" s="54" t="s">
        <v>333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335</v>
      </c>
      <c r="B195" s="54" t="s">
        <v>336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138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337</v>
      </c>
      <c r="B199" s="54" t="s">
        <v>338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340</v>
      </c>
      <c r="B200" s="54" t="s">
        <v>341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149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342</v>
      </c>
      <c r="B204" s="54" t="s">
        <v>343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358</v>
      </c>
      <c r="B210" s="54" t="s">
        <v>359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360</v>
      </c>
      <c r="B211" s="54" t="s">
        <v>361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362</v>
      </c>
      <c r="B215" s="54" t="s">
        <v>363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368</v>
      </c>
      <c r="B217" s="54" t="s">
        <v>369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380</v>
      </c>
      <c r="B222" s="54" t="s">
        <v>381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383</v>
      </c>
      <c r="B223" s="54" t="s">
        <v>384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customHeight="1" x14ac:dyDescent="0.25">
      <c r="A226" s="684" t="s">
        <v>175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386</v>
      </c>
      <c r="B227" s="54" t="s">
        <v>387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392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393</v>
      </c>
      <c r="B233" s="54" t="s">
        <v>394</v>
      </c>
      <c r="C233" s="31">
        <v>4301011942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393</v>
      </c>
      <c r="B234" s="54" t="s">
        <v>397</v>
      </c>
      <c r="C234" s="31">
        <v>4301011826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4301011941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402</v>
      </c>
      <c r="B237" s="54" t="s">
        <v>404</v>
      </c>
      <c r="C237" s="31">
        <v>4301011721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406</v>
      </c>
      <c r="B238" s="54" t="s">
        <v>407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410</v>
      </c>
      <c r="B240" s="54" t="s">
        <v>411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138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412</v>
      </c>
      <c r="B244" s="54" t="s">
        <v>413</v>
      </c>
      <c r="C244" s="31">
        <v>4301020340</v>
      </c>
      <c r="D244" s="671">
        <v>4680115885721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7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412</v>
      </c>
      <c r="B245" s="54" t="s">
        <v>415</v>
      </c>
      <c r="C245" s="31">
        <v>4301020377</v>
      </c>
      <c r="D245" s="671">
        <v>4680115885981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71" t="s">
        <v>416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417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418</v>
      </c>
      <c r="B249" s="54" t="s">
        <v>419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00" t="s">
        <v>420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422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423</v>
      </c>
      <c r="B253" s="54" t="s">
        <v>424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4" t="s">
        <v>425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427</v>
      </c>
      <c r="B254" s="54" t="s">
        <v>428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21" t="s">
        <v>429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430</v>
      </c>
      <c r="B255" s="54" t="s">
        <v>431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3" t="s">
        <v>432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433</v>
      </c>
      <c r="B256" s="54" t="s">
        <v>434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5" t="s">
        <v>435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436</v>
      </c>
      <c r="B257" s="54" t="s">
        <v>437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8" t="s">
        <v>438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439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440</v>
      </c>
      <c r="B262" s="54" t="s">
        <v>441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443</v>
      </c>
      <c r="B263" s="54" t="s">
        <v>444</v>
      </c>
      <c r="C263" s="31">
        <v>4301011910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4301011850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448</v>
      </c>
      <c r="B265" s="54" t="s">
        <v>449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451</v>
      </c>
      <c r="B266" s="54" t="s">
        <v>452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454</v>
      </c>
      <c r="B267" s="54" t="s">
        <v>455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20</v>
      </c>
      <c r="Y267" s="668">
        <f t="shared" si="47"/>
        <v>20</v>
      </c>
      <c r="Z267" s="36">
        <f>IFERROR(IF(Y267=0,"",ROUNDUP(Y267/H267,0)*0.00902),"")</f>
        <v>4.5100000000000001E-2</v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21.05</v>
      </c>
      <c r="BN267" s="64">
        <f t="shared" si="49"/>
        <v>21.05</v>
      </c>
      <c r="BO267" s="64">
        <f t="shared" si="50"/>
        <v>3.787878787878788E-2</v>
      </c>
      <c r="BP267" s="64">
        <f t="shared" si="51"/>
        <v>3.787878787878788E-2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5</v>
      </c>
      <c r="Y268" s="669">
        <f>IFERROR(Y262/H262,"0")+IFERROR(Y263/H263,"0")+IFERROR(Y264/H264,"0")+IFERROR(Y265/H265,"0")+IFERROR(Y266/H266,"0")+IFERROR(Y267/H267,"0")</f>
        <v>5</v>
      </c>
      <c r="Z268" s="669">
        <f>IFERROR(IF(Z262="",0,Z262),"0")+IFERROR(IF(Z263="",0,Z263),"0")+IFERROR(IF(Z264="",0,Z264),"0")+IFERROR(IF(Z265="",0,Z265),"0")+IFERROR(IF(Z266="",0,Z266),"0")+IFERROR(IF(Z267="",0,Z267),"0")</f>
        <v>4.5100000000000001E-2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20</v>
      </c>
      <c r="Y269" s="669">
        <f>IFERROR(SUM(Y262:Y267),"0")</f>
        <v>20</v>
      </c>
      <c r="Z269" s="37"/>
      <c r="AA269" s="670"/>
      <c r="AB269" s="670"/>
      <c r="AC269" s="670"/>
    </row>
    <row r="270" spans="1:68" ht="16.5" customHeight="1" x14ac:dyDescent="0.25">
      <c r="A270" s="685" t="s">
        <v>457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458</v>
      </c>
      <c r="B272" s="54" t="s">
        <v>459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461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462</v>
      </c>
      <c r="B277" s="54" t="s">
        <v>463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464</v>
      </c>
      <c r="B278" s="54" t="s">
        <v>465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470</v>
      </c>
      <c r="B280" s="54" t="s">
        <v>471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472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474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475</v>
      </c>
      <c r="B285" s="54" t="s">
        <v>476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481</v>
      </c>
      <c r="B287" s="54" t="s">
        <v>482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483</v>
      </c>
      <c r="B288" s="54" t="s">
        <v>484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486</v>
      </c>
      <c r="B289" s="54" t="s">
        <v>487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488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489</v>
      </c>
      <c r="B294" s="54" t="s">
        <v>490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492</v>
      </c>
      <c r="B298" s="54" t="s">
        <v>493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495</v>
      </c>
      <c r="B302" s="54" t="s">
        <v>496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498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499</v>
      </c>
      <c r="B307" s="54" t="s">
        <v>500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502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503</v>
      </c>
      <c r="B312" s="54" t="s">
        <v>504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149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508</v>
      </c>
      <c r="B317" s="54" t="s">
        <v>509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510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511</v>
      </c>
      <c r="B322" s="54" t="s">
        <v>512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515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516</v>
      </c>
      <c r="B327" s="54" t="s">
        <v>517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4301011911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69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4301012016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149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436.8</v>
      </c>
      <c r="Y343" s="668">
        <f>IFERROR(IF(X343="",0,CEILING((X343/$H343),1)*$H343),"")</f>
        <v>436.8</v>
      </c>
      <c r="Z343" s="36">
        <f>IFERROR(IF(Y343=0,"",ROUNDUP(Y343/H343,0)*0.01898),"")</f>
        <v>1.06288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465.52800000000002</v>
      </c>
      <c r="BN343" s="64">
        <f>IFERROR(Y343*I343/H343,"0")</f>
        <v>465.52800000000002</v>
      </c>
      <c r="BO343" s="64">
        <f>IFERROR(1/J343*(X343/H343),"0")</f>
        <v>0.875</v>
      </c>
      <c r="BP343" s="64">
        <f>IFERROR(1/J343*(Y343/H343),"0")</f>
        <v>0.875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9</v>
      </c>
      <c r="Y346" s="668">
        <f>IFERROR(IF(X346="",0,CEILING((X346/$H346),1)*$H346),"")</f>
        <v>9</v>
      </c>
      <c r="Z346" s="36">
        <f>IFERROR(IF(Y346=0,"",ROUNDUP(Y346/H346,0)*0.00651),"")</f>
        <v>1.9529999999999999E-2</v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9.7379999999999995</v>
      </c>
      <c r="BN346" s="64">
        <f>IFERROR(Y346*I346/H346,"0")</f>
        <v>9.7379999999999995</v>
      </c>
      <c r="BO346" s="64">
        <f>IFERROR(1/J346*(X346/H346),"0")</f>
        <v>1.6483516483516484E-2</v>
      </c>
      <c r="BP346" s="64">
        <f>IFERROR(1/J346*(Y346/H346),"0")</f>
        <v>1.6483516483516484E-2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59</v>
      </c>
      <c r="Y348" s="669">
        <f>IFERROR(Y343/H343,"0")+IFERROR(Y344/H344,"0")+IFERROR(Y345/H345,"0")+IFERROR(Y346/H346,"0")+IFERROR(Y347/H347,"0")</f>
        <v>59</v>
      </c>
      <c r="Z348" s="669">
        <f>IFERROR(IF(Z343="",0,Z343),"0")+IFERROR(IF(Z344="",0,Z344),"0")+IFERROR(IF(Z345="",0,Z345),"0")+IFERROR(IF(Z346="",0,Z346),"0")+IFERROR(IF(Z347="",0,Z347),"0")</f>
        <v>1.0824100000000001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445.8</v>
      </c>
      <c r="Y349" s="669">
        <f>IFERROR(SUM(Y343:Y347),"0")</f>
        <v>445.8</v>
      </c>
      <c r="Z349" s="37"/>
      <c r="AA349" s="670"/>
      <c r="AB349" s="670"/>
      <c r="AC349" s="670"/>
    </row>
    <row r="350" spans="1:68" ht="14.25" customHeight="1" x14ac:dyDescent="0.25">
      <c r="A350" s="684" t="s">
        <v>175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7.65</v>
      </c>
      <c r="Y360" s="668">
        <f>IFERROR(IF(X360="",0,CEILING((X360/$H360),1)*$H360),"")</f>
        <v>7.6499999999999995</v>
      </c>
      <c r="Z360" s="36">
        <f>IFERROR(IF(Y360=0,"",ROUNDUP(Y360/H360,0)*0.00651),"")</f>
        <v>1.9529999999999999E-2</v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8.64</v>
      </c>
      <c r="BN360" s="64">
        <f>IFERROR(Y360*I360/H360,"0")</f>
        <v>8.6399999999999988</v>
      </c>
      <c r="BO360" s="64">
        <f>IFERROR(1/J360*(X360/H360),"0")</f>
        <v>1.6483516483516487E-2</v>
      </c>
      <c r="BP360" s="64">
        <f>IFERROR(1/J360*(Y360/H360),"0")</f>
        <v>1.6483516483516484E-2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3.0000000000000004</v>
      </c>
      <c r="Y361" s="669">
        <f>IFERROR(Y357/H357,"0")+IFERROR(Y358/H358,"0")+IFERROR(Y359/H359,"0")+IFERROR(Y360/H360,"0")</f>
        <v>3</v>
      </c>
      <c r="Z361" s="669">
        <f>IFERROR(IF(Z357="",0,Z357),"0")+IFERROR(IF(Z358="",0,Z358),"0")+IFERROR(IF(Z359="",0,Z359),"0")+IFERROR(IF(Z360="",0,Z360),"0")</f>
        <v>1.9529999999999999E-2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7.65</v>
      </c>
      <c r="Y362" s="669">
        <f>IFERROR(SUM(Y357:Y360),"0")</f>
        <v>7.6499999999999995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149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27" customHeight="1" x14ac:dyDescent="0.25">
      <c r="A383" s="54" t="s">
        <v>604</v>
      </c>
      <c r="B383" s="54" t="s">
        <v>605</v>
      </c>
      <c r="C383" s="31">
        <v>4301011946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6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IFERROR(IF(Y384=0,"",ROUNDUP(Y384/H384,0)*0.02175),"")</f>
        <v/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4301011947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IFERROR(IF(Y386=0,"",ROUNDUP(Y386/H386,0)*0.02175),"")</f>
        <v/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613</v>
      </c>
      <c r="B387" s="54" t="s">
        <v>614</v>
      </c>
      <c r="C387" s="31">
        <v>4301011943</v>
      </c>
      <c r="D387" s="671">
        <v>4680115884830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6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71">
        <v>4607091383997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37.5" customHeight="1" x14ac:dyDescent="0.25">
      <c r="A389" s="54" t="s">
        <v>613</v>
      </c>
      <c r="B389" s="54" t="s">
        <v>618</v>
      </c>
      <c r="C389" s="31">
        <v>4301011867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customHeight="1" x14ac:dyDescent="0.25">
      <c r="A395" s="684" t="s">
        <v>138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175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21.6</v>
      </c>
      <c r="Y413" s="668">
        <f>IFERROR(IF(X413="",0,CEILING((X413/$H413),1)*$H413),"")</f>
        <v>21.6</v>
      </c>
      <c r="Z413" s="36">
        <f>IFERROR(IF(Y413=0,"",ROUNDUP(Y413/H413,0)*0.01898),"")</f>
        <v>3.7960000000000001E-2</v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22.47</v>
      </c>
      <c r="BN413" s="64">
        <f>IFERROR(Y413*I413/H413,"0")</f>
        <v>22.47</v>
      </c>
      <c r="BO413" s="64">
        <f>IFERROR(1/J413*(X413/H413),"0")</f>
        <v>3.125E-2</v>
      </c>
      <c r="BP413" s="64">
        <f>IFERROR(1/J413*(Y413/H413),"0")</f>
        <v>3.125E-2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2</v>
      </c>
      <c r="Y416" s="669">
        <f>IFERROR(Y411/H411,"0")+IFERROR(Y412/H412,"0")+IFERROR(Y413/H413,"0")+IFERROR(Y414/H414,"0")+IFERROR(Y415/H415,"0")</f>
        <v>2</v>
      </c>
      <c r="Z416" s="669">
        <f>IFERROR(IF(Z411="",0,Z411),"0")+IFERROR(IF(Z412="",0,Z412),"0")+IFERROR(IF(Z413="",0,Z413),"0")+IFERROR(IF(Z414="",0,Z414),"0")+IFERROR(IF(Z415="",0,Z415),"0")</f>
        <v>3.7960000000000001E-2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21.6</v>
      </c>
      <c r="Y417" s="669">
        <f>IFERROR(SUM(Y411:Y415),"0")</f>
        <v>21.6</v>
      </c>
      <c r="Z417" s="37"/>
      <c r="AA417" s="670"/>
      <c r="AB417" s="670"/>
      <c r="AC417" s="670"/>
    </row>
    <row r="418" spans="1:68" ht="14.25" customHeight="1" x14ac:dyDescent="0.25">
      <c r="A418" s="684" t="s">
        <v>149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175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149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4301031382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4301031406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138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149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149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175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4301012035</v>
      </c>
      <c r="D493" s="671">
        <v>4680115880603</v>
      </c>
      <c r="E493" s="672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771</v>
      </c>
      <c r="B494" s="54" t="s">
        <v>773</v>
      </c>
      <c r="C494" s="31">
        <v>4301011778</v>
      </c>
      <c r="D494" s="671">
        <v>4680115880603</v>
      </c>
      <c r="E494" s="672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4301012034</v>
      </c>
      <c r="D499" s="671">
        <v>4607091389982</v>
      </c>
      <c r="E499" s="672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785</v>
      </c>
      <c r="B500" s="54" t="s">
        <v>787</v>
      </c>
      <c r="C500" s="31">
        <v>4301011784</v>
      </c>
      <c r="D500" s="671">
        <v>4607091389982</v>
      </c>
      <c r="E500" s="672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customHeight="1" x14ac:dyDescent="0.25">
      <c r="A504" s="684" t="s">
        <v>138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4301020334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9" t="s">
        <v>792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794</v>
      </c>
      <c r="C506" s="31">
        <v>4301020222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90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149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4301031351</v>
      </c>
      <c r="D516" s="671">
        <v>4680115882072</v>
      </c>
      <c r="E516" s="672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817</v>
      </c>
      <c r="B517" s="54" t="s">
        <v>820</v>
      </c>
      <c r="C517" s="31">
        <v>4301031383</v>
      </c>
      <c r="D517" s="671">
        <v>4680115882072</v>
      </c>
      <c r="E517" s="672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4301031419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694" t="s">
        <v>823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827</v>
      </c>
      <c r="B520" s="54" t="s">
        <v>828</v>
      </c>
      <c r="C520" s="31">
        <v>4301031384</v>
      </c>
      <c r="D520" s="671">
        <v>4680115882096</v>
      </c>
      <c r="E520" s="672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829</v>
      </c>
      <c r="C521" s="31">
        <v>4301031253</v>
      </c>
      <c r="D521" s="671">
        <v>4680115882096</v>
      </c>
      <c r="E521" s="672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2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831</v>
      </c>
      <c r="C522" s="31">
        <v>4301031417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3" t="s">
        <v>832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175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138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149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4301051887</v>
      </c>
      <c r="D565" s="671">
        <v>4640242180533</v>
      </c>
      <c r="E565" s="672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912</v>
      </c>
      <c r="B566" s="54" t="s">
        <v>916</v>
      </c>
      <c r="C566" s="31">
        <v>4301052046</v>
      </c>
      <c r="D566" s="671">
        <v>4640242180533</v>
      </c>
      <c r="E566" s="672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175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4301060485</v>
      </c>
      <c r="D573" s="671">
        <v>4640242180120</v>
      </c>
      <c r="E573" s="672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4301060496</v>
      </c>
      <c r="D574" s="671">
        <v>4640242180120</v>
      </c>
      <c r="E574" s="672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4301060486</v>
      </c>
      <c r="D575" s="671">
        <v>4640242180137</v>
      </c>
      <c r="E575" s="672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4301060498</v>
      </c>
      <c r="D576" s="671">
        <v>4640242180137</v>
      </c>
      <c r="E576" s="672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138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149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995.45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999.05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1052.2029047619048</v>
      </c>
      <c r="Y597" s="669">
        <f>IFERROR(SUM(BN22:BN593),"0")</f>
        <v>1055.9720000000002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2</v>
      </c>
      <c r="Y598" s="38">
        <f>ROUNDUP(SUM(BP22:BP593),0)</f>
        <v>2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1102.2029047619048</v>
      </c>
      <c r="Y599" s="669">
        <f>GrossWeightTotalR+PalletQtyTotalR*25</f>
        <v>1105.9720000000002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126.63492063492063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127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2.1362000000000001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284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183</v>
      </c>
      <c r="F604" s="698" t="s">
        <v>214</v>
      </c>
      <c r="G604" s="698" t="s">
        <v>257</v>
      </c>
      <c r="H604" s="698" t="s">
        <v>96</v>
      </c>
      <c r="I604" s="698" t="s">
        <v>285</v>
      </c>
      <c r="J604" s="698" t="s">
        <v>331</v>
      </c>
      <c r="K604" s="698" t="s">
        <v>392</v>
      </c>
      <c r="L604" s="698" t="s">
        <v>439</v>
      </c>
      <c r="M604" s="698" t="s">
        <v>457</v>
      </c>
      <c r="N604" s="665"/>
      <c r="O604" s="698" t="s">
        <v>461</v>
      </c>
      <c r="P604" s="698" t="s">
        <v>474</v>
      </c>
      <c r="Q604" s="698" t="s">
        <v>488</v>
      </c>
      <c r="R604" s="698" t="s">
        <v>498</v>
      </c>
      <c r="S604" s="698" t="s">
        <v>502</v>
      </c>
      <c r="T604" s="698" t="s">
        <v>510</v>
      </c>
      <c r="U604" s="698" t="s">
        <v>515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453.6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50.400000000000006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20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453.45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21.6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2025-04-29T09:12:21Z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