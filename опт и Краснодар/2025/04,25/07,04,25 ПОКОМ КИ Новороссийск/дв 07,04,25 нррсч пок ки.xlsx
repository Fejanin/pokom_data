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7,04,25 ПОКОМ КИ Новороссийск\"/>
    </mc:Choice>
  </mc:AlternateContent>
  <xr:revisionPtr revIDLastSave="0" documentId="13_ncr:1_{A551DC07-31D7-46DE-ACFE-318BE9B383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Sheet!$A$3:$W$79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9" i="1" l="1"/>
  <c r="E79" i="1"/>
  <c r="O79" i="1" s="1"/>
  <c r="P79" i="1" s="1"/>
  <c r="O7" i="1"/>
  <c r="O8" i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O19" i="1"/>
  <c r="P19" i="1" s="1"/>
  <c r="O20" i="1"/>
  <c r="P20" i="1" s="1"/>
  <c r="O21" i="1"/>
  <c r="P21" i="1" s="1"/>
  <c r="O22" i="1"/>
  <c r="P22" i="1" s="1"/>
  <c r="O23" i="1"/>
  <c r="P23" i="1" s="1"/>
  <c r="O24" i="1"/>
  <c r="O25" i="1"/>
  <c r="P25" i="1" s="1"/>
  <c r="O26" i="1"/>
  <c r="P26" i="1" s="1"/>
  <c r="O27" i="1"/>
  <c r="O28" i="1"/>
  <c r="O29" i="1"/>
  <c r="P29" i="1" s="1"/>
  <c r="O30" i="1"/>
  <c r="P30" i="1" s="1"/>
  <c r="O31" i="1"/>
  <c r="O32" i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O49" i="1"/>
  <c r="P49" i="1" s="1"/>
  <c r="O50" i="1"/>
  <c r="P50" i="1" s="1"/>
  <c r="O51" i="1"/>
  <c r="P51" i="1" s="1"/>
  <c r="O52" i="1"/>
  <c r="P52" i="1" s="1"/>
  <c r="O53" i="1"/>
  <c r="P53" i="1" s="1"/>
  <c r="O54" i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S61" i="1" s="1"/>
  <c r="O62" i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O72" i="1"/>
  <c r="P72" i="1" s="1"/>
  <c r="O73" i="1"/>
  <c r="P73" i="1" s="1"/>
  <c r="O74" i="1"/>
  <c r="P74" i="1" s="1"/>
  <c r="O75" i="1"/>
  <c r="O76" i="1"/>
  <c r="P76" i="1" s="1"/>
  <c r="O77" i="1"/>
  <c r="P77" i="1" s="1"/>
  <c r="O78" i="1"/>
  <c r="P78" i="1" s="1"/>
  <c r="O6" i="1"/>
  <c r="P6" i="1" s="1"/>
  <c r="T6" i="1" l="1"/>
  <c r="S78" i="1"/>
  <c r="S76" i="1"/>
  <c r="S74" i="1"/>
  <c r="S72" i="1"/>
  <c r="S70" i="1"/>
  <c r="S68" i="1"/>
  <c r="S66" i="1"/>
  <c r="S28" i="1"/>
  <c r="S62" i="1"/>
  <c r="W64" i="1"/>
  <c r="P8" i="1"/>
  <c r="S8" i="1" s="1"/>
  <c r="S10" i="1"/>
  <c r="W12" i="1"/>
  <c r="S14" i="1"/>
  <c r="S16" i="1"/>
  <c r="P18" i="1"/>
  <c r="S18" i="1" s="1"/>
  <c r="W20" i="1"/>
  <c r="S22" i="1"/>
  <c r="P24" i="1"/>
  <c r="S24" i="1" s="1"/>
  <c r="S26" i="1"/>
  <c r="S30" i="1"/>
  <c r="P32" i="1"/>
  <c r="S32" i="1" s="1"/>
  <c r="S34" i="1"/>
  <c r="S36" i="1"/>
  <c r="W38" i="1"/>
  <c r="S40" i="1"/>
  <c r="S42" i="1"/>
  <c r="W44" i="1"/>
  <c r="S46" i="1"/>
  <c r="P48" i="1"/>
  <c r="S48" i="1" s="1"/>
  <c r="S50" i="1"/>
  <c r="S52" i="1"/>
  <c r="P54" i="1"/>
  <c r="S54" i="1" s="1"/>
  <c r="S56" i="1"/>
  <c r="S58" i="1"/>
  <c r="W60" i="1"/>
  <c r="W63" i="1"/>
  <c r="S65" i="1"/>
  <c r="W67" i="1"/>
  <c r="S69" i="1"/>
  <c r="P71" i="1"/>
  <c r="W71" i="1" s="1"/>
  <c r="W73" i="1"/>
  <c r="P75" i="1"/>
  <c r="S75" i="1" s="1"/>
  <c r="S77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33" i="1"/>
  <c r="S31" i="1"/>
  <c r="S29" i="1"/>
  <c r="S79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6" i="1"/>
  <c r="T22" i="1"/>
  <c r="T18" i="1"/>
  <c r="T14" i="1"/>
  <c r="T10" i="1"/>
  <c r="S6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4" i="1"/>
  <c r="T20" i="1"/>
  <c r="T16" i="1"/>
  <c r="T12" i="1"/>
  <c r="T8" i="1"/>
  <c r="S27" i="1"/>
  <c r="T27" i="1"/>
  <c r="S25" i="1"/>
  <c r="T25" i="1"/>
  <c r="S23" i="1"/>
  <c r="T23" i="1"/>
  <c r="S21" i="1"/>
  <c r="T21" i="1"/>
  <c r="S19" i="1"/>
  <c r="T19" i="1"/>
  <c r="S17" i="1"/>
  <c r="T17" i="1"/>
  <c r="S15" i="1"/>
  <c r="T15" i="1"/>
  <c r="S13" i="1"/>
  <c r="T13" i="1"/>
  <c r="S11" i="1"/>
  <c r="T11" i="1"/>
  <c r="S9" i="1"/>
  <c r="T9" i="1"/>
  <c r="S7" i="1"/>
  <c r="T7" i="1"/>
  <c r="W79" i="1"/>
  <c r="K79" i="1"/>
  <c r="W78" i="1"/>
  <c r="K78" i="1"/>
  <c r="K77" i="1"/>
  <c r="W76" i="1"/>
  <c r="K76" i="1"/>
  <c r="K75" i="1"/>
  <c r="K74" i="1"/>
  <c r="K73" i="1"/>
  <c r="W72" i="1"/>
  <c r="K72" i="1"/>
  <c r="K71" i="1"/>
  <c r="K70" i="1"/>
  <c r="K69" i="1"/>
  <c r="W68" i="1"/>
  <c r="K68" i="1"/>
  <c r="K67" i="1"/>
  <c r="K66" i="1"/>
  <c r="W65" i="1"/>
  <c r="K65" i="1"/>
  <c r="K64" i="1"/>
  <c r="K63" i="1"/>
  <c r="W62" i="1"/>
  <c r="K62" i="1"/>
  <c r="K61" i="1"/>
  <c r="K60" i="1"/>
  <c r="W59" i="1"/>
  <c r="K59" i="1"/>
  <c r="K58" i="1"/>
  <c r="W57" i="1"/>
  <c r="K57" i="1"/>
  <c r="K56" i="1"/>
  <c r="W55" i="1"/>
  <c r="K55" i="1"/>
  <c r="K54" i="1"/>
  <c r="W53" i="1"/>
  <c r="K53" i="1"/>
  <c r="K52" i="1"/>
  <c r="W51" i="1"/>
  <c r="K51" i="1"/>
  <c r="W50" i="1"/>
  <c r="K50" i="1"/>
  <c r="W49" i="1"/>
  <c r="K49" i="1"/>
  <c r="K48" i="1"/>
  <c r="W47" i="1"/>
  <c r="K47" i="1"/>
  <c r="W46" i="1"/>
  <c r="K46" i="1"/>
  <c r="W45" i="1"/>
  <c r="K45" i="1"/>
  <c r="K44" i="1"/>
  <c r="W43" i="1"/>
  <c r="K43" i="1"/>
  <c r="W42" i="1"/>
  <c r="K42" i="1"/>
  <c r="W41" i="1"/>
  <c r="K41" i="1"/>
  <c r="K40" i="1"/>
  <c r="W39" i="1"/>
  <c r="K39" i="1"/>
  <c r="K38" i="1"/>
  <c r="W37" i="1"/>
  <c r="K37" i="1"/>
  <c r="W36" i="1"/>
  <c r="K36" i="1"/>
  <c r="W35" i="1"/>
  <c r="K35" i="1"/>
  <c r="K34" i="1"/>
  <c r="W33" i="1"/>
  <c r="K33" i="1"/>
  <c r="K32" i="1"/>
  <c r="W31" i="1"/>
  <c r="K31" i="1"/>
  <c r="K30" i="1"/>
  <c r="W29" i="1"/>
  <c r="K29" i="1"/>
  <c r="W28" i="1"/>
  <c r="K28" i="1"/>
  <c r="W27" i="1"/>
  <c r="K27" i="1"/>
  <c r="K26" i="1"/>
  <c r="W25" i="1"/>
  <c r="K25" i="1"/>
  <c r="K24" i="1"/>
  <c r="W23" i="1"/>
  <c r="K23" i="1"/>
  <c r="K22" i="1"/>
  <c r="W21" i="1"/>
  <c r="K21" i="1"/>
  <c r="K20" i="1"/>
  <c r="W19" i="1"/>
  <c r="K19" i="1"/>
  <c r="K18" i="1"/>
  <c r="W17" i="1"/>
  <c r="K17" i="1"/>
  <c r="W16" i="1"/>
  <c r="K16" i="1"/>
  <c r="W15" i="1"/>
  <c r="K15" i="1"/>
  <c r="K14" i="1"/>
  <c r="W13" i="1"/>
  <c r="K13" i="1"/>
  <c r="K12" i="1"/>
  <c r="W11" i="1"/>
  <c r="K11" i="1"/>
  <c r="K10" i="1"/>
  <c r="W9" i="1"/>
  <c r="K9" i="1"/>
  <c r="K8" i="1"/>
  <c r="W7" i="1"/>
  <c r="K7" i="1"/>
  <c r="W6" i="1"/>
  <c r="K6" i="1"/>
  <c r="U5" i="1"/>
  <c r="Q5" i="1"/>
  <c r="O5" i="1"/>
  <c r="N5" i="1"/>
  <c r="M5" i="1"/>
  <c r="L5" i="1"/>
  <c r="J5" i="1"/>
  <c r="F5" i="1"/>
  <c r="E5" i="1"/>
  <c r="W54" i="1" l="1"/>
  <c r="W70" i="1"/>
  <c r="W74" i="1"/>
  <c r="W8" i="1"/>
  <c r="W24" i="1"/>
  <c r="W58" i="1"/>
  <c r="W66" i="1"/>
  <c r="W75" i="1"/>
  <c r="S44" i="1"/>
  <c r="S60" i="1"/>
  <c r="W32" i="1"/>
  <c r="W40" i="1"/>
  <c r="W48" i="1"/>
  <c r="W52" i="1"/>
  <c r="W56" i="1"/>
  <c r="W69" i="1"/>
  <c r="W77" i="1"/>
  <c r="S12" i="1"/>
  <c r="S20" i="1"/>
  <c r="S63" i="1"/>
  <c r="S67" i="1"/>
  <c r="S71" i="1"/>
  <c r="S64" i="1"/>
  <c r="P5" i="1"/>
  <c r="W10" i="1"/>
  <c r="W14" i="1"/>
  <c r="W18" i="1"/>
  <c r="W22" i="1"/>
  <c r="W26" i="1"/>
  <c r="W30" i="1"/>
  <c r="W34" i="1"/>
  <c r="S73" i="1"/>
  <c r="S38" i="1"/>
  <c r="K5" i="1"/>
  <c r="W5" i="1" l="1"/>
</calcChain>
</file>

<file path=xl/sharedStrings.xml><?xml version="1.0" encoding="utf-8"?>
<sst xmlns="http://schemas.openxmlformats.org/spreadsheetml/2006/main" count="251" uniqueCount="107">
  <si>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</si>
  <si>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</si>
  <si>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</si>
  <si>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</si>
  <si>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</si>
  <si>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</si>
  <si>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</si>
  <si>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</si>
  <si>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</si>
  <si>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</si>
  <si>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</si>
  <si>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</si>
  <si>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</si>
  <si>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</si>
  <si>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</si>
  <si>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</si>
  <si>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</si>
  <si>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</si>
  <si>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</si>
  <si>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</si>
  <si>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</si>
  <si>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</si>
  <si>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</si>
  <si>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</si>
  <si>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</si>
  <si>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</si>
  <si>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</si>
  <si>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</si>
  <si>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</si>
  <si>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</si>
  <si>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</si>
  <si>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</si>
  <si>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</si>
  <si>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</si>
  <si>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</si>
  <si>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</si>
  <si>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</si>
  <si>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</si>
  <si>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</si>
  <si>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</si>
  <si>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</si>
  <si>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</si>
  <si>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</si>
  <si>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</si>
  <si>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</si>
  <si>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</si>
  <si>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</si>
  <si>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</si>
  <si>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</si>
  <si>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</si>
  <si>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</si>
  <si>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</si>
  <si>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</si>
  <si>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</si>
  <si>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</si>
  <si>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</si>
  <si>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</si>
  <si>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</si>
  <si>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</si>
  <si>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</si>
  <si>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</si>
  <si>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</si>
  <si>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</si>
  <si>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</si>
  <si>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</si>
  <si>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</si>
  <si>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</si>
  <si>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</si>
  <si>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</si>
  <si>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</si>
  <si>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</si>
  <si>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</si>
  <si>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</si>
  <si>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</si>
  <si>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</si>
  <si>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</si>
  <si>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</si>
  <si>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</si>
  <si>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</si>
  <si>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</si>
  <si>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</si>
  <si>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</si>
  <si>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</si>
  <si>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</si>
  <si>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</si>
  <si>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>не в матрице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</si>
  <si>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</si>
  <si>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</si>
  <si>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</si>
  <si>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</si>
  <si>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</si>
  <si>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</si>
  <si>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</si>
  <si>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</si>
  <si>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</si>
  <si>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</si>
  <si>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</si>
  <si>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</si>
  <si>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</si>
  <si>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</si>
  <si>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</si>
  <si>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</si>
  <si>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</si>
  <si>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</si>
  <si>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есть дубль</t>
  </si>
  <si>
    <r>
      <rPr>
        <b/>
        <sz val="10"/>
        <rFont val="Arial"/>
        <family val="2"/>
        <charset val="204"/>
      </rPr>
      <t>не правильно оприходован товар!!!</t>
    </r>
    <r>
      <rPr>
        <sz val="10"/>
        <rFont val="Arial"/>
        <family val="2"/>
        <charset val="204"/>
      </rPr>
      <t xml:space="preserve"> / дубль</t>
    </r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</si>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</sst>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4" fillId="6" borderId="1" xfId="1" applyNumberFormat="1" applyFont="1" applyFill="1"/>
    <xf numFmtId="164" fontId="6" fillId="7" borderId="1" xfId="1" applyNumberFormat="1" applyFont="1" applyFill="1"/>
    <xf numFmtId="164" fontId="7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8" sqref="R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10" customWidth="1"/>
    <col min="8" max="8" width="5" customWidth="1"/>
    <col min="9" max="9" width="12" customWidth="1"/>
    <col min="10" max="11" width="7" customWidth="1"/>
    <col min="12" max="13" width="0.5703125" customWidth="1"/>
    <col min="14" max="17" width="7" customWidth="1"/>
    <col min="18" max="18" width="21" customWidth="1"/>
    <col min="19" max="20" width="5" customWidth="1"/>
    <col min="21" max="21" width="6" customWidth="1"/>
    <col min="22" max="22" width="52.5703125" customWidth="1"/>
    <col min="23" max="23" width="7" customWidth="1"/>
    <col min="24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SUM(E6:E493)</f>
        <v>7842.03</v>
      </c>
      <c r="F5" s="4">
        <f>SUM(F6:F493)</f>
        <v>1258.6200000000001</v>
      </c>
      <c r="G5" s="8"/>
      <c r="H5" s="1"/>
      <c r="I5" s="1"/>
      <c r="J5" s="4">
        <f t="shared" ref="J5:Q5" si="0">SUM(J6:J493)</f>
        <v>11846.258000000002</v>
      </c>
      <c r="K5" s="4">
        <f t="shared" si="0"/>
        <v>-4004.2279999999996</v>
      </c>
      <c r="L5" s="4">
        <f t="shared" si="0"/>
        <v>0</v>
      </c>
      <c r="M5" s="4">
        <f t="shared" si="0"/>
        <v>0</v>
      </c>
      <c r="N5" s="4">
        <f t="shared" si="0"/>
        <v>1615.9337999999996</v>
      </c>
      <c r="O5" s="4">
        <f t="shared" si="0"/>
        <v>1568.4059999999997</v>
      </c>
      <c r="P5" s="4">
        <f t="shared" si="0"/>
        <v>12682.516200000002</v>
      </c>
      <c r="Q5" s="4">
        <f t="shared" si="0"/>
        <v>0</v>
      </c>
      <c r="R5" s="1"/>
      <c r="S5" s="1"/>
      <c r="T5" s="1"/>
      <c r="U5" s="4">
        <f>SUM(U6:U493)</f>
        <v>546.12139999999988</v>
      </c>
      <c r="V5" s="1"/>
      <c r="W5" s="4">
        <f>SUM(W6:W493)</f>
        <v>8235.2406800000008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>
        <v>97.2</v>
      </c>
      <c r="D6" s="1">
        <v>59.347999999999999</v>
      </c>
      <c r="E6" s="1">
        <v>117.53700000000001</v>
      </c>
      <c r="F6" s="1">
        <v>36.295000000000002</v>
      </c>
      <c r="G6" s="8">
        <v>1</v>
      </c>
      <c r="H6" s="1">
        <v>50</v>
      </c>
      <c r="I6" s="1" t="s">
        <v>28</v>
      </c>
      <c r="J6" s="1">
        <v>130.9</v>
      </c>
      <c r="K6" s="1">
        <f t="shared" ref="K6:K37" si="1">E6-J6</f>
        <v>-13.363</v>
      </c>
      <c r="L6" s="1"/>
      <c r="M6" s="1"/>
      <c r="N6" s="1">
        <v>0</v>
      </c>
      <c r="O6" s="1">
        <f>E6/5</f>
        <v>23.507400000000001</v>
      </c>
      <c r="P6" s="5">
        <f>11*O6-N6-F6</f>
        <v>222.28640000000001</v>
      </c>
      <c r="Q6" s="5"/>
      <c r="R6" s="1"/>
      <c r="S6" s="1">
        <f>(F6+N6+P6)/O6</f>
        <v>11.000000000000002</v>
      </c>
      <c r="T6" s="1">
        <f>(F6+N6)/O6</f>
        <v>1.5439818950628312</v>
      </c>
      <c r="U6" s="1">
        <v>6.4561999999999999</v>
      </c>
      <c r="V6" s="1"/>
      <c r="W6" s="1">
        <f t="shared" ref="W6:W37" si="2">G6*P6</f>
        <v>222.28640000000001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29</v>
      </c>
      <c r="B7" s="1" t="s">
        <v>27</v>
      </c>
      <c r="C7" s="1">
        <v>85.021000000000001</v>
      </c>
      <c r="D7" s="1">
        <v>42.881999999999998</v>
      </c>
      <c r="E7" s="1">
        <v>9.6270000000000007</v>
      </c>
      <c r="F7" s="1">
        <v>118.276</v>
      </c>
      <c r="G7" s="8">
        <v>1</v>
      </c>
      <c r="H7" s="1">
        <v>40</v>
      </c>
      <c r="I7" s="1" t="s">
        <v>28</v>
      </c>
      <c r="J7" s="1">
        <v>8.3000000000000007</v>
      </c>
      <c r="K7" s="1">
        <f t="shared" si="1"/>
        <v>1.327</v>
      </c>
      <c r="L7" s="1"/>
      <c r="M7" s="1"/>
      <c r="N7" s="1">
        <v>0</v>
      </c>
      <c r="O7" s="1">
        <f t="shared" ref="O7:O70" si="3">E7/5</f>
        <v>1.9254000000000002</v>
      </c>
      <c r="P7" s="5"/>
      <c r="Q7" s="5"/>
      <c r="R7" s="1"/>
      <c r="S7" s="1">
        <f t="shared" ref="S7:S70" si="4">(F7+N7+P7)/O7</f>
        <v>61.429313389425566</v>
      </c>
      <c r="T7" s="1">
        <f t="shared" ref="T7:T70" si="5">(F7+N7)/O7</f>
        <v>61.429313389425566</v>
      </c>
      <c r="U7" s="1">
        <v>0.34660000000000002</v>
      </c>
      <c r="V7" s="18" t="s">
        <v>106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30</v>
      </c>
      <c r="B8" s="1" t="s">
        <v>27</v>
      </c>
      <c r="C8" s="1">
        <v>20.72</v>
      </c>
      <c r="D8" s="1"/>
      <c r="E8" s="1">
        <v>25.757999999999999</v>
      </c>
      <c r="F8" s="1">
        <v>-5.0380000000000003</v>
      </c>
      <c r="G8" s="8">
        <v>1</v>
      </c>
      <c r="H8" s="1">
        <v>45</v>
      </c>
      <c r="I8" s="1" t="s">
        <v>28</v>
      </c>
      <c r="J8" s="1">
        <v>39.164999999999999</v>
      </c>
      <c r="K8" s="1">
        <f t="shared" si="1"/>
        <v>-13.407</v>
      </c>
      <c r="L8" s="1"/>
      <c r="M8" s="1"/>
      <c r="N8" s="1">
        <v>55</v>
      </c>
      <c r="O8" s="1">
        <f t="shared" si="3"/>
        <v>5.1516000000000002</v>
      </c>
      <c r="P8" s="5">
        <f t="shared" ref="P8:P54" si="6">13*O8-N8-F8</f>
        <v>17.008799999999997</v>
      </c>
      <c r="Q8" s="5"/>
      <c r="R8" s="1"/>
      <c r="S8" s="1">
        <f t="shared" si="4"/>
        <v>12.999999999999998</v>
      </c>
      <c r="T8" s="1">
        <f t="shared" si="5"/>
        <v>9.6983461448870258</v>
      </c>
      <c r="U8" s="1">
        <v>4.5624000000000002</v>
      </c>
      <c r="V8" s="1"/>
      <c r="W8" s="1">
        <f t="shared" si="2"/>
        <v>17.008799999999997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31</v>
      </c>
      <c r="B9" s="1" t="s">
        <v>27</v>
      </c>
      <c r="C9" s="1">
        <v>24.632999999999999</v>
      </c>
      <c r="D9" s="1"/>
      <c r="E9" s="1">
        <v>28.434000000000001</v>
      </c>
      <c r="F9" s="1">
        <v>-3.8010000000000002</v>
      </c>
      <c r="G9" s="8">
        <v>1</v>
      </c>
      <c r="H9" s="1">
        <v>45</v>
      </c>
      <c r="I9" s="1" t="s">
        <v>28</v>
      </c>
      <c r="J9" s="1">
        <v>27.9</v>
      </c>
      <c r="K9" s="1">
        <f t="shared" si="1"/>
        <v>0.53400000000000247</v>
      </c>
      <c r="L9" s="1"/>
      <c r="M9" s="1"/>
      <c r="N9" s="1">
        <v>55</v>
      </c>
      <c r="O9" s="1">
        <f t="shared" si="3"/>
        <v>5.6867999999999999</v>
      </c>
      <c r="P9" s="5">
        <f t="shared" si="6"/>
        <v>22.729399999999998</v>
      </c>
      <c r="Q9" s="5"/>
      <c r="R9" s="1"/>
      <c r="S9" s="1">
        <f t="shared" si="4"/>
        <v>13</v>
      </c>
      <c r="T9" s="1">
        <f t="shared" si="5"/>
        <v>9.0031300555672793</v>
      </c>
      <c r="U9" s="1">
        <v>4.7953999999999999</v>
      </c>
      <c r="V9" s="1"/>
      <c r="W9" s="1">
        <f t="shared" si="2"/>
        <v>22.729399999999998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32</v>
      </c>
      <c r="B10" s="1" t="s">
        <v>33</v>
      </c>
      <c r="C10" s="1">
        <v>159</v>
      </c>
      <c r="D10" s="1">
        <v>55</v>
      </c>
      <c r="E10" s="1">
        <v>212.447</v>
      </c>
      <c r="F10" s="1">
        <v>-10.446999999999999</v>
      </c>
      <c r="G10" s="8">
        <v>0.4</v>
      </c>
      <c r="H10" s="1">
        <v>50</v>
      </c>
      <c r="I10" s="1" t="s">
        <v>28</v>
      </c>
      <c r="J10" s="1">
        <v>428</v>
      </c>
      <c r="K10" s="1">
        <f t="shared" si="1"/>
        <v>-215.553</v>
      </c>
      <c r="L10" s="1"/>
      <c r="M10" s="1"/>
      <c r="N10" s="1">
        <v>0</v>
      </c>
      <c r="O10" s="1">
        <f t="shared" si="3"/>
        <v>42.489400000000003</v>
      </c>
      <c r="P10" s="5">
        <f>8*O10-N10-F10</f>
        <v>350.36220000000003</v>
      </c>
      <c r="Q10" s="5"/>
      <c r="R10" s="1"/>
      <c r="S10" s="1">
        <f t="shared" si="4"/>
        <v>8</v>
      </c>
      <c r="T10" s="1">
        <f t="shared" si="5"/>
        <v>-0.24587308834674057</v>
      </c>
      <c r="U10" s="1">
        <v>14.2</v>
      </c>
      <c r="V10" s="1"/>
      <c r="W10" s="1">
        <f t="shared" si="2"/>
        <v>140.14488000000003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34</v>
      </c>
      <c r="B11" s="1" t="s">
        <v>33</v>
      </c>
      <c r="C11" s="1">
        <v>88</v>
      </c>
      <c r="D11" s="1">
        <v>8</v>
      </c>
      <c r="E11" s="1">
        <v>96</v>
      </c>
      <c r="F11" s="1">
        <v>-8</v>
      </c>
      <c r="G11" s="8">
        <v>0.45</v>
      </c>
      <c r="H11" s="1">
        <v>45</v>
      </c>
      <c r="I11" s="1" t="s">
        <v>28</v>
      </c>
      <c r="J11" s="1">
        <v>245</v>
      </c>
      <c r="K11" s="1">
        <f t="shared" si="1"/>
        <v>-149</v>
      </c>
      <c r="L11" s="1"/>
      <c r="M11" s="1"/>
      <c r="N11" s="1">
        <v>55</v>
      </c>
      <c r="O11" s="1">
        <f t="shared" si="3"/>
        <v>19.2</v>
      </c>
      <c r="P11" s="5">
        <f>10*O11-N11-F11</f>
        <v>145</v>
      </c>
      <c r="Q11" s="5"/>
      <c r="R11" s="1"/>
      <c r="S11" s="1">
        <f t="shared" si="4"/>
        <v>10</v>
      </c>
      <c r="T11" s="1">
        <f t="shared" si="5"/>
        <v>2.447916666666667</v>
      </c>
      <c r="U11" s="1">
        <v>10</v>
      </c>
      <c r="V11" s="1"/>
      <c r="W11" s="1">
        <f t="shared" si="2"/>
        <v>65.25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35</v>
      </c>
      <c r="B12" s="1" t="s">
        <v>33</v>
      </c>
      <c r="C12" s="1">
        <v>177</v>
      </c>
      <c r="D12" s="1">
        <v>53</v>
      </c>
      <c r="E12" s="1">
        <v>227</v>
      </c>
      <c r="F12" s="1">
        <v>-5</v>
      </c>
      <c r="G12" s="8">
        <v>0.33</v>
      </c>
      <c r="H12" s="1">
        <v>45</v>
      </c>
      <c r="I12" s="1" t="s">
        <v>28</v>
      </c>
      <c r="J12" s="1">
        <v>235</v>
      </c>
      <c r="K12" s="1">
        <f t="shared" si="1"/>
        <v>-8</v>
      </c>
      <c r="L12" s="1"/>
      <c r="M12" s="1"/>
      <c r="N12" s="1">
        <v>0</v>
      </c>
      <c r="O12" s="1">
        <f t="shared" si="3"/>
        <v>45.4</v>
      </c>
      <c r="P12" s="5">
        <f>8*O12-N12-F12</f>
        <v>368.2</v>
      </c>
      <c r="Q12" s="5"/>
      <c r="R12" s="1"/>
      <c r="S12" s="1">
        <f t="shared" si="4"/>
        <v>8</v>
      </c>
      <c r="T12" s="1">
        <f t="shared" si="5"/>
        <v>-0.11013215859030838</v>
      </c>
      <c r="U12" s="1">
        <v>11.4</v>
      </c>
      <c r="V12" s="1"/>
      <c r="W12" s="1">
        <f t="shared" si="2"/>
        <v>121.506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36</v>
      </c>
      <c r="B13" s="1" t="s">
        <v>33</v>
      </c>
      <c r="C13" s="1"/>
      <c r="D13" s="1">
        <v>54</v>
      </c>
      <c r="E13" s="1">
        <v>45</v>
      </c>
      <c r="F13" s="1">
        <v>9</v>
      </c>
      <c r="G13" s="8">
        <v>0.5</v>
      </c>
      <c r="H13" s="1">
        <v>40</v>
      </c>
      <c r="I13" s="1" t="s">
        <v>28</v>
      </c>
      <c r="J13" s="1">
        <v>51</v>
      </c>
      <c r="K13" s="1">
        <f t="shared" si="1"/>
        <v>-6</v>
      </c>
      <c r="L13" s="1"/>
      <c r="M13" s="1"/>
      <c r="N13" s="1">
        <v>0</v>
      </c>
      <c r="O13" s="1">
        <f t="shared" si="3"/>
        <v>9</v>
      </c>
      <c r="P13" s="5">
        <f>9*O13-N13-F13</f>
        <v>72</v>
      </c>
      <c r="Q13" s="5"/>
      <c r="R13" s="1"/>
      <c r="S13" s="1">
        <f t="shared" si="4"/>
        <v>9</v>
      </c>
      <c r="T13" s="1">
        <f t="shared" si="5"/>
        <v>1</v>
      </c>
      <c r="U13" s="1">
        <v>0</v>
      </c>
      <c r="V13" s="1"/>
      <c r="W13" s="1">
        <f t="shared" si="2"/>
        <v>36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37</v>
      </c>
      <c r="B14" s="1" t="s">
        <v>33</v>
      </c>
      <c r="C14" s="1"/>
      <c r="D14" s="1">
        <v>60</v>
      </c>
      <c r="E14" s="1">
        <v>45</v>
      </c>
      <c r="F14" s="1">
        <v>15</v>
      </c>
      <c r="G14" s="8">
        <v>0.17</v>
      </c>
      <c r="H14" s="1">
        <v>180</v>
      </c>
      <c r="I14" s="1" t="s">
        <v>28</v>
      </c>
      <c r="J14" s="1">
        <v>49</v>
      </c>
      <c r="K14" s="1">
        <f t="shared" si="1"/>
        <v>-4</v>
      </c>
      <c r="L14" s="1"/>
      <c r="M14" s="1"/>
      <c r="N14" s="1">
        <v>0</v>
      </c>
      <c r="O14" s="1">
        <f t="shared" si="3"/>
        <v>9</v>
      </c>
      <c r="P14" s="5">
        <f>10*O14-N14-F14</f>
        <v>75</v>
      </c>
      <c r="Q14" s="5"/>
      <c r="R14" s="1"/>
      <c r="S14" s="1">
        <f t="shared" si="4"/>
        <v>10</v>
      </c>
      <c r="T14" s="1">
        <f t="shared" si="5"/>
        <v>1.6666666666666667</v>
      </c>
      <c r="U14" s="1">
        <v>0</v>
      </c>
      <c r="V14" s="1"/>
      <c r="W14" s="1">
        <f t="shared" si="2"/>
        <v>12.750000000000002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38</v>
      </c>
      <c r="B15" s="1" t="s">
        <v>33</v>
      </c>
      <c r="C15" s="1">
        <v>38</v>
      </c>
      <c r="D15" s="1">
        <v>7</v>
      </c>
      <c r="E15" s="1">
        <v>43</v>
      </c>
      <c r="F15" s="1"/>
      <c r="G15" s="8">
        <v>0.3</v>
      </c>
      <c r="H15" s="1">
        <v>40</v>
      </c>
      <c r="I15" s="1" t="s">
        <v>28</v>
      </c>
      <c r="J15" s="1">
        <v>92</v>
      </c>
      <c r="K15" s="1">
        <f t="shared" si="1"/>
        <v>-49</v>
      </c>
      <c r="L15" s="1"/>
      <c r="M15" s="1"/>
      <c r="N15" s="1">
        <v>97.200000000000017</v>
      </c>
      <c r="O15" s="1">
        <f t="shared" si="3"/>
        <v>8.6</v>
      </c>
      <c r="P15" s="5">
        <f t="shared" si="6"/>
        <v>14.59999999999998</v>
      </c>
      <c r="Q15" s="5"/>
      <c r="R15" s="1"/>
      <c r="S15" s="1">
        <f t="shared" si="4"/>
        <v>13</v>
      </c>
      <c r="T15" s="1">
        <f t="shared" si="5"/>
        <v>11.302325581395351</v>
      </c>
      <c r="U15" s="1">
        <v>10.4</v>
      </c>
      <c r="V15" s="1"/>
      <c r="W15" s="1">
        <f t="shared" si="2"/>
        <v>4.3799999999999937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39</v>
      </c>
      <c r="B16" s="1" t="s">
        <v>33</v>
      </c>
      <c r="C16" s="1"/>
      <c r="D16" s="1">
        <v>61</v>
      </c>
      <c r="E16" s="1">
        <v>60</v>
      </c>
      <c r="F16" s="1"/>
      <c r="G16" s="8">
        <v>0.17</v>
      </c>
      <c r="H16" s="1">
        <v>180</v>
      </c>
      <c r="I16" s="1" t="s">
        <v>28</v>
      </c>
      <c r="J16" s="1">
        <v>99</v>
      </c>
      <c r="K16" s="1">
        <f t="shared" si="1"/>
        <v>-39</v>
      </c>
      <c r="L16" s="1"/>
      <c r="M16" s="1"/>
      <c r="N16" s="1">
        <v>0</v>
      </c>
      <c r="O16" s="1">
        <f t="shared" si="3"/>
        <v>12</v>
      </c>
      <c r="P16" s="5">
        <f t="shared" ref="P16:P17" si="7">8*O16-N16-F16</f>
        <v>96</v>
      </c>
      <c r="Q16" s="5"/>
      <c r="R16" s="1"/>
      <c r="S16" s="1">
        <f t="shared" si="4"/>
        <v>8</v>
      </c>
      <c r="T16" s="1">
        <f t="shared" si="5"/>
        <v>0</v>
      </c>
      <c r="U16" s="1">
        <v>0</v>
      </c>
      <c r="V16" s="1"/>
      <c r="W16" s="1">
        <f t="shared" si="2"/>
        <v>16.32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40</v>
      </c>
      <c r="B17" s="1" t="s">
        <v>33</v>
      </c>
      <c r="C17" s="1">
        <v>39</v>
      </c>
      <c r="D17" s="1">
        <v>1</v>
      </c>
      <c r="E17" s="1">
        <v>37</v>
      </c>
      <c r="F17" s="1">
        <v>3</v>
      </c>
      <c r="G17" s="8">
        <v>0.35</v>
      </c>
      <c r="H17" s="1">
        <v>50</v>
      </c>
      <c r="I17" s="1" t="s">
        <v>28</v>
      </c>
      <c r="J17" s="1">
        <v>46</v>
      </c>
      <c r="K17" s="1">
        <f t="shared" si="1"/>
        <v>-9</v>
      </c>
      <c r="L17" s="1"/>
      <c r="M17" s="1"/>
      <c r="N17" s="1">
        <v>0</v>
      </c>
      <c r="O17" s="1">
        <f t="shared" si="3"/>
        <v>7.4</v>
      </c>
      <c r="P17" s="5">
        <f t="shared" si="7"/>
        <v>56.2</v>
      </c>
      <c r="Q17" s="5"/>
      <c r="R17" s="1"/>
      <c r="S17" s="1">
        <f t="shared" si="4"/>
        <v>8</v>
      </c>
      <c r="T17" s="1">
        <f t="shared" si="5"/>
        <v>0.40540540540540537</v>
      </c>
      <c r="U17" s="1">
        <v>3</v>
      </c>
      <c r="V17" s="1"/>
      <c r="W17" s="1">
        <f t="shared" si="2"/>
        <v>19.669999999999998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41</v>
      </c>
      <c r="B18" s="1" t="s">
        <v>27</v>
      </c>
      <c r="C18" s="1">
        <v>50.582000000000001</v>
      </c>
      <c r="D18" s="1"/>
      <c r="E18" s="1">
        <v>16.718</v>
      </c>
      <c r="F18" s="1">
        <v>33.863999999999997</v>
      </c>
      <c r="G18" s="8">
        <v>1</v>
      </c>
      <c r="H18" s="1">
        <v>55</v>
      </c>
      <c r="I18" s="1" t="s">
        <v>28</v>
      </c>
      <c r="J18" s="1">
        <v>15.6</v>
      </c>
      <c r="K18" s="1">
        <f t="shared" si="1"/>
        <v>1.1180000000000003</v>
      </c>
      <c r="L18" s="1"/>
      <c r="M18" s="1"/>
      <c r="N18" s="1">
        <v>0</v>
      </c>
      <c r="O18" s="1">
        <f t="shared" si="3"/>
        <v>3.3435999999999999</v>
      </c>
      <c r="P18" s="5">
        <f t="shared" si="6"/>
        <v>9.602800000000002</v>
      </c>
      <c r="Q18" s="5"/>
      <c r="R18" s="1"/>
      <c r="S18" s="1">
        <f t="shared" si="4"/>
        <v>13</v>
      </c>
      <c r="T18" s="1">
        <f t="shared" si="5"/>
        <v>10.128005742313674</v>
      </c>
      <c r="U18" s="1">
        <v>1.5835999999999999</v>
      </c>
      <c r="V18" s="1"/>
      <c r="W18" s="1">
        <f t="shared" si="2"/>
        <v>9.602800000000002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42</v>
      </c>
      <c r="B19" s="1" t="s">
        <v>27</v>
      </c>
      <c r="C19" s="1">
        <v>246.679</v>
      </c>
      <c r="D19" s="1">
        <v>147.40299999999999</v>
      </c>
      <c r="E19" s="1">
        <v>225.16900000000001</v>
      </c>
      <c r="F19" s="1">
        <v>158.95099999999999</v>
      </c>
      <c r="G19" s="8">
        <v>1</v>
      </c>
      <c r="H19" s="1">
        <v>50</v>
      </c>
      <c r="I19" s="1" t="s">
        <v>28</v>
      </c>
      <c r="J19" s="1">
        <v>572.5</v>
      </c>
      <c r="K19" s="1">
        <f t="shared" si="1"/>
        <v>-347.33100000000002</v>
      </c>
      <c r="L19" s="1"/>
      <c r="M19" s="1"/>
      <c r="N19" s="1">
        <v>0</v>
      </c>
      <c r="O19" s="1">
        <f t="shared" si="3"/>
        <v>45.033799999999999</v>
      </c>
      <c r="P19" s="5">
        <f>13*O19-N19-F19</f>
        <v>426.48839999999996</v>
      </c>
      <c r="Q19" s="5"/>
      <c r="R19" s="1"/>
      <c r="S19" s="1">
        <f t="shared" si="4"/>
        <v>13</v>
      </c>
      <c r="T19" s="1">
        <f t="shared" si="5"/>
        <v>3.5295933276783216</v>
      </c>
      <c r="U19" s="1">
        <v>19.492999999999999</v>
      </c>
      <c r="V19" s="1"/>
      <c r="W19" s="1">
        <f t="shared" si="2"/>
        <v>426.48839999999996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43</v>
      </c>
      <c r="B20" s="1" t="s">
        <v>27</v>
      </c>
      <c r="C20" s="1">
        <v>18.617999999999999</v>
      </c>
      <c r="D20" s="1"/>
      <c r="E20" s="1">
        <v>15.504</v>
      </c>
      <c r="F20" s="1">
        <v>3.1139999999999999</v>
      </c>
      <c r="G20" s="8">
        <v>1</v>
      </c>
      <c r="H20" s="1">
        <v>60</v>
      </c>
      <c r="I20" s="1" t="s">
        <v>28</v>
      </c>
      <c r="J20" s="1">
        <v>14.45</v>
      </c>
      <c r="K20" s="1">
        <f t="shared" si="1"/>
        <v>1.0540000000000003</v>
      </c>
      <c r="L20" s="1"/>
      <c r="M20" s="1"/>
      <c r="N20" s="1">
        <v>4</v>
      </c>
      <c r="O20" s="1">
        <f t="shared" si="3"/>
        <v>3.1008</v>
      </c>
      <c r="P20" s="5">
        <f>10*O20-N20-F20</f>
        <v>23.893999999999998</v>
      </c>
      <c r="Q20" s="5"/>
      <c r="R20" s="1"/>
      <c r="S20" s="1">
        <f t="shared" si="4"/>
        <v>10</v>
      </c>
      <c r="T20" s="1">
        <f t="shared" si="5"/>
        <v>2.2942466460268318</v>
      </c>
      <c r="U20" s="1">
        <v>1.5924</v>
      </c>
      <c r="V20" s="1"/>
      <c r="W20" s="1">
        <f t="shared" si="2"/>
        <v>23.893999999999998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44</v>
      </c>
      <c r="B21" s="1" t="s">
        <v>27</v>
      </c>
      <c r="C21" s="1">
        <v>90.004999999999995</v>
      </c>
      <c r="D21" s="1">
        <v>27.555</v>
      </c>
      <c r="E21" s="1">
        <v>84.954999999999998</v>
      </c>
      <c r="F21" s="1">
        <v>5.05</v>
      </c>
      <c r="G21" s="8">
        <v>1</v>
      </c>
      <c r="H21" s="1">
        <v>60</v>
      </c>
      <c r="I21" s="1" t="s">
        <v>28</v>
      </c>
      <c r="J21" s="1">
        <v>112.3</v>
      </c>
      <c r="K21" s="1">
        <f t="shared" si="1"/>
        <v>-27.344999999999999</v>
      </c>
      <c r="L21" s="1"/>
      <c r="M21" s="1"/>
      <c r="N21" s="1">
        <v>80</v>
      </c>
      <c r="O21" s="1">
        <f t="shared" si="3"/>
        <v>16.991</v>
      </c>
      <c r="P21" s="5">
        <f>14*O21-N21-F21</f>
        <v>152.82399999999998</v>
      </c>
      <c r="Q21" s="5"/>
      <c r="R21" s="1"/>
      <c r="S21" s="1">
        <f t="shared" si="4"/>
        <v>13.999999999999998</v>
      </c>
      <c r="T21" s="1">
        <f t="shared" si="5"/>
        <v>5.0055911953387087</v>
      </c>
      <c r="U21" s="1">
        <v>6.0114000000000001</v>
      </c>
      <c r="V21" s="1"/>
      <c r="W21" s="1">
        <f t="shared" si="2"/>
        <v>152.82399999999998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45</v>
      </c>
      <c r="B22" s="1" t="s">
        <v>27</v>
      </c>
      <c r="C22" s="1">
        <v>24.661000000000001</v>
      </c>
      <c r="D22" s="1"/>
      <c r="E22" s="1">
        <v>14.965999999999999</v>
      </c>
      <c r="F22" s="1">
        <v>9.6950000000000003</v>
      </c>
      <c r="G22" s="8">
        <v>1</v>
      </c>
      <c r="H22" s="1">
        <v>60</v>
      </c>
      <c r="I22" s="1" t="s">
        <v>28</v>
      </c>
      <c r="J22" s="1">
        <v>14.4</v>
      </c>
      <c r="K22" s="1">
        <f t="shared" si="1"/>
        <v>0.56599999999999895</v>
      </c>
      <c r="L22" s="1"/>
      <c r="M22" s="1"/>
      <c r="N22" s="1">
        <v>0</v>
      </c>
      <c r="O22" s="1">
        <f t="shared" si="3"/>
        <v>2.9931999999999999</v>
      </c>
      <c r="P22" s="5">
        <f>11*O22-N22-F22</f>
        <v>23.230199999999996</v>
      </c>
      <c r="Q22" s="5"/>
      <c r="R22" s="1"/>
      <c r="S22" s="1">
        <f t="shared" si="4"/>
        <v>11</v>
      </c>
      <c r="T22" s="1">
        <f t="shared" si="5"/>
        <v>3.2390084190832558</v>
      </c>
      <c r="U22" s="1">
        <v>1.4157999999999999</v>
      </c>
      <c r="V22" s="1"/>
      <c r="W22" s="1">
        <f t="shared" si="2"/>
        <v>23.230199999999996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46</v>
      </c>
      <c r="B23" s="1" t="s">
        <v>27</v>
      </c>
      <c r="C23" s="1">
        <v>14.884</v>
      </c>
      <c r="D23" s="1"/>
      <c r="E23" s="1">
        <v>14.981</v>
      </c>
      <c r="F23" s="1">
        <v>-9.7000000000000003E-2</v>
      </c>
      <c r="G23" s="8">
        <v>1</v>
      </c>
      <c r="H23" s="1">
        <v>70</v>
      </c>
      <c r="I23" s="1" t="s">
        <v>28</v>
      </c>
      <c r="J23" s="1">
        <v>13.4</v>
      </c>
      <c r="K23" s="1">
        <f t="shared" si="1"/>
        <v>1.5809999999999995</v>
      </c>
      <c r="L23" s="1"/>
      <c r="M23" s="1"/>
      <c r="N23" s="1">
        <v>4</v>
      </c>
      <c r="O23" s="1">
        <f t="shared" si="3"/>
        <v>2.9962</v>
      </c>
      <c r="P23" s="5">
        <f>9*O23-N23-F23</f>
        <v>23.062800000000003</v>
      </c>
      <c r="Q23" s="5"/>
      <c r="R23" s="1"/>
      <c r="S23" s="1">
        <f t="shared" si="4"/>
        <v>9</v>
      </c>
      <c r="T23" s="1">
        <f t="shared" si="5"/>
        <v>1.3026500233629263</v>
      </c>
      <c r="U23" s="1">
        <v>1.2292000000000001</v>
      </c>
      <c r="V23" s="1"/>
      <c r="W23" s="1">
        <f t="shared" si="2"/>
        <v>23.062800000000003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47</v>
      </c>
      <c r="B24" s="1" t="s">
        <v>27</v>
      </c>
      <c r="C24" s="1">
        <v>71.176000000000002</v>
      </c>
      <c r="D24" s="1"/>
      <c r="E24" s="1">
        <v>32.228999999999999</v>
      </c>
      <c r="F24" s="1">
        <v>38.947000000000003</v>
      </c>
      <c r="G24" s="8">
        <v>1</v>
      </c>
      <c r="H24" s="1">
        <v>70</v>
      </c>
      <c r="I24" s="1" t="s">
        <v>28</v>
      </c>
      <c r="J24" s="1">
        <v>29.45</v>
      </c>
      <c r="K24" s="1">
        <f t="shared" si="1"/>
        <v>2.7789999999999999</v>
      </c>
      <c r="L24" s="1"/>
      <c r="M24" s="1"/>
      <c r="N24" s="1">
        <v>0</v>
      </c>
      <c r="O24" s="1">
        <f t="shared" si="3"/>
        <v>6.4458000000000002</v>
      </c>
      <c r="P24" s="5">
        <f t="shared" si="6"/>
        <v>44.848399999999998</v>
      </c>
      <c r="Q24" s="5"/>
      <c r="R24" s="1"/>
      <c r="S24" s="1">
        <f t="shared" si="4"/>
        <v>13</v>
      </c>
      <c r="T24" s="1">
        <f t="shared" si="5"/>
        <v>6.042229048372584</v>
      </c>
      <c r="U24" s="1">
        <v>1.5778000000000001</v>
      </c>
      <c r="V24" s="1"/>
      <c r="W24" s="1">
        <f t="shared" si="2"/>
        <v>44.848399999999998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48</v>
      </c>
      <c r="B25" s="1" t="s">
        <v>27</v>
      </c>
      <c r="C25" s="1">
        <v>47.238999999999997</v>
      </c>
      <c r="D25" s="1">
        <v>34.866</v>
      </c>
      <c r="E25" s="1">
        <v>65.236999999999995</v>
      </c>
      <c r="F25" s="1">
        <v>16.173999999999999</v>
      </c>
      <c r="G25" s="8">
        <v>1</v>
      </c>
      <c r="H25" s="1">
        <v>35</v>
      </c>
      <c r="I25" s="1" t="s">
        <v>28</v>
      </c>
      <c r="J25" s="1">
        <v>67.5</v>
      </c>
      <c r="K25" s="1">
        <f t="shared" si="1"/>
        <v>-2.2630000000000052</v>
      </c>
      <c r="L25" s="1"/>
      <c r="M25" s="1"/>
      <c r="N25" s="1">
        <v>14.026400000000001</v>
      </c>
      <c r="O25" s="1">
        <f t="shared" si="3"/>
        <v>13.0474</v>
      </c>
      <c r="P25" s="5">
        <f>10*O25-N25-F25</f>
        <v>100.27359999999999</v>
      </c>
      <c r="Q25" s="5"/>
      <c r="R25" s="1"/>
      <c r="S25" s="1">
        <f t="shared" si="4"/>
        <v>10</v>
      </c>
      <c r="T25" s="1">
        <f t="shared" si="5"/>
        <v>2.3146680564710214</v>
      </c>
      <c r="U25" s="1">
        <v>7.2358000000000002</v>
      </c>
      <c r="V25" s="1"/>
      <c r="W25" s="1">
        <f t="shared" si="2"/>
        <v>100.27359999999999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49</v>
      </c>
      <c r="B26" s="1" t="s">
        <v>27</v>
      </c>
      <c r="C26" s="1">
        <v>53.698</v>
      </c>
      <c r="D26" s="1"/>
      <c r="E26" s="1">
        <v>46.292999999999999</v>
      </c>
      <c r="F26" s="1">
        <v>7.4050000000000002</v>
      </c>
      <c r="G26" s="8">
        <v>1</v>
      </c>
      <c r="H26" s="1">
        <v>40</v>
      </c>
      <c r="I26" s="1" t="s">
        <v>28</v>
      </c>
      <c r="J26" s="1">
        <v>210.209</v>
      </c>
      <c r="K26" s="1">
        <f t="shared" si="1"/>
        <v>-163.916</v>
      </c>
      <c r="L26" s="1"/>
      <c r="M26" s="1"/>
      <c r="N26" s="1">
        <v>0</v>
      </c>
      <c r="O26" s="1">
        <f t="shared" si="3"/>
        <v>9.2585999999999995</v>
      </c>
      <c r="P26" s="5">
        <f>9*O26-N26-F26</f>
        <v>75.922399999999996</v>
      </c>
      <c r="Q26" s="5"/>
      <c r="R26" s="1"/>
      <c r="S26" s="1">
        <f t="shared" si="4"/>
        <v>9</v>
      </c>
      <c r="T26" s="1">
        <f t="shared" si="5"/>
        <v>0.79979694554252267</v>
      </c>
      <c r="U26" s="1">
        <v>3.0413999999999999</v>
      </c>
      <c r="V26" s="1"/>
      <c r="W26" s="1">
        <f t="shared" si="2"/>
        <v>75.922399999999996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50</v>
      </c>
      <c r="B27" s="1" t="s">
        <v>27</v>
      </c>
      <c r="C27" s="1">
        <v>2.61</v>
      </c>
      <c r="D27" s="1"/>
      <c r="E27" s="1">
        <v>2.7749999999999999</v>
      </c>
      <c r="F27" s="1">
        <v>-0.16500000000000001</v>
      </c>
      <c r="G27" s="8">
        <v>1</v>
      </c>
      <c r="H27" s="1">
        <v>30</v>
      </c>
      <c r="I27" s="1" t="s">
        <v>28</v>
      </c>
      <c r="J27" s="1">
        <v>6.5</v>
      </c>
      <c r="K27" s="1">
        <f t="shared" si="1"/>
        <v>-3.7250000000000001</v>
      </c>
      <c r="L27" s="1"/>
      <c r="M27" s="1"/>
      <c r="N27" s="1">
        <v>80</v>
      </c>
      <c r="O27" s="1">
        <f t="shared" si="3"/>
        <v>0.55499999999999994</v>
      </c>
      <c r="P27" s="5"/>
      <c r="Q27" s="5"/>
      <c r="R27" s="1"/>
      <c r="S27" s="1">
        <f t="shared" si="4"/>
        <v>143.84684684684686</v>
      </c>
      <c r="T27" s="1">
        <f t="shared" si="5"/>
        <v>143.84684684684686</v>
      </c>
      <c r="U27" s="1">
        <v>7.7126000000000001</v>
      </c>
      <c r="V27" s="1"/>
      <c r="W27" s="1">
        <f t="shared" si="2"/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7" t="s">
        <v>51</v>
      </c>
      <c r="B28" s="1" t="s">
        <v>27</v>
      </c>
      <c r="C28" s="1"/>
      <c r="D28" s="1"/>
      <c r="E28" s="1"/>
      <c r="F28" s="1"/>
      <c r="G28" s="8">
        <v>1</v>
      </c>
      <c r="H28" s="1">
        <v>30</v>
      </c>
      <c r="I28" s="1" t="s">
        <v>28</v>
      </c>
      <c r="J28" s="1">
        <v>1.3</v>
      </c>
      <c r="K28" s="1">
        <f t="shared" si="1"/>
        <v>-1.3</v>
      </c>
      <c r="L28" s="1"/>
      <c r="M28" s="1"/>
      <c r="N28" s="1">
        <v>80</v>
      </c>
      <c r="O28" s="1">
        <f t="shared" si="3"/>
        <v>0</v>
      </c>
      <c r="P28" s="5"/>
      <c r="Q28" s="5"/>
      <c r="R28" s="1"/>
      <c r="S28" s="1" t="e">
        <f t="shared" si="4"/>
        <v>#DIV/0!</v>
      </c>
      <c r="T28" s="1" t="e">
        <f t="shared" si="5"/>
        <v>#DIV/0!</v>
      </c>
      <c r="U28" s="1">
        <v>5.452</v>
      </c>
      <c r="V28" s="1"/>
      <c r="W28" s="1">
        <f t="shared" si="2"/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52</v>
      </c>
      <c r="B29" s="1" t="s">
        <v>27</v>
      </c>
      <c r="C29" s="1">
        <v>60.668999999999997</v>
      </c>
      <c r="D29" s="1">
        <v>1.3220000000000001</v>
      </c>
      <c r="E29" s="1">
        <v>62.314999999999998</v>
      </c>
      <c r="F29" s="1">
        <v>-0.32400000000000001</v>
      </c>
      <c r="G29" s="8">
        <v>1</v>
      </c>
      <c r="H29" s="1">
        <v>30</v>
      </c>
      <c r="I29" s="1" t="s">
        <v>28</v>
      </c>
      <c r="J29" s="1">
        <v>112.3</v>
      </c>
      <c r="K29" s="1">
        <f t="shared" si="1"/>
        <v>-49.984999999999999</v>
      </c>
      <c r="L29" s="1"/>
      <c r="M29" s="1"/>
      <c r="N29" s="1">
        <v>90</v>
      </c>
      <c r="O29" s="1">
        <f t="shared" si="3"/>
        <v>12.462999999999999</v>
      </c>
      <c r="P29" s="5">
        <f t="shared" si="6"/>
        <v>72.342999999999975</v>
      </c>
      <c r="Q29" s="5"/>
      <c r="R29" s="1"/>
      <c r="S29" s="1">
        <f t="shared" si="4"/>
        <v>12.999999999999998</v>
      </c>
      <c r="T29" s="1">
        <f t="shared" si="5"/>
        <v>7.1953783198266876</v>
      </c>
      <c r="U29" s="1">
        <v>10.148</v>
      </c>
      <c r="V29" s="1"/>
      <c r="W29" s="1">
        <f t="shared" si="2"/>
        <v>72.342999999999975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53</v>
      </c>
      <c r="B30" s="1" t="s">
        <v>27</v>
      </c>
      <c r="C30" s="1">
        <v>406.40100000000001</v>
      </c>
      <c r="D30" s="1">
        <v>402.56900000000002</v>
      </c>
      <c r="E30" s="1">
        <v>767.06299999999999</v>
      </c>
      <c r="F30" s="1">
        <v>-3.7959999999999998</v>
      </c>
      <c r="G30" s="8">
        <v>1</v>
      </c>
      <c r="H30" s="1">
        <v>40</v>
      </c>
      <c r="I30" s="1" t="s">
        <v>28</v>
      </c>
      <c r="J30" s="1">
        <v>1045.684</v>
      </c>
      <c r="K30" s="1">
        <f t="shared" si="1"/>
        <v>-278.62099999999998</v>
      </c>
      <c r="L30" s="1"/>
      <c r="M30" s="1"/>
      <c r="N30" s="1">
        <v>250</v>
      </c>
      <c r="O30" s="1">
        <f t="shared" si="3"/>
        <v>153.4126</v>
      </c>
      <c r="P30" s="5">
        <f>11*O30-N30-F30</f>
        <v>1441.3345999999999</v>
      </c>
      <c r="Q30" s="5"/>
      <c r="R30" s="1"/>
      <c r="S30" s="1">
        <f t="shared" si="4"/>
        <v>11</v>
      </c>
      <c r="T30" s="1">
        <f t="shared" si="5"/>
        <v>1.6048486239070325</v>
      </c>
      <c r="U30" s="1">
        <v>69.43719999999999</v>
      </c>
      <c r="V30" s="1"/>
      <c r="W30" s="1">
        <f t="shared" si="2"/>
        <v>1441.3345999999999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54</v>
      </c>
      <c r="B31" s="1" t="s">
        <v>27</v>
      </c>
      <c r="C31" s="1">
        <v>17.920000000000002</v>
      </c>
      <c r="D31" s="1">
        <v>1.49</v>
      </c>
      <c r="E31" s="1">
        <v>18.518999999999998</v>
      </c>
      <c r="F31" s="1">
        <v>0.89100000000000001</v>
      </c>
      <c r="G31" s="8">
        <v>1</v>
      </c>
      <c r="H31" s="1">
        <v>40</v>
      </c>
      <c r="I31" s="1" t="s">
        <v>28</v>
      </c>
      <c r="J31" s="1">
        <v>31.7</v>
      </c>
      <c r="K31" s="1">
        <f t="shared" si="1"/>
        <v>-13.181000000000001</v>
      </c>
      <c r="L31" s="1"/>
      <c r="M31" s="1"/>
      <c r="N31" s="1">
        <v>61.222799999999992</v>
      </c>
      <c r="O31" s="1">
        <f t="shared" si="3"/>
        <v>3.7037999999999998</v>
      </c>
      <c r="P31" s="5"/>
      <c r="Q31" s="5"/>
      <c r="R31" s="1"/>
      <c r="S31" s="1">
        <f t="shared" si="4"/>
        <v>16.770289972460713</v>
      </c>
      <c r="T31" s="1">
        <f t="shared" si="5"/>
        <v>16.770289972460713</v>
      </c>
      <c r="U31" s="1">
        <v>7.194799999999999</v>
      </c>
      <c r="V31" s="1"/>
      <c r="W31" s="1">
        <f t="shared" si="2"/>
        <v>0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55</v>
      </c>
      <c r="B32" s="1" t="s">
        <v>27</v>
      </c>
      <c r="C32" s="1">
        <v>26.495999999999999</v>
      </c>
      <c r="D32" s="1"/>
      <c r="E32" s="1">
        <v>27.494</v>
      </c>
      <c r="F32" s="1">
        <v>-2.298</v>
      </c>
      <c r="G32" s="8">
        <v>1</v>
      </c>
      <c r="H32" s="1">
        <v>30</v>
      </c>
      <c r="I32" s="1" t="s">
        <v>28</v>
      </c>
      <c r="J32" s="1">
        <v>28.4</v>
      </c>
      <c r="K32" s="1">
        <f t="shared" si="1"/>
        <v>-0.90599999999999881</v>
      </c>
      <c r="L32" s="1"/>
      <c r="M32" s="1"/>
      <c r="N32" s="1">
        <v>42.375400000000013</v>
      </c>
      <c r="O32" s="1">
        <f t="shared" si="3"/>
        <v>5.4988000000000001</v>
      </c>
      <c r="P32" s="5">
        <f t="shared" si="6"/>
        <v>31.406999999999996</v>
      </c>
      <c r="Q32" s="5"/>
      <c r="R32" s="1"/>
      <c r="S32" s="1">
        <f t="shared" si="4"/>
        <v>13.000000000000002</v>
      </c>
      <c r="T32" s="1">
        <f t="shared" si="5"/>
        <v>7.2883901942241964</v>
      </c>
      <c r="U32" s="1">
        <v>5.2978000000000014</v>
      </c>
      <c r="V32" s="1"/>
      <c r="W32" s="1">
        <f t="shared" si="2"/>
        <v>31.406999999999996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56</v>
      </c>
      <c r="B33" s="1" t="s">
        <v>33</v>
      </c>
      <c r="C33" s="1">
        <v>63</v>
      </c>
      <c r="D33" s="1">
        <v>1</v>
      </c>
      <c r="E33" s="1">
        <v>70</v>
      </c>
      <c r="F33" s="1">
        <v>-8</v>
      </c>
      <c r="G33" s="8">
        <v>0.35</v>
      </c>
      <c r="H33" s="1">
        <v>40</v>
      </c>
      <c r="I33" s="1" t="s">
        <v>28</v>
      </c>
      <c r="J33" s="1">
        <v>92</v>
      </c>
      <c r="K33" s="1">
        <f t="shared" si="1"/>
        <v>-22</v>
      </c>
      <c r="L33" s="1"/>
      <c r="M33" s="1"/>
      <c r="N33" s="1">
        <v>0</v>
      </c>
      <c r="O33" s="1">
        <f t="shared" si="3"/>
        <v>14</v>
      </c>
      <c r="P33" s="5">
        <f>7*O33-N33-F33</f>
        <v>106</v>
      </c>
      <c r="Q33" s="5"/>
      <c r="R33" s="1"/>
      <c r="S33" s="1">
        <f t="shared" si="4"/>
        <v>7</v>
      </c>
      <c r="T33" s="1">
        <f t="shared" si="5"/>
        <v>-0.5714285714285714</v>
      </c>
      <c r="U33" s="1">
        <v>4.2</v>
      </c>
      <c r="V33" s="1"/>
      <c r="W33" s="1">
        <f t="shared" si="2"/>
        <v>37.099999999999994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57</v>
      </c>
      <c r="B34" s="1" t="s">
        <v>33</v>
      </c>
      <c r="C34" s="1">
        <v>215</v>
      </c>
      <c r="D34" s="1">
        <v>74</v>
      </c>
      <c r="E34" s="1">
        <v>290</v>
      </c>
      <c r="F34" s="1">
        <v>-7</v>
      </c>
      <c r="G34" s="8">
        <v>0.4</v>
      </c>
      <c r="H34" s="1">
        <v>45</v>
      </c>
      <c r="I34" s="1" t="s">
        <v>28</v>
      </c>
      <c r="J34" s="1">
        <v>389</v>
      </c>
      <c r="K34" s="1">
        <f t="shared" si="1"/>
        <v>-99</v>
      </c>
      <c r="L34" s="1"/>
      <c r="M34" s="1"/>
      <c r="N34" s="1">
        <v>0</v>
      </c>
      <c r="O34" s="1">
        <f t="shared" si="3"/>
        <v>58</v>
      </c>
      <c r="P34" s="5">
        <f t="shared" ref="P34:P38" si="8">8*O34-N34-F34</f>
        <v>471</v>
      </c>
      <c r="Q34" s="5"/>
      <c r="R34" s="1"/>
      <c r="S34" s="1">
        <f t="shared" si="4"/>
        <v>8</v>
      </c>
      <c r="T34" s="1">
        <f t="shared" si="5"/>
        <v>-0.1206896551724138</v>
      </c>
      <c r="U34" s="1">
        <v>15.8</v>
      </c>
      <c r="V34" s="1"/>
      <c r="W34" s="1">
        <f t="shared" si="2"/>
        <v>188.4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58</v>
      </c>
      <c r="B35" s="1" t="s">
        <v>33</v>
      </c>
      <c r="C35" s="1">
        <v>126</v>
      </c>
      <c r="D35" s="1">
        <v>53</v>
      </c>
      <c r="E35" s="1">
        <v>177</v>
      </c>
      <c r="F35" s="1">
        <v>-4</v>
      </c>
      <c r="G35" s="8">
        <v>0.4</v>
      </c>
      <c r="H35" s="1">
        <v>45</v>
      </c>
      <c r="I35" s="1" t="s">
        <v>28</v>
      </c>
      <c r="J35" s="1">
        <v>310</v>
      </c>
      <c r="K35" s="1">
        <f t="shared" si="1"/>
        <v>-133</v>
      </c>
      <c r="L35" s="1"/>
      <c r="M35" s="1"/>
      <c r="N35" s="1">
        <v>0</v>
      </c>
      <c r="O35" s="1">
        <f t="shared" si="3"/>
        <v>35.4</v>
      </c>
      <c r="P35" s="5">
        <f t="shared" si="8"/>
        <v>287.2</v>
      </c>
      <c r="Q35" s="5"/>
      <c r="R35" s="1"/>
      <c r="S35" s="1">
        <f t="shared" si="4"/>
        <v>8</v>
      </c>
      <c r="T35" s="1">
        <f t="shared" si="5"/>
        <v>-0.11299435028248588</v>
      </c>
      <c r="U35" s="1">
        <v>12</v>
      </c>
      <c r="V35" s="1"/>
      <c r="W35" s="1">
        <f t="shared" si="2"/>
        <v>114.88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59</v>
      </c>
      <c r="B36" s="1" t="s">
        <v>33</v>
      </c>
      <c r="C36" s="1"/>
      <c r="D36" s="1">
        <v>102</v>
      </c>
      <c r="E36" s="1">
        <v>101</v>
      </c>
      <c r="F36" s="1">
        <v>-3</v>
      </c>
      <c r="G36" s="8">
        <v>0.4</v>
      </c>
      <c r="H36" s="1">
        <v>50</v>
      </c>
      <c r="I36" s="1" t="s">
        <v>28</v>
      </c>
      <c r="J36" s="1">
        <v>195</v>
      </c>
      <c r="K36" s="1">
        <f t="shared" si="1"/>
        <v>-94</v>
      </c>
      <c r="L36" s="1"/>
      <c r="M36" s="1"/>
      <c r="N36" s="1">
        <v>0</v>
      </c>
      <c r="O36" s="1">
        <f t="shared" si="3"/>
        <v>20.2</v>
      </c>
      <c r="P36" s="5">
        <f t="shared" si="8"/>
        <v>164.6</v>
      </c>
      <c r="Q36" s="5"/>
      <c r="R36" s="1"/>
      <c r="S36" s="1">
        <f t="shared" si="4"/>
        <v>8</v>
      </c>
      <c r="T36" s="1">
        <f t="shared" si="5"/>
        <v>-0.14851485148514851</v>
      </c>
      <c r="U36" s="1">
        <v>0</v>
      </c>
      <c r="V36" s="1"/>
      <c r="W36" s="1">
        <f t="shared" si="2"/>
        <v>65.84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60</v>
      </c>
      <c r="B37" s="1" t="s">
        <v>33</v>
      </c>
      <c r="C37" s="1">
        <v>90</v>
      </c>
      <c r="D37" s="1">
        <v>12</v>
      </c>
      <c r="E37" s="1">
        <v>100</v>
      </c>
      <c r="F37" s="1">
        <v>-3</v>
      </c>
      <c r="G37" s="8">
        <v>0.4</v>
      </c>
      <c r="H37" s="1">
        <v>40</v>
      </c>
      <c r="I37" s="1" t="s">
        <v>28</v>
      </c>
      <c r="J37" s="1">
        <v>154</v>
      </c>
      <c r="K37" s="1">
        <f t="shared" si="1"/>
        <v>-54</v>
      </c>
      <c r="L37" s="1"/>
      <c r="M37" s="1"/>
      <c r="N37" s="1">
        <v>6</v>
      </c>
      <c r="O37" s="1">
        <f t="shared" si="3"/>
        <v>20</v>
      </c>
      <c r="P37" s="5">
        <f t="shared" si="8"/>
        <v>157</v>
      </c>
      <c r="Q37" s="5"/>
      <c r="R37" s="1"/>
      <c r="S37" s="1">
        <f t="shared" si="4"/>
        <v>8</v>
      </c>
      <c r="T37" s="1">
        <f t="shared" si="5"/>
        <v>0.15</v>
      </c>
      <c r="U37" s="1">
        <v>7.2</v>
      </c>
      <c r="V37" s="1"/>
      <c r="W37" s="1">
        <f t="shared" si="2"/>
        <v>62.800000000000004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7" t="s">
        <v>61</v>
      </c>
      <c r="B38" s="1" t="s">
        <v>33</v>
      </c>
      <c r="C38" s="1"/>
      <c r="D38" s="1">
        <v>105</v>
      </c>
      <c r="E38" s="1">
        <v>108</v>
      </c>
      <c r="F38" s="1">
        <v>-8</v>
      </c>
      <c r="G38" s="8">
        <v>0.1</v>
      </c>
      <c r="H38" s="1">
        <v>730</v>
      </c>
      <c r="I38" s="1" t="s">
        <v>28</v>
      </c>
      <c r="J38" s="1">
        <v>213</v>
      </c>
      <c r="K38" s="1">
        <f t="shared" ref="K38:K68" si="9">E38-J38</f>
        <v>-105</v>
      </c>
      <c r="L38" s="1"/>
      <c r="M38" s="1"/>
      <c r="N38" s="1"/>
      <c r="O38" s="1">
        <f t="shared" si="3"/>
        <v>21.6</v>
      </c>
      <c r="P38" s="5">
        <f t="shared" si="8"/>
        <v>180.8</v>
      </c>
      <c r="Q38" s="5"/>
      <c r="R38" s="1"/>
      <c r="S38" s="1">
        <f t="shared" si="4"/>
        <v>8</v>
      </c>
      <c r="T38" s="1">
        <f t="shared" si="5"/>
        <v>-0.37037037037037035</v>
      </c>
      <c r="U38" s="1">
        <v>0</v>
      </c>
      <c r="V38" s="1"/>
      <c r="W38" s="1">
        <f t="shared" ref="W38:W60" si="10">G38*P38</f>
        <v>18.080000000000002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62</v>
      </c>
      <c r="B39" s="1" t="s">
        <v>33</v>
      </c>
      <c r="C39" s="1">
        <v>71</v>
      </c>
      <c r="D39" s="1">
        <v>13</v>
      </c>
      <c r="E39" s="1">
        <v>83</v>
      </c>
      <c r="F39" s="1">
        <v>-8</v>
      </c>
      <c r="G39" s="8">
        <v>0.33</v>
      </c>
      <c r="H39" s="1">
        <v>45</v>
      </c>
      <c r="I39" s="1" t="s">
        <v>28</v>
      </c>
      <c r="J39" s="1">
        <v>123</v>
      </c>
      <c r="K39" s="1">
        <f t="shared" si="9"/>
        <v>-40</v>
      </c>
      <c r="L39" s="1"/>
      <c r="M39" s="1"/>
      <c r="N39" s="1">
        <v>40.799999999999997</v>
      </c>
      <c r="O39" s="1">
        <f t="shared" si="3"/>
        <v>16.600000000000001</v>
      </c>
      <c r="P39" s="5">
        <f>10*O39-N39-F39</f>
        <v>133.19999999999999</v>
      </c>
      <c r="Q39" s="5"/>
      <c r="R39" s="1"/>
      <c r="S39" s="1">
        <f t="shared" si="4"/>
        <v>10</v>
      </c>
      <c r="T39" s="1">
        <f t="shared" si="5"/>
        <v>1.975903614457831</v>
      </c>
      <c r="U39" s="1">
        <v>8.6</v>
      </c>
      <c r="V39" s="1"/>
      <c r="W39" s="1">
        <f t="shared" si="10"/>
        <v>43.955999999999996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63</v>
      </c>
      <c r="B40" s="1" t="s">
        <v>33</v>
      </c>
      <c r="C40" s="1">
        <v>83</v>
      </c>
      <c r="D40" s="1">
        <v>5</v>
      </c>
      <c r="E40" s="1">
        <v>100</v>
      </c>
      <c r="F40" s="1">
        <v>-15</v>
      </c>
      <c r="G40" s="8">
        <v>0.35</v>
      </c>
      <c r="H40" s="1">
        <v>40</v>
      </c>
      <c r="I40" s="1" t="s">
        <v>28</v>
      </c>
      <c r="J40" s="1">
        <v>188</v>
      </c>
      <c r="K40" s="1">
        <f t="shared" si="9"/>
        <v>-88</v>
      </c>
      <c r="L40" s="1"/>
      <c r="M40" s="1"/>
      <c r="N40" s="1">
        <v>28.8</v>
      </c>
      <c r="O40" s="1">
        <f t="shared" si="3"/>
        <v>20</v>
      </c>
      <c r="P40" s="5">
        <f>9*O40-N40-F40</f>
        <v>166.2</v>
      </c>
      <c r="Q40" s="5"/>
      <c r="R40" s="1"/>
      <c r="S40" s="1">
        <f t="shared" si="4"/>
        <v>9</v>
      </c>
      <c r="T40" s="1">
        <f t="shared" si="5"/>
        <v>0.69000000000000006</v>
      </c>
      <c r="U40" s="1">
        <v>8.6</v>
      </c>
      <c r="V40" s="1"/>
      <c r="W40" s="1">
        <f t="shared" si="10"/>
        <v>58.169999999999995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64</v>
      </c>
      <c r="B41" s="1" t="s">
        <v>27</v>
      </c>
      <c r="C41" s="1">
        <v>23.99</v>
      </c>
      <c r="D41" s="1"/>
      <c r="E41" s="1">
        <v>11.393000000000001</v>
      </c>
      <c r="F41" s="1">
        <v>11.88</v>
      </c>
      <c r="G41" s="8">
        <v>1</v>
      </c>
      <c r="H41" s="1">
        <v>40</v>
      </c>
      <c r="I41" s="1" t="s">
        <v>28</v>
      </c>
      <c r="J41" s="1">
        <v>12.5</v>
      </c>
      <c r="K41" s="1">
        <f t="shared" si="9"/>
        <v>-1.1069999999999993</v>
      </c>
      <c r="L41" s="1"/>
      <c r="M41" s="1"/>
      <c r="N41" s="1">
        <v>0</v>
      </c>
      <c r="O41" s="1">
        <f t="shared" si="3"/>
        <v>2.2786</v>
      </c>
      <c r="P41" s="5">
        <f t="shared" si="6"/>
        <v>17.741799999999998</v>
      </c>
      <c r="Q41" s="5"/>
      <c r="R41" s="1"/>
      <c r="S41" s="1">
        <f t="shared" si="4"/>
        <v>13</v>
      </c>
      <c r="T41" s="1">
        <f t="shared" si="5"/>
        <v>5.2137277275520058</v>
      </c>
      <c r="U41" s="1">
        <v>0.28339999999999999</v>
      </c>
      <c r="V41" s="1"/>
      <c r="W41" s="1">
        <f t="shared" si="10"/>
        <v>17.741799999999998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65</v>
      </c>
      <c r="B42" s="1" t="s">
        <v>33</v>
      </c>
      <c r="C42" s="1">
        <v>68</v>
      </c>
      <c r="D42" s="1">
        <v>3</v>
      </c>
      <c r="E42" s="1">
        <v>76</v>
      </c>
      <c r="F42" s="1">
        <v>-12</v>
      </c>
      <c r="G42" s="8">
        <v>0.35</v>
      </c>
      <c r="H42" s="1">
        <v>40</v>
      </c>
      <c r="I42" s="1" t="s">
        <v>28</v>
      </c>
      <c r="J42" s="1">
        <v>114</v>
      </c>
      <c r="K42" s="1">
        <f t="shared" si="9"/>
        <v>-38</v>
      </c>
      <c r="L42" s="1"/>
      <c r="M42" s="1"/>
      <c r="N42" s="1">
        <v>0</v>
      </c>
      <c r="O42" s="1">
        <f t="shared" si="3"/>
        <v>15.2</v>
      </c>
      <c r="P42" s="5">
        <f>7*O42-N42-F42</f>
        <v>118.39999999999999</v>
      </c>
      <c r="Q42" s="5"/>
      <c r="R42" s="1"/>
      <c r="S42" s="1">
        <f t="shared" si="4"/>
        <v>7</v>
      </c>
      <c r="T42" s="1">
        <f t="shared" si="5"/>
        <v>-0.78947368421052633</v>
      </c>
      <c r="U42" s="1">
        <v>3.2</v>
      </c>
      <c r="V42" s="1"/>
      <c r="W42" s="1">
        <f t="shared" si="10"/>
        <v>41.44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66</v>
      </c>
      <c r="B43" s="1" t="s">
        <v>33</v>
      </c>
      <c r="C43" s="1">
        <v>119</v>
      </c>
      <c r="D43" s="1">
        <v>37</v>
      </c>
      <c r="E43" s="1">
        <v>163</v>
      </c>
      <c r="F43" s="1">
        <v>-12</v>
      </c>
      <c r="G43" s="8">
        <v>0.35</v>
      </c>
      <c r="H43" s="1">
        <v>40</v>
      </c>
      <c r="I43" s="1" t="s">
        <v>28</v>
      </c>
      <c r="J43" s="1">
        <v>262</v>
      </c>
      <c r="K43" s="1">
        <f t="shared" si="9"/>
        <v>-99</v>
      </c>
      <c r="L43" s="1"/>
      <c r="M43" s="1"/>
      <c r="N43" s="1">
        <v>0</v>
      </c>
      <c r="O43" s="1">
        <f t="shared" si="3"/>
        <v>32.6</v>
      </c>
      <c r="P43" s="5">
        <f>8*O43-N43-F43</f>
        <v>272.8</v>
      </c>
      <c r="Q43" s="5"/>
      <c r="R43" s="1"/>
      <c r="S43" s="1">
        <f t="shared" si="4"/>
        <v>8</v>
      </c>
      <c r="T43" s="1">
        <f t="shared" si="5"/>
        <v>-0.36809815950920244</v>
      </c>
      <c r="U43" s="1">
        <v>8.6</v>
      </c>
      <c r="V43" s="1"/>
      <c r="W43" s="1">
        <f t="shared" si="10"/>
        <v>95.48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67</v>
      </c>
      <c r="B44" s="1" t="s">
        <v>27</v>
      </c>
      <c r="C44" s="1">
        <v>348.55799999999999</v>
      </c>
      <c r="D44" s="1">
        <v>163.80000000000001</v>
      </c>
      <c r="E44" s="1">
        <v>165.88900000000001</v>
      </c>
      <c r="F44" s="1">
        <v>332.93299999999999</v>
      </c>
      <c r="G44" s="8">
        <v>1</v>
      </c>
      <c r="H44" s="1">
        <v>50</v>
      </c>
      <c r="I44" s="1" t="s">
        <v>28</v>
      </c>
      <c r="J44" s="1">
        <v>372.2</v>
      </c>
      <c r="K44" s="1">
        <f t="shared" si="9"/>
        <v>-206.31099999999998</v>
      </c>
      <c r="L44" s="1"/>
      <c r="M44" s="1"/>
      <c r="N44" s="1">
        <v>0</v>
      </c>
      <c r="O44" s="1">
        <f t="shared" si="3"/>
        <v>33.177800000000005</v>
      </c>
      <c r="P44" s="5">
        <f>14*O44-N44-F44</f>
        <v>131.5562000000001</v>
      </c>
      <c r="Q44" s="5"/>
      <c r="R44" s="1"/>
      <c r="S44" s="1">
        <f t="shared" si="4"/>
        <v>14</v>
      </c>
      <c r="T44" s="1">
        <f t="shared" si="5"/>
        <v>10.034812434820873</v>
      </c>
      <c r="U44" s="1">
        <v>8.0754000000000001</v>
      </c>
      <c r="V44" s="1"/>
      <c r="W44" s="1">
        <f t="shared" si="10"/>
        <v>131.5562000000001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68</v>
      </c>
      <c r="B45" s="1" t="s">
        <v>27</v>
      </c>
      <c r="C45" s="1">
        <v>80.807000000000002</v>
      </c>
      <c r="D45" s="1">
        <v>48.781999999999996</v>
      </c>
      <c r="E45" s="1">
        <v>106.54</v>
      </c>
      <c r="F45" s="1">
        <v>18.992000000000001</v>
      </c>
      <c r="G45" s="8">
        <v>1</v>
      </c>
      <c r="H45" s="1">
        <v>50</v>
      </c>
      <c r="I45" s="1" t="s">
        <v>28</v>
      </c>
      <c r="J45" s="1">
        <v>110.1</v>
      </c>
      <c r="K45" s="1">
        <f t="shared" si="9"/>
        <v>-3.5599999999999881</v>
      </c>
      <c r="L45" s="1"/>
      <c r="M45" s="1"/>
      <c r="N45" s="1">
        <v>0</v>
      </c>
      <c r="O45" s="1">
        <f t="shared" si="3"/>
        <v>21.308</v>
      </c>
      <c r="P45" s="5">
        <f>10*O45-N45-F45</f>
        <v>194.08799999999999</v>
      </c>
      <c r="Q45" s="5"/>
      <c r="R45" s="1"/>
      <c r="S45" s="1">
        <f t="shared" si="4"/>
        <v>10</v>
      </c>
      <c r="T45" s="1">
        <f t="shared" si="5"/>
        <v>0.89130842875915151</v>
      </c>
      <c r="U45" s="1">
        <v>3.2342</v>
      </c>
      <c r="V45" s="1"/>
      <c r="W45" s="1">
        <f t="shared" si="10"/>
        <v>194.08799999999999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69</v>
      </c>
      <c r="B46" s="1" t="s">
        <v>27</v>
      </c>
      <c r="C46" s="1">
        <v>19.978999999999999</v>
      </c>
      <c r="D46" s="1">
        <v>12.842000000000001</v>
      </c>
      <c r="E46" s="1">
        <v>20.189</v>
      </c>
      <c r="F46" s="1">
        <v>-0.21</v>
      </c>
      <c r="G46" s="8">
        <v>1</v>
      </c>
      <c r="H46" s="1">
        <v>40</v>
      </c>
      <c r="I46" s="1" t="s">
        <v>28</v>
      </c>
      <c r="J46" s="1">
        <v>32.799999999999997</v>
      </c>
      <c r="K46" s="1">
        <f t="shared" si="9"/>
        <v>-12.610999999999997</v>
      </c>
      <c r="L46" s="1"/>
      <c r="M46" s="1"/>
      <c r="N46" s="1">
        <v>0</v>
      </c>
      <c r="O46" s="1">
        <f t="shared" si="3"/>
        <v>4.0377999999999998</v>
      </c>
      <c r="P46" s="5">
        <f t="shared" ref="P46:P47" si="11">8*O46-N46-F46</f>
        <v>32.5124</v>
      </c>
      <c r="Q46" s="5"/>
      <c r="R46" s="1"/>
      <c r="S46" s="1">
        <f t="shared" si="4"/>
        <v>8</v>
      </c>
      <c r="T46" s="1">
        <f t="shared" si="5"/>
        <v>-5.2008519490811832E-2</v>
      </c>
      <c r="U46" s="1">
        <v>0.28660000000000002</v>
      </c>
      <c r="V46" s="1"/>
      <c r="W46" s="1">
        <f t="shared" si="10"/>
        <v>32.5124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70</v>
      </c>
      <c r="B47" s="1" t="s">
        <v>33</v>
      </c>
      <c r="C47" s="1">
        <v>319</v>
      </c>
      <c r="D47" s="1">
        <v>133</v>
      </c>
      <c r="E47" s="1">
        <v>459</v>
      </c>
      <c r="F47" s="1">
        <v>-18</v>
      </c>
      <c r="G47" s="8">
        <v>0.45</v>
      </c>
      <c r="H47" s="1">
        <v>50</v>
      </c>
      <c r="I47" s="1" t="s">
        <v>28</v>
      </c>
      <c r="J47" s="1">
        <v>638</v>
      </c>
      <c r="K47" s="1">
        <f t="shared" si="9"/>
        <v>-179</v>
      </c>
      <c r="L47" s="1"/>
      <c r="M47" s="1"/>
      <c r="N47" s="1">
        <v>0</v>
      </c>
      <c r="O47" s="1">
        <f t="shared" si="3"/>
        <v>91.8</v>
      </c>
      <c r="P47" s="5">
        <f t="shared" si="11"/>
        <v>752.4</v>
      </c>
      <c r="Q47" s="5"/>
      <c r="R47" s="1"/>
      <c r="S47" s="1">
        <f t="shared" si="4"/>
        <v>8</v>
      </c>
      <c r="T47" s="1">
        <f t="shared" si="5"/>
        <v>-0.19607843137254902</v>
      </c>
      <c r="U47" s="1">
        <v>24.2</v>
      </c>
      <c r="V47" s="1"/>
      <c r="W47" s="1">
        <f t="shared" si="10"/>
        <v>338.58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71</v>
      </c>
      <c r="B48" s="1" t="s">
        <v>27</v>
      </c>
      <c r="C48" s="1">
        <v>29.925000000000001</v>
      </c>
      <c r="D48" s="1">
        <v>18.373999999999999</v>
      </c>
      <c r="E48" s="1">
        <v>26.925999999999998</v>
      </c>
      <c r="F48" s="1">
        <v>2.9990000000000001</v>
      </c>
      <c r="G48" s="8">
        <v>1</v>
      </c>
      <c r="H48" s="1">
        <v>40</v>
      </c>
      <c r="I48" s="1" t="s">
        <v>28</v>
      </c>
      <c r="J48" s="1">
        <v>56.2</v>
      </c>
      <c r="K48" s="1">
        <f t="shared" si="9"/>
        <v>-29.274000000000004</v>
      </c>
      <c r="L48" s="1"/>
      <c r="M48" s="1"/>
      <c r="N48" s="1">
        <v>32.776600000000002</v>
      </c>
      <c r="O48" s="1">
        <f t="shared" si="3"/>
        <v>5.3851999999999993</v>
      </c>
      <c r="P48" s="5">
        <f t="shared" si="6"/>
        <v>34.231999999999992</v>
      </c>
      <c r="Q48" s="5"/>
      <c r="R48" s="1"/>
      <c r="S48" s="1">
        <f t="shared" si="4"/>
        <v>13.000000000000002</v>
      </c>
      <c r="T48" s="1">
        <f t="shared" si="5"/>
        <v>6.6433187253955301</v>
      </c>
      <c r="U48" s="1">
        <v>4.8231999999999999</v>
      </c>
      <c r="V48" s="1"/>
      <c r="W48" s="1">
        <f t="shared" si="10"/>
        <v>34.231999999999992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72</v>
      </c>
      <c r="B49" s="1" t="s">
        <v>33</v>
      </c>
      <c r="C49" s="1">
        <v>227</v>
      </c>
      <c r="D49" s="1">
        <v>88</v>
      </c>
      <c r="E49" s="1">
        <v>311</v>
      </c>
      <c r="F49" s="1">
        <v>-10</v>
      </c>
      <c r="G49" s="8">
        <v>0.45</v>
      </c>
      <c r="H49" s="1">
        <v>50</v>
      </c>
      <c r="I49" s="1" t="s">
        <v>28</v>
      </c>
      <c r="J49" s="1">
        <v>496</v>
      </c>
      <c r="K49" s="1">
        <f t="shared" si="9"/>
        <v>-185</v>
      </c>
      <c r="L49" s="1"/>
      <c r="M49" s="1"/>
      <c r="N49" s="1">
        <v>0</v>
      </c>
      <c r="O49" s="1">
        <f t="shared" si="3"/>
        <v>62.2</v>
      </c>
      <c r="P49" s="5">
        <f t="shared" ref="P49:P50" si="12">8*O49-N49-F49</f>
        <v>507.6</v>
      </c>
      <c r="Q49" s="5"/>
      <c r="R49" s="1"/>
      <c r="S49" s="1">
        <f t="shared" si="4"/>
        <v>8</v>
      </c>
      <c r="T49" s="1">
        <f t="shared" si="5"/>
        <v>-0.16077170418006431</v>
      </c>
      <c r="U49" s="1">
        <v>18.600000000000001</v>
      </c>
      <c r="V49" s="1"/>
      <c r="W49" s="1">
        <f t="shared" si="10"/>
        <v>228.42000000000002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73</v>
      </c>
      <c r="B50" s="1" t="s">
        <v>33</v>
      </c>
      <c r="C50" s="1">
        <v>143</v>
      </c>
      <c r="D50" s="1">
        <v>42</v>
      </c>
      <c r="E50" s="1">
        <v>183</v>
      </c>
      <c r="F50" s="1">
        <v>-2</v>
      </c>
      <c r="G50" s="8">
        <v>0.45</v>
      </c>
      <c r="H50" s="1">
        <v>50</v>
      </c>
      <c r="I50" s="1" t="s">
        <v>28</v>
      </c>
      <c r="J50" s="1">
        <v>256</v>
      </c>
      <c r="K50" s="1">
        <f t="shared" si="9"/>
        <v>-73</v>
      </c>
      <c r="L50" s="1"/>
      <c r="M50" s="1"/>
      <c r="N50" s="1">
        <v>0</v>
      </c>
      <c r="O50" s="1">
        <f t="shared" si="3"/>
        <v>36.6</v>
      </c>
      <c r="P50" s="5">
        <f t="shared" si="12"/>
        <v>294.8</v>
      </c>
      <c r="Q50" s="5"/>
      <c r="R50" s="1"/>
      <c r="S50" s="1">
        <f t="shared" si="4"/>
        <v>8</v>
      </c>
      <c r="T50" s="1">
        <f t="shared" si="5"/>
        <v>-5.4644808743169397E-2</v>
      </c>
      <c r="U50" s="1">
        <v>9.8000000000000007</v>
      </c>
      <c r="V50" s="1"/>
      <c r="W50" s="1">
        <f t="shared" si="10"/>
        <v>132.66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74</v>
      </c>
      <c r="B51" s="1" t="s">
        <v>27</v>
      </c>
      <c r="C51" s="1">
        <v>190.233</v>
      </c>
      <c r="D51" s="1">
        <v>121.896</v>
      </c>
      <c r="E51" s="1">
        <v>218.83</v>
      </c>
      <c r="F51" s="1">
        <v>89.224999999999994</v>
      </c>
      <c r="G51" s="8">
        <v>1</v>
      </c>
      <c r="H51" s="1">
        <v>50</v>
      </c>
      <c r="I51" s="1" t="s">
        <v>28</v>
      </c>
      <c r="J51" s="1">
        <v>226.2</v>
      </c>
      <c r="K51" s="1">
        <f t="shared" si="9"/>
        <v>-7.3699999999999761</v>
      </c>
      <c r="L51" s="1"/>
      <c r="M51" s="1"/>
      <c r="N51" s="1">
        <v>0</v>
      </c>
      <c r="O51" s="1">
        <f t="shared" si="3"/>
        <v>43.766000000000005</v>
      </c>
      <c r="P51" s="5">
        <f>11*O51-N51-F51</f>
        <v>392.20100000000002</v>
      </c>
      <c r="Q51" s="5"/>
      <c r="R51" s="1"/>
      <c r="S51" s="1">
        <f t="shared" si="4"/>
        <v>11</v>
      </c>
      <c r="T51" s="1">
        <f t="shared" si="5"/>
        <v>2.0386829959329158</v>
      </c>
      <c r="U51" s="1">
        <v>14.116199999999999</v>
      </c>
      <c r="V51" s="1"/>
      <c r="W51" s="1">
        <f t="shared" si="10"/>
        <v>392.20100000000002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75</v>
      </c>
      <c r="B52" s="1" t="s">
        <v>27</v>
      </c>
      <c r="C52" s="1">
        <v>28.54</v>
      </c>
      <c r="D52" s="1"/>
      <c r="E52" s="1">
        <v>21.503</v>
      </c>
      <c r="F52" s="1">
        <v>7.0369999999999999</v>
      </c>
      <c r="G52" s="8">
        <v>1</v>
      </c>
      <c r="H52" s="1">
        <v>40</v>
      </c>
      <c r="I52" s="1" t="s">
        <v>28</v>
      </c>
      <c r="J52" s="1">
        <v>19.600000000000001</v>
      </c>
      <c r="K52" s="1">
        <f t="shared" si="9"/>
        <v>1.9029999999999987</v>
      </c>
      <c r="L52" s="1"/>
      <c r="M52" s="1"/>
      <c r="N52" s="1">
        <v>0</v>
      </c>
      <c r="O52" s="1">
        <f t="shared" si="3"/>
        <v>4.3006000000000002</v>
      </c>
      <c r="P52" s="5">
        <f t="shared" ref="P51:P52" si="13">10*O52-N52-F52</f>
        <v>35.969000000000001</v>
      </c>
      <c r="Q52" s="5"/>
      <c r="R52" s="1"/>
      <c r="S52" s="1">
        <f t="shared" si="4"/>
        <v>10</v>
      </c>
      <c r="T52" s="1">
        <f t="shared" si="5"/>
        <v>1.6362833093056781</v>
      </c>
      <c r="U52" s="1">
        <v>0</v>
      </c>
      <c r="V52" s="1"/>
      <c r="W52" s="1">
        <f t="shared" si="10"/>
        <v>35.969000000000001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76</v>
      </c>
      <c r="B53" s="1" t="s">
        <v>33</v>
      </c>
      <c r="C53" s="1"/>
      <c r="D53" s="1">
        <v>104</v>
      </c>
      <c r="E53" s="1">
        <v>101</v>
      </c>
      <c r="F53" s="1">
        <v>-1</v>
      </c>
      <c r="G53" s="8">
        <v>0.1</v>
      </c>
      <c r="H53" s="1">
        <v>730</v>
      </c>
      <c r="I53" s="1" t="s">
        <v>28</v>
      </c>
      <c r="J53" s="1">
        <v>167</v>
      </c>
      <c r="K53" s="1">
        <f t="shared" si="9"/>
        <v>-66</v>
      </c>
      <c r="L53" s="1"/>
      <c r="M53" s="1"/>
      <c r="N53" s="1">
        <v>0</v>
      </c>
      <c r="O53" s="1">
        <f t="shared" si="3"/>
        <v>20.2</v>
      </c>
      <c r="P53" s="5">
        <f>8*O53-N53-F53</f>
        <v>162.6</v>
      </c>
      <c r="Q53" s="5"/>
      <c r="R53" s="1"/>
      <c r="S53" s="1">
        <f t="shared" si="4"/>
        <v>8</v>
      </c>
      <c r="T53" s="1">
        <f t="shared" si="5"/>
        <v>-4.9504950495049507E-2</v>
      </c>
      <c r="U53" s="1">
        <v>0</v>
      </c>
      <c r="V53" s="1"/>
      <c r="W53" s="1">
        <f t="shared" si="10"/>
        <v>16.260000000000002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77</v>
      </c>
      <c r="B54" s="1" t="s">
        <v>27</v>
      </c>
      <c r="C54" s="1">
        <v>15.315</v>
      </c>
      <c r="D54" s="1">
        <v>2.7909999999999999</v>
      </c>
      <c r="E54" s="1">
        <v>15.302</v>
      </c>
      <c r="F54" s="1">
        <v>1.2999999999999999E-2</v>
      </c>
      <c r="G54" s="8">
        <v>1</v>
      </c>
      <c r="H54" s="1">
        <v>50</v>
      </c>
      <c r="I54" s="1" t="s">
        <v>28</v>
      </c>
      <c r="J54" s="1">
        <v>22.5</v>
      </c>
      <c r="K54" s="1">
        <f t="shared" si="9"/>
        <v>-7.1980000000000004</v>
      </c>
      <c r="L54" s="1"/>
      <c r="M54" s="1"/>
      <c r="N54" s="1">
        <v>31.648799999999991</v>
      </c>
      <c r="O54" s="1">
        <f t="shared" si="3"/>
        <v>3.0604</v>
      </c>
      <c r="P54" s="5">
        <f t="shared" si="6"/>
        <v>8.1234000000000126</v>
      </c>
      <c r="Q54" s="5"/>
      <c r="R54" s="1"/>
      <c r="S54" s="1">
        <f t="shared" si="4"/>
        <v>13.000000000000002</v>
      </c>
      <c r="T54" s="1">
        <f t="shared" si="5"/>
        <v>10.345641092667623</v>
      </c>
      <c r="U54" s="1">
        <v>3.6126</v>
      </c>
      <c r="V54" s="1"/>
      <c r="W54" s="1">
        <f t="shared" si="10"/>
        <v>8.1234000000000126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78</v>
      </c>
      <c r="B55" s="1" t="s">
        <v>33</v>
      </c>
      <c r="C55" s="1"/>
      <c r="D55" s="1">
        <v>104</v>
      </c>
      <c r="E55" s="1">
        <v>101</v>
      </c>
      <c r="F55" s="1">
        <v>-1</v>
      </c>
      <c r="G55" s="8">
        <v>0.1</v>
      </c>
      <c r="H55" s="1">
        <v>730</v>
      </c>
      <c r="I55" s="1" t="s">
        <v>28</v>
      </c>
      <c r="J55" s="1">
        <v>105</v>
      </c>
      <c r="K55" s="1">
        <f t="shared" si="9"/>
        <v>-4</v>
      </c>
      <c r="L55" s="1"/>
      <c r="M55" s="1"/>
      <c r="N55" s="1">
        <v>0</v>
      </c>
      <c r="O55" s="1">
        <f t="shared" si="3"/>
        <v>20.2</v>
      </c>
      <c r="P55" s="5">
        <f t="shared" ref="P55:P57" si="14">8*O55-N55-F55</f>
        <v>162.6</v>
      </c>
      <c r="Q55" s="5"/>
      <c r="R55" s="1"/>
      <c r="S55" s="1">
        <f t="shared" si="4"/>
        <v>8</v>
      </c>
      <c r="T55" s="1">
        <f t="shared" si="5"/>
        <v>-4.9504950495049507E-2</v>
      </c>
      <c r="U55" s="1">
        <v>0</v>
      </c>
      <c r="V55" s="1"/>
      <c r="W55" s="1">
        <f t="shared" si="10"/>
        <v>16.260000000000002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79</v>
      </c>
      <c r="B56" s="1" t="s">
        <v>33</v>
      </c>
      <c r="C56" s="1">
        <v>93</v>
      </c>
      <c r="D56" s="1">
        <v>7</v>
      </c>
      <c r="E56" s="1">
        <v>96</v>
      </c>
      <c r="F56" s="1">
        <v>-1</v>
      </c>
      <c r="G56" s="8">
        <v>0.4</v>
      </c>
      <c r="H56" s="1">
        <v>40</v>
      </c>
      <c r="I56" s="1" t="s">
        <v>28</v>
      </c>
      <c r="J56" s="1">
        <v>160</v>
      </c>
      <c r="K56" s="1">
        <f t="shared" si="9"/>
        <v>-64</v>
      </c>
      <c r="L56" s="1"/>
      <c r="M56" s="1"/>
      <c r="N56" s="1">
        <v>0</v>
      </c>
      <c r="O56" s="1">
        <f t="shared" si="3"/>
        <v>19.2</v>
      </c>
      <c r="P56" s="5">
        <f t="shared" si="14"/>
        <v>154.6</v>
      </c>
      <c r="Q56" s="5"/>
      <c r="R56" s="1"/>
      <c r="S56" s="1">
        <f t="shared" si="4"/>
        <v>8</v>
      </c>
      <c r="T56" s="1">
        <f t="shared" si="5"/>
        <v>-5.2083333333333336E-2</v>
      </c>
      <c r="U56" s="1">
        <v>5.4</v>
      </c>
      <c r="V56" s="1"/>
      <c r="W56" s="1">
        <f t="shared" si="10"/>
        <v>61.84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80</v>
      </c>
      <c r="B57" s="1" t="s">
        <v>33</v>
      </c>
      <c r="C57" s="1">
        <v>67</v>
      </c>
      <c r="D57" s="1">
        <v>7</v>
      </c>
      <c r="E57" s="1">
        <v>67</v>
      </c>
      <c r="F57" s="1">
        <v>1</v>
      </c>
      <c r="G57" s="8">
        <v>0.4</v>
      </c>
      <c r="H57" s="1">
        <v>40</v>
      </c>
      <c r="I57" s="1" t="s">
        <v>28</v>
      </c>
      <c r="J57" s="1">
        <v>138</v>
      </c>
      <c r="K57" s="1">
        <f t="shared" si="9"/>
        <v>-71</v>
      </c>
      <c r="L57" s="1"/>
      <c r="M57" s="1"/>
      <c r="N57" s="1">
        <v>0</v>
      </c>
      <c r="O57" s="1">
        <f t="shared" si="3"/>
        <v>13.4</v>
      </c>
      <c r="P57" s="5">
        <f t="shared" si="14"/>
        <v>106.2</v>
      </c>
      <c r="Q57" s="5"/>
      <c r="R57" s="1"/>
      <c r="S57" s="1">
        <f t="shared" si="4"/>
        <v>8</v>
      </c>
      <c r="T57" s="1">
        <f t="shared" si="5"/>
        <v>7.4626865671641784E-2</v>
      </c>
      <c r="U57" s="1">
        <v>4.5999999999999996</v>
      </c>
      <c r="V57" s="1"/>
      <c r="W57" s="1">
        <f t="shared" si="10"/>
        <v>42.480000000000004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81</v>
      </c>
      <c r="B58" s="1" t="s">
        <v>27</v>
      </c>
      <c r="C58" s="1">
        <v>14.568</v>
      </c>
      <c r="D58" s="1"/>
      <c r="E58" s="1">
        <v>14.634</v>
      </c>
      <c r="F58" s="1">
        <v>-6.6000000000000003E-2</v>
      </c>
      <c r="G58" s="8">
        <v>1</v>
      </c>
      <c r="H58" s="1">
        <v>40</v>
      </c>
      <c r="I58" s="1" t="s">
        <v>28</v>
      </c>
      <c r="J58" s="1">
        <v>15.1</v>
      </c>
      <c r="K58" s="1">
        <f t="shared" si="9"/>
        <v>-0.4659999999999993</v>
      </c>
      <c r="L58" s="1"/>
      <c r="M58" s="1"/>
      <c r="N58" s="1">
        <v>10.849600000000001</v>
      </c>
      <c r="O58" s="1">
        <f t="shared" si="3"/>
        <v>2.9268000000000001</v>
      </c>
      <c r="P58" s="5">
        <f>12*O58-N58-F58</f>
        <v>24.337999999999997</v>
      </c>
      <c r="Q58" s="5"/>
      <c r="R58" s="1"/>
      <c r="S58" s="1">
        <f t="shared" si="4"/>
        <v>12</v>
      </c>
      <c r="T58" s="1">
        <f t="shared" si="5"/>
        <v>3.6844335110017767</v>
      </c>
      <c r="U58" s="1">
        <v>1.9552</v>
      </c>
      <c r="V58" s="1"/>
      <c r="W58" s="1">
        <f t="shared" si="10"/>
        <v>24.337999999999997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82</v>
      </c>
      <c r="B59" s="1" t="s">
        <v>33</v>
      </c>
      <c r="C59" s="1">
        <v>138</v>
      </c>
      <c r="D59" s="1">
        <v>42</v>
      </c>
      <c r="E59" s="1">
        <v>184</v>
      </c>
      <c r="F59" s="1">
        <v>-7</v>
      </c>
      <c r="G59" s="8">
        <v>0.35</v>
      </c>
      <c r="H59" s="1">
        <v>40</v>
      </c>
      <c r="I59" s="1" t="s">
        <v>28</v>
      </c>
      <c r="J59" s="1">
        <v>243</v>
      </c>
      <c r="K59" s="1">
        <f t="shared" si="9"/>
        <v>-59</v>
      </c>
      <c r="L59" s="1"/>
      <c r="M59" s="1"/>
      <c r="N59" s="1">
        <v>79.599999999999994</v>
      </c>
      <c r="O59" s="1">
        <f t="shared" si="3"/>
        <v>36.799999999999997</v>
      </c>
      <c r="P59" s="5">
        <f>10*O59-N59-F59</f>
        <v>295.39999999999998</v>
      </c>
      <c r="Q59" s="5"/>
      <c r="R59" s="1"/>
      <c r="S59" s="1">
        <f t="shared" si="4"/>
        <v>10</v>
      </c>
      <c r="T59" s="1">
        <f t="shared" si="5"/>
        <v>1.9728260869565217</v>
      </c>
      <c r="U59" s="1">
        <v>19.2</v>
      </c>
      <c r="V59" s="1"/>
      <c r="W59" s="1">
        <f t="shared" si="10"/>
        <v>103.38999999999999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83</v>
      </c>
      <c r="B60" s="1" t="s">
        <v>33</v>
      </c>
      <c r="C60" s="1">
        <v>231</v>
      </c>
      <c r="D60" s="1">
        <v>71</v>
      </c>
      <c r="E60" s="1">
        <v>315</v>
      </c>
      <c r="F60" s="1">
        <v>-19</v>
      </c>
      <c r="G60" s="8">
        <v>0.35</v>
      </c>
      <c r="H60" s="1">
        <v>45</v>
      </c>
      <c r="I60" s="1" t="s">
        <v>28</v>
      </c>
      <c r="J60" s="1">
        <v>420</v>
      </c>
      <c r="K60" s="1">
        <f t="shared" si="9"/>
        <v>-105</v>
      </c>
      <c r="L60" s="1"/>
      <c r="M60" s="1"/>
      <c r="N60" s="1">
        <v>54.800000000000011</v>
      </c>
      <c r="O60" s="1">
        <f t="shared" si="3"/>
        <v>63</v>
      </c>
      <c r="P60" s="5">
        <f>9*O60-N60-F60</f>
        <v>531.20000000000005</v>
      </c>
      <c r="Q60" s="5"/>
      <c r="R60" s="1"/>
      <c r="S60" s="1">
        <f t="shared" si="4"/>
        <v>9</v>
      </c>
      <c r="T60" s="1">
        <f t="shared" si="5"/>
        <v>0.56825396825396846</v>
      </c>
      <c r="U60" s="1">
        <v>25.8</v>
      </c>
      <c r="V60" s="1"/>
      <c r="W60" s="1">
        <f t="shared" si="10"/>
        <v>185.92000000000002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2" t="s">
        <v>84</v>
      </c>
      <c r="B61" s="12" t="s">
        <v>27</v>
      </c>
      <c r="C61" s="12">
        <v>51.372</v>
      </c>
      <c r="D61" s="15">
        <v>21.591000000000001</v>
      </c>
      <c r="E61" s="17">
        <v>59.421999999999997</v>
      </c>
      <c r="F61" s="17">
        <v>13.541</v>
      </c>
      <c r="G61" s="13">
        <v>0</v>
      </c>
      <c r="H61" s="12">
        <v>55</v>
      </c>
      <c r="I61" s="12" t="s">
        <v>85</v>
      </c>
      <c r="J61" s="12">
        <v>59.6</v>
      </c>
      <c r="K61" s="12">
        <f t="shared" si="9"/>
        <v>-0.17800000000000438</v>
      </c>
      <c r="L61" s="12"/>
      <c r="M61" s="12"/>
      <c r="N61" s="12">
        <v>0</v>
      </c>
      <c r="O61" s="12">
        <f t="shared" si="3"/>
        <v>11.884399999999999</v>
      </c>
      <c r="P61" s="14"/>
      <c r="Q61" s="14"/>
      <c r="R61" s="12"/>
      <c r="S61" s="12">
        <f t="shared" si="4"/>
        <v>1.1393928174750094</v>
      </c>
      <c r="T61" s="12">
        <f t="shared" si="5"/>
        <v>1.1393928174750094</v>
      </c>
      <c r="U61" s="12">
        <v>0.54259999999999997</v>
      </c>
      <c r="V61" s="16" t="s">
        <v>105</v>
      </c>
      <c r="W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86</v>
      </c>
      <c r="B62" s="1" t="s">
        <v>27</v>
      </c>
      <c r="C62" s="1">
        <v>34.715000000000003</v>
      </c>
      <c r="D62" s="1"/>
      <c r="E62" s="1">
        <v>9.35</v>
      </c>
      <c r="F62" s="1">
        <v>25.364999999999998</v>
      </c>
      <c r="G62" s="8">
        <v>1</v>
      </c>
      <c r="H62" s="1">
        <v>60</v>
      </c>
      <c r="I62" s="1" t="s">
        <v>28</v>
      </c>
      <c r="J62" s="1">
        <v>9</v>
      </c>
      <c r="K62" s="1">
        <f t="shared" si="9"/>
        <v>0.34999999999999964</v>
      </c>
      <c r="L62" s="1"/>
      <c r="M62" s="1"/>
      <c r="N62" s="1">
        <v>0</v>
      </c>
      <c r="O62" s="1">
        <f t="shared" si="3"/>
        <v>1.8699999999999999</v>
      </c>
      <c r="P62" s="5"/>
      <c r="Q62" s="5"/>
      <c r="R62" s="1"/>
      <c r="S62" s="1">
        <f t="shared" si="4"/>
        <v>13.564171122994653</v>
      </c>
      <c r="T62" s="1">
        <f t="shared" si="5"/>
        <v>13.564171122994653</v>
      </c>
      <c r="U62" s="1">
        <v>0.17100000000000001</v>
      </c>
      <c r="V62" s="1"/>
      <c r="W62" s="1">
        <f t="shared" ref="W62:W79" si="15">G62*P62</f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87</v>
      </c>
      <c r="B63" s="1" t="s">
        <v>27</v>
      </c>
      <c r="C63" s="1">
        <v>225.565</v>
      </c>
      <c r="D63" s="1">
        <v>124.985</v>
      </c>
      <c r="E63" s="1">
        <v>255.38</v>
      </c>
      <c r="F63" s="1">
        <v>92.686999999999998</v>
      </c>
      <c r="G63" s="8">
        <v>1</v>
      </c>
      <c r="H63" s="1">
        <v>60</v>
      </c>
      <c r="I63" s="1" t="s">
        <v>28</v>
      </c>
      <c r="J63" s="1">
        <v>297.3</v>
      </c>
      <c r="K63" s="1">
        <f t="shared" si="9"/>
        <v>-41.920000000000016</v>
      </c>
      <c r="L63" s="1"/>
      <c r="M63" s="1"/>
      <c r="N63" s="1">
        <v>0</v>
      </c>
      <c r="O63" s="1">
        <f t="shared" si="3"/>
        <v>51.076000000000001</v>
      </c>
      <c r="P63" s="5">
        <f t="shared" ref="P63:P64" si="16">11*O63-N63-F63</f>
        <v>469.149</v>
      </c>
      <c r="Q63" s="5"/>
      <c r="R63" s="1"/>
      <c r="S63" s="1">
        <f t="shared" si="4"/>
        <v>11</v>
      </c>
      <c r="T63" s="1">
        <f t="shared" si="5"/>
        <v>1.8146879160466756</v>
      </c>
      <c r="U63" s="1">
        <v>11.608000000000001</v>
      </c>
      <c r="V63" s="1"/>
      <c r="W63" s="1">
        <f t="shared" si="15"/>
        <v>469.149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88</v>
      </c>
      <c r="B64" s="1" t="s">
        <v>27</v>
      </c>
      <c r="C64" s="1">
        <v>214.39</v>
      </c>
      <c r="D64" s="1">
        <v>154.01499999999999</v>
      </c>
      <c r="E64" s="1">
        <v>244.184</v>
      </c>
      <c r="F64" s="1">
        <v>117.262</v>
      </c>
      <c r="G64" s="8">
        <v>1</v>
      </c>
      <c r="H64" s="1">
        <v>60</v>
      </c>
      <c r="I64" s="1" t="s">
        <v>28</v>
      </c>
      <c r="J64" s="1">
        <v>595.70000000000005</v>
      </c>
      <c r="K64" s="1">
        <f t="shared" si="9"/>
        <v>-351.51600000000008</v>
      </c>
      <c r="L64" s="1"/>
      <c r="M64" s="1"/>
      <c r="N64" s="1">
        <v>0</v>
      </c>
      <c r="O64" s="1">
        <f t="shared" si="3"/>
        <v>48.836799999999997</v>
      </c>
      <c r="P64" s="5">
        <f t="shared" si="16"/>
        <v>419.94279999999998</v>
      </c>
      <c r="Q64" s="5"/>
      <c r="R64" s="1"/>
      <c r="S64" s="1">
        <f t="shared" si="4"/>
        <v>11</v>
      </c>
      <c r="T64" s="1">
        <f t="shared" si="5"/>
        <v>2.4010991711168628</v>
      </c>
      <c r="U64" s="1">
        <v>14.0908</v>
      </c>
      <c r="V64" s="1"/>
      <c r="W64" s="1">
        <f t="shared" si="15"/>
        <v>419.94279999999998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89</v>
      </c>
      <c r="B65" s="1" t="s">
        <v>27</v>
      </c>
      <c r="C65" s="1">
        <v>152.69200000000001</v>
      </c>
      <c r="D65" s="1">
        <v>79.790999999999997</v>
      </c>
      <c r="E65" s="1">
        <v>148.52000000000001</v>
      </c>
      <c r="F65" s="1">
        <v>81.555999999999997</v>
      </c>
      <c r="G65" s="8">
        <v>1</v>
      </c>
      <c r="H65" s="1">
        <v>60</v>
      </c>
      <c r="I65" s="1" t="s">
        <v>28</v>
      </c>
      <c r="J65" s="1">
        <v>201.1</v>
      </c>
      <c r="K65" s="1">
        <f t="shared" si="9"/>
        <v>-52.579999999999984</v>
      </c>
      <c r="L65" s="1"/>
      <c r="M65" s="1"/>
      <c r="N65" s="1">
        <v>0</v>
      </c>
      <c r="O65" s="1">
        <f t="shared" si="3"/>
        <v>29.704000000000001</v>
      </c>
      <c r="P65" s="5">
        <f>12*O65-N65-F65</f>
        <v>274.892</v>
      </c>
      <c r="Q65" s="5"/>
      <c r="R65" s="1"/>
      <c r="S65" s="1">
        <f t="shared" si="4"/>
        <v>11.999999999999998</v>
      </c>
      <c r="T65" s="1">
        <f t="shared" si="5"/>
        <v>2.7456234850525179</v>
      </c>
      <c r="U65" s="1">
        <v>7.4201999999999986</v>
      </c>
      <c r="V65" s="1"/>
      <c r="W65" s="1">
        <f t="shared" si="15"/>
        <v>274.892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90</v>
      </c>
      <c r="B66" s="1" t="s">
        <v>27</v>
      </c>
      <c r="C66" s="1">
        <v>243.422</v>
      </c>
      <c r="D66" s="1">
        <v>174.15600000000001</v>
      </c>
      <c r="E66" s="1">
        <v>236.77699999999999</v>
      </c>
      <c r="F66" s="1">
        <v>162.179</v>
      </c>
      <c r="G66" s="8">
        <v>1</v>
      </c>
      <c r="H66" s="1">
        <v>55</v>
      </c>
      <c r="I66" s="1" t="s">
        <v>28</v>
      </c>
      <c r="J66" s="1">
        <v>250.4</v>
      </c>
      <c r="K66" s="1">
        <f t="shared" si="9"/>
        <v>-13.623000000000019</v>
      </c>
      <c r="L66" s="1"/>
      <c r="M66" s="1"/>
      <c r="N66" s="1">
        <v>0</v>
      </c>
      <c r="O66" s="1">
        <f t="shared" si="3"/>
        <v>47.355399999999996</v>
      </c>
      <c r="P66" s="5">
        <f>12*O66-N66-F66</f>
        <v>406.08579999999995</v>
      </c>
      <c r="Q66" s="5"/>
      <c r="R66" s="1"/>
      <c r="S66" s="1">
        <f t="shared" si="4"/>
        <v>12</v>
      </c>
      <c r="T66" s="1">
        <f t="shared" si="5"/>
        <v>3.424720306448684</v>
      </c>
      <c r="U66" s="1">
        <v>6.9787999999999997</v>
      </c>
      <c r="V66" s="1"/>
      <c r="W66" s="1">
        <f t="shared" si="15"/>
        <v>406.08579999999995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91</v>
      </c>
      <c r="B67" s="1" t="s">
        <v>33</v>
      </c>
      <c r="C67" s="1">
        <v>27</v>
      </c>
      <c r="D67" s="1">
        <v>1</v>
      </c>
      <c r="E67" s="1">
        <v>23</v>
      </c>
      <c r="F67" s="1">
        <v>4</v>
      </c>
      <c r="G67" s="8">
        <v>0.5</v>
      </c>
      <c r="H67" s="1">
        <v>60</v>
      </c>
      <c r="I67" s="1" t="s">
        <v>28</v>
      </c>
      <c r="J67" s="1">
        <v>46</v>
      </c>
      <c r="K67" s="1">
        <f t="shared" si="9"/>
        <v>-23</v>
      </c>
      <c r="L67" s="1"/>
      <c r="M67" s="1"/>
      <c r="N67" s="1">
        <v>6.8000000000000043</v>
      </c>
      <c r="O67" s="1">
        <f t="shared" si="3"/>
        <v>4.5999999999999996</v>
      </c>
      <c r="P67" s="5">
        <f>10*O67-N67-F67</f>
        <v>35.199999999999996</v>
      </c>
      <c r="Q67" s="5"/>
      <c r="R67" s="1"/>
      <c r="S67" s="1">
        <f t="shared" si="4"/>
        <v>10</v>
      </c>
      <c r="T67" s="1">
        <f t="shared" si="5"/>
        <v>2.3478260869565228</v>
      </c>
      <c r="U67" s="1">
        <v>2.6</v>
      </c>
      <c r="V67" s="1"/>
      <c r="W67" s="1">
        <f t="shared" si="15"/>
        <v>17.599999999999998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92</v>
      </c>
      <c r="B68" s="1" t="s">
        <v>27</v>
      </c>
      <c r="C68" s="1">
        <v>48.588999999999999</v>
      </c>
      <c r="D68" s="1">
        <v>40.323</v>
      </c>
      <c r="E68" s="1">
        <v>78.412000000000006</v>
      </c>
      <c r="F68" s="1">
        <v>3.7930000000000001</v>
      </c>
      <c r="G68" s="8">
        <v>1</v>
      </c>
      <c r="H68" s="1">
        <v>55</v>
      </c>
      <c r="I68" s="1" t="s">
        <v>28</v>
      </c>
      <c r="J68" s="1">
        <v>94.4</v>
      </c>
      <c r="K68" s="1">
        <f t="shared" si="9"/>
        <v>-15.988</v>
      </c>
      <c r="L68" s="1"/>
      <c r="M68" s="1"/>
      <c r="N68" s="1">
        <v>0</v>
      </c>
      <c r="O68" s="1">
        <f t="shared" si="3"/>
        <v>15.682400000000001</v>
      </c>
      <c r="P68" s="5">
        <f>9*O68-N68-F68</f>
        <v>137.3486</v>
      </c>
      <c r="Q68" s="5"/>
      <c r="R68" s="1"/>
      <c r="S68" s="1">
        <f t="shared" si="4"/>
        <v>9</v>
      </c>
      <c r="T68" s="1">
        <f t="shared" si="5"/>
        <v>0.24186349028209966</v>
      </c>
      <c r="U68" s="1">
        <v>5.3592000000000004</v>
      </c>
      <c r="V68" s="1"/>
      <c r="W68" s="1">
        <f t="shared" si="15"/>
        <v>137.3486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93</v>
      </c>
      <c r="B69" s="1" t="s">
        <v>33</v>
      </c>
      <c r="C69" s="1">
        <v>75.304000000000002</v>
      </c>
      <c r="D69" s="1">
        <v>48</v>
      </c>
      <c r="E69" s="1">
        <v>139</v>
      </c>
      <c r="F69" s="1">
        <v>-21.696000000000002</v>
      </c>
      <c r="G69" s="8">
        <v>0.5</v>
      </c>
      <c r="H69" s="1">
        <v>40</v>
      </c>
      <c r="I69" s="1" t="s">
        <v>28</v>
      </c>
      <c r="J69" s="1">
        <v>216</v>
      </c>
      <c r="K69" s="1">
        <f t="shared" ref="K69:K79" si="17">E69-J69</f>
        <v>-77</v>
      </c>
      <c r="L69" s="1"/>
      <c r="M69" s="1"/>
      <c r="N69" s="1">
        <v>52.705599999999983</v>
      </c>
      <c r="O69" s="1">
        <f t="shared" si="3"/>
        <v>27.8</v>
      </c>
      <c r="P69" s="5">
        <f>9*O69-N69-F69</f>
        <v>219.19040000000004</v>
      </c>
      <c r="Q69" s="5"/>
      <c r="R69" s="1"/>
      <c r="S69" s="1">
        <f t="shared" si="4"/>
        <v>9</v>
      </c>
      <c r="T69" s="1">
        <f t="shared" si="5"/>
        <v>1.1154532374100712</v>
      </c>
      <c r="U69" s="1">
        <v>12.539199999999999</v>
      </c>
      <c r="V69" s="1"/>
      <c r="W69" s="1">
        <f t="shared" si="15"/>
        <v>109.59520000000002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94</v>
      </c>
      <c r="B70" s="1" t="s">
        <v>33</v>
      </c>
      <c r="C70" s="1">
        <v>29</v>
      </c>
      <c r="D70" s="1">
        <v>4</v>
      </c>
      <c r="E70" s="1">
        <v>32</v>
      </c>
      <c r="F70" s="1">
        <v>-2</v>
      </c>
      <c r="G70" s="8">
        <v>0.5</v>
      </c>
      <c r="H70" s="1">
        <v>60</v>
      </c>
      <c r="I70" s="1" t="s">
        <v>28</v>
      </c>
      <c r="J70" s="1">
        <v>44</v>
      </c>
      <c r="K70" s="1">
        <f t="shared" si="17"/>
        <v>-12</v>
      </c>
      <c r="L70" s="1"/>
      <c r="M70" s="1"/>
      <c r="N70" s="1">
        <v>25.6</v>
      </c>
      <c r="O70" s="1">
        <f t="shared" si="3"/>
        <v>6.4</v>
      </c>
      <c r="P70" s="5">
        <f>12*O70-N70-F70</f>
        <v>53.20000000000001</v>
      </c>
      <c r="Q70" s="5"/>
      <c r="R70" s="1"/>
      <c r="S70" s="1">
        <f t="shared" si="4"/>
        <v>12.000000000000002</v>
      </c>
      <c r="T70" s="1">
        <f t="shared" si="5"/>
        <v>3.6875</v>
      </c>
      <c r="U70" s="1">
        <v>4.2</v>
      </c>
      <c r="V70" s="1"/>
      <c r="W70" s="1">
        <f t="shared" si="15"/>
        <v>26.600000000000005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95</v>
      </c>
      <c r="B71" s="1" t="s">
        <v>33</v>
      </c>
      <c r="C71" s="1">
        <v>37</v>
      </c>
      <c r="D71" s="1">
        <v>10</v>
      </c>
      <c r="E71" s="1">
        <v>49</v>
      </c>
      <c r="F71" s="1">
        <v>-7</v>
      </c>
      <c r="G71" s="8">
        <v>0.4</v>
      </c>
      <c r="H71" s="1">
        <v>55</v>
      </c>
      <c r="I71" s="1" t="s">
        <v>28</v>
      </c>
      <c r="J71" s="1">
        <v>85</v>
      </c>
      <c r="K71" s="1">
        <f t="shared" si="17"/>
        <v>-36</v>
      </c>
      <c r="L71" s="1"/>
      <c r="M71" s="1"/>
      <c r="N71" s="1">
        <v>114.2</v>
      </c>
      <c r="O71" s="1">
        <f t="shared" ref="O71:O79" si="18">E71/5</f>
        <v>9.8000000000000007</v>
      </c>
      <c r="P71" s="5">
        <f t="shared" ref="P71:P75" si="19">13*O71-N71-F71</f>
        <v>20.200000000000003</v>
      </c>
      <c r="Q71" s="5"/>
      <c r="R71" s="1"/>
      <c r="S71" s="1">
        <f t="shared" ref="S71:S79" si="20">(F71+N71+P71)/O71</f>
        <v>13</v>
      </c>
      <c r="T71" s="1">
        <f t="shared" ref="T71:T79" si="21">(F71+N71)/O71</f>
        <v>10.938775510204081</v>
      </c>
      <c r="U71" s="1">
        <v>12.6</v>
      </c>
      <c r="V71" s="1"/>
      <c r="W71" s="1">
        <f t="shared" si="15"/>
        <v>8.0800000000000018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96</v>
      </c>
      <c r="B72" s="1" t="s">
        <v>27</v>
      </c>
      <c r="C72" s="1">
        <v>67.805999999999997</v>
      </c>
      <c r="D72" s="1">
        <v>43.889000000000003</v>
      </c>
      <c r="E72" s="1">
        <v>100.712</v>
      </c>
      <c r="F72" s="1">
        <v>10.983000000000001</v>
      </c>
      <c r="G72" s="8">
        <v>1</v>
      </c>
      <c r="H72" s="1">
        <v>55</v>
      </c>
      <c r="I72" s="1" t="s">
        <v>28</v>
      </c>
      <c r="J72" s="1">
        <v>101.1</v>
      </c>
      <c r="K72" s="1">
        <f t="shared" si="17"/>
        <v>-0.38799999999999102</v>
      </c>
      <c r="L72" s="1"/>
      <c r="M72" s="1"/>
      <c r="N72" s="1">
        <v>0</v>
      </c>
      <c r="O72" s="1">
        <f t="shared" si="18"/>
        <v>20.142400000000002</v>
      </c>
      <c r="P72" s="5">
        <f>10*O72-N72-F72</f>
        <v>190.44100000000003</v>
      </c>
      <c r="Q72" s="5"/>
      <c r="R72" s="1"/>
      <c r="S72" s="1">
        <f t="shared" si="20"/>
        <v>10</v>
      </c>
      <c r="T72" s="1">
        <f t="shared" si="21"/>
        <v>0.54526769401858766</v>
      </c>
      <c r="U72" s="1">
        <v>7.6786000000000003</v>
      </c>
      <c r="V72" s="1"/>
      <c r="W72" s="1">
        <f t="shared" si="15"/>
        <v>190.44100000000003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7" t="s">
        <v>97</v>
      </c>
      <c r="B73" s="1" t="s">
        <v>33</v>
      </c>
      <c r="C73" s="1"/>
      <c r="D73" s="1">
        <v>73</v>
      </c>
      <c r="E73" s="1">
        <v>66</v>
      </c>
      <c r="F73" s="1">
        <v>4</v>
      </c>
      <c r="G73" s="8">
        <v>0.4</v>
      </c>
      <c r="H73" s="1">
        <v>55</v>
      </c>
      <c r="I73" s="1" t="s">
        <v>28</v>
      </c>
      <c r="J73" s="1">
        <v>77</v>
      </c>
      <c r="K73" s="1">
        <f t="shared" si="17"/>
        <v>-11</v>
      </c>
      <c r="L73" s="1"/>
      <c r="M73" s="1"/>
      <c r="N73" s="1"/>
      <c r="O73" s="1">
        <f t="shared" si="18"/>
        <v>13.2</v>
      </c>
      <c r="P73" s="5">
        <f>8*O73-N73-F73</f>
        <v>101.6</v>
      </c>
      <c r="Q73" s="5"/>
      <c r="R73" s="1"/>
      <c r="S73" s="1">
        <f t="shared" si="20"/>
        <v>8</v>
      </c>
      <c r="T73" s="1">
        <f t="shared" si="21"/>
        <v>0.30303030303030304</v>
      </c>
      <c r="U73" s="1"/>
      <c r="V73" s="1"/>
      <c r="W73" s="1">
        <f t="shared" si="15"/>
        <v>40.64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98</v>
      </c>
      <c r="B74" s="1" t="s">
        <v>27</v>
      </c>
      <c r="C74" s="1">
        <v>29.533999999999999</v>
      </c>
      <c r="D74" s="1"/>
      <c r="E74" s="1">
        <v>33.624000000000002</v>
      </c>
      <c r="F74" s="1">
        <v>-4.09</v>
      </c>
      <c r="G74" s="8">
        <v>1</v>
      </c>
      <c r="H74" s="1">
        <v>55</v>
      </c>
      <c r="I74" s="1" t="s">
        <v>28</v>
      </c>
      <c r="J74" s="1">
        <v>40.5</v>
      </c>
      <c r="K74" s="1">
        <f t="shared" si="17"/>
        <v>-6.8759999999999977</v>
      </c>
      <c r="L74" s="1"/>
      <c r="M74" s="1"/>
      <c r="N74" s="1">
        <v>33.128599999999999</v>
      </c>
      <c r="O74" s="1">
        <f t="shared" si="18"/>
        <v>6.7248000000000001</v>
      </c>
      <c r="P74" s="5">
        <f>13*O74-N74-F74</f>
        <v>58.383799999999994</v>
      </c>
      <c r="Q74" s="5"/>
      <c r="R74" s="1"/>
      <c r="S74" s="1">
        <f t="shared" si="20"/>
        <v>13</v>
      </c>
      <c r="T74" s="1">
        <f t="shared" si="21"/>
        <v>4.3181358553414224</v>
      </c>
      <c r="U74" s="1">
        <v>4.8201999999999998</v>
      </c>
      <c r="V74" s="1"/>
      <c r="W74" s="1">
        <f t="shared" si="15"/>
        <v>58.383799999999994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99</v>
      </c>
      <c r="B75" s="1" t="s">
        <v>33</v>
      </c>
      <c r="C75" s="1">
        <v>39</v>
      </c>
      <c r="D75" s="1">
        <v>3</v>
      </c>
      <c r="E75" s="1">
        <v>43</v>
      </c>
      <c r="F75" s="1">
        <v>-3</v>
      </c>
      <c r="G75" s="8">
        <v>0.3</v>
      </c>
      <c r="H75" s="1">
        <v>40</v>
      </c>
      <c r="I75" s="1" t="s">
        <v>28</v>
      </c>
      <c r="J75" s="1">
        <v>120</v>
      </c>
      <c r="K75" s="1">
        <f t="shared" si="17"/>
        <v>-77</v>
      </c>
      <c r="L75" s="1"/>
      <c r="M75" s="1"/>
      <c r="N75" s="1">
        <v>46.8</v>
      </c>
      <c r="O75" s="1">
        <f t="shared" si="18"/>
        <v>8.6</v>
      </c>
      <c r="P75" s="5">
        <f t="shared" si="19"/>
        <v>68</v>
      </c>
      <c r="Q75" s="5"/>
      <c r="R75" s="1"/>
      <c r="S75" s="1">
        <f t="shared" si="20"/>
        <v>13</v>
      </c>
      <c r="T75" s="1">
        <f t="shared" si="21"/>
        <v>5.0930232558139537</v>
      </c>
      <c r="U75" s="1">
        <v>6.6</v>
      </c>
      <c r="V75" s="1"/>
      <c r="W75" s="1">
        <f t="shared" si="15"/>
        <v>20.399999999999999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100</v>
      </c>
      <c r="B76" s="1" t="s">
        <v>33</v>
      </c>
      <c r="C76" s="1">
        <v>53</v>
      </c>
      <c r="D76" s="1">
        <v>1</v>
      </c>
      <c r="E76" s="1">
        <v>52</v>
      </c>
      <c r="F76" s="1">
        <v>1</v>
      </c>
      <c r="G76" s="8">
        <v>0.3</v>
      </c>
      <c r="H76" s="1">
        <v>40</v>
      </c>
      <c r="I76" s="1" t="s">
        <v>28</v>
      </c>
      <c r="J76" s="1">
        <v>107</v>
      </c>
      <c r="K76" s="1">
        <f t="shared" si="17"/>
        <v>-55</v>
      </c>
      <c r="L76" s="1"/>
      <c r="M76" s="1"/>
      <c r="N76" s="1">
        <v>12</v>
      </c>
      <c r="O76" s="1">
        <f t="shared" si="18"/>
        <v>10.4</v>
      </c>
      <c r="P76" s="5">
        <f>9*O76-N76-F76</f>
        <v>80.600000000000009</v>
      </c>
      <c r="Q76" s="5"/>
      <c r="R76" s="1"/>
      <c r="S76" s="1">
        <f t="shared" si="20"/>
        <v>9</v>
      </c>
      <c r="T76" s="1">
        <f t="shared" si="21"/>
        <v>1.25</v>
      </c>
      <c r="U76" s="1">
        <v>5</v>
      </c>
      <c r="V76" s="1"/>
      <c r="W76" s="1">
        <f t="shared" si="15"/>
        <v>24.180000000000003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101</v>
      </c>
      <c r="B77" s="1" t="s">
        <v>33</v>
      </c>
      <c r="C77" s="1">
        <v>82</v>
      </c>
      <c r="D77" s="1">
        <v>1</v>
      </c>
      <c r="E77" s="1">
        <v>48</v>
      </c>
      <c r="F77" s="1">
        <v>32</v>
      </c>
      <c r="G77" s="8">
        <v>0.3</v>
      </c>
      <c r="H77" s="1">
        <v>40</v>
      </c>
      <c r="I77" s="1" t="s">
        <v>28</v>
      </c>
      <c r="J77" s="1">
        <v>51</v>
      </c>
      <c r="K77" s="1">
        <f t="shared" si="17"/>
        <v>-3</v>
      </c>
      <c r="L77" s="1"/>
      <c r="M77" s="1"/>
      <c r="N77" s="1">
        <v>0</v>
      </c>
      <c r="O77" s="1">
        <f t="shared" si="18"/>
        <v>9.6</v>
      </c>
      <c r="P77" s="5">
        <f>11*O77-N77-F77</f>
        <v>73.599999999999994</v>
      </c>
      <c r="Q77" s="5"/>
      <c r="R77" s="1"/>
      <c r="S77" s="1">
        <f t="shared" si="20"/>
        <v>11</v>
      </c>
      <c r="T77" s="1">
        <f t="shared" si="21"/>
        <v>3.3333333333333335</v>
      </c>
      <c r="U77" s="1">
        <v>2.8</v>
      </c>
      <c r="V77" s="1"/>
      <c r="W77" s="1">
        <f t="shared" si="15"/>
        <v>22.08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102</v>
      </c>
      <c r="B78" s="1" t="s">
        <v>33</v>
      </c>
      <c r="C78" s="1">
        <v>96</v>
      </c>
      <c r="D78" s="1">
        <v>44</v>
      </c>
      <c r="E78" s="1">
        <v>137</v>
      </c>
      <c r="F78" s="1">
        <v>-7</v>
      </c>
      <c r="G78" s="8">
        <v>0.375</v>
      </c>
      <c r="H78" s="1">
        <v>50</v>
      </c>
      <c r="I78" s="1" t="s">
        <v>28</v>
      </c>
      <c r="J78" s="1">
        <v>194</v>
      </c>
      <c r="K78" s="1">
        <f t="shared" si="17"/>
        <v>-57</v>
      </c>
      <c r="L78" s="1"/>
      <c r="M78" s="1"/>
      <c r="N78" s="1">
        <v>71.599999999999994</v>
      </c>
      <c r="O78" s="1">
        <f t="shared" si="18"/>
        <v>27.4</v>
      </c>
      <c r="P78" s="5">
        <f>10*O78-N78-F78</f>
        <v>209.4</v>
      </c>
      <c r="Q78" s="5"/>
      <c r="R78" s="1"/>
      <c r="S78" s="1">
        <f t="shared" si="20"/>
        <v>10</v>
      </c>
      <c r="T78" s="1">
        <f t="shared" si="21"/>
        <v>2.3576642335766422</v>
      </c>
      <c r="U78" s="1">
        <v>14.8</v>
      </c>
      <c r="V78" s="1"/>
      <c r="W78" s="1">
        <f t="shared" si="15"/>
        <v>78.525000000000006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7" t="s">
        <v>103</v>
      </c>
      <c r="B79" s="1" t="s">
        <v>27</v>
      </c>
      <c r="C79" s="1"/>
      <c r="D79" s="1"/>
      <c r="E79" s="17">
        <f>E61</f>
        <v>59.421999999999997</v>
      </c>
      <c r="F79" s="17">
        <f>F61</f>
        <v>13.541</v>
      </c>
      <c r="G79" s="8">
        <v>1</v>
      </c>
      <c r="H79" s="1">
        <v>55</v>
      </c>
      <c r="I79" s="1" t="s">
        <v>28</v>
      </c>
      <c r="J79" s="1"/>
      <c r="K79" s="1">
        <f t="shared" si="17"/>
        <v>59.421999999999997</v>
      </c>
      <c r="L79" s="1"/>
      <c r="M79" s="1"/>
      <c r="N79" s="1">
        <v>0</v>
      </c>
      <c r="O79" s="1">
        <f t="shared" si="18"/>
        <v>11.884399999999999</v>
      </c>
      <c r="P79" s="5">
        <f>10*O79-N79-F79</f>
        <v>105.303</v>
      </c>
      <c r="Q79" s="5"/>
      <c r="R79" s="1"/>
      <c r="S79" s="1">
        <f t="shared" si="20"/>
        <v>10</v>
      </c>
      <c r="T79" s="1">
        <f t="shared" si="21"/>
        <v>1.1393928174750094</v>
      </c>
      <c r="U79" s="1">
        <v>0.54259999999999997</v>
      </c>
      <c r="V79" s="11" t="s">
        <v>104</v>
      </c>
      <c r="W79" s="1">
        <f t="shared" si="15"/>
        <v>105.303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</sheetData>
  <autoFilter ref="A3:W79" xr:uid="{D02953A1-D5DA-4959-8B86-225ECD1B51C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2025-04-07T07:25:57Z</dcterms:created>
  <dcterms:modified xsi:type="dcterms:W3CDTF">2025-04-07T10:30:08Z</dcterms:modified>
</cp:coreProperties>
</file>