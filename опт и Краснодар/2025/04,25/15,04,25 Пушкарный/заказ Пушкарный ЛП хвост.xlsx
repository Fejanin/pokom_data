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0BC229D3-091F-4EE4-8376-91D69C33F32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BO514" i="1"/>
  <c r="BM514" i="1"/>
  <c r="Y514" i="1"/>
  <c r="P514" i="1"/>
  <c r="BO513" i="1"/>
  <c r="BM513" i="1"/>
  <c r="Y513" i="1"/>
  <c r="BO512" i="1"/>
  <c r="BM512" i="1"/>
  <c r="Y512" i="1"/>
  <c r="P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Z314" i="1"/>
  <c r="Z315" i="1" s="1"/>
  <c r="Y314" i="1"/>
  <c r="P314" i="1"/>
  <c r="X311" i="1"/>
  <c r="X310" i="1"/>
  <c r="BO309" i="1"/>
  <c r="BM309" i="1"/>
  <c r="Y309" i="1"/>
  <c r="P309" i="1"/>
  <c r="BO308" i="1"/>
  <c r="BM308" i="1"/>
  <c r="Y308" i="1"/>
  <c r="BP308" i="1" s="1"/>
  <c r="P308" i="1"/>
  <c r="X306" i="1"/>
  <c r="X305" i="1"/>
  <c r="BO304" i="1"/>
  <c r="BM304" i="1"/>
  <c r="Y304" i="1"/>
  <c r="Y305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O225" i="1"/>
  <c r="BM225" i="1"/>
  <c r="Y225" i="1"/>
  <c r="BP225" i="1" s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BP201" i="1" s="1"/>
  <c r="P201" i="1"/>
  <c r="X199" i="1"/>
  <c r="X198" i="1"/>
  <c r="BO197" i="1"/>
  <c r="BM197" i="1"/>
  <c r="Y197" i="1"/>
  <c r="BP197" i="1" s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Y172" i="1" s="1"/>
  <c r="P170" i="1"/>
  <c r="X166" i="1"/>
  <c r="X165" i="1"/>
  <c r="BO164" i="1"/>
  <c r="BM164" i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O132" i="1"/>
  <c r="BM132" i="1"/>
  <c r="Y132" i="1"/>
  <c r="BP132" i="1" s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BP125" i="1" s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P122" i="1"/>
  <c r="BO121" i="1"/>
  <c r="BM121" i="1"/>
  <c r="Y121" i="1"/>
  <c r="BP121" i="1" s="1"/>
  <c r="P121" i="1"/>
  <c r="BO120" i="1"/>
  <c r="BM120" i="1"/>
  <c r="Y120" i="1"/>
  <c r="BP120" i="1" s="1"/>
  <c r="BO119" i="1"/>
  <c r="BM119" i="1"/>
  <c r="Y119" i="1"/>
  <c r="Y128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F601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601" i="1" s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X592" i="1" s="1"/>
  <c r="Y22" i="1"/>
  <c r="BP22" i="1" s="1"/>
  <c r="P22" i="1"/>
  <c r="H10" i="1"/>
  <c r="F10" i="1"/>
  <c r="J9" i="1"/>
  <c r="F9" i="1"/>
  <c r="A9" i="1"/>
  <c r="A10" i="1" s="1"/>
  <c r="D7" i="1"/>
  <c r="Q6" i="1"/>
  <c r="P2" i="1"/>
  <c r="BP147" i="1" l="1"/>
  <c r="BN147" i="1"/>
  <c r="Z147" i="1"/>
  <c r="BP181" i="1"/>
  <c r="BN181" i="1"/>
  <c r="Z181" i="1"/>
  <c r="BP207" i="1"/>
  <c r="BN207" i="1"/>
  <c r="Z207" i="1"/>
  <c r="BP236" i="1"/>
  <c r="BN236" i="1"/>
  <c r="Z236" i="1"/>
  <c r="Y248" i="1"/>
  <c r="Y247" i="1"/>
  <c r="BP246" i="1"/>
  <c r="BN246" i="1"/>
  <c r="Z246" i="1"/>
  <c r="Z247" i="1" s="1"/>
  <c r="M601" i="1"/>
  <c r="Y266" i="1"/>
  <c r="BP265" i="1"/>
  <c r="BN265" i="1"/>
  <c r="Z265" i="1"/>
  <c r="Z266" i="1" s="1"/>
  <c r="BP270" i="1"/>
  <c r="BN270" i="1"/>
  <c r="Z270" i="1"/>
  <c r="BP321" i="1"/>
  <c r="BN321" i="1"/>
  <c r="Z321" i="1"/>
  <c r="BP345" i="1"/>
  <c r="BN345" i="1"/>
  <c r="Z345" i="1"/>
  <c r="BP384" i="1"/>
  <c r="BN384" i="1"/>
  <c r="Z384" i="1"/>
  <c r="Y503" i="1"/>
  <c r="Y502" i="1"/>
  <c r="BP498" i="1"/>
  <c r="BN498" i="1"/>
  <c r="Z498" i="1"/>
  <c r="BP500" i="1"/>
  <c r="BN500" i="1"/>
  <c r="Z500" i="1"/>
  <c r="BP514" i="1"/>
  <c r="BN514" i="1"/>
  <c r="Z514" i="1"/>
  <c r="Z40" i="1"/>
  <c r="BN40" i="1"/>
  <c r="Z59" i="1"/>
  <c r="BN59" i="1"/>
  <c r="Z71" i="1"/>
  <c r="BN71" i="1"/>
  <c r="Z88" i="1"/>
  <c r="BN88" i="1"/>
  <c r="Y102" i="1"/>
  <c r="Z109" i="1"/>
  <c r="BN109" i="1"/>
  <c r="BP126" i="1"/>
  <c r="BN126" i="1"/>
  <c r="Z126" i="1"/>
  <c r="BP176" i="1"/>
  <c r="BN176" i="1"/>
  <c r="Z176" i="1"/>
  <c r="Y188" i="1"/>
  <c r="Y187" i="1"/>
  <c r="BP186" i="1"/>
  <c r="BN186" i="1"/>
  <c r="Z186" i="1"/>
  <c r="Z187" i="1" s="1"/>
  <c r="BP191" i="1"/>
  <c r="BN191" i="1"/>
  <c r="Z191" i="1"/>
  <c r="BP219" i="1"/>
  <c r="BN219" i="1"/>
  <c r="Z219" i="1"/>
  <c r="BP241" i="1"/>
  <c r="BN241" i="1"/>
  <c r="Z241" i="1"/>
  <c r="BP281" i="1"/>
  <c r="BN281" i="1"/>
  <c r="Z281" i="1"/>
  <c r="BP335" i="1"/>
  <c r="BN335" i="1"/>
  <c r="Z335" i="1"/>
  <c r="BP376" i="1"/>
  <c r="BN376" i="1"/>
  <c r="Z376" i="1"/>
  <c r="BP404" i="1"/>
  <c r="BN404" i="1"/>
  <c r="Z404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BP319" i="1"/>
  <c r="BN319" i="1"/>
  <c r="Z319" i="1"/>
  <c r="BP331" i="1"/>
  <c r="BN331" i="1"/>
  <c r="Z331" i="1"/>
  <c r="BP343" i="1"/>
  <c r="BN343" i="1"/>
  <c r="Z343" i="1"/>
  <c r="BP368" i="1"/>
  <c r="BN368" i="1"/>
  <c r="Z368" i="1"/>
  <c r="BP382" i="1"/>
  <c r="BN382" i="1"/>
  <c r="Z382" i="1"/>
  <c r="Y396" i="1"/>
  <c r="Y395" i="1"/>
  <c r="BP393" i="1"/>
  <c r="BN393" i="1"/>
  <c r="Z393" i="1"/>
  <c r="Z395" i="1" s="1"/>
  <c r="Y421" i="1"/>
  <c r="BP416" i="1"/>
  <c r="BN416" i="1"/>
  <c r="Z416" i="1"/>
  <c r="BP437" i="1"/>
  <c r="BN437" i="1"/>
  <c r="Z437" i="1"/>
  <c r="AA601" i="1"/>
  <c r="Y466" i="1"/>
  <c r="BP464" i="1"/>
  <c r="BN464" i="1"/>
  <c r="Z464" i="1"/>
  <c r="Z466" i="1" s="1"/>
  <c r="BP484" i="1"/>
  <c r="BN484" i="1"/>
  <c r="Z484" i="1"/>
  <c r="BP494" i="1"/>
  <c r="BN494" i="1"/>
  <c r="Z494" i="1"/>
  <c r="Z22" i="1"/>
  <c r="BN22" i="1"/>
  <c r="X595" i="1"/>
  <c r="Z38" i="1"/>
  <c r="BN38" i="1"/>
  <c r="Z44" i="1"/>
  <c r="Z45" i="1" s="1"/>
  <c r="BN44" i="1"/>
  <c r="BP44" i="1"/>
  <c r="Y45" i="1"/>
  <c r="Z49" i="1"/>
  <c r="BN49" i="1"/>
  <c r="Z53" i="1"/>
  <c r="BN53" i="1"/>
  <c r="Y63" i="1"/>
  <c r="Z61" i="1"/>
  <c r="BN61" i="1"/>
  <c r="Y69" i="1"/>
  <c r="Z67" i="1"/>
  <c r="BN67" i="1"/>
  <c r="Y77" i="1"/>
  <c r="Z73" i="1"/>
  <c r="BN73" i="1"/>
  <c r="Z81" i="1"/>
  <c r="BN81" i="1"/>
  <c r="E601" i="1"/>
  <c r="Z94" i="1"/>
  <c r="BN94" i="1"/>
  <c r="Z95" i="1"/>
  <c r="BN95" i="1"/>
  <c r="Z96" i="1"/>
  <c r="BN96" i="1"/>
  <c r="Z97" i="1"/>
  <c r="BN97" i="1"/>
  <c r="Z98" i="1"/>
  <c r="BN98" i="1"/>
  <c r="Z107" i="1"/>
  <c r="BN107" i="1"/>
  <c r="Z113" i="1"/>
  <c r="BN113" i="1"/>
  <c r="BP113" i="1"/>
  <c r="Z119" i="1"/>
  <c r="BN119" i="1"/>
  <c r="BP119" i="1"/>
  <c r="Z120" i="1"/>
  <c r="BN120" i="1"/>
  <c r="Z132" i="1"/>
  <c r="BN132" i="1"/>
  <c r="Z143" i="1"/>
  <c r="BN143" i="1"/>
  <c r="Z158" i="1"/>
  <c r="BN158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Z178" i="1"/>
  <c r="BN178" i="1"/>
  <c r="Z179" i="1"/>
  <c r="BN179" i="1"/>
  <c r="Z197" i="1"/>
  <c r="BN197" i="1"/>
  <c r="Z201" i="1"/>
  <c r="BN201" i="1"/>
  <c r="Z205" i="1"/>
  <c r="BN205" i="1"/>
  <c r="Z213" i="1"/>
  <c r="BN213" i="1"/>
  <c r="Z217" i="1"/>
  <c r="BN217" i="1"/>
  <c r="Z225" i="1"/>
  <c r="BN225" i="1"/>
  <c r="Z230" i="1"/>
  <c r="BN230" i="1"/>
  <c r="Z234" i="1"/>
  <c r="BN234" i="1"/>
  <c r="Y243" i="1"/>
  <c r="Z256" i="1"/>
  <c r="BN256" i="1"/>
  <c r="Z260" i="1"/>
  <c r="BN260" i="1"/>
  <c r="Z272" i="1"/>
  <c r="BN272" i="1"/>
  <c r="Z279" i="1"/>
  <c r="BN279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Z308" i="1"/>
  <c r="BN308" i="1"/>
  <c r="T601" i="1"/>
  <c r="Y315" i="1"/>
  <c r="BP314" i="1"/>
  <c r="BN314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5" i="1"/>
  <c r="BN485" i="1"/>
  <c r="Z485" i="1"/>
  <c r="BP521" i="1"/>
  <c r="BN521" i="1"/>
  <c r="Z521" i="1"/>
  <c r="Z453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Y161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57" i="1"/>
  <c r="BN257" i="1"/>
  <c r="Z257" i="1"/>
  <c r="Y261" i="1"/>
  <c r="BP271" i="1"/>
  <c r="BN271" i="1"/>
  <c r="Z271" i="1"/>
  <c r="Z273" i="1" s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Z408" i="1" s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X594" i="1" s="1"/>
  <c r="Z23" i="1"/>
  <c r="BN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BN37" i="1"/>
  <c r="BP37" i="1"/>
  <c r="Z39" i="1"/>
  <c r="BN39" i="1"/>
  <c r="Y42" i="1"/>
  <c r="D601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Z83" i="1" s="1"/>
  <c r="BN80" i="1"/>
  <c r="BP80" i="1"/>
  <c r="Z82" i="1"/>
  <c r="BN82" i="1"/>
  <c r="Z87" i="1"/>
  <c r="BN87" i="1"/>
  <c r="BP87" i="1"/>
  <c r="Z89" i="1"/>
  <c r="BN89" i="1"/>
  <c r="Y90" i="1"/>
  <c r="Z93" i="1"/>
  <c r="BN93" i="1"/>
  <c r="BP93" i="1"/>
  <c r="Z99" i="1"/>
  <c r="BN99" i="1"/>
  <c r="Z101" i="1"/>
  <c r="BN101" i="1"/>
  <c r="Z106" i="1"/>
  <c r="Z110" i="1" s="1"/>
  <c r="BN106" i="1"/>
  <c r="BP106" i="1"/>
  <c r="Z108" i="1"/>
  <c r="BN108" i="1"/>
  <c r="Y111" i="1"/>
  <c r="Z114" i="1"/>
  <c r="Z116" i="1" s="1"/>
  <c r="BN114" i="1"/>
  <c r="Z121" i="1"/>
  <c r="BN121" i="1"/>
  <c r="Z124" i="1"/>
  <c r="BN124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Y273" i="1"/>
  <c r="Z282" i="1"/>
  <c r="BP278" i="1"/>
  <c r="BN278" i="1"/>
  <c r="Z278" i="1"/>
  <c r="Y282" i="1"/>
  <c r="BP309" i="1"/>
  <c r="BN309" i="1"/>
  <c r="Z309" i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Z346" i="1" s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Y454" i="1"/>
  <c r="BP457" i="1"/>
  <c r="BN457" i="1"/>
  <c r="Z457" i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2" i="1"/>
  <c r="BN512" i="1"/>
  <c r="Z512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BP330" i="1"/>
  <c r="BN330" i="1"/>
  <c r="Z330" i="1"/>
  <c r="Y341" i="1"/>
  <c r="BP338" i="1"/>
  <c r="BN338" i="1"/>
  <c r="Z338" i="1"/>
  <c r="Z340" i="1" s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3" i="1"/>
  <c r="BN513" i="1"/>
  <c r="Z513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502" i="1" l="1"/>
  <c r="Z495" i="1"/>
  <c r="Z128" i="1"/>
  <c r="Z77" i="1"/>
  <c r="Z55" i="1"/>
  <c r="Y592" i="1"/>
  <c r="Y593" i="1"/>
  <c r="Z28" i="1"/>
  <c r="Z209" i="1"/>
  <c r="Z460" i="1"/>
  <c r="Z310" i="1"/>
  <c r="Z198" i="1"/>
  <c r="Z144" i="1"/>
  <c r="Z390" i="1"/>
  <c r="Z238" i="1"/>
  <c r="Z183" i="1"/>
  <c r="Z547" i="1"/>
  <c r="Z332" i="1"/>
  <c r="Z565" i="1"/>
  <c r="Z523" i="1"/>
  <c r="Z528" i="1"/>
  <c r="Z385" i="1"/>
  <c r="Z353" i="1"/>
  <c r="Z261" i="1"/>
  <c r="Z221" i="1"/>
  <c r="Z102" i="1"/>
  <c r="Z90" i="1"/>
  <c r="Z62" i="1"/>
  <c r="Z41" i="1"/>
  <c r="Z161" i="1"/>
  <c r="Z517" i="1"/>
  <c r="Z442" i="1"/>
  <c r="Y595" i="1"/>
  <c r="Z370" i="1"/>
  <c r="Y591" i="1"/>
  <c r="Z596" i="1" l="1"/>
  <c r="Y594" i="1"/>
</calcChain>
</file>

<file path=xl/sharedStrings.xml><?xml version="1.0" encoding="utf-8"?>
<sst xmlns="http://schemas.openxmlformats.org/spreadsheetml/2006/main" count="2732" uniqueCount="967">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</sst>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B574" zoomScaleNormal="100" zoomScaleSheetLayoutView="100" workbookViewId="0">
      <selection activeCell="Z597" sqref="Z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45760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Воскресенье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1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 t="s">
        <v>19</v>
      </c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20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22</v>
      </c>
      <c r="Q10" s="855"/>
      <c r="R10" s="856"/>
      <c r="U10" s="24" t="s">
        <v>23</v>
      </c>
      <c r="V10" s="706" t="s">
        <v>24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98"/>
      <c r="R11" s="799"/>
      <c r="U11" s="24" t="s">
        <v>27</v>
      </c>
      <c r="V11" s="965" t="s">
        <v>28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29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30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31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32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33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34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36</v>
      </c>
      <c r="B17" s="702" t="s">
        <v>37</v>
      </c>
      <c r="C17" s="819" t="s">
        <v>38</v>
      </c>
      <c r="D17" s="702" t="s">
        <v>39</v>
      </c>
      <c r="E17" s="771"/>
      <c r="F17" s="702" t="s">
        <v>40</v>
      </c>
      <c r="G17" s="702" t="s">
        <v>41</v>
      </c>
      <c r="H17" s="702" t="s">
        <v>42</v>
      </c>
      <c r="I17" s="702" t="s">
        <v>43</v>
      </c>
      <c r="J17" s="702" t="s">
        <v>44</v>
      </c>
      <c r="K17" s="702" t="s">
        <v>45</v>
      </c>
      <c r="L17" s="702" t="s">
        <v>46</v>
      </c>
      <c r="M17" s="702" t="s">
        <v>47</v>
      </c>
      <c r="N17" s="702" t="s">
        <v>48</v>
      </c>
      <c r="O17" s="702" t="s">
        <v>49</v>
      </c>
      <c r="P17" s="702" t="s">
        <v>50</v>
      </c>
      <c r="Q17" s="770"/>
      <c r="R17" s="770"/>
      <c r="S17" s="770"/>
      <c r="T17" s="771"/>
      <c r="U17" s="1036" t="s">
        <v>51</v>
      </c>
      <c r="V17" s="802"/>
      <c r="W17" s="702" t="s">
        <v>52</v>
      </c>
      <c r="X17" s="702" t="s">
        <v>53</v>
      </c>
      <c r="Y17" s="1037" t="s">
        <v>54</v>
      </c>
      <c r="Z17" s="940" t="s">
        <v>55</v>
      </c>
      <c r="AA17" s="915" t="s">
        <v>56</v>
      </c>
      <c r="AB17" s="915" t="s">
        <v>57</v>
      </c>
      <c r="AC17" s="915" t="s">
        <v>58</v>
      </c>
      <c r="AD17" s="915" t="s">
        <v>59</v>
      </c>
      <c r="AE17" s="996"/>
      <c r="AF17" s="997"/>
      <c r="AG17" s="66"/>
      <c r="BD17" s="65" t="s">
        <v>60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61</v>
      </c>
      <c r="V18" s="67" t="s">
        <v>62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63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64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69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7" t="s">
        <v>76</v>
      </c>
      <c r="Q24" s="670"/>
      <c r="R24" s="670"/>
      <c r="S24" s="670"/>
      <c r="T24" s="671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2" t="s">
        <v>80</v>
      </c>
      <c r="Q25" s="670"/>
      <c r="R25" s="670"/>
      <c r="S25" s="670"/>
      <c r="T25" s="671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90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97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98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69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69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customHeight="1" x14ac:dyDescent="0.25">
      <c r="A43" s="679" t="s">
        <v>64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118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69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69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customHeight="1" x14ac:dyDescent="0.25">
      <c r="A57" s="679" t="s">
        <v>138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69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69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customHeight="1" x14ac:dyDescent="0.25">
      <c r="A64" s="679" t="s">
        <v>149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64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69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175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176</v>
      </c>
      <c r="B80" s="54" t="s">
        <v>177</v>
      </c>
      <c r="C80" s="31">
        <v>4301060366</v>
      </c>
      <c r="D80" s="667">
        <v>4680115881532</v>
      </c>
      <c r="E80" s="668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0"/>
      <c r="R80" s="670"/>
      <c r="S80" s="670"/>
      <c r="T80" s="671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4301060371</v>
      </c>
      <c r="D81" s="667">
        <v>4680115881532</v>
      </c>
      <c r="E81" s="668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5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0"/>
      <c r="R81" s="670"/>
      <c r="S81" s="670"/>
      <c r="T81" s="671"/>
      <c r="U81" s="34"/>
      <c r="V81" s="34"/>
      <c r="W81" s="35" t="s">
        <v>69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183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98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69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69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customHeight="1" x14ac:dyDescent="0.25">
      <c r="A92" s="679" t="s">
        <v>64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67">
        <v>4607091386967</v>
      </c>
      <c r="E93" s="668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1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0"/>
      <c r="R93" s="670"/>
      <c r="S93" s="670"/>
      <c r="T93" s="671"/>
      <c r="U93" s="34"/>
      <c r="V93" s="34"/>
      <c r="W93" s="35" t="s">
        <v>69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192</v>
      </c>
      <c r="B94" s="54" t="s">
        <v>195</v>
      </c>
      <c r="C94" s="31">
        <v>4301051437</v>
      </c>
      <c r="D94" s="667">
        <v>4607091386967</v>
      </c>
      <c r="E94" s="668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0"/>
      <c r="R94" s="670"/>
      <c r="S94" s="670"/>
      <c r="T94" s="671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192</v>
      </c>
      <c r="B95" s="54" t="s">
        <v>196</v>
      </c>
      <c r="C95" s="31">
        <v>4301051712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1" t="s">
        <v>197</v>
      </c>
      <c r="Q95" s="670"/>
      <c r="R95" s="670"/>
      <c r="S95" s="670"/>
      <c r="T95" s="671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6" t="s">
        <v>201</v>
      </c>
      <c r="Q96" s="670"/>
      <c r="R96" s="670"/>
      <c r="S96" s="670"/>
      <c r="T96" s="671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203</v>
      </c>
      <c r="B97" s="54" t="s">
        <v>204</v>
      </c>
      <c r="C97" s="31">
        <v>4301052039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66" t="s">
        <v>205</v>
      </c>
      <c r="Q97" s="670"/>
      <c r="R97" s="670"/>
      <c r="S97" s="670"/>
      <c r="T97" s="671"/>
      <c r="U97" s="34"/>
      <c r="V97" s="34"/>
      <c r="W97" s="35" t="s">
        <v>69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customHeight="1" x14ac:dyDescent="0.25">
      <c r="A98" s="54" t="s">
        <v>203</v>
      </c>
      <c r="B98" s="54" t="s">
        <v>206</v>
      </c>
      <c r="C98" s="31">
        <v>4301051718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943" t="s">
        <v>207</v>
      </c>
      <c r="Q98" s="670"/>
      <c r="R98" s="670"/>
      <c r="S98" s="670"/>
      <c r="T98" s="671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211</v>
      </c>
      <c r="B100" s="54" t="s">
        <v>212</v>
      </c>
      <c r="C100" s="31">
        <v>4301051439</v>
      </c>
      <c r="D100" s="667">
        <v>4680115880214</v>
      </c>
      <c r="E100" s="668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26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0"/>
      <c r="R100" s="670"/>
      <c r="S100" s="670"/>
      <c r="T100" s="671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4301051687</v>
      </c>
      <c r="D101" s="667">
        <v>4680115880214</v>
      </c>
      <c r="E101" s="668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1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0"/>
      <c r="R101" s="670"/>
      <c r="S101" s="670"/>
      <c r="T101" s="671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customHeight="1" x14ac:dyDescent="0.25">
      <c r="A104" s="716" t="s">
        <v>214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98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69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69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customHeight="1" x14ac:dyDescent="0.25">
      <c r="A112" s="679" t="s">
        <v>138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64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37.5" customHeight="1" x14ac:dyDescent="0.25">
      <c r="A119" s="54" t="s">
        <v>231</v>
      </c>
      <c r="B119" s="54" t="s">
        <v>232</v>
      </c>
      <c r="C119" s="31">
        <v>4301051360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3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0"/>
      <c r="R119" s="670"/>
      <c r="S119" s="670"/>
      <c r="T119" s="671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231</v>
      </c>
      <c r="B120" s="54" t="s">
        <v>234</v>
      </c>
      <c r="C120" s="31">
        <v>4301051724</v>
      </c>
      <c r="D120" s="667">
        <v>4607091385168</v>
      </c>
      <c r="E120" s="668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45" t="s">
        <v>235</v>
      </c>
      <c r="Q120" s="670"/>
      <c r="R120" s="670"/>
      <c r="S120" s="670"/>
      <c r="T120" s="671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67">
        <v>4607091385168</v>
      </c>
      <c r="E121" s="668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0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0"/>
      <c r="R121" s="670"/>
      <c r="S121" s="670"/>
      <c r="T121" s="671"/>
      <c r="U121" s="34"/>
      <c r="V121" s="34"/>
      <c r="W121" s="35" t="s">
        <v>69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37.5" customHeight="1" x14ac:dyDescent="0.25">
      <c r="A122" s="54" t="s">
        <v>239</v>
      </c>
      <c r="B122" s="54" t="s">
        <v>240</v>
      </c>
      <c r="C122" s="31">
        <v>4301051362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2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0"/>
      <c r="R122" s="670"/>
      <c r="S122" s="670"/>
      <c r="T122" s="671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239</v>
      </c>
      <c r="B123" s="54" t="s">
        <v>241</v>
      </c>
      <c r="C123" s="31">
        <v>4301051730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4" t="s">
        <v>242</v>
      </c>
      <c r="Q123" s="670"/>
      <c r="R123" s="670"/>
      <c r="S123" s="670"/>
      <c r="T123" s="671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39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0"/>
      <c r="R124" s="670"/>
      <c r="S124" s="670"/>
      <c r="T124" s="671"/>
      <c r="U124" s="34"/>
      <c r="V124" s="34"/>
      <c r="W124" s="35" t="s">
        <v>69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27" customHeight="1" x14ac:dyDescent="0.25">
      <c r="A125" s="54" t="s">
        <v>243</v>
      </c>
      <c r="B125" s="54" t="s">
        <v>245</v>
      </c>
      <c r="C125" s="31">
        <v>4301051721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3" t="s">
        <v>246</v>
      </c>
      <c r="Q125" s="670"/>
      <c r="R125" s="670"/>
      <c r="S125" s="670"/>
      <c r="T125" s="671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247</v>
      </c>
      <c r="B126" s="54" t="s">
        <v>248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69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250</v>
      </c>
      <c r="B127" s="54" t="s">
        <v>251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0</v>
      </c>
      <c r="Y128" s="665">
        <f>IFERROR(Y119/H119,"0")+IFERROR(Y120/H120,"0")+IFERROR(Y121/H121,"0")+IFERROR(Y122/H122,"0")+IFERROR(Y123/H123,"0")+IFERROR(Y124/H124,"0")+IFERROR(Y125/H125,"0")+IFERROR(Y126/H126,"0")+IFERROR(Y127/H127,"0")</f>
        <v>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0</v>
      </c>
      <c r="Y129" s="665">
        <f>IFERROR(SUM(Y119:Y127),"0")</f>
        <v>0</v>
      </c>
      <c r="Z129" s="37"/>
      <c r="AA129" s="666"/>
      <c r="AB129" s="666"/>
      <c r="AC129" s="666"/>
    </row>
    <row r="130" spans="1:68" ht="14.25" customHeight="1" x14ac:dyDescent="0.25">
      <c r="A130" s="679" t="s">
        <v>175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253</v>
      </c>
      <c r="B131" s="54" t="s">
        <v>254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256</v>
      </c>
      <c r="B132" s="54" t="s">
        <v>257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69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259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98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260</v>
      </c>
      <c r="B137" s="54" t="s">
        <v>261</v>
      </c>
      <c r="C137" s="31">
        <v>4301011564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0"/>
      <c r="R137" s="670"/>
      <c r="S137" s="670"/>
      <c r="T137" s="671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260</v>
      </c>
      <c r="B138" s="54" t="s">
        <v>263</v>
      </c>
      <c r="C138" s="31">
        <v>4301011562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4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0"/>
      <c r="R138" s="670"/>
      <c r="S138" s="670"/>
      <c r="T138" s="671"/>
      <c r="U138" s="34"/>
      <c r="V138" s="34"/>
      <c r="W138" s="35" t="s">
        <v>69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149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264</v>
      </c>
      <c r="B142" s="54" t="s">
        <v>265</v>
      </c>
      <c r="C142" s="31">
        <v>4301031234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69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264</v>
      </c>
      <c r="B143" s="54" t="s">
        <v>267</v>
      </c>
      <c r="C143" s="31">
        <v>4301031235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64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268</v>
      </c>
      <c r="B147" s="54" t="s">
        <v>269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268</v>
      </c>
      <c r="B148" s="54" t="s">
        <v>270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69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96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98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271</v>
      </c>
      <c r="B153" s="54" t="s">
        <v>272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149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274</v>
      </c>
      <c r="B157" s="54" t="s">
        <v>275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277</v>
      </c>
      <c r="B158" s="54" t="s">
        <v>278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280</v>
      </c>
      <c r="B159" s="54" t="s">
        <v>281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283</v>
      </c>
      <c r="B160" s="54" t="s">
        <v>284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64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285</v>
      </c>
      <c r="B164" s="54" t="s">
        <v>286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288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289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138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290</v>
      </c>
      <c r="B170" s="54" t="s">
        <v>291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149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293</v>
      </c>
      <c r="B174" s="54" t="s">
        <v>294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69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296</v>
      </c>
      <c r="B175" s="54" t="s">
        <v>297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69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69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69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69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306</v>
      </c>
      <c r="B179" s="54" t="s">
        <v>307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5" t="s">
        <v>308</v>
      </c>
      <c r="Q179" s="670"/>
      <c r="R179" s="670"/>
      <c r="S179" s="670"/>
      <c r="T179" s="671"/>
      <c r="U179" s="34"/>
      <c r="V179" s="34"/>
      <c r="W179" s="35" t="s">
        <v>69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310</v>
      </c>
      <c r="B180" s="54" t="s">
        <v>311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69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312</v>
      </c>
      <c r="B181" s="54" t="s">
        <v>313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customHeight="1" x14ac:dyDescent="0.25">
      <c r="A185" s="679" t="s">
        <v>90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317</v>
      </c>
      <c r="B186" s="54" t="s">
        <v>318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04" t="s">
        <v>321</v>
      </c>
      <c r="Q186" s="670"/>
      <c r="R186" s="670"/>
      <c r="S186" s="670"/>
      <c r="T186" s="671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322</v>
      </c>
      <c r="AC186" s="241" t="s">
        <v>323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324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98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325</v>
      </c>
      <c r="B191" s="54" t="s">
        <v>326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327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328</v>
      </c>
      <c r="B192" s="54" t="s">
        <v>329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327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138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330</v>
      </c>
      <c r="B196" s="54" t="s">
        <v>331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332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333</v>
      </c>
      <c r="B197" s="54" t="s">
        <v>334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332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149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335</v>
      </c>
      <c r="B201" s="54" t="s">
        <v>336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69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337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338</v>
      </c>
      <c r="B202" s="54" t="s">
        <v>339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69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340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341</v>
      </c>
      <c r="B203" s="54" t="s">
        <v>342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69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343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344</v>
      </c>
      <c r="B204" s="54" t="s">
        <v>345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69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346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347</v>
      </c>
      <c r="B205" s="54" t="s">
        <v>348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69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337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349</v>
      </c>
      <c r="B206" s="54" t="s">
        <v>350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69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340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351</v>
      </c>
      <c r="B207" s="54" t="s">
        <v>352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69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343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353</v>
      </c>
      <c r="B208" s="54" t="s">
        <v>354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69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346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customHeight="1" x14ac:dyDescent="0.25">
      <c r="A211" s="679" t="s">
        <v>64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355</v>
      </c>
      <c r="B212" s="54" t="s">
        <v>356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357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358</v>
      </c>
      <c r="B213" s="54" t="s">
        <v>359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360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361</v>
      </c>
      <c r="B214" s="54" t="s">
        <v>362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69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363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364</v>
      </c>
      <c r="B215" s="54" t="s">
        <v>365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69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357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366</v>
      </c>
      <c r="B216" s="54" t="s">
        <v>367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368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369</v>
      </c>
      <c r="B217" s="54" t="s">
        <v>370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69</v>
      </c>
      <c r="X217" s="663">
        <v>0</v>
      </c>
      <c r="Y217" s="664">
        <f t="shared" si="37"/>
        <v>0</v>
      </c>
      <c r="Z217" s="36" t="str">
        <f t="shared" si="42"/>
        <v/>
      </c>
      <c r="AA217" s="56"/>
      <c r="AB217" s="57"/>
      <c r="AC217" s="277" t="s">
        <v>363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371</v>
      </c>
      <c r="B218" s="54" t="s">
        <v>372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69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363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373</v>
      </c>
      <c r="B219" s="54" t="s">
        <v>374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69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375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376</v>
      </c>
      <c r="B220" s="54" t="s">
        <v>377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69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378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0</v>
      </c>
      <c r="Y221" s="665">
        <f>IFERROR(Y212/H212,"0")+IFERROR(Y213/H213,"0")+IFERROR(Y214/H214,"0")+IFERROR(Y215/H215,"0")+IFERROR(Y216/H216,"0")+IFERROR(Y217/H217,"0")+IFERROR(Y218/H218,"0")+IFERROR(Y219/H219,"0")+IFERROR(Y220/H220,"0")</f>
        <v>0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0</v>
      </c>
      <c r="Y222" s="665">
        <f>IFERROR(SUM(Y212:Y220),"0")</f>
        <v>0</v>
      </c>
      <c r="Z222" s="37"/>
      <c r="AA222" s="666"/>
      <c r="AB222" s="666"/>
      <c r="AC222" s="666"/>
    </row>
    <row r="223" spans="1:68" ht="14.25" customHeight="1" x14ac:dyDescent="0.25">
      <c r="A223" s="679" t="s">
        <v>175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379</v>
      </c>
      <c r="B224" s="54" t="s">
        <v>380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69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381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382</v>
      </c>
      <c r="B225" s="54" t="s">
        <v>383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69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384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customHeight="1" x14ac:dyDescent="0.25">
      <c r="A228" s="716" t="s">
        <v>385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98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386</v>
      </c>
      <c r="B230" s="54" t="s">
        <v>387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388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386</v>
      </c>
      <c r="B231" s="54" t="s">
        <v>389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101</v>
      </c>
      <c r="L231" s="32"/>
      <c r="M231" s="33" t="s">
        <v>390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69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391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392</v>
      </c>
      <c r="B232" s="54" t="s">
        <v>393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69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394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395</v>
      </c>
      <c r="B233" s="54" t="s">
        <v>396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395</v>
      </c>
      <c r="B234" s="54" t="s">
        <v>398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101</v>
      </c>
      <c r="L234" s="32"/>
      <c r="M234" s="33" t="s">
        <v>390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69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391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399</v>
      </c>
      <c r="B235" s="54" t="s">
        <v>400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69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388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401</v>
      </c>
      <c r="B236" s="54" t="s">
        <v>402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394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403</v>
      </c>
      <c r="B237" s="54" t="s">
        <v>404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69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397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138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405</v>
      </c>
      <c r="B241" s="54" t="s">
        <v>406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0" t="s">
        <v>407</v>
      </c>
      <c r="Q241" s="670"/>
      <c r="R241" s="670"/>
      <c r="S241" s="670"/>
      <c r="T241" s="671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408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405</v>
      </c>
      <c r="B242" s="54" t="s">
        <v>409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408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410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411</v>
      </c>
      <c r="B246" s="54" t="s">
        <v>412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14" t="s">
        <v>413</v>
      </c>
      <c r="Q246" s="670"/>
      <c r="R246" s="670"/>
      <c r="S246" s="670"/>
      <c r="T246" s="671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322</v>
      </c>
      <c r="AC246" s="309" t="s">
        <v>414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415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416</v>
      </c>
      <c r="B250" s="54" t="s">
        <v>417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75" t="s">
        <v>418</v>
      </c>
      <c r="Q250" s="670"/>
      <c r="R250" s="670"/>
      <c r="S250" s="670"/>
      <c r="T250" s="671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322</v>
      </c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420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98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421</v>
      </c>
      <c r="B255" s="54" t="s">
        <v>422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423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424</v>
      </c>
      <c r="B256" s="54" t="s">
        <v>425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426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424</v>
      </c>
      <c r="B257" s="54" t="s">
        <v>427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101</v>
      </c>
      <c r="L257" s="32"/>
      <c r="M257" s="33" t="s">
        <v>390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428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429</v>
      </c>
      <c r="B258" s="54" t="s">
        <v>430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431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432</v>
      </c>
      <c r="B259" s="54" t="s">
        <v>433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434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435</v>
      </c>
      <c r="B260" s="54" t="s">
        <v>436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437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438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98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439</v>
      </c>
      <c r="B265" s="54" t="s">
        <v>440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441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442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98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443</v>
      </c>
      <c r="B270" s="54" t="s">
        <v>444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445</v>
      </c>
      <c r="B271" s="54" t="s">
        <v>446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447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448</v>
      </c>
      <c r="B272" s="54" t="s">
        <v>449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450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451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64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452</v>
      </c>
      <c r="B277" s="54" t="s">
        <v>453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454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455</v>
      </c>
      <c r="B278" s="54" t="s">
        <v>456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457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458</v>
      </c>
      <c r="B279" s="54" t="s">
        <v>459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69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454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460</v>
      </c>
      <c r="B280" s="54" t="s">
        <v>461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69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462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463</v>
      </c>
      <c r="B281" s="54" t="s">
        <v>464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457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customHeight="1" x14ac:dyDescent="0.25">
      <c r="A284" s="716" t="s">
        <v>465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98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466</v>
      </c>
      <c r="B286" s="54" t="s">
        <v>467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468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149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469</v>
      </c>
      <c r="B290" s="54" t="s">
        <v>470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471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64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472</v>
      </c>
      <c r="B294" s="54" t="s">
        <v>473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474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475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64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476</v>
      </c>
      <c r="B299" s="54" t="s">
        <v>477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478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479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98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480</v>
      </c>
      <c r="B304" s="54" t="s">
        <v>481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441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149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482</v>
      </c>
      <c r="B308" s="54" t="s">
        <v>483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69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484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485</v>
      </c>
      <c r="B309" s="54" t="s">
        <v>486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484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487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98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488</v>
      </c>
      <c r="B314" s="54" t="s">
        <v>489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490</v>
      </c>
      <c r="AB314" s="57"/>
      <c r="AC314" s="357" t="s">
        <v>491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492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98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493</v>
      </c>
      <c r="B319" s="54" t="s">
        <v>494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495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496</v>
      </c>
      <c r="B320" s="54" t="s">
        <v>497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69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498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496</v>
      </c>
      <c r="B321" s="54" t="s">
        <v>499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101</v>
      </c>
      <c r="L321" s="32"/>
      <c r="M321" s="33" t="s">
        <v>390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500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501</v>
      </c>
      <c r="B322" s="54" t="s">
        <v>502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504</v>
      </c>
      <c r="B323" s="54" t="s">
        <v>505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507</v>
      </c>
      <c r="B324" s="54" t="s">
        <v>508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69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149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509</v>
      </c>
      <c r="B328" s="54" t="s">
        <v>510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69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512</v>
      </c>
      <c r="B329" s="54" t="s">
        <v>513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69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515</v>
      </c>
      <c r="B330" s="54" t="s">
        <v>516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518</v>
      </c>
      <c r="B331" s="54" t="s">
        <v>519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64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520</v>
      </c>
      <c r="B335" s="54" t="s">
        <v>521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69</v>
      </c>
      <c r="X335" s="663">
        <v>2200</v>
      </c>
      <c r="Y335" s="664">
        <f>IFERROR(IF(X335="",0,CEILING((X335/$H335),1)*$H335),"")</f>
        <v>2207.4</v>
      </c>
      <c r="Z335" s="36">
        <f>IFERROR(IF(Y335=0,"",ROUNDUP(Y335/H335,0)*0.01898),"")</f>
        <v>5.37134</v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2344.6923076923081</v>
      </c>
      <c r="BN335" s="64">
        <f>IFERROR(Y335*I335/H335,"0")</f>
        <v>2352.5790000000002</v>
      </c>
      <c r="BO335" s="64">
        <f>IFERROR(1/J335*(X335/H335),"0")</f>
        <v>4.4070512820512819</v>
      </c>
      <c r="BP335" s="64">
        <f>IFERROR(1/J335*(Y335/H335),"0")</f>
        <v>4.421875</v>
      </c>
    </row>
    <row r="336" spans="1:68" ht="27" customHeight="1" x14ac:dyDescent="0.25">
      <c r="A336" s="54" t="s">
        <v>523</v>
      </c>
      <c r="B336" s="54" t="s">
        <v>524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526</v>
      </c>
      <c r="B337" s="54" t="s">
        <v>527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529</v>
      </c>
      <c r="B338" s="54" t="s">
        <v>530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532</v>
      </c>
      <c r="B339" s="54" t="s">
        <v>533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282.05128205128204</v>
      </c>
      <c r="Y340" s="665">
        <f>IFERROR(Y335/H335,"0")+IFERROR(Y336/H336,"0")+IFERROR(Y337/H337,"0")+IFERROR(Y338/H338,"0")+IFERROR(Y339/H339,"0")</f>
        <v>283</v>
      </c>
      <c r="Z340" s="665">
        <f>IFERROR(IF(Z335="",0,Z335),"0")+IFERROR(IF(Z336="",0,Z336),"0")+IFERROR(IF(Z337="",0,Z337),"0")+IFERROR(IF(Z338="",0,Z338),"0")+IFERROR(IF(Z339="",0,Z339),"0")</f>
        <v>5.37134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2200</v>
      </c>
      <c r="Y341" s="665">
        <f>IFERROR(SUM(Y335:Y339),"0")</f>
        <v>2207.4</v>
      </c>
      <c r="Z341" s="37"/>
      <c r="AA341" s="666"/>
      <c r="AB341" s="666"/>
      <c r="AC341" s="666"/>
    </row>
    <row r="342" spans="1:68" ht="14.25" customHeight="1" x14ac:dyDescent="0.25">
      <c r="A342" s="679" t="s">
        <v>175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535</v>
      </c>
      <c r="B343" s="54" t="s">
        <v>536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69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538</v>
      </c>
      <c r="B344" s="54" t="s">
        <v>539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69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541</v>
      </c>
      <c r="B345" s="54" t="s">
        <v>542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69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0</v>
      </c>
      <c r="Y346" s="665">
        <f>IFERROR(Y343/H343,"0")+IFERROR(Y344/H344,"0")+IFERROR(Y345/H345,"0")</f>
        <v>0</v>
      </c>
      <c r="Z346" s="665">
        <f>IFERROR(IF(Z343="",0,Z343),"0")+IFERROR(IF(Z344="",0,Z344),"0")+IFERROR(IF(Z345="",0,Z345),"0")</f>
        <v>0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0</v>
      </c>
      <c r="Y347" s="665">
        <f>IFERROR(SUM(Y343:Y345),"0")</f>
        <v>0</v>
      </c>
      <c r="Z347" s="37"/>
      <c r="AA347" s="666"/>
      <c r="AB347" s="666"/>
      <c r="AC347" s="666"/>
    </row>
    <row r="348" spans="1:68" ht="14.25" customHeight="1" x14ac:dyDescent="0.25">
      <c r="A348" s="679" t="s">
        <v>90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544</v>
      </c>
      <c r="B349" s="54" t="s">
        <v>545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994" t="s">
        <v>546</v>
      </c>
      <c r="Q349" s="670"/>
      <c r="R349" s="670"/>
      <c r="S349" s="670"/>
      <c r="T349" s="671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548</v>
      </c>
      <c r="B350" s="54" t="s">
        <v>549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87" t="s">
        <v>550</v>
      </c>
      <c r="Q350" s="670"/>
      <c r="R350" s="670"/>
      <c r="S350" s="670"/>
      <c r="T350" s="671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552</v>
      </c>
      <c r="B351" s="54" t="s">
        <v>553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69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555</v>
      </c>
      <c r="B352" s="54" t="s">
        <v>556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69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557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558</v>
      </c>
      <c r="B356" s="54" t="s">
        <v>559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562</v>
      </c>
      <c r="B357" s="54" t="s">
        <v>563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564</v>
      </c>
      <c r="B358" s="54" t="s">
        <v>565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69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566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149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567</v>
      </c>
      <c r="B363" s="54" t="s">
        <v>568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69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64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570</v>
      </c>
      <c r="B367" s="54" t="s">
        <v>571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69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573</v>
      </c>
      <c r="B368" s="54" t="s">
        <v>574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69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576</v>
      </c>
      <c r="B369" s="54" t="s">
        <v>577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69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580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98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581</v>
      </c>
      <c r="B375" s="54" t="s">
        <v>582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69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583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customHeight="1" x14ac:dyDescent="0.25">
      <c r="A376" s="54" t="s">
        <v>581</v>
      </c>
      <c r="B376" s="54" t="s">
        <v>584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/>
      <c r="M376" s="33" t="s">
        <v>390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69</v>
      </c>
      <c r="X376" s="663">
        <v>720</v>
      </c>
      <c r="Y376" s="664">
        <f t="shared" si="58"/>
        <v>720</v>
      </c>
      <c r="Z376" s="36">
        <f>IFERROR(IF(Y376=0,"",ROUNDUP(Y376/H376,0)*0.02039),"")</f>
        <v>0.97871999999999992</v>
      </c>
      <c r="AA376" s="56"/>
      <c r="AB376" s="57"/>
      <c r="AC376" s="419" t="s">
        <v>585</v>
      </c>
      <c r="AG376" s="64"/>
      <c r="AJ376" s="68"/>
      <c r="AK376" s="68">
        <v>0</v>
      </c>
      <c r="BB376" s="420" t="s">
        <v>1</v>
      </c>
      <c r="BM376" s="64">
        <f t="shared" si="59"/>
        <v>743.04000000000008</v>
      </c>
      <c r="BN376" s="64">
        <f t="shared" si="60"/>
        <v>743.04000000000008</v>
      </c>
      <c r="BO376" s="64">
        <f t="shared" si="61"/>
        <v>1</v>
      </c>
      <c r="BP376" s="64">
        <f t="shared" si="62"/>
        <v>1</v>
      </c>
    </row>
    <row r="377" spans="1:68" ht="27" customHeight="1" x14ac:dyDescent="0.25">
      <c r="A377" s="54" t="s">
        <v>586</v>
      </c>
      <c r="B377" s="54" t="s">
        <v>587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69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588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586</v>
      </c>
      <c r="B378" s="54" t="s">
        <v>589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/>
      <c r="M378" s="33" t="s">
        <v>390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69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585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590</v>
      </c>
      <c r="B379" s="54" t="s">
        <v>591</v>
      </c>
      <c r="C379" s="31">
        <v>4301011832</v>
      </c>
      <c r="D379" s="667">
        <v>4607091383997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0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0"/>
      <c r="R379" s="670"/>
      <c r="S379" s="670"/>
      <c r="T379" s="671"/>
      <c r="U379" s="34"/>
      <c r="V379" s="34"/>
      <c r="W379" s="35" t="s">
        <v>69</v>
      </c>
      <c r="X379" s="663">
        <v>720</v>
      </c>
      <c r="Y379" s="664">
        <f t="shared" si="58"/>
        <v>720</v>
      </c>
      <c r="Z379" s="36">
        <f>IFERROR(IF(Y379=0,"",ROUNDUP(Y379/H379,0)*0.02175),"")</f>
        <v>1.044</v>
      </c>
      <c r="AA379" s="56"/>
      <c r="AB379" s="57"/>
      <c r="AC379" s="425" t="s">
        <v>592</v>
      </c>
      <c r="AG379" s="64"/>
      <c r="AJ379" s="68"/>
      <c r="AK379" s="68">
        <v>0</v>
      </c>
      <c r="BB379" s="426" t="s">
        <v>1</v>
      </c>
      <c r="BM379" s="64">
        <f t="shared" si="59"/>
        <v>743.04000000000008</v>
      </c>
      <c r="BN379" s="64">
        <f t="shared" si="60"/>
        <v>743.04000000000008</v>
      </c>
      <c r="BO379" s="64">
        <f t="shared" si="61"/>
        <v>1</v>
      </c>
      <c r="BP379" s="64">
        <f t="shared" si="62"/>
        <v>1</v>
      </c>
    </row>
    <row r="380" spans="1:68" ht="37.5" customHeight="1" x14ac:dyDescent="0.25">
      <c r="A380" s="54" t="s">
        <v>593</v>
      </c>
      <c r="B380" s="54" t="s">
        <v>594</v>
      </c>
      <c r="C380" s="31">
        <v>4301011867</v>
      </c>
      <c r="D380" s="667">
        <v>4680115884830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7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0"/>
      <c r="R380" s="670"/>
      <c r="S380" s="670"/>
      <c r="T380" s="671"/>
      <c r="U380" s="34"/>
      <c r="V380" s="34"/>
      <c r="W380" s="35" t="s">
        <v>69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595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593</v>
      </c>
      <c r="B381" s="54" t="s">
        <v>596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/>
      <c r="M381" s="33" t="s">
        <v>390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69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585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597</v>
      </c>
      <c r="B382" s="54" t="s">
        <v>598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600</v>
      </c>
      <c r="B383" s="54" t="s">
        <v>601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588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602</v>
      </c>
      <c r="B384" s="54" t="s">
        <v>603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69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595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96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96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2.0227200000000001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1440</v>
      </c>
      <c r="Y386" s="665">
        <f>IFERROR(SUM(Y375:Y384),"0")</f>
        <v>1440</v>
      </c>
      <c r="Z386" s="37"/>
      <c r="AA386" s="666"/>
      <c r="AB386" s="666"/>
      <c r="AC386" s="666"/>
    </row>
    <row r="387" spans="1:68" ht="14.25" customHeight="1" x14ac:dyDescent="0.25">
      <c r="A387" s="679" t="s">
        <v>138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69</v>
      </c>
      <c r="X388" s="663">
        <v>3120</v>
      </c>
      <c r="Y388" s="664">
        <f>IFERROR(IF(X388="",0,CEILING((X388/$H388),1)*$H388),"")</f>
        <v>3120</v>
      </c>
      <c r="Z388" s="36">
        <f>IFERROR(IF(Y388=0,"",ROUNDUP(Y388/H388,0)*0.02175),"")</f>
        <v>4.524</v>
      </c>
      <c r="AA388" s="56"/>
      <c r="AB388" s="57"/>
      <c r="AC388" s="437" t="s">
        <v>606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3219.8399999999997</v>
      </c>
      <c r="BN388" s="64">
        <f>IFERROR(Y388*I388/H388,"0")</f>
        <v>3219.8399999999997</v>
      </c>
      <c r="BO388" s="64">
        <f>IFERROR(1/J388*(X388/H388),"0")</f>
        <v>4.333333333333333</v>
      </c>
      <c r="BP388" s="64">
        <f>IFERROR(1/J388*(Y388/H388),"0")</f>
        <v>4.333333333333333</v>
      </c>
    </row>
    <row r="389" spans="1:68" ht="27" customHeight="1" x14ac:dyDescent="0.25">
      <c r="A389" s="54" t="s">
        <v>607</v>
      </c>
      <c r="B389" s="54" t="s">
        <v>608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69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208</v>
      </c>
      <c r="Y390" s="665">
        <f>IFERROR(Y388/H388,"0")+IFERROR(Y389/H389,"0")</f>
        <v>208</v>
      </c>
      <c r="Z390" s="665">
        <f>IFERROR(IF(Z388="",0,Z388),"0")+IFERROR(IF(Z389="",0,Z389),"0")</f>
        <v>4.524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3120</v>
      </c>
      <c r="Y391" s="665">
        <f>IFERROR(SUM(Y388:Y389),"0")</f>
        <v>3120</v>
      </c>
      <c r="Z391" s="37"/>
      <c r="AA391" s="666"/>
      <c r="AB391" s="666"/>
      <c r="AC391" s="666"/>
    </row>
    <row r="392" spans="1:68" ht="14.25" customHeight="1" x14ac:dyDescent="0.25">
      <c r="A392" s="679" t="s">
        <v>64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609</v>
      </c>
      <c r="B393" s="54" t="s">
        <v>610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611</v>
      </c>
      <c r="Q393" s="670"/>
      <c r="R393" s="670"/>
      <c r="S393" s="670"/>
      <c r="T393" s="671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613</v>
      </c>
      <c r="B394" s="54" t="s">
        <v>614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2" t="s">
        <v>615</v>
      </c>
      <c r="Q394" s="670"/>
      <c r="R394" s="670"/>
      <c r="S394" s="670"/>
      <c r="T394" s="671"/>
      <c r="U394" s="34"/>
      <c r="V394" s="34"/>
      <c r="W394" s="35" t="s">
        <v>69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175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617</v>
      </c>
      <c r="B398" s="54" t="s">
        <v>618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49" t="s">
        <v>619</v>
      </c>
      <c r="Q398" s="670"/>
      <c r="R398" s="670"/>
      <c r="S398" s="670"/>
      <c r="T398" s="671"/>
      <c r="U398" s="34"/>
      <c r="V398" s="34"/>
      <c r="W398" s="35" t="s">
        <v>69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customHeight="1" x14ac:dyDescent="0.25">
      <c r="A401" s="716" t="s">
        <v>621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98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622</v>
      </c>
      <c r="B403" s="54" t="s">
        <v>623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622</v>
      </c>
      <c r="B404" s="54" t="s">
        <v>625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627</v>
      </c>
      <c r="B405" s="54" t="s">
        <v>628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630</v>
      </c>
      <c r="B406" s="54" t="s">
        <v>631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69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632</v>
      </c>
      <c r="B407" s="54" t="s">
        <v>633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149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634</v>
      </c>
      <c r="B411" s="54" t="s">
        <v>635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637</v>
      </c>
      <c r="B412" s="54" t="s">
        <v>638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64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639</v>
      </c>
      <c r="B416" s="54" t="s">
        <v>640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69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642</v>
      </c>
      <c r="B417" s="54" t="s">
        <v>643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85" t="s">
        <v>644</v>
      </c>
      <c r="Q417" s="670"/>
      <c r="R417" s="670"/>
      <c r="S417" s="670"/>
      <c r="T417" s="671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646</v>
      </c>
      <c r="B418" s="54" t="s">
        <v>647</v>
      </c>
      <c r="C418" s="31">
        <v>4301051297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0"/>
      <c r="R418" s="670"/>
      <c r="S418" s="670"/>
      <c r="T418" s="671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646</v>
      </c>
      <c r="B419" s="54" t="s">
        <v>649</v>
      </c>
      <c r="C419" s="31">
        <v>4301051660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0"/>
      <c r="R419" s="670"/>
      <c r="S419" s="670"/>
      <c r="T419" s="671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650</v>
      </c>
      <c r="B420" s="54" t="s">
        <v>651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customHeight="1" x14ac:dyDescent="0.25">
      <c r="A423" s="679" t="s">
        <v>175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653</v>
      </c>
      <c r="B424" s="54" t="s">
        <v>654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6" t="s">
        <v>655</v>
      </c>
      <c r="Q424" s="670"/>
      <c r="R424" s="670"/>
      <c r="S424" s="670"/>
      <c r="T424" s="671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658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149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659</v>
      </c>
      <c r="B430" s="54" t="s">
        <v>660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3" t="s">
        <v>661</v>
      </c>
      <c r="Q430" s="670"/>
      <c r="R430" s="670"/>
      <c r="S430" s="670"/>
      <c r="T430" s="671"/>
      <c r="U430" s="34"/>
      <c r="V430" s="34"/>
      <c r="W430" s="35" t="s">
        <v>69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18" t="s">
        <v>665</v>
      </c>
      <c r="Q431" s="670"/>
      <c r="R431" s="670"/>
      <c r="S431" s="670"/>
      <c r="T431" s="671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663</v>
      </c>
      <c r="B432" s="54" t="s">
        <v>667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699" t="s">
        <v>665</v>
      </c>
      <c r="Q432" s="670"/>
      <c r="R432" s="670"/>
      <c r="S432" s="670"/>
      <c r="T432" s="671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16" t="s">
        <v>670</v>
      </c>
      <c r="Q433" s="670"/>
      <c r="R433" s="670"/>
      <c r="S433" s="670"/>
      <c r="T433" s="671"/>
      <c r="U433" s="34"/>
      <c r="V433" s="34"/>
      <c r="W433" s="35" t="s">
        <v>69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672</v>
      </c>
      <c r="B434" s="54" t="s">
        <v>673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672</v>
      </c>
      <c r="B435" s="54" t="s">
        <v>674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1" t="s">
        <v>675</v>
      </c>
      <c r="Q435" s="670"/>
      <c r="R435" s="670"/>
      <c r="S435" s="670"/>
      <c r="T435" s="671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676</v>
      </c>
      <c r="B436" s="54" t="s">
        <v>677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69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678</v>
      </c>
      <c r="B437" s="54" t="s">
        <v>679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69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681</v>
      </c>
      <c r="B438" s="54" t="s">
        <v>682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681</v>
      </c>
      <c r="B439" s="54" t="s">
        <v>684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15" t="s">
        <v>685</v>
      </c>
      <c r="Q439" s="670"/>
      <c r="R439" s="670"/>
      <c r="S439" s="670"/>
      <c r="T439" s="671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686</v>
      </c>
      <c r="B440" s="54" t="s">
        <v>687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69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689</v>
      </c>
      <c r="B441" s="54" t="s">
        <v>690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9" t="s">
        <v>64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691</v>
      </c>
      <c r="B445" s="54" t="s">
        <v>692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694</v>
      </c>
      <c r="B446" s="54" t="s">
        <v>695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697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138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698</v>
      </c>
      <c r="B451" s="54" t="s">
        <v>699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701</v>
      </c>
      <c r="B452" s="54" t="s">
        <v>702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149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704</v>
      </c>
      <c r="B456" s="54" t="s">
        <v>705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0" t="s">
        <v>706</v>
      </c>
      <c r="Q456" s="670"/>
      <c r="R456" s="670"/>
      <c r="S456" s="670"/>
      <c r="T456" s="671"/>
      <c r="U456" s="34"/>
      <c r="V456" s="34"/>
      <c r="W456" s="35" t="s">
        <v>69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708</v>
      </c>
      <c r="B457" s="54" t="s">
        <v>709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711</v>
      </c>
      <c r="B458" s="54" t="s">
        <v>712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28" t="s">
        <v>713</v>
      </c>
      <c r="Q458" s="670"/>
      <c r="R458" s="670"/>
      <c r="S458" s="670"/>
      <c r="T458" s="671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715</v>
      </c>
      <c r="B459" s="54" t="s">
        <v>716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69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717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149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718</v>
      </c>
      <c r="B464" s="54" t="s">
        <v>719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69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0" t="s">
        <v>723</v>
      </c>
      <c r="Q465" s="670"/>
      <c r="R465" s="670"/>
      <c r="S465" s="670"/>
      <c r="T465" s="671"/>
      <c r="U465" s="34"/>
      <c r="V465" s="34"/>
      <c r="W465" s="35" t="s">
        <v>69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725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149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726</v>
      </c>
      <c r="B470" s="54" t="s">
        <v>727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175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729</v>
      </c>
      <c r="B474" s="54" t="s">
        <v>730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732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98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733</v>
      </c>
      <c r="B480" s="54" t="s">
        <v>734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69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736</v>
      </c>
      <c r="B481" s="54" t="s">
        <v>737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739</v>
      </c>
      <c r="B482" s="54" t="s">
        <v>740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69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69</v>
      </c>
      <c r="X483" s="663">
        <v>0</v>
      </c>
      <c r="Y483" s="664">
        <f t="shared" si="69"/>
        <v>0</v>
      </c>
      <c r="Z483" s="36" t="str">
        <f>IFERROR(IF(Y483=0,"",ROUNDUP(Y483/H483,0)*0.01196),"")</f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16.5" customHeight="1" x14ac:dyDescent="0.25">
      <c r="A484" s="54" t="s">
        <v>745</v>
      </c>
      <c r="B484" s="54" t="s">
        <v>746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748</v>
      </c>
      <c r="B485" s="54" t="s">
        <v>749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17" t="s">
        <v>750</v>
      </c>
      <c r="Q485" s="670"/>
      <c r="R485" s="670"/>
      <c r="S485" s="670"/>
      <c r="T485" s="671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751</v>
      </c>
      <c r="B487" s="54" t="s">
        <v>753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69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754</v>
      </c>
      <c r="B488" s="54" t="s">
        <v>755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756</v>
      </c>
      <c r="B489" s="54" t="s">
        <v>757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60" t="s">
        <v>758</v>
      </c>
      <c r="Q489" s="670"/>
      <c r="R489" s="670"/>
      <c r="S489" s="670"/>
      <c r="T489" s="671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1" t="s">
        <v>761</v>
      </c>
      <c r="Q490" s="670"/>
      <c r="R490" s="670"/>
      <c r="S490" s="670"/>
      <c r="T490" s="671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763</v>
      </c>
      <c r="B491" s="54" t="s">
        <v>764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66" t="s">
        <v>765</v>
      </c>
      <c r="Q491" s="670"/>
      <c r="R491" s="670"/>
      <c r="S491" s="670"/>
      <c r="T491" s="671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766</v>
      </c>
      <c r="B492" s="54" t="s">
        <v>767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106</v>
      </c>
      <c r="L492" s="32"/>
      <c r="M492" s="33" t="s">
        <v>102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768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106</v>
      </c>
      <c r="L493" s="32"/>
      <c r="M493" s="33" t="s">
        <v>102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69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769</v>
      </c>
      <c r="B494" s="54" t="s">
        <v>770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0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0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0</v>
      </c>
      <c r="Y496" s="665">
        <f>IFERROR(SUM(Y480:Y494),"0")</f>
        <v>0</v>
      </c>
      <c r="Z496" s="37"/>
      <c r="AA496" s="666"/>
      <c r="AB496" s="666"/>
      <c r="AC496" s="666"/>
    </row>
    <row r="497" spans="1:68" ht="14.25" customHeight="1" x14ac:dyDescent="0.25">
      <c r="A497" s="679" t="s">
        <v>138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771</v>
      </c>
      <c r="B498" s="54" t="s">
        <v>772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102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69</v>
      </c>
      <c r="X498" s="663">
        <v>550</v>
      </c>
      <c r="Y498" s="664">
        <f>IFERROR(IF(X498="",0,CEILING((X498/$H498),1)*$H498),"")</f>
        <v>554.4</v>
      </c>
      <c r="Z498" s="36">
        <f>IFERROR(IF(Y498=0,"",ROUNDUP(Y498/H498,0)*0.01196),"")</f>
        <v>1.2558</v>
      </c>
      <c r="AA498" s="56"/>
      <c r="AB498" s="57"/>
      <c r="AC498" s="551" t="s">
        <v>773</v>
      </c>
      <c r="AG498" s="64"/>
      <c r="AJ498" s="68"/>
      <c r="AK498" s="68">
        <v>0</v>
      </c>
      <c r="BB498" s="552" t="s">
        <v>1</v>
      </c>
      <c r="BM498" s="64">
        <f>IFERROR(X498*I498/H498,"0")</f>
        <v>587.5</v>
      </c>
      <c r="BN498" s="64">
        <f>IFERROR(Y498*I498/H498,"0")</f>
        <v>592.19999999999993</v>
      </c>
      <c r="BO498" s="64">
        <f>IFERROR(1/J498*(X498/H498),"0")</f>
        <v>1.0016025641025641</v>
      </c>
      <c r="BP498" s="64">
        <f>IFERROR(1/J498*(Y498/H498),"0")</f>
        <v>1.0096153846153846</v>
      </c>
    </row>
    <row r="499" spans="1:68" ht="16.5" customHeight="1" x14ac:dyDescent="0.25">
      <c r="A499" s="54" t="s">
        <v>771</v>
      </c>
      <c r="B499" s="54" t="s">
        <v>774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108</v>
      </c>
      <c r="N499" s="33"/>
      <c r="O499" s="32">
        <v>70</v>
      </c>
      <c r="P499" s="1025" t="s">
        <v>775</v>
      </c>
      <c r="Q499" s="670"/>
      <c r="R499" s="670"/>
      <c r="S499" s="670"/>
      <c r="T499" s="671"/>
      <c r="U499" s="34"/>
      <c r="V499" s="34"/>
      <c r="W499" s="35" t="s">
        <v>69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777</v>
      </c>
      <c r="B500" s="54" t="s">
        <v>778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2" t="s">
        <v>779</v>
      </c>
      <c r="Q500" s="670"/>
      <c r="R500" s="670"/>
      <c r="S500" s="670"/>
      <c r="T500" s="671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776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780</v>
      </c>
      <c r="B501" s="54" t="s">
        <v>781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43" t="s">
        <v>782</v>
      </c>
      <c r="Q501" s="670"/>
      <c r="R501" s="670"/>
      <c r="S501" s="670"/>
      <c r="T501" s="671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776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104.16666666666666</v>
      </c>
      <c r="Y502" s="665">
        <f>IFERROR(Y498/H498,"0")+IFERROR(Y499/H499,"0")+IFERROR(Y500/H500,"0")+IFERROR(Y501/H501,"0")</f>
        <v>104.99999999999999</v>
      </c>
      <c r="Z502" s="665">
        <f>IFERROR(IF(Z498="",0,Z498),"0")+IFERROR(IF(Z499="",0,Z499),"0")+IFERROR(IF(Z500="",0,Z500),"0")+IFERROR(IF(Z501="",0,Z501),"0")</f>
        <v>1.2558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550</v>
      </c>
      <c r="Y503" s="665">
        <f>IFERROR(SUM(Y498:Y501),"0")</f>
        <v>554.4</v>
      </c>
      <c r="Z503" s="37"/>
      <c r="AA503" s="666"/>
      <c r="AB503" s="666"/>
      <c r="AC503" s="666"/>
    </row>
    <row r="504" spans="1:68" ht="14.25" customHeight="1" x14ac:dyDescent="0.25">
      <c r="A504" s="679" t="s">
        <v>149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783</v>
      </c>
      <c r="B505" s="54" t="s">
        <v>784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3" t="s">
        <v>785</v>
      </c>
      <c r="Q505" s="670"/>
      <c r="R505" s="670"/>
      <c r="S505" s="670"/>
      <c r="T505" s="671"/>
      <c r="U505" s="34"/>
      <c r="V505" s="34"/>
      <c r="W505" s="35" t="s">
        <v>69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customHeight="1" x14ac:dyDescent="0.25">
      <c r="A506" s="54" t="s">
        <v>787</v>
      </c>
      <c r="B506" s="54" t="s">
        <v>788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896" t="s">
        <v>789</v>
      </c>
      <c r="Q506" s="670"/>
      <c r="R506" s="670"/>
      <c r="S506" s="670"/>
      <c r="T506" s="671"/>
      <c r="U506" s="34"/>
      <c r="V506" s="34"/>
      <c r="W506" s="35" t="s">
        <v>69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791</v>
      </c>
      <c r="B507" s="54" t="s">
        <v>792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4" t="s">
        <v>793</v>
      </c>
      <c r="Q507" s="670"/>
      <c r="R507" s="670"/>
      <c r="S507" s="670"/>
      <c r="T507" s="671"/>
      <c r="U507" s="34"/>
      <c r="V507" s="34"/>
      <c r="W507" s="35" t="s">
        <v>69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customHeight="1" x14ac:dyDescent="0.25">
      <c r="A508" s="54" t="s">
        <v>795</v>
      </c>
      <c r="B508" s="54" t="s">
        <v>796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0" t="s">
        <v>797</v>
      </c>
      <c r="Q508" s="670"/>
      <c r="R508" s="670"/>
      <c r="S508" s="670"/>
      <c r="T508" s="671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798</v>
      </c>
      <c r="B509" s="54" t="s">
        <v>799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03" t="s">
        <v>800</v>
      </c>
      <c r="Q509" s="670"/>
      <c r="R509" s="670"/>
      <c r="S509" s="670"/>
      <c r="T509" s="671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798</v>
      </c>
      <c r="B510" s="54" t="s">
        <v>801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1029" t="s">
        <v>802</v>
      </c>
      <c r="Q510" s="670"/>
      <c r="R510" s="670"/>
      <c r="S510" s="670"/>
      <c r="T510" s="671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786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798</v>
      </c>
      <c r="B511" s="54" t="s">
        <v>803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69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805</v>
      </c>
      <c r="B512" s="54" t="s">
        <v>806</v>
      </c>
      <c r="C512" s="31">
        <v>4301031251</v>
      </c>
      <c r="D512" s="667">
        <v>4680115882102</v>
      </c>
      <c r="E512" s="668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70"/>
      <c r="R512" s="670"/>
      <c r="S512" s="670"/>
      <c r="T512" s="671"/>
      <c r="U512" s="34"/>
      <c r="V512" s="34"/>
      <c r="W512" s="35" t="s">
        <v>69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805</v>
      </c>
      <c r="B513" s="54" t="s">
        <v>808</v>
      </c>
      <c r="C513" s="31">
        <v>4301031418</v>
      </c>
      <c r="D513" s="667">
        <v>4680115882102</v>
      </c>
      <c r="E513" s="668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1" t="s">
        <v>809</v>
      </c>
      <c r="Q513" s="670"/>
      <c r="R513" s="670"/>
      <c r="S513" s="670"/>
      <c r="T513" s="671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810</v>
      </c>
      <c r="B514" s="54" t="s">
        <v>811</v>
      </c>
      <c r="C514" s="31">
        <v>4301031253</v>
      </c>
      <c r="D514" s="667">
        <v>4680115882096</v>
      </c>
      <c r="E514" s="668"/>
      <c r="F514" s="662">
        <v>0.6</v>
      </c>
      <c r="G514" s="32">
        <v>6</v>
      </c>
      <c r="H514" s="662">
        <v>3.6</v>
      </c>
      <c r="I514" s="662">
        <v>3.81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60</v>
      </c>
      <c r="P514" s="859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4" s="670"/>
      <c r="R514" s="670"/>
      <c r="S514" s="670"/>
      <c r="T514" s="671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812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810</v>
      </c>
      <c r="B515" s="54" t="s">
        <v>813</v>
      </c>
      <c r="C515" s="31">
        <v>4301031417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70</v>
      </c>
      <c r="P515" s="1012" t="s">
        <v>814</v>
      </c>
      <c r="Q515" s="670"/>
      <c r="R515" s="670"/>
      <c r="S515" s="670"/>
      <c r="T515" s="671"/>
      <c r="U515" s="34"/>
      <c r="V515" s="34"/>
      <c r="W515" s="35" t="s">
        <v>69</v>
      </c>
      <c r="X515" s="663">
        <v>0</v>
      </c>
      <c r="Y515" s="664">
        <f t="shared" si="74"/>
        <v>0</v>
      </c>
      <c r="Z515" s="36" t="str">
        <f>IFERROR(IF(Y515=0,"",ROUNDUP(Y515/H515,0)*0.00902),"")</f>
        <v/>
      </c>
      <c r="AA515" s="56"/>
      <c r="AB515" s="57"/>
      <c r="AC515" s="579" t="s">
        <v>794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810</v>
      </c>
      <c r="B516" s="54" t="s">
        <v>815</v>
      </c>
      <c r="C516" s="31">
        <v>4301031384</v>
      </c>
      <c r="D516" s="667">
        <v>4680115882096</v>
      </c>
      <c r="E516" s="668"/>
      <c r="F516" s="662">
        <v>0.6</v>
      </c>
      <c r="G516" s="32">
        <v>8</v>
      </c>
      <c r="H516" s="662">
        <v>4.8</v>
      </c>
      <c r="I516" s="662">
        <v>6.69</v>
      </c>
      <c r="J516" s="32">
        <v>120</v>
      </c>
      <c r="K516" s="32" t="s">
        <v>106</v>
      </c>
      <c r="L516" s="32"/>
      <c r="M516" s="33" t="s">
        <v>68</v>
      </c>
      <c r="N516" s="33"/>
      <c r="O516" s="32">
        <v>60</v>
      </c>
      <c r="P516" s="86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0"/>
      <c r="R516" s="670"/>
      <c r="S516" s="670"/>
      <c r="T516" s="671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IFERROR(IF(Y516=0,"",ROUNDUP(Y516/H516,0)*0.00937),"")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0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0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0</v>
      </c>
      <c r="Y518" s="665">
        <f>IFERROR(SUM(Y505:Y516),"0")</f>
        <v>0</v>
      </c>
      <c r="Z518" s="37"/>
      <c r="AA518" s="666"/>
      <c r="AB518" s="666"/>
      <c r="AC518" s="666"/>
    </row>
    <row r="519" spans="1:68" ht="14.25" customHeight="1" x14ac:dyDescent="0.25">
      <c r="A519" s="679" t="s">
        <v>64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816</v>
      </c>
      <c r="B520" s="54" t="s">
        <v>817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819</v>
      </c>
      <c r="B521" s="54" t="s">
        <v>820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822</v>
      </c>
      <c r="B522" s="54" t="s">
        <v>823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175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825</v>
      </c>
      <c r="B526" s="54" t="s">
        <v>826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828</v>
      </c>
      <c r="B527" s="54" t="s">
        <v>829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42" t="s">
        <v>830</v>
      </c>
      <c r="Q527" s="670"/>
      <c r="R527" s="670"/>
      <c r="S527" s="670"/>
      <c r="T527" s="671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831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98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832</v>
      </c>
      <c r="B533" s="54" t="s">
        <v>833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897" t="s">
        <v>834</v>
      </c>
      <c r="Q533" s="670"/>
      <c r="R533" s="670"/>
      <c r="S533" s="670"/>
      <c r="T533" s="671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836</v>
      </c>
      <c r="B534" s="54" t="s">
        <v>837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5" t="s">
        <v>838</v>
      </c>
      <c r="Q534" s="670"/>
      <c r="R534" s="670"/>
      <c r="S534" s="670"/>
      <c r="T534" s="671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840</v>
      </c>
      <c r="B535" s="54" t="s">
        <v>841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3" t="s">
        <v>842</v>
      </c>
      <c r="Q535" s="670"/>
      <c r="R535" s="670"/>
      <c r="S535" s="670"/>
      <c r="T535" s="671"/>
      <c r="U535" s="34"/>
      <c r="V535" s="34"/>
      <c r="W535" s="35" t="s">
        <v>69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844</v>
      </c>
      <c r="B536" s="54" t="s">
        <v>845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1049" t="s">
        <v>846</v>
      </c>
      <c r="Q536" s="670"/>
      <c r="R536" s="670"/>
      <c r="S536" s="670"/>
      <c r="T536" s="671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848</v>
      </c>
      <c r="B537" s="54" t="s">
        <v>849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59" t="s">
        <v>850</v>
      </c>
      <c r="Q537" s="670"/>
      <c r="R537" s="670"/>
      <c r="S537" s="670"/>
      <c r="T537" s="671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851</v>
      </c>
      <c r="B538" s="54" t="s">
        <v>852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87" t="s">
        <v>853</v>
      </c>
      <c r="Q538" s="670"/>
      <c r="R538" s="670"/>
      <c r="S538" s="670"/>
      <c r="T538" s="671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138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854</v>
      </c>
      <c r="B542" s="54" t="s">
        <v>855</v>
      </c>
      <c r="C542" s="31">
        <v>4301020269</v>
      </c>
      <c r="D542" s="667">
        <v>4640242180519</v>
      </c>
      <c r="E542" s="668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6" t="s">
        <v>856</v>
      </c>
      <c r="Q542" s="670"/>
      <c r="R542" s="670"/>
      <c r="S542" s="670"/>
      <c r="T542" s="671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854</v>
      </c>
      <c r="B543" s="54" t="s">
        <v>858</v>
      </c>
      <c r="C543" s="31">
        <v>4301020400</v>
      </c>
      <c r="D543" s="667">
        <v>4640242180519</v>
      </c>
      <c r="E543" s="668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64" t="s">
        <v>859</v>
      </c>
      <c r="Q543" s="670"/>
      <c r="R543" s="670"/>
      <c r="S543" s="670"/>
      <c r="T543" s="671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861</v>
      </c>
      <c r="B544" s="54" t="s">
        <v>862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0" t="s">
        <v>863</v>
      </c>
      <c r="Q544" s="670"/>
      <c r="R544" s="670"/>
      <c r="S544" s="670"/>
      <c r="T544" s="671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864</v>
      </c>
      <c r="B545" s="54" t="s">
        <v>865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2" t="s">
        <v>866</v>
      </c>
      <c r="Q545" s="670"/>
      <c r="R545" s="670"/>
      <c r="S545" s="670"/>
      <c r="T545" s="671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868</v>
      </c>
      <c r="B546" s="54" t="s">
        <v>869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786" t="s">
        <v>870</v>
      </c>
      <c r="Q546" s="670"/>
      <c r="R546" s="670"/>
      <c r="S546" s="670"/>
      <c r="T546" s="671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149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871</v>
      </c>
      <c r="B550" s="54" t="s">
        <v>872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4" t="s">
        <v>873</v>
      </c>
      <c r="Q550" s="670"/>
      <c r="R550" s="670"/>
      <c r="S550" s="670"/>
      <c r="T550" s="671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875</v>
      </c>
      <c r="B551" s="54" t="s">
        <v>876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55" t="s">
        <v>877</v>
      </c>
      <c r="Q551" s="670"/>
      <c r="R551" s="670"/>
      <c r="S551" s="670"/>
      <c r="T551" s="671"/>
      <c r="U551" s="34"/>
      <c r="V551" s="34"/>
      <c r="W551" s="35" t="s">
        <v>69</v>
      </c>
      <c r="X551" s="663">
        <v>600</v>
      </c>
      <c r="Y551" s="664">
        <f t="shared" si="84"/>
        <v>600.6</v>
      </c>
      <c r="Z551" s="36">
        <f>IFERROR(IF(Y551=0,"",ROUNDUP(Y551/H551,0)*0.00902),"")</f>
        <v>1.28986</v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638.57142857142856</v>
      </c>
      <c r="BN551" s="64">
        <f t="shared" si="86"/>
        <v>639.20999999999992</v>
      </c>
      <c r="BO551" s="64">
        <f t="shared" si="87"/>
        <v>1.0822510822510822</v>
      </c>
      <c r="BP551" s="64">
        <f t="shared" si="88"/>
        <v>1.0833333333333333</v>
      </c>
    </row>
    <row r="552" spans="1:68" ht="27" customHeight="1" x14ac:dyDescent="0.25">
      <c r="A552" s="54" t="s">
        <v>879</v>
      </c>
      <c r="B552" s="54" t="s">
        <v>880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711" t="s">
        <v>881</v>
      </c>
      <c r="Q552" s="670"/>
      <c r="R552" s="670"/>
      <c r="S552" s="670"/>
      <c r="T552" s="671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883</v>
      </c>
      <c r="B553" s="54" t="s">
        <v>884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70"/>
      <c r="R553" s="670"/>
      <c r="S553" s="670"/>
      <c r="T553" s="671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887</v>
      </c>
      <c r="B554" s="54" t="s">
        <v>888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0" t="s">
        <v>889</v>
      </c>
      <c r="Q554" s="670"/>
      <c r="R554" s="670"/>
      <c r="S554" s="670"/>
      <c r="T554" s="671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891</v>
      </c>
      <c r="B555" s="54" t="s">
        <v>892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152</v>
      </c>
      <c r="L555" s="32"/>
      <c r="M555" s="33" t="s">
        <v>68</v>
      </c>
      <c r="N555" s="33"/>
      <c r="O555" s="32">
        <v>40</v>
      </c>
      <c r="P555" s="960" t="s">
        <v>893</v>
      </c>
      <c r="Q555" s="670"/>
      <c r="R555" s="670"/>
      <c r="S555" s="670"/>
      <c r="T555" s="671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894</v>
      </c>
      <c r="B556" s="54" t="s">
        <v>895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84" t="s">
        <v>896</v>
      </c>
      <c r="Q556" s="670"/>
      <c r="R556" s="670"/>
      <c r="S556" s="670"/>
      <c r="T556" s="671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142.85714285714286</v>
      </c>
      <c r="Y557" s="665">
        <f>IFERROR(Y550/H550,"0")+IFERROR(Y551/H551,"0")+IFERROR(Y552/H552,"0")+IFERROR(Y553/H553,"0")+IFERROR(Y554/H554,"0")+IFERROR(Y555/H555,"0")+IFERROR(Y556/H556,"0")</f>
        <v>143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1.28986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600</v>
      </c>
      <c r="Y558" s="665">
        <f>IFERROR(SUM(Y550:Y556),"0")</f>
        <v>600.6</v>
      </c>
      <c r="Z558" s="37"/>
      <c r="AA558" s="666"/>
      <c r="AB558" s="666"/>
      <c r="AC558" s="666"/>
    </row>
    <row r="559" spans="1:68" ht="14.25" customHeight="1" x14ac:dyDescent="0.25">
      <c r="A559" s="679" t="s">
        <v>64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897</v>
      </c>
      <c r="B560" s="54" t="s">
        <v>898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101</v>
      </c>
      <c r="L560" s="32"/>
      <c r="M560" s="33" t="s">
        <v>134</v>
      </c>
      <c r="N560" s="33"/>
      <c r="O560" s="32">
        <v>45</v>
      </c>
      <c r="P560" s="967" t="s">
        <v>899</v>
      </c>
      <c r="Q560" s="670"/>
      <c r="R560" s="670"/>
      <c r="S560" s="670"/>
      <c r="T560" s="671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897</v>
      </c>
      <c r="B561" s="54" t="s">
        <v>901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11" t="s">
        <v>899</v>
      </c>
      <c r="Q561" s="670"/>
      <c r="R561" s="670"/>
      <c r="S561" s="670"/>
      <c r="T561" s="671"/>
      <c r="U561" s="34"/>
      <c r="V561" s="34"/>
      <c r="W561" s="35" t="s">
        <v>69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902</v>
      </c>
      <c r="B562" s="54" t="s">
        <v>903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88" t="s">
        <v>904</v>
      </c>
      <c r="Q562" s="670"/>
      <c r="R562" s="670"/>
      <c r="S562" s="670"/>
      <c r="T562" s="671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906</v>
      </c>
      <c r="B563" s="54" t="s">
        <v>907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134</v>
      </c>
      <c r="N563" s="33"/>
      <c r="O563" s="32">
        <v>45</v>
      </c>
      <c r="P563" s="729" t="s">
        <v>908</v>
      </c>
      <c r="Q563" s="670"/>
      <c r="R563" s="670"/>
      <c r="S563" s="670"/>
      <c r="T563" s="671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909</v>
      </c>
      <c r="B564" s="54" t="s">
        <v>910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901" t="s">
        <v>911</v>
      </c>
      <c r="Q564" s="670"/>
      <c r="R564" s="670"/>
      <c r="S564" s="670"/>
      <c r="T564" s="671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175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912</v>
      </c>
      <c r="B568" s="54" t="s">
        <v>913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101</v>
      </c>
      <c r="L568" s="32"/>
      <c r="M568" s="33" t="s">
        <v>134</v>
      </c>
      <c r="N568" s="33"/>
      <c r="O568" s="32">
        <v>40</v>
      </c>
      <c r="P568" s="1020" t="s">
        <v>914</v>
      </c>
      <c r="Q568" s="670"/>
      <c r="R568" s="670"/>
      <c r="S568" s="670"/>
      <c r="T568" s="671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912</v>
      </c>
      <c r="B569" s="54" t="s">
        <v>916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101</v>
      </c>
      <c r="L569" s="32"/>
      <c r="M569" s="33" t="s">
        <v>108</v>
      </c>
      <c r="N569" s="33"/>
      <c r="O569" s="32">
        <v>40</v>
      </c>
      <c r="P569" s="948" t="s">
        <v>917</v>
      </c>
      <c r="Q569" s="670"/>
      <c r="R569" s="670"/>
      <c r="S569" s="670"/>
      <c r="T569" s="671"/>
      <c r="U569" s="34"/>
      <c r="V569" s="34"/>
      <c r="W569" s="35" t="s">
        <v>69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918</v>
      </c>
      <c r="B570" s="54" t="s">
        <v>919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101</v>
      </c>
      <c r="L570" s="32"/>
      <c r="M570" s="33" t="s">
        <v>134</v>
      </c>
      <c r="N570" s="33"/>
      <c r="O570" s="32">
        <v>40</v>
      </c>
      <c r="P570" s="723" t="s">
        <v>920</v>
      </c>
      <c r="Q570" s="670"/>
      <c r="R570" s="670"/>
      <c r="S570" s="670"/>
      <c r="T570" s="671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918</v>
      </c>
      <c r="B571" s="54" t="s">
        <v>922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101</v>
      </c>
      <c r="L571" s="32"/>
      <c r="M571" s="33" t="s">
        <v>108</v>
      </c>
      <c r="N571" s="33"/>
      <c r="O571" s="32">
        <v>40</v>
      </c>
      <c r="P571" s="757" t="s">
        <v>923</v>
      </c>
      <c r="Q571" s="670"/>
      <c r="R571" s="670"/>
      <c r="S571" s="670"/>
      <c r="T571" s="671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924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98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925</v>
      </c>
      <c r="B576" s="54" t="s">
        <v>926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79" t="s">
        <v>927</v>
      </c>
      <c r="Q576" s="670"/>
      <c r="R576" s="670"/>
      <c r="S576" s="670"/>
      <c r="T576" s="671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138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929</v>
      </c>
      <c r="B580" s="54" t="s">
        <v>930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58" t="s">
        <v>931</v>
      </c>
      <c r="Q580" s="670"/>
      <c r="R580" s="670"/>
      <c r="S580" s="670"/>
      <c r="T580" s="671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149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933</v>
      </c>
      <c r="B584" s="54" t="s">
        <v>934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781" t="s">
        <v>935</v>
      </c>
      <c r="Q584" s="670"/>
      <c r="R584" s="670"/>
      <c r="S584" s="670"/>
      <c r="T584" s="671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64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937</v>
      </c>
      <c r="B588" s="54" t="s">
        <v>938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134</v>
      </c>
      <c r="N588" s="33"/>
      <c r="O588" s="32">
        <v>45</v>
      </c>
      <c r="P588" s="984" t="s">
        <v>939</v>
      </c>
      <c r="Q588" s="670"/>
      <c r="R588" s="670"/>
      <c r="S588" s="670"/>
      <c r="T588" s="671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941</v>
      </c>
      <c r="Q591" s="801"/>
      <c r="R591" s="801"/>
      <c r="S591" s="801"/>
      <c r="T591" s="801"/>
      <c r="U591" s="801"/>
      <c r="V591" s="802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7910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7922.4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942</v>
      </c>
      <c r="Q592" s="801"/>
      <c r="R592" s="801"/>
      <c r="S592" s="801"/>
      <c r="T592" s="801"/>
      <c r="U592" s="801"/>
      <c r="V592" s="802"/>
      <c r="W592" s="37" t="s">
        <v>69</v>
      </c>
      <c r="X592" s="665">
        <f>IFERROR(SUM(BM22:BM588),"0")</f>
        <v>8276.6837362637361</v>
      </c>
      <c r="Y592" s="665">
        <f>IFERROR(SUM(BN22:BN588),"0")</f>
        <v>8289.9089999999997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943</v>
      </c>
      <c r="Q593" s="801"/>
      <c r="R593" s="801"/>
      <c r="S593" s="801"/>
      <c r="T593" s="801"/>
      <c r="U593" s="801"/>
      <c r="V593" s="802"/>
      <c r="W593" s="37" t="s">
        <v>944</v>
      </c>
      <c r="X593" s="38">
        <f>ROUNDUP(SUM(BO22:BO588),0)</f>
        <v>13</v>
      </c>
      <c r="Y593" s="38">
        <f>ROUNDUP(SUM(BP22:BP588),0)</f>
        <v>13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945</v>
      </c>
      <c r="Q594" s="801"/>
      <c r="R594" s="801"/>
      <c r="S594" s="801"/>
      <c r="T594" s="801"/>
      <c r="U594" s="801"/>
      <c r="V594" s="802"/>
      <c r="W594" s="37" t="s">
        <v>69</v>
      </c>
      <c r="X594" s="665">
        <f>GrossWeightTotal+PalletQtyTotal*25</f>
        <v>8601.6837362637361</v>
      </c>
      <c r="Y594" s="665">
        <f>GrossWeightTotalR+PalletQtyTotalR*25</f>
        <v>8614.9089999999997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946</v>
      </c>
      <c r="Q595" s="801"/>
      <c r="R595" s="801"/>
      <c r="S595" s="801"/>
      <c r="T595" s="801"/>
      <c r="U595" s="801"/>
      <c r="V595" s="802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833.07509157509151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835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947</v>
      </c>
      <c r="Q596" s="801"/>
      <c r="R596" s="801"/>
      <c r="S596" s="801"/>
      <c r="T596" s="801"/>
      <c r="U596" s="801"/>
      <c r="V596" s="802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14.463720000000002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86" t="s">
        <v>96</v>
      </c>
      <c r="D598" s="779"/>
      <c r="E598" s="779"/>
      <c r="F598" s="779"/>
      <c r="G598" s="779"/>
      <c r="H598" s="780"/>
      <c r="I598" s="686" t="s">
        <v>288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579</v>
      </c>
      <c r="X598" s="780"/>
      <c r="Y598" s="686" t="s">
        <v>657</v>
      </c>
      <c r="Z598" s="779"/>
      <c r="AA598" s="779"/>
      <c r="AB598" s="780"/>
      <c r="AC598" s="660" t="s">
        <v>732</v>
      </c>
      <c r="AD598" s="686" t="s">
        <v>831</v>
      </c>
      <c r="AE598" s="780"/>
      <c r="AF598" s="661"/>
    </row>
    <row r="599" spans="1:32" ht="14.25" customHeight="1" thickTop="1" x14ac:dyDescent="0.2">
      <c r="A599" s="828" t="s">
        <v>950</v>
      </c>
      <c r="B599" s="686" t="s">
        <v>63</v>
      </c>
      <c r="C599" s="686" t="s">
        <v>97</v>
      </c>
      <c r="D599" s="686" t="s">
        <v>118</v>
      </c>
      <c r="E599" s="686" t="s">
        <v>183</v>
      </c>
      <c r="F599" s="686" t="s">
        <v>214</v>
      </c>
      <c r="G599" s="686" t="s">
        <v>259</v>
      </c>
      <c r="H599" s="686" t="s">
        <v>96</v>
      </c>
      <c r="I599" s="686" t="s">
        <v>289</v>
      </c>
      <c r="J599" s="686" t="s">
        <v>324</v>
      </c>
      <c r="K599" s="686" t="s">
        <v>385</v>
      </c>
      <c r="L599" s="686" t="s">
        <v>420</v>
      </c>
      <c r="M599" s="686" t="s">
        <v>438</v>
      </c>
      <c r="N599" s="661"/>
      <c r="O599" s="686" t="s">
        <v>442</v>
      </c>
      <c r="P599" s="686" t="s">
        <v>451</v>
      </c>
      <c r="Q599" s="686" t="s">
        <v>465</v>
      </c>
      <c r="R599" s="686" t="s">
        <v>475</v>
      </c>
      <c r="S599" s="686" t="s">
        <v>479</v>
      </c>
      <c r="T599" s="686" t="s">
        <v>487</v>
      </c>
      <c r="U599" s="686" t="s">
        <v>492</v>
      </c>
      <c r="V599" s="686" t="s">
        <v>566</v>
      </c>
      <c r="W599" s="686" t="s">
        <v>580</v>
      </c>
      <c r="X599" s="686" t="s">
        <v>621</v>
      </c>
      <c r="Y599" s="686" t="s">
        <v>658</v>
      </c>
      <c r="Z599" s="686" t="s">
        <v>697</v>
      </c>
      <c r="AA599" s="686" t="s">
        <v>717</v>
      </c>
      <c r="AB599" s="686" t="s">
        <v>725</v>
      </c>
      <c r="AC599" s="686" t="s">
        <v>732</v>
      </c>
      <c r="AD599" s="686" t="s">
        <v>831</v>
      </c>
      <c r="AE599" s="686" t="s">
        <v>924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2207.4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4560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554.4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600.6</v>
      </c>
      <c r="AE601" s="46">
        <f>IFERROR(Y576*1,"0")+IFERROR(Y580*1,"0")+IFERROR(Y584*1,"0")+IFERROR(Y588*1,"0")</f>
        <v>0</v>
      </c>
      <c r="AF601" s="661"/>
    </row>
  </sheetData>
  <sheetProtection algorithmName="SHA-512" hashValue="dYXKM2rE1+s4plCGP+Lr65M2KWHBtYjDNYLLiLZ7+P0Wcqv+1rXnik2i91r5RfJP32ABAejDOMDDSqFxpIIceQ==" saltValue="aGsHjlAcmtEzFibM0rBzsg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rCdgzSwFrXaKcbbPtxiozhWC92Cz1EaCXAd3Q5AisYWLUADoh/LwxoYGDxUUqQKS9CHuLl7REF3BskOMqWZBBA==" saltValue="a6u8ZtTT32Prl9x6/5BaO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2025-04-15T10:34:09Z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