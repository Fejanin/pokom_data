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опт и Краснодар\2025\04,25\23,04,25 Пенза ЛП самовывоз 25,04,25\"/>
    </mc:Choice>
  </mc:AlternateContent>
  <xr:revisionPtr revIDLastSave="0" documentId="13_ncr:1_{8C8241EB-E6A6-433C-BAAB-5081E83EC2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Лист1!$Q$1:$Q$166</definedName>
    <definedName name="_xlnm.Print_Titles" localSheetId="0">Лист1!$2:$2</definedName>
    <definedName name="_xlnm.Print_Area" localSheetId="0">Лист1!$A$2:$D$155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5" i="1" l="1"/>
  <c r="Q166" i="1" l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K3" i="1"/>
  <c r="J3" i="1"/>
  <c r="G4" i="1"/>
  <c r="H4" i="1" s="1"/>
  <c r="M4" i="1" s="1"/>
  <c r="G5" i="1"/>
  <c r="H5" i="1" s="1"/>
  <c r="M5" i="1" s="1"/>
  <c r="G6" i="1"/>
  <c r="H6" i="1" s="1"/>
  <c r="M6" i="1" s="1"/>
  <c r="G7" i="1"/>
  <c r="H7" i="1" s="1"/>
  <c r="M7" i="1" s="1"/>
  <c r="G8" i="1"/>
  <c r="H8" i="1" s="1"/>
  <c r="M8" i="1" s="1"/>
  <c r="G9" i="1"/>
  <c r="H9" i="1" s="1"/>
  <c r="O9" i="1" s="1"/>
  <c r="P9" i="1" s="1"/>
  <c r="G10" i="1"/>
  <c r="H10" i="1" s="1"/>
  <c r="M10" i="1" s="1"/>
  <c r="G11" i="1"/>
  <c r="H11" i="1" s="1"/>
  <c r="O11" i="1" s="1"/>
  <c r="P11" i="1" s="1"/>
  <c r="G12" i="1"/>
  <c r="H12" i="1" s="1"/>
  <c r="M12" i="1" s="1"/>
  <c r="G13" i="1"/>
  <c r="H13" i="1" s="1"/>
  <c r="M13" i="1" s="1"/>
  <c r="G14" i="1"/>
  <c r="H14" i="1" s="1"/>
  <c r="M14" i="1" s="1"/>
  <c r="G15" i="1"/>
  <c r="H15" i="1" s="1"/>
  <c r="M15" i="1" s="1"/>
  <c r="G16" i="1"/>
  <c r="H16" i="1" s="1"/>
  <c r="M16" i="1" s="1"/>
  <c r="G17" i="1"/>
  <c r="H17" i="1" s="1"/>
  <c r="M17" i="1" s="1"/>
  <c r="G18" i="1"/>
  <c r="H18" i="1" s="1"/>
  <c r="M18" i="1" s="1"/>
  <c r="G19" i="1"/>
  <c r="H19" i="1" s="1"/>
  <c r="O19" i="1" s="1"/>
  <c r="P19" i="1" s="1"/>
  <c r="G20" i="1"/>
  <c r="H20" i="1" s="1"/>
  <c r="M20" i="1" s="1"/>
  <c r="G21" i="1"/>
  <c r="H21" i="1" s="1"/>
  <c r="M21" i="1" s="1"/>
  <c r="G22" i="1"/>
  <c r="H22" i="1" s="1"/>
  <c r="M22" i="1" s="1"/>
  <c r="G23" i="1"/>
  <c r="H23" i="1" s="1"/>
  <c r="M23" i="1" s="1"/>
  <c r="G24" i="1"/>
  <c r="H24" i="1" s="1"/>
  <c r="M24" i="1" s="1"/>
  <c r="G25" i="1"/>
  <c r="H25" i="1" s="1"/>
  <c r="M25" i="1" s="1"/>
  <c r="G26" i="1"/>
  <c r="H26" i="1" s="1"/>
  <c r="M26" i="1" s="1"/>
  <c r="G27" i="1"/>
  <c r="H27" i="1" s="1"/>
  <c r="O27" i="1" s="1"/>
  <c r="P27" i="1" s="1"/>
  <c r="G28" i="1"/>
  <c r="H28" i="1" s="1"/>
  <c r="M28" i="1" s="1"/>
  <c r="G29" i="1"/>
  <c r="H29" i="1" s="1"/>
  <c r="M29" i="1" s="1"/>
  <c r="G30" i="1"/>
  <c r="H30" i="1" s="1"/>
  <c r="M30" i="1" s="1"/>
  <c r="G31" i="1"/>
  <c r="H31" i="1" s="1"/>
  <c r="M31" i="1" s="1"/>
  <c r="G32" i="1"/>
  <c r="H32" i="1" s="1"/>
  <c r="M32" i="1" s="1"/>
  <c r="G33" i="1"/>
  <c r="H33" i="1" s="1"/>
  <c r="M33" i="1" s="1"/>
  <c r="G34" i="1"/>
  <c r="H34" i="1" s="1"/>
  <c r="M34" i="1" s="1"/>
  <c r="G35" i="1"/>
  <c r="H35" i="1" s="1"/>
  <c r="O35" i="1" s="1"/>
  <c r="P35" i="1" s="1"/>
  <c r="G36" i="1"/>
  <c r="H36" i="1" s="1"/>
  <c r="M36" i="1" s="1"/>
  <c r="G37" i="1"/>
  <c r="H37" i="1" s="1"/>
  <c r="M37" i="1" s="1"/>
  <c r="G38" i="1"/>
  <c r="H38" i="1" s="1"/>
  <c r="M38" i="1" s="1"/>
  <c r="G39" i="1"/>
  <c r="H39" i="1" s="1"/>
  <c r="M39" i="1" s="1"/>
  <c r="G40" i="1"/>
  <c r="H40" i="1" s="1"/>
  <c r="M40" i="1" s="1"/>
  <c r="G41" i="1"/>
  <c r="H41" i="1" s="1"/>
  <c r="M41" i="1" s="1"/>
  <c r="G42" i="1"/>
  <c r="H42" i="1" s="1"/>
  <c r="M42" i="1" s="1"/>
  <c r="G43" i="1"/>
  <c r="H43" i="1" s="1"/>
  <c r="M43" i="1" s="1"/>
  <c r="G44" i="1"/>
  <c r="H44" i="1" s="1"/>
  <c r="M44" i="1" s="1"/>
  <c r="G45" i="1"/>
  <c r="H45" i="1" s="1"/>
  <c r="M45" i="1" s="1"/>
  <c r="G46" i="1"/>
  <c r="H46" i="1" s="1"/>
  <c r="M46" i="1" s="1"/>
  <c r="G47" i="1"/>
  <c r="H47" i="1" s="1"/>
  <c r="M47" i="1" s="1"/>
  <c r="G48" i="1"/>
  <c r="H48" i="1" s="1"/>
  <c r="M48" i="1" s="1"/>
  <c r="G49" i="1"/>
  <c r="H49" i="1" s="1"/>
  <c r="M49" i="1" s="1"/>
  <c r="G50" i="1"/>
  <c r="H50" i="1" s="1"/>
  <c r="M50" i="1" s="1"/>
  <c r="G51" i="1"/>
  <c r="H51" i="1" s="1"/>
  <c r="M51" i="1" s="1"/>
  <c r="G52" i="1"/>
  <c r="H52" i="1" s="1"/>
  <c r="M52" i="1" s="1"/>
  <c r="G53" i="1"/>
  <c r="H53" i="1" s="1"/>
  <c r="M53" i="1" s="1"/>
  <c r="G54" i="1"/>
  <c r="H54" i="1" s="1"/>
  <c r="M54" i="1" s="1"/>
  <c r="G55" i="1"/>
  <c r="H55" i="1" s="1"/>
  <c r="M55" i="1" s="1"/>
  <c r="G56" i="1"/>
  <c r="H56" i="1" s="1"/>
  <c r="M56" i="1" s="1"/>
  <c r="G57" i="1"/>
  <c r="H57" i="1" s="1"/>
  <c r="M57" i="1" s="1"/>
  <c r="G58" i="1"/>
  <c r="H58" i="1" s="1"/>
  <c r="M58" i="1" s="1"/>
  <c r="G59" i="1"/>
  <c r="H59" i="1" s="1"/>
  <c r="O59" i="1" s="1"/>
  <c r="P59" i="1" s="1"/>
  <c r="G60" i="1"/>
  <c r="H60" i="1" s="1"/>
  <c r="M60" i="1" s="1"/>
  <c r="G61" i="1"/>
  <c r="H61" i="1" s="1"/>
  <c r="M61" i="1" s="1"/>
  <c r="G62" i="1"/>
  <c r="H62" i="1" s="1"/>
  <c r="M62" i="1" s="1"/>
  <c r="G63" i="1"/>
  <c r="H63" i="1" s="1"/>
  <c r="M63" i="1" s="1"/>
  <c r="G64" i="1"/>
  <c r="H64" i="1" s="1"/>
  <c r="M64" i="1" s="1"/>
  <c r="G65" i="1"/>
  <c r="H65" i="1" s="1"/>
  <c r="M65" i="1" s="1"/>
  <c r="G66" i="1"/>
  <c r="H66" i="1" s="1"/>
  <c r="M66" i="1" s="1"/>
  <c r="G67" i="1"/>
  <c r="H67" i="1" s="1"/>
  <c r="M67" i="1" s="1"/>
  <c r="G68" i="1"/>
  <c r="H68" i="1" s="1"/>
  <c r="M68" i="1" s="1"/>
  <c r="G69" i="1"/>
  <c r="H69" i="1" s="1"/>
  <c r="M69" i="1" s="1"/>
  <c r="G70" i="1"/>
  <c r="H70" i="1" s="1"/>
  <c r="M70" i="1" s="1"/>
  <c r="G71" i="1"/>
  <c r="H71" i="1" s="1"/>
  <c r="M71" i="1" s="1"/>
  <c r="G72" i="1"/>
  <c r="H72" i="1" s="1"/>
  <c r="M72" i="1" s="1"/>
  <c r="G73" i="1"/>
  <c r="H73" i="1" s="1"/>
  <c r="M73" i="1" s="1"/>
  <c r="G74" i="1"/>
  <c r="H74" i="1" s="1"/>
  <c r="M74" i="1" s="1"/>
  <c r="G75" i="1"/>
  <c r="H75" i="1" s="1"/>
  <c r="M75" i="1" s="1"/>
  <c r="G76" i="1"/>
  <c r="H76" i="1" s="1"/>
  <c r="M76" i="1" s="1"/>
  <c r="G77" i="1"/>
  <c r="H77" i="1" s="1"/>
  <c r="M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3" i="1"/>
  <c r="H3" i="1" s="1"/>
  <c r="M3" i="1" s="1"/>
  <c r="O45" i="1" l="1"/>
  <c r="P45" i="1" s="1"/>
  <c r="O33" i="1"/>
  <c r="P33" i="1" s="1"/>
  <c r="O73" i="1"/>
  <c r="P73" i="1" s="1"/>
  <c r="O25" i="1"/>
  <c r="P25" i="1" s="1"/>
  <c r="O61" i="1"/>
  <c r="P61" i="1" s="1"/>
  <c r="O53" i="1"/>
  <c r="P53" i="1" s="1"/>
  <c r="O74" i="1"/>
  <c r="P74" i="1" s="1"/>
  <c r="O46" i="1"/>
  <c r="P46" i="1" s="1"/>
  <c r="O26" i="1"/>
  <c r="P26" i="1" s="1"/>
  <c r="O40" i="1"/>
  <c r="P40" i="1" s="1"/>
  <c r="O56" i="1"/>
  <c r="P56" i="1" s="1"/>
  <c r="O34" i="1"/>
  <c r="P34" i="1" s="1"/>
  <c r="O65" i="1"/>
  <c r="P65" i="1" s="1"/>
  <c r="O37" i="1"/>
  <c r="P37" i="1" s="1"/>
  <c r="O17" i="1"/>
  <c r="P17" i="1" s="1"/>
  <c r="O41" i="1"/>
  <c r="P41" i="1" s="1"/>
  <c r="O28" i="1"/>
  <c r="P28" i="1" s="1"/>
  <c r="M9" i="1"/>
  <c r="O63" i="1"/>
  <c r="P63" i="1" s="1"/>
  <c r="O14" i="1"/>
  <c r="P14" i="1" s="1"/>
  <c r="O6" i="1"/>
  <c r="P6" i="1" s="1"/>
  <c r="O67" i="1"/>
  <c r="P67" i="1" s="1"/>
  <c r="O70" i="1"/>
  <c r="P70" i="1" s="1"/>
  <c r="O57" i="1"/>
  <c r="P57" i="1" s="1"/>
  <c r="O42" i="1"/>
  <c r="P42" i="1" s="1"/>
  <c r="O30" i="1"/>
  <c r="P30" i="1" s="1"/>
  <c r="O21" i="1"/>
  <c r="P21" i="1" s="1"/>
  <c r="O13" i="1"/>
  <c r="P13" i="1" s="1"/>
  <c r="O5" i="1"/>
  <c r="P5" i="1" s="1"/>
  <c r="O69" i="1"/>
  <c r="P69" i="1" s="1"/>
  <c r="O49" i="1"/>
  <c r="P49" i="1" s="1"/>
  <c r="O58" i="1"/>
  <c r="P58" i="1" s="1"/>
  <c r="O71" i="1"/>
  <c r="P71" i="1" s="1"/>
  <c r="O3" i="1"/>
  <c r="P3" i="1" s="1"/>
  <c r="O66" i="1"/>
  <c r="P66" i="1" s="1"/>
  <c r="O54" i="1"/>
  <c r="P54" i="1" s="1"/>
  <c r="O38" i="1"/>
  <c r="P38" i="1" s="1"/>
  <c r="O29" i="1"/>
  <c r="P29" i="1" s="1"/>
  <c r="O18" i="1"/>
  <c r="P18" i="1" s="1"/>
  <c r="O10" i="1"/>
  <c r="P10" i="1" s="1"/>
  <c r="O22" i="1"/>
  <c r="P22" i="1" s="1"/>
  <c r="O32" i="1"/>
  <c r="P32" i="1" s="1"/>
  <c r="O50" i="1"/>
  <c r="P50" i="1" s="1"/>
  <c r="O62" i="1"/>
  <c r="P62" i="1" s="1"/>
  <c r="O72" i="1"/>
  <c r="P72" i="1" s="1"/>
  <c r="M35" i="1"/>
  <c r="M19" i="1"/>
  <c r="O76" i="1"/>
  <c r="P76" i="1" s="1"/>
  <c r="O68" i="1"/>
  <c r="P68" i="1" s="1"/>
  <c r="O64" i="1"/>
  <c r="P64" i="1" s="1"/>
  <c r="O60" i="1"/>
  <c r="P60" i="1" s="1"/>
  <c r="O52" i="1"/>
  <c r="P52" i="1" s="1"/>
  <c r="O48" i="1"/>
  <c r="P48" i="1" s="1"/>
  <c r="O44" i="1"/>
  <c r="P44" i="1" s="1"/>
  <c r="O36" i="1"/>
  <c r="P36" i="1" s="1"/>
  <c r="O24" i="1"/>
  <c r="P24" i="1" s="1"/>
  <c r="O20" i="1"/>
  <c r="P20" i="1" s="1"/>
  <c r="O16" i="1"/>
  <c r="P16" i="1" s="1"/>
  <c r="O12" i="1"/>
  <c r="P12" i="1" s="1"/>
  <c r="O8" i="1"/>
  <c r="P8" i="1" s="1"/>
  <c r="O4" i="1"/>
  <c r="P4" i="1" s="1"/>
  <c r="M59" i="1"/>
  <c r="M27" i="1"/>
  <c r="M11" i="1"/>
  <c r="O75" i="1"/>
  <c r="P75" i="1" s="1"/>
  <c r="O55" i="1"/>
  <c r="P55" i="1" s="1"/>
  <c r="O51" i="1"/>
  <c r="P51" i="1" s="1"/>
  <c r="O47" i="1"/>
  <c r="P47" i="1" s="1"/>
  <c r="O43" i="1"/>
  <c r="P43" i="1" s="1"/>
  <c r="O39" i="1"/>
  <c r="P39" i="1" s="1"/>
  <c r="O31" i="1"/>
  <c r="P31" i="1" s="1"/>
  <c r="O23" i="1"/>
  <c r="P23" i="1" s="1"/>
  <c r="O15" i="1"/>
  <c r="P15" i="1" s="1"/>
  <c r="O7" i="1"/>
  <c r="P7" i="1" s="1"/>
  <c r="O77" i="1"/>
  <c r="P77" i="1" s="1"/>
</calcChain>
</file>

<file path=xl/sharedStrings.xml><?xml version="1.0" encoding="utf-8"?>
<sst xmlns="http://schemas.openxmlformats.org/spreadsheetml/2006/main" count="179" uniqueCount="177">
  <si>
    <t>Итого</t>
  </si>
  <si>
    <t>Входящая цена</t>
  </si>
  <si>
    <t xml:space="preserve"> 201  Ветчина Нежная ТМ Особый рецепт, (2,5кг), ПОКОМ</t>
  </si>
  <si>
    <t xml:space="preserve"> 253  Сосиски Ганноверские   ПОКОМ</t>
  </si>
  <si>
    <t xml:space="preserve"> 229  Колбаса Молочная Дугушка, в/у, ВЕС, ТМ Стародворье   ПОКОМ</t>
  </si>
  <si>
    <t xml:space="preserve"> 242  Колбаса Сервелат ЗАПЕЧ.Дугушка ТМ Стародворье, вектор, в/к     ПОКОМ</t>
  </si>
  <si>
    <t xml:space="preserve"> 239  Колбаса Салями запеч Дугушка, оболочка вектор, ВЕС, ТМ Стародворье  ПОКОМ</t>
  </si>
  <si>
    <t xml:space="preserve"> 318  Сосиски Датские ТМ Зареченские, ВЕС  ПОКОМ</t>
  </si>
  <si>
    <t xml:space="preserve"> 250  Сардельки стародворские с говядиной в обол. NDX, ВЕС. ПОКОМ</t>
  </si>
  <si>
    <t xml:space="preserve"> 236  Колбаса Рубленая ЗАПЕЧ. Дугушка ТМ Стародворье, вектор, в/к    ПОКОМ</t>
  </si>
  <si>
    <t xml:space="preserve"> 017  Сосиски Вязанка Сливочные, Вязанка амицел ВЕС.ПОКОМ</t>
  </si>
  <si>
    <t xml:space="preserve"> 316  Колбаса Нежная ТМ Зареченские ВЕС  ПОКОМ</t>
  </si>
  <si>
    <t xml:space="preserve"> 265  Колбаса Балыкбургская, ВЕС, ТМ Баварушка  ПОКОМ</t>
  </si>
  <si>
    <t xml:space="preserve"> 200  Ветчина Дугушка ТМ Стародворье, вектор в/у    ПОКОМ</t>
  </si>
  <si>
    <t xml:space="preserve"> 266  Колбаса Филейбургская с сочным окороком, ВЕС, ТМ Баварушка  ПОКОМ</t>
  </si>
  <si>
    <t xml:space="preserve"> 016  Сосиски Вязанка Молочные, Вязанка вискофан  ВЕС.ПОКОМ</t>
  </si>
  <si>
    <t xml:space="preserve"> 257  Сосиски Молочные оригинальные ТМ Особый рецепт, ВЕС.   ПОКОМ</t>
  </si>
  <si>
    <t xml:space="preserve"> 248  Сардельки Сочные ТМ Особый рецепт,   ПОКОМ</t>
  </si>
  <si>
    <t xml:space="preserve"> 244  Колбаса Сервелат Кремлевский, ВЕС.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</si>
  <si>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</si>
  <si>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</si>
  <si>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</si>
  <si>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255  Сосиски Молочные для завтрака ТМ Особый рецепт, п/а МГС, ВЕС, ТМ Стародворье  ПОКОМ</t>
  </si>
  <si>
    <t xml:space="preserve"> 243  Колбаса Сервелат Зернистый, ВЕС.  ПОКОМ</t>
  </si>
  <si>
    <t xml:space="preserve"> 345  Колбаса Сочинка по-фински с сочным окроком ТМ Стародворье ВЕС ПОКОМ</t>
  </si>
  <si>
    <t xml:space="preserve"> 267  Колбаса Салями Филейбургская зернистая, оболочка фиброуз, ВЕС, ТМ Баварушка  ПОКОМ</t>
  </si>
  <si>
    <t xml:space="preserve"> 247  Сардельки Нежные, ВЕС.  ПОКОМ</t>
  </si>
  <si>
    <t xml:space="preserve"> 273  Сосиски Сочинки с сочной грудинкой, МГС 0.4кг,   ПОКОМ</t>
  </si>
  <si>
    <t xml:space="preserve"> 410  Сосиски Баварские с сыром ТМ Стародворье 0,35 кг. ПОКОМ</t>
  </si>
  <si>
    <t xml:space="preserve"> 032  Сосиски Вязанка Сливочные, Вязанка амицел МГС, 0.45кг, ПОКОМ</t>
  </si>
  <si>
    <t xml:space="preserve"> 030  Сосиски Вязанка Молочные, Вязанка вискофан МГС, 0.45кг, ПОКОМ</t>
  </si>
  <si>
    <t xml:space="preserve"> 225  Колбаса Дугушка со шпиком, ВЕС, ТМ Стародворье   ПОКОМ</t>
  </si>
  <si>
    <t xml:space="preserve"> 005  Колбаса Докторская ГОСТ, Вязанка вектор,ВЕС. ПОКОМ</t>
  </si>
  <si>
    <t xml:space="preserve"> 271  Колбаса Сервелат Левантский ТМ Особый Рецепт, ВЕС. ПОКОМ</t>
  </si>
  <si>
    <t xml:space="preserve"> 283  Сосиски Сочинки, ВЕС, ТМ Стародворье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</si>
  <si>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</si>
  <si>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</si>
  <si>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 xml:space="preserve"> 215  Колбаса Докторская ГОСТ Дугушка, ВЕС, ТМ Стародворье ПОКОМ</t>
  </si>
  <si>
    <t xml:space="preserve"> 297  Колбаса Мясорубская с рубленой грудинкой ВЕС ТМ Стародворье  ПОКОМ</t>
  </si>
  <si>
    <t xml:space="preserve"> 278  Сосиски Сочинки с сочным окороком, МГС 0.4кг,   ПОКОМ</t>
  </si>
  <si>
    <t xml:space="preserve"> 321  Колбаса Сервелат Пражский ТМ Зареченские, ВЕС ПОКОМ</t>
  </si>
  <si>
    <t xml:space="preserve"> 251  Сосиски Баварские, ВЕС.  ПОКОМ</t>
  </si>
  <si>
    <t xml:space="preserve"> 324  Ветчина Филейская ТМ Вязанка Столичная 0,45 кг ПОКОМ</t>
  </si>
  <si>
    <t xml:space="preserve"> 281  Сосиски Молочные для завтрака ТМ Особый рецепт, 0,4кг  ПОКОМ</t>
  </si>
  <si>
    <t xml:space="preserve"> 263  Шпикачки Стародворские, ВЕС.  ПОКОМ</t>
  </si>
  <si>
    <t xml:space="preserve"> 023  Колбаса Докторская ГОСТ, Вязанка вектор, 0,4 кг, ПОКОМ</t>
  </si>
  <si>
    <t xml:space="preserve"> 364  Сардельки Филейские Вязанка ВЕС NDX ТМ Вязанка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</si>
  <si>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</si>
  <si>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</si>
  <si>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012  Колбаса Сервелат Столичный, Вязанка фиброуз в/у, ПОКОМ</t>
  </si>
  <si>
    <t xml:space="preserve"> 329  Сардельки Сочинки с сыром Стародворье ТМ, 0,4 кг. ПОКОМ</t>
  </si>
  <si>
    <t xml:space="preserve"> 272  Колбаса Сервелат Филедворский, фиброуз, в/у 0,35 кг срез,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</si>
  <si>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</si>
  <si>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</si>
  <si>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309  Сосиски Сочинки с сыром 0,4 кг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</si>
  <si>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</si>
  <si>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</si>
  <si>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296  Колбаса Мясорубская с рубленой грудинкой 0,35кг срез ТМ Стародворье  ПОКОМ</t>
  </si>
  <si>
    <t xml:space="preserve"> 115  Колбаса Салями Филейбургская зернистая,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</si>
  <si>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</si>
  <si>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</si>
  <si>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034  Сосиски Рубленые, Вязанка вискофан МГС, 0.5кг, ПОКОМ</t>
  </si>
  <si>
    <t xml:space="preserve"> 335  Колбаса Сливушка ТМ Вязанка. ВЕС.  ПОКОМ </t>
  </si>
  <si>
    <t xml:space="preserve"> 011  Колбаса Салями Финская, Вязанка фиброуз в/у, ПОКОМ</t>
  </si>
  <si>
    <t xml:space="preserve"> 388  Сосиски Восточные Халяль ТМ Вязанка 0,33 кг АК. ПОКОМ</t>
  </si>
  <si>
    <t xml:space="preserve"> 029  Сосиски Венские, Вязанка NDX МГС, 0.5кг, ПОКОМ</t>
  </si>
  <si>
    <t xml:space="preserve"> 340  Сосиски Сочинки Молочные ТМ Стародворье, ВЕС ПОКОМ</t>
  </si>
  <si>
    <t xml:space="preserve"> 284  Сосиски Молокуши миникушай ТМ Вязанка, 0.45кг, ПОКОМ</t>
  </si>
  <si>
    <t xml:space="preserve"> 043  Ветчина Нежная ТМ Особый рецепт, п/а, 0,4кг    ПОКОМ</t>
  </si>
  <si>
    <t xml:space="preserve"> 387  Колбаса вареная Мусульманская Халяль ТМ Вязанка, 0,4 кг ПОКОМ</t>
  </si>
  <si>
    <t xml:space="preserve"> 336  Ветчина Сливушка с индейкой ТМ Вязанка. ВЕС  ПОКОМ</t>
  </si>
  <si>
    <t xml:space="preserve"> 330  Колбаса вареная Филейская ТМ Вязанка ТС Классическая ВЕС  ПОКОМ</t>
  </si>
  <si>
    <t xml:space="preserve"> 412  Сосиски Баварские ТМ Стародворье 0,35 кг ПОКОМ</t>
  </si>
  <si>
    <t xml:space="preserve"> 319  Колбаса вареная Филейская ТМ Вязанка ТС Классическая, 0,45 кг. ПОКОМ</t>
  </si>
  <si>
    <t xml:space="preserve"> 416  Сосиски Датские ТМ Особый рецепт, ВЕС  ПОКОМ</t>
  </si>
  <si>
    <t xml:space="preserve"> 436  Колбаса Молочная стародворская с молоком, ВЕС, ТМ Стародворье  ПОКОМ</t>
  </si>
  <si>
    <t xml:space="preserve"> 333  Колбаса Балыковая, Вязанка фиброуз в/у, ВЕС ПОКОМ</t>
  </si>
  <si>
    <t xml:space="preserve"> 363 Сардельки Левантские ТМ Особый Рецепт, ВЕС. ПОКОМ</t>
  </si>
  <si>
    <t xml:space="preserve"> 361  Колбаса Сервелат Филейбургский с копченой грудинкой, в/у 0,35 кг срез, БАВАРУШКА ПОКОМ</t>
  </si>
  <si>
    <t xml:space="preserve"> 298  Колбаса Сливушка ТМ Вязанка, 0,375кг,  ПОКОМ</t>
  </si>
  <si>
    <t xml:space="preserve"> 116  Колбаса Балыкбургская с копченым балыком, в/у 0,35 кг срез, БАВАРУШКА ПОКОМ</t>
  </si>
  <si>
    <t xml:space="preserve"> 305  Колбаса Сервелат Мясорубский с мелкорубленным окороком в/у  ТМ Стародворье ВЕС   ПОКОМ</t>
  </si>
  <si>
    <t xml:space="preserve"> 427  Колбаса Филедворская ТМ Стародворье в оболочке полиамид. ВЕС ПОКОМ</t>
  </si>
  <si>
    <t xml:space="preserve"> 331  Сосиски Сочинки по-баварски ВЕС ТМ Стародворье  Поком</t>
  </si>
  <si>
    <t xml:space="preserve"> 240  Колбаса Салями охотничья, ВЕС. ПОКОМ</t>
  </si>
  <si>
    <t xml:space="preserve"> 339  Колбаса вареная Филейская ТМ Вязанка ТС Классическая, 0,40 кг.  ПОКОМ</t>
  </si>
  <si>
    <t xml:space="preserve"> 452  Колбаса Со шпиком ВЕС большой батон ТМ Особый рецепт  ПОКОМ</t>
  </si>
  <si>
    <t xml:space="preserve"> 304  Колбаса Салями Мясорубская с рубленным шпиком ВЕС ТМ Стародворье  ПОКОМ</t>
  </si>
  <si>
    <t xml:space="preserve"> 440  Колбаса Любительская ТМ Вязанка в оболочке полиамид.ВЕС ПОКОМ 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</si>
  <si>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</si>
  <si>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</si>
  <si>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312  Ветчина Филейская ВЕС ТМ  Вязанка ТС Столичная  ПОКОМ</t>
  </si>
  <si>
    <t xml:space="preserve"> 317  Колбаса Сервелат Рижский ТМ Зареченские, ВЕС  ПОКОМ</t>
  </si>
  <si>
    <t xml:space="preserve"> 315  Колбаса вареная Молокуша ТМ Вязанка ВЕС, ПОКОМ</t>
  </si>
  <si>
    <t xml:space="preserve"> 460  Колбаса Стародворская Традиционная ВЕС ТМ Стародворье в оболочке полиамид. ПОКОМ</t>
  </si>
  <si>
    <t xml:space="preserve"> 342  Сосиски Сочинки Молочные ТМ Стародворье 0,4 кг ПОКОМ</t>
  </si>
  <si>
    <t xml:space="preserve"> 362  Колбаса Филейбургская с душистым чесноком, ВЕС, ТМ Баварушка  ПОКОМ</t>
  </si>
  <si>
    <t xml:space="preserve"> 291  Сосиски Молокуши миникушай ТМ Вязанка, 0.33кг, ПОКОМ</t>
  </si>
  <si>
    <t xml:space="preserve"> 464  Колбаса Стародворская Традиционная со шпиком оболочке полиамид ТМ Стародворье.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</si>
  <si>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</si>
  <si>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</si>
  <si>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</si>
  <si>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449  Колбаса Дугушка Стародворская ВЕС ТС Дугушка ПОКОМ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</si>
  <si>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</si>
  <si>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</si>
  <si>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</si>
  <si>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484  Колбаса Филедворская по-стародворски ТМ Стародворье в оболочке полиамид 0,4 кг. ПОКОМ </t>
  </si>
  <si>
    <t xml:space="preserve"> 480  Колбаса Филейная оригинальная ТМ Особый рецепт в оболочке полиамид 0,4 кг. ПОКОМ</t>
  </si>
  <si>
    <t xml:space="preserve"> 470  Колбаса Филедворская со шпиком по-стародворски ТМ Стародворье в оболочке полиамид.ВЕС. ПОКОМ </t>
  </si>
  <si>
    <t xml:space="preserve"> 467  Колбаса Филейная 0,5кг ТМ Особый рецепт  ПОКОМ</t>
  </si>
  <si>
    <t xml:space="preserve"> 462  Колбаса Со шпиком ТМ Особый рецепт в оболочке полиамид 0,5 кг. ПОКОМ</t>
  </si>
  <si>
    <t xml:space="preserve"> 482  Колбаса Молочная по-стародворски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</si>
  <si>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</si>
  <si>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483  Колбаса Молочная Традиционная ТМ Стародворье в оболочке полиамид 0,4 кг. ПОКОМ </t>
  </si>
  <si>
    <t xml:space="preserve"> 465  Колбаса Филейная оригинальная ВЕС 0,8кг ТМ Особый рецепт в оболочке полиамид  ПОКОМ</t>
  </si>
  <si>
    <t xml:space="preserve"> 481  Колбаса Филейная оригинальная ВЕС 1,87кг ТМ Особый рецепт большой батон  ПОКОМ</t>
  </si>
  <si>
    <t xml:space="preserve"> 276  Колбаса Сливушка ТМ Вязанка в оболочке полиамид 0,45 кг  ПОКОМ</t>
  </si>
  <si>
    <t xml:space="preserve"> 326  Колбаса вареная Сочинка ТМ Стародворье,  0,45 кг. ПОКОМ</t>
  </si>
  <si>
    <t xml:space="preserve"> 463  Колбаса Молочная Традиционная в оболочке полиамид.ТМ Стародворье. ВЕС ПОКОМ</t>
  </si>
  <si>
    <t xml:space="preserve"> 408  Ветчина Сливушка с индейкой ТМ Вязанка, 0,4кг  ПОКОМ</t>
  </si>
  <si>
    <t xml:space="preserve"> 282  Колбаса Балыкбургская рубленая, в/у 0,35 кг срез, БАВАРУШКА ПОКОМ</t>
  </si>
  <si>
    <t xml:space="preserve"> 394  Колбаса полукопченая Аль-Ислами халяль ТМ Вязанка оболочка фиброуз в в/у 0,35 кг  ПОКОМ</t>
  </si>
  <si>
    <t xml:space="preserve"> 503 Колбаса Филейская со шпиком ТМ Вязанка в оболочке полиамид.ПОКОМ</t>
  </si>
  <si>
    <t xml:space="preserve"> 459  Колбаса Докторская Филейная 0,5кг ТМ Особый рецепт  ПОКОМ</t>
  </si>
  <si>
    <t xml:space="preserve"> 219  Колбаса Докторская Особая ТМ Особый рецепт, ВЕС  ПОКОМ</t>
  </si>
  <si>
    <t xml:space="preserve"> 231  Колбаса Молочная по-стародворски, ВЕС  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</si>
  <si>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</si>
  <si>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060  Колбаса Докторская стародворская  0,5 кг,ПОКОМ</t>
  </si>
  <si>
    <t xml:space="preserve"> 343  Сосиски Сочинки Сливочные ТМ Стародворье  0,4 кг</t>
  </si>
  <si>
    <t xml:space="preserve"> 341  Сосиски Сочинки Сливочные ТМ Стародворье ВЕС ПОКОМ</t>
  </si>
  <si>
    <t xml:space="preserve"> 059  Колбаса Докторская по-стародворски  0.5 кг, ПОКОМ</t>
  </si>
  <si>
    <t xml:space="preserve"> 354  Колбаса Рубленая запеченная ТМ Стародворье,ТС Дугушка  0,6 кг ПОКОМ</t>
  </si>
  <si>
    <t xml:space="preserve"> 506 Сосиски Филейские рубленые ТМ Вязанка в оболочке целлофан в м/г среде. ВЕС.ПОКОМ</t>
  </si>
  <si>
    <t xml:space="preserve"> 448  Сосиски Сливушки по-венски ТМ Вязанка. 0,3 кг ПОКОМ</t>
  </si>
  <si>
    <t xml:space="preserve"> 451 Сосиски Филейские ТМ Вязанка в оболочке целлофан 0,3 кг. ПОКОМ</t>
  </si>
  <si>
    <t xml:space="preserve"> 489  Сосиски Филейские Рубленые 0,3кг ТМ Вязанка  ПОКОМ</t>
  </si>
  <si>
    <t xml:space="preserve"> 450  Сосиски Молочные ТМ Вязанка в оболочке целлофан. 0,3 кг ПОКОМ</t>
  </si>
  <si>
    <t xml:space="preserve"> 337  Ветчина Сочинка ТМ Стародворье, 0,35 кг. ПОКОМ</t>
  </si>
  <si>
    <t xml:space="preserve"> 047  Кол Баварская, белков.обол. в термоусад. пакете 0.17 кг,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</si>
  <si>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</si>
  <si>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</si>
  <si>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>План на февраль Химич ОПТ (ПОКОМ)</t>
  </si>
  <si>
    <t xml:space="preserve"> 510  Ветчина Нежная ВЕС ТМ Зареченские  ПОКОМ</t>
  </si>
  <si>
    <t xml:space="preserve"> 348  Колбаса Молочная оригинальная ТМ Особый рецепт. большой батон, ВЕС ПОКОМ</t>
  </si>
  <si>
    <t xml:space="preserve"> 439  Колбаса Молочная ТС Дугушка в оболочке диплекс УВС.ГОСТ ВЕС ПОКОМ</t>
  </si>
  <si>
    <t xml:space="preserve"> 511 Колбаса Филейская со шпиком ТМ Вязанка 0,35 кг ПОКОМ</t>
  </si>
  <si>
    <t>501 Сосиски Филейские по-ганноверски ТМ Вязанка.в оболочке амицел в м.г.с ВЕС. ПОКОМ</t>
  </si>
  <si>
    <t xml:space="preserve"> 471  Сосиски Венские ТМ Стародворье в оболочке полиамид в м.г среде 0,6 кг. ПОКОМ</t>
  </si>
  <si>
    <t xml:space="preserve"> 374  Колбаса вареная Молокуша ТМ Вязанка 0,4 кг ПОКОМ</t>
  </si>
  <si>
    <t xml:space="preserve"> 500  Сосиски Сливушки по-венски ВЕС ТМ Вязанка  ПОКОМ</t>
  </si>
  <si>
    <t xml:space="preserve"> 512  Сосиски Филейские ТМ Вязанка ВЕС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</si>
  <si>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</si>
  <si>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490  Колбаса Сервелат Филейский ТМ Вязанка  0,3 кг. срез  ПОКОМ</t>
  </si>
  <si>
    <t xml:space="preserve"> 245  Колбаса Сервелатная по-стародворски, Фирм. фиброуз в/у ВЕС, ТМ Стародворье</t>
  </si>
  <si>
    <t xml:space="preserve"> 438  Колбаса вареная Филедворская ТМ Стародворье п/а ф/в 0,4 кг СК</t>
  </si>
  <si>
    <t xml:space="preserve"> 268  Сосиски Филейбургские с филе сочного окорока, ВЕС, ТМ Баварушка  ПОКОМ, кг</t>
  </si>
  <si>
    <t xml:space="preserve"> 431  Колбаса вареная Стародворская ТМ Стародворье с окороком полиамид вес СК</t>
  </si>
  <si>
    <t xml:space="preserve"> 433  Колбаса вареная Стародворская со шпиком ТМ Стародворье полиамид вес СК</t>
  </si>
  <si>
    <t xml:space="preserve"> 385  Колбаски Филейбургские с филе сочного окорока, 0,28кг ТМ Баварушка  ПОКОМ</t>
  </si>
  <si>
    <t xml:space="preserve"> 444  Колбаса вареная Филедворская с молоком ТМ Стародворье полиамид вес СК</t>
  </si>
  <si>
    <t xml:space="preserve"> 495  Колбаса Сочинка по-европейски с сочной грудинкой 0,3кг ТМ Стародворье  ПОКОМ</t>
  </si>
  <si>
    <t xml:space="preserve"> 505  Ветчина Стародворская ТМ Стародворье брикет 0,33 кг.  ПОКОМ</t>
  </si>
  <si>
    <t xml:space="preserve"> 320  Ветчина Нежная ТМ Зареченские ТС Зареченские продукты полиамид вес большой батон ЗП</t>
  </si>
  <si>
    <t xml:space="preserve"> 259  Сосиски Сливочные Дугушки ТМ Стародворье ТС Дугушка амицел мгс вес СК</t>
  </si>
  <si>
    <t xml:space="preserve"> 054  Колбаса вареная Филейбургская с филе сочного окорока ТМ Стародворье ТС Баварушка полиамид ф/в 0,45 кг СК</t>
  </si>
  <si>
    <t xml:space="preserve"> 325  Сосиски Сочинки по-баварски с сыром ТМ Стародворье полиамид мгс вес СК</t>
  </si>
  <si>
    <t>Вход-ротация-руб/кг</t>
  </si>
  <si>
    <t>Кострома</t>
  </si>
  <si>
    <t>Ротация 5%</t>
  </si>
  <si>
    <t>Руб\кг ЛП</t>
  </si>
  <si>
    <t>Наше Предложение</t>
  </si>
  <si>
    <t>Наше Предложение МИНИМАЛЬНАЯ ЦЕНА</t>
  </si>
  <si>
    <t>МИНУС Мотивация Елены 3руб\кг</t>
  </si>
  <si>
    <t>Руб\кг ЛП АПРЕЛЬ 2025</t>
  </si>
  <si>
    <t>Заказ 23.04.25.Пензы, кг</t>
  </si>
  <si>
    <t>ИТОГО:</t>
  </si>
  <si>
    <t>Химич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</si>
</sst>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1" x14ac:knownFonts="1"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2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/>
    </xf>
    <xf numFmtId="0" fontId="4" fillId="2" borderId="7" xfId="0" applyFont="1" applyFill="1" applyBorder="1" applyAlignment="1">
      <alignment vertical="top" wrapText="1"/>
    </xf>
    <xf numFmtId="3" fontId="5" fillId="0" borderId="9" xfId="0" applyNumberFormat="1" applyFont="1" applyBorder="1"/>
    <xf numFmtId="3" fontId="5" fillId="0" borderId="8" xfId="0" applyNumberFormat="1" applyFont="1" applyBorder="1"/>
    <xf numFmtId="4" fontId="0" fillId="0" borderId="4" xfId="0" applyNumberFormat="1" applyBorder="1" applyAlignment="1">
      <alignment horizontal="center"/>
    </xf>
    <xf numFmtId="4" fontId="7" fillId="0" borderId="6" xfId="0" applyNumberFormat="1" applyFon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top"/>
    </xf>
    <xf numFmtId="0" fontId="3" fillId="0" borderId="8" xfId="0" applyFont="1" applyBorder="1" applyAlignment="1">
      <alignment vertical="top" wrapText="1"/>
    </xf>
    <xf numFmtId="0" fontId="5" fillId="0" borderId="8" xfId="0" applyFont="1" applyBorder="1"/>
    <xf numFmtId="0" fontId="5" fillId="0" borderId="8" xfId="0" applyFont="1" applyBorder="1" applyAlignment="1">
      <alignment horizontal="left"/>
    </xf>
    <xf numFmtId="0" fontId="8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" fontId="0" fillId="0" borderId="2" xfId="0" applyNumberFormat="1" applyBorder="1"/>
    <xf numFmtId="4" fontId="1" fillId="0" borderId="2" xfId="0" applyNumberFormat="1" applyFont="1" applyBorder="1"/>
    <xf numFmtId="0" fontId="5" fillId="3" borderId="7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3" fillId="3" borderId="8" xfId="0" applyFont="1" applyFill="1" applyBorder="1" applyAlignment="1">
      <alignment vertical="top" wrapText="1"/>
    </xf>
    <xf numFmtId="9" fontId="2" fillId="2" borderId="3" xfId="0" applyNumberFormat="1" applyFont="1" applyFill="1" applyBorder="1" applyAlignment="1">
      <alignment horizontal="center" vertical="center"/>
    </xf>
    <xf numFmtId="4" fontId="0" fillId="4" borderId="2" xfId="0" applyNumberFormat="1" applyFill="1" applyBorder="1"/>
    <xf numFmtId="4" fontId="0" fillId="0" borderId="0" xfId="0" applyNumberFormat="1"/>
    <xf numFmtId="0" fontId="4" fillId="2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4" fontId="0" fillId="0" borderId="13" xfId="0" applyNumberFormat="1" applyBorder="1"/>
    <xf numFmtId="0" fontId="1" fillId="5" borderId="12" xfId="0" applyFont="1" applyFill="1" applyBorder="1" applyAlignment="1">
      <alignment horizontal="center" vertical="center" wrapText="1"/>
    </xf>
    <xf numFmtId="4" fontId="0" fillId="0" borderId="14" xfId="0" applyNumberFormat="1" applyBorder="1" applyAlignment="1">
      <alignment horizontal="center"/>
    </xf>
    <xf numFmtId="0" fontId="4" fillId="4" borderId="10" xfId="0" applyFont="1" applyFill="1" applyBorder="1" applyAlignment="1">
      <alignment horizontal="center" vertical="center" wrapText="1"/>
    </xf>
    <xf numFmtId="0" fontId="0" fillId="0" borderId="2" xfId="0" applyBorder="1"/>
    <xf numFmtId="0" fontId="2" fillId="4" borderId="1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wrapText="1"/>
    </xf>
    <xf numFmtId="0" fontId="5" fillId="0" borderId="16" xfId="0" applyFont="1" applyBorder="1" applyAlignment="1">
      <alignment horizontal="left"/>
    </xf>
    <xf numFmtId="0" fontId="9" fillId="2" borderId="12" xfId="0" applyFont="1" applyFill="1" applyBorder="1" applyAlignment="1">
      <alignment horizontal="right"/>
    </xf>
    <xf numFmtId="2" fontId="6" fillId="0" borderId="17" xfId="0" applyNumberFormat="1" applyFont="1" applyBorder="1" applyAlignment="1">
      <alignment horizontal="center"/>
    </xf>
    <xf numFmtId="3" fontId="5" fillId="0" borderId="16" xfId="0" applyNumberFormat="1" applyFont="1" applyBorder="1"/>
    <xf numFmtId="4" fontId="0" fillId="0" borderId="18" xfId="0" applyNumberFormat="1" applyBorder="1" applyAlignment="1">
      <alignment horizontal="center"/>
    </xf>
    <xf numFmtId="4" fontId="0" fillId="0" borderId="19" xfId="0" applyNumberFormat="1" applyBorder="1" applyAlignment="1">
      <alignment horizontal="center"/>
    </xf>
    <xf numFmtId="4" fontId="0" fillId="0" borderId="20" xfId="0" applyNumberFormat="1" applyBorder="1"/>
    <xf numFmtId="0" fontId="0" fillId="0" borderId="20" xfId="0" applyBorder="1"/>
    <xf numFmtId="0" fontId="0" fillId="2" borderId="10" xfId="0" applyFill="1" applyBorder="1"/>
    <xf numFmtId="0" fontId="0" fillId="2" borderId="21" xfId="0" applyFill="1" applyBorder="1"/>
    <xf numFmtId="4" fontId="10" fillId="2" borderId="22" xfId="0" applyNumberFormat="1" applyFont="1" applyFill="1" applyBorder="1"/>
    <xf numFmtId="164" fontId="0" fillId="0" borderId="0" xfId="0" applyNumberFormat="1"/>
    <xf numFmtId="164" fontId="1" fillId="0" borderId="0" xfId="0" applyNumberFormat="1" applyFont="1"/>
    <xf numFmtId="164" fontId="0" fillId="4" borderId="2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E010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R166"/>
  <sheetViews>
    <sheetView tabSelected="1" zoomScale="90" zoomScaleNormal="90" workbookViewId="0">
      <selection activeCell="AB21" sqref="AB21"/>
    </sheetView>
  </sheetViews>
  <sheetFormatPr defaultRowHeight="15" outlineLevelCol="1" x14ac:dyDescent="0.25"/>
  <cols>
    <col min="1" max="1" width="4.42578125" bestFit="1" customWidth="1"/>
    <col min="2" max="2" width="71.85546875" customWidth="1"/>
    <col min="3" max="4" width="9.140625" hidden="1" customWidth="1" outlineLevel="1"/>
    <col min="5" max="5" width="18.140625" hidden="1" customWidth="1" collapsed="1"/>
    <col min="6" max="6" width="18.140625" hidden="1" customWidth="1"/>
    <col min="7" max="7" width="13" hidden="1" customWidth="1"/>
    <col min="8" max="8" width="9.140625" hidden="1" customWidth="1"/>
    <col min="9" max="11" width="12.28515625" hidden="1" customWidth="1"/>
    <col min="12" max="12" width="20.42578125" hidden="1" customWidth="1"/>
    <col min="13" max="13" width="16" hidden="1" customWidth="1"/>
    <col min="14" max="14" width="19.140625" hidden="1" customWidth="1"/>
    <col min="15" max="15" width="16.42578125" hidden="1" customWidth="1"/>
    <col min="16" max="16" width="12.42578125" hidden="1" customWidth="1"/>
    <col min="17" max="17" width="12.7109375" bestFit="1" customWidth="1"/>
    <col min="18" max="18" width="9.140625" style="49"/>
  </cols>
  <sheetData>
    <row r="1" spans="1:18" s="2" customFormat="1" ht="15.75" thickBot="1" x14ac:dyDescent="0.3">
      <c r="R1" s="49"/>
    </row>
    <row r="2" spans="1:18" s="1" customFormat="1" ht="65.25" customHeight="1" thickBot="1" x14ac:dyDescent="0.25">
      <c r="B2" s="5" t="s">
        <v>141</v>
      </c>
      <c r="C2" s="3" t="s">
        <v>1</v>
      </c>
      <c r="D2" s="4" t="s">
        <v>0</v>
      </c>
      <c r="E2" s="13" t="s">
        <v>169</v>
      </c>
      <c r="F2" s="34" t="s">
        <v>173</v>
      </c>
      <c r="G2" s="18" t="s">
        <v>168</v>
      </c>
      <c r="H2" s="19" t="s">
        <v>166</v>
      </c>
      <c r="I2" s="20" t="s">
        <v>167</v>
      </c>
      <c r="J2" s="26">
        <v>0.21</v>
      </c>
      <c r="K2" s="26">
        <v>0.15</v>
      </c>
      <c r="L2" s="20" t="s">
        <v>170</v>
      </c>
      <c r="M2" s="29" t="s">
        <v>169</v>
      </c>
      <c r="N2" s="32" t="s">
        <v>171</v>
      </c>
      <c r="O2" s="30" t="s">
        <v>169</v>
      </c>
      <c r="P2" s="37" t="s">
        <v>172</v>
      </c>
      <c r="Q2" s="36" t="s">
        <v>174</v>
      </c>
      <c r="R2" s="50" t="s">
        <v>176</v>
      </c>
    </row>
    <row r="3" spans="1:18" ht="13.5" hidden="1" customHeight="1" x14ac:dyDescent="0.25">
      <c r="A3">
        <v>1</v>
      </c>
      <c r="B3" s="23" t="s">
        <v>90</v>
      </c>
      <c r="C3" s="11">
        <v>170.29</v>
      </c>
      <c r="D3" s="6">
        <v>55562.6160084</v>
      </c>
      <c r="E3" s="8">
        <v>28.949130000000025</v>
      </c>
      <c r="F3" s="33">
        <v>33.717222</v>
      </c>
      <c r="G3" s="21">
        <f t="shared" ref="G3:G34" si="0">C3*0.05</f>
        <v>8.5145</v>
      </c>
      <c r="H3" s="21">
        <f t="shared" ref="H3:H21" si="1">C3-G3-E3</f>
        <v>132.82636999999997</v>
      </c>
      <c r="I3" s="21"/>
      <c r="J3" s="21">
        <f t="shared" ref="J3:J34" si="2">C3*0.78</f>
        <v>132.8262</v>
      </c>
      <c r="K3" s="21">
        <f t="shared" ref="K3:K34" si="3">C3*0.85</f>
        <v>144.7465</v>
      </c>
      <c r="L3" s="21">
        <v>150</v>
      </c>
      <c r="M3" s="21">
        <f t="shared" ref="M3:M21" si="4">L3-H3</f>
        <v>17.173630000000031</v>
      </c>
      <c r="N3" s="31">
        <v>150</v>
      </c>
      <c r="O3" s="21">
        <f t="shared" ref="O3:O21" si="5">N3-H3</f>
        <v>17.173630000000031</v>
      </c>
      <c r="P3" s="28">
        <f t="shared" ref="P3:P34" si="6">O3-3</f>
        <v>14.173630000000031</v>
      </c>
      <c r="Q3" s="35"/>
      <c r="R3"/>
    </row>
    <row r="4" spans="1:18" ht="13.5" customHeight="1" x14ac:dyDescent="0.25">
      <c r="A4">
        <v>2</v>
      </c>
      <c r="B4" s="24" t="s">
        <v>2</v>
      </c>
      <c r="C4" s="12">
        <v>231</v>
      </c>
      <c r="D4" s="7">
        <v>49874.190999999992</v>
      </c>
      <c r="E4" s="9">
        <v>39.27051000000003</v>
      </c>
      <c r="F4" s="33">
        <v>45.738593999999999</v>
      </c>
      <c r="G4" s="21">
        <f t="shared" si="0"/>
        <v>11.55</v>
      </c>
      <c r="H4" s="21">
        <f t="shared" si="1"/>
        <v>180.17948999999996</v>
      </c>
      <c r="I4" s="21"/>
      <c r="J4" s="21">
        <f t="shared" si="2"/>
        <v>180.18</v>
      </c>
      <c r="K4" s="21">
        <f t="shared" si="3"/>
        <v>196.35</v>
      </c>
      <c r="L4" s="21">
        <v>201</v>
      </c>
      <c r="M4" s="21">
        <f t="shared" si="4"/>
        <v>20.820510000000041</v>
      </c>
      <c r="N4" s="21">
        <v>201</v>
      </c>
      <c r="O4" s="21">
        <f t="shared" si="5"/>
        <v>20.820510000000041</v>
      </c>
      <c r="P4" s="28">
        <f t="shared" si="6"/>
        <v>17.820510000000041</v>
      </c>
      <c r="Q4" s="35">
        <v>700</v>
      </c>
    </row>
    <row r="5" spans="1:18" ht="13.5" hidden="1" customHeight="1" x14ac:dyDescent="0.25">
      <c r="A5">
        <v>3</v>
      </c>
      <c r="B5" s="24" t="s">
        <v>22</v>
      </c>
      <c r="C5" s="12">
        <v>201.04</v>
      </c>
      <c r="D5" s="7">
        <v>37126.323000000019</v>
      </c>
      <c r="E5" s="10">
        <v>50.25999999999997</v>
      </c>
      <c r="F5" s="33">
        <v>50.26</v>
      </c>
      <c r="G5" s="21">
        <f t="shared" si="0"/>
        <v>10.052</v>
      </c>
      <c r="H5" s="21">
        <f t="shared" si="1"/>
        <v>140.72800000000004</v>
      </c>
      <c r="I5" s="21"/>
      <c r="J5" s="21">
        <f t="shared" si="2"/>
        <v>156.81119999999999</v>
      </c>
      <c r="K5" s="21">
        <f t="shared" si="3"/>
        <v>170.88399999999999</v>
      </c>
      <c r="L5" s="21">
        <v>157</v>
      </c>
      <c r="M5" s="21">
        <f t="shared" si="4"/>
        <v>16.271999999999963</v>
      </c>
      <c r="N5" s="21">
        <v>157</v>
      </c>
      <c r="O5" s="21">
        <f t="shared" si="5"/>
        <v>16.271999999999963</v>
      </c>
      <c r="P5" s="28">
        <f t="shared" si="6"/>
        <v>13.271999999999963</v>
      </c>
      <c r="Q5" s="35"/>
      <c r="R5"/>
    </row>
    <row r="6" spans="1:18" ht="13.5" hidden="1" customHeight="1" x14ac:dyDescent="0.25">
      <c r="A6">
        <v>4</v>
      </c>
      <c r="B6" s="24" t="s">
        <v>89</v>
      </c>
      <c r="C6" s="12">
        <v>170.28</v>
      </c>
      <c r="D6" s="7">
        <v>36338.014999999999</v>
      </c>
      <c r="E6" s="10">
        <v>28.947599999999998</v>
      </c>
      <c r="F6" s="33">
        <v>33.715440000000001</v>
      </c>
      <c r="G6" s="21">
        <f t="shared" si="0"/>
        <v>8.5140000000000011</v>
      </c>
      <c r="H6" s="21">
        <f t="shared" si="1"/>
        <v>132.8184</v>
      </c>
      <c r="I6" s="21">
        <v>155</v>
      </c>
      <c r="J6" s="21">
        <f t="shared" si="2"/>
        <v>132.8184</v>
      </c>
      <c r="K6" s="21">
        <f t="shared" si="3"/>
        <v>144.738</v>
      </c>
      <c r="L6" s="21">
        <v>150</v>
      </c>
      <c r="M6" s="21">
        <f t="shared" si="4"/>
        <v>17.181600000000003</v>
      </c>
      <c r="N6" s="21">
        <v>150</v>
      </c>
      <c r="O6" s="21">
        <f t="shared" si="5"/>
        <v>17.181600000000003</v>
      </c>
      <c r="P6" s="28">
        <f t="shared" si="6"/>
        <v>14.181600000000003</v>
      </c>
      <c r="Q6" s="35"/>
      <c r="R6"/>
    </row>
    <row r="7" spans="1:18" ht="13.5" hidden="1" customHeight="1" x14ac:dyDescent="0.25">
      <c r="A7">
        <v>5</v>
      </c>
      <c r="B7" s="24" t="s">
        <v>3</v>
      </c>
      <c r="C7" s="12">
        <v>191.98</v>
      </c>
      <c r="D7" s="7">
        <v>34130.402000000002</v>
      </c>
      <c r="E7" s="10">
        <v>46.459402000000004</v>
      </c>
      <c r="F7" s="33">
        <v>46.459401999999997</v>
      </c>
      <c r="G7" s="21">
        <f t="shared" si="0"/>
        <v>9.5990000000000002</v>
      </c>
      <c r="H7" s="21">
        <f t="shared" si="1"/>
        <v>135.92159799999999</v>
      </c>
      <c r="I7" s="21"/>
      <c r="J7" s="21">
        <f t="shared" si="2"/>
        <v>149.74439999999998</v>
      </c>
      <c r="K7" s="21">
        <f t="shared" si="3"/>
        <v>163.18299999999999</v>
      </c>
      <c r="L7" s="21">
        <v>182</v>
      </c>
      <c r="M7" s="21">
        <f t="shared" si="4"/>
        <v>46.078402000000011</v>
      </c>
      <c r="N7" s="21">
        <v>182</v>
      </c>
      <c r="O7" s="21">
        <f t="shared" si="5"/>
        <v>46.078402000000011</v>
      </c>
      <c r="P7" s="28">
        <f t="shared" si="6"/>
        <v>43.078402000000011</v>
      </c>
      <c r="Q7" s="35"/>
      <c r="R7"/>
    </row>
    <row r="8" spans="1:18" ht="13.5" customHeight="1" x14ac:dyDescent="0.25">
      <c r="A8">
        <v>6</v>
      </c>
      <c r="B8" s="24" t="s">
        <v>86</v>
      </c>
      <c r="C8" s="12">
        <v>170.52</v>
      </c>
      <c r="D8" s="7">
        <v>28661.514999999999</v>
      </c>
      <c r="E8" s="10">
        <v>28.988910000000001</v>
      </c>
      <c r="F8" s="33">
        <v>33.763553999999999</v>
      </c>
      <c r="G8" s="21">
        <f t="shared" si="0"/>
        <v>8.5260000000000016</v>
      </c>
      <c r="H8" s="21">
        <f t="shared" si="1"/>
        <v>133.00509</v>
      </c>
      <c r="I8" s="21"/>
      <c r="J8" s="21">
        <f t="shared" si="2"/>
        <v>133.00560000000002</v>
      </c>
      <c r="K8" s="21">
        <f t="shared" si="3"/>
        <v>144.94200000000001</v>
      </c>
      <c r="L8" s="21">
        <v>150</v>
      </c>
      <c r="M8" s="21">
        <f t="shared" si="4"/>
        <v>16.994910000000004</v>
      </c>
      <c r="N8" s="21">
        <v>150</v>
      </c>
      <c r="O8" s="21">
        <f t="shared" si="5"/>
        <v>16.994910000000004</v>
      </c>
      <c r="P8" s="28">
        <f t="shared" si="6"/>
        <v>13.994910000000004</v>
      </c>
      <c r="Q8" s="35">
        <v>1400</v>
      </c>
    </row>
    <row r="9" spans="1:18" ht="13.5" customHeight="1" x14ac:dyDescent="0.25">
      <c r="A9">
        <v>7</v>
      </c>
      <c r="B9" s="24" t="s">
        <v>124</v>
      </c>
      <c r="C9" s="12">
        <v>170.28</v>
      </c>
      <c r="D9" s="7">
        <v>26806.697</v>
      </c>
      <c r="E9" s="10">
        <v>28.95</v>
      </c>
      <c r="F9" s="33"/>
      <c r="G9" s="21">
        <f t="shared" si="0"/>
        <v>8.5140000000000011</v>
      </c>
      <c r="H9" s="21">
        <f t="shared" si="1"/>
        <v>132.816</v>
      </c>
      <c r="I9" s="21"/>
      <c r="J9" s="21">
        <f t="shared" si="2"/>
        <v>132.8184</v>
      </c>
      <c r="K9" s="21">
        <f t="shared" si="3"/>
        <v>144.738</v>
      </c>
      <c r="L9" s="21">
        <v>150</v>
      </c>
      <c r="M9" s="21">
        <f t="shared" si="4"/>
        <v>17.183999999999997</v>
      </c>
      <c r="N9" s="21">
        <v>150</v>
      </c>
      <c r="O9" s="21">
        <f t="shared" si="5"/>
        <v>17.183999999999997</v>
      </c>
      <c r="P9" s="28">
        <f t="shared" si="6"/>
        <v>14.183999999999997</v>
      </c>
      <c r="Q9" s="35">
        <v>1400</v>
      </c>
    </row>
    <row r="10" spans="1:18" ht="13.5" customHeight="1" x14ac:dyDescent="0.25">
      <c r="A10">
        <v>8</v>
      </c>
      <c r="B10" s="24" t="s">
        <v>4</v>
      </c>
      <c r="C10" s="12">
        <v>240.43</v>
      </c>
      <c r="D10" s="7">
        <v>20716.962000000003</v>
      </c>
      <c r="E10" s="10">
        <v>57.704337599999995</v>
      </c>
      <c r="F10" s="33">
        <v>66.119553499999995</v>
      </c>
      <c r="G10" s="21">
        <f t="shared" si="0"/>
        <v>12.021500000000001</v>
      </c>
      <c r="H10" s="21">
        <f t="shared" si="1"/>
        <v>170.7041624</v>
      </c>
      <c r="I10" s="21"/>
      <c r="J10" s="21">
        <f t="shared" si="2"/>
        <v>187.53540000000001</v>
      </c>
      <c r="K10" s="21">
        <f t="shared" si="3"/>
        <v>204.3655</v>
      </c>
      <c r="L10" s="21">
        <v>187</v>
      </c>
      <c r="M10" s="21">
        <f t="shared" si="4"/>
        <v>16.295837599999999</v>
      </c>
      <c r="N10" s="21">
        <v>187</v>
      </c>
      <c r="O10" s="21">
        <f t="shared" si="5"/>
        <v>16.295837599999999</v>
      </c>
      <c r="P10" s="28">
        <f t="shared" si="6"/>
        <v>13.295837599999999</v>
      </c>
      <c r="Q10" s="35">
        <v>1650</v>
      </c>
    </row>
    <row r="11" spans="1:18" ht="13.5" customHeight="1" x14ac:dyDescent="0.25">
      <c r="A11">
        <v>9</v>
      </c>
      <c r="B11" s="24" t="s">
        <v>102</v>
      </c>
      <c r="C11" s="12">
        <v>220.42</v>
      </c>
      <c r="D11" s="7">
        <v>19450.287</v>
      </c>
      <c r="E11" s="10">
        <v>48.272069789999996</v>
      </c>
      <c r="F11" s="33">
        <v>48.272069789999996</v>
      </c>
      <c r="G11" s="21">
        <f t="shared" si="0"/>
        <v>11.021000000000001</v>
      </c>
      <c r="H11" s="21">
        <f t="shared" si="1"/>
        <v>161.12693021000001</v>
      </c>
      <c r="I11" s="21"/>
      <c r="J11" s="21">
        <f t="shared" si="2"/>
        <v>171.92759999999998</v>
      </c>
      <c r="K11" s="21">
        <f t="shared" si="3"/>
        <v>187.35699999999997</v>
      </c>
      <c r="L11" s="21">
        <v>178</v>
      </c>
      <c r="M11" s="21">
        <f t="shared" si="4"/>
        <v>16.873069789999988</v>
      </c>
      <c r="N11" s="21">
        <v>178</v>
      </c>
      <c r="O11" s="21">
        <f t="shared" si="5"/>
        <v>16.873069789999988</v>
      </c>
      <c r="P11" s="28">
        <f t="shared" si="6"/>
        <v>13.873069789999988</v>
      </c>
      <c r="Q11" s="35">
        <v>1100</v>
      </c>
    </row>
    <row r="12" spans="1:18" ht="13.5" customHeight="1" x14ac:dyDescent="0.25">
      <c r="A12">
        <v>10</v>
      </c>
      <c r="B12" s="24" t="s">
        <v>71</v>
      </c>
      <c r="C12" s="12">
        <v>266.45</v>
      </c>
      <c r="D12" s="7">
        <v>16754.11</v>
      </c>
      <c r="E12" s="10">
        <v>73.273624324999972</v>
      </c>
      <c r="F12" s="33">
        <v>73.273624325000014</v>
      </c>
      <c r="G12" s="21">
        <f t="shared" si="0"/>
        <v>13.3225</v>
      </c>
      <c r="H12" s="21">
        <f t="shared" si="1"/>
        <v>179.85387567500004</v>
      </c>
      <c r="I12" s="21">
        <v>226</v>
      </c>
      <c r="J12" s="21">
        <f t="shared" si="2"/>
        <v>207.83099999999999</v>
      </c>
      <c r="K12" s="21">
        <f t="shared" si="3"/>
        <v>226.48249999999999</v>
      </c>
      <c r="L12" s="21">
        <v>220</v>
      </c>
      <c r="M12" s="21">
        <f t="shared" si="4"/>
        <v>40.14612432499996</v>
      </c>
      <c r="N12" s="21">
        <v>220</v>
      </c>
      <c r="O12" s="21">
        <f t="shared" si="5"/>
        <v>40.14612432499996</v>
      </c>
      <c r="P12" s="28">
        <f t="shared" si="6"/>
        <v>37.14612432499996</v>
      </c>
      <c r="Q12" s="35">
        <v>700</v>
      </c>
    </row>
    <row r="13" spans="1:18" ht="13.5" customHeight="1" x14ac:dyDescent="0.25">
      <c r="A13">
        <v>11</v>
      </c>
      <c r="B13" s="24" t="s">
        <v>13</v>
      </c>
      <c r="C13" s="12">
        <v>273.45</v>
      </c>
      <c r="D13" s="7">
        <v>13629.406000000001</v>
      </c>
      <c r="E13" s="10">
        <v>57.426697439999963</v>
      </c>
      <c r="F13" s="33">
        <v>57.426697439999998</v>
      </c>
      <c r="G13" s="21">
        <f t="shared" si="0"/>
        <v>13.672499999999999</v>
      </c>
      <c r="H13" s="21">
        <f t="shared" si="1"/>
        <v>202.35080256000001</v>
      </c>
      <c r="I13" s="21"/>
      <c r="J13" s="21">
        <f t="shared" si="2"/>
        <v>213.291</v>
      </c>
      <c r="K13" s="21">
        <f t="shared" si="3"/>
        <v>232.43249999999998</v>
      </c>
      <c r="L13" s="21">
        <v>223</v>
      </c>
      <c r="M13" s="21">
        <f t="shared" si="4"/>
        <v>20.649197439999995</v>
      </c>
      <c r="N13" s="21">
        <v>223</v>
      </c>
      <c r="O13" s="21">
        <f t="shared" si="5"/>
        <v>20.649197439999995</v>
      </c>
      <c r="P13" s="28">
        <f t="shared" si="6"/>
        <v>17.649197439999995</v>
      </c>
      <c r="Q13" s="35">
        <v>1650</v>
      </c>
    </row>
    <row r="14" spans="1:18" ht="13.5" customHeight="1" x14ac:dyDescent="0.25">
      <c r="A14">
        <v>12</v>
      </c>
      <c r="B14" s="24" t="s">
        <v>5</v>
      </c>
      <c r="C14" s="12">
        <v>285.29000000000002</v>
      </c>
      <c r="D14" s="7">
        <v>12654.813999999998</v>
      </c>
      <c r="E14" s="10">
        <v>59.911790400000008</v>
      </c>
      <c r="F14" s="33">
        <v>59.911790400000001</v>
      </c>
      <c r="G14" s="21">
        <f t="shared" si="0"/>
        <v>14.264500000000002</v>
      </c>
      <c r="H14" s="21">
        <f t="shared" si="1"/>
        <v>211.11370960000002</v>
      </c>
      <c r="I14" s="21"/>
      <c r="J14" s="21">
        <f t="shared" si="2"/>
        <v>222.52620000000002</v>
      </c>
      <c r="K14" s="21">
        <f t="shared" si="3"/>
        <v>242.4965</v>
      </c>
      <c r="L14" s="21">
        <v>234</v>
      </c>
      <c r="M14" s="21">
        <f t="shared" si="4"/>
        <v>22.886290399999979</v>
      </c>
      <c r="N14" s="21">
        <v>234</v>
      </c>
      <c r="O14" s="21">
        <f t="shared" si="5"/>
        <v>22.886290399999979</v>
      </c>
      <c r="P14" s="28">
        <f t="shared" si="6"/>
        <v>19.886290399999979</v>
      </c>
      <c r="Q14" s="35">
        <v>1100</v>
      </c>
    </row>
    <row r="15" spans="1:18" ht="13.5" hidden="1" customHeight="1" x14ac:dyDescent="0.25">
      <c r="A15">
        <v>13</v>
      </c>
      <c r="B15" s="24" t="s">
        <v>10</v>
      </c>
      <c r="C15" s="12">
        <v>284.43</v>
      </c>
      <c r="D15" s="7">
        <v>9468.6529999999984</v>
      </c>
      <c r="E15" s="10">
        <v>62.575629599999971</v>
      </c>
      <c r="F15" s="33">
        <v>62.575629600000006</v>
      </c>
      <c r="G15" s="21">
        <f t="shared" si="0"/>
        <v>14.221500000000001</v>
      </c>
      <c r="H15" s="21">
        <f t="shared" si="1"/>
        <v>207.63287040000006</v>
      </c>
      <c r="I15" s="21"/>
      <c r="J15" s="21">
        <f t="shared" si="2"/>
        <v>221.8554</v>
      </c>
      <c r="K15" s="21">
        <f t="shared" si="3"/>
        <v>241.7655</v>
      </c>
      <c r="L15" s="21">
        <v>229</v>
      </c>
      <c r="M15" s="21">
        <f t="shared" si="4"/>
        <v>21.367129599999942</v>
      </c>
      <c r="N15" s="21">
        <v>229</v>
      </c>
      <c r="O15" s="21">
        <f t="shared" si="5"/>
        <v>21.367129599999942</v>
      </c>
      <c r="P15" s="28">
        <f t="shared" si="6"/>
        <v>18.367129599999942</v>
      </c>
      <c r="Q15" s="35"/>
      <c r="R15"/>
    </row>
    <row r="16" spans="1:18" ht="13.5" hidden="1" customHeight="1" x14ac:dyDescent="0.25">
      <c r="A16">
        <v>14</v>
      </c>
      <c r="B16" s="24" t="s">
        <v>32</v>
      </c>
      <c r="C16" s="12">
        <v>315.43</v>
      </c>
      <c r="D16" s="7">
        <v>9450.0009999999984</v>
      </c>
      <c r="E16" s="10">
        <v>69.394913279999997</v>
      </c>
      <c r="F16" s="33">
        <v>69.394913279999997</v>
      </c>
      <c r="G16" s="21">
        <f t="shared" si="0"/>
        <v>15.771500000000001</v>
      </c>
      <c r="H16" s="21">
        <f t="shared" si="1"/>
        <v>230.26358672000001</v>
      </c>
      <c r="I16" s="21">
        <v>248</v>
      </c>
      <c r="J16" s="21">
        <f t="shared" si="2"/>
        <v>246.03540000000001</v>
      </c>
      <c r="K16" s="21">
        <f t="shared" si="3"/>
        <v>268.1155</v>
      </c>
      <c r="L16" s="21">
        <v>245</v>
      </c>
      <c r="M16" s="21">
        <f t="shared" si="4"/>
        <v>14.736413279999994</v>
      </c>
      <c r="N16" s="21">
        <v>245</v>
      </c>
      <c r="O16" s="21">
        <f t="shared" si="5"/>
        <v>14.736413279999994</v>
      </c>
      <c r="P16" s="28">
        <f t="shared" si="6"/>
        <v>11.736413279999994</v>
      </c>
      <c r="Q16" s="35"/>
      <c r="R16"/>
    </row>
    <row r="17" spans="1:18" ht="13.5" hidden="1" customHeight="1" x14ac:dyDescent="0.25">
      <c r="A17">
        <v>15</v>
      </c>
      <c r="B17" s="24" t="s">
        <v>8</v>
      </c>
      <c r="C17" s="12">
        <v>238.39</v>
      </c>
      <c r="D17" s="7">
        <v>8837.8529999999992</v>
      </c>
      <c r="E17" s="10">
        <v>39.333698250000005</v>
      </c>
      <c r="F17" s="33">
        <v>39.333698250000005</v>
      </c>
      <c r="G17" s="21">
        <f t="shared" si="0"/>
        <v>11.919499999999999</v>
      </c>
      <c r="H17" s="21">
        <f t="shared" si="1"/>
        <v>187.13680174999999</v>
      </c>
      <c r="I17" s="21"/>
      <c r="J17" s="21">
        <f t="shared" si="2"/>
        <v>185.9442</v>
      </c>
      <c r="K17" s="21">
        <f t="shared" si="3"/>
        <v>202.63149999999999</v>
      </c>
      <c r="L17" s="21">
        <v>207</v>
      </c>
      <c r="M17" s="21">
        <f t="shared" si="4"/>
        <v>19.863198250000011</v>
      </c>
      <c r="N17" s="21">
        <v>207</v>
      </c>
      <c r="O17" s="21">
        <f t="shared" si="5"/>
        <v>19.863198250000011</v>
      </c>
      <c r="P17" s="28">
        <f t="shared" si="6"/>
        <v>16.863198250000011</v>
      </c>
      <c r="Q17" s="35"/>
      <c r="R17"/>
    </row>
    <row r="18" spans="1:18" ht="13.5" hidden="1" customHeight="1" x14ac:dyDescent="0.25">
      <c r="A18">
        <v>16</v>
      </c>
      <c r="B18" s="24" t="s">
        <v>91</v>
      </c>
      <c r="C18" s="12">
        <v>276.88</v>
      </c>
      <c r="D18" s="7">
        <v>7953.3829999999998</v>
      </c>
      <c r="E18" s="10">
        <v>55.37520559999998</v>
      </c>
      <c r="F18" s="33">
        <v>55.375205600000008</v>
      </c>
      <c r="G18" s="21">
        <f t="shared" si="0"/>
        <v>13.844000000000001</v>
      </c>
      <c r="H18" s="21">
        <f t="shared" si="1"/>
        <v>207.66079440000001</v>
      </c>
      <c r="I18" s="21"/>
      <c r="J18" s="21">
        <f t="shared" si="2"/>
        <v>215.96639999999999</v>
      </c>
      <c r="K18" s="21">
        <f t="shared" si="3"/>
        <v>235.34799999999998</v>
      </c>
      <c r="L18" s="21">
        <v>226</v>
      </c>
      <c r="M18" s="21">
        <f t="shared" si="4"/>
        <v>18.339205599999985</v>
      </c>
      <c r="N18" s="21">
        <v>226</v>
      </c>
      <c r="O18" s="21">
        <f t="shared" si="5"/>
        <v>18.339205599999985</v>
      </c>
      <c r="P18" s="28">
        <f t="shared" si="6"/>
        <v>15.339205599999985</v>
      </c>
      <c r="Q18" s="35"/>
      <c r="R18"/>
    </row>
    <row r="19" spans="1:18" ht="13.5" customHeight="1" x14ac:dyDescent="0.25">
      <c r="A19">
        <v>17</v>
      </c>
      <c r="B19" s="24" t="s">
        <v>34</v>
      </c>
      <c r="C19" s="12">
        <v>215.25</v>
      </c>
      <c r="D19" s="7">
        <v>6856.2379999999994</v>
      </c>
      <c r="E19" s="10">
        <v>35.515883699999968</v>
      </c>
      <c r="F19" s="33">
        <v>35.51588370000001</v>
      </c>
      <c r="G19" s="21">
        <f t="shared" si="0"/>
        <v>10.762500000000001</v>
      </c>
      <c r="H19" s="21">
        <f t="shared" si="1"/>
        <v>168.97161630000005</v>
      </c>
      <c r="I19" s="21"/>
      <c r="J19" s="21">
        <f t="shared" si="2"/>
        <v>167.89500000000001</v>
      </c>
      <c r="K19" s="21">
        <f t="shared" si="3"/>
        <v>182.96250000000001</v>
      </c>
      <c r="L19" s="21">
        <v>186</v>
      </c>
      <c r="M19" s="21">
        <f t="shared" si="4"/>
        <v>17.028383699999949</v>
      </c>
      <c r="N19" s="21">
        <v>186</v>
      </c>
      <c r="O19" s="21">
        <f t="shared" si="5"/>
        <v>17.028383699999949</v>
      </c>
      <c r="P19" s="28">
        <f t="shared" si="6"/>
        <v>14.028383699999949</v>
      </c>
      <c r="Q19" s="35">
        <v>300</v>
      </c>
    </row>
    <row r="20" spans="1:18" ht="13.5" hidden="1" customHeight="1" x14ac:dyDescent="0.25">
      <c r="A20">
        <v>18</v>
      </c>
      <c r="B20" s="24" t="s">
        <v>9</v>
      </c>
      <c r="C20" s="12">
        <v>288.14</v>
      </c>
      <c r="D20" s="7">
        <v>6453.561999999999</v>
      </c>
      <c r="E20" s="10">
        <v>48.986660250000007</v>
      </c>
      <c r="F20" s="33">
        <v>48.986660250000007</v>
      </c>
      <c r="G20" s="21">
        <f t="shared" si="0"/>
        <v>14.407</v>
      </c>
      <c r="H20" s="21">
        <f t="shared" si="1"/>
        <v>224.74633975</v>
      </c>
      <c r="I20" s="21"/>
      <c r="J20" s="21">
        <f t="shared" si="2"/>
        <v>224.7492</v>
      </c>
      <c r="K20" s="21">
        <f t="shared" si="3"/>
        <v>244.91899999999998</v>
      </c>
      <c r="L20" s="21">
        <v>242</v>
      </c>
      <c r="M20" s="21">
        <f t="shared" si="4"/>
        <v>17.253660249999996</v>
      </c>
      <c r="N20" s="21">
        <v>242</v>
      </c>
      <c r="O20" s="21">
        <f t="shared" si="5"/>
        <v>17.253660249999996</v>
      </c>
      <c r="P20" s="28">
        <f t="shared" si="6"/>
        <v>14.253660249999996</v>
      </c>
      <c r="Q20" s="35"/>
      <c r="R20"/>
    </row>
    <row r="21" spans="1:18" ht="13.5" customHeight="1" x14ac:dyDescent="0.25">
      <c r="A21">
        <v>19</v>
      </c>
      <c r="B21" s="24" t="s">
        <v>15</v>
      </c>
      <c r="C21" s="12">
        <v>270.83999999999997</v>
      </c>
      <c r="D21" s="7">
        <v>6372.5049999999992</v>
      </c>
      <c r="E21" s="10">
        <v>59.586679019999998</v>
      </c>
      <c r="F21" s="33">
        <v>59.586679020000005</v>
      </c>
      <c r="G21" s="21">
        <f t="shared" si="0"/>
        <v>13.542</v>
      </c>
      <c r="H21" s="21">
        <f t="shared" si="1"/>
        <v>197.71132098000001</v>
      </c>
      <c r="I21" s="21"/>
      <c r="J21" s="21">
        <f t="shared" si="2"/>
        <v>211.25519999999997</v>
      </c>
      <c r="K21" s="21">
        <f t="shared" si="3"/>
        <v>230.21399999999997</v>
      </c>
      <c r="L21" s="21">
        <v>220</v>
      </c>
      <c r="M21" s="21">
        <f t="shared" si="4"/>
        <v>22.288679019999989</v>
      </c>
      <c r="N21" s="21">
        <v>220</v>
      </c>
      <c r="O21" s="21">
        <f t="shared" si="5"/>
        <v>22.288679019999989</v>
      </c>
      <c r="P21" s="28">
        <f t="shared" si="6"/>
        <v>19.288679019999989</v>
      </c>
      <c r="Q21" s="35">
        <v>800</v>
      </c>
    </row>
    <row r="22" spans="1:18" ht="13.5" hidden="1" customHeight="1" x14ac:dyDescent="0.25">
      <c r="A22">
        <v>20</v>
      </c>
      <c r="B22" s="24" t="s">
        <v>73</v>
      </c>
      <c r="C22" s="12">
        <v>138.88</v>
      </c>
      <c r="D22" s="7">
        <v>6268.5</v>
      </c>
      <c r="E22" s="9">
        <v>67.588722138000008</v>
      </c>
      <c r="F22" s="33">
        <v>67.588722137999994</v>
      </c>
      <c r="G22" s="21">
        <f t="shared" si="0"/>
        <v>6.944</v>
      </c>
      <c r="H22" s="27">
        <f>C22-G22-(E22*0.45)</f>
        <v>101.5210750379</v>
      </c>
      <c r="I22" s="21"/>
      <c r="J22" s="21">
        <f t="shared" si="2"/>
        <v>108.32640000000001</v>
      </c>
      <c r="K22" s="21">
        <f t="shared" si="3"/>
        <v>118.04799999999999</v>
      </c>
      <c r="L22" s="21">
        <v>110</v>
      </c>
      <c r="M22" s="21">
        <f>(L22-H22)/0.45</f>
        <v>18.842055471333321</v>
      </c>
      <c r="N22" s="21">
        <v>110</v>
      </c>
      <c r="O22" s="21">
        <f>(N22-H22)/0.45</f>
        <v>18.842055471333321</v>
      </c>
      <c r="P22" s="28">
        <f t="shared" si="6"/>
        <v>15.842055471333321</v>
      </c>
      <c r="Q22" s="35"/>
      <c r="R22"/>
    </row>
    <row r="23" spans="1:18" ht="13.5" customHeight="1" x14ac:dyDescent="0.25">
      <c r="A23">
        <v>21</v>
      </c>
      <c r="B23" s="24" t="s">
        <v>6</v>
      </c>
      <c r="C23" s="12">
        <v>302.10000000000002</v>
      </c>
      <c r="D23" s="7">
        <v>6145.2300000000005</v>
      </c>
      <c r="E23" s="10">
        <v>60.422207999999998</v>
      </c>
      <c r="F23" s="33">
        <v>76.43409312</v>
      </c>
      <c r="G23" s="21">
        <f t="shared" si="0"/>
        <v>15.105000000000002</v>
      </c>
      <c r="H23" s="21">
        <f>C23-G23-E23</f>
        <v>226.57279199999999</v>
      </c>
      <c r="I23" s="21"/>
      <c r="J23" s="21">
        <f t="shared" si="2"/>
        <v>235.63800000000003</v>
      </c>
      <c r="K23" s="21">
        <f t="shared" si="3"/>
        <v>256.78500000000003</v>
      </c>
      <c r="L23" s="21">
        <v>244</v>
      </c>
      <c r="M23" s="21">
        <f>L23-H23</f>
        <v>17.427208000000007</v>
      </c>
      <c r="N23" s="21">
        <v>244</v>
      </c>
      <c r="O23" s="21">
        <f>N23-H23</f>
        <v>17.427208000000007</v>
      </c>
      <c r="P23" s="28">
        <f t="shared" si="6"/>
        <v>14.427208000000007</v>
      </c>
      <c r="Q23" s="35">
        <v>300</v>
      </c>
    </row>
    <row r="24" spans="1:18" ht="13.5" customHeight="1" x14ac:dyDescent="0.25">
      <c r="A24">
        <v>22</v>
      </c>
      <c r="B24" s="24" t="s">
        <v>74</v>
      </c>
      <c r="C24" s="12">
        <v>165.94</v>
      </c>
      <c r="D24" s="7">
        <v>6128.6409999999996</v>
      </c>
      <c r="E24" s="10">
        <v>45.633500000000005</v>
      </c>
      <c r="F24" s="33">
        <v>45.633500000000005</v>
      </c>
      <c r="G24" s="21">
        <f t="shared" si="0"/>
        <v>8.2970000000000006</v>
      </c>
      <c r="H24" s="21">
        <f>C24-G24-E24</f>
        <v>112.0095</v>
      </c>
      <c r="I24" s="21"/>
      <c r="J24" s="21">
        <f t="shared" si="2"/>
        <v>129.4332</v>
      </c>
      <c r="K24" s="21">
        <f t="shared" si="3"/>
        <v>141.04900000000001</v>
      </c>
      <c r="L24" s="21">
        <v>130</v>
      </c>
      <c r="M24" s="21">
        <f>L24-H24</f>
        <v>17.990499999999997</v>
      </c>
      <c r="N24" s="21">
        <v>130</v>
      </c>
      <c r="O24" s="21">
        <f>N24-H24</f>
        <v>17.990499999999997</v>
      </c>
      <c r="P24" s="28">
        <f t="shared" si="6"/>
        <v>14.990499999999997</v>
      </c>
      <c r="Q24" s="35">
        <v>300</v>
      </c>
    </row>
    <row r="25" spans="1:18" ht="13.5" hidden="1" customHeight="1" x14ac:dyDescent="0.25">
      <c r="A25">
        <v>23</v>
      </c>
      <c r="B25" s="24" t="s">
        <v>62</v>
      </c>
      <c r="C25" s="12">
        <v>270.14999999999998</v>
      </c>
      <c r="D25" s="7">
        <v>5746.1359999999995</v>
      </c>
      <c r="E25" s="10">
        <v>59.432598500000026</v>
      </c>
      <c r="F25" s="33">
        <v>59.432598499999997</v>
      </c>
      <c r="G25" s="21">
        <f t="shared" si="0"/>
        <v>13.5075</v>
      </c>
      <c r="H25" s="21">
        <f>C25-G25-E25</f>
        <v>197.20990149999994</v>
      </c>
      <c r="I25" s="21"/>
      <c r="J25" s="21">
        <f t="shared" si="2"/>
        <v>210.71699999999998</v>
      </c>
      <c r="K25" s="21">
        <f t="shared" si="3"/>
        <v>229.62749999999997</v>
      </c>
      <c r="L25" s="21">
        <v>217</v>
      </c>
      <c r="M25" s="21">
        <f>L25-H25</f>
        <v>19.790098500000056</v>
      </c>
      <c r="N25" s="21">
        <v>217</v>
      </c>
      <c r="O25" s="21">
        <f>N25-H25</f>
        <v>19.790098500000056</v>
      </c>
      <c r="P25" s="28">
        <f t="shared" si="6"/>
        <v>16.790098500000056</v>
      </c>
      <c r="Q25" s="35"/>
      <c r="R25"/>
    </row>
    <row r="26" spans="1:18" ht="13.5" customHeight="1" x14ac:dyDescent="0.25">
      <c r="A26">
        <v>24</v>
      </c>
      <c r="B26" s="25" t="s">
        <v>93</v>
      </c>
      <c r="C26" s="12">
        <v>266.23</v>
      </c>
      <c r="D26" s="7">
        <v>5566.1939999999995</v>
      </c>
      <c r="E26" s="10">
        <v>58.568820639999984</v>
      </c>
      <c r="F26" s="33">
        <v>58.568820639999991</v>
      </c>
      <c r="G26" s="21">
        <f t="shared" si="0"/>
        <v>13.311500000000002</v>
      </c>
      <c r="H26" s="21">
        <f>C26-G26-E26</f>
        <v>194.34967936000004</v>
      </c>
      <c r="I26" s="21"/>
      <c r="J26" s="21">
        <f t="shared" si="2"/>
        <v>207.65940000000003</v>
      </c>
      <c r="K26" s="21">
        <f t="shared" si="3"/>
        <v>226.2955</v>
      </c>
      <c r="L26" s="21">
        <v>215</v>
      </c>
      <c r="M26" s="21">
        <f>L26-H26</f>
        <v>20.650320639999961</v>
      </c>
      <c r="N26" s="21">
        <v>215</v>
      </c>
      <c r="O26" s="21">
        <f>N26-H26</f>
        <v>20.650320639999961</v>
      </c>
      <c r="P26" s="28">
        <f t="shared" si="6"/>
        <v>17.650320639999961</v>
      </c>
      <c r="Q26" s="35">
        <v>300</v>
      </c>
    </row>
    <row r="27" spans="1:18" ht="13.5" customHeight="1" x14ac:dyDescent="0.25">
      <c r="A27">
        <v>25</v>
      </c>
      <c r="B27" s="24" t="s">
        <v>19</v>
      </c>
      <c r="C27" s="12">
        <v>250.64</v>
      </c>
      <c r="D27" s="7">
        <v>5444.3339999999998</v>
      </c>
      <c r="E27" s="10">
        <v>45.692461723599997</v>
      </c>
      <c r="F27" s="33">
        <v>45.692461723599997</v>
      </c>
      <c r="G27" s="21">
        <f t="shared" si="0"/>
        <v>12.532</v>
      </c>
      <c r="H27" s="21">
        <f>C27-G27-E27</f>
        <v>192.41553827639999</v>
      </c>
      <c r="I27" s="21"/>
      <c r="J27" s="21">
        <f t="shared" si="2"/>
        <v>195.4992</v>
      </c>
      <c r="K27" s="21">
        <f t="shared" si="3"/>
        <v>213.04399999999998</v>
      </c>
      <c r="L27" s="21">
        <v>209</v>
      </c>
      <c r="M27" s="21">
        <f>L27-H27</f>
        <v>16.584461723600015</v>
      </c>
      <c r="N27" s="21">
        <v>209</v>
      </c>
      <c r="O27" s="21">
        <f>N27-H27</f>
        <v>16.584461723600015</v>
      </c>
      <c r="P27" s="28">
        <f t="shared" si="6"/>
        <v>13.584461723600015</v>
      </c>
      <c r="Q27" s="35">
        <v>300</v>
      </c>
    </row>
    <row r="28" spans="1:18" ht="13.5" hidden="1" customHeight="1" x14ac:dyDescent="0.25">
      <c r="A28">
        <v>26</v>
      </c>
      <c r="B28" s="14" t="s">
        <v>29</v>
      </c>
      <c r="C28" s="12">
        <v>138.77000000000001</v>
      </c>
      <c r="D28" s="7">
        <v>4689.8999999999996</v>
      </c>
      <c r="E28" s="9">
        <v>50.88369000000003</v>
      </c>
      <c r="F28" s="33">
        <v>50.883690000000009</v>
      </c>
      <c r="G28" s="21">
        <f t="shared" si="0"/>
        <v>6.9385000000000012</v>
      </c>
      <c r="H28" s="27">
        <f>C28-G28-(E28*0.45)</f>
        <v>108.93383949999999</v>
      </c>
      <c r="I28" s="21"/>
      <c r="J28" s="21">
        <f t="shared" si="2"/>
        <v>108.24060000000001</v>
      </c>
      <c r="K28" s="21">
        <f t="shared" si="3"/>
        <v>117.95450000000001</v>
      </c>
      <c r="L28" s="21">
        <v>117</v>
      </c>
      <c r="M28" s="21">
        <f>(L28-H28)/0.45</f>
        <v>17.924801111111133</v>
      </c>
      <c r="N28" s="21">
        <v>117</v>
      </c>
      <c r="O28" s="21">
        <f>(N28-H28)/0.45</f>
        <v>17.924801111111133</v>
      </c>
      <c r="P28" s="28">
        <f t="shared" si="6"/>
        <v>14.924801111111133</v>
      </c>
      <c r="Q28" s="35"/>
      <c r="R28"/>
    </row>
    <row r="29" spans="1:18" ht="13.5" customHeight="1" x14ac:dyDescent="0.25">
      <c r="A29">
        <v>28</v>
      </c>
      <c r="B29" s="14" t="s">
        <v>20</v>
      </c>
      <c r="C29" s="12">
        <v>244.35</v>
      </c>
      <c r="D29" s="7">
        <v>3688.181</v>
      </c>
      <c r="E29" s="10">
        <v>40.317011129999997</v>
      </c>
      <c r="F29" s="33">
        <v>40.317011129999997</v>
      </c>
      <c r="G29" s="21">
        <f t="shared" si="0"/>
        <v>12.217500000000001</v>
      </c>
      <c r="H29" s="21">
        <f>C29-G29-E29</f>
        <v>191.81548887</v>
      </c>
      <c r="I29" s="21"/>
      <c r="J29" s="21">
        <f t="shared" si="2"/>
        <v>190.59299999999999</v>
      </c>
      <c r="K29" s="21">
        <f t="shared" si="3"/>
        <v>207.69749999999999</v>
      </c>
      <c r="L29" s="21">
        <v>209</v>
      </c>
      <c r="M29" s="21">
        <f>L29-H29</f>
        <v>17.184511130000004</v>
      </c>
      <c r="N29" s="21">
        <v>209</v>
      </c>
      <c r="O29" s="21">
        <f>N29-H29</f>
        <v>17.184511130000004</v>
      </c>
      <c r="P29" s="28">
        <f t="shared" si="6"/>
        <v>14.184511130000004</v>
      </c>
      <c r="Q29" s="35">
        <v>250</v>
      </c>
    </row>
    <row r="30" spans="1:18" ht="13.5" hidden="1" customHeight="1" x14ac:dyDescent="0.25">
      <c r="A30">
        <v>29</v>
      </c>
      <c r="B30" s="14" t="s">
        <v>17</v>
      </c>
      <c r="C30" s="12">
        <v>199.26</v>
      </c>
      <c r="D30" s="7">
        <v>3631.8269999999993</v>
      </c>
      <c r="E30" s="10">
        <v>32.87789999999999</v>
      </c>
      <c r="F30" s="33">
        <v>32.877899999999997</v>
      </c>
      <c r="G30" s="21">
        <f t="shared" si="0"/>
        <v>9.963000000000001</v>
      </c>
      <c r="H30" s="21">
        <f>C30-G30-E30</f>
        <v>156.41910000000001</v>
      </c>
      <c r="I30" s="21"/>
      <c r="J30" s="21">
        <f t="shared" si="2"/>
        <v>155.4228</v>
      </c>
      <c r="K30" s="21">
        <f t="shared" si="3"/>
        <v>169.37099999999998</v>
      </c>
      <c r="L30" s="21">
        <v>174</v>
      </c>
      <c r="M30" s="21">
        <f>L30-H30</f>
        <v>17.580899999999986</v>
      </c>
      <c r="N30" s="21">
        <v>174</v>
      </c>
      <c r="O30" s="21">
        <f>N30-H30</f>
        <v>17.580899999999986</v>
      </c>
      <c r="P30" s="28">
        <f t="shared" si="6"/>
        <v>14.580899999999986</v>
      </c>
      <c r="Q30" s="35"/>
      <c r="R30"/>
    </row>
    <row r="31" spans="1:18" ht="13.5" customHeight="1" x14ac:dyDescent="0.25">
      <c r="A31">
        <v>30</v>
      </c>
      <c r="B31" s="14" t="s">
        <v>21</v>
      </c>
      <c r="C31" s="12">
        <v>238.96</v>
      </c>
      <c r="D31" s="7">
        <v>3592.2820000000002</v>
      </c>
      <c r="E31" s="10">
        <v>39.429144809999976</v>
      </c>
      <c r="F31" s="33">
        <v>39.429144810000004</v>
      </c>
      <c r="G31" s="21">
        <f t="shared" si="0"/>
        <v>11.948</v>
      </c>
      <c r="H31" s="21">
        <f>C31-G31-E31</f>
        <v>187.58285519000003</v>
      </c>
      <c r="I31" s="21"/>
      <c r="J31" s="21">
        <f t="shared" si="2"/>
        <v>186.3888</v>
      </c>
      <c r="K31" s="21">
        <f t="shared" si="3"/>
        <v>203.11600000000001</v>
      </c>
      <c r="L31" s="21">
        <v>205</v>
      </c>
      <c r="M31" s="21">
        <f>L31-H31</f>
        <v>17.417144809999968</v>
      </c>
      <c r="N31" s="21">
        <v>205</v>
      </c>
      <c r="O31" s="21">
        <f>N31-H31</f>
        <v>17.417144809999968</v>
      </c>
      <c r="P31" s="28">
        <f t="shared" si="6"/>
        <v>14.417144809999968</v>
      </c>
      <c r="Q31" s="35">
        <v>200</v>
      </c>
    </row>
    <row r="32" spans="1:18" ht="13.5" hidden="1" customHeight="1" x14ac:dyDescent="0.25">
      <c r="A32">
        <v>31</v>
      </c>
      <c r="B32" s="14" t="s">
        <v>27</v>
      </c>
      <c r="C32" s="12">
        <v>93.12</v>
      </c>
      <c r="D32" s="7">
        <v>3477.6000000000004</v>
      </c>
      <c r="E32" s="9">
        <v>38.412831599999997</v>
      </c>
      <c r="F32" s="33">
        <v>38.412831600000004</v>
      </c>
      <c r="G32" s="21">
        <f t="shared" si="0"/>
        <v>4.6560000000000006</v>
      </c>
      <c r="H32" s="27">
        <f>C32-G32-(E32*0.4)</f>
        <v>73.09886736</v>
      </c>
      <c r="I32" s="21"/>
      <c r="J32" s="21">
        <f t="shared" si="2"/>
        <v>72.633600000000001</v>
      </c>
      <c r="K32" s="21">
        <f t="shared" si="3"/>
        <v>79.152000000000001</v>
      </c>
      <c r="L32" s="21">
        <v>81</v>
      </c>
      <c r="M32" s="21">
        <f>(L32-H32)/0.4</f>
        <v>19.7528316</v>
      </c>
      <c r="N32" s="21">
        <v>81</v>
      </c>
      <c r="O32" s="21">
        <f>(N32-H32)/0.4</f>
        <v>19.7528316</v>
      </c>
      <c r="P32" s="28">
        <f t="shared" si="6"/>
        <v>16.7528316</v>
      </c>
      <c r="Q32" s="35"/>
      <c r="R32"/>
    </row>
    <row r="33" spans="1:18" ht="13.5" customHeight="1" x14ac:dyDescent="0.25">
      <c r="A33">
        <v>32</v>
      </c>
      <c r="B33" s="14" t="s">
        <v>24</v>
      </c>
      <c r="C33" s="12">
        <v>257.52</v>
      </c>
      <c r="D33" s="7">
        <v>3216.451</v>
      </c>
      <c r="E33" s="10">
        <v>42.491408684999996</v>
      </c>
      <c r="F33" s="33">
        <v>42.491408685000003</v>
      </c>
      <c r="G33" s="21">
        <f t="shared" si="0"/>
        <v>12.875999999999999</v>
      </c>
      <c r="H33" s="21">
        <f>C33-G33-E33</f>
        <v>202.152591315</v>
      </c>
      <c r="I33" s="21"/>
      <c r="J33" s="21">
        <f t="shared" si="2"/>
        <v>200.8656</v>
      </c>
      <c r="K33" s="21">
        <f t="shared" si="3"/>
        <v>218.89199999999997</v>
      </c>
      <c r="L33" s="21">
        <v>220</v>
      </c>
      <c r="M33" s="21">
        <f>L33-H33</f>
        <v>17.847408685000005</v>
      </c>
      <c r="N33" s="21">
        <v>220</v>
      </c>
      <c r="O33" s="21">
        <f>N33-H33</f>
        <v>17.847408685000005</v>
      </c>
      <c r="P33" s="28">
        <f t="shared" si="6"/>
        <v>14.847408685000005</v>
      </c>
      <c r="Q33" s="35">
        <v>150</v>
      </c>
    </row>
    <row r="34" spans="1:18" ht="13.5" hidden="1" customHeight="1" x14ac:dyDescent="0.25">
      <c r="A34">
        <v>33</v>
      </c>
      <c r="B34" s="14" t="s">
        <v>39</v>
      </c>
      <c r="C34" s="12">
        <v>93.12</v>
      </c>
      <c r="D34" s="7">
        <v>3202.8</v>
      </c>
      <c r="E34" s="9">
        <v>38.41283160000004</v>
      </c>
      <c r="F34" s="33">
        <v>38.412831599999997</v>
      </c>
      <c r="G34" s="21">
        <f t="shared" si="0"/>
        <v>4.6560000000000006</v>
      </c>
      <c r="H34" s="27">
        <f>C34-G34-(E34*0.4)</f>
        <v>73.098867359999986</v>
      </c>
      <c r="I34" s="21"/>
      <c r="J34" s="21">
        <f t="shared" si="2"/>
        <v>72.633600000000001</v>
      </c>
      <c r="K34" s="21">
        <f t="shared" si="3"/>
        <v>79.152000000000001</v>
      </c>
      <c r="L34" s="21">
        <v>81</v>
      </c>
      <c r="M34" s="21">
        <f>(L34-H34)/0.4</f>
        <v>19.752831600000036</v>
      </c>
      <c r="N34" s="21">
        <v>81</v>
      </c>
      <c r="O34" s="21">
        <f>(N34-H34)/0.4</f>
        <v>19.752831600000036</v>
      </c>
      <c r="P34" s="28">
        <f t="shared" si="6"/>
        <v>16.752831600000036</v>
      </c>
      <c r="Q34" s="35"/>
      <c r="R34"/>
    </row>
    <row r="35" spans="1:18" ht="13.5" customHeight="1" x14ac:dyDescent="0.25">
      <c r="A35">
        <v>34</v>
      </c>
      <c r="B35" s="14" t="s">
        <v>94</v>
      </c>
      <c r="C35" s="12">
        <v>235.9</v>
      </c>
      <c r="D35" s="7">
        <v>2956.4450000000002</v>
      </c>
      <c r="E35" s="10">
        <v>51.89811000000001</v>
      </c>
      <c r="F35" s="33">
        <v>51.898109999999996</v>
      </c>
      <c r="G35" s="21">
        <f t="shared" ref="G35:G66" si="7">C35*0.05</f>
        <v>11.795000000000002</v>
      </c>
      <c r="H35" s="21">
        <f>C35-G35-E35</f>
        <v>172.20689000000002</v>
      </c>
      <c r="I35" s="21">
        <v>184</v>
      </c>
      <c r="J35" s="21">
        <f t="shared" ref="J35:J66" si="8">C35*0.78</f>
        <v>184.00200000000001</v>
      </c>
      <c r="K35" s="21">
        <f t="shared" ref="K35:K66" si="9">C35*0.85</f>
        <v>200.51499999999999</v>
      </c>
      <c r="L35" s="21">
        <v>181</v>
      </c>
      <c r="M35" s="21">
        <f>L35-H35</f>
        <v>8.7931099999999844</v>
      </c>
      <c r="N35" s="21">
        <v>181</v>
      </c>
      <c r="O35" s="21">
        <f>N35-H35</f>
        <v>8.7931099999999844</v>
      </c>
      <c r="P35" s="28">
        <f t="shared" ref="P35:P66" si="10">O35-3</f>
        <v>5.7931099999999844</v>
      </c>
      <c r="Q35" s="51">
        <f>2400+R35</f>
        <v>1400</v>
      </c>
      <c r="R35" s="49">
        <v>-1000</v>
      </c>
    </row>
    <row r="36" spans="1:18" ht="13.5" hidden="1" customHeight="1" x14ac:dyDescent="0.25">
      <c r="A36">
        <v>35</v>
      </c>
      <c r="B36" s="14" t="s">
        <v>92</v>
      </c>
      <c r="C36" s="12">
        <v>212.07</v>
      </c>
      <c r="D36" s="7">
        <v>2912.6480000000001</v>
      </c>
      <c r="E36" s="10">
        <v>46.655947799999993</v>
      </c>
      <c r="F36" s="33">
        <v>46.6559478</v>
      </c>
      <c r="G36" s="21">
        <f t="shared" si="7"/>
        <v>10.6035</v>
      </c>
      <c r="H36" s="21">
        <f>C36-G36-E36</f>
        <v>154.81055220000002</v>
      </c>
      <c r="I36" s="21"/>
      <c r="J36" s="21">
        <f t="shared" si="8"/>
        <v>165.41460000000001</v>
      </c>
      <c r="K36" s="21">
        <f t="shared" si="9"/>
        <v>180.2595</v>
      </c>
      <c r="L36" s="21">
        <v>172</v>
      </c>
      <c r="M36" s="21">
        <f>L36-H36</f>
        <v>17.189447799999982</v>
      </c>
      <c r="N36" s="21">
        <v>172</v>
      </c>
      <c r="O36" s="21">
        <f>N36-H36</f>
        <v>17.189447799999982</v>
      </c>
      <c r="P36" s="28">
        <f t="shared" si="10"/>
        <v>14.189447799999982</v>
      </c>
      <c r="Q36" s="35"/>
      <c r="R36"/>
    </row>
    <row r="37" spans="1:18" ht="13.5" hidden="1" customHeight="1" x14ac:dyDescent="0.25">
      <c r="A37">
        <v>36</v>
      </c>
      <c r="B37" s="15" t="s">
        <v>7</v>
      </c>
      <c r="C37" s="12">
        <v>165.79</v>
      </c>
      <c r="D37" s="7">
        <v>2736.2209999999995</v>
      </c>
      <c r="E37" s="10">
        <v>45.592249999999993</v>
      </c>
      <c r="F37" s="33">
        <v>45.59225</v>
      </c>
      <c r="G37" s="21">
        <f t="shared" si="7"/>
        <v>8.2895000000000003</v>
      </c>
      <c r="H37" s="21">
        <f>C37-G37-E37</f>
        <v>111.90825</v>
      </c>
      <c r="I37" s="21"/>
      <c r="J37" s="21">
        <f t="shared" si="8"/>
        <v>129.31620000000001</v>
      </c>
      <c r="K37" s="21">
        <f t="shared" si="9"/>
        <v>140.92149999999998</v>
      </c>
      <c r="L37" s="21">
        <v>130</v>
      </c>
      <c r="M37" s="21">
        <f>L37-H37</f>
        <v>18.091750000000005</v>
      </c>
      <c r="N37" s="21">
        <v>130</v>
      </c>
      <c r="O37" s="21">
        <f>N37-H37</f>
        <v>18.091750000000005</v>
      </c>
      <c r="P37" s="28">
        <f t="shared" si="10"/>
        <v>15.091750000000005</v>
      </c>
      <c r="Q37" s="35"/>
      <c r="R37"/>
    </row>
    <row r="38" spans="1:18" ht="13.5" customHeight="1" x14ac:dyDescent="0.25">
      <c r="A38">
        <v>37</v>
      </c>
      <c r="B38" s="14" t="s">
        <v>31</v>
      </c>
      <c r="C38" s="12">
        <v>246.59</v>
      </c>
      <c r="D38" s="7">
        <v>2692.1910000000003</v>
      </c>
      <c r="E38" s="10">
        <v>54.250015380000008</v>
      </c>
      <c r="F38" s="33">
        <v>54.250015380000001</v>
      </c>
      <c r="G38" s="21">
        <f t="shared" si="7"/>
        <v>12.329500000000001</v>
      </c>
      <c r="H38" s="21">
        <f>C38-G38-E38</f>
        <v>180.01048462</v>
      </c>
      <c r="I38" s="21"/>
      <c r="J38" s="21">
        <f t="shared" si="8"/>
        <v>192.34020000000001</v>
      </c>
      <c r="K38" s="21">
        <f t="shared" si="9"/>
        <v>209.60149999999999</v>
      </c>
      <c r="L38" s="21">
        <v>198</v>
      </c>
      <c r="M38" s="21">
        <f>L38-H38</f>
        <v>17.98951538</v>
      </c>
      <c r="N38" s="21">
        <v>198</v>
      </c>
      <c r="O38" s="21">
        <f>N38-H38</f>
        <v>17.98951538</v>
      </c>
      <c r="P38" s="28">
        <f t="shared" si="10"/>
        <v>14.98951538</v>
      </c>
      <c r="Q38" s="35">
        <v>1100</v>
      </c>
    </row>
    <row r="39" spans="1:18" ht="13.5" hidden="1" customHeight="1" x14ac:dyDescent="0.25">
      <c r="A39">
        <v>38</v>
      </c>
      <c r="B39" s="14" t="s">
        <v>36</v>
      </c>
      <c r="C39" s="12">
        <v>228.68</v>
      </c>
      <c r="D39" s="7">
        <v>2558.1079999999997</v>
      </c>
      <c r="E39" s="10">
        <v>37.73154329999997</v>
      </c>
      <c r="F39" s="33">
        <v>37.731543299999998</v>
      </c>
      <c r="G39" s="21">
        <f t="shared" si="7"/>
        <v>11.434000000000001</v>
      </c>
      <c r="H39" s="21">
        <f>C39-G39-E39</f>
        <v>179.51445670000004</v>
      </c>
      <c r="I39" s="21"/>
      <c r="J39" s="21">
        <f t="shared" si="8"/>
        <v>178.37040000000002</v>
      </c>
      <c r="K39" s="21">
        <f t="shared" si="9"/>
        <v>194.37800000000001</v>
      </c>
      <c r="L39" s="21">
        <v>196</v>
      </c>
      <c r="M39" s="21">
        <f>L39-H39</f>
        <v>16.485543299999961</v>
      </c>
      <c r="N39" s="21">
        <v>196</v>
      </c>
      <c r="O39" s="21">
        <f>N39-H39</f>
        <v>16.485543299999961</v>
      </c>
      <c r="P39" s="28">
        <f t="shared" si="10"/>
        <v>13.485543299999961</v>
      </c>
      <c r="Q39" s="35"/>
      <c r="R39"/>
    </row>
    <row r="40" spans="1:18" ht="13.5" hidden="1" customHeight="1" x14ac:dyDescent="0.25">
      <c r="A40">
        <v>39</v>
      </c>
      <c r="B40" s="14" t="s">
        <v>30</v>
      </c>
      <c r="C40" s="12">
        <v>138.30000000000001</v>
      </c>
      <c r="D40" s="7">
        <v>2497.5</v>
      </c>
      <c r="E40" s="9">
        <v>50.711430000000014</v>
      </c>
      <c r="F40" s="33">
        <v>50.71143</v>
      </c>
      <c r="G40" s="21">
        <f t="shared" si="7"/>
        <v>6.9150000000000009</v>
      </c>
      <c r="H40" s="27">
        <f>C40-G40-(E40*0.45)</f>
        <v>108.56485650000002</v>
      </c>
      <c r="I40" s="21"/>
      <c r="J40" s="21">
        <f t="shared" si="8"/>
        <v>107.87400000000001</v>
      </c>
      <c r="K40" s="21">
        <f t="shared" si="9"/>
        <v>117.55500000000001</v>
      </c>
      <c r="L40" s="21">
        <v>116</v>
      </c>
      <c r="M40" s="21">
        <f>(L40-H40)/0.45</f>
        <v>16.522541111111067</v>
      </c>
      <c r="N40" s="21">
        <v>116</v>
      </c>
      <c r="O40" s="21">
        <f>(N40-H40)/0.45</f>
        <v>16.522541111111067</v>
      </c>
      <c r="P40" s="28">
        <f t="shared" si="10"/>
        <v>13.522541111111067</v>
      </c>
      <c r="Q40" s="35"/>
      <c r="R40"/>
    </row>
    <row r="41" spans="1:18" ht="13.5" hidden="1" customHeight="1" x14ac:dyDescent="0.25">
      <c r="A41">
        <v>40</v>
      </c>
      <c r="B41" s="14" t="s">
        <v>43</v>
      </c>
      <c r="C41" s="12">
        <v>95.28</v>
      </c>
      <c r="D41" s="7">
        <v>2455.1999999999998</v>
      </c>
      <c r="E41" s="9">
        <v>39.302999999999997</v>
      </c>
      <c r="F41" s="33">
        <v>39.302999999999997</v>
      </c>
      <c r="G41" s="21">
        <f t="shared" si="7"/>
        <v>4.7640000000000002</v>
      </c>
      <c r="H41" s="27">
        <f>C41-G41-(E41*0.4)</f>
        <v>74.794800000000009</v>
      </c>
      <c r="I41" s="21"/>
      <c r="J41" s="21">
        <f t="shared" si="8"/>
        <v>74.318399999999997</v>
      </c>
      <c r="K41" s="21">
        <f t="shared" si="9"/>
        <v>80.988</v>
      </c>
      <c r="L41" s="21">
        <v>83</v>
      </c>
      <c r="M41" s="21">
        <f>(L41-H41)/0.4</f>
        <v>20.512999999999977</v>
      </c>
      <c r="N41" s="21">
        <v>83</v>
      </c>
      <c r="O41" s="21">
        <f>(N41-H41)/0.4</f>
        <v>20.512999999999977</v>
      </c>
      <c r="P41" s="28">
        <f t="shared" si="10"/>
        <v>17.512999999999977</v>
      </c>
      <c r="Q41" s="35"/>
      <c r="R41"/>
    </row>
    <row r="42" spans="1:18" ht="13.5" hidden="1" customHeight="1" x14ac:dyDescent="0.25">
      <c r="A42">
        <v>41</v>
      </c>
      <c r="B42" s="14" t="s">
        <v>11</v>
      </c>
      <c r="C42" s="12">
        <v>149.69999999999999</v>
      </c>
      <c r="D42" s="7">
        <v>2413.1189999999997</v>
      </c>
      <c r="E42" s="10">
        <v>35.419019999999996</v>
      </c>
      <c r="F42" s="33">
        <v>35.419019999999996</v>
      </c>
      <c r="G42" s="21">
        <f t="shared" si="7"/>
        <v>7.4849999999999994</v>
      </c>
      <c r="H42" s="21">
        <f t="shared" ref="H42:H48" si="11">C42-G42-E42</f>
        <v>106.79597999999999</v>
      </c>
      <c r="I42" s="21"/>
      <c r="J42" s="21">
        <f t="shared" si="8"/>
        <v>116.76599999999999</v>
      </c>
      <c r="K42" s="21">
        <f t="shared" si="9"/>
        <v>127.24499999999999</v>
      </c>
      <c r="L42" s="21">
        <v>126</v>
      </c>
      <c r="M42" s="21">
        <f t="shared" ref="M42:M48" si="12">L42-H42</f>
        <v>19.204020000000014</v>
      </c>
      <c r="N42" s="21">
        <v>126</v>
      </c>
      <c r="O42" s="21">
        <f t="shared" ref="O42:O48" si="13">N42-H42</f>
        <v>19.204020000000014</v>
      </c>
      <c r="P42" s="28">
        <f t="shared" si="10"/>
        <v>16.204020000000014</v>
      </c>
      <c r="Q42" s="35"/>
      <c r="R42"/>
    </row>
    <row r="43" spans="1:18" ht="13.5" hidden="1" customHeight="1" x14ac:dyDescent="0.25">
      <c r="A43">
        <v>42</v>
      </c>
      <c r="B43" s="14" t="s">
        <v>16</v>
      </c>
      <c r="C43" s="12">
        <v>210.08</v>
      </c>
      <c r="D43" s="7">
        <v>2375.7250000000004</v>
      </c>
      <c r="E43" s="10">
        <v>34.663200000000003</v>
      </c>
      <c r="F43" s="33">
        <v>34.663200000000003</v>
      </c>
      <c r="G43" s="21">
        <f t="shared" si="7"/>
        <v>10.504000000000001</v>
      </c>
      <c r="H43" s="21">
        <f t="shared" si="11"/>
        <v>164.9128</v>
      </c>
      <c r="I43" s="21"/>
      <c r="J43" s="21">
        <f t="shared" si="8"/>
        <v>163.86240000000001</v>
      </c>
      <c r="K43" s="21">
        <f t="shared" si="9"/>
        <v>178.56800000000001</v>
      </c>
      <c r="L43" s="21">
        <v>183</v>
      </c>
      <c r="M43" s="21">
        <f t="shared" si="12"/>
        <v>18.087199999999996</v>
      </c>
      <c r="N43" s="21">
        <v>183</v>
      </c>
      <c r="O43" s="21">
        <f t="shared" si="13"/>
        <v>18.087199999999996</v>
      </c>
      <c r="P43" s="28">
        <f t="shared" si="10"/>
        <v>15.087199999999996</v>
      </c>
      <c r="Q43" s="35"/>
      <c r="R43"/>
    </row>
    <row r="44" spans="1:18" ht="13.5" hidden="1" customHeight="1" x14ac:dyDescent="0.25">
      <c r="A44">
        <v>44</v>
      </c>
      <c r="B44" s="14" t="s">
        <v>81</v>
      </c>
      <c r="C44" s="12">
        <v>272.23</v>
      </c>
      <c r="D44" s="7">
        <v>2110.2039999999997</v>
      </c>
      <c r="E44" s="10">
        <v>44.917418700000034</v>
      </c>
      <c r="F44" s="33">
        <v>44.917418700000006</v>
      </c>
      <c r="G44" s="21">
        <f t="shared" si="7"/>
        <v>13.611500000000001</v>
      </c>
      <c r="H44" s="21">
        <f t="shared" si="11"/>
        <v>213.7010813</v>
      </c>
      <c r="I44" s="21"/>
      <c r="J44" s="21">
        <f t="shared" si="8"/>
        <v>212.33940000000001</v>
      </c>
      <c r="K44" s="21">
        <f t="shared" si="9"/>
        <v>231.3955</v>
      </c>
      <c r="L44" s="21">
        <v>232</v>
      </c>
      <c r="M44" s="21">
        <f t="shared" si="12"/>
        <v>18.298918700000002</v>
      </c>
      <c r="N44" s="21">
        <v>232</v>
      </c>
      <c r="O44" s="21">
        <f t="shared" si="13"/>
        <v>18.298918700000002</v>
      </c>
      <c r="P44" s="28">
        <f t="shared" si="10"/>
        <v>15.298918700000002</v>
      </c>
      <c r="Q44" s="35"/>
      <c r="R44"/>
    </row>
    <row r="45" spans="1:18" ht="13.5" hidden="1" customHeight="1" x14ac:dyDescent="0.25">
      <c r="A45">
        <v>45</v>
      </c>
      <c r="B45" s="14" t="s">
        <v>18</v>
      </c>
      <c r="C45" s="12">
        <v>287.81</v>
      </c>
      <c r="D45" s="7">
        <v>2006.7189999999998</v>
      </c>
      <c r="E45" s="10">
        <v>47.488650000000007</v>
      </c>
      <c r="F45" s="33">
        <v>47.48865</v>
      </c>
      <c r="G45" s="21">
        <f t="shared" si="7"/>
        <v>14.390500000000001</v>
      </c>
      <c r="H45" s="21">
        <f t="shared" si="11"/>
        <v>225.93085000000002</v>
      </c>
      <c r="I45" s="21"/>
      <c r="J45" s="21">
        <f t="shared" si="8"/>
        <v>224.49180000000001</v>
      </c>
      <c r="K45" s="21">
        <f t="shared" si="9"/>
        <v>244.63849999999999</v>
      </c>
      <c r="L45" s="21">
        <v>244</v>
      </c>
      <c r="M45" s="21">
        <f t="shared" si="12"/>
        <v>18.069149999999979</v>
      </c>
      <c r="N45" s="21">
        <v>244</v>
      </c>
      <c r="O45" s="21">
        <f t="shared" si="13"/>
        <v>18.069149999999979</v>
      </c>
      <c r="P45" s="28">
        <f t="shared" si="10"/>
        <v>15.069149999999979</v>
      </c>
      <c r="Q45" s="35"/>
      <c r="R45"/>
    </row>
    <row r="46" spans="1:18" ht="13.5" hidden="1" customHeight="1" x14ac:dyDescent="0.25">
      <c r="A46">
        <v>46</v>
      </c>
      <c r="B46" s="14" t="s">
        <v>26</v>
      </c>
      <c r="C46" s="12">
        <v>233.99</v>
      </c>
      <c r="D46" s="7">
        <v>1990.2150000000001</v>
      </c>
      <c r="E46" s="10">
        <v>38.607978750000001</v>
      </c>
      <c r="F46" s="33">
        <v>38.607978750000001</v>
      </c>
      <c r="G46" s="21">
        <f t="shared" si="7"/>
        <v>11.6995</v>
      </c>
      <c r="H46" s="21">
        <f t="shared" si="11"/>
        <v>183.68252125000001</v>
      </c>
      <c r="I46" s="21"/>
      <c r="J46" s="21">
        <f t="shared" si="8"/>
        <v>182.51220000000001</v>
      </c>
      <c r="K46" s="21">
        <f t="shared" si="9"/>
        <v>198.89150000000001</v>
      </c>
      <c r="L46" s="21">
        <v>203</v>
      </c>
      <c r="M46" s="21">
        <f t="shared" si="12"/>
        <v>19.317478749999992</v>
      </c>
      <c r="N46" s="21">
        <v>203</v>
      </c>
      <c r="O46" s="21">
        <f t="shared" si="13"/>
        <v>19.317478749999992</v>
      </c>
      <c r="P46" s="28">
        <f t="shared" si="10"/>
        <v>16.317478749999992</v>
      </c>
      <c r="Q46" s="35"/>
      <c r="R46"/>
    </row>
    <row r="47" spans="1:18" ht="13.5" hidden="1" customHeight="1" x14ac:dyDescent="0.25">
      <c r="A47">
        <v>47</v>
      </c>
      <c r="B47" s="14" t="s">
        <v>114</v>
      </c>
      <c r="C47" s="12">
        <v>185.08</v>
      </c>
      <c r="D47" s="7">
        <v>1786.0160000000001</v>
      </c>
      <c r="E47" s="9">
        <v>40.717600000000033</v>
      </c>
      <c r="F47" s="33">
        <v>40.717600000000004</v>
      </c>
      <c r="G47" s="21">
        <f t="shared" si="7"/>
        <v>9.2540000000000013</v>
      </c>
      <c r="H47" s="21">
        <f t="shared" si="11"/>
        <v>135.10839999999999</v>
      </c>
      <c r="I47" s="21"/>
      <c r="J47" s="21">
        <f t="shared" si="8"/>
        <v>144.36240000000001</v>
      </c>
      <c r="K47" s="21">
        <f t="shared" si="9"/>
        <v>157.31800000000001</v>
      </c>
      <c r="L47" s="21">
        <v>152</v>
      </c>
      <c r="M47" s="21">
        <f t="shared" si="12"/>
        <v>16.891600000000011</v>
      </c>
      <c r="N47" s="21">
        <v>152</v>
      </c>
      <c r="O47" s="21">
        <f t="shared" si="13"/>
        <v>16.891600000000011</v>
      </c>
      <c r="P47" s="28">
        <f t="shared" si="10"/>
        <v>13.891600000000011</v>
      </c>
      <c r="Q47" s="35"/>
      <c r="R47"/>
    </row>
    <row r="48" spans="1:18" ht="13.5" hidden="1" customHeight="1" x14ac:dyDescent="0.25">
      <c r="A48">
        <v>48</v>
      </c>
      <c r="B48" s="14" t="s">
        <v>115</v>
      </c>
      <c r="C48" s="12">
        <v>184.91</v>
      </c>
      <c r="D48" s="7">
        <v>1631.5530000000001</v>
      </c>
      <c r="E48" s="9">
        <v>40.680199999999999</v>
      </c>
      <c r="F48" s="33">
        <v>40.680199999999999</v>
      </c>
      <c r="G48" s="21">
        <f t="shared" si="7"/>
        <v>9.2454999999999998</v>
      </c>
      <c r="H48" s="21">
        <f t="shared" si="11"/>
        <v>134.98430000000002</v>
      </c>
      <c r="I48" s="21"/>
      <c r="J48" s="21">
        <f t="shared" si="8"/>
        <v>144.22980000000001</v>
      </c>
      <c r="K48" s="21">
        <f t="shared" si="9"/>
        <v>157.17349999999999</v>
      </c>
      <c r="L48" s="21">
        <v>152</v>
      </c>
      <c r="M48" s="21">
        <f t="shared" si="12"/>
        <v>17.015699999999981</v>
      </c>
      <c r="N48" s="21">
        <v>152</v>
      </c>
      <c r="O48" s="21">
        <f t="shared" si="13"/>
        <v>17.015699999999981</v>
      </c>
      <c r="P48" s="28">
        <f t="shared" si="10"/>
        <v>14.015699999999981</v>
      </c>
      <c r="Q48" s="35"/>
      <c r="R48"/>
    </row>
    <row r="49" spans="1:18" ht="13.5" hidden="1" customHeight="1" x14ac:dyDescent="0.25">
      <c r="A49">
        <v>49</v>
      </c>
      <c r="B49" s="14" t="s">
        <v>72</v>
      </c>
      <c r="C49" s="12">
        <v>85.92</v>
      </c>
      <c r="D49" s="7">
        <v>1533</v>
      </c>
      <c r="E49" s="9">
        <v>40.505142810000009</v>
      </c>
      <c r="F49" s="33">
        <v>40.505142810000002</v>
      </c>
      <c r="G49" s="21">
        <f t="shared" si="7"/>
        <v>4.2960000000000003</v>
      </c>
      <c r="H49" s="27">
        <f>C49-G49-(E49*0.35)</f>
        <v>67.447200016499991</v>
      </c>
      <c r="I49" s="21"/>
      <c r="J49" s="21">
        <f t="shared" si="8"/>
        <v>67.017600000000002</v>
      </c>
      <c r="K49" s="21">
        <f t="shared" si="9"/>
        <v>73.031999999999996</v>
      </c>
      <c r="L49" s="21">
        <v>75</v>
      </c>
      <c r="M49" s="21">
        <f>(L49-H49)/0.35</f>
        <v>21.579428524285742</v>
      </c>
      <c r="N49" s="21">
        <v>75</v>
      </c>
      <c r="O49" s="21">
        <f>(N49-H49)/0.35</f>
        <v>21.579428524285742</v>
      </c>
      <c r="P49" s="28">
        <f t="shared" si="10"/>
        <v>18.579428524285742</v>
      </c>
      <c r="Q49" s="35"/>
      <c r="R49"/>
    </row>
    <row r="50" spans="1:18" ht="13.5" hidden="1" customHeight="1" x14ac:dyDescent="0.25">
      <c r="A50">
        <v>51</v>
      </c>
      <c r="B50" s="14" t="s">
        <v>128</v>
      </c>
      <c r="C50" s="12">
        <v>94.69</v>
      </c>
      <c r="D50" s="7">
        <v>1473.6</v>
      </c>
      <c r="E50" s="9">
        <v>39.060953745000013</v>
      </c>
      <c r="F50" s="33">
        <v>39.060953745000006</v>
      </c>
      <c r="G50" s="21">
        <f t="shared" si="7"/>
        <v>4.7344999999999997</v>
      </c>
      <c r="H50" s="27">
        <f>C50-G50-(E50*0.4)</f>
        <v>74.331118501999995</v>
      </c>
      <c r="I50" s="21"/>
      <c r="J50" s="21">
        <f t="shared" si="8"/>
        <v>73.858199999999997</v>
      </c>
      <c r="K50" s="21">
        <f t="shared" si="9"/>
        <v>80.486499999999992</v>
      </c>
      <c r="L50" s="21">
        <v>82</v>
      </c>
      <c r="M50" s="21">
        <f>(L50-H50)/0.4</f>
        <v>19.172203745000012</v>
      </c>
      <c r="N50" s="21">
        <v>82</v>
      </c>
      <c r="O50" s="21">
        <f>(N50-H50)/0.4</f>
        <v>19.172203745000012</v>
      </c>
      <c r="P50" s="28">
        <f t="shared" si="10"/>
        <v>16.172203745000012</v>
      </c>
      <c r="Q50" s="35"/>
      <c r="R50"/>
    </row>
    <row r="51" spans="1:18" ht="13.5" hidden="1" customHeight="1" x14ac:dyDescent="0.25">
      <c r="A51">
        <v>52</v>
      </c>
      <c r="B51" s="14" t="s">
        <v>23</v>
      </c>
      <c r="C51" s="12">
        <v>310.42</v>
      </c>
      <c r="D51" s="7">
        <v>1461.799</v>
      </c>
      <c r="E51" s="10">
        <v>73.44537200000002</v>
      </c>
      <c r="F51" s="33">
        <v>73.445372000000006</v>
      </c>
      <c r="G51" s="21">
        <f t="shared" si="7"/>
        <v>15.521000000000001</v>
      </c>
      <c r="H51" s="21">
        <f>C51-G51-E51</f>
        <v>221.45362799999998</v>
      </c>
      <c r="I51" s="21"/>
      <c r="J51" s="21">
        <f t="shared" si="8"/>
        <v>242.12760000000003</v>
      </c>
      <c r="K51" s="21">
        <f t="shared" si="9"/>
        <v>263.85700000000003</v>
      </c>
      <c r="L51" s="21">
        <v>254</v>
      </c>
      <c r="M51" s="21">
        <f>L51-H51</f>
        <v>32.546372000000019</v>
      </c>
      <c r="N51" s="21">
        <v>254</v>
      </c>
      <c r="O51" s="21">
        <f>N51-H51</f>
        <v>32.546372000000019</v>
      </c>
      <c r="P51" s="28">
        <f t="shared" si="10"/>
        <v>29.546372000000019</v>
      </c>
      <c r="Q51" s="35"/>
      <c r="R51"/>
    </row>
    <row r="52" spans="1:18" ht="13.5" customHeight="1" x14ac:dyDescent="0.25">
      <c r="A52">
        <v>54</v>
      </c>
      <c r="B52" s="14" t="s">
        <v>122</v>
      </c>
      <c r="C52" s="12">
        <v>278.52</v>
      </c>
      <c r="D52" s="7">
        <v>1347.328</v>
      </c>
      <c r="E52" s="10">
        <v>72.389600813199991</v>
      </c>
      <c r="F52" s="33">
        <v>72.389600813199991</v>
      </c>
      <c r="G52" s="21">
        <f t="shared" si="7"/>
        <v>13.926</v>
      </c>
      <c r="H52" s="21">
        <f>C52-G52-E52</f>
        <v>192.2043991868</v>
      </c>
      <c r="I52" s="21"/>
      <c r="J52" s="21">
        <f t="shared" si="8"/>
        <v>217.2456</v>
      </c>
      <c r="K52" s="21">
        <f t="shared" si="9"/>
        <v>236.74199999999999</v>
      </c>
      <c r="L52" s="21">
        <v>223</v>
      </c>
      <c r="M52" s="21">
        <f>L52-H52</f>
        <v>30.795600813199997</v>
      </c>
      <c r="N52" s="21">
        <v>223</v>
      </c>
      <c r="O52" s="21">
        <f>N52-H52</f>
        <v>30.795600813199997</v>
      </c>
      <c r="P52" s="28">
        <f t="shared" si="10"/>
        <v>27.795600813199997</v>
      </c>
      <c r="Q52" s="35">
        <v>500</v>
      </c>
    </row>
    <row r="53" spans="1:18" ht="13.5" hidden="1" customHeight="1" x14ac:dyDescent="0.25">
      <c r="A53">
        <v>55</v>
      </c>
      <c r="B53" s="14" t="s">
        <v>95</v>
      </c>
      <c r="C53" s="12">
        <v>87.8</v>
      </c>
      <c r="D53" s="7">
        <v>1274.4000000000001</v>
      </c>
      <c r="E53" s="9">
        <v>24.143899780000019</v>
      </c>
      <c r="F53" s="33">
        <v>35.886614673000004</v>
      </c>
      <c r="G53" s="21">
        <f t="shared" si="7"/>
        <v>4.3899999999999997</v>
      </c>
      <c r="H53" s="27">
        <f>C53-G53-(E53*0.4)</f>
        <v>73.752440087999986</v>
      </c>
      <c r="I53" s="21"/>
      <c r="J53" s="21">
        <f t="shared" si="8"/>
        <v>68.483999999999995</v>
      </c>
      <c r="K53" s="21">
        <f t="shared" si="9"/>
        <v>74.63</v>
      </c>
      <c r="L53" s="21">
        <v>81</v>
      </c>
      <c r="M53" s="21">
        <f>(L53-H53)/0.4</f>
        <v>18.118899780000035</v>
      </c>
      <c r="N53" s="21">
        <v>81</v>
      </c>
      <c r="O53" s="21">
        <f>(N53-H53)/0.4</f>
        <v>18.118899780000035</v>
      </c>
      <c r="P53" s="28">
        <f t="shared" si="10"/>
        <v>15.118899780000035</v>
      </c>
      <c r="Q53" s="35"/>
      <c r="R53"/>
    </row>
    <row r="54" spans="1:18" ht="13.5" hidden="1" customHeight="1" x14ac:dyDescent="0.25">
      <c r="A54">
        <v>56</v>
      </c>
      <c r="B54" s="14" t="s">
        <v>66</v>
      </c>
      <c r="C54" s="12">
        <v>209.1</v>
      </c>
      <c r="D54" s="7">
        <v>1257.925</v>
      </c>
      <c r="E54" s="10">
        <v>34.502047965000024</v>
      </c>
      <c r="F54" s="33">
        <v>34.502047965000003</v>
      </c>
      <c r="G54" s="21">
        <f t="shared" si="7"/>
        <v>10.455</v>
      </c>
      <c r="H54" s="21">
        <f>C54-G54-E54</f>
        <v>164.14295203499995</v>
      </c>
      <c r="I54" s="21"/>
      <c r="J54" s="21">
        <f t="shared" si="8"/>
        <v>163.09800000000001</v>
      </c>
      <c r="K54" s="21">
        <f t="shared" si="9"/>
        <v>177.73499999999999</v>
      </c>
      <c r="L54" s="21">
        <v>182</v>
      </c>
      <c r="M54" s="21">
        <f>L54-H54</f>
        <v>17.857047965000049</v>
      </c>
      <c r="N54" s="21">
        <v>182</v>
      </c>
      <c r="O54" s="21">
        <f>N54-H54</f>
        <v>17.857047965000049</v>
      </c>
      <c r="P54" s="28">
        <f t="shared" si="10"/>
        <v>14.857047965000049</v>
      </c>
      <c r="Q54" s="35"/>
      <c r="R54"/>
    </row>
    <row r="55" spans="1:18" ht="13.5" hidden="1" customHeight="1" x14ac:dyDescent="0.25">
      <c r="A55">
        <v>57</v>
      </c>
      <c r="B55" s="14" t="s">
        <v>44</v>
      </c>
      <c r="C55" s="12">
        <v>239.84</v>
      </c>
      <c r="D55" s="7">
        <v>1187.8920000000001</v>
      </c>
      <c r="E55" s="10">
        <v>39.572948250000003</v>
      </c>
      <c r="F55" s="33">
        <v>39.572948250000003</v>
      </c>
      <c r="G55" s="21">
        <f t="shared" si="7"/>
        <v>11.992000000000001</v>
      </c>
      <c r="H55" s="21">
        <f>C55-G55-E55</f>
        <v>188.27505175000002</v>
      </c>
      <c r="I55" s="21"/>
      <c r="J55" s="21">
        <f t="shared" si="8"/>
        <v>187.0752</v>
      </c>
      <c r="K55" s="21">
        <f t="shared" si="9"/>
        <v>203.864</v>
      </c>
      <c r="L55" s="21">
        <v>207</v>
      </c>
      <c r="M55" s="21">
        <f>L55-H55</f>
        <v>18.724948249999983</v>
      </c>
      <c r="N55" s="21">
        <v>207</v>
      </c>
      <c r="O55" s="21">
        <f>N55-H55</f>
        <v>18.724948249999983</v>
      </c>
      <c r="P55" s="28">
        <f t="shared" si="10"/>
        <v>15.724948249999983</v>
      </c>
      <c r="Q55" s="35"/>
      <c r="R55"/>
    </row>
    <row r="56" spans="1:18" ht="13.5" hidden="1" customHeight="1" x14ac:dyDescent="0.25">
      <c r="A56">
        <v>58</v>
      </c>
      <c r="B56" s="14" t="s">
        <v>54</v>
      </c>
      <c r="C56" s="12">
        <v>98.1</v>
      </c>
      <c r="D56" s="7">
        <v>1122.4000000000001</v>
      </c>
      <c r="E56" s="10"/>
      <c r="F56" s="33"/>
      <c r="G56" s="21">
        <f t="shared" si="7"/>
        <v>4.9050000000000002</v>
      </c>
      <c r="H56" s="27">
        <f>C56-G56-(E56*0.4)</f>
        <v>93.194999999999993</v>
      </c>
      <c r="I56" s="21"/>
      <c r="J56" s="21">
        <f t="shared" si="8"/>
        <v>76.518000000000001</v>
      </c>
      <c r="K56" s="21">
        <f t="shared" si="9"/>
        <v>83.384999999999991</v>
      </c>
      <c r="L56" s="21">
        <v>97</v>
      </c>
      <c r="M56" s="21">
        <f>(L56-H56)/0.4</f>
        <v>9.5125000000000171</v>
      </c>
      <c r="N56" s="21">
        <v>97</v>
      </c>
      <c r="O56" s="21">
        <f>(N56-H56)/0.4</f>
        <v>9.5125000000000171</v>
      </c>
      <c r="P56" s="28">
        <f t="shared" si="10"/>
        <v>6.5125000000000171</v>
      </c>
      <c r="Q56" s="35"/>
      <c r="R56"/>
    </row>
    <row r="57" spans="1:18" ht="13.5" hidden="1" customHeight="1" x14ac:dyDescent="0.25">
      <c r="A57">
        <v>59</v>
      </c>
      <c r="B57" s="14" t="s">
        <v>41</v>
      </c>
      <c r="C57" s="12">
        <v>226.18</v>
      </c>
      <c r="D57" s="7">
        <v>1066.462</v>
      </c>
      <c r="E57" s="10">
        <v>58.806799999999974</v>
      </c>
      <c r="F57" s="33">
        <v>58.806800000000003</v>
      </c>
      <c r="G57" s="21">
        <f t="shared" si="7"/>
        <v>11.309000000000001</v>
      </c>
      <c r="H57" s="21">
        <f>C57-G57-E57</f>
        <v>156.06420000000003</v>
      </c>
      <c r="I57" s="21"/>
      <c r="J57" s="21">
        <f t="shared" si="8"/>
        <v>176.4204</v>
      </c>
      <c r="K57" s="21">
        <f t="shared" si="9"/>
        <v>192.25300000000001</v>
      </c>
      <c r="L57" s="21">
        <v>180</v>
      </c>
      <c r="M57" s="21">
        <f>L57-H57</f>
        <v>23.935799999999972</v>
      </c>
      <c r="N57" s="21">
        <v>180</v>
      </c>
      <c r="O57" s="21">
        <f>N57-H57</f>
        <v>23.935799999999972</v>
      </c>
      <c r="P57" s="28">
        <f t="shared" si="10"/>
        <v>20.935799999999972</v>
      </c>
      <c r="Q57" s="35"/>
      <c r="R57"/>
    </row>
    <row r="58" spans="1:18" ht="13.5" hidden="1" customHeight="1" x14ac:dyDescent="0.25">
      <c r="A58">
        <v>60</v>
      </c>
      <c r="B58" s="14" t="s">
        <v>127</v>
      </c>
      <c r="C58" s="12">
        <v>133.04</v>
      </c>
      <c r="D58" s="7">
        <v>1055</v>
      </c>
      <c r="E58" s="10"/>
      <c r="F58" s="33"/>
      <c r="G58" s="21">
        <f t="shared" si="7"/>
        <v>6.6520000000000001</v>
      </c>
      <c r="H58" s="27">
        <f>C58-G58-(E58*0.5)</f>
        <v>126.38799999999999</v>
      </c>
      <c r="I58" s="21"/>
      <c r="J58" s="21">
        <f t="shared" si="8"/>
        <v>103.77119999999999</v>
      </c>
      <c r="K58" s="21">
        <f t="shared" si="9"/>
        <v>113.08399999999999</v>
      </c>
      <c r="L58" s="21">
        <v>132</v>
      </c>
      <c r="M58" s="21">
        <f>(L58-H58)/0.5</f>
        <v>11.224000000000018</v>
      </c>
      <c r="N58" s="21">
        <v>132</v>
      </c>
      <c r="O58" s="21">
        <f>(N58-H58)/0.5</f>
        <v>11.224000000000018</v>
      </c>
      <c r="P58" s="28">
        <f t="shared" si="10"/>
        <v>8.224000000000018</v>
      </c>
      <c r="Q58" s="35"/>
      <c r="R58"/>
    </row>
    <row r="59" spans="1:18" ht="13.5" hidden="1" customHeight="1" x14ac:dyDescent="0.25">
      <c r="A59">
        <v>61</v>
      </c>
      <c r="B59" s="14" t="s">
        <v>132</v>
      </c>
      <c r="C59" s="12">
        <v>358.15</v>
      </c>
      <c r="D59" s="7">
        <v>1051.9560000000001</v>
      </c>
      <c r="E59" s="10">
        <v>59.094684000000008</v>
      </c>
      <c r="F59" s="33">
        <v>60.885432000000009</v>
      </c>
      <c r="G59" s="21">
        <f t="shared" si="7"/>
        <v>17.907499999999999</v>
      </c>
      <c r="H59" s="21">
        <f>C59-G59-E59</f>
        <v>281.14781599999992</v>
      </c>
      <c r="I59" s="21"/>
      <c r="J59" s="21">
        <f t="shared" si="8"/>
        <v>279.35699999999997</v>
      </c>
      <c r="K59" s="21">
        <f t="shared" si="9"/>
        <v>304.42749999999995</v>
      </c>
      <c r="L59" s="21">
        <v>307</v>
      </c>
      <c r="M59" s="21">
        <f>L59-H59</f>
        <v>25.852184000000079</v>
      </c>
      <c r="N59" s="21">
        <v>307</v>
      </c>
      <c r="O59" s="21">
        <f>N59-H59</f>
        <v>25.852184000000079</v>
      </c>
      <c r="P59" s="28">
        <f t="shared" si="10"/>
        <v>22.852184000000079</v>
      </c>
      <c r="Q59" s="35"/>
      <c r="R59"/>
    </row>
    <row r="60" spans="1:18" ht="13.5" hidden="1" customHeight="1" x14ac:dyDescent="0.25">
      <c r="A60">
        <v>62</v>
      </c>
      <c r="B60" s="14" t="s">
        <v>33</v>
      </c>
      <c r="C60" s="12">
        <v>233.05</v>
      </c>
      <c r="D60" s="7">
        <v>1037.3440000000001</v>
      </c>
      <c r="E60" s="10">
        <v>38.45391</v>
      </c>
      <c r="F60" s="33">
        <v>38.45391</v>
      </c>
      <c r="G60" s="21">
        <f t="shared" si="7"/>
        <v>11.652500000000002</v>
      </c>
      <c r="H60" s="21">
        <f>C60-G60-E60</f>
        <v>182.94359</v>
      </c>
      <c r="I60" s="21"/>
      <c r="J60" s="21">
        <f t="shared" si="8"/>
        <v>181.77900000000002</v>
      </c>
      <c r="K60" s="21">
        <f t="shared" si="9"/>
        <v>198.0925</v>
      </c>
      <c r="L60" s="21">
        <v>200</v>
      </c>
      <c r="M60" s="21">
        <f>L60-H60</f>
        <v>17.05641</v>
      </c>
      <c r="N60" s="21">
        <v>200</v>
      </c>
      <c r="O60" s="21">
        <f>N60-H60</f>
        <v>17.05641</v>
      </c>
      <c r="P60" s="28">
        <f t="shared" si="10"/>
        <v>14.05641</v>
      </c>
      <c r="Q60" s="35"/>
      <c r="R60"/>
    </row>
    <row r="61" spans="1:18" ht="13.5" customHeight="1" x14ac:dyDescent="0.25">
      <c r="A61">
        <v>63</v>
      </c>
      <c r="B61" s="14" t="s">
        <v>37</v>
      </c>
      <c r="C61" s="12">
        <v>293.27</v>
      </c>
      <c r="D61" s="7">
        <v>1029.2470000000001</v>
      </c>
      <c r="E61" s="10">
        <v>61.58111778</v>
      </c>
      <c r="F61" s="33">
        <v>61.58111778</v>
      </c>
      <c r="G61" s="21">
        <f t="shared" si="7"/>
        <v>14.663499999999999</v>
      </c>
      <c r="H61" s="21">
        <f>C61-G61-E61</f>
        <v>217.02538221999998</v>
      </c>
      <c r="I61" s="21"/>
      <c r="J61" s="21">
        <f t="shared" si="8"/>
        <v>228.75059999999999</v>
      </c>
      <c r="K61" s="21">
        <f t="shared" si="9"/>
        <v>249.27949999999998</v>
      </c>
      <c r="L61" s="21">
        <v>235</v>
      </c>
      <c r="M61" s="21">
        <f>L61-H61</f>
        <v>17.974617780000017</v>
      </c>
      <c r="N61" s="21">
        <v>235</v>
      </c>
      <c r="O61" s="21">
        <f>N61-H61</f>
        <v>17.974617780000017</v>
      </c>
      <c r="P61" s="28">
        <f t="shared" si="10"/>
        <v>14.974617780000017</v>
      </c>
      <c r="Q61" s="35">
        <v>300</v>
      </c>
    </row>
    <row r="62" spans="1:18" ht="13.5" hidden="1" customHeight="1" x14ac:dyDescent="0.25">
      <c r="A62">
        <v>65</v>
      </c>
      <c r="B62" s="14" t="s">
        <v>48</v>
      </c>
      <c r="C62" s="12">
        <v>96.84</v>
      </c>
      <c r="D62" s="7">
        <v>1019.6</v>
      </c>
      <c r="E62" s="9">
        <v>39.947517224999999</v>
      </c>
      <c r="F62" s="33">
        <v>39.947517225000006</v>
      </c>
      <c r="G62" s="21">
        <f t="shared" si="7"/>
        <v>4.8420000000000005</v>
      </c>
      <c r="H62" s="27">
        <f>C62-G62-(E62*0.4)</f>
        <v>76.018993109999997</v>
      </c>
      <c r="I62" s="21"/>
      <c r="J62" s="21">
        <f t="shared" si="8"/>
        <v>75.535200000000003</v>
      </c>
      <c r="K62" s="21">
        <f t="shared" si="9"/>
        <v>82.314000000000007</v>
      </c>
      <c r="L62" s="21">
        <v>83</v>
      </c>
      <c r="M62" s="21">
        <f>(L62-H62)/0.4</f>
        <v>17.452517225000008</v>
      </c>
      <c r="N62" s="21">
        <v>83</v>
      </c>
      <c r="O62" s="21">
        <f>(N62-H62)/0.4</f>
        <v>17.452517225000008</v>
      </c>
      <c r="P62" s="28">
        <f t="shared" si="10"/>
        <v>14.452517225000008</v>
      </c>
      <c r="Q62" s="35"/>
      <c r="R62"/>
    </row>
    <row r="63" spans="1:18" ht="13.5" hidden="1" customHeight="1" x14ac:dyDescent="0.25">
      <c r="A63">
        <v>66</v>
      </c>
      <c r="B63" s="14" t="s">
        <v>47</v>
      </c>
      <c r="C63" s="12">
        <v>96.84</v>
      </c>
      <c r="D63" s="7">
        <v>1018.4000000000001</v>
      </c>
      <c r="E63" s="9">
        <v>39.947517224999999</v>
      </c>
      <c r="F63" s="33">
        <v>39.947517225000006</v>
      </c>
      <c r="G63" s="21">
        <f t="shared" si="7"/>
        <v>4.8420000000000005</v>
      </c>
      <c r="H63" s="27">
        <f>C63-G63-(E63*0.4)</f>
        <v>76.018993109999997</v>
      </c>
      <c r="I63" s="21"/>
      <c r="J63" s="21">
        <f t="shared" si="8"/>
        <v>75.535200000000003</v>
      </c>
      <c r="K63" s="21">
        <f t="shared" si="9"/>
        <v>82.314000000000007</v>
      </c>
      <c r="L63" s="21">
        <v>83</v>
      </c>
      <c r="M63" s="21">
        <f>(L63-H63)/0.4</f>
        <v>17.452517225000008</v>
      </c>
      <c r="N63" s="21">
        <v>83</v>
      </c>
      <c r="O63" s="21">
        <f>(N63-H63)/0.4</f>
        <v>17.452517225000008</v>
      </c>
      <c r="P63" s="28">
        <f t="shared" si="10"/>
        <v>14.452517225000008</v>
      </c>
      <c r="Q63" s="35"/>
      <c r="R63"/>
    </row>
    <row r="64" spans="1:18" ht="13.5" customHeight="1" x14ac:dyDescent="0.25">
      <c r="A64">
        <v>67</v>
      </c>
      <c r="B64" s="14" t="s">
        <v>12</v>
      </c>
      <c r="C64" s="12">
        <v>319.7</v>
      </c>
      <c r="D64" s="7">
        <v>1007.187</v>
      </c>
      <c r="E64" s="10">
        <v>63.779468707500008</v>
      </c>
      <c r="F64" s="33">
        <v>63.779468707500001</v>
      </c>
      <c r="G64" s="21">
        <f t="shared" si="7"/>
        <v>15.984999999999999</v>
      </c>
      <c r="H64" s="21">
        <f>C64-G64-E64</f>
        <v>239.93553129249997</v>
      </c>
      <c r="I64" s="21"/>
      <c r="J64" s="21">
        <f t="shared" si="8"/>
        <v>249.36599999999999</v>
      </c>
      <c r="K64" s="21">
        <f t="shared" si="9"/>
        <v>271.745</v>
      </c>
      <c r="L64" s="21">
        <v>264</v>
      </c>
      <c r="M64" s="21">
        <f>L64-H64</f>
        <v>24.064468707500026</v>
      </c>
      <c r="N64" s="21">
        <v>264</v>
      </c>
      <c r="O64" s="21">
        <f>N64-H64</f>
        <v>24.064468707500026</v>
      </c>
      <c r="P64" s="28">
        <f t="shared" si="10"/>
        <v>21.064468707500026</v>
      </c>
      <c r="Q64" s="35">
        <v>150</v>
      </c>
    </row>
    <row r="65" spans="1:18" ht="13.5" customHeight="1" x14ac:dyDescent="0.25">
      <c r="A65">
        <v>68</v>
      </c>
      <c r="B65" s="14" t="s">
        <v>14</v>
      </c>
      <c r="C65" s="12">
        <v>309.19</v>
      </c>
      <c r="D65" s="7">
        <v>944.88299999999992</v>
      </c>
      <c r="E65" s="10">
        <v>51.01642919999999</v>
      </c>
      <c r="F65" s="33">
        <v>51.016429199999997</v>
      </c>
      <c r="G65" s="21">
        <f t="shared" si="7"/>
        <v>15.4595</v>
      </c>
      <c r="H65" s="21">
        <f>C65-G65-E65</f>
        <v>242.7140708</v>
      </c>
      <c r="I65" s="21"/>
      <c r="J65" s="21">
        <f t="shared" si="8"/>
        <v>241.16820000000001</v>
      </c>
      <c r="K65" s="21">
        <f t="shared" si="9"/>
        <v>262.81149999999997</v>
      </c>
      <c r="L65" s="21">
        <v>259</v>
      </c>
      <c r="M65" s="21">
        <f>L65-H65</f>
        <v>16.285929199999998</v>
      </c>
      <c r="N65" s="21">
        <v>259</v>
      </c>
      <c r="O65" s="21">
        <f>N65-H65</f>
        <v>16.285929199999998</v>
      </c>
      <c r="P65" s="28">
        <f t="shared" si="10"/>
        <v>13.285929199999998</v>
      </c>
      <c r="Q65" s="35">
        <v>100</v>
      </c>
    </row>
    <row r="66" spans="1:18" ht="13.5" customHeight="1" x14ac:dyDescent="0.25">
      <c r="A66">
        <v>69</v>
      </c>
      <c r="B66" s="14" t="s">
        <v>38</v>
      </c>
      <c r="C66" s="12">
        <v>281.88</v>
      </c>
      <c r="D66" s="7">
        <v>928.22800000000007</v>
      </c>
      <c r="E66" s="10">
        <v>31.006498050000008</v>
      </c>
      <c r="F66" s="33">
        <v>46.086931192500003</v>
      </c>
      <c r="G66" s="21">
        <f t="shared" si="7"/>
        <v>14.094000000000001</v>
      </c>
      <c r="H66" s="21">
        <f>C66-G66-E66</f>
        <v>236.77950195</v>
      </c>
      <c r="I66" s="21"/>
      <c r="J66" s="21">
        <f t="shared" si="8"/>
        <v>219.8664</v>
      </c>
      <c r="K66" s="21">
        <f t="shared" si="9"/>
        <v>239.59799999999998</v>
      </c>
      <c r="L66" s="21">
        <v>254</v>
      </c>
      <c r="M66" s="21">
        <f>L66-H66</f>
        <v>17.220498050000003</v>
      </c>
      <c r="N66" s="21">
        <v>254</v>
      </c>
      <c r="O66" s="21">
        <f>N66-H66</f>
        <v>17.220498050000003</v>
      </c>
      <c r="P66" s="28">
        <f t="shared" si="10"/>
        <v>14.220498050000003</v>
      </c>
      <c r="Q66" s="35">
        <v>50</v>
      </c>
    </row>
    <row r="67" spans="1:18" ht="13.5" hidden="1" customHeight="1" x14ac:dyDescent="0.25">
      <c r="A67">
        <v>76</v>
      </c>
      <c r="B67" s="14" t="s">
        <v>55</v>
      </c>
      <c r="C67" s="12">
        <v>99.78</v>
      </c>
      <c r="D67" s="7">
        <v>821.1</v>
      </c>
      <c r="E67" s="10"/>
      <c r="F67" s="33"/>
      <c r="G67" s="21">
        <f t="shared" ref="G67:G98" si="14">C67*0.05</f>
        <v>4.9890000000000008</v>
      </c>
      <c r="H67" s="27">
        <f>C67-G67-(E67*0.35)</f>
        <v>94.790999999999997</v>
      </c>
      <c r="I67" s="21"/>
      <c r="J67" s="21">
        <f t="shared" ref="J67:J98" si="15">C67*0.78</f>
        <v>77.828400000000002</v>
      </c>
      <c r="K67" s="21">
        <f t="shared" ref="K67:K98" si="16">C67*0.85</f>
        <v>84.813000000000002</v>
      </c>
      <c r="L67" s="21">
        <v>99</v>
      </c>
      <c r="M67" s="21">
        <f>(L67-H67)/0.35</f>
        <v>12.025714285714296</v>
      </c>
      <c r="N67" s="21">
        <v>99</v>
      </c>
      <c r="O67" s="21">
        <f>(N67-H67)/0.35</f>
        <v>12.025714285714296</v>
      </c>
      <c r="P67" s="28">
        <f t="shared" ref="P67:P77" si="17">O67-3</f>
        <v>9.0257142857142956</v>
      </c>
      <c r="Q67" s="35"/>
      <c r="R67"/>
    </row>
    <row r="68" spans="1:18" ht="13.5" hidden="1" customHeight="1" x14ac:dyDescent="0.25">
      <c r="A68">
        <v>77</v>
      </c>
      <c r="B68" s="14" t="s">
        <v>129</v>
      </c>
      <c r="C68" s="12">
        <v>217.69</v>
      </c>
      <c r="D68" s="7">
        <v>817.24</v>
      </c>
      <c r="E68" s="10"/>
      <c r="F68" s="33"/>
      <c r="G68" s="21">
        <f t="shared" si="14"/>
        <v>10.884500000000001</v>
      </c>
      <c r="H68" s="21">
        <f>C68-G68-E68</f>
        <v>206.80549999999999</v>
      </c>
      <c r="I68" s="21"/>
      <c r="J68" s="21">
        <f t="shared" si="15"/>
        <v>169.79820000000001</v>
      </c>
      <c r="K68" s="21">
        <f t="shared" si="16"/>
        <v>185.03649999999999</v>
      </c>
      <c r="L68" s="21">
        <v>217</v>
      </c>
      <c r="M68" s="21">
        <f>L68-H68</f>
        <v>10.194500000000005</v>
      </c>
      <c r="N68" s="21">
        <v>217</v>
      </c>
      <c r="O68" s="21">
        <f>N68-H68</f>
        <v>10.194500000000005</v>
      </c>
      <c r="P68" s="28">
        <f t="shared" si="17"/>
        <v>7.194500000000005</v>
      </c>
      <c r="Q68" s="35"/>
      <c r="R68"/>
    </row>
    <row r="69" spans="1:18" ht="13.5" hidden="1" customHeight="1" x14ac:dyDescent="0.25">
      <c r="A69">
        <v>78</v>
      </c>
      <c r="B69" s="14" t="s">
        <v>42</v>
      </c>
      <c r="C69" s="12">
        <v>169.59</v>
      </c>
      <c r="D69" s="7">
        <v>801.9</v>
      </c>
      <c r="E69" s="9">
        <v>82.912737600000014</v>
      </c>
      <c r="F69" s="33">
        <v>82.9127376</v>
      </c>
      <c r="G69" s="21">
        <f t="shared" si="14"/>
        <v>8.4794999999999998</v>
      </c>
      <c r="H69" s="27">
        <f>C69-G69-(E69*0.45)</f>
        <v>123.79976807999999</v>
      </c>
      <c r="I69" s="21"/>
      <c r="J69" s="21">
        <f t="shared" si="15"/>
        <v>132.28020000000001</v>
      </c>
      <c r="K69" s="21">
        <f t="shared" si="16"/>
        <v>144.1515</v>
      </c>
      <c r="L69" s="21">
        <v>134</v>
      </c>
      <c r="M69" s="21">
        <f>(L69-H69)/0.45</f>
        <v>22.667182044444459</v>
      </c>
      <c r="N69" s="21">
        <v>134</v>
      </c>
      <c r="O69" s="21">
        <f>(N69-H69)/0.45</f>
        <v>22.667182044444459</v>
      </c>
      <c r="P69" s="28">
        <f t="shared" si="17"/>
        <v>19.667182044444459</v>
      </c>
      <c r="Q69" s="35"/>
      <c r="R69"/>
    </row>
    <row r="70" spans="1:18" ht="13.5" hidden="1" customHeight="1" x14ac:dyDescent="0.25">
      <c r="A70">
        <v>79</v>
      </c>
      <c r="B70" s="14" t="s">
        <v>49</v>
      </c>
      <c r="C70" s="12">
        <v>355.75</v>
      </c>
      <c r="D70" s="7">
        <v>799.827</v>
      </c>
      <c r="E70" s="10">
        <v>59.197499212800011</v>
      </c>
      <c r="F70" s="33">
        <v>59.197499212800004</v>
      </c>
      <c r="G70" s="21">
        <f t="shared" si="14"/>
        <v>17.787500000000001</v>
      </c>
      <c r="H70" s="21">
        <f>C70-G70-E70</f>
        <v>278.76500078719994</v>
      </c>
      <c r="I70" s="21"/>
      <c r="J70" s="21">
        <f t="shared" si="15"/>
        <v>277.48500000000001</v>
      </c>
      <c r="K70" s="21">
        <f t="shared" si="16"/>
        <v>302.38749999999999</v>
      </c>
      <c r="L70" s="21">
        <v>296</v>
      </c>
      <c r="M70" s="21">
        <f>L70-H70</f>
        <v>17.234999212800062</v>
      </c>
      <c r="N70" s="21">
        <v>296</v>
      </c>
      <c r="O70" s="21">
        <f>N70-H70</f>
        <v>17.234999212800062</v>
      </c>
      <c r="P70" s="28">
        <f t="shared" si="17"/>
        <v>14.234999212800062</v>
      </c>
      <c r="Q70" s="35"/>
      <c r="R70"/>
    </row>
    <row r="71" spans="1:18" ht="13.5" hidden="1" customHeight="1" x14ac:dyDescent="0.25">
      <c r="A71">
        <v>80</v>
      </c>
      <c r="B71" s="14" t="s">
        <v>28</v>
      </c>
      <c r="C71" s="12">
        <v>90.22</v>
      </c>
      <c r="D71" s="7">
        <v>795.90000000000009</v>
      </c>
      <c r="E71" s="9">
        <v>42.53228578500002</v>
      </c>
      <c r="F71" s="33">
        <v>42.532285785000006</v>
      </c>
      <c r="G71" s="21">
        <f t="shared" si="14"/>
        <v>4.5110000000000001</v>
      </c>
      <c r="H71" s="27">
        <f>C71-G71-(E71*0.35)</f>
        <v>70.822699975250003</v>
      </c>
      <c r="I71" s="21"/>
      <c r="J71" s="21">
        <f t="shared" si="15"/>
        <v>70.371600000000001</v>
      </c>
      <c r="K71" s="21">
        <f t="shared" si="16"/>
        <v>76.686999999999998</v>
      </c>
      <c r="L71" s="21">
        <v>77</v>
      </c>
      <c r="M71" s="21">
        <f>(L71-H71)/0.35</f>
        <v>17.649428642142848</v>
      </c>
      <c r="N71" s="21">
        <v>77</v>
      </c>
      <c r="O71" s="21">
        <f>(N71-H71)/0.35</f>
        <v>17.649428642142848</v>
      </c>
      <c r="P71" s="28">
        <f t="shared" si="17"/>
        <v>14.649428642142848</v>
      </c>
      <c r="Q71" s="35"/>
      <c r="R71"/>
    </row>
    <row r="72" spans="1:18" ht="13.5" hidden="1" customHeight="1" x14ac:dyDescent="0.25">
      <c r="A72">
        <v>81</v>
      </c>
      <c r="B72" s="14" t="s">
        <v>45</v>
      </c>
      <c r="C72" s="12">
        <v>156.58000000000001</v>
      </c>
      <c r="D72" s="7">
        <v>792</v>
      </c>
      <c r="E72" s="9">
        <v>86.118120000000047</v>
      </c>
      <c r="F72" s="33">
        <v>86.118120000000005</v>
      </c>
      <c r="G72" s="21">
        <f t="shared" si="14"/>
        <v>7.8290000000000006</v>
      </c>
      <c r="H72" s="27">
        <f>C72-G72-(E72*0.4)</f>
        <v>114.30375199999997</v>
      </c>
      <c r="I72" s="21"/>
      <c r="J72" s="21">
        <f t="shared" si="15"/>
        <v>122.13240000000002</v>
      </c>
      <c r="K72" s="21">
        <f t="shared" si="16"/>
        <v>133.09300000000002</v>
      </c>
      <c r="L72" s="21">
        <v>124</v>
      </c>
      <c r="M72" s="21">
        <f>(L72-H72)/0.4</f>
        <v>24.240620000000064</v>
      </c>
      <c r="N72" s="21">
        <v>124</v>
      </c>
      <c r="O72" s="21">
        <f>(N72-H72)/0.4</f>
        <v>24.240620000000064</v>
      </c>
      <c r="P72" s="28">
        <f t="shared" si="17"/>
        <v>21.240620000000064</v>
      </c>
      <c r="Q72" s="35"/>
      <c r="R72"/>
    </row>
    <row r="73" spans="1:18" ht="13.5" customHeight="1" x14ac:dyDescent="0.25">
      <c r="A73">
        <v>82</v>
      </c>
      <c r="B73" s="14" t="s">
        <v>25</v>
      </c>
      <c r="C73" s="12">
        <v>316.75</v>
      </c>
      <c r="D73" s="7">
        <v>787.55799999999999</v>
      </c>
      <c r="E73" s="10">
        <v>52.264119599999994</v>
      </c>
      <c r="F73" s="33">
        <v>52.264119600000001</v>
      </c>
      <c r="G73" s="21">
        <f t="shared" si="14"/>
        <v>15.8375</v>
      </c>
      <c r="H73" s="21">
        <f t="shared" ref="H73:H104" si="18">C73-G73-E73</f>
        <v>248.64838040000004</v>
      </c>
      <c r="I73" s="21"/>
      <c r="J73" s="21">
        <f t="shared" si="15"/>
        <v>247.065</v>
      </c>
      <c r="K73" s="21">
        <f t="shared" si="16"/>
        <v>269.23750000000001</v>
      </c>
      <c r="L73" s="21">
        <v>272</v>
      </c>
      <c r="M73" s="21">
        <f>L73-H73</f>
        <v>23.351619599999964</v>
      </c>
      <c r="N73" s="21">
        <v>272</v>
      </c>
      <c r="O73" s="21">
        <f>N73-H73</f>
        <v>23.351619599999964</v>
      </c>
      <c r="P73" s="28">
        <f t="shared" si="17"/>
        <v>20.351619599999964</v>
      </c>
      <c r="Q73" s="35">
        <v>100</v>
      </c>
    </row>
    <row r="74" spans="1:18" ht="13.5" hidden="1" customHeight="1" x14ac:dyDescent="0.25">
      <c r="A74">
        <v>83</v>
      </c>
      <c r="B74" s="14" t="s">
        <v>46</v>
      </c>
      <c r="C74" s="12">
        <v>259.43</v>
      </c>
      <c r="D74" s="7">
        <v>787.53699999999992</v>
      </c>
      <c r="E74" s="10"/>
      <c r="F74" s="33"/>
      <c r="G74" s="21">
        <f t="shared" si="14"/>
        <v>12.971500000000001</v>
      </c>
      <c r="H74" s="21">
        <f t="shared" si="18"/>
        <v>246.45850000000002</v>
      </c>
      <c r="I74" s="21"/>
      <c r="J74" s="21">
        <f t="shared" si="15"/>
        <v>202.3554</v>
      </c>
      <c r="K74" s="21">
        <f t="shared" si="16"/>
        <v>220.5155</v>
      </c>
      <c r="L74" s="21">
        <v>258</v>
      </c>
      <c r="M74" s="21">
        <f>L74-H74</f>
        <v>11.541499999999985</v>
      </c>
      <c r="N74" s="21">
        <v>258</v>
      </c>
      <c r="O74" s="21">
        <f>N74-H74</f>
        <v>11.541499999999985</v>
      </c>
      <c r="P74" s="28">
        <f t="shared" si="17"/>
        <v>8.541499999999985</v>
      </c>
      <c r="Q74" s="35"/>
      <c r="R74"/>
    </row>
    <row r="75" spans="1:18" ht="13.5" customHeight="1" x14ac:dyDescent="0.25">
      <c r="A75">
        <v>86</v>
      </c>
      <c r="B75" s="14" t="s">
        <v>105</v>
      </c>
      <c r="C75" s="12">
        <v>206.32</v>
      </c>
      <c r="D75" s="7">
        <v>693.43100000000004</v>
      </c>
      <c r="E75" s="10">
        <v>51.579275000000003</v>
      </c>
      <c r="F75" s="33">
        <v>51.57927500000001</v>
      </c>
      <c r="G75" s="21">
        <f t="shared" si="14"/>
        <v>10.316000000000001</v>
      </c>
      <c r="H75" s="21">
        <f t="shared" si="18"/>
        <v>144.424725</v>
      </c>
      <c r="I75" s="21"/>
      <c r="J75" s="21">
        <f t="shared" si="15"/>
        <v>160.92959999999999</v>
      </c>
      <c r="K75" s="21">
        <f t="shared" si="16"/>
        <v>175.37199999999999</v>
      </c>
      <c r="L75" s="21">
        <v>164</v>
      </c>
      <c r="M75" s="21">
        <f>L75-H75</f>
        <v>19.575275000000005</v>
      </c>
      <c r="N75" s="21">
        <v>164</v>
      </c>
      <c r="O75" s="21">
        <f>N75-H75</f>
        <v>19.575275000000005</v>
      </c>
      <c r="P75" s="28">
        <f t="shared" si="17"/>
        <v>16.575275000000005</v>
      </c>
      <c r="Q75" s="35">
        <v>1400</v>
      </c>
    </row>
    <row r="76" spans="1:18" ht="13.5" customHeight="1" thickBot="1" x14ac:dyDescent="0.3">
      <c r="A76">
        <v>87</v>
      </c>
      <c r="B76" s="14" t="s">
        <v>118</v>
      </c>
      <c r="C76" s="12">
        <v>233.56</v>
      </c>
      <c r="D76" s="7">
        <v>688.37900000000002</v>
      </c>
      <c r="E76" s="10">
        <v>51.383859999999999</v>
      </c>
      <c r="F76" s="33">
        <v>51.383859999999999</v>
      </c>
      <c r="G76" s="21">
        <f t="shared" si="14"/>
        <v>11.678000000000001</v>
      </c>
      <c r="H76" s="21">
        <f t="shared" si="18"/>
        <v>170.49814000000001</v>
      </c>
      <c r="I76" s="21"/>
      <c r="J76" s="21">
        <f t="shared" si="15"/>
        <v>182.17680000000001</v>
      </c>
      <c r="K76" s="21">
        <f t="shared" si="16"/>
        <v>198.52600000000001</v>
      </c>
      <c r="L76" s="21">
        <v>182</v>
      </c>
      <c r="M76" s="21">
        <f>L76-H76</f>
        <v>11.501859999999994</v>
      </c>
      <c r="N76" s="21">
        <v>182</v>
      </c>
      <c r="O76" s="21">
        <f>N76-H76</f>
        <v>11.501859999999994</v>
      </c>
      <c r="P76" s="28">
        <f t="shared" si="17"/>
        <v>8.5018599999999935</v>
      </c>
      <c r="Q76" s="35">
        <v>100</v>
      </c>
    </row>
    <row r="77" spans="1:18" ht="13.5" hidden="1" customHeight="1" x14ac:dyDescent="0.3">
      <c r="A77">
        <v>94</v>
      </c>
      <c r="B77" s="14" t="s">
        <v>40</v>
      </c>
      <c r="C77" s="12">
        <v>218.37</v>
      </c>
      <c r="D77" s="7">
        <v>596.33699999999999</v>
      </c>
      <c r="E77" s="10">
        <v>36.030555</v>
      </c>
      <c r="F77" s="33">
        <v>36.030555</v>
      </c>
      <c r="G77" s="21">
        <f t="shared" si="14"/>
        <v>10.918500000000002</v>
      </c>
      <c r="H77" s="21">
        <f t="shared" si="18"/>
        <v>171.42094500000002</v>
      </c>
      <c r="I77" s="21"/>
      <c r="J77" s="21">
        <f t="shared" si="15"/>
        <v>170.32860000000002</v>
      </c>
      <c r="K77" s="21">
        <f t="shared" si="16"/>
        <v>185.61449999999999</v>
      </c>
      <c r="L77" s="21">
        <v>190</v>
      </c>
      <c r="M77" s="21">
        <f>L77-H77</f>
        <v>18.579054999999983</v>
      </c>
      <c r="N77" s="21">
        <v>190</v>
      </c>
      <c r="O77" s="21">
        <f>N77-H77</f>
        <v>18.579054999999983</v>
      </c>
      <c r="P77" s="28">
        <f t="shared" si="17"/>
        <v>15.579054999999983</v>
      </c>
      <c r="Q77" s="35"/>
      <c r="R77"/>
    </row>
    <row r="78" spans="1:18" ht="13.5" hidden="1" customHeight="1" x14ac:dyDescent="0.3">
      <c r="A78">
        <v>98</v>
      </c>
      <c r="B78" s="14" t="s">
        <v>88</v>
      </c>
      <c r="C78" s="12">
        <v>318.58999999999997</v>
      </c>
      <c r="D78" s="7">
        <v>461.02200000000005</v>
      </c>
      <c r="E78" s="10"/>
      <c r="F78" s="33"/>
      <c r="G78" s="21">
        <f t="shared" si="14"/>
        <v>15.929499999999999</v>
      </c>
      <c r="H78" s="21">
        <f t="shared" si="18"/>
        <v>302.66049999999996</v>
      </c>
      <c r="I78" s="21"/>
      <c r="J78" s="21">
        <f t="shared" si="15"/>
        <v>248.50019999999998</v>
      </c>
      <c r="K78" s="21">
        <f t="shared" si="16"/>
        <v>270.80149999999998</v>
      </c>
      <c r="L78" s="21">
        <v>0</v>
      </c>
      <c r="M78" s="28"/>
      <c r="Q78" s="35"/>
      <c r="R78"/>
    </row>
    <row r="79" spans="1:18" ht="13.5" hidden="1" customHeight="1" x14ac:dyDescent="0.3">
      <c r="A79">
        <v>99</v>
      </c>
      <c r="B79" s="14" t="s">
        <v>35</v>
      </c>
      <c r="C79" s="12">
        <v>136.56</v>
      </c>
      <c r="D79" s="7">
        <v>459</v>
      </c>
      <c r="E79" s="9">
        <v>66.762776080000009</v>
      </c>
      <c r="F79" s="33">
        <v>66.762776080000009</v>
      </c>
      <c r="G79" s="21">
        <f t="shared" si="14"/>
        <v>6.8280000000000003</v>
      </c>
      <c r="H79" s="21">
        <f t="shared" si="18"/>
        <v>62.96922391999999</v>
      </c>
      <c r="I79" s="21"/>
      <c r="J79" s="21">
        <f t="shared" si="15"/>
        <v>106.5168</v>
      </c>
      <c r="K79" s="21">
        <f t="shared" si="16"/>
        <v>116.07599999999999</v>
      </c>
      <c r="L79" s="21">
        <v>0</v>
      </c>
      <c r="M79" s="28"/>
      <c r="Q79" s="35"/>
      <c r="R79"/>
    </row>
    <row r="80" spans="1:18" ht="13.5" hidden="1" customHeight="1" x14ac:dyDescent="0.3">
      <c r="A80">
        <v>100</v>
      </c>
      <c r="B80" s="15" t="s">
        <v>53</v>
      </c>
      <c r="C80" s="12">
        <v>116.54</v>
      </c>
      <c r="D80" s="7">
        <v>451.34999999999997</v>
      </c>
      <c r="E80" s="10"/>
      <c r="F80" s="33"/>
      <c r="G80" s="21">
        <f t="shared" si="14"/>
        <v>5.8270000000000008</v>
      </c>
      <c r="H80" s="21">
        <f t="shared" si="18"/>
        <v>110.71300000000001</v>
      </c>
      <c r="I80" s="21"/>
      <c r="J80" s="21">
        <f t="shared" si="15"/>
        <v>90.901200000000003</v>
      </c>
      <c r="K80" s="21">
        <f t="shared" si="16"/>
        <v>99.058999999999997</v>
      </c>
      <c r="L80" s="21">
        <v>0</v>
      </c>
      <c r="M80" s="28"/>
      <c r="Q80" s="35"/>
      <c r="R80"/>
    </row>
    <row r="81" spans="1:17" customFormat="1" ht="13.5" hidden="1" customHeight="1" x14ac:dyDescent="0.3">
      <c r="A81">
        <v>106</v>
      </c>
      <c r="B81" s="14" t="s">
        <v>96</v>
      </c>
      <c r="C81" s="12">
        <v>312.97000000000003</v>
      </c>
      <c r="D81" s="7">
        <v>369.48199999999997</v>
      </c>
      <c r="E81" s="10">
        <v>34.426849600000004</v>
      </c>
      <c r="F81" s="33">
        <v>51.170817360000001</v>
      </c>
      <c r="G81" s="21">
        <f t="shared" si="14"/>
        <v>15.648500000000002</v>
      </c>
      <c r="H81" s="21">
        <f t="shared" si="18"/>
        <v>262.89465039999999</v>
      </c>
      <c r="I81" s="21"/>
      <c r="J81" s="21">
        <f t="shared" si="15"/>
        <v>244.11660000000003</v>
      </c>
      <c r="K81" s="21">
        <f t="shared" si="16"/>
        <v>266.02449999999999</v>
      </c>
      <c r="L81" s="21">
        <v>0</v>
      </c>
      <c r="M81" s="28"/>
      <c r="Q81" s="35"/>
    </row>
    <row r="82" spans="1:17" customFormat="1" ht="13.5" hidden="1" customHeight="1" x14ac:dyDescent="0.3">
      <c r="A82">
        <v>108</v>
      </c>
      <c r="B82" s="14" t="s">
        <v>50</v>
      </c>
      <c r="C82" s="12">
        <v>108.9</v>
      </c>
      <c r="D82" s="7">
        <v>340.8</v>
      </c>
      <c r="E82" s="9">
        <v>44.917735499999978</v>
      </c>
      <c r="F82" s="33">
        <v>44.917735499999999</v>
      </c>
      <c r="G82" s="21">
        <f t="shared" si="14"/>
        <v>5.4450000000000003</v>
      </c>
      <c r="H82" s="21">
        <f t="shared" si="18"/>
        <v>58.537264500000035</v>
      </c>
      <c r="I82" s="21"/>
      <c r="J82" s="21">
        <f t="shared" si="15"/>
        <v>84.942000000000007</v>
      </c>
      <c r="K82" s="21">
        <f t="shared" si="16"/>
        <v>92.564999999999998</v>
      </c>
      <c r="L82" s="21">
        <v>0</v>
      </c>
      <c r="M82" s="28"/>
      <c r="Q82" s="35"/>
    </row>
    <row r="83" spans="1:17" customFormat="1" ht="13.5" hidden="1" customHeight="1" x14ac:dyDescent="0.3">
      <c r="A83">
        <v>114</v>
      </c>
      <c r="B83" s="14" t="s">
        <v>142</v>
      </c>
      <c r="C83" s="12">
        <v>230.4</v>
      </c>
      <c r="D83" s="7">
        <v>302.50099999999998</v>
      </c>
      <c r="E83" s="10"/>
      <c r="F83" s="33"/>
      <c r="G83" s="21">
        <f t="shared" si="14"/>
        <v>11.520000000000001</v>
      </c>
      <c r="H83" s="21">
        <f t="shared" si="18"/>
        <v>218.88</v>
      </c>
      <c r="I83" s="21"/>
      <c r="J83" s="21">
        <f t="shared" si="15"/>
        <v>179.71200000000002</v>
      </c>
      <c r="K83" s="21">
        <f t="shared" si="16"/>
        <v>195.84</v>
      </c>
      <c r="L83" s="21">
        <v>0</v>
      </c>
      <c r="M83" s="28"/>
      <c r="Q83" s="35"/>
    </row>
    <row r="84" spans="1:17" customFormat="1" ht="13.5" hidden="1" customHeight="1" x14ac:dyDescent="0.3">
      <c r="A84">
        <v>118</v>
      </c>
      <c r="B84" s="15" t="s">
        <v>76</v>
      </c>
      <c r="C84" s="12">
        <v>408.28</v>
      </c>
      <c r="D84" s="7">
        <v>291.48900000000003</v>
      </c>
      <c r="E84" s="10">
        <v>85.738842000000005</v>
      </c>
      <c r="F84" s="33">
        <v>85.738841999999991</v>
      </c>
      <c r="G84" s="21">
        <f t="shared" si="14"/>
        <v>20.414000000000001</v>
      </c>
      <c r="H84" s="21">
        <f t="shared" si="18"/>
        <v>302.12715800000001</v>
      </c>
      <c r="I84" s="21"/>
      <c r="J84" s="21">
        <f t="shared" si="15"/>
        <v>318.45839999999998</v>
      </c>
      <c r="K84" s="21">
        <f t="shared" si="16"/>
        <v>347.03799999999995</v>
      </c>
      <c r="L84" s="21">
        <v>0</v>
      </c>
      <c r="M84" s="28"/>
      <c r="Q84" s="35"/>
    </row>
    <row r="85" spans="1:17" customFormat="1" ht="13.5" hidden="1" customHeight="1" x14ac:dyDescent="0.3">
      <c r="A85">
        <v>119</v>
      </c>
      <c r="B85" s="14" t="s">
        <v>109</v>
      </c>
      <c r="C85" s="12">
        <v>118.49</v>
      </c>
      <c r="D85" s="7">
        <v>270</v>
      </c>
      <c r="E85" s="9">
        <v>51.661639999999991</v>
      </c>
      <c r="F85" s="33">
        <v>51.661639999999998</v>
      </c>
      <c r="G85" s="21">
        <f t="shared" si="14"/>
        <v>5.9245000000000001</v>
      </c>
      <c r="H85" s="21">
        <f t="shared" si="18"/>
        <v>60.903860000000009</v>
      </c>
      <c r="I85" s="21"/>
      <c r="J85" s="21">
        <f t="shared" si="15"/>
        <v>92.422200000000004</v>
      </c>
      <c r="K85" s="21">
        <f t="shared" si="16"/>
        <v>100.7165</v>
      </c>
      <c r="L85" s="21">
        <v>0</v>
      </c>
      <c r="M85" s="28"/>
      <c r="Q85" s="35"/>
    </row>
    <row r="86" spans="1:17" customFormat="1" ht="13.5" hidden="1" customHeight="1" x14ac:dyDescent="0.3">
      <c r="A86">
        <v>120</v>
      </c>
      <c r="B86" s="14" t="s">
        <v>121</v>
      </c>
      <c r="C86" s="12">
        <v>133.35</v>
      </c>
      <c r="D86" s="7">
        <v>266</v>
      </c>
      <c r="E86" s="10"/>
      <c r="F86" s="33"/>
      <c r="G86" s="21">
        <f t="shared" si="14"/>
        <v>6.6675000000000004</v>
      </c>
      <c r="H86" s="21">
        <f t="shared" si="18"/>
        <v>126.68249999999999</v>
      </c>
      <c r="I86" s="21"/>
      <c r="J86" s="21">
        <f t="shared" si="15"/>
        <v>104.01300000000001</v>
      </c>
      <c r="K86" s="21">
        <f t="shared" si="16"/>
        <v>113.3475</v>
      </c>
      <c r="L86" s="21">
        <v>0</v>
      </c>
      <c r="M86" s="28"/>
      <c r="Q86" s="35"/>
    </row>
    <row r="87" spans="1:17" customFormat="1" ht="13.5" hidden="1" customHeight="1" x14ac:dyDescent="0.3">
      <c r="A87">
        <v>121</v>
      </c>
      <c r="B87" s="15" t="s">
        <v>103</v>
      </c>
      <c r="C87" s="12">
        <v>154.66999999999999</v>
      </c>
      <c r="D87" s="7">
        <v>264</v>
      </c>
      <c r="E87" s="9">
        <v>68.0548</v>
      </c>
      <c r="F87" s="33">
        <v>77.304065999999992</v>
      </c>
      <c r="G87" s="21">
        <f t="shared" si="14"/>
        <v>7.7334999999999994</v>
      </c>
      <c r="H87" s="21">
        <f t="shared" si="18"/>
        <v>78.881699999999995</v>
      </c>
      <c r="I87" s="21"/>
      <c r="J87" s="21">
        <f t="shared" si="15"/>
        <v>120.64259999999999</v>
      </c>
      <c r="K87" s="21">
        <f t="shared" si="16"/>
        <v>131.46949999999998</v>
      </c>
      <c r="L87" s="21">
        <v>0</v>
      </c>
      <c r="M87" s="28"/>
      <c r="Q87" s="35"/>
    </row>
    <row r="88" spans="1:17" customFormat="1" ht="13.5" hidden="1" customHeight="1" x14ac:dyDescent="0.3">
      <c r="A88">
        <v>122</v>
      </c>
      <c r="B88" s="15" t="s">
        <v>70</v>
      </c>
      <c r="C88" s="12">
        <v>327.47000000000003</v>
      </c>
      <c r="D88" s="7">
        <v>255.69400000000002</v>
      </c>
      <c r="E88" s="10"/>
      <c r="F88" s="33"/>
      <c r="G88" s="21">
        <f t="shared" si="14"/>
        <v>16.373500000000003</v>
      </c>
      <c r="H88" s="21">
        <f t="shared" si="18"/>
        <v>311.09650000000005</v>
      </c>
      <c r="I88" s="21"/>
      <c r="J88" s="21">
        <f t="shared" si="15"/>
        <v>255.42660000000004</v>
      </c>
      <c r="K88" s="21">
        <f t="shared" si="16"/>
        <v>278.34950000000003</v>
      </c>
      <c r="L88" s="21">
        <v>0</v>
      </c>
      <c r="M88" s="28"/>
      <c r="Q88" s="35"/>
    </row>
    <row r="89" spans="1:17" customFormat="1" ht="13.5" hidden="1" customHeight="1" x14ac:dyDescent="0.3">
      <c r="A89">
        <v>125</v>
      </c>
      <c r="B89" s="15" t="s">
        <v>69</v>
      </c>
      <c r="C89" s="12">
        <v>104.5</v>
      </c>
      <c r="D89" s="7">
        <v>243.20000000000002</v>
      </c>
      <c r="E89" s="10"/>
      <c r="F89" s="33"/>
      <c r="G89" s="21">
        <f t="shared" si="14"/>
        <v>5.2250000000000005</v>
      </c>
      <c r="H89" s="21">
        <f t="shared" si="18"/>
        <v>99.275000000000006</v>
      </c>
      <c r="I89" s="21"/>
      <c r="J89" s="21">
        <f t="shared" si="15"/>
        <v>81.510000000000005</v>
      </c>
      <c r="K89" s="21">
        <f t="shared" si="16"/>
        <v>88.825000000000003</v>
      </c>
      <c r="L89" s="21">
        <v>0</v>
      </c>
      <c r="M89" s="28"/>
      <c r="Q89" s="35"/>
    </row>
    <row r="90" spans="1:17" customFormat="1" ht="13.5" hidden="1" customHeight="1" x14ac:dyDescent="0.3">
      <c r="A90">
        <v>128</v>
      </c>
      <c r="B90" s="14" t="s">
        <v>112</v>
      </c>
      <c r="C90" s="12">
        <v>206.32</v>
      </c>
      <c r="D90" s="7">
        <v>225.66499999999999</v>
      </c>
      <c r="E90" s="10"/>
      <c r="F90" s="33"/>
      <c r="G90" s="21">
        <f t="shared" si="14"/>
        <v>10.316000000000001</v>
      </c>
      <c r="H90" s="21">
        <f t="shared" si="18"/>
        <v>196.00399999999999</v>
      </c>
      <c r="I90" s="21"/>
      <c r="J90" s="21">
        <f t="shared" si="15"/>
        <v>160.92959999999999</v>
      </c>
      <c r="K90" s="21">
        <f t="shared" si="16"/>
        <v>175.37199999999999</v>
      </c>
      <c r="L90" s="21">
        <v>0</v>
      </c>
      <c r="M90" s="28"/>
      <c r="Q90" s="35"/>
    </row>
    <row r="91" spans="1:17" customFormat="1" ht="13.5" hidden="1" customHeight="1" x14ac:dyDescent="0.3">
      <c r="A91">
        <v>129</v>
      </c>
      <c r="B91" s="14" t="s">
        <v>77</v>
      </c>
      <c r="C91" s="12">
        <v>234.49</v>
      </c>
      <c r="D91" s="7">
        <v>219.809</v>
      </c>
      <c r="E91" s="10"/>
      <c r="F91" s="33"/>
      <c r="G91" s="21">
        <f t="shared" si="14"/>
        <v>11.724500000000001</v>
      </c>
      <c r="H91" s="21">
        <f t="shared" si="18"/>
        <v>222.7655</v>
      </c>
      <c r="I91" s="21"/>
      <c r="J91" s="21">
        <f t="shared" si="15"/>
        <v>182.90220000000002</v>
      </c>
      <c r="K91" s="21">
        <f t="shared" si="16"/>
        <v>199.31649999999999</v>
      </c>
      <c r="L91" s="21">
        <v>0</v>
      </c>
      <c r="M91" s="28"/>
      <c r="Q91" s="35"/>
    </row>
    <row r="92" spans="1:17" customFormat="1" ht="13.5" hidden="1" customHeight="1" x14ac:dyDescent="0.3">
      <c r="A92">
        <v>131</v>
      </c>
      <c r="B92" s="14" t="s">
        <v>98</v>
      </c>
      <c r="C92" s="12">
        <v>235.9</v>
      </c>
      <c r="D92" s="7">
        <v>205.65899999999999</v>
      </c>
      <c r="E92" s="10">
        <v>51.898110000000003</v>
      </c>
      <c r="F92" s="33">
        <v>51.898109999999996</v>
      </c>
      <c r="G92" s="21">
        <f t="shared" si="14"/>
        <v>11.795000000000002</v>
      </c>
      <c r="H92" s="21">
        <f t="shared" si="18"/>
        <v>172.20689000000002</v>
      </c>
      <c r="I92" s="21"/>
      <c r="J92" s="21">
        <f t="shared" si="15"/>
        <v>184.00200000000001</v>
      </c>
      <c r="K92" s="21">
        <f t="shared" si="16"/>
        <v>200.51499999999999</v>
      </c>
      <c r="L92" s="21">
        <v>0</v>
      </c>
      <c r="M92" s="28"/>
      <c r="Q92" s="35"/>
    </row>
    <row r="93" spans="1:17" customFormat="1" ht="13.5" hidden="1" customHeight="1" x14ac:dyDescent="0.3">
      <c r="A93">
        <v>134</v>
      </c>
      <c r="B93" s="14" t="s">
        <v>113</v>
      </c>
      <c r="C93" s="12">
        <v>106.2</v>
      </c>
      <c r="D93" s="7">
        <v>188</v>
      </c>
      <c r="E93" s="10"/>
      <c r="F93" s="33"/>
      <c r="G93" s="21">
        <f t="shared" si="14"/>
        <v>5.3100000000000005</v>
      </c>
      <c r="H93" s="21">
        <f t="shared" si="18"/>
        <v>100.89</v>
      </c>
      <c r="I93" s="21"/>
      <c r="J93" s="21">
        <f t="shared" si="15"/>
        <v>82.835999999999999</v>
      </c>
      <c r="K93" s="21">
        <f t="shared" si="16"/>
        <v>90.27</v>
      </c>
      <c r="L93" s="21">
        <v>0</v>
      </c>
      <c r="M93" s="28"/>
      <c r="Q93" s="35"/>
    </row>
    <row r="94" spans="1:17" customFormat="1" ht="13.5" hidden="1" customHeight="1" x14ac:dyDescent="0.3">
      <c r="A94">
        <v>135</v>
      </c>
      <c r="B94" s="15" t="s">
        <v>117</v>
      </c>
      <c r="C94" s="12">
        <v>101.19</v>
      </c>
      <c r="D94" s="7">
        <v>183.60000000000002</v>
      </c>
      <c r="E94" s="10"/>
      <c r="F94" s="33"/>
      <c r="G94" s="21">
        <f t="shared" si="14"/>
        <v>5.0594999999999999</v>
      </c>
      <c r="H94" s="21">
        <f t="shared" si="18"/>
        <v>96.130499999999998</v>
      </c>
      <c r="I94" s="21"/>
      <c r="J94" s="21">
        <f t="shared" si="15"/>
        <v>78.928200000000004</v>
      </c>
      <c r="K94" s="21">
        <f t="shared" si="16"/>
        <v>86.011499999999998</v>
      </c>
      <c r="L94" s="21">
        <v>0</v>
      </c>
      <c r="M94" s="28"/>
      <c r="Q94" s="35"/>
    </row>
    <row r="95" spans="1:17" customFormat="1" ht="13.5" hidden="1" customHeight="1" x14ac:dyDescent="0.3">
      <c r="A95">
        <v>136</v>
      </c>
      <c r="B95" s="14" t="s">
        <v>97</v>
      </c>
      <c r="C95" s="12">
        <v>113.52</v>
      </c>
      <c r="D95" s="7">
        <v>152.46</v>
      </c>
      <c r="E95" s="10"/>
      <c r="F95" s="33"/>
      <c r="G95" s="21">
        <f t="shared" si="14"/>
        <v>5.6760000000000002</v>
      </c>
      <c r="H95" s="21">
        <f t="shared" si="18"/>
        <v>107.84399999999999</v>
      </c>
      <c r="I95" s="21"/>
      <c r="J95" s="21">
        <f t="shared" si="15"/>
        <v>88.545599999999993</v>
      </c>
      <c r="K95" s="21">
        <f t="shared" si="16"/>
        <v>96.49199999999999</v>
      </c>
      <c r="L95" s="21">
        <v>0</v>
      </c>
      <c r="M95" s="28"/>
      <c r="Q95" s="35"/>
    </row>
    <row r="96" spans="1:17" customFormat="1" ht="13.5" hidden="1" customHeight="1" x14ac:dyDescent="0.3">
      <c r="A96">
        <v>137</v>
      </c>
      <c r="B96" s="14" t="s">
        <v>108</v>
      </c>
      <c r="C96" s="12">
        <v>208.3</v>
      </c>
      <c r="D96" s="7">
        <v>150.375</v>
      </c>
      <c r="E96" s="10">
        <v>45.825845999999977</v>
      </c>
      <c r="F96" s="33">
        <v>45.825845999999999</v>
      </c>
      <c r="G96" s="21">
        <f t="shared" si="14"/>
        <v>10.415000000000001</v>
      </c>
      <c r="H96" s="21">
        <f t="shared" si="18"/>
        <v>152.05915400000004</v>
      </c>
      <c r="I96" s="21"/>
      <c r="J96" s="21">
        <f t="shared" si="15"/>
        <v>162.47400000000002</v>
      </c>
      <c r="K96" s="21">
        <f t="shared" si="16"/>
        <v>177.05500000000001</v>
      </c>
      <c r="L96" s="21">
        <v>0</v>
      </c>
      <c r="M96" s="28"/>
      <c r="Q96" s="35"/>
    </row>
    <row r="97" spans="1:17" customFormat="1" ht="13.5" hidden="1" customHeight="1" x14ac:dyDescent="0.3">
      <c r="A97">
        <v>138</v>
      </c>
      <c r="B97" s="14" t="s">
        <v>79</v>
      </c>
      <c r="C97" s="12">
        <v>119.36</v>
      </c>
      <c r="D97" s="7">
        <v>150</v>
      </c>
      <c r="E97" s="10"/>
      <c r="F97" s="33"/>
      <c r="G97" s="21">
        <f t="shared" si="14"/>
        <v>5.968</v>
      </c>
      <c r="H97" s="21">
        <f t="shared" si="18"/>
        <v>113.392</v>
      </c>
      <c r="I97" s="21"/>
      <c r="J97" s="21">
        <f t="shared" si="15"/>
        <v>93.100800000000007</v>
      </c>
      <c r="K97" s="21">
        <f t="shared" si="16"/>
        <v>101.456</v>
      </c>
      <c r="L97" s="21">
        <v>0</v>
      </c>
      <c r="M97" s="28"/>
      <c r="Q97" s="35"/>
    </row>
    <row r="98" spans="1:17" customFormat="1" ht="13.5" hidden="1" customHeight="1" x14ac:dyDescent="0.3">
      <c r="A98">
        <v>139</v>
      </c>
      <c r="B98" s="15" t="s">
        <v>63</v>
      </c>
      <c r="C98" s="12">
        <v>389.27</v>
      </c>
      <c r="D98" s="7">
        <v>138.262</v>
      </c>
      <c r="E98" s="10">
        <v>42.817981799999998</v>
      </c>
      <c r="F98" s="33">
        <v>42.817981800000005</v>
      </c>
      <c r="G98" s="21">
        <f t="shared" si="14"/>
        <v>19.4635</v>
      </c>
      <c r="H98" s="21">
        <f t="shared" si="18"/>
        <v>326.98851819999999</v>
      </c>
      <c r="I98" s="21"/>
      <c r="J98" s="21">
        <f t="shared" si="15"/>
        <v>303.63060000000002</v>
      </c>
      <c r="K98" s="21">
        <f t="shared" si="16"/>
        <v>330.87949999999995</v>
      </c>
      <c r="L98" s="21">
        <v>0</v>
      </c>
      <c r="M98" s="28"/>
      <c r="Q98" s="35"/>
    </row>
    <row r="99" spans="1:17" customFormat="1" ht="13.5" hidden="1" customHeight="1" x14ac:dyDescent="0.3">
      <c r="A99">
        <v>143</v>
      </c>
      <c r="B99" s="14" t="s">
        <v>126</v>
      </c>
      <c r="C99" s="12">
        <v>184.91</v>
      </c>
      <c r="D99" s="7">
        <v>132.322</v>
      </c>
      <c r="E99" s="10">
        <v>40.680199999999992</v>
      </c>
      <c r="F99" s="33">
        <v>40.680199999999999</v>
      </c>
      <c r="G99" s="21">
        <f t="shared" ref="G99:G130" si="19">C99*0.05</f>
        <v>9.2454999999999998</v>
      </c>
      <c r="H99" s="21">
        <f t="shared" si="18"/>
        <v>134.98430000000002</v>
      </c>
      <c r="I99" s="21"/>
      <c r="J99" s="21">
        <f t="shared" ref="J99:J130" si="20">C99*0.78</f>
        <v>144.22980000000001</v>
      </c>
      <c r="K99" s="21">
        <f t="shared" ref="K99:K130" si="21">C99*0.85</f>
        <v>157.17349999999999</v>
      </c>
      <c r="L99" s="21">
        <v>0</v>
      </c>
      <c r="M99" s="28"/>
      <c r="Q99" s="35"/>
    </row>
    <row r="100" spans="1:17" customFormat="1" ht="13.5" hidden="1" customHeight="1" x14ac:dyDescent="0.3">
      <c r="A100">
        <v>144</v>
      </c>
      <c r="B100" s="14" t="s">
        <v>57</v>
      </c>
      <c r="C100" s="12">
        <v>105.99</v>
      </c>
      <c r="D100" s="7">
        <v>128.10000000000002</v>
      </c>
      <c r="E100" s="10"/>
      <c r="F100" s="33"/>
      <c r="G100" s="21">
        <f t="shared" si="19"/>
        <v>5.2995000000000001</v>
      </c>
      <c r="H100" s="21">
        <f t="shared" si="18"/>
        <v>100.6905</v>
      </c>
      <c r="I100" s="21"/>
      <c r="J100" s="21">
        <f t="shared" si="20"/>
        <v>82.672200000000004</v>
      </c>
      <c r="K100" s="21">
        <f t="shared" si="21"/>
        <v>90.091499999999996</v>
      </c>
      <c r="L100" s="21">
        <v>0</v>
      </c>
      <c r="M100" s="28"/>
      <c r="Q100" s="35"/>
    </row>
    <row r="101" spans="1:17" customFormat="1" ht="13.5" hidden="1" customHeight="1" x14ac:dyDescent="0.3">
      <c r="A101">
        <v>145</v>
      </c>
      <c r="B101" s="14" t="s">
        <v>52</v>
      </c>
      <c r="C101" s="12">
        <v>131.69</v>
      </c>
      <c r="D101" s="7">
        <v>126</v>
      </c>
      <c r="E101" s="9">
        <v>21.728850008249999</v>
      </c>
      <c r="F101" s="33">
        <v>62.082428595000003</v>
      </c>
      <c r="G101" s="21">
        <f t="shared" si="19"/>
        <v>6.5845000000000002</v>
      </c>
      <c r="H101" s="21">
        <f t="shared" si="18"/>
        <v>103.37664999174999</v>
      </c>
      <c r="I101" s="21"/>
      <c r="J101" s="21">
        <f t="shared" si="20"/>
        <v>102.7182</v>
      </c>
      <c r="K101" s="21">
        <f t="shared" si="21"/>
        <v>111.9365</v>
      </c>
      <c r="L101" s="21">
        <v>0</v>
      </c>
      <c r="M101" s="28"/>
      <c r="Q101" s="35"/>
    </row>
    <row r="102" spans="1:17" customFormat="1" ht="13.5" hidden="1" customHeight="1" x14ac:dyDescent="0.3">
      <c r="A102">
        <v>147</v>
      </c>
      <c r="B102" s="14" t="s">
        <v>67</v>
      </c>
      <c r="C102" s="12">
        <v>140.85</v>
      </c>
      <c r="D102" s="7">
        <v>122.4</v>
      </c>
      <c r="E102" s="10"/>
      <c r="F102" s="33"/>
      <c r="G102" s="21">
        <f t="shared" si="19"/>
        <v>7.0425000000000004</v>
      </c>
      <c r="H102" s="21">
        <f t="shared" si="18"/>
        <v>133.8075</v>
      </c>
      <c r="I102" s="21"/>
      <c r="J102" s="21">
        <f t="shared" si="20"/>
        <v>109.863</v>
      </c>
      <c r="K102" s="21">
        <f t="shared" si="21"/>
        <v>119.7225</v>
      </c>
      <c r="L102" s="21">
        <v>0</v>
      </c>
      <c r="M102" s="28"/>
      <c r="Q102" s="35"/>
    </row>
    <row r="103" spans="1:17" customFormat="1" ht="13.5" hidden="1" customHeight="1" x14ac:dyDescent="0.3">
      <c r="A103">
        <v>148</v>
      </c>
      <c r="B103" s="14" t="s">
        <v>143</v>
      </c>
      <c r="C103" s="12">
        <v>184.91</v>
      </c>
      <c r="D103" s="7">
        <v>118.30500000000001</v>
      </c>
      <c r="E103" s="10"/>
      <c r="F103" s="33"/>
      <c r="G103" s="21">
        <f t="shared" si="19"/>
        <v>9.2454999999999998</v>
      </c>
      <c r="H103" s="21">
        <f t="shared" si="18"/>
        <v>175.6645</v>
      </c>
      <c r="I103" s="21"/>
      <c r="J103" s="21">
        <f t="shared" si="20"/>
        <v>144.22980000000001</v>
      </c>
      <c r="K103" s="21">
        <f t="shared" si="21"/>
        <v>157.17349999999999</v>
      </c>
      <c r="L103" s="21">
        <v>0</v>
      </c>
      <c r="M103" s="28"/>
      <c r="Q103" s="35"/>
    </row>
    <row r="104" spans="1:17" customFormat="1" ht="13.5" hidden="1" customHeight="1" x14ac:dyDescent="0.3">
      <c r="A104">
        <v>150</v>
      </c>
      <c r="B104" s="14" t="s">
        <v>116</v>
      </c>
      <c r="C104" s="12">
        <v>138.49</v>
      </c>
      <c r="D104" s="7">
        <v>112.5</v>
      </c>
      <c r="E104" s="10"/>
      <c r="F104" s="33"/>
      <c r="G104" s="21">
        <f t="shared" si="19"/>
        <v>6.924500000000001</v>
      </c>
      <c r="H104" s="21">
        <f t="shared" si="18"/>
        <v>131.56550000000001</v>
      </c>
      <c r="I104" s="21"/>
      <c r="J104" s="21">
        <f t="shared" si="20"/>
        <v>108.02220000000001</v>
      </c>
      <c r="K104" s="21">
        <f t="shared" si="21"/>
        <v>117.71650000000001</v>
      </c>
      <c r="L104" s="21">
        <v>0</v>
      </c>
      <c r="M104" s="28"/>
      <c r="Q104" s="35"/>
    </row>
    <row r="105" spans="1:17" customFormat="1" ht="13.5" hidden="1" customHeight="1" x14ac:dyDescent="0.3">
      <c r="A105">
        <v>151</v>
      </c>
      <c r="B105" s="15" t="s">
        <v>125</v>
      </c>
      <c r="C105" s="12">
        <v>206.32</v>
      </c>
      <c r="D105" s="7">
        <v>108.31</v>
      </c>
      <c r="E105" s="10"/>
      <c r="F105" s="33"/>
      <c r="G105" s="21">
        <f t="shared" si="19"/>
        <v>10.316000000000001</v>
      </c>
      <c r="H105" s="21">
        <f t="shared" ref="H105:H136" si="22">C105-G105-E105</f>
        <v>196.00399999999999</v>
      </c>
      <c r="I105" s="21"/>
      <c r="J105" s="21">
        <f t="shared" si="20"/>
        <v>160.92959999999999</v>
      </c>
      <c r="K105" s="21">
        <f t="shared" si="21"/>
        <v>175.37199999999999</v>
      </c>
      <c r="L105" s="21">
        <v>0</v>
      </c>
      <c r="M105" s="28"/>
      <c r="Q105" s="35"/>
    </row>
    <row r="106" spans="1:17" customFormat="1" ht="13.5" hidden="1" customHeight="1" x14ac:dyDescent="0.3">
      <c r="A106">
        <v>153</v>
      </c>
      <c r="B106" s="14" t="s">
        <v>83</v>
      </c>
      <c r="C106" s="12">
        <v>225.84</v>
      </c>
      <c r="D106" s="7">
        <v>104.52200000000001</v>
      </c>
      <c r="E106" s="10"/>
      <c r="F106" s="33"/>
      <c r="G106" s="21">
        <f t="shared" si="19"/>
        <v>11.292000000000002</v>
      </c>
      <c r="H106" s="21">
        <f t="shared" si="22"/>
        <v>214.548</v>
      </c>
      <c r="I106" s="21"/>
      <c r="J106" s="21">
        <f t="shared" si="20"/>
        <v>176.15520000000001</v>
      </c>
      <c r="K106" s="21">
        <f t="shared" si="21"/>
        <v>191.964</v>
      </c>
      <c r="L106" s="21">
        <v>0</v>
      </c>
      <c r="M106" s="28"/>
      <c r="Q106" s="35"/>
    </row>
    <row r="107" spans="1:17" customFormat="1" ht="13.5" hidden="1" customHeight="1" x14ac:dyDescent="0.3">
      <c r="A107">
        <v>155</v>
      </c>
      <c r="B107" s="14" t="s">
        <v>56</v>
      </c>
      <c r="C107" s="12">
        <v>108.9</v>
      </c>
      <c r="D107" s="7">
        <v>91.2</v>
      </c>
      <c r="E107" s="10"/>
      <c r="F107" s="33"/>
      <c r="G107" s="21">
        <f t="shared" si="19"/>
        <v>5.4450000000000003</v>
      </c>
      <c r="H107" s="21">
        <f t="shared" si="22"/>
        <v>103.45500000000001</v>
      </c>
      <c r="I107" s="21"/>
      <c r="J107" s="21">
        <f t="shared" si="20"/>
        <v>84.942000000000007</v>
      </c>
      <c r="K107" s="21">
        <f t="shared" si="21"/>
        <v>92.564999999999998</v>
      </c>
      <c r="L107" s="21">
        <v>0</v>
      </c>
      <c r="M107" s="28"/>
      <c r="Q107" s="35"/>
    </row>
    <row r="108" spans="1:17" customFormat="1" ht="13.5" hidden="1" customHeight="1" x14ac:dyDescent="0.3">
      <c r="A108">
        <v>156</v>
      </c>
      <c r="B108" s="14" t="s">
        <v>68</v>
      </c>
      <c r="C108" s="12">
        <v>128.09</v>
      </c>
      <c r="D108" s="7">
        <v>88</v>
      </c>
      <c r="E108" s="9">
        <v>69.809049999999999</v>
      </c>
      <c r="F108" s="33">
        <v>69.809049999999999</v>
      </c>
      <c r="G108" s="21">
        <f t="shared" si="19"/>
        <v>6.4045000000000005</v>
      </c>
      <c r="H108" s="21">
        <f t="shared" si="22"/>
        <v>51.876450000000006</v>
      </c>
      <c r="I108" s="21"/>
      <c r="J108" s="21">
        <f t="shared" si="20"/>
        <v>99.910200000000003</v>
      </c>
      <c r="K108" s="21">
        <f t="shared" si="21"/>
        <v>108.87649999999999</v>
      </c>
      <c r="L108" s="21">
        <v>0</v>
      </c>
      <c r="M108" s="28"/>
      <c r="Q108" s="35"/>
    </row>
    <row r="109" spans="1:17" customFormat="1" ht="13.5" hidden="1" customHeight="1" x14ac:dyDescent="0.3">
      <c r="A109">
        <v>157</v>
      </c>
      <c r="B109" s="14" t="s">
        <v>144</v>
      </c>
      <c r="C109" s="12">
        <v>265.61</v>
      </c>
      <c r="D109" s="7">
        <v>84.888000000000005</v>
      </c>
      <c r="E109" s="10"/>
      <c r="F109" s="33"/>
      <c r="G109" s="21">
        <f t="shared" si="19"/>
        <v>13.280500000000002</v>
      </c>
      <c r="H109" s="21">
        <f t="shared" si="22"/>
        <v>252.32950000000002</v>
      </c>
      <c r="I109" s="21"/>
      <c r="J109" s="21">
        <f t="shared" si="20"/>
        <v>207.17580000000001</v>
      </c>
      <c r="K109" s="21">
        <f t="shared" si="21"/>
        <v>225.76850000000002</v>
      </c>
      <c r="L109" s="21">
        <v>0</v>
      </c>
      <c r="M109" s="28"/>
      <c r="Q109" s="35"/>
    </row>
    <row r="110" spans="1:17" customFormat="1" ht="13.5" hidden="1" customHeight="1" x14ac:dyDescent="0.3">
      <c r="A110">
        <v>161</v>
      </c>
      <c r="B110" s="15" t="s">
        <v>107</v>
      </c>
      <c r="C110" s="12">
        <v>86.49</v>
      </c>
      <c r="D110" s="7">
        <v>80</v>
      </c>
      <c r="E110" s="9">
        <v>47.568756400000012</v>
      </c>
      <c r="F110" s="33">
        <v>47.568756399999998</v>
      </c>
      <c r="G110" s="21">
        <f t="shared" si="19"/>
        <v>4.3244999999999996</v>
      </c>
      <c r="H110" s="21">
        <f t="shared" si="22"/>
        <v>34.596743599999982</v>
      </c>
      <c r="I110" s="21"/>
      <c r="J110" s="21">
        <f t="shared" si="20"/>
        <v>67.462199999999996</v>
      </c>
      <c r="K110" s="21">
        <f t="shared" si="21"/>
        <v>73.516499999999994</v>
      </c>
      <c r="L110" s="21">
        <v>0</v>
      </c>
      <c r="M110" s="28"/>
      <c r="Q110" s="35"/>
    </row>
    <row r="111" spans="1:17" customFormat="1" ht="13.5" hidden="1" customHeight="1" x14ac:dyDescent="0.3">
      <c r="A111">
        <v>162</v>
      </c>
      <c r="B111" s="14" t="s">
        <v>51</v>
      </c>
      <c r="C111" s="12">
        <v>98</v>
      </c>
      <c r="D111" s="7">
        <v>77.7</v>
      </c>
      <c r="E111" s="9">
        <v>30.800583989999968</v>
      </c>
      <c r="F111" s="33">
        <v>45.780868021500005</v>
      </c>
      <c r="G111" s="21">
        <f t="shared" si="19"/>
        <v>4.9000000000000004</v>
      </c>
      <c r="H111" s="21">
        <f t="shared" si="22"/>
        <v>62.29941601000003</v>
      </c>
      <c r="I111" s="21"/>
      <c r="J111" s="21">
        <f t="shared" si="20"/>
        <v>76.44</v>
      </c>
      <c r="K111" s="21">
        <f t="shared" si="21"/>
        <v>83.3</v>
      </c>
      <c r="L111" s="21">
        <v>0</v>
      </c>
      <c r="M111" s="28"/>
      <c r="Q111" s="35"/>
    </row>
    <row r="112" spans="1:17" customFormat="1" ht="13.5" hidden="1" customHeight="1" x14ac:dyDescent="0.3">
      <c r="A112">
        <v>164</v>
      </c>
      <c r="B112" s="14" t="s">
        <v>87</v>
      </c>
      <c r="C112" s="12">
        <v>272.23</v>
      </c>
      <c r="D112" s="7">
        <v>69.075000000000003</v>
      </c>
      <c r="E112" s="10">
        <v>29.944945799999999</v>
      </c>
      <c r="F112" s="33">
        <v>44.509078530000004</v>
      </c>
      <c r="G112" s="21">
        <f t="shared" si="19"/>
        <v>13.611500000000001</v>
      </c>
      <c r="H112" s="21">
        <f t="shared" si="22"/>
        <v>228.67355420000004</v>
      </c>
      <c r="I112" s="21"/>
      <c r="J112" s="21">
        <f t="shared" si="20"/>
        <v>212.33940000000001</v>
      </c>
      <c r="K112" s="21">
        <f t="shared" si="21"/>
        <v>231.3955</v>
      </c>
      <c r="L112" s="21">
        <v>0</v>
      </c>
      <c r="M112" s="28"/>
      <c r="Q112" s="35"/>
    </row>
    <row r="113" spans="1:17" customFormat="1" ht="13.5" hidden="1" customHeight="1" x14ac:dyDescent="0.3">
      <c r="A113">
        <v>165</v>
      </c>
      <c r="B113" s="15" t="s">
        <v>75</v>
      </c>
      <c r="C113" s="12">
        <v>221.26</v>
      </c>
      <c r="D113" s="7">
        <v>65.349999999999994</v>
      </c>
      <c r="E113" s="10">
        <v>48.677521199999973</v>
      </c>
      <c r="F113" s="33">
        <v>48.677521200000001</v>
      </c>
      <c r="G113" s="21">
        <f t="shared" si="19"/>
        <v>11.063000000000001</v>
      </c>
      <c r="H113" s="21">
        <f t="shared" si="22"/>
        <v>161.51947880000003</v>
      </c>
      <c r="I113" s="21"/>
      <c r="J113" s="21">
        <f t="shared" si="20"/>
        <v>172.58279999999999</v>
      </c>
      <c r="K113" s="21">
        <f t="shared" si="21"/>
        <v>188.071</v>
      </c>
      <c r="L113" s="21">
        <v>0</v>
      </c>
      <c r="M113" s="28"/>
      <c r="Q113" s="35"/>
    </row>
    <row r="114" spans="1:17" customFormat="1" ht="13.5" hidden="1" customHeight="1" x14ac:dyDescent="0.3">
      <c r="A114">
        <v>166</v>
      </c>
      <c r="B114" s="14" t="s">
        <v>134</v>
      </c>
      <c r="C114" s="12">
        <v>128.47999999999999</v>
      </c>
      <c r="D114" s="7">
        <v>64.8</v>
      </c>
      <c r="E114" s="10"/>
      <c r="F114" s="33"/>
      <c r="G114" s="21">
        <f t="shared" si="19"/>
        <v>6.4239999999999995</v>
      </c>
      <c r="H114" s="21">
        <f t="shared" si="22"/>
        <v>122.05599999999998</v>
      </c>
      <c r="I114" s="21"/>
      <c r="J114" s="21">
        <f t="shared" si="20"/>
        <v>100.2144</v>
      </c>
      <c r="K114" s="21">
        <f t="shared" si="21"/>
        <v>109.20799999999998</v>
      </c>
      <c r="L114" s="21">
        <v>0</v>
      </c>
      <c r="M114" s="28"/>
      <c r="Q114" s="35"/>
    </row>
    <row r="115" spans="1:17" customFormat="1" ht="13.5" hidden="1" customHeight="1" x14ac:dyDescent="0.3">
      <c r="A115">
        <v>168</v>
      </c>
      <c r="B115" s="15" t="s">
        <v>82</v>
      </c>
      <c r="C115" s="12">
        <v>194.4</v>
      </c>
      <c r="D115" s="7">
        <v>57.780999999999999</v>
      </c>
      <c r="E115" s="10">
        <v>42.768000000000001</v>
      </c>
      <c r="F115" s="33">
        <v>42.768000000000001</v>
      </c>
      <c r="G115" s="21">
        <f t="shared" si="19"/>
        <v>9.7200000000000006</v>
      </c>
      <c r="H115" s="21">
        <f t="shared" si="22"/>
        <v>141.91200000000001</v>
      </c>
      <c r="I115" s="21"/>
      <c r="J115" s="21">
        <f t="shared" si="20"/>
        <v>151.63200000000001</v>
      </c>
      <c r="K115" s="21">
        <f t="shared" si="21"/>
        <v>165.24</v>
      </c>
      <c r="L115" s="21">
        <v>0</v>
      </c>
      <c r="M115" s="28"/>
      <c r="Q115" s="35"/>
    </row>
    <row r="116" spans="1:17" customFormat="1" ht="13.5" hidden="1" customHeight="1" x14ac:dyDescent="0.3">
      <c r="A116">
        <v>169</v>
      </c>
      <c r="B116" s="14" t="s">
        <v>131</v>
      </c>
      <c r="C116" s="12">
        <v>178.2</v>
      </c>
      <c r="D116" s="7">
        <v>57.6</v>
      </c>
      <c r="E116" s="10"/>
      <c r="F116" s="33"/>
      <c r="G116" s="21">
        <f t="shared" si="19"/>
        <v>8.91</v>
      </c>
      <c r="H116" s="21">
        <f t="shared" si="22"/>
        <v>169.29</v>
      </c>
      <c r="I116" s="21"/>
      <c r="J116" s="21">
        <f t="shared" si="20"/>
        <v>138.99600000000001</v>
      </c>
      <c r="K116" s="21">
        <f t="shared" si="21"/>
        <v>151.47</v>
      </c>
      <c r="L116" s="21">
        <v>0</v>
      </c>
      <c r="M116" s="28"/>
      <c r="Q116" s="35"/>
    </row>
    <row r="117" spans="1:17" customFormat="1" ht="13.5" hidden="1" customHeight="1" x14ac:dyDescent="0.3">
      <c r="A117">
        <v>170</v>
      </c>
      <c r="B117" s="14" t="s">
        <v>104</v>
      </c>
      <c r="C117" s="12">
        <v>106.2</v>
      </c>
      <c r="D117" s="7">
        <v>56</v>
      </c>
      <c r="E117" s="9">
        <v>58.409999999999982</v>
      </c>
      <c r="F117" s="33">
        <v>58.410000000000004</v>
      </c>
      <c r="G117" s="21">
        <f t="shared" si="19"/>
        <v>5.3100000000000005</v>
      </c>
      <c r="H117" s="21">
        <f t="shared" si="22"/>
        <v>42.480000000000018</v>
      </c>
      <c r="I117" s="21"/>
      <c r="J117" s="21">
        <f t="shared" si="20"/>
        <v>82.835999999999999</v>
      </c>
      <c r="K117" s="21">
        <f t="shared" si="21"/>
        <v>90.27</v>
      </c>
      <c r="L117" s="21">
        <v>0</v>
      </c>
      <c r="M117" s="28"/>
      <c r="Q117" s="35"/>
    </row>
    <row r="118" spans="1:17" customFormat="1" ht="13.5" hidden="1" customHeight="1" x14ac:dyDescent="0.3">
      <c r="A118">
        <v>171</v>
      </c>
      <c r="B118" s="14" t="s">
        <v>59</v>
      </c>
      <c r="C118" s="12">
        <v>142.32</v>
      </c>
      <c r="D118" s="7">
        <v>54.599999999999994</v>
      </c>
      <c r="E118" s="10"/>
      <c r="F118" s="33"/>
      <c r="G118" s="21">
        <f t="shared" si="19"/>
        <v>7.1159999999999997</v>
      </c>
      <c r="H118" s="21">
        <f t="shared" si="22"/>
        <v>135.20400000000001</v>
      </c>
      <c r="I118" s="21"/>
      <c r="J118" s="21">
        <f t="shared" si="20"/>
        <v>111.00959999999999</v>
      </c>
      <c r="K118" s="21">
        <f t="shared" si="21"/>
        <v>120.97199999999999</v>
      </c>
      <c r="L118" s="21">
        <v>0</v>
      </c>
      <c r="M118" s="28"/>
      <c r="Q118" s="35"/>
    </row>
    <row r="119" spans="1:17" customFormat="1" ht="13.5" hidden="1" customHeight="1" x14ac:dyDescent="0.3">
      <c r="A119">
        <v>172</v>
      </c>
      <c r="B119" s="14" t="s">
        <v>145</v>
      </c>
      <c r="C119" s="12">
        <v>0</v>
      </c>
      <c r="D119" s="7">
        <v>52.5</v>
      </c>
      <c r="E119" s="10"/>
      <c r="F119" s="33"/>
      <c r="G119" s="21">
        <f t="shared" si="19"/>
        <v>0</v>
      </c>
      <c r="H119" s="21">
        <f t="shared" si="22"/>
        <v>0</v>
      </c>
      <c r="I119" s="21"/>
      <c r="J119" s="21">
        <f t="shared" si="20"/>
        <v>0</v>
      </c>
      <c r="K119" s="21">
        <f t="shared" si="21"/>
        <v>0</v>
      </c>
      <c r="L119" s="21">
        <v>0</v>
      </c>
      <c r="M119" s="28"/>
      <c r="Q119" s="35"/>
    </row>
    <row r="120" spans="1:17" customFormat="1" ht="13.5" hidden="1" customHeight="1" x14ac:dyDescent="0.3">
      <c r="A120">
        <v>173</v>
      </c>
      <c r="B120" s="14" t="s">
        <v>123</v>
      </c>
      <c r="C120" s="12">
        <v>118.49</v>
      </c>
      <c r="D120" s="7">
        <v>50</v>
      </c>
      <c r="E120" s="10"/>
      <c r="F120" s="33"/>
      <c r="G120" s="21">
        <f t="shared" si="19"/>
        <v>5.9245000000000001</v>
      </c>
      <c r="H120" s="21">
        <f t="shared" si="22"/>
        <v>112.5655</v>
      </c>
      <c r="I120" s="21"/>
      <c r="J120" s="21">
        <f t="shared" si="20"/>
        <v>92.422200000000004</v>
      </c>
      <c r="K120" s="21">
        <f t="shared" si="21"/>
        <v>100.7165</v>
      </c>
      <c r="L120" s="21">
        <v>0</v>
      </c>
      <c r="M120" s="28"/>
      <c r="Q120" s="35"/>
    </row>
    <row r="121" spans="1:17" customFormat="1" ht="13.5" hidden="1" customHeight="1" x14ac:dyDescent="0.3">
      <c r="A121">
        <v>174</v>
      </c>
      <c r="B121" s="14" t="s">
        <v>110</v>
      </c>
      <c r="C121" s="12">
        <v>112.84</v>
      </c>
      <c r="D121" s="7">
        <v>50</v>
      </c>
      <c r="E121" s="10"/>
      <c r="F121" s="33"/>
      <c r="G121" s="21">
        <f t="shared" si="19"/>
        <v>5.6420000000000003</v>
      </c>
      <c r="H121" s="21">
        <f t="shared" si="22"/>
        <v>107.19800000000001</v>
      </c>
      <c r="I121" s="21"/>
      <c r="J121" s="21">
        <f t="shared" si="20"/>
        <v>88.015200000000007</v>
      </c>
      <c r="K121" s="21">
        <f t="shared" si="21"/>
        <v>95.914000000000001</v>
      </c>
      <c r="L121" s="21">
        <v>0</v>
      </c>
      <c r="M121" s="28"/>
      <c r="Q121" s="35"/>
    </row>
    <row r="122" spans="1:17" customFormat="1" ht="13.5" hidden="1" customHeight="1" x14ac:dyDescent="0.3">
      <c r="A122">
        <v>175</v>
      </c>
      <c r="B122" s="14" t="s">
        <v>139</v>
      </c>
      <c r="C122" s="12">
        <v>114.59</v>
      </c>
      <c r="D122" s="7">
        <v>48</v>
      </c>
      <c r="E122" s="9">
        <v>63.024500000000081</v>
      </c>
      <c r="F122" s="33">
        <v>63.024500000000003</v>
      </c>
      <c r="G122" s="21">
        <f t="shared" si="19"/>
        <v>5.7295000000000007</v>
      </c>
      <c r="H122" s="21">
        <f t="shared" si="22"/>
        <v>45.83599999999992</v>
      </c>
      <c r="I122" s="21"/>
      <c r="J122" s="21">
        <f t="shared" si="20"/>
        <v>89.380200000000002</v>
      </c>
      <c r="K122" s="21">
        <f t="shared" si="21"/>
        <v>97.401499999999999</v>
      </c>
      <c r="L122" s="21">
        <v>0</v>
      </c>
      <c r="M122" s="28"/>
      <c r="Q122" s="35"/>
    </row>
    <row r="123" spans="1:17" customFormat="1" ht="13.5" hidden="1" customHeight="1" x14ac:dyDescent="0.3">
      <c r="A123">
        <v>176</v>
      </c>
      <c r="B123" s="14" t="s">
        <v>146</v>
      </c>
      <c r="C123" s="12">
        <v>259.29000000000002</v>
      </c>
      <c r="D123" s="7">
        <v>47.834999999999994</v>
      </c>
      <c r="E123" s="10"/>
      <c r="F123" s="33"/>
      <c r="G123" s="21">
        <f t="shared" si="19"/>
        <v>12.964500000000001</v>
      </c>
      <c r="H123" s="21">
        <f t="shared" si="22"/>
        <v>246.32550000000003</v>
      </c>
      <c r="I123" s="21"/>
      <c r="J123" s="21">
        <f t="shared" si="20"/>
        <v>202.24620000000002</v>
      </c>
      <c r="K123" s="21">
        <f t="shared" si="21"/>
        <v>220.3965</v>
      </c>
      <c r="L123" s="21">
        <v>0</v>
      </c>
      <c r="M123" s="28"/>
      <c r="Q123" s="35"/>
    </row>
    <row r="124" spans="1:17" customFormat="1" ht="13.5" hidden="1" customHeight="1" x14ac:dyDescent="0.3">
      <c r="A124">
        <v>177</v>
      </c>
      <c r="B124" s="14" t="s">
        <v>136</v>
      </c>
      <c r="C124" s="12">
        <v>140.34</v>
      </c>
      <c r="D124" s="7">
        <v>43.2</v>
      </c>
      <c r="E124" s="10"/>
      <c r="F124" s="33"/>
      <c r="G124" s="21">
        <f t="shared" si="19"/>
        <v>7.0170000000000003</v>
      </c>
      <c r="H124" s="21">
        <f t="shared" si="22"/>
        <v>133.32300000000001</v>
      </c>
      <c r="I124" s="21"/>
      <c r="J124" s="21">
        <f t="shared" si="20"/>
        <v>109.46520000000001</v>
      </c>
      <c r="K124" s="21">
        <f t="shared" si="21"/>
        <v>119.289</v>
      </c>
      <c r="L124" s="21">
        <v>0</v>
      </c>
      <c r="M124" s="28"/>
      <c r="Q124" s="35"/>
    </row>
    <row r="125" spans="1:17" customFormat="1" ht="13.5" hidden="1" customHeight="1" x14ac:dyDescent="0.3">
      <c r="A125">
        <v>178</v>
      </c>
      <c r="B125" s="15" t="s">
        <v>147</v>
      </c>
      <c r="C125" s="12">
        <v>153.33000000000001</v>
      </c>
      <c r="D125" s="7">
        <v>43.2</v>
      </c>
      <c r="E125" s="10"/>
      <c r="F125" s="33"/>
      <c r="G125" s="21">
        <f t="shared" si="19"/>
        <v>7.666500000000001</v>
      </c>
      <c r="H125" s="21">
        <f t="shared" si="22"/>
        <v>145.6635</v>
      </c>
      <c r="I125" s="21"/>
      <c r="J125" s="21">
        <f t="shared" si="20"/>
        <v>119.59740000000001</v>
      </c>
      <c r="K125" s="21">
        <f t="shared" si="21"/>
        <v>130.3305</v>
      </c>
      <c r="L125" s="21">
        <v>0</v>
      </c>
      <c r="M125" s="28"/>
      <c r="Q125" s="35"/>
    </row>
    <row r="126" spans="1:17" customFormat="1" ht="13.5" hidden="1" customHeight="1" x14ac:dyDescent="0.3">
      <c r="A126">
        <v>179</v>
      </c>
      <c r="B126" s="14" t="s">
        <v>130</v>
      </c>
      <c r="C126" s="12">
        <v>109</v>
      </c>
      <c r="D126" s="7">
        <v>40</v>
      </c>
      <c r="E126" s="10"/>
      <c r="F126" s="33"/>
      <c r="G126" s="21">
        <f t="shared" si="19"/>
        <v>5.45</v>
      </c>
      <c r="H126" s="21">
        <f t="shared" si="22"/>
        <v>103.55</v>
      </c>
      <c r="I126" s="21"/>
      <c r="J126" s="21">
        <f t="shared" si="20"/>
        <v>85.02</v>
      </c>
      <c r="K126" s="21">
        <f t="shared" si="21"/>
        <v>92.649999999999991</v>
      </c>
      <c r="L126" s="21">
        <v>0</v>
      </c>
      <c r="M126" s="28"/>
      <c r="Q126" s="35"/>
    </row>
    <row r="127" spans="1:17" customFormat="1" ht="13.5" hidden="1" customHeight="1" x14ac:dyDescent="0.3">
      <c r="A127">
        <v>180</v>
      </c>
      <c r="B127" s="14" t="s">
        <v>80</v>
      </c>
      <c r="C127" s="12">
        <v>166.59</v>
      </c>
      <c r="D127" s="7">
        <v>39.9</v>
      </c>
      <c r="E127" s="10"/>
      <c r="F127" s="33"/>
      <c r="G127" s="21">
        <f t="shared" si="19"/>
        <v>8.3295000000000012</v>
      </c>
      <c r="H127" s="21">
        <f t="shared" si="22"/>
        <v>158.26050000000001</v>
      </c>
      <c r="I127" s="21"/>
      <c r="J127" s="21">
        <f t="shared" si="20"/>
        <v>129.9402</v>
      </c>
      <c r="K127" s="21">
        <f t="shared" si="21"/>
        <v>141.60149999999999</v>
      </c>
      <c r="L127" s="21">
        <v>0</v>
      </c>
      <c r="M127" s="28"/>
      <c r="Q127" s="35"/>
    </row>
    <row r="128" spans="1:17" customFormat="1" ht="13.5" hidden="1" customHeight="1" x14ac:dyDescent="0.3">
      <c r="A128">
        <v>181</v>
      </c>
      <c r="B128" s="15" t="s">
        <v>78</v>
      </c>
      <c r="C128" s="12">
        <v>144.08000000000001</v>
      </c>
      <c r="D128" s="7">
        <v>39.9</v>
      </c>
      <c r="E128" s="10"/>
      <c r="F128" s="33"/>
      <c r="G128" s="21">
        <f t="shared" si="19"/>
        <v>7.2040000000000006</v>
      </c>
      <c r="H128" s="21">
        <f t="shared" si="22"/>
        <v>136.876</v>
      </c>
      <c r="I128" s="21"/>
      <c r="J128" s="21">
        <f t="shared" si="20"/>
        <v>112.38240000000002</v>
      </c>
      <c r="K128" s="21">
        <f t="shared" si="21"/>
        <v>122.468</v>
      </c>
      <c r="L128" s="21">
        <v>0</v>
      </c>
      <c r="M128" s="28"/>
      <c r="Q128" s="35"/>
    </row>
    <row r="129" spans="1:17" customFormat="1" ht="13.5" hidden="1" customHeight="1" x14ac:dyDescent="0.3">
      <c r="A129">
        <v>182</v>
      </c>
      <c r="B129" s="14" t="s">
        <v>120</v>
      </c>
      <c r="C129" s="12">
        <v>166.59</v>
      </c>
      <c r="D129" s="7">
        <v>37.799999999999997</v>
      </c>
      <c r="E129" s="10"/>
      <c r="F129" s="33"/>
      <c r="G129" s="21">
        <f t="shared" si="19"/>
        <v>8.3295000000000012</v>
      </c>
      <c r="H129" s="21">
        <f t="shared" si="22"/>
        <v>158.26050000000001</v>
      </c>
      <c r="I129" s="21"/>
      <c r="J129" s="21">
        <f t="shared" si="20"/>
        <v>129.9402</v>
      </c>
      <c r="K129" s="21">
        <f t="shared" si="21"/>
        <v>141.60149999999999</v>
      </c>
      <c r="L129" s="21">
        <v>0</v>
      </c>
      <c r="M129" s="28"/>
      <c r="Q129" s="35"/>
    </row>
    <row r="130" spans="1:17" customFormat="1" ht="13.5" hidden="1" customHeight="1" x14ac:dyDescent="0.3">
      <c r="A130">
        <v>183</v>
      </c>
      <c r="B130" s="14" t="s">
        <v>65</v>
      </c>
      <c r="C130" s="12">
        <v>173.88</v>
      </c>
      <c r="D130" s="7">
        <v>30</v>
      </c>
      <c r="E130" s="10"/>
      <c r="F130" s="33"/>
      <c r="G130" s="21">
        <f t="shared" si="19"/>
        <v>8.6940000000000008</v>
      </c>
      <c r="H130" s="21">
        <f t="shared" si="22"/>
        <v>165.18600000000001</v>
      </c>
      <c r="I130" s="21"/>
      <c r="J130" s="21">
        <f t="shared" si="20"/>
        <v>135.62639999999999</v>
      </c>
      <c r="K130" s="21">
        <f t="shared" si="21"/>
        <v>147.798</v>
      </c>
      <c r="L130" s="21">
        <v>0</v>
      </c>
      <c r="M130" s="28"/>
      <c r="Q130" s="35"/>
    </row>
    <row r="131" spans="1:17" customFormat="1" ht="13.5" hidden="1" customHeight="1" x14ac:dyDescent="0.3">
      <c r="A131">
        <v>184</v>
      </c>
      <c r="B131" s="14" t="s">
        <v>148</v>
      </c>
      <c r="C131" s="12">
        <v>137.875</v>
      </c>
      <c r="D131" s="7">
        <v>28</v>
      </c>
      <c r="E131" s="10"/>
      <c r="F131" s="33"/>
      <c r="G131" s="21">
        <f t="shared" ref="G131:G165" si="23">C131*0.05</f>
        <v>6.8937500000000007</v>
      </c>
      <c r="H131" s="21">
        <f t="shared" si="22"/>
        <v>130.98124999999999</v>
      </c>
      <c r="I131" s="21"/>
      <c r="J131" s="21">
        <f t="shared" ref="J131:J165" si="24">C131*0.78</f>
        <v>107.5425</v>
      </c>
      <c r="K131" s="21">
        <f t="shared" ref="K131:K165" si="25">C131*0.85</f>
        <v>117.19374999999999</v>
      </c>
      <c r="L131" s="21">
        <v>0</v>
      </c>
      <c r="M131" s="28"/>
      <c r="Q131" s="35"/>
    </row>
    <row r="132" spans="1:17" customFormat="1" ht="13.5" hidden="1" customHeight="1" x14ac:dyDescent="0.3">
      <c r="A132">
        <v>185</v>
      </c>
      <c r="B132" s="14" t="s">
        <v>84</v>
      </c>
      <c r="C132" s="12">
        <v>713.09</v>
      </c>
      <c r="D132" s="7">
        <v>26.635000000000002</v>
      </c>
      <c r="E132" s="10"/>
      <c r="F132" s="33"/>
      <c r="G132" s="21">
        <f t="shared" si="23"/>
        <v>35.654500000000006</v>
      </c>
      <c r="H132" s="21">
        <f t="shared" si="22"/>
        <v>677.43550000000005</v>
      </c>
      <c r="I132" s="21"/>
      <c r="J132" s="21">
        <f t="shared" si="24"/>
        <v>556.2102000000001</v>
      </c>
      <c r="K132" s="21">
        <f t="shared" si="25"/>
        <v>606.12649999999996</v>
      </c>
      <c r="L132" s="21">
        <v>0</v>
      </c>
      <c r="M132" s="28"/>
      <c r="Q132" s="35"/>
    </row>
    <row r="133" spans="1:17" customFormat="1" ht="13.5" hidden="1" customHeight="1" x14ac:dyDescent="0.3">
      <c r="A133">
        <v>186</v>
      </c>
      <c r="B133" s="14" t="s">
        <v>119</v>
      </c>
      <c r="C133" s="12">
        <v>160.71</v>
      </c>
      <c r="D133" s="7">
        <v>26.4</v>
      </c>
      <c r="E133" s="10"/>
      <c r="F133" s="33"/>
      <c r="G133" s="21">
        <f t="shared" si="23"/>
        <v>8.0355000000000008</v>
      </c>
      <c r="H133" s="21">
        <f t="shared" si="22"/>
        <v>152.67449999999999</v>
      </c>
      <c r="I133" s="21"/>
      <c r="J133" s="21">
        <f t="shared" si="24"/>
        <v>125.35380000000001</v>
      </c>
      <c r="K133" s="21">
        <f t="shared" si="25"/>
        <v>136.6035</v>
      </c>
      <c r="L133" s="21">
        <v>0</v>
      </c>
      <c r="M133" s="28"/>
      <c r="Q133" s="35"/>
    </row>
    <row r="134" spans="1:17" customFormat="1" ht="13.5" hidden="1" customHeight="1" x14ac:dyDescent="0.3">
      <c r="A134">
        <v>187</v>
      </c>
      <c r="B134" s="14" t="s">
        <v>137</v>
      </c>
      <c r="C134" s="12">
        <v>96.96</v>
      </c>
      <c r="D134" s="7">
        <v>25.2</v>
      </c>
      <c r="E134" s="10"/>
      <c r="F134" s="33"/>
      <c r="G134" s="21">
        <f t="shared" si="23"/>
        <v>4.8479999999999999</v>
      </c>
      <c r="H134" s="21">
        <f t="shared" si="22"/>
        <v>92.111999999999995</v>
      </c>
      <c r="I134" s="21"/>
      <c r="J134" s="21">
        <f t="shared" si="24"/>
        <v>75.628799999999998</v>
      </c>
      <c r="K134" s="21">
        <f t="shared" si="25"/>
        <v>82.415999999999997</v>
      </c>
      <c r="L134" s="21">
        <v>0</v>
      </c>
      <c r="M134" s="28"/>
      <c r="Q134" s="35"/>
    </row>
    <row r="135" spans="1:17" customFormat="1" ht="13.5" hidden="1" customHeight="1" x14ac:dyDescent="0.3">
      <c r="A135">
        <v>188</v>
      </c>
      <c r="B135" s="14" t="s">
        <v>149</v>
      </c>
      <c r="C135" s="12">
        <v>0</v>
      </c>
      <c r="D135" s="7">
        <v>24.771000000000001</v>
      </c>
      <c r="E135" s="10"/>
      <c r="F135" s="33"/>
      <c r="G135" s="21">
        <f t="shared" si="23"/>
        <v>0</v>
      </c>
      <c r="H135" s="21">
        <f t="shared" si="22"/>
        <v>0</v>
      </c>
      <c r="I135" s="21"/>
      <c r="J135" s="21">
        <f t="shared" si="24"/>
        <v>0</v>
      </c>
      <c r="K135" s="21">
        <f t="shared" si="25"/>
        <v>0</v>
      </c>
      <c r="L135" s="21">
        <v>0</v>
      </c>
      <c r="M135" s="28"/>
      <c r="Q135" s="35"/>
    </row>
    <row r="136" spans="1:17" customFormat="1" ht="13.5" hidden="1" customHeight="1" x14ac:dyDescent="0.3">
      <c r="A136">
        <v>189</v>
      </c>
      <c r="B136" s="15" t="s">
        <v>150</v>
      </c>
      <c r="C136" s="12">
        <v>0</v>
      </c>
      <c r="D136" s="7">
        <v>23.946999999999999</v>
      </c>
      <c r="E136" s="10"/>
      <c r="F136" s="33"/>
      <c r="G136" s="21">
        <f t="shared" si="23"/>
        <v>0</v>
      </c>
      <c r="H136" s="21">
        <f t="shared" si="22"/>
        <v>0</v>
      </c>
      <c r="I136" s="21"/>
      <c r="J136" s="21">
        <f t="shared" si="24"/>
        <v>0</v>
      </c>
      <c r="K136" s="21">
        <f t="shared" si="25"/>
        <v>0</v>
      </c>
      <c r="L136" s="21">
        <v>0</v>
      </c>
      <c r="M136" s="28"/>
      <c r="Q136" s="35"/>
    </row>
    <row r="137" spans="1:17" customFormat="1" ht="13.5" hidden="1" customHeight="1" x14ac:dyDescent="0.3">
      <c r="A137">
        <v>190</v>
      </c>
      <c r="B137" s="14" t="s">
        <v>133</v>
      </c>
      <c r="C137" s="12">
        <v>408.36667</v>
      </c>
      <c r="D137" s="7">
        <v>21.6</v>
      </c>
      <c r="E137" s="10"/>
      <c r="F137" s="33"/>
      <c r="G137" s="21">
        <f t="shared" si="23"/>
        <v>20.418333500000003</v>
      </c>
      <c r="H137" s="21">
        <f t="shared" ref="H137:H165" si="26">C137-G137-E137</f>
        <v>387.94833649999998</v>
      </c>
      <c r="I137" s="21"/>
      <c r="J137" s="21">
        <f t="shared" si="24"/>
        <v>318.52600260000003</v>
      </c>
      <c r="K137" s="21">
        <f t="shared" si="25"/>
        <v>347.1116695</v>
      </c>
      <c r="L137" s="21">
        <v>0</v>
      </c>
      <c r="M137" s="28"/>
      <c r="Q137" s="35"/>
    </row>
    <row r="138" spans="1:17" customFormat="1" ht="13.5" hidden="1" customHeight="1" x14ac:dyDescent="0.3">
      <c r="A138">
        <v>191</v>
      </c>
      <c r="B138" s="14" t="s">
        <v>135</v>
      </c>
      <c r="C138" s="12">
        <v>446.9</v>
      </c>
      <c r="D138" s="7">
        <v>21.6</v>
      </c>
      <c r="E138" s="10"/>
      <c r="F138" s="33"/>
      <c r="G138" s="21">
        <f t="shared" si="23"/>
        <v>22.344999999999999</v>
      </c>
      <c r="H138" s="21">
        <f t="shared" si="26"/>
        <v>424.55499999999995</v>
      </c>
      <c r="I138" s="21"/>
      <c r="J138" s="21">
        <f t="shared" si="24"/>
        <v>348.58199999999999</v>
      </c>
      <c r="K138" s="21">
        <f t="shared" si="25"/>
        <v>379.86499999999995</v>
      </c>
      <c r="L138" s="21">
        <v>0</v>
      </c>
      <c r="M138" s="28"/>
      <c r="Q138" s="35"/>
    </row>
    <row r="139" spans="1:17" customFormat="1" ht="13.5" hidden="1" customHeight="1" x14ac:dyDescent="0.3">
      <c r="A139">
        <v>192</v>
      </c>
      <c r="B139" s="14" t="s">
        <v>106</v>
      </c>
      <c r="C139" s="12">
        <v>93.98</v>
      </c>
      <c r="D139" s="7">
        <v>20</v>
      </c>
      <c r="E139" s="10"/>
      <c r="F139" s="33"/>
      <c r="G139" s="21">
        <f t="shared" si="23"/>
        <v>4.6990000000000007</v>
      </c>
      <c r="H139" s="21">
        <f t="shared" si="26"/>
        <v>89.281000000000006</v>
      </c>
      <c r="I139" s="21"/>
      <c r="J139" s="21">
        <f t="shared" si="24"/>
        <v>73.304400000000001</v>
      </c>
      <c r="K139" s="21">
        <f t="shared" si="25"/>
        <v>79.882999999999996</v>
      </c>
      <c r="L139" s="21">
        <v>0</v>
      </c>
      <c r="M139" s="28"/>
      <c r="Q139" s="35"/>
    </row>
    <row r="140" spans="1:17" customFormat="1" ht="13.5" hidden="1" customHeight="1" x14ac:dyDescent="0.3">
      <c r="A140">
        <v>193</v>
      </c>
      <c r="B140" s="14" t="s">
        <v>111</v>
      </c>
      <c r="C140" s="12">
        <v>93.98</v>
      </c>
      <c r="D140" s="7">
        <v>16</v>
      </c>
      <c r="E140" s="10"/>
      <c r="F140" s="33"/>
      <c r="G140" s="21">
        <f t="shared" si="23"/>
        <v>4.6990000000000007</v>
      </c>
      <c r="H140" s="21">
        <f t="shared" si="26"/>
        <v>89.281000000000006</v>
      </c>
      <c r="I140" s="21"/>
      <c r="J140" s="21">
        <f t="shared" si="24"/>
        <v>73.304400000000001</v>
      </c>
      <c r="K140" s="21">
        <f t="shared" si="25"/>
        <v>79.882999999999996</v>
      </c>
      <c r="L140" s="21">
        <v>0</v>
      </c>
      <c r="M140" s="28"/>
      <c r="Q140" s="35"/>
    </row>
    <row r="141" spans="1:17" customFormat="1" ht="13.5" hidden="1" customHeight="1" x14ac:dyDescent="0.3">
      <c r="A141">
        <v>194</v>
      </c>
      <c r="B141" s="15" t="s">
        <v>151</v>
      </c>
      <c r="C141" s="12">
        <v>222.88</v>
      </c>
      <c r="D141" s="7">
        <v>13.253</v>
      </c>
      <c r="E141" s="10"/>
      <c r="F141" s="33"/>
      <c r="G141" s="21">
        <f t="shared" si="23"/>
        <v>11.144</v>
      </c>
      <c r="H141" s="21">
        <f t="shared" si="26"/>
        <v>211.73599999999999</v>
      </c>
      <c r="I141" s="21"/>
      <c r="J141" s="21">
        <f t="shared" si="24"/>
        <v>173.84639999999999</v>
      </c>
      <c r="K141" s="21">
        <f t="shared" si="25"/>
        <v>189.44799999999998</v>
      </c>
      <c r="L141" s="21">
        <v>0</v>
      </c>
      <c r="M141" s="28"/>
      <c r="Q141" s="35"/>
    </row>
    <row r="142" spans="1:17" customFormat="1" ht="13.5" hidden="1" customHeight="1" x14ac:dyDescent="0.3">
      <c r="A142">
        <v>195</v>
      </c>
      <c r="B142" s="15" t="s">
        <v>61</v>
      </c>
      <c r="C142" s="12">
        <v>171.02</v>
      </c>
      <c r="D142" s="7">
        <v>12</v>
      </c>
      <c r="E142" s="10"/>
      <c r="F142" s="33"/>
      <c r="G142" s="21">
        <f t="shared" si="23"/>
        <v>8.5510000000000002</v>
      </c>
      <c r="H142" s="21">
        <f t="shared" si="26"/>
        <v>162.46900000000002</v>
      </c>
      <c r="I142" s="21"/>
      <c r="J142" s="21">
        <f t="shared" si="24"/>
        <v>133.3956</v>
      </c>
      <c r="K142" s="21">
        <f t="shared" si="25"/>
        <v>145.36700000000002</v>
      </c>
      <c r="L142" s="21">
        <v>0</v>
      </c>
      <c r="M142" s="28"/>
      <c r="Q142" s="35"/>
    </row>
    <row r="143" spans="1:17" customFormat="1" ht="13.5" hidden="1" customHeight="1" x14ac:dyDescent="0.3">
      <c r="A143">
        <v>196</v>
      </c>
      <c r="B143" s="14" t="s">
        <v>85</v>
      </c>
      <c r="C143" s="12">
        <v>127.46</v>
      </c>
      <c r="D143" s="7">
        <v>12</v>
      </c>
      <c r="E143" s="10"/>
      <c r="F143" s="33"/>
      <c r="G143" s="21">
        <f t="shared" si="23"/>
        <v>6.3730000000000002</v>
      </c>
      <c r="H143" s="21">
        <f t="shared" si="26"/>
        <v>121.08699999999999</v>
      </c>
      <c r="I143" s="21"/>
      <c r="J143" s="21">
        <f t="shared" si="24"/>
        <v>99.418800000000005</v>
      </c>
      <c r="K143" s="21">
        <f t="shared" si="25"/>
        <v>108.34099999999999</v>
      </c>
      <c r="L143" s="21">
        <v>0</v>
      </c>
      <c r="M143" s="28"/>
      <c r="Q143" s="35"/>
    </row>
    <row r="144" spans="1:17" customFormat="1" ht="13.5" hidden="1" customHeight="1" x14ac:dyDescent="0.3">
      <c r="A144">
        <v>197</v>
      </c>
      <c r="B144" s="14" t="s">
        <v>64</v>
      </c>
      <c r="C144" s="12">
        <v>89.61</v>
      </c>
      <c r="D144" s="7">
        <v>10.56</v>
      </c>
      <c r="E144" s="10"/>
      <c r="F144" s="33"/>
      <c r="G144" s="21">
        <f t="shared" si="23"/>
        <v>4.4805000000000001</v>
      </c>
      <c r="H144" s="21">
        <f t="shared" si="26"/>
        <v>85.129499999999993</v>
      </c>
      <c r="I144" s="21"/>
      <c r="J144" s="21">
        <f t="shared" si="24"/>
        <v>69.895800000000008</v>
      </c>
      <c r="K144" s="21">
        <f t="shared" si="25"/>
        <v>76.168499999999995</v>
      </c>
      <c r="L144" s="21">
        <v>0</v>
      </c>
      <c r="M144" s="28"/>
      <c r="Q144" s="35"/>
    </row>
    <row r="145" spans="1:18" ht="13.5" hidden="1" customHeight="1" x14ac:dyDescent="0.3">
      <c r="A145">
        <v>198</v>
      </c>
      <c r="B145" s="14" t="s">
        <v>58</v>
      </c>
      <c r="C145" s="12">
        <v>144.08000000000001</v>
      </c>
      <c r="D145" s="7">
        <v>10.5</v>
      </c>
      <c r="E145" s="10"/>
      <c r="F145" s="33"/>
      <c r="G145" s="21">
        <f t="shared" si="23"/>
        <v>7.2040000000000006</v>
      </c>
      <c r="H145" s="21">
        <f t="shared" si="26"/>
        <v>136.876</v>
      </c>
      <c r="I145" s="21"/>
      <c r="J145" s="21">
        <f t="shared" si="24"/>
        <v>112.38240000000002</v>
      </c>
      <c r="K145" s="21">
        <f t="shared" si="25"/>
        <v>122.468</v>
      </c>
      <c r="L145" s="21">
        <v>0</v>
      </c>
      <c r="M145" s="28"/>
      <c r="Q145" s="35"/>
      <c r="R145"/>
    </row>
    <row r="146" spans="1:18" ht="13.5" hidden="1" customHeight="1" x14ac:dyDescent="0.3">
      <c r="A146">
        <v>199</v>
      </c>
      <c r="B146" s="14" t="s">
        <v>99</v>
      </c>
      <c r="C146" s="12">
        <v>38.15</v>
      </c>
      <c r="D146" s="7">
        <v>10</v>
      </c>
      <c r="E146" s="10"/>
      <c r="F146" s="33"/>
      <c r="G146" s="21">
        <f t="shared" si="23"/>
        <v>1.9075</v>
      </c>
      <c r="H146" s="21">
        <f t="shared" si="26"/>
        <v>36.2425</v>
      </c>
      <c r="I146" s="21"/>
      <c r="J146" s="21">
        <f t="shared" si="24"/>
        <v>29.757000000000001</v>
      </c>
      <c r="K146" s="21">
        <f t="shared" si="25"/>
        <v>32.427499999999995</v>
      </c>
      <c r="L146" s="21">
        <v>0</v>
      </c>
      <c r="M146" s="28"/>
      <c r="Q146" s="35"/>
      <c r="R146"/>
    </row>
    <row r="147" spans="1:18" ht="13.5" hidden="1" customHeight="1" x14ac:dyDescent="0.3">
      <c r="A147">
        <v>200</v>
      </c>
      <c r="B147" s="14" t="s">
        <v>100</v>
      </c>
      <c r="C147" s="12">
        <v>36.74</v>
      </c>
      <c r="D147" s="7">
        <v>10</v>
      </c>
      <c r="E147" s="10"/>
      <c r="F147" s="33"/>
      <c r="G147" s="21">
        <f t="shared" si="23"/>
        <v>1.8370000000000002</v>
      </c>
      <c r="H147" s="21">
        <f t="shared" si="26"/>
        <v>34.902999999999999</v>
      </c>
      <c r="I147" s="21"/>
      <c r="J147" s="21">
        <f t="shared" si="24"/>
        <v>28.657200000000003</v>
      </c>
      <c r="K147" s="21">
        <f t="shared" si="25"/>
        <v>31.228999999999999</v>
      </c>
      <c r="L147" s="21">
        <v>0</v>
      </c>
      <c r="M147" s="28"/>
      <c r="Q147" s="35"/>
      <c r="R147"/>
    </row>
    <row r="148" spans="1:18" ht="13.5" hidden="1" customHeight="1" x14ac:dyDescent="0.3">
      <c r="A148">
        <v>201</v>
      </c>
      <c r="B148" s="14" t="s">
        <v>101</v>
      </c>
      <c r="C148" s="12">
        <v>36.74</v>
      </c>
      <c r="D148" s="7">
        <v>10</v>
      </c>
      <c r="E148" s="10"/>
      <c r="F148" s="33"/>
      <c r="G148" s="21">
        <f t="shared" si="23"/>
        <v>1.8370000000000002</v>
      </c>
      <c r="H148" s="21">
        <f t="shared" si="26"/>
        <v>34.902999999999999</v>
      </c>
      <c r="I148" s="21"/>
      <c r="J148" s="21">
        <f t="shared" si="24"/>
        <v>28.657200000000003</v>
      </c>
      <c r="K148" s="21">
        <f t="shared" si="25"/>
        <v>31.228999999999999</v>
      </c>
      <c r="L148" s="21">
        <v>0</v>
      </c>
      <c r="M148" s="28"/>
      <c r="Q148" s="35"/>
      <c r="R148"/>
    </row>
    <row r="149" spans="1:18" ht="13.5" hidden="1" customHeight="1" x14ac:dyDescent="0.3">
      <c r="A149">
        <v>202</v>
      </c>
      <c r="B149" s="14" t="s">
        <v>140</v>
      </c>
      <c r="C149" s="12">
        <v>0</v>
      </c>
      <c r="D149" s="7">
        <v>9</v>
      </c>
      <c r="E149" s="10"/>
      <c r="F149" s="33"/>
      <c r="G149" s="21">
        <f t="shared" si="23"/>
        <v>0</v>
      </c>
      <c r="H149" s="21">
        <f t="shared" si="26"/>
        <v>0</v>
      </c>
      <c r="I149" s="21"/>
      <c r="J149" s="21">
        <f t="shared" si="24"/>
        <v>0</v>
      </c>
      <c r="K149" s="21">
        <f t="shared" si="25"/>
        <v>0</v>
      </c>
      <c r="L149" s="21">
        <v>0</v>
      </c>
      <c r="M149" s="28"/>
      <c r="Q149" s="35"/>
      <c r="R149"/>
    </row>
    <row r="150" spans="1:18" ht="13.5" hidden="1" customHeight="1" x14ac:dyDescent="0.3">
      <c r="A150">
        <v>203</v>
      </c>
      <c r="B150" s="14" t="s">
        <v>138</v>
      </c>
      <c r="C150" s="12">
        <v>148.6</v>
      </c>
      <c r="D150" s="7">
        <v>7.65</v>
      </c>
      <c r="E150" s="10"/>
      <c r="F150" s="33"/>
      <c r="G150" s="21">
        <f t="shared" si="23"/>
        <v>7.43</v>
      </c>
      <c r="H150" s="21">
        <f t="shared" si="26"/>
        <v>141.16999999999999</v>
      </c>
      <c r="I150" s="21"/>
      <c r="J150" s="21">
        <f t="shared" si="24"/>
        <v>115.908</v>
      </c>
      <c r="K150" s="21">
        <f t="shared" si="25"/>
        <v>126.30999999999999</v>
      </c>
      <c r="L150" s="21">
        <v>0</v>
      </c>
      <c r="M150" s="28"/>
      <c r="Q150" s="35"/>
      <c r="R150"/>
    </row>
    <row r="151" spans="1:18" ht="13.5" hidden="1" customHeight="1" x14ac:dyDescent="0.3">
      <c r="A151">
        <v>204</v>
      </c>
      <c r="B151" s="14" t="s">
        <v>60</v>
      </c>
      <c r="C151" s="12">
        <v>137.86000000000001</v>
      </c>
      <c r="D151" s="7">
        <v>4.2</v>
      </c>
      <c r="E151" s="10"/>
      <c r="F151" s="33"/>
      <c r="G151" s="21">
        <f t="shared" si="23"/>
        <v>6.8930000000000007</v>
      </c>
      <c r="H151" s="21">
        <f t="shared" si="26"/>
        <v>130.96700000000001</v>
      </c>
      <c r="I151" s="21"/>
      <c r="J151" s="21">
        <f t="shared" si="24"/>
        <v>107.53080000000001</v>
      </c>
      <c r="K151" s="21">
        <f t="shared" si="25"/>
        <v>117.18100000000001</v>
      </c>
      <c r="L151" s="21">
        <v>0</v>
      </c>
      <c r="M151" s="28"/>
      <c r="Q151" s="35"/>
      <c r="R151"/>
    </row>
    <row r="152" spans="1:18" ht="13.5" hidden="1" customHeight="1" x14ac:dyDescent="0.3">
      <c r="A152">
        <v>205</v>
      </c>
      <c r="B152" s="14" t="s">
        <v>160</v>
      </c>
      <c r="C152" s="12">
        <v>95.68</v>
      </c>
      <c r="D152" s="7">
        <v>2.4</v>
      </c>
      <c r="E152" s="10"/>
      <c r="F152" s="33"/>
      <c r="G152" s="21">
        <f t="shared" si="23"/>
        <v>4.7840000000000007</v>
      </c>
      <c r="H152" s="21">
        <f t="shared" si="26"/>
        <v>90.896000000000001</v>
      </c>
      <c r="I152" s="21"/>
      <c r="J152" s="21">
        <f t="shared" si="24"/>
        <v>74.630400000000009</v>
      </c>
      <c r="K152" s="21">
        <f t="shared" si="25"/>
        <v>81.328000000000003</v>
      </c>
      <c r="L152" s="21">
        <v>0</v>
      </c>
      <c r="M152" s="28"/>
      <c r="Q152" s="35"/>
      <c r="R152"/>
    </row>
    <row r="153" spans="1:18" ht="13.5" hidden="1" customHeight="1" x14ac:dyDescent="0.3">
      <c r="A153">
        <v>206</v>
      </c>
      <c r="B153" s="15" t="s">
        <v>161</v>
      </c>
      <c r="C153" s="12">
        <v>376.39393999999999</v>
      </c>
      <c r="D153" s="7">
        <v>0.66</v>
      </c>
      <c r="E153" s="10"/>
      <c r="F153" s="33"/>
      <c r="G153" s="21">
        <f t="shared" si="23"/>
        <v>18.819697000000001</v>
      </c>
      <c r="H153" s="21">
        <f t="shared" si="26"/>
        <v>357.57424299999997</v>
      </c>
      <c r="I153" s="21"/>
      <c r="J153" s="21">
        <f t="shared" si="24"/>
        <v>293.58727320000003</v>
      </c>
      <c r="K153" s="21">
        <f t="shared" si="25"/>
        <v>319.93484899999999</v>
      </c>
      <c r="L153" s="21">
        <v>0</v>
      </c>
      <c r="M153" s="28"/>
      <c r="Q153" s="35"/>
      <c r="R153"/>
    </row>
    <row r="154" spans="1:18" ht="13.5" hidden="1" customHeight="1" x14ac:dyDescent="0.3">
      <c r="A154">
        <v>207</v>
      </c>
      <c r="B154" s="14" t="s">
        <v>152</v>
      </c>
      <c r="C154" s="12">
        <v>491.36667</v>
      </c>
      <c r="D154" s="7">
        <v>0.3</v>
      </c>
      <c r="E154" s="10"/>
      <c r="F154" s="33"/>
      <c r="G154" s="21">
        <f t="shared" si="23"/>
        <v>24.568333500000001</v>
      </c>
      <c r="H154" s="21">
        <f t="shared" si="26"/>
        <v>466.7983365</v>
      </c>
      <c r="I154" s="21"/>
      <c r="J154" s="21">
        <f t="shared" si="24"/>
        <v>383.26600260000004</v>
      </c>
      <c r="K154" s="21">
        <f t="shared" si="25"/>
        <v>417.66166950000002</v>
      </c>
      <c r="L154" s="21">
        <v>0</v>
      </c>
      <c r="M154" s="28"/>
      <c r="Q154" s="35"/>
      <c r="R154"/>
    </row>
    <row r="155" spans="1:18" s="1" customFormat="1" ht="13.5" hidden="1" customHeight="1" x14ac:dyDescent="0.3">
      <c r="A155">
        <v>208</v>
      </c>
      <c r="B155" s="16" t="s">
        <v>153</v>
      </c>
      <c r="C155" s="12">
        <v>272.08</v>
      </c>
      <c r="D155" s="7">
        <v>0.3</v>
      </c>
      <c r="E155" s="9">
        <v>29.928799999999992</v>
      </c>
      <c r="F155" s="33">
        <v>29.928799999999999</v>
      </c>
      <c r="G155" s="21">
        <f t="shared" si="23"/>
        <v>13.603999999999999</v>
      </c>
      <c r="H155" s="21">
        <f t="shared" si="26"/>
        <v>228.5472</v>
      </c>
      <c r="I155" s="22"/>
      <c r="J155" s="21">
        <f t="shared" si="24"/>
        <v>212.22239999999999</v>
      </c>
      <c r="K155" s="21">
        <f t="shared" si="25"/>
        <v>231.26799999999997</v>
      </c>
      <c r="L155" s="21">
        <v>0</v>
      </c>
      <c r="M155" s="28"/>
      <c r="Q155" s="35"/>
      <c r="R155"/>
    </row>
    <row r="156" spans="1:18" ht="13.5" hidden="1" customHeight="1" x14ac:dyDescent="0.3">
      <c r="A156">
        <v>209</v>
      </c>
      <c r="B156" s="16" t="s">
        <v>154</v>
      </c>
      <c r="C156" s="12">
        <v>100.8</v>
      </c>
      <c r="D156" s="7">
        <v>0.3</v>
      </c>
      <c r="E156" s="9">
        <v>55.440000000000012</v>
      </c>
      <c r="F156" s="33">
        <v>55.44</v>
      </c>
      <c r="G156" s="21">
        <f t="shared" si="23"/>
        <v>5.04</v>
      </c>
      <c r="H156" s="21">
        <f t="shared" si="26"/>
        <v>40.319999999999979</v>
      </c>
      <c r="I156" s="21"/>
      <c r="J156" s="21">
        <f t="shared" si="24"/>
        <v>78.623999999999995</v>
      </c>
      <c r="K156" s="21">
        <f t="shared" si="25"/>
        <v>85.679999999999993</v>
      </c>
      <c r="L156" s="21">
        <v>0</v>
      </c>
      <c r="M156" s="28"/>
      <c r="Q156" s="35"/>
      <c r="R156"/>
    </row>
    <row r="157" spans="1:18" ht="13.5" hidden="1" customHeight="1" x14ac:dyDescent="0.3">
      <c r="A157">
        <v>210</v>
      </c>
      <c r="B157" s="16" t="s">
        <v>155</v>
      </c>
      <c r="C157" s="12">
        <v>277.39</v>
      </c>
      <c r="D157" s="7">
        <v>0.3</v>
      </c>
      <c r="E157" s="9">
        <v>30.512900000000002</v>
      </c>
      <c r="F157" s="33"/>
      <c r="G157" s="21">
        <f t="shared" si="23"/>
        <v>13.8695</v>
      </c>
      <c r="H157" s="21">
        <f t="shared" si="26"/>
        <v>233.00759999999997</v>
      </c>
      <c r="I157" s="21"/>
      <c r="J157" s="21">
        <f t="shared" si="24"/>
        <v>216.36419999999998</v>
      </c>
      <c r="K157" s="21">
        <f t="shared" si="25"/>
        <v>235.78149999999999</v>
      </c>
      <c r="L157" s="21">
        <v>0</v>
      </c>
      <c r="M157" s="28"/>
      <c r="Q157" s="35"/>
      <c r="R157"/>
    </row>
    <row r="158" spans="1:18" ht="13.5" hidden="1" customHeight="1" x14ac:dyDescent="0.3">
      <c r="A158">
        <v>211</v>
      </c>
      <c r="B158" s="16" t="s">
        <v>156</v>
      </c>
      <c r="C158" s="12">
        <v>221.26</v>
      </c>
      <c r="D158" s="7">
        <v>0.3</v>
      </c>
      <c r="E158" s="9">
        <v>36.508140900000001</v>
      </c>
      <c r="F158" s="33">
        <v>48.234998279999999</v>
      </c>
      <c r="G158" s="21">
        <f t="shared" si="23"/>
        <v>11.063000000000001</v>
      </c>
      <c r="H158" s="21">
        <f t="shared" si="26"/>
        <v>173.6888591</v>
      </c>
      <c r="I158" s="21"/>
      <c r="J158" s="21">
        <f t="shared" si="24"/>
        <v>172.58279999999999</v>
      </c>
      <c r="K158" s="21">
        <f t="shared" si="25"/>
        <v>188.071</v>
      </c>
      <c r="L158" s="21">
        <v>0</v>
      </c>
      <c r="M158" s="28"/>
      <c r="Q158" s="35"/>
      <c r="R158"/>
    </row>
    <row r="159" spans="1:18" ht="13.5" hidden="1" customHeight="1" x14ac:dyDescent="0.3">
      <c r="A159">
        <v>212</v>
      </c>
      <c r="B159" s="16" t="s">
        <v>157</v>
      </c>
      <c r="C159" s="12">
        <v>221.43</v>
      </c>
      <c r="D159" s="7">
        <v>0.3</v>
      </c>
      <c r="E159" s="9">
        <v>48.714441600000029</v>
      </c>
      <c r="F159" s="33">
        <v>48.714441599999994</v>
      </c>
      <c r="G159" s="21">
        <f t="shared" si="23"/>
        <v>11.0715</v>
      </c>
      <c r="H159" s="21">
        <f t="shared" si="26"/>
        <v>161.64405839999995</v>
      </c>
      <c r="I159" s="21"/>
      <c r="J159" s="21">
        <f t="shared" si="24"/>
        <v>172.71540000000002</v>
      </c>
      <c r="K159" s="21">
        <f t="shared" si="25"/>
        <v>188.21549999999999</v>
      </c>
      <c r="L159" s="21">
        <v>0</v>
      </c>
      <c r="M159" s="28"/>
      <c r="Q159" s="35"/>
      <c r="R159"/>
    </row>
    <row r="160" spans="1:18" ht="13.5" hidden="1" customHeight="1" x14ac:dyDescent="0.3">
      <c r="A160">
        <v>213</v>
      </c>
      <c r="B160" s="16" t="s">
        <v>158</v>
      </c>
      <c r="C160" s="12">
        <v>101.74</v>
      </c>
      <c r="D160" s="7">
        <v>0.3</v>
      </c>
      <c r="E160" s="9">
        <v>39.970377809999974</v>
      </c>
      <c r="F160" s="33"/>
      <c r="G160" s="21">
        <f t="shared" si="23"/>
        <v>5.0869999999999997</v>
      </c>
      <c r="H160" s="21">
        <f t="shared" si="26"/>
        <v>56.682622190000018</v>
      </c>
      <c r="I160" s="21"/>
      <c r="J160" s="21">
        <f t="shared" si="24"/>
        <v>79.357199999999992</v>
      </c>
      <c r="K160" s="21">
        <f t="shared" si="25"/>
        <v>86.478999999999999</v>
      </c>
      <c r="L160" s="21">
        <v>0</v>
      </c>
      <c r="M160" s="28"/>
      <c r="Q160" s="35"/>
      <c r="R160"/>
    </row>
    <row r="161" spans="1:18" ht="13.5" hidden="1" customHeight="1" x14ac:dyDescent="0.3">
      <c r="A161">
        <v>214</v>
      </c>
      <c r="B161" s="16" t="s">
        <v>159</v>
      </c>
      <c r="C161" s="12">
        <v>194.4</v>
      </c>
      <c r="D161" s="7">
        <v>0.3</v>
      </c>
      <c r="E161" s="9">
        <v>42.768000000000001</v>
      </c>
      <c r="F161" s="33">
        <v>42.768000000000001</v>
      </c>
      <c r="G161" s="21">
        <f t="shared" si="23"/>
        <v>9.7200000000000006</v>
      </c>
      <c r="H161" s="21">
        <f t="shared" si="26"/>
        <v>141.91200000000001</v>
      </c>
      <c r="I161" s="21"/>
      <c r="J161" s="21">
        <f t="shared" si="24"/>
        <v>151.63200000000001</v>
      </c>
      <c r="K161" s="21">
        <f t="shared" si="25"/>
        <v>165.24</v>
      </c>
      <c r="L161" s="21">
        <v>0</v>
      </c>
      <c r="M161" s="28"/>
      <c r="Q161" s="35"/>
      <c r="R161"/>
    </row>
    <row r="162" spans="1:18" ht="13.5" hidden="1" customHeight="1" x14ac:dyDescent="0.3">
      <c r="A162">
        <v>215</v>
      </c>
      <c r="B162" s="17" t="s">
        <v>162</v>
      </c>
      <c r="C162" s="12">
        <v>245.11</v>
      </c>
      <c r="D162" s="7">
        <v>0.3</v>
      </c>
      <c r="E162" s="10"/>
      <c r="F162" s="33"/>
      <c r="G162" s="21">
        <f t="shared" si="23"/>
        <v>12.255500000000001</v>
      </c>
      <c r="H162" s="21">
        <f t="shared" si="26"/>
        <v>232.8545</v>
      </c>
      <c r="I162" s="21"/>
      <c r="J162" s="21">
        <f t="shared" si="24"/>
        <v>191.18580000000003</v>
      </c>
      <c r="K162" s="21">
        <f t="shared" si="25"/>
        <v>208.34350000000001</v>
      </c>
      <c r="L162" s="21">
        <v>0</v>
      </c>
      <c r="M162" s="28"/>
      <c r="Q162" s="35"/>
      <c r="R162"/>
    </row>
    <row r="163" spans="1:18" ht="13.5" hidden="1" customHeight="1" x14ac:dyDescent="0.3">
      <c r="A163">
        <v>216</v>
      </c>
      <c r="B163" s="17" t="s">
        <v>163</v>
      </c>
      <c r="C163" s="12">
        <v>271.3</v>
      </c>
      <c r="D163" s="7">
        <v>0.3</v>
      </c>
      <c r="E163" s="10"/>
      <c r="F163" s="33"/>
      <c r="G163" s="21">
        <f t="shared" si="23"/>
        <v>13.565000000000001</v>
      </c>
      <c r="H163" s="21">
        <f t="shared" si="26"/>
        <v>257.73500000000001</v>
      </c>
      <c r="I163" s="21"/>
      <c r="J163" s="21">
        <f t="shared" si="24"/>
        <v>211.614</v>
      </c>
      <c r="K163" s="21">
        <f t="shared" si="25"/>
        <v>230.60499999999999</v>
      </c>
      <c r="L163" s="21">
        <v>0</v>
      </c>
      <c r="M163" s="28"/>
      <c r="Q163" s="35"/>
      <c r="R163"/>
    </row>
    <row r="164" spans="1:18" ht="13.5" hidden="1" customHeight="1" x14ac:dyDescent="0.3">
      <c r="A164">
        <v>217</v>
      </c>
      <c r="B164" s="17" t="s">
        <v>164</v>
      </c>
      <c r="C164" s="12">
        <v>145.85</v>
      </c>
      <c r="D164" s="7">
        <v>0.3</v>
      </c>
      <c r="E164" s="10"/>
      <c r="F164" s="33"/>
      <c r="G164" s="21">
        <f t="shared" si="23"/>
        <v>7.2925000000000004</v>
      </c>
      <c r="H164" s="21">
        <f t="shared" si="26"/>
        <v>138.5575</v>
      </c>
      <c r="I164" s="21"/>
      <c r="J164" s="21">
        <f t="shared" si="24"/>
        <v>113.76300000000001</v>
      </c>
      <c r="K164" s="21">
        <f t="shared" si="25"/>
        <v>123.9725</v>
      </c>
      <c r="L164" s="21">
        <v>0</v>
      </c>
      <c r="M164" s="28"/>
      <c r="Q164" s="35"/>
      <c r="R164"/>
    </row>
    <row r="165" spans="1:18" ht="13.5" hidden="1" customHeight="1" thickBot="1" x14ac:dyDescent="0.3">
      <c r="A165">
        <v>218</v>
      </c>
      <c r="B165" s="38" t="s">
        <v>165</v>
      </c>
      <c r="C165" s="40">
        <v>225.84</v>
      </c>
      <c r="D165" s="41">
        <v>0.3</v>
      </c>
      <c r="E165" s="42"/>
      <c r="F165" s="43"/>
      <c r="G165" s="44">
        <f t="shared" si="23"/>
        <v>11.292000000000002</v>
      </c>
      <c r="H165" s="44">
        <f t="shared" si="26"/>
        <v>214.548</v>
      </c>
      <c r="I165" s="44"/>
      <c r="J165" s="44">
        <f t="shared" si="24"/>
        <v>176.15520000000001</v>
      </c>
      <c r="K165" s="44">
        <f t="shared" si="25"/>
        <v>191.964</v>
      </c>
      <c r="L165" s="44">
        <v>0</v>
      </c>
      <c r="M165" s="28"/>
      <c r="Q165" s="45"/>
      <c r="R165"/>
    </row>
    <row r="166" spans="1:18" ht="21.75" thickBot="1" x14ac:dyDescent="0.4">
      <c r="B166" s="39" t="s">
        <v>175</v>
      </c>
      <c r="C166" s="46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8">
        <f>SUM(Q3:Q165)</f>
        <v>17800</v>
      </c>
    </row>
  </sheetData>
  <autoFilter ref="Q1:Q166" xr:uid="{A2CC739C-1285-4D59-BB9F-879C58DA54B6}">
    <filterColumn colId="0">
      <customFilters>
        <customFilter operator="notEqual" val=" "/>
      </customFilters>
    </filterColumn>
  </autoFilter>
  <pageMargins left="0.19685039370078741" right="0.19685039370078741" top="0.19685039370078741" bottom="0.19685039370078741" header="0" footer="0"/>
  <pageSetup paperSize="9" scale="3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Лист1</vt:lpstr>
      <vt:lpstr>Лист2</vt:lpstr>
      <vt:lpstr>Лист3</vt:lpstr>
      <vt:lpstr>Лист1!Заголовки_для_печати</vt:lpstr>
      <vt:lpstr>Лист1!Область_печати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Manager3</dc:creator>
  <cp:lastModifiedBy>Uaer4</cp:lastModifiedBy>
  <cp:lastPrinted>2024-11-27T07:23:59Z</cp:lastPrinted>
  <dcterms:created xsi:type="dcterms:W3CDTF">2023-07-21T07:39:39Z</dcterms:created>
  <dcterms:modified xsi:type="dcterms:W3CDTF">2025-04-23T07:14:50Z</dcterms:modified>
</cp:coreProperties>
</file>