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Малахутин погрузка 14,04\"/>
    </mc:Choice>
  </mc:AlternateContent>
  <xr:revisionPtr revIDLastSave="0" documentId="13_ncr:1_{666ED2B1-9E8B-404A-8A4C-4E412CF1FBC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X586" i="1"/>
  <c r="Y585" i="1"/>
  <c r="X585" i="1"/>
  <c r="BP584" i="1"/>
  <c r="BO584" i="1"/>
  <c r="BN584" i="1"/>
  <c r="BM584" i="1"/>
  <c r="Z584" i="1"/>
  <c r="Z585" i="1" s="1"/>
  <c r="Y584" i="1"/>
  <c r="Y586" i="1" s="1"/>
  <c r="X582" i="1"/>
  <c r="X581" i="1"/>
  <c r="BO580" i="1"/>
  <c r="BM580" i="1"/>
  <c r="Y580" i="1"/>
  <c r="X578" i="1"/>
  <c r="Y577" i="1"/>
  <c r="X577" i="1"/>
  <c r="BP576" i="1"/>
  <c r="BO576" i="1"/>
  <c r="BN576" i="1"/>
  <c r="BM576" i="1"/>
  <c r="Z576" i="1"/>
  <c r="Z577" i="1" s="1"/>
  <c r="Y576" i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6" i="1" s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N534" i="1"/>
  <c r="BM534" i="1"/>
  <c r="Z534" i="1"/>
  <c r="Y534" i="1"/>
  <c r="BP534" i="1" s="1"/>
  <c r="BP533" i="1"/>
  <c r="BO533" i="1"/>
  <c r="BN533" i="1"/>
  <c r="BM533" i="1"/>
  <c r="Z533" i="1"/>
  <c r="Y533" i="1"/>
  <c r="X529" i="1"/>
  <c r="X528" i="1"/>
  <c r="BO527" i="1"/>
  <c r="BM527" i="1"/>
  <c r="Y527" i="1"/>
  <c r="BP527" i="1" s="1"/>
  <c r="BO526" i="1"/>
  <c r="BM526" i="1"/>
  <c r="Y526" i="1"/>
  <c r="Y528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P521" i="1" s="1"/>
  <c r="P521" i="1"/>
  <c r="BP520" i="1"/>
  <c r="BO520" i="1"/>
  <c r="BN520" i="1"/>
  <c r="BM520" i="1"/>
  <c r="Z520" i="1"/>
  <c r="Y520" i="1"/>
  <c r="Y523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Y517" i="1" s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Y503" i="1" s="1"/>
  <c r="P498" i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AC601" i="1" s="1"/>
  <c r="P480" i="1"/>
  <c r="X476" i="1"/>
  <c r="X475" i="1"/>
  <c r="BO474" i="1"/>
  <c r="BM474" i="1"/>
  <c r="Y474" i="1"/>
  <c r="Y476" i="1" s="1"/>
  <c r="P474" i="1"/>
  <c r="X472" i="1"/>
  <c r="X471" i="1"/>
  <c r="BO470" i="1"/>
  <c r="BM470" i="1"/>
  <c r="Y470" i="1"/>
  <c r="AB60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Y461" i="1" s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Z601" i="1" s="1"/>
  <c r="P451" i="1"/>
  <c r="X448" i="1"/>
  <c r="X447" i="1"/>
  <c r="BO446" i="1"/>
  <c r="BM446" i="1"/>
  <c r="Y446" i="1"/>
  <c r="Y448" i="1" s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BO434" i="1"/>
  <c r="BM434" i="1"/>
  <c r="Y434" i="1"/>
  <c r="Y442" i="1" s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Y426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BP417" i="1" s="1"/>
  <c r="BO416" i="1"/>
  <c r="BM416" i="1"/>
  <c r="Y416" i="1"/>
  <c r="Y421" i="1" s="1"/>
  <c r="P416" i="1"/>
  <c r="X414" i="1"/>
  <c r="X413" i="1"/>
  <c r="BO412" i="1"/>
  <c r="BM412" i="1"/>
  <c r="Y412" i="1"/>
  <c r="Y414" i="1" s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Y408" i="1" s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P394" i="1" s="1"/>
  <c r="BO393" i="1"/>
  <c r="BM393" i="1"/>
  <c r="Y393" i="1"/>
  <c r="Y396" i="1" s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BO123" i="1"/>
  <c r="BM123" i="1"/>
  <c r="Y123" i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Y83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3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Z133" i="1" l="1"/>
  <c r="B601" i="1"/>
  <c r="X592" i="1"/>
  <c r="X594" i="1" s="1"/>
  <c r="X593" i="1"/>
  <c r="Z23" i="1"/>
  <c r="Z28" i="1" s="1"/>
  <c r="BN23" i="1"/>
  <c r="BP23" i="1"/>
  <c r="Y593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BN37" i="1"/>
  <c r="BP37" i="1"/>
  <c r="Z39" i="1"/>
  <c r="BN39" i="1"/>
  <c r="Y42" i="1"/>
  <c r="Y591" i="1" s="1"/>
  <c r="D601" i="1"/>
  <c r="Y56" i="1"/>
  <c r="BP49" i="1"/>
  <c r="BP53" i="1"/>
  <c r="BN53" i="1"/>
  <c r="Z53" i="1"/>
  <c r="Y62" i="1"/>
  <c r="BP61" i="1"/>
  <c r="BN61" i="1"/>
  <c r="Z61" i="1"/>
  <c r="Y68" i="1"/>
  <c r="BP65" i="1"/>
  <c r="BN65" i="1"/>
  <c r="Z65" i="1"/>
  <c r="Z68" i="1" s="1"/>
  <c r="BP73" i="1"/>
  <c r="BN73" i="1"/>
  <c r="Z73" i="1"/>
  <c r="Z83" i="1"/>
  <c r="BP81" i="1"/>
  <c r="BN81" i="1"/>
  <c r="Z81" i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BP120" i="1"/>
  <c r="BN120" i="1"/>
  <c r="Z120" i="1"/>
  <c r="Z128" i="1" s="1"/>
  <c r="BP124" i="1"/>
  <c r="BN124" i="1"/>
  <c r="Z124" i="1"/>
  <c r="Y128" i="1"/>
  <c r="BP132" i="1"/>
  <c r="BN132" i="1"/>
  <c r="Z132" i="1"/>
  <c r="Y134" i="1"/>
  <c r="G601" i="1"/>
  <c r="Y140" i="1"/>
  <c r="BP137" i="1"/>
  <c r="BN137" i="1"/>
  <c r="Z137" i="1"/>
  <c r="Z139" i="1" s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BP324" i="1"/>
  <c r="BN324" i="1"/>
  <c r="Z324" i="1"/>
  <c r="Z325" i="1" s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V601" i="1"/>
  <c r="Y364" i="1"/>
  <c r="BP363" i="1"/>
  <c r="BN363" i="1"/>
  <c r="Z363" i="1"/>
  <c r="Z364" i="1" s="1"/>
  <c r="Y365" i="1"/>
  <c r="Y371" i="1"/>
  <c r="Y370" i="1"/>
  <c r="BP367" i="1"/>
  <c r="BN367" i="1"/>
  <c r="Z367" i="1"/>
  <c r="H9" i="1"/>
  <c r="A10" i="1"/>
  <c r="F9" i="1"/>
  <c r="J9" i="1"/>
  <c r="Y41" i="1"/>
  <c r="BP51" i="1"/>
  <c r="BN51" i="1"/>
  <c r="Z51" i="1"/>
  <c r="Z55" i="1" s="1"/>
  <c r="Y55" i="1"/>
  <c r="BP59" i="1"/>
  <c r="BN59" i="1"/>
  <c r="Z59" i="1"/>
  <c r="Z62" i="1" s="1"/>
  <c r="BP67" i="1"/>
  <c r="BN67" i="1"/>
  <c r="Y592" i="1" s="1"/>
  <c r="Y594" i="1" s="1"/>
  <c r="Z67" i="1"/>
  <c r="Y69" i="1"/>
  <c r="Y78" i="1"/>
  <c r="BP71" i="1"/>
  <c r="BN71" i="1"/>
  <c r="Z71" i="1"/>
  <c r="Z77" i="1" s="1"/>
  <c r="BP75" i="1"/>
  <c r="BN75" i="1"/>
  <c r="Z75" i="1"/>
  <c r="Z90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3" i="1"/>
  <c r="BN123" i="1"/>
  <c r="Z123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Z221" i="1" s="1"/>
  <c r="Y221" i="1"/>
  <c r="BP225" i="1"/>
  <c r="BN225" i="1"/>
  <c r="Z225" i="1"/>
  <c r="Z226" i="1" s="1"/>
  <c r="Y227" i="1"/>
  <c r="K601" i="1"/>
  <c r="Y239" i="1"/>
  <c r="BP230" i="1"/>
  <c r="BN230" i="1"/>
  <c r="Z230" i="1"/>
  <c r="Z238" i="1" s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1" i="1"/>
  <c r="Y282" i="1"/>
  <c r="BP277" i="1"/>
  <c r="BN277" i="1"/>
  <c r="Z277" i="1"/>
  <c r="Z282" i="1" s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BP338" i="1"/>
  <c r="BN338" i="1"/>
  <c r="Z338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E601" i="1"/>
  <c r="Y91" i="1"/>
  <c r="F601" i="1"/>
  <c r="Y110" i="1"/>
  <c r="H601" i="1"/>
  <c r="Y155" i="1"/>
  <c r="L601" i="1"/>
  <c r="Y261" i="1"/>
  <c r="Y316" i="1"/>
  <c r="U601" i="1"/>
  <c r="Y325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78" i="1"/>
  <c r="BN378" i="1"/>
  <c r="Z378" i="1"/>
  <c r="BP382" i="1"/>
  <c r="BN382" i="1"/>
  <c r="Z382" i="1"/>
  <c r="Z517" i="1"/>
  <c r="W601" i="1"/>
  <c r="Y385" i="1"/>
  <c r="Z393" i="1"/>
  <c r="BN393" i="1"/>
  <c r="BP393" i="1"/>
  <c r="Z394" i="1"/>
  <c r="BN394" i="1"/>
  <c r="Y395" i="1"/>
  <c r="X601" i="1"/>
  <c r="Z404" i="1"/>
  <c r="Z408" i="1" s="1"/>
  <c r="BN404" i="1"/>
  <c r="BP404" i="1"/>
  <c r="Z406" i="1"/>
  <c r="BN406" i="1"/>
  <c r="Y409" i="1"/>
  <c r="Z412" i="1"/>
  <c r="Z413" i="1" s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1" i="1"/>
  <c r="Z434" i="1"/>
  <c r="Z442" i="1" s="1"/>
  <c r="BN434" i="1"/>
  <c r="BP434" i="1"/>
  <c r="Z435" i="1"/>
  <c r="BN435" i="1"/>
  <c r="Z437" i="1"/>
  <c r="BN437" i="1"/>
  <c r="Z440" i="1"/>
  <c r="BN440" i="1"/>
  <c r="Y443" i="1"/>
  <c r="Z446" i="1"/>
  <c r="Z447" i="1" s="1"/>
  <c r="BN446" i="1"/>
  <c r="BP446" i="1"/>
  <c r="Z451" i="1"/>
  <c r="Z453" i="1" s="1"/>
  <c r="BN451" i="1"/>
  <c r="BP451" i="1"/>
  <c r="Y454" i="1"/>
  <c r="Z456" i="1"/>
  <c r="BN456" i="1"/>
  <c r="BP456" i="1"/>
  <c r="Z459" i="1"/>
  <c r="BN459" i="1"/>
  <c r="Y460" i="1"/>
  <c r="Z464" i="1"/>
  <c r="BN464" i="1"/>
  <c r="BP464" i="1"/>
  <c r="Z465" i="1"/>
  <c r="BN465" i="1"/>
  <c r="Y466" i="1"/>
  <c r="Z470" i="1"/>
  <c r="Z471" i="1" s="1"/>
  <c r="BN470" i="1"/>
  <c r="BP470" i="1"/>
  <c r="Y471" i="1"/>
  <c r="Z474" i="1"/>
  <c r="Z475" i="1" s="1"/>
  <c r="BN474" i="1"/>
  <c r="BP474" i="1"/>
  <c r="Y475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BN498" i="1"/>
  <c r="BP498" i="1"/>
  <c r="Z499" i="1"/>
  <c r="BN499" i="1"/>
  <c r="Z500" i="1"/>
  <c r="BN500" i="1"/>
  <c r="Z501" i="1"/>
  <c r="BN501" i="1"/>
  <c r="Y502" i="1"/>
  <c r="Z511" i="1"/>
  <c r="BN511" i="1"/>
  <c r="Z512" i="1"/>
  <c r="BN512" i="1"/>
  <c r="Z515" i="1"/>
  <c r="BN515" i="1"/>
  <c r="Y518" i="1"/>
  <c r="Z521" i="1"/>
  <c r="Z523" i="1" s="1"/>
  <c r="BN521" i="1"/>
  <c r="Y524" i="1"/>
  <c r="Y529" i="1"/>
  <c r="BP535" i="1"/>
  <c r="BN535" i="1"/>
  <c r="Z535" i="1"/>
  <c r="Z539" i="1" s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73" i="1"/>
  <c r="Y581" i="1"/>
  <c r="BP580" i="1"/>
  <c r="BN580" i="1"/>
  <c r="Z580" i="1"/>
  <c r="Z581" i="1" s="1"/>
  <c r="Y582" i="1"/>
  <c r="Y589" i="1"/>
  <c r="BP588" i="1"/>
  <c r="BN588" i="1"/>
  <c r="Z588" i="1"/>
  <c r="Z589" i="1" s="1"/>
  <c r="Y590" i="1"/>
  <c r="Y453" i="1"/>
  <c r="Y467" i="1"/>
  <c r="Y472" i="1"/>
  <c r="Y496" i="1"/>
  <c r="Z526" i="1"/>
  <c r="Z528" i="1" s="1"/>
  <c r="BN526" i="1"/>
  <c r="BP526" i="1"/>
  <c r="Z527" i="1"/>
  <c r="BN527" i="1"/>
  <c r="AD601" i="1"/>
  <c r="Y539" i="1"/>
  <c r="BP536" i="1"/>
  <c r="BN536" i="1"/>
  <c r="Z536" i="1"/>
  <c r="BP538" i="1"/>
  <c r="BN538" i="1"/>
  <c r="Z538" i="1"/>
  <c r="Y540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58" i="1"/>
  <c r="Y572" i="1"/>
  <c r="BP568" i="1"/>
  <c r="BN568" i="1"/>
  <c r="Z568" i="1"/>
  <c r="BP570" i="1"/>
  <c r="BN570" i="1"/>
  <c r="Z570" i="1"/>
  <c r="AE601" i="1"/>
  <c r="Y578" i="1"/>
  <c r="Z370" i="1" l="1"/>
  <c r="Z572" i="1"/>
  <c r="Z557" i="1"/>
  <c r="Z502" i="1"/>
  <c r="Z495" i="1"/>
  <c r="Z466" i="1"/>
  <c r="Z460" i="1"/>
  <c r="Z421" i="1"/>
  <c r="Z395" i="1"/>
  <c r="Z353" i="1"/>
  <c r="Z209" i="1"/>
  <c r="Z183" i="1"/>
  <c r="Z332" i="1"/>
  <c r="Z273" i="1"/>
  <c r="Z161" i="1"/>
  <c r="Z110" i="1"/>
  <c r="Z102" i="1"/>
  <c r="Z41" i="1"/>
  <c r="Z596" i="1" s="1"/>
  <c r="Y595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<sst xmlns="http://schemas.openxmlformats.org/spreadsheetml/2006/main" count="2720" uniqueCount="975">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</sst>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8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54</v>
      </c>
      <c r="Y98" s="664">
        <f t="shared" si="16"/>
        <v>54</v>
      </c>
      <c r="Z98" s="36">
        <f>IFERROR(IF(Y98=0,"",ROUNDUP(Y98/H98,0)*0.00651),"")</f>
        <v>0.13020000000000001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59.039999999999992</v>
      </c>
      <c r="BN98" s="64">
        <f t="shared" si="18"/>
        <v>59.039999999999992</v>
      </c>
      <c r="BO98" s="64">
        <f t="shared" si="19"/>
        <v>0.1098901098901099</v>
      </c>
      <c r="BP98" s="64">
        <f t="shared" si="20"/>
        <v>0.1098901098901099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20</v>
      </c>
      <c r="Y102" s="665">
        <f>IFERROR(Y93/H93,"0")+IFERROR(Y94/H94,"0")+IFERROR(Y95/H95,"0")+IFERROR(Y96/H96,"0")+IFERROR(Y97/H97,"0")+IFERROR(Y98/H98,"0")+IFERROR(Y99/H99,"0")+IFERROR(Y100/H100,"0")+IFERROR(Y101/H101,"0")</f>
        <v>20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0.13020000000000001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54</v>
      </c>
      <c r="Y103" s="665">
        <f>IFERROR(SUM(Y93:Y101),"0")</f>
        <v>54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100</v>
      </c>
      <c r="Y106" s="664">
        <f>IFERROR(IF(X106="",0,CEILING((X106/$H106),1)*$H106),"")</f>
        <v>108</v>
      </c>
      <c r="Z106" s="36">
        <f>IFERROR(IF(Y106=0,"",ROUNDUP(Y106/H106,0)*0.01898),"")</f>
        <v>0.1898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104.02777777777777</v>
      </c>
      <c r="BN106" s="64">
        <f>IFERROR(Y106*I106/H106,"0")</f>
        <v>112.34999999999998</v>
      </c>
      <c r="BO106" s="64">
        <f>IFERROR(1/J106*(X106/H106),"0")</f>
        <v>0.14467592592592593</v>
      </c>
      <c r="BP106" s="64">
        <f>IFERROR(1/J106*(Y106/H106),"0")</f>
        <v>0.15625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9.2592592592592595</v>
      </c>
      <c r="Y110" s="665">
        <f>IFERROR(Y106/H106,"0")+IFERROR(Y107/H107,"0")+IFERROR(Y108/H108,"0")+IFERROR(Y109/H109,"0")</f>
        <v>10</v>
      </c>
      <c r="Z110" s="665">
        <f>IFERROR(IF(Z106="",0,Z106),"0")+IFERROR(IF(Z107="",0,Z107),"0")+IFERROR(IF(Z108="",0,Z108),"0")+IFERROR(IF(Z109="",0,Z109),"0")</f>
        <v>0.1898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100</v>
      </c>
      <c r="Y111" s="665">
        <f>IFERROR(SUM(Y106:Y109),"0")</f>
        <v>108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81</v>
      </c>
      <c r="Y125" s="664">
        <f t="shared" si="21"/>
        <v>81</v>
      </c>
      <c r="Z125" s="36">
        <f t="shared" si="26"/>
        <v>0.1953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88.559999999999988</v>
      </c>
      <c r="BN125" s="64">
        <f t="shared" si="23"/>
        <v>88.559999999999988</v>
      </c>
      <c r="BO125" s="64">
        <f t="shared" si="24"/>
        <v>0.16483516483516483</v>
      </c>
      <c r="BP125" s="64">
        <f t="shared" si="25"/>
        <v>0.16483516483516483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29.999999999999996</v>
      </c>
      <c r="Y128" s="665">
        <f>IFERROR(Y119/H119,"0")+IFERROR(Y120/H120,"0")+IFERROR(Y121/H121,"0")+IFERROR(Y122/H122,"0")+IFERROR(Y123/H123,"0")+IFERROR(Y124/H124,"0")+IFERROR(Y125/H125,"0")+IFERROR(Y126/H126,"0")+IFERROR(Y127/H127,"0")</f>
        <v>29.999999999999996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0.1953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81</v>
      </c>
      <c r="Y129" s="665">
        <f>IFERROR(SUM(Y119:Y127),"0")</f>
        <v>81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21</v>
      </c>
      <c r="Y177" s="664">
        <f t="shared" si="27"/>
        <v>21</v>
      </c>
      <c r="Z177" s="36">
        <f>IFERROR(IF(Y177=0,"",ROUNDUP(Y177/H177,0)*0.00502),"")</f>
        <v>5.0200000000000002E-2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22.299999999999997</v>
      </c>
      <c r="BN177" s="64">
        <f t="shared" si="29"/>
        <v>22.299999999999997</v>
      </c>
      <c r="BO177" s="64">
        <f t="shared" si="30"/>
        <v>4.2735042735042736E-2</v>
      </c>
      <c r="BP177" s="64">
        <f t="shared" si="31"/>
        <v>4.2735042735042736E-2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10</v>
      </c>
      <c r="Y183" s="665">
        <f>IFERROR(Y174/H174,"0")+IFERROR(Y175/H175,"0")+IFERROR(Y176/H176,"0")+IFERROR(Y177/H177,"0")+IFERROR(Y178/H178,"0")+IFERROR(Y179/H179,"0")+IFERROR(Y180/H180,"0")+IFERROR(Y181/H181,"0")+IFERROR(Y182/H182,"0")</f>
        <v>10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5.0200000000000002E-2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21</v>
      </c>
      <c r="Y184" s="665">
        <f>IFERROR(SUM(Y174:Y182),"0")</f>
        <v>21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30</v>
      </c>
      <c r="Y201" s="664">
        <f t="shared" ref="Y201:Y208" si="32">IFERROR(IF(X201="",0,CEILING((X201/$H201),1)*$H201),"")</f>
        <v>32.400000000000006</v>
      </c>
      <c r="Z201" s="36">
        <f>IFERROR(IF(Y201=0,"",ROUNDUP(Y201/H201,0)*0.00902),"")</f>
        <v>5.4120000000000001E-2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31.166666666666668</v>
      </c>
      <c r="BN201" s="64">
        <f t="shared" ref="BN201:BN208" si="34">IFERROR(Y201*I201/H201,"0")</f>
        <v>33.660000000000004</v>
      </c>
      <c r="BO201" s="64">
        <f t="shared" ref="BO201:BO208" si="35">IFERROR(1/J201*(X201/H201),"0")</f>
        <v>4.208754208754209E-2</v>
      </c>
      <c r="BP201" s="64">
        <f t="shared" ref="BP201:BP208" si="36">IFERROR(1/J201*(Y201/H201),"0")</f>
        <v>4.5454545454545463E-2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50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14.814814814814815</v>
      </c>
      <c r="Y209" s="665">
        <f>IFERROR(Y201/H201,"0")+IFERROR(Y202/H202,"0")+IFERROR(Y203/H203,"0")+IFERROR(Y204/H204,"0")+IFERROR(Y205/H205,"0")+IFERROR(Y206/H206,"0")+IFERROR(Y207/H207,"0")+IFERROR(Y208/H208,"0")</f>
        <v>16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0.14432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80</v>
      </c>
      <c r="Y210" s="665">
        <f>IFERROR(SUM(Y201:Y208),"0")</f>
        <v>86.4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40</v>
      </c>
      <c r="Y214" s="664">
        <f t="shared" si="37"/>
        <v>43.5</v>
      </c>
      <c r="Z214" s="36">
        <f>IFERROR(IF(Y214=0,"",ROUNDUP(Y214/H214,0)*0.01898),"")</f>
        <v>9.4899999999999998E-2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42.386206896551727</v>
      </c>
      <c r="BN214" s="64">
        <f t="shared" si="39"/>
        <v>46.095000000000006</v>
      </c>
      <c r="BO214" s="64">
        <f t="shared" si="40"/>
        <v>7.1839080459770124E-2</v>
      </c>
      <c r="BP214" s="64">
        <f t="shared" si="41"/>
        <v>7.8125E-2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36</v>
      </c>
      <c r="Y215" s="664">
        <f t="shared" si="37"/>
        <v>36</v>
      </c>
      <c r="Z215" s="36">
        <f t="shared" ref="Z215:Z220" si="42">IFERROR(IF(Y215=0,"",ROUNDUP(Y215/H215,0)*0.00651),"")</f>
        <v>9.7650000000000001E-2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40.050000000000004</v>
      </c>
      <c r="BN215" s="64">
        <f t="shared" si="39"/>
        <v>40.050000000000004</v>
      </c>
      <c r="BO215" s="64">
        <f t="shared" si="40"/>
        <v>8.241758241758243E-2</v>
      </c>
      <c r="BP215" s="64">
        <f t="shared" si="41"/>
        <v>8.241758241758243E-2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72</v>
      </c>
      <c r="Y217" s="664">
        <f t="shared" si="37"/>
        <v>72</v>
      </c>
      <c r="Z217" s="36">
        <f t="shared" si="42"/>
        <v>0.1953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79.560000000000016</v>
      </c>
      <c r="BN217" s="64">
        <f t="shared" si="39"/>
        <v>79.560000000000016</v>
      </c>
      <c r="BO217" s="64">
        <f t="shared" si="40"/>
        <v>0.16483516483516486</v>
      </c>
      <c r="BP217" s="64">
        <f t="shared" si="41"/>
        <v>0.16483516483516486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72</v>
      </c>
      <c r="Y218" s="664">
        <f t="shared" si="37"/>
        <v>72</v>
      </c>
      <c r="Z218" s="36">
        <f t="shared" si="42"/>
        <v>0.1953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79.560000000000016</v>
      </c>
      <c r="BN218" s="64">
        <f t="shared" si="39"/>
        <v>79.560000000000016</v>
      </c>
      <c r="BO218" s="64">
        <f t="shared" si="40"/>
        <v>0.16483516483516486</v>
      </c>
      <c r="BP218" s="64">
        <f t="shared" si="41"/>
        <v>0.16483516483516486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36</v>
      </c>
      <c r="Y220" s="664">
        <f t="shared" si="37"/>
        <v>36</v>
      </c>
      <c r="Z220" s="36">
        <f t="shared" si="42"/>
        <v>9.7650000000000001E-2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39.870000000000005</v>
      </c>
      <c r="BN220" s="64">
        <f t="shared" si="39"/>
        <v>39.870000000000005</v>
      </c>
      <c r="BO220" s="64">
        <f t="shared" si="40"/>
        <v>8.241758241758243E-2</v>
      </c>
      <c r="BP220" s="64">
        <f t="shared" si="41"/>
        <v>8.241758241758243E-2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94.597701149425291</v>
      </c>
      <c r="Y221" s="665">
        <f>IFERROR(Y212/H212,"0")+IFERROR(Y213/H213,"0")+IFERROR(Y214/H214,"0")+IFERROR(Y215/H215,"0")+IFERROR(Y216/H216,"0")+IFERROR(Y217/H217,"0")+IFERROR(Y218/H218,"0")+IFERROR(Y219/H219,"0")+IFERROR(Y220/H220,"0")</f>
        <v>95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0.68080000000000007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256</v>
      </c>
      <c r="Y222" s="665">
        <f>IFERROR(SUM(Y212:Y220),"0")</f>
        <v>259.5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24</v>
      </c>
      <c r="Y279" s="664">
        <f>IFERROR(IF(X279="",0,CEILING((X279/$H279),1)*$H279),"")</f>
        <v>24</v>
      </c>
      <c r="Z279" s="36">
        <f>IFERROR(IF(Y279=0,"",ROUNDUP(Y279/H279,0)*0.00651),"")</f>
        <v>6.5100000000000005E-2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26.520000000000003</v>
      </c>
      <c r="BN279" s="64">
        <f>IFERROR(Y279*I279/H279,"0")</f>
        <v>26.520000000000003</v>
      </c>
      <c r="BO279" s="64">
        <f>IFERROR(1/J279*(X279/H279),"0")</f>
        <v>5.4945054945054951E-2</v>
      </c>
      <c r="BP279" s="64">
        <f>IFERROR(1/J279*(Y279/H279),"0")</f>
        <v>5.4945054945054951E-2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24</v>
      </c>
      <c r="Y280" s="664">
        <f>IFERROR(IF(X280="",0,CEILING((X280/$H280),1)*$H280),"")</f>
        <v>24</v>
      </c>
      <c r="Z280" s="36">
        <f>IFERROR(IF(Y280=0,"",ROUNDUP(Y280/H280,0)*0.00651),"")</f>
        <v>6.5100000000000005E-2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25.8</v>
      </c>
      <c r="BN280" s="64">
        <f>IFERROR(Y280*I280/H280,"0")</f>
        <v>25.8</v>
      </c>
      <c r="BO280" s="64">
        <f>IFERROR(1/J280*(X280/H280),"0")</f>
        <v>5.4945054945054951E-2</v>
      </c>
      <c r="BP280" s="64">
        <f>IFERROR(1/J280*(Y280/H280),"0")</f>
        <v>5.4945054945054951E-2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20</v>
      </c>
      <c r="Y282" s="665">
        <f>IFERROR(Y277/H277,"0")+IFERROR(Y278/H278,"0")+IFERROR(Y279/H279,"0")+IFERROR(Y280/H280,"0")+IFERROR(Y281/H281,"0")</f>
        <v>20</v>
      </c>
      <c r="Z282" s="665">
        <f>IFERROR(IF(Z277="",0,Z277),"0")+IFERROR(IF(Z278="",0,Z278),"0")+IFERROR(IF(Z279="",0,Z279),"0")+IFERROR(IF(Z280="",0,Z280),"0")+IFERROR(IF(Z281="",0,Z281),"0")</f>
        <v>0.13020000000000001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48</v>
      </c>
      <c r="Y283" s="665">
        <f>IFERROR(SUM(Y277:Y281),"0")</f>
        <v>48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250</v>
      </c>
      <c r="Y344" s="664">
        <f>IFERROR(IF(X344="",0,CEILING((X344/$H344),1)*$H344),"")</f>
        <v>257.39999999999998</v>
      </c>
      <c r="Z344" s="36">
        <f>IFERROR(IF(Y344=0,"",ROUNDUP(Y344/H344,0)*0.01898),"")</f>
        <v>0.62634000000000001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266.63461538461542</v>
      </c>
      <c r="BN344" s="64">
        <f>IFERROR(Y344*I344/H344,"0")</f>
        <v>274.52700000000004</v>
      </c>
      <c r="BO344" s="64">
        <f>IFERROR(1/J344*(X344/H344),"0")</f>
        <v>0.50080128205128205</v>
      </c>
      <c r="BP344" s="64">
        <f>IFERROR(1/J344*(Y344/H344),"0")</f>
        <v>0.515625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32.051282051282051</v>
      </c>
      <c r="Y346" s="665">
        <f>IFERROR(Y343/H343,"0")+IFERROR(Y344/H344,"0")+IFERROR(Y345/H345,"0")</f>
        <v>33</v>
      </c>
      <c r="Z346" s="665">
        <f>IFERROR(IF(Z343="",0,Z343),"0")+IFERROR(IF(Z344="",0,Z344),"0")+IFERROR(IF(Z345="",0,Z345),"0")</f>
        <v>0.62634000000000001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250</v>
      </c>
      <c r="Y347" s="665">
        <f>IFERROR(SUM(Y343:Y345),"0")</f>
        <v>257.39999999999998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15</v>
      </c>
      <c r="Y352" s="664">
        <f>IFERROR(IF(X352="",0,CEILING((X352/$H352),1)*$H352),"")</f>
        <v>15.299999999999999</v>
      </c>
      <c r="Z352" s="36">
        <f>IFERROR(IF(Y352=0,"",ROUNDUP(Y352/H352,0)*0.00651),"")</f>
        <v>3.9059999999999997E-2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16.941176470588236</v>
      </c>
      <c r="BN352" s="64">
        <f>IFERROR(Y352*I352/H352,"0")</f>
        <v>17.279999999999998</v>
      </c>
      <c r="BO352" s="64">
        <f>IFERROR(1/J352*(X352/H352),"0")</f>
        <v>3.2320620555914677E-2</v>
      </c>
      <c r="BP352" s="64">
        <f>IFERROR(1/J352*(Y352/H352),"0")</f>
        <v>3.2967032967032968E-2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5.882352941176471</v>
      </c>
      <c r="Y353" s="665">
        <f>IFERROR(Y349/H349,"0")+IFERROR(Y350/H350,"0")+IFERROR(Y351/H351,"0")+IFERROR(Y352/H352,"0")</f>
        <v>6</v>
      </c>
      <c r="Z353" s="665">
        <f>IFERROR(IF(Z349="",0,Z349),"0")+IFERROR(IF(Z350="",0,Z350),"0")+IFERROR(IF(Z351="",0,Z351),"0")+IFERROR(IF(Z352="",0,Z352),"0")</f>
        <v>3.9059999999999997E-2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15</v>
      </c>
      <c r="Y354" s="665">
        <f>IFERROR(SUM(Y349:Y352),"0")</f>
        <v>15.299999999999999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750</v>
      </c>
      <c r="Y375" s="664">
        <f t="shared" ref="Y375:Y384" si="58">IFERROR(IF(X375="",0,CEILING((X375/$H375),1)*$H375),"")</f>
        <v>750</v>
      </c>
      <c r="Z375" s="36">
        <f>IFERROR(IF(Y375=0,"",ROUNDUP(Y375/H375,0)*0.02175),"")</f>
        <v>1.0874999999999999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774</v>
      </c>
      <c r="BN375" s="64">
        <f t="shared" ref="BN375:BN384" si="60">IFERROR(Y375*I375/H375,"0")</f>
        <v>774</v>
      </c>
      <c r="BO375" s="64">
        <f t="shared" ref="BO375:BO384" si="61">IFERROR(1/J375*(X375/H375),"0")</f>
        <v>1.0416666666666665</v>
      </c>
      <c r="BP375" s="64">
        <f t="shared" ref="BP375:BP384" si="62">IFERROR(1/J375*(Y375/H375),"0")</f>
        <v>1.0416666666666665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500</v>
      </c>
      <c r="Y377" s="664">
        <f t="shared" si="58"/>
        <v>510</v>
      </c>
      <c r="Z377" s="36">
        <f>IFERROR(IF(Y377=0,"",ROUNDUP(Y377/H377,0)*0.02175),"")</f>
        <v>0.73949999999999994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516</v>
      </c>
      <c r="BN377" s="64">
        <f t="shared" si="60"/>
        <v>526.32000000000005</v>
      </c>
      <c r="BO377" s="64">
        <f t="shared" si="61"/>
        <v>0.69444444444444442</v>
      </c>
      <c r="BP377" s="64">
        <f t="shared" si="62"/>
        <v>0.70833333333333326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1500</v>
      </c>
      <c r="Y380" s="664">
        <f t="shared" si="58"/>
        <v>1500</v>
      </c>
      <c r="Z380" s="36">
        <f>IFERROR(IF(Y380=0,"",ROUNDUP(Y380/H380,0)*0.02175),"")</f>
        <v>2.1749999999999998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1548</v>
      </c>
      <c r="BN380" s="64">
        <f t="shared" si="60"/>
        <v>1548</v>
      </c>
      <c r="BO380" s="64">
        <f t="shared" si="61"/>
        <v>2.083333333333333</v>
      </c>
      <c r="BP380" s="64">
        <f t="shared" si="62"/>
        <v>2.083333333333333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183.33333333333334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184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4.0019999999999998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2750</v>
      </c>
      <c r="Y386" s="665">
        <f>IFERROR(SUM(Y375:Y384),"0")</f>
        <v>2760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900</v>
      </c>
      <c r="Y388" s="664">
        <f>IFERROR(IF(X388="",0,CEILING((X388/$H388),1)*$H388),"")</f>
        <v>900</v>
      </c>
      <c r="Z388" s="36">
        <f>IFERROR(IF(Y388=0,"",ROUNDUP(Y388/H388,0)*0.02175),"")</f>
        <v>1.3049999999999999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928.8</v>
      </c>
      <c r="BN388" s="64">
        <f>IFERROR(Y388*I388/H388,"0")</f>
        <v>928.8</v>
      </c>
      <c r="BO388" s="64">
        <f>IFERROR(1/J388*(X388/H388),"0")</f>
        <v>1.25</v>
      </c>
      <c r="BP388" s="64">
        <f>IFERROR(1/J388*(Y388/H388),"0")</f>
        <v>1.25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60</v>
      </c>
      <c r="Y390" s="665">
        <f>IFERROR(Y388/H388,"0")+IFERROR(Y389/H389,"0")</f>
        <v>60</v>
      </c>
      <c r="Z390" s="665">
        <f>IFERROR(IF(Z388="",0,Z388),"0")+IFERROR(IF(Z389="",0,Z389),"0")</f>
        <v>1.3049999999999999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900</v>
      </c>
      <c r="Y391" s="665">
        <f>IFERROR(SUM(Y388:Y389),"0")</f>
        <v>900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600</v>
      </c>
      <c r="Y482" s="664">
        <f t="shared" si="69"/>
        <v>601.92000000000007</v>
      </c>
      <c r="Z482" s="36">
        <f>IFERROR(IF(Y482=0,"",ROUNDUP(Y482/H482,0)*0.01196),"")</f>
        <v>1.36344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640.90909090909088</v>
      </c>
      <c r="BN482" s="64">
        <f t="shared" si="71"/>
        <v>642.96</v>
      </c>
      <c r="BO482" s="64">
        <f t="shared" si="72"/>
        <v>1.0926573426573427</v>
      </c>
      <c r="BP482" s="64">
        <f t="shared" si="73"/>
        <v>1.0961538461538463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113.63636363636363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114.00000000000001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1.36344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600</v>
      </c>
      <c r="Y496" s="665">
        <f>IFERROR(SUM(Y480:Y494),"0")</f>
        <v>601.92000000000007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5155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5192.5200000000004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5382.0699785497354</v>
      </c>
      <c r="Y592" s="665">
        <f>IFERROR(SUM(BN22:BN588),"0")</f>
        <v>5421.3519999999999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8</v>
      </c>
      <c r="Y593" s="38">
        <f>ROUNDUP(SUM(BP22:BP588),0)</f>
        <v>9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5582.0699785497354</v>
      </c>
      <c r="Y594" s="665">
        <f>GrossWeightTotalR+PalletQtyTotalR*25</f>
        <v>5646.3519999999999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593.57510718565482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598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8.8566599999999998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189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345.9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48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272.7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3660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601.92000000000007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