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4,04,25 ПОКОМ ЗПФ Новороссийск\"/>
    </mc:Choice>
  </mc:AlternateContent>
  <xr:revisionPtr revIDLastSave="0" documentId="13_ncr:1_{289FB47B-ABD4-4281-B3FB-76A85DC640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Sheet!$A$3:$AD$70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9" i="1" l="1"/>
  <c r="X11" i="1"/>
  <c r="Z9" i="1"/>
  <c r="AD9" i="1" s="1"/>
  <c r="F37" i="1"/>
  <c r="X37" i="1" s="1"/>
  <c r="E37" i="1"/>
  <c r="O37" i="1" s="1"/>
  <c r="F13" i="1"/>
  <c r="X13" i="1" s="1"/>
  <c r="E13" i="1"/>
  <c r="O13" i="1" s="1"/>
  <c r="F50" i="1"/>
  <c r="E50" i="1"/>
  <c r="K50" i="1" s="1"/>
  <c r="F24" i="1"/>
  <c r="Z24" i="1" s="1"/>
  <c r="E24" i="1"/>
  <c r="O24" i="1" s="1"/>
  <c r="F19" i="1"/>
  <c r="F5" i="1" s="1"/>
  <c r="E19" i="1"/>
  <c r="O19" i="1" s="1"/>
  <c r="O7" i="1"/>
  <c r="U7" i="1" s="1"/>
  <c r="O8" i="1"/>
  <c r="U8" i="1" s="1"/>
  <c r="O9" i="1"/>
  <c r="U9" i="1" s="1"/>
  <c r="O10" i="1"/>
  <c r="U10" i="1" s="1"/>
  <c r="O11" i="1"/>
  <c r="U11" i="1" s="1"/>
  <c r="O12" i="1"/>
  <c r="X12" i="1" s="1"/>
  <c r="O14" i="1"/>
  <c r="U14" i="1" s="1"/>
  <c r="O15" i="1"/>
  <c r="U15" i="1" s="1"/>
  <c r="O16" i="1"/>
  <c r="U16" i="1" s="1"/>
  <c r="O17" i="1"/>
  <c r="U17" i="1" s="1"/>
  <c r="O18" i="1"/>
  <c r="U18" i="1" s="1"/>
  <c r="O20" i="1"/>
  <c r="U20" i="1" s="1"/>
  <c r="O21" i="1"/>
  <c r="U21" i="1" s="1"/>
  <c r="O22" i="1"/>
  <c r="U22" i="1" s="1"/>
  <c r="O23" i="1"/>
  <c r="U23" i="1" s="1"/>
  <c r="O25" i="1"/>
  <c r="U25" i="1" s="1"/>
  <c r="O26" i="1"/>
  <c r="U26" i="1" s="1"/>
  <c r="O27" i="1"/>
  <c r="U27" i="1" s="1"/>
  <c r="O28" i="1"/>
  <c r="U28" i="1" s="1"/>
  <c r="O29" i="1"/>
  <c r="U29" i="1" s="1"/>
  <c r="O30" i="1"/>
  <c r="U30" i="1" s="1"/>
  <c r="O31" i="1"/>
  <c r="U31" i="1" s="1"/>
  <c r="O32" i="1"/>
  <c r="U32" i="1" s="1"/>
  <c r="O33" i="1"/>
  <c r="U33" i="1" s="1"/>
  <c r="O34" i="1"/>
  <c r="U34" i="1" s="1"/>
  <c r="O35" i="1"/>
  <c r="U35" i="1" s="1"/>
  <c r="O36" i="1"/>
  <c r="U36" i="1" s="1"/>
  <c r="O38" i="1"/>
  <c r="U38" i="1" s="1"/>
  <c r="O39" i="1"/>
  <c r="U39" i="1" s="1"/>
  <c r="O40" i="1"/>
  <c r="T40" i="1" s="1"/>
  <c r="O41" i="1"/>
  <c r="U41" i="1" s="1"/>
  <c r="O42" i="1"/>
  <c r="U42" i="1" s="1"/>
  <c r="O43" i="1"/>
  <c r="U43" i="1" s="1"/>
  <c r="O44" i="1"/>
  <c r="U44" i="1" s="1"/>
  <c r="O45" i="1"/>
  <c r="U45" i="1" s="1"/>
  <c r="O46" i="1"/>
  <c r="U46" i="1" s="1"/>
  <c r="O47" i="1"/>
  <c r="U47" i="1" s="1"/>
  <c r="O48" i="1"/>
  <c r="T48" i="1" s="1"/>
  <c r="O49" i="1"/>
  <c r="U49" i="1" s="1"/>
  <c r="O51" i="1"/>
  <c r="U51" i="1" s="1"/>
  <c r="O52" i="1"/>
  <c r="U52" i="1" s="1"/>
  <c r="O53" i="1"/>
  <c r="U53" i="1" s="1"/>
  <c r="O54" i="1"/>
  <c r="U54" i="1" s="1"/>
  <c r="O55" i="1"/>
  <c r="U55" i="1" s="1"/>
  <c r="O56" i="1"/>
  <c r="U56" i="1" s="1"/>
  <c r="O57" i="1"/>
  <c r="U57" i="1" s="1"/>
  <c r="O58" i="1"/>
  <c r="U58" i="1" s="1"/>
  <c r="O59" i="1"/>
  <c r="U59" i="1" s="1"/>
  <c r="O60" i="1"/>
  <c r="U60" i="1" s="1"/>
  <c r="O61" i="1"/>
  <c r="U61" i="1" s="1"/>
  <c r="O62" i="1"/>
  <c r="U62" i="1" s="1"/>
  <c r="O63" i="1"/>
  <c r="U63" i="1" s="1"/>
  <c r="O64" i="1"/>
  <c r="U64" i="1" s="1"/>
  <c r="O65" i="1"/>
  <c r="U65" i="1" s="1"/>
  <c r="O66" i="1"/>
  <c r="U66" i="1" s="1"/>
  <c r="O67" i="1"/>
  <c r="U67" i="1" s="1"/>
  <c r="O68" i="1"/>
  <c r="U68" i="1" s="1"/>
  <c r="O69" i="1"/>
  <c r="U69" i="1" s="1"/>
  <c r="O70" i="1"/>
  <c r="U70" i="1" s="1"/>
  <c r="O6" i="1"/>
  <c r="U6" i="1" s="1"/>
  <c r="AC70" i="1"/>
  <c r="AB70" i="1"/>
  <c r="Y70" i="1"/>
  <c r="K70" i="1"/>
  <c r="AC69" i="1"/>
  <c r="AB69" i="1"/>
  <c r="Y69" i="1"/>
  <c r="K69" i="1"/>
  <c r="AC68" i="1"/>
  <c r="AB68" i="1"/>
  <c r="Y68" i="1"/>
  <c r="K68" i="1"/>
  <c r="AC67" i="1"/>
  <c r="AB67" i="1"/>
  <c r="Y67" i="1"/>
  <c r="K67" i="1"/>
  <c r="K66" i="1"/>
  <c r="AC65" i="1"/>
  <c r="AB65" i="1"/>
  <c r="Y65" i="1"/>
  <c r="K65" i="1"/>
  <c r="AC64" i="1"/>
  <c r="AB64" i="1"/>
  <c r="Y64" i="1"/>
  <c r="K64" i="1"/>
  <c r="AC63" i="1"/>
  <c r="AB63" i="1"/>
  <c r="Y63" i="1"/>
  <c r="K63" i="1"/>
  <c r="AC62" i="1"/>
  <c r="AB62" i="1"/>
  <c r="Y62" i="1"/>
  <c r="K62" i="1"/>
  <c r="K61" i="1"/>
  <c r="AC60" i="1"/>
  <c r="AB60" i="1"/>
  <c r="Y60" i="1"/>
  <c r="K60" i="1"/>
  <c r="AC59" i="1"/>
  <c r="AB59" i="1"/>
  <c r="Y59" i="1"/>
  <c r="K59" i="1"/>
  <c r="K58" i="1"/>
  <c r="K57" i="1"/>
  <c r="K56" i="1"/>
  <c r="K55" i="1"/>
  <c r="K54" i="1"/>
  <c r="AC53" i="1"/>
  <c r="AB53" i="1"/>
  <c r="Y53" i="1"/>
  <c r="K53" i="1"/>
  <c r="AC52" i="1"/>
  <c r="AB52" i="1"/>
  <c r="Y52" i="1"/>
  <c r="K52" i="1"/>
  <c r="AC51" i="1"/>
  <c r="AB51" i="1"/>
  <c r="Y51" i="1"/>
  <c r="K51" i="1"/>
  <c r="AC50" i="1"/>
  <c r="AB50" i="1"/>
  <c r="Y50" i="1"/>
  <c r="AC49" i="1"/>
  <c r="AB49" i="1"/>
  <c r="Y49" i="1"/>
  <c r="K49" i="1"/>
  <c r="K48" i="1"/>
  <c r="AC47" i="1"/>
  <c r="AB47" i="1"/>
  <c r="Y47" i="1"/>
  <c r="K47" i="1"/>
  <c r="K46" i="1"/>
  <c r="K45" i="1"/>
  <c r="AC44" i="1"/>
  <c r="AB44" i="1"/>
  <c r="Y44" i="1"/>
  <c r="K44" i="1"/>
  <c r="K43" i="1"/>
  <c r="K42" i="1"/>
  <c r="K41" i="1"/>
  <c r="K40" i="1"/>
  <c r="AC39" i="1"/>
  <c r="AB39" i="1"/>
  <c r="Y39" i="1"/>
  <c r="K39" i="1"/>
  <c r="AC38" i="1"/>
  <c r="AB38" i="1"/>
  <c r="Y38" i="1"/>
  <c r="K38" i="1"/>
  <c r="AC37" i="1"/>
  <c r="AB37" i="1"/>
  <c r="Y37" i="1"/>
  <c r="AC36" i="1"/>
  <c r="AB36" i="1"/>
  <c r="Y36" i="1"/>
  <c r="K36" i="1"/>
  <c r="AC35" i="1"/>
  <c r="AB35" i="1"/>
  <c r="Y35" i="1"/>
  <c r="K35" i="1"/>
  <c r="AC34" i="1"/>
  <c r="AB34" i="1"/>
  <c r="Y34" i="1"/>
  <c r="K34" i="1"/>
  <c r="K33" i="1"/>
  <c r="AC32" i="1"/>
  <c r="AB32" i="1"/>
  <c r="Y32" i="1"/>
  <c r="K32" i="1"/>
  <c r="AC31" i="1"/>
  <c r="AB31" i="1"/>
  <c r="Y31" i="1"/>
  <c r="K31" i="1"/>
  <c r="K30" i="1"/>
  <c r="AC29" i="1"/>
  <c r="AB29" i="1"/>
  <c r="Y29" i="1"/>
  <c r="K29" i="1"/>
  <c r="K28" i="1"/>
  <c r="AC27" i="1"/>
  <c r="AB27" i="1"/>
  <c r="Y27" i="1"/>
  <c r="K27" i="1"/>
  <c r="AC26" i="1"/>
  <c r="AB26" i="1"/>
  <c r="Y26" i="1"/>
  <c r="K26" i="1"/>
  <c r="AC25" i="1"/>
  <c r="AB25" i="1"/>
  <c r="Y25" i="1"/>
  <c r="K25" i="1"/>
  <c r="AC23" i="1"/>
  <c r="AB23" i="1"/>
  <c r="Y23" i="1"/>
  <c r="K23" i="1"/>
  <c r="AC22" i="1"/>
  <c r="AB22" i="1"/>
  <c r="Y22" i="1"/>
  <c r="K22" i="1"/>
  <c r="K21" i="1"/>
  <c r="K20" i="1"/>
  <c r="K18" i="1"/>
  <c r="AC17" i="1"/>
  <c r="AB17" i="1"/>
  <c r="Y17" i="1"/>
  <c r="K17" i="1"/>
  <c r="AC16" i="1"/>
  <c r="AB16" i="1"/>
  <c r="Y16" i="1"/>
  <c r="K16" i="1"/>
  <c r="AC15" i="1"/>
  <c r="AB15" i="1"/>
  <c r="Y15" i="1"/>
  <c r="K15" i="1"/>
  <c r="AC14" i="1"/>
  <c r="AB14" i="1"/>
  <c r="Y14" i="1"/>
  <c r="K14" i="1"/>
  <c r="AC13" i="1"/>
  <c r="AB13" i="1"/>
  <c r="Y13" i="1"/>
  <c r="AC12" i="1"/>
  <c r="AB12" i="1"/>
  <c r="Y12" i="1"/>
  <c r="K12" i="1"/>
  <c r="AC11" i="1"/>
  <c r="AB11" i="1"/>
  <c r="Y11" i="1"/>
  <c r="K11" i="1"/>
  <c r="AC10" i="1"/>
  <c r="AB10" i="1"/>
  <c r="Y10" i="1"/>
  <c r="K10" i="1"/>
  <c r="K9" i="1"/>
  <c r="K8" i="1"/>
  <c r="K7" i="1"/>
  <c r="K6" i="1"/>
  <c r="V5" i="1"/>
  <c r="R5" i="1"/>
  <c r="N5" i="1"/>
  <c r="M5" i="1"/>
  <c r="L5" i="1"/>
  <c r="J5" i="1"/>
  <c r="P16" i="1" l="1"/>
  <c r="X16" i="1" s="1"/>
  <c r="X26" i="1"/>
  <c r="P49" i="1"/>
  <c r="X49" i="1" s="1"/>
  <c r="Z19" i="1"/>
  <c r="AA19" i="1" s="1"/>
  <c r="X19" i="1"/>
  <c r="U48" i="1"/>
  <c r="U40" i="1"/>
  <c r="U12" i="1"/>
  <c r="X15" i="1"/>
  <c r="X17" i="1"/>
  <c r="X22" i="1"/>
  <c r="X29" i="1"/>
  <c r="X31" i="1"/>
  <c r="Z33" i="1"/>
  <c r="AD33" i="1" s="1"/>
  <c r="X35" i="1"/>
  <c r="X44" i="1"/>
  <c r="Z46" i="1"/>
  <c r="AD46" i="1" s="1"/>
  <c r="X51" i="1"/>
  <c r="X53" i="1"/>
  <c r="Z57" i="1"/>
  <c r="AD57" i="1" s="1"/>
  <c r="X59" i="1"/>
  <c r="X63" i="1"/>
  <c r="X65" i="1"/>
  <c r="X67" i="1"/>
  <c r="P69" i="1"/>
  <c r="X69" i="1" s="1"/>
  <c r="U24" i="1"/>
  <c r="X9" i="1"/>
  <c r="X10" i="1"/>
  <c r="X14" i="1"/>
  <c r="X23" i="1"/>
  <c r="P25" i="1"/>
  <c r="X25" i="1" s="1"/>
  <c r="X27" i="1"/>
  <c r="X32" i="1"/>
  <c r="X34" i="1"/>
  <c r="X36" i="1"/>
  <c r="X38" i="1"/>
  <c r="P43" i="1"/>
  <c r="P47" i="1"/>
  <c r="X47" i="1" s="1"/>
  <c r="X52" i="1"/>
  <c r="X60" i="1"/>
  <c r="X62" i="1"/>
  <c r="X64" i="1"/>
  <c r="X68" i="1"/>
  <c r="X70" i="1"/>
  <c r="X24" i="1"/>
  <c r="X33" i="1"/>
  <c r="AA24" i="1"/>
  <c r="Q24" i="1"/>
  <c r="T24" i="1" s="1"/>
  <c r="X57" i="1"/>
  <c r="U13" i="1"/>
  <c r="U37" i="1"/>
  <c r="T7" i="1"/>
  <c r="T28" i="1"/>
  <c r="T18" i="1"/>
  <c r="T6" i="1"/>
  <c r="U19" i="1"/>
  <c r="K13" i="1"/>
  <c r="K37" i="1"/>
  <c r="O50" i="1"/>
  <c r="X50" i="1" s="1"/>
  <c r="K24" i="1"/>
  <c r="E5" i="1"/>
  <c r="K19" i="1"/>
  <c r="Z49" i="1"/>
  <c r="AA49" i="1" s="1"/>
  <c r="Z53" i="1"/>
  <c r="AA53" i="1" s="1"/>
  <c r="Q46" i="1"/>
  <c r="T46" i="1" s="1"/>
  <c r="AD49" i="1"/>
  <c r="Z52" i="1"/>
  <c r="Q9" i="1"/>
  <c r="T9" i="1" s="1"/>
  <c r="Z70" i="1"/>
  <c r="AA70" i="1" s="1"/>
  <c r="AA46" i="1"/>
  <c r="Z23" i="1"/>
  <c r="Q23" i="1" s="1"/>
  <c r="T23" i="1" s="1"/>
  <c r="Z31" i="1"/>
  <c r="AA31" i="1" s="1"/>
  <c r="Z38" i="1"/>
  <c r="AA38" i="1" s="1"/>
  <c r="Z12" i="1"/>
  <c r="AA12" i="1" s="1"/>
  <c r="Z26" i="1"/>
  <c r="AA26" i="1" s="1"/>
  <c r="Z37" i="1"/>
  <c r="AD37" i="1" s="1"/>
  <c r="Z64" i="1"/>
  <c r="AA64" i="1" s="1"/>
  <c r="AA9" i="1"/>
  <c r="Z10" i="1"/>
  <c r="Q10" i="1" s="1"/>
  <c r="T10" i="1" s="1"/>
  <c r="Z11" i="1"/>
  <c r="Q11" i="1" s="1"/>
  <c r="T11" i="1" s="1"/>
  <c r="Z36" i="1"/>
  <c r="AA36" i="1" s="1"/>
  <c r="Z13" i="1"/>
  <c r="AD13" i="1" s="1"/>
  <c r="Z15" i="1"/>
  <c r="AD15" i="1" s="1"/>
  <c r="Z17" i="1"/>
  <c r="AD17" i="1" s="1"/>
  <c r="AD24" i="1"/>
  <c r="Z27" i="1"/>
  <c r="Q27" i="1" s="1"/>
  <c r="T27" i="1" s="1"/>
  <c r="Z29" i="1"/>
  <c r="AD29" i="1" s="1"/>
  <c r="Z32" i="1"/>
  <c r="AD32" i="1" s="1"/>
  <c r="Z35" i="1"/>
  <c r="AA35" i="1" s="1"/>
  <c r="Z39" i="1"/>
  <c r="AD39" i="1" s="1"/>
  <c r="Z65" i="1"/>
  <c r="AA65" i="1" s="1"/>
  <c r="Z68" i="1"/>
  <c r="AA68" i="1" s="1"/>
  <c r="Q19" i="1" l="1"/>
  <c r="T19" i="1" s="1"/>
  <c r="AA33" i="1"/>
  <c r="AA57" i="1"/>
  <c r="Q57" i="1"/>
  <c r="T57" i="1" s="1"/>
  <c r="Q33" i="1"/>
  <c r="T33" i="1" s="1"/>
  <c r="Z16" i="1"/>
  <c r="AA16" i="1" s="1"/>
  <c r="Z25" i="1"/>
  <c r="AD25" i="1" s="1"/>
  <c r="Z69" i="1"/>
  <c r="Q69" i="1" s="1"/>
  <c r="T69" i="1" s="1"/>
  <c r="Z60" i="1"/>
  <c r="AD60" i="1" s="1"/>
  <c r="X46" i="1"/>
  <c r="Z66" i="1"/>
  <c r="X66" i="1"/>
  <c r="X58" i="1"/>
  <c r="Z58" i="1"/>
  <c r="Z54" i="1"/>
  <c r="X54" i="1"/>
  <c r="X43" i="1"/>
  <c r="Z43" i="1"/>
  <c r="X30" i="1"/>
  <c r="Z30" i="1"/>
  <c r="Z21" i="1"/>
  <c r="X21" i="1"/>
  <c r="X8" i="1"/>
  <c r="Z8" i="1"/>
  <c r="X55" i="1"/>
  <c r="Z55" i="1"/>
  <c r="AD19" i="1"/>
  <c r="Z14" i="1"/>
  <c r="Q14" i="1" s="1"/>
  <c r="T14" i="1" s="1"/>
  <c r="Z63" i="1"/>
  <c r="AD63" i="1" s="1"/>
  <c r="Z67" i="1"/>
  <c r="AA67" i="1" s="1"/>
  <c r="Z62" i="1"/>
  <c r="AA62" i="1" s="1"/>
  <c r="Z22" i="1"/>
  <c r="AA22" i="1" s="1"/>
  <c r="Z34" i="1"/>
  <c r="AA34" i="1" s="1"/>
  <c r="Z50" i="1"/>
  <c r="AD50" i="1" s="1"/>
  <c r="Z51" i="1"/>
  <c r="AD51" i="1" s="1"/>
  <c r="Z44" i="1"/>
  <c r="AA44" i="1" s="1"/>
  <c r="Z59" i="1"/>
  <c r="AA59" i="1" s="1"/>
  <c r="Z47" i="1"/>
  <c r="P5" i="1"/>
  <c r="Z56" i="1"/>
  <c r="X56" i="1"/>
  <c r="Z45" i="1"/>
  <c r="X45" i="1"/>
  <c r="Z41" i="1"/>
  <c r="X41" i="1"/>
  <c r="Z61" i="1"/>
  <c r="X61" i="1"/>
  <c r="X42" i="1"/>
  <c r="Z42" i="1"/>
  <c r="Z20" i="1"/>
  <c r="X20" i="1"/>
  <c r="O5" i="1"/>
  <c r="U50" i="1"/>
  <c r="Q35" i="1"/>
  <c r="T35" i="1" s="1"/>
  <c r="Q70" i="1"/>
  <c r="T70" i="1" s="1"/>
  <c r="Q31" i="1"/>
  <c r="T31" i="1" s="1"/>
  <c r="Q53" i="1"/>
  <c r="T53" i="1" s="1"/>
  <c r="K5" i="1"/>
  <c r="Q59" i="1"/>
  <c r="T59" i="1" s="1"/>
  <c r="AA13" i="1"/>
  <c r="AD70" i="1"/>
  <c r="AD68" i="1"/>
  <c r="AA37" i="1"/>
  <c r="AD53" i="1"/>
  <c r="Q49" i="1"/>
  <c r="T49" i="1" s="1"/>
  <c r="Q64" i="1"/>
  <c r="T64" i="1" s="1"/>
  <c r="AD38" i="1"/>
  <c r="AA11" i="1"/>
  <c r="Q38" i="1"/>
  <c r="T38" i="1" s="1"/>
  <c r="AD64" i="1"/>
  <c r="AD31" i="1"/>
  <c r="Q12" i="1"/>
  <c r="T12" i="1" s="1"/>
  <c r="AD12" i="1"/>
  <c r="AA39" i="1"/>
  <c r="AA32" i="1"/>
  <c r="AD11" i="1"/>
  <c r="AD52" i="1"/>
  <c r="AA52" i="1"/>
  <c r="Q52" i="1"/>
  <c r="T52" i="1" s="1"/>
  <c r="AD23" i="1"/>
  <c r="AA23" i="1"/>
  <c r="AA29" i="1"/>
  <c r="Q26" i="1"/>
  <c r="T26" i="1" s="1"/>
  <c r="Q65" i="1"/>
  <c r="T65" i="1" s="1"/>
  <c r="AA10" i="1"/>
  <c r="Q37" i="1"/>
  <c r="T37" i="1" s="1"/>
  <c r="Q68" i="1"/>
  <c r="T68" i="1" s="1"/>
  <c r="AA27" i="1"/>
  <c r="AA17" i="1"/>
  <c r="AD65" i="1"/>
  <c r="AD35" i="1"/>
  <c r="Q17" i="1"/>
  <c r="T17" i="1" s="1"/>
  <c r="Q15" i="1"/>
  <c r="T15" i="1" s="1"/>
  <c r="AD26" i="1"/>
  <c r="Q36" i="1"/>
  <c r="T36" i="1" s="1"/>
  <c r="AD36" i="1"/>
  <c r="AA15" i="1"/>
  <c r="Q29" i="1"/>
  <c r="T29" i="1" s="1"/>
  <c r="Q13" i="1"/>
  <c r="T13" i="1" s="1"/>
  <c r="AD10" i="1"/>
  <c r="Q39" i="1"/>
  <c r="T39" i="1" s="1"/>
  <c r="Q32" i="1"/>
  <c r="T32" i="1" s="1"/>
  <c r="AD27" i="1"/>
  <c r="AA25" i="1" l="1"/>
  <c r="AD16" i="1"/>
  <c r="Q16" i="1"/>
  <c r="T16" i="1" s="1"/>
  <c r="Q25" i="1"/>
  <c r="T25" i="1" s="1"/>
  <c r="AA50" i="1"/>
  <c r="AD44" i="1"/>
  <c r="Q34" i="1"/>
  <c r="T34" i="1" s="1"/>
  <c r="Q51" i="1"/>
  <c r="T51" i="1" s="1"/>
  <c r="AA69" i="1"/>
  <c r="AD69" i="1"/>
  <c r="AA63" i="1"/>
  <c r="Q60" i="1"/>
  <c r="T60" i="1" s="1"/>
  <c r="AA60" i="1"/>
  <c r="AD62" i="1"/>
  <c r="Q22" i="1"/>
  <c r="T22" i="1" s="1"/>
  <c r="Q67" i="1"/>
  <c r="T67" i="1" s="1"/>
  <c r="Z5" i="1"/>
  <c r="Q63" i="1"/>
  <c r="T63" i="1" s="1"/>
  <c r="AD34" i="1"/>
  <c r="Q62" i="1"/>
  <c r="T62" i="1" s="1"/>
  <c r="AD59" i="1"/>
  <c r="AA51" i="1"/>
  <c r="X5" i="1"/>
  <c r="AA20" i="1"/>
  <c r="AD20" i="1"/>
  <c r="Q20" i="1"/>
  <c r="T20" i="1" s="1"/>
  <c r="AD61" i="1"/>
  <c r="Q61" i="1"/>
  <c r="T61" i="1" s="1"/>
  <c r="AA61" i="1"/>
  <c r="Q41" i="1"/>
  <c r="T41" i="1" s="1"/>
  <c r="AA41" i="1"/>
  <c r="AD41" i="1"/>
  <c r="Q45" i="1"/>
  <c r="T45" i="1" s="1"/>
  <c r="AA45" i="1"/>
  <c r="AD45" i="1"/>
  <c r="Q56" i="1"/>
  <c r="T56" i="1" s="1"/>
  <c r="AA56" i="1"/>
  <c r="AD56" i="1"/>
  <c r="AA47" i="1"/>
  <c r="AD47" i="1"/>
  <c r="AD55" i="1"/>
  <c r="AA55" i="1"/>
  <c r="Q55" i="1"/>
  <c r="T55" i="1" s="1"/>
  <c r="AD8" i="1"/>
  <c r="Q8" i="1"/>
  <c r="T8" i="1" s="1"/>
  <c r="AA8" i="1"/>
  <c r="AD30" i="1"/>
  <c r="Q30" i="1"/>
  <c r="T30" i="1" s="1"/>
  <c r="AA30" i="1"/>
  <c r="Q43" i="1"/>
  <c r="T43" i="1" s="1"/>
  <c r="AA43" i="1"/>
  <c r="AD43" i="1"/>
  <c r="Q58" i="1"/>
  <c r="T58" i="1" s="1"/>
  <c r="AA58" i="1"/>
  <c r="AD58" i="1"/>
  <c r="AD14" i="1"/>
  <c r="AD22" i="1"/>
  <c r="AA14" i="1"/>
  <c r="Q50" i="1"/>
  <c r="T50" i="1" s="1"/>
  <c r="Q44" i="1"/>
  <c r="T44" i="1" s="1"/>
  <c r="AD67" i="1"/>
  <c r="Q47" i="1"/>
  <c r="T47" i="1" s="1"/>
  <c r="AD42" i="1"/>
  <c r="AA42" i="1"/>
  <c r="Q42" i="1"/>
  <c r="T42" i="1" s="1"/>
  <c r="AA21" i="1"/>
  <c r="Q21" i="1"/>
  <c r="T21" i="1" s="1"/>
  <c r="AD21" i="1"/>
  <c r="Q54" i="1"/>
  <c r="T54" i="1" s="1"/>
  <c r="AA54" i="1"/>
  <c r="AD54" i="1"/>
  <c r="AD66" i="1"/>
  <c r="Q66" i="1"/>
  <c r="T66" i="1" s="1"/>
  <c r="AA66" i="1"/>
  <c r="AA5" i="1" l="1"/>
  <c r="AD5" i="1"/>
  <c r="Q5" i="1"/>
</calcChain>
</file>

<file path=xl/sharedStrings.xml><?xml version="1.0" encoding="utf-8"?>
<sst xmlns="http://schemas.openxmlformats.org/spreadsheetml/2006/main" count="300" uniqueCount="163">
  <si>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</si>
  <si>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</si>
  <si>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</si>
  <si>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</si>
  <si>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</si>
  <si>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</si>
  <si>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</si>
  <si>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</si>
  <si>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</si>
  <si>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</si>
  <si>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</si>
  <si>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</si>
  <si>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</si>
  <si>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</si>
  <si>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</si>
  <si>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</si>
  <si>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</si>
  <si>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</si>
  <si>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</si>
  <si>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</si>
  <si>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</si>
  <si>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</si>
  <si>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</si>
  <si>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</si>
  <si>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</si>
  <si>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</si>
  <si>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</si>
  <si>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</si>
  <si>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</si>
  <si>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</si>
  <si>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</si>
  <si>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14,04,</t>
  </si>
  <si>
    <t>БОНУС_Готовые чебупели сочные с мясом ТМ Горячая штучка  0,3кг зам    ПОКОМ</t>
  </si>
  <si>
    <t>шт</t>
  </si>
  <si>
    <t>бонус</t>
  </si>
  <si>
    <t>БОНУС_Пельмени Бульмени с говядиной и свининой ТМ Горячая штучка. флоу-пак сфера 0,7 кг ПОКОМ</t>
  </si>
  <si>
    <t>Вареники замороженные постные Благолепные с картофелем и грибами классическая форма, ВЕС,  ПОКОМ</t>
  </si>
  <si>
    <t>кг</t>
  </si>
  <si>
    <t>SU002532</t>
  </si>
  <si>
    <t>Готовые бельмеши сочные с мясом ТМ Горячая штучка 0,3кг зам  ПОКОМ</t>
  </si>
  <si>
    <t>SU003593</t>
  </si>
  <si>
    <t>Готовые чебупели острые с мясом Горячая штучка 0,3 кг зам  ПОКОМ</t>
  </si>
  <si>
    <t>SU003608</t>
  </si>
  <si>
    <t>Готовые чебупели с ветчиной и сыром Горячая штучка 0,3кг зам  ПОКОМ</t>
  </si>
  <si>
    <t>SU003609</t>
  </si>
  <si>
    <t>Готовые чебупели с мясом ТМ Горячая штучка Без свинины 0,3 кг ПОКОМ</t>
  </si>
  <si>
    <t>SU003594</t>
  </si>
  <si>
    <t>Готовые чебупели сочные с мясом ТМ Горячая штучка  0,3кг зам  ПОКОМ</t>
  </si>
  <si>
    <t>SU003604</t>
  </si>
  <si>
    <t>Готовые чебуреки с мясом ТМ Горячая штучка 0,09 кг флоу-пак ПОКОМ</t>
  </si>
  <si>
    <t>SU002573</t>
  </si>
  <si>
    <t>Готовые чебуреки со свининой и говядиной Гор.шт.0,36 кг зам.  ПОКОМ</t>
  </si>
  <si>
    <t>SU003613</t>
  </si>
  <si>
    <t>Круггетсы с сырным соусом ТМ Горячая штучка 0,25 кг зам  ПОКОМ</t>
  </si>
  <si>
    <t>SU000194</t>
  </si>
  <si>
    <t>Круггетсы сочные ТМ Горячая штучка ТС Круггетсы 0,25 кг зам  ПОКОМ</t>
  </si>
  <si>
    <t>SU000195</t>
  </si>
  <si>
    <t>Мини-сосиски в тесте "Фрайпики" 3,7кг ВЕС,  ПОКОМ</t>
  </si>
  <si>
    <t>дубль</t>
  </si>
  <si>
    <t>Мини-сосиски в тесте 3,7кг ВЕС заморож. ТМ Зареченские  ПОКОМ</t>
  </si>
  <si>
    <t>SU003454</t>
  </si>
  <si>
    <t>есть дубль</t>
  </si>
  <si>
    <t>Мини-чебуречки с мясом ВЕС 5,5кг ТМ Зареченские  ПОКОМ</t>
  </si>
  <si>
    <t>SU003434</t>
  </si>
  <si>
    <t>Мини-шарики с курочкой и сыром ТМ Зареченские ВЕС  ПОКОМ</t>
  </si>
  <si>
    <t>SU003448</t>
  </si>
  <si>
    <t>Наггетсы Нагетосы Сочная курочка ТМ Горячая штучка 0,25 кг зам  ПОКОМ</t>
  </si>
  <si>
    <t>SU003598</t>
  </si>
  <si>
    <t>Наггетсы Нагетосы Сочная курочка в хрустящей панировке ТМ Горячая штучка 0,25 кг зам  ПОКОМ</t>
  </si>
  <si>
    <t>SU003599</t>
  </si>
  <si>
    <t>Наггетсы Хрустящие ТМ Зареченские. ВЕС ПОКОМ</t>
  </si>
  <si>
    <t>SU003020</t>
  </si>
  <si>
    <t>Наггетсы из печи 0,25кг ТМ Вязанка ТС Няняггетсы Сливушки замор.  ПОКОМ</t>
  </si>
  <si>
    <t>SU003797</t>
  </si>
  <si>
    <t>Наггетсы с индейкой 0,25кг ТМ Вязанка ТС Няняггетсы Сливушки НД2 замор.  ПОКОМ</t>
  </si>
  <si>
    <t>SU003800</t>
  </si>
  <si>
    <t>Наггетсы с куриным филе и сыром ТМ Вязанка 0,25 кг ПОКОМ</t>
  </si>
  <si>
    <t>SU003795</t>
  </si>
  <si>
    <t>Наггетсы хрустящие п/ф ВЕС ПОКОМ</t>
  </si>
  <si>
    <t>Пекерсы с индейкой в сливочном соусе ТМ Горячая штучка 0,25 кг зам  ПОКОМ</t>
  </si>
  <si>
    <t>SU003596</t>
  </si>
  <si>
    <t>Пельмени Бигбули #МЕГАВКУСИЩЕ с сочной грудинкой ТМ Горячая штучка 0,7 кг. ПОКОМ</t>
  </si>
  <si>
    <t>SU003532</t>
  </si>
  <si>
    <t>Пельмени Бигбули с мясом ТМ Горячая штучка. флоу-пак сфера 0,4 кг. ПОКОМ</t>
  </si>
  <si>
    <t>SU003530</t>
  </si>
  <si>
    <t>Пельмени Бигбули с мясом ТМ Горячая штучка. флоу-пак сфера 0,7 кг ПОКОМ</t>
  </si>
  <si>
    <t>SU003529</t>
  </si>
  <si>
    <t>Пельмени Бигбули со сливочным маслом ТМ Горячая штучка, флоу-пак сфера 0,7. ПОКОМ</t>
  </si>
  <si>
    <t>SU003385</t>
  </si>
  <si>
    <t>Пельмени Бульмени с говядиной и свининой 2,7кг Наваристые Горячая штучка ВЕС  ПОКОМ</t>
  </si>
  <si>
    <t>SU002798</t>
  </si>
  <si>
    <t>Пельмени Бульмени с говядиной и свининой 5кг Наваристые Горячая штучка ВЕС  ПОКОМ</t>
  </si>
  <si>
    <t>SU002595</t>
  </si>
  <si>
    <t>Пельмени Бульмени с говядиной и свининой ТМ Горячая штучка. флоу-пак сфера 0,4 кг ПОКОМ</t>
  </si>
  <si>
    <t>SU003527</t>
  </si>
  <si>
    <t>Пельмени Бульмени с говядиной и свининой ТМ Горячая штучка. флоу-пак сфера 0,7 кг ПОКОМ</t>
  </si>
  <si>
    <t>SU003460</t>
  </si>
  <si>
    <t>Пельмени Бульмени со сливочным маслом ТМ Горячая штучка. флоу-пак сфера 0,4 кг. ПОКОМ</t>
  </si>
  <si>
    <t>SU003528</t>
  </si>
  <si>
    <t>Пельмени Бульмени со сливочным маслом ТМ Горячая штучка.флоу-пак сфера 0,7 кг. ПОКОМ</t>
  </si>
  <si>
    <t>SU003459</t>
  </si>
  <si>
    <t>Пельмени Медвежьи ушки с фермерскими сливками 0,7кг  ПОКОМ</t>
  </si>
  <si>
    <t>не в матрице</t>
  </si>
  <si>
    <t>Пельмени Медвежьи ушки с фермерской свининой и говядиной Большие 0,4кг ТМ Стародворье  ПОКОМ</t>
  </si>
  <si>
    <t>SU003064</t>
  </si>
  <si>
    <t>Пельмени Медвежьи ушки с фермерской свининой и говядиной Малые 0,4кг ТМ Стародворье  ПОКОМ</t>
  </si>
  <si>
    <t>SU003066</t>
  </si>
  <si>
    <t>Пельмени Медвежьи ушки с фермерской свининой и говядиной Малые 0,7кг  ПОКОМ</t>
  </si>
  <si>
    <t>SU003067</t>
  </si>
  <si>
    <t>Пельмени Мясорубские ТМ Стародворье фоупак равиоли 0,7 кг  ПОКОМ</t>
  </si>
  <si>
    <t>SU002920</t>
  </si>
  <si>
    <t>Пельмени Мясорубские с рубленой говядиной 0,7кг ТМ Стародворье  ПОКОМ</t>
  </si>
  <si>
    <t>SU003145</t>
  </si>
  <si>
    <t>Пельмени Мясорубские с рубленой грудинкой ТМ Стародворье флоупак  0,7 кг. ПОКОМ</t>
  </si>
  <si>
    <t>SU003077</t>
  </si>
  <si>
    <t>Пельмени Отборные из свинины и говядины 0,9 кг ТМ Стародворье ТС Медвежье ушко  ПОКОМ</t>
  </si>
  <si>
    <t>SU002066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</si>
  <si>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</si>
  <si>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</si>
  <si>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SU002068</t>
  </si>
  <si>
    <t>Пельмени Отборные с говядиной и свининой 0,43 кг ТМ Стародворье ТС Медвежье ушко</t>
  </si>
  <si>
    <t>SU002069</t>
  </si>
  <si>
    <t>Пельмени С говядиной и свининой, ВЕС, сфера пуговки Мясная Галерея  ПОКОМ</t>
  </si>
  <si>
    <t>SU000197</t>
  </si>
  <si>
    <t>Пельмени Со свининой и говядиной ТМ Особый рецепт Любимая ложка 1,0 кг  ПОКОМ</t>
  </si>
  <si>
    <t>SU002268</t>
  </si>
  <si>
    <t>Пельмени Супермени с мясом, Горячая штучка 0,2кг    ПОКОМ</t>
  </si>
  <si>
    <t>SU002176</t>
  </si>
  <si>
    <t>Пельмени Супермени со сливочным маслом, Горячая штучка 0,2кг    ПОКОМ</t>
  </si>
  <si>
    <t>SU002177</t>
  </si>
  <si>
    <t>Пирожки с мясом 3,7кг ВЕС ТМ Зареченские  ПОКОМ</t>
  </si>
  <si>
    <t>SU003439</t>
  </si>
  <si>
    <t>Пирожки с мясом, картофелем и грибами 3,7кг ВЕС ТМ Зареченские  ПОКОМ</t>
  </si>
  <si>
    <t>SU003442</t>
  </si>
  <si>
    <t>Сочный мегачебурек ТМ Зареченские ВЕС ПОКОМ</t>
  </si>
  <si>
    <t>SU003025</t>
  </si>
  <si>
    <t>Хинкали Классические хинкали ВЕС,  ПОКОМ</t>
  </si>
  <si>
    <t>SU002314</t>
  </si>
  <si>
    <t>Хот-догстер ТМ Горячая штучка ТС Хот-Догстер флоу-пак 0,09 кг. ПОКОМ</t>
  </si>
  <si>
    <t>SU003632</t>
  </si>
  <si>
    <t>Хотстеры ТМ Горячая штучка ТС Хотстеры 0,25 кг зам  ПОКОМ</t>
  </si>
  <si>
    <t>SU003576</t>
  </si>
  <si>
    <t>Хотстеры с сыром 0,25кг ТМ Горячая штучка  ПОКОМ</t>
  </si>
  <si>
    <t>SU003384</t>
  </si>
  <si>
    <t>Хрустящие крылышки ТМ Горячая штучка 0,3 кг зам  ПОКОМ</t>
  </si>
  <si>
    <t>SU003591</t>
  </si>
  <si>
    <t>Хрустящие крылышки ТМ Зареченские ТС Зареченские продукты. ВЕС ПОКОМ</t>
  </si>
  <si>
    <t>SU003024</t>
  </si>
  <si>
    <t>Хрустящие крылышки острые к пиву ТМ Горячая штучка 0,3кг зам  ПОКОМ</t>
  </si>
  <si>
    <t>SU002564</t>
  </si>
  <si>
    <t>Чебупели Курочка гриль ТМ Горячая штучка, 0,3 кг зам  ПОКОМ</t>
  </si>
  <si>
    <t>SU002293</t>
  </si>
  <si>
    <t>Чебупели с мясом ТМ Горячая штучка 0,48 кг XXL зам. ПОКОМ</t>
  </si>
  <si>
    <t>SU002571</t>
  </si>
  <si>
    <t>Чебупицца Пепперони ТМ Горячая штучка ТС Чебупицца 0.25кг зам  ПОКОМ</t>
  </si>
  <si>
    <t>SU003580</t>
  </si>
  <si>
    <t>Чебупицца курочка по-итальянски Горячая штучка 0,25 кг зам  ПОКОМ</t>
  </si>
  <si>
    <t>SU003578</t>
  </si>
  <si>
    <t>Чебуреки Мясные вес 2,7  ПОКОМ</t>
  </si>
  <si>
    <t>SU003012</t>
  </si>
  <si>
    <t>Чебуреки сочные ВЕС ТМ Зареченские  ПОКОМ</t>
  </si>
  <si>
    <t>SU003010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</si>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</sst>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4" fillId="0" borderId="1" xfId="1" applyNumberFormat="1" applyFont="1"/>
    <xf numFmtId="164" fontId="1" fillId="0" borderId="1" xfId="1" applyNumberFormat="1"/>
    <xf numFmtId="164" fontId="2" fillId="4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5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5" fontId="1" fillId="6" borderId="1" xfId="1" applyNumberForma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&#1055;&#1054;&#1050;&#1054;&#1052;/pokom_data/&#1086;&#1087;&#1090;%20&#1080;%20&#1050;&#1088;&#1072;&#1089;&#1085;&#1086;&#1076;&#1072;&#1088;/2025/04,25/08,04,25%20&#1055;&#1054;&#1050;&#1054;&#1052;%20&#1047;&#1055;&#1060;%20&#1057;&#1086;&#1095;&#1080;/&#1076;&#1074;%2008,04,25%20&#1089;&#1095;&#1088;&#1089;&#1095;%20&#1087;&#1086;&#1082;%20&#1079;&#1087;&#109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&#1055;&#1054;&#1050;&#1054;&#1052;/pokom_data/&#1079;&#1072;&#1082;&#1072;&#1079;&#1099;/&#1089;&#1090;&#1072;&#1090;&#1080;&#1089;&#1090;&#1080;&#1082;&#1072;%20&#1092;&#1080;&#1083;&#1080;&#1072;&#1083;&#1099;/2025/04,25/10,04,25%20&#1055;&#1054;&#1050;&#1054;&#1052;%20&#1047;&#1055;&#1060;%20&#1092;&#1080;&#1083;&#1080;&#1072;&#1083;&#1099;/&#1076;&#1074;%2010,04,25%20&#1084;&#1083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заяв</v>
          </cell>
          <cell r="K3" t="str">
            <v>разн</v>
          </cell>
          <cell r="L3" t="str">
            <v>без опта</v>
          </cell>
          <cell r="M3" t="str">
            <v>опт</v>
          </cell>
          <cell r="N3" t="str">
            <v>заказ в пути</v>
          </cell>
          <cell r="O3" t="str">
            <v>ср нов</v>
          </cell>
          <cell r="P3" t="str">
            <v>расчет (потребность)</v>
          </cell>
          <cell r="Q3" t="str">
            <v>расчет (отгрузит завод)</v>
          </cell>
          <cell r="R3" t="str">
            <v>заказ филиала</v>
          </cell>
          <cell r="S3" t="str">
            <v>Комментарии филиала</v>
          </cell>
          <cell r="T3" t="str">
            <v>кон ост</v>
          </cell>
          <cell r="U3" t="str">
            <v>факт</v>
          </cell>
          <cell r="V3" t="str">
            <v>ср</v>
          </cell>
          <cell r="W3" t="str">
            <v>ср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ср</v>
          </cell>
          <cell r="AE3" t="str">
            <v>ср</v>
          </cell>
          <cell r="AF3" t="str">
            <v>комментарии</v>
          </cell>
          <cell r="AG3" t="str">
            <v>вес</v>
          </cell>
          <cell r="AH3" t="str">
            <v>крат кор</v>
          </cell>
          <cell r="AI3" t="str">
            <v>заказ кор.</v>
          </cell>
          <cell r="AJ3" t="str">
            <v>ВЕС</v>
          </cell>
          <cell r="AK3" t="str">
            <v>ряд</v>
          </cell>
          <cell r="AL3" t="str">
            <v>паллет</v>
          </cell>
        </row>
        <row r="4">
          <cell r="N4" t="str">
            <v>нет</v>
          </cell>
          <cell r="O4" t="str">
            <v>08,04,</v>
          </cell>
          <cell r="V4" t="str">
            <v>27,03,</v>
          </cell>
          <cell r="W4" t="str">
            <v>20,03,</v>
          </cell>
          <cell r="X4" t="str">
            <v>13,03,</v>
          </cell>
          <cell r="Y4" t="str">
            <v>06,03,</v>
          </cell>
          <cell r="Z4" t="str">
            <v>27,02,</v>
          </cell>
          <cell r="AA4" t="str">
            <v>20,02,</v>
          </cell>
          <cell r="AB4" t="str">
            <v>05,02,</v>
          </cell>
          <cell r="AC4" t="str">
            <v>29,01,</v>
          </cell>
          <cell r="AD4" t="str">
            <v>22,01,</v>
          </cell>
          <cell r="AE4" t="str">
            <v>15,01,</v>
          </cell>
        </row>
        <row r="5">
          <cell r="E5">
            <v>3413.7</v>
          </cell>
          <cell r="F5">
            <v>14747.599999999999</v>
          </cell>
          <cell r="J5">
            <v>3484.7</v>
          </cell>
          <cell r="K5">
            <v>-71</v>
          </cell>
          <cell r="L5">
            <v>0</v>
          </cell>
          <cell r="M5">
            <v>0</v>
          </cell>
          <cell r="N5">
            <v>0</v>
          </cell>
          <cell r="O5">
            <v>682.74000000000012</v>
          </cell>
          <cell r="P5">
            <v>3735.8</v>
          </cell>
          <cell r="Q5">
            <v>4140</v>
          </cell>
          <cell r="R5">
            <v>0</v>
          </cell>
          <cell r="V5">
            <v>543.36</v>
          </cell>
          <cell r="W5">
            <v>441.53999999999996</v>
          </cell>
          <cell r="X5">
            <v>1337.76</v>
          </cell>
          <cell r="Y5">
            <v>595.4799999999999</v>
          </cell>
          <cell r="Z5">
            <v>661.90000000000009</v>
          </cell>
          <cell r="AA5">
            <v>578.52</v>
          </cell>
          <cell r="AB5">
            <v>467.3</v>
          </cell>
          <cell r="AC5">
            <v>507.64000000000016</v>
          </cell>
          <cell r="AD5">
            <v>1064.1799999999998</v>
          </cell>
          <cell r="AE5">
            <v>1731.52</v>
          </cell>
          <cell r="AG5">
            <v>1162.8900000000001</v>
          </cell>
          <cell r="AI5">
            <v>390</v>
          </cell>
          <cell r="AJ5">
            <v>1364.04</v>
          </cell>
        </row>
        <row r="6">
          <cell r="A6" t="str">
            <v>БОНУС_Готовые чебупели с ветчиной и сыром Горячая штучка 0,3кг зам  ПОКОМ</v>
          </cell>
          <cell r="B6" t="str">
            <v>шт</v>
          </cell>
          <cell r="C6">
            <v>-81</v>
          </cell>
          <cell r="F6">
            <v>-81</v>
          </cell>
          <cell r="G6">
            <v>0</v>
          </cell>
          <cell r="H6">
            <v>180</v>
          </cell>
          <cell r="I6" t="str">
            <v>бонус</v>
          </cell>
          <cell r="K6">
            <v>0</v>
          </cell>
          <cell r="O6">
            <v>0</v>
          </cell>
          <cell r="T6" t="e">
            <v>#DIV/0!</v>
          </cell>
          <cell r="U6" t="e">
            <v>#DIV/0!</v>
          </cell>
          <cell r="V6">
            <v>14.4</v>
          </cell>
          <cell r="W6">
            <v>11.6</v>
          </cell>
          <cell r="X6">
            <v>13.8</v>
          </cell>
          <cell r="Y6">
            <v>12</v>
          </cell>
          <cell r="Z6">
            <v>24.2</v>
          </cell>
          <cell r="AA6">
            <v>12.2</v>
          </cell>
          <cell r="AB6">
            <v>13.4</v>
          </cell>
          <cell r="AC6">
            <v>0</v>
          </cell>
          <cell r="AD6">
            <v>0</v>
          </cell>
          <cell r="AE6">
            <v>0</v>
          </cell>
          <cell r="AF6" t="str">
            <v>бонус</v>
          </cell>
        </row>
        <row r="7">
          <cell r="A7" t="str">
            <v>БОНУС_Готовые чебупели сочные с мясом ТМ Горячая штучка  0,3кг зам    ПОКОМ</v>
          </cell>
          <cell r="B7" t="str">
            <v>шт</v>
          </cell>
          <cell r="E7">
            <v>65</v>
          </cell>
          <cell r="F7">
            <v>-74</v>
          </cell>
          <cell r="G7">
            <v>0</v>
          </cell>
          <cell r="H7">
            <v>180</v>
          </cell>
          <cell r="I7" t="str">
            <v>бонус</v>
          </cell>
          <cell r="J7">
            <v>65</v>
          </cell>
          <cell r="K7">
            <v>0</v>
          </cell>
          <cell r="O7">
            <v>13</v>
          </cell>
          <cell r="T7">
            <v>-5.6923076923076925</v>
          </cell>
          <cell r="U7">
            <v>-5.6923076923076925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 t="str">
            <v>бонус</v>
          </cell>
        </row>
        <row r="8">
          <cell r="A8" t="str">
            <v>БОНУС_Пельмени Бульмени с говядиной и свининой ТМ Горячая штучка. флоу-пак сфера 0,7 кг ПОКОМ</v>
          </cell>
          <cell r="B8" t="str">
            <v>шт</v>
          </cell>
          <cell r="C8">
            <v>-1</v>
          </cell>
          <cell r="E8">
            <v>27</v>
          </cell>
          <cell r="F8">
            <v>-49</v>
          </cell>
          <cell r="G8">
            <v>0</v>
          </cell>
          <cell r="H8">
            <v>180</v>
          </cell>
          <cell r="I8" t="str">
            <v>бонус</v>
          </cell>
          <cell r="J8">
            <v>27</v>
          </cell>
          <cell r="K8">
            <v>0</v>
          </cell>
          <cell r="O8">
            <v>5.4</v>
          </cell>
          <cell r="T8">
            <v>-9.0740740740740726</v>
          </cell>
          <cell r="U8">
            <v>-9.0740740740740726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 t="str">
            <v>бонус</v>
          </cell>
        </row>
        <row r="9">
          <cell r="A9" t="str">
            <v>БОНУС_Пельмени Медвежьи ушки с фермерскими сливками 0,4 кг. ТМ Стародворье ПОКОМ</v>
          </cell>
          <cell r="B9" t="str">
            <v>шт</v>
          </cell>
          <cell r="C9">
            <v>-2</v>
          </cell>
          <cell r="F9">
            <v>-2</v>
          </cell>
          <cell r="G9">
            <v>0</v>
          </cell>
          <cell r="H9">
            <v>180</v>
          </cell>
          <cell r="I9" t="str">
            <v>бонус</v>
          </cell>
          <cell r="K9">
            <v>0</v>
          </cell>
          <cell r="O9">
            <v>0</v>
          </cell>
          <cell r="T9" t="e">
            <v>#DIV/0!</v>
          </cell>
          <cell r="U9" t="e">
            <v>#DIV/0!</v>
          </cell>
          <cell r="V9">
            <v>0</v>
          </cell>
          <cell r="W9">
            <v>2.8</v>
          </cell>
          <cell r="X9">
            <v>8.6</v>
          </cell>
          <cell r="Y9">
            <v>4.8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 t="str">
            <v>бонус</v>
          </cell>
        </row>
        <row r="10">
          <cell r="A10" t="str">
            <v>БОНУС_Хот-догстер ТМ Горячая штучка ТС Хот-Догстер флоу-пак 0,09 кг. ПОКОМ</v>
          </cell>
          <cell r="B10" t="str">
            <v>шт</v>
          </cell>
          <cell r="C10">
            <v>-28</v>
          </cell>
          <cell r="E10">
            <v>20</v>
          </cell>
          <cell r="F10">
            <v>-50</v>
          </cell>
          <cell r="G10">
            <v>0</v>
          </cell>
          <cell r="H10">
            <v>180</v>
          </cell>
          <cell r="I10" t="str">
            <v>бонус</v>
          </cell>
          <cell r="J10">
            <v>20</v>
          </cell>
          <cell r="K10">
            <v>0</v>
          </cell>
          <cell r="O10">
            <v>4</v>
          </cell>
          <cell r="T10">
            <v>-12.5</v>
          </cell>
          <cell r="U10">
            <v>-12.5</v>
          </cell>
          <cell r="V10">
            <v>10.4</v>
          </cell>
          <cell r="W10">
            <v>7.8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 t="str">
            <v>бонус</v>
          </cell>
        </row>
        <row r="11">
          <cell r="A11" t="str">
            <v>Готовые бельмеши сочные с мясом ТМ Горячая штучка 0,3кг зам  ПОКОМ</v>
          </cell>
          <cell r="B11" t="str">
            <v>шт</v>
          </cell>
          <cell r="C11">
            <v>209</v>
          </cell>
          <cell r="D11">
            <v>1</v>
          </cell>
          <cell r="E11">
            <v>75</v>
          </cell>
          <cell r="F11">
            <v>128</v>
          </cell>
          <cell r="G11">
            <v>0.3</v>
          </cell>
          <cell r="H11">
            <v>180</v>
          </cell>
          <cell r="I11" t="str">
            <v>в матрице</v>
          </cell>
          <cell r="J11">
            <v>76</v>
          </cell>
          <cell r="K11">
            <v>-1</v>
          </cell>
          <cell r="O11">
            <v>15</v>
          </cell>
          <cell r="P11">
            <v>172</v>
          </cell>
          <cell r="Q11">
            <v>168</v>
          </cell>
          <cell r="T11">
            <v>19.733333333333334</v>
          </cell>
          <cell r="U11">
            <v>8.5333333333333332</v>
          </cell>
          <cell r="V11">
            <v>9.1999999999999993</v>
          </cell>
          <cell r="W11">
            <v>5.4</v>
          </cell>
          <cell r="X11">
            <v>48.8</v>
          </cell>
          <cell r="Y11">
            <v>6.6</v>
          </cell>
          <cell r="Z11">
            <v>6.6</v>
          </cell>
          <cell r="AA11">
            <v>15</v>
          </cell>
          <cell r="AB11">
            <v>9.8000000000000007</v>
          </cell>
          <cell r="AC11">
            <v>5.8</v>
          </cell>
          <cell r="AD11">
            <v>21.9</v>
          </cell>
          <cell r="AE11">
            <v>72</v>
          </cell>
          <cell r="AG11">
            <v>51.6</v>
          </cell>
          <cell r="AH11">
            <v>12</v>
          </cell>
          <cell r="AI11">
            <v>14</v>
          </cell>
          <cell r="AJ11">
            <v>50.4</v>
          </cell>
          <cell r="AK11">
            <v>14</v>
          </cell>
          <cell r="AL11">
            <v>70</v>
          </cell>
        </row>
        <row r="12">
          <cell r="A12" t="str">
            <v>Готовые чебупели острые с мясом Горячая штучка 0,3 кг зам  ПОКОМ</v>
          </cell>
          <cell r="B12" t="str">
            <v>шт</v>
          </cell>
          <cell r="C12">
            <v>208</v>
          </cell>
          <cell r="D12">
            <v>2</v>
          </cell>
          <cell r="E12">
            <v>48</v>
          </cell>
          <cell r="F12">
            <v>147</v>
          </cell>
          <cell r="G12">
            <v>0.3</v>
          </cell>
          <cell r="H12">
            <v>180</v>
          </cell>
          <cell r="I12" t="str">
            <v>в матрице</v>
          </cell>
          <cell r="J12">
            <v>48</v>
          </cell>
          <cell r="K12">
            <v>0</v>
          </cell>
          <cell r="O12">
            <v>9.6</v>
          </cell>
          <cell r="P12">
            <v>93</v>
          </cell>
          <cell r="Q12">
            <v>168</v>
          </cell>
          <cell r="T12">
            <v>32.8125</v>
          </cell>
          <cell r="U12">
            <v>15.3125</v>
          </cell>
          <cell r="V12">
            <v>10.4</v>
          </cell>
          <cell r="W12">
            <v>8.1999999999999993</v>
          </cell>
          <cell r="X12">
            <v>66.2</v>
          </cell>
          <cell r="Y12">
            <v>13.2</v>
          </cell>
          <cell r="Z12">
            <v>18</v>
          </cell>
          <cell r="AA12">
            <v>14.2</v>
          </cell>
          <cell r="AB12">
            <v>14.4</v>
          </cell>
          <cell r="AC12">
            <v>8.6</v>
          </cell>
          <cell r="AD12">
            <v>30.6</v>
          </cell>
          <cell r="AE12">
            <v>49.2</v>
          </cell>
          <cell r="AG12">
            <v>27.9</v>
          </cell>
          <cell r="AH12">
            <v>12</v>
          </cell>
          <cell r="AI12">
            <v>14</v>
          </cell>
          <cell r="AJ12">
            <v>50.4</v>
          </cell>
          <cell r="AK12">
            <v>14</v>
          </cell>
          <cell r="AL12">
            <v>70</v>
          </cell>
        </row>
        <row r="13">
          <cell r="A13" t="str">
            <v>Готовые чебупели с ветчиной и сыром Горячая штучка 0,3кг зам  ПОКОМ</v>
          </cell>
          <cell r="B13" t="str">
            <v>шт</v>
          </cell>
          <cell r="C13">
            <v>130</v>
          </cell>
          <cell r="E13">
            <v>49</v>
          </cell>
          <cell r="F13">
            <v>0</v>
          </cell>
          <cell r="G13">
            <v>0.3</v>
          </cell>
          <cell r="H13">
            <v>180</v>
          </cell>
          <cell r="I13" t="str">
            <v>в матрице</v>
          </cell>
          <cell r="J13">
            <v>151</v>
          </cell>
          <cell r="K13">
            <v>-102</v>
          </cell>
          <cell r="O13">
            <v>9.8000000000000007</v>
          </cell>
          <cell r="P13">
            <v>196</v>
          </cell>
          <cell r="Q13">
            <v>168</v>
          </cell>
          <cell r="T13">
            <v>17.142857142857142</v>
          </cell>
          <cell r="U13">
            <v>0</v>
          </cell>
          <cell r="V13">
            <v>34</v>
          </cell>
          <cell r="W13">
            <v>18.8</v>
          </cell>
          <cell r="X13">
            <v>64.400000000000006</v>
          </cell>
          <cell r="Y13">
            <v>33</v>
          </cell>
          <cell r="Z13">
            <v>9</v>
          </cell>
          <cell r="AA13">
            <v>18.2</v>
          </cell>
          <cell r="AB13">
            <v>35.6</v>
          </cell>
          <cell r="AC13">
            <v>13.6</v>
          </cell>
          <cell r="AD13">
            <v>32.4</v>
          </cell>
          <cell r="AE13">
            <v>49.8</v>
          </cell>
          <cell r="AG13">
            <v>58.8</v>
          </cell>
          <cell r="AH13">
            <v>12</v>
          </cell>
          <cell r="AI13">
            <v>14</v>
          </cell>
          <cell r="AJ13">
            <v>50.4</v>
          </cell>
          <cell r="AK13">
            <v>14</v>
          </cell>
          <cell r="AL13">
            <v>70</v>
          </cell>
        </row>
        <row r="14">
          <cell r="A14" t="str">
            <v>Готовые чебупели с мясом ТМ Горячая штучка Без свинины 0,3 кг ПОКОМ</v>
          </cell>
          <cell r="B14" t="str">
            <v>шт</v>
          </cell>
          <cell r="C14">
            <v>622</v>
          </cell>
          <cell r="E14">
            <v>42</v>
          </cell>
          <cell r="F14">
            <v>570</v>
          </cell>
          <cell r="G14">
            <v>0.3</v>
          </cell>
          <cell r="H14">
            <v>180</v>
          </cell>
          <cell r="I14" t="str">
            <v>в матрице</v>
          </cell>
          <cell r="J14">
            <v>42</v>
          </cell>
          <cell r="K14">
            <v>0</v>
          </cell>
          <cell r="O14">
            <v>8.4</v>
          </cell>
          <cell r="Q14">
            <v>0</v>
          </cell>
          <cell r="T14">
            <v>67.857142857142861</v>
          </cell>
          <cell r="U14">
            <v>67.857142857142861</v>
          </cell>
          <cell r="V14">
            <v>2.6</v>
          </cell>
          <cell r="W14">
            <v>4.2</v>
          </cell>
          <cell r="X14">
            <v>5.8</v>
          </cell>
          <cell r="Y14">
            <v>6.8</v>
          </cell>
          <cell r="Z14">
            <v>8.6</v>
          </cell>
          <cell r="AA14">
            <v>6.4</v>
          </cell>
          <cell r="AB14">
            <v>9.6</v>
          </cell>
          <cell r="AC14">
            <v>6.2</v>
          </cell>
          <cell r="AD14">
            <v>13.5</v>
          </cell>
          <cell r="AE14">
            <v>23.1</v>
          </cell>
          <cell r="AF14" t="str">
            <v>нужно увеличить продажи!!!</v>
          </cell>
          <cell r="AG14">
            <v>0</v>
          </cell>
          <cell r="AH14">
            <v>12</v>
          </cell>
          <cell r="AI14">
            <v>0</v>
          </cell>
          <cell r="AJ14">
            <v>0</v>
          </cell>
          <cell r="AK14">
            <v>14</v>
          </cell>
          <cell r="AL14">
            <v>70</v>
          </cell>
        </row>
        <row r="15">
          <cell r="A15" t="str">
            <v>Готовые чебупели сочные с мясом ТМ Горячая штучка  0,3кг зам  ПОКОМ</v>
          </cell>
          <cell r="B15" t="str">
            <v>шт</v>
          </cell>
          <cell r="C15">
            <v>110</v>
          </cell>
          <cell r="D15">
            <v>1</v>
          </cell>
          <cell r="E15">
            <v>122</v>
          </cell>
          <cell r="F15">
            <v>-21</v>
          </cell>
          <cell r="G15">
            <v>0.3</v>
          </cell>
          <cell r="H15">
            <v>180</v>
          </cell>
          <cell r="I15" t="str">
            <v>в матрице</v>
          </cell>
          <cell r="J15">
            <v>58</v>
          </cell>
          <cell r="K15">
            <v>64</v>
          </cell>
          <cell r="O15">
            <v>24.4</v>
          </cell>
          <cell r="P15">
            <v>435.79999999999995</v>
          </cell>
          <cell r="Q15">
            <v>504</v>
          </cell>
          <cell r="T15">
            <v>19.795081967213115</v>
          </cell>
          <cell r="U15">
            <v>-0.8606557377049181</v>
          </cell>
          <cell r="V15">
            <v>13.8</v>
          </cell>
          <cell r="W15">
            <v>10.6</v>
          </cell>
          <cell r="X15">
            <v>63.8</v>
          </cell>
          <cell r="Y15">
            <v>10.6</v>
          </cell>
          <cell r="Z15">
            <v>27.6</v>
          </cell>
          <cell r="AA15">
            <v>8.4</v>
          </cell>
          <cell r="AB15">
            <v>0</v>
          </cell>
          <cell r="AC15">
            <v>22.6</v>
          </cell>
          <cell r="AD15">
            <v>37.200000000000003</v>
          </cell>
          <cell r="AE15">
            <v>59.7</v>
          </cell>
          <cell r="AG15">
            <v>130.73999999999998</v>
          </cell>
          <cell r="AH15">
            <v>12</v>
          </cell>
          <cell r="AI15">
            <v>42</v>
          </cell>
          <cell r="AJ15">
            <v>151.19999999999999</v>
          </cell>
          <cell r="AK15">
            <v>14</v>
          </cell>
          <cell r="AL15">
            <v>70</v>
          </cell>
        </row>
        <row r="16">
          <cell r="A16" t="str">
            <v>Готовые чебуреки с мясом ТМ Горячая штучка 0,09 кг флоу-пак ПОКОМ</v>
          </cell>
          <cell r="B16" t="str">
            <v>шт</v>
          </cell>
          <cell r="C16">
            <v>687</v>
          </cell>
          <cell r="E16">
            <v>195</v>
          </cell>
          <cell r="F16">
            <v>490</v>
          </cell>
          <cell r="G16">
            <v>0.09</v>
          </cell>
          <cell r="H16">
            <v>180</v>
          </cell>
          <cell r="I16" t="str">
            <v>в матрице</v>
          </cell>
          <cell r="J16">
            <v>195</v>
          </cell>
          <cell r="K16">
            <v>0</v>
          </cell>
          <cell r="O16">
            <v>39</v>
          </cell>
          <cell r="P16">
            <v>290</v>
          </cell>
          <cell r="Q16">
            <v>336</v>
          </cell>
          <cell r="T16">
            <v>21.179487179487179</v>
          </cell>
          <cell r="U16">
            <v>12.564102564102564</v>
          </cell>
          <cell r="V16">
            <v>13.2</v>
          </cell>
          <cell r="W16">
            <v>11</v>
          </cell>
          <cell r="X16">
            <v>15.2</v>
          </cell>
          <cell r="Y16">
            <v>2.6</v>
          </cell>
          <cell r="Z16">
            <v>16.8</v>
          </cell>
          <cell r="AA16">
            <v>15</v>
          </cell>
          <cell r="AB16">
            <v>25.2</v>
          </cell>
          <cell r="AC16">
            <v>6.6</v>
          </cell>
          <cell r="AD16">
            <v>6.57</v>
          </cell>
          <cell r="AE16">
            <v>10.08</v>
          </cell>
          <cell r="AG16">
            <v>26.099999999999998</v>
          </cell>
          <cell r="AH16">
            <v>24</v>
          </cell>
          <cell r="AI16">
            <v>14</v>
          </cell>
          <cell r="AJ16">
            <v>30.24</v>
          </cell>
          <cell r="AK16">
            <v>14</v>
          </cell>
          <cell r="AL16">
            <v>126</v>
          </cell>
        </row>
        <row r="17">
          <cell r="A17" t="str">
            <v>Готовые чебуреки со свининой и говядиной Гор.шт.0,36 кг зам.  ПОКОМ</v>
          </cell>
          <cell r="B17" t="str">
            <v>шт</v>
          </cell>
          <cell r="C17">
            <v>573</v>
          </cell>
          <cell r="E17">
            <v>29</v>
          </cell>
          <cell r="F17">
            <v>538</v>
          </cell>
          <cell r="G17">
            <v>0.36</v>
          </cell>
          <cell r="H17">
            <v>180</v>
          </cell>
          <cell r="I17" t="str">
            <v>в матрице</v>
          </cell>
          <cell r="J17">
            <v>29</v>
          </cell>
          <cell r="K17">
            <v>0</v>
          </cell>
          <cell r="O17">
            <v>5.8</v>
          </cell>
          <cell r="Q17">
            <v>0</v>
          </cell>
          <cell r="T17">
            <v>92.758620689655174</v>
          </cell>
          <cell r="U17">
            <v>92.758620689655174</v>
          </cell>
          <cell r="V17">
            <v>4.2</v>
          </cell>
          <cell r="W17">
            <v>4.2</v>
          </cell>
          <cell r="X17">
            <v>5</v>
          </cell>
          <cell r="Y17">
            <v>9.6</v>
          </cell>
          <cell r="Z17">
            <v>6.8</v>
          </cell>
          <cell r="AA17">
            <v>4.2</v>
          </cell>
          <cell r="AB17">
            <v>6</v>
          </cell>
          <cell r="AC17">
            <v>5.8</v>
          </cell>
          <cell r="AD17">
            <v>11.16</v>
          </cell>
          <cell r="AE17">
            <v>15.48</v>
          </cell>
          <cell r="AF17" t="str">
            <v>нужно увеличить продажи!!!</v>
          </cell>
          <cell r="AG17">
            <v>0</v>
          </cell>
          <cell r="AH17">
            <v>10</v>
          </cell>
          <cell r="AI17">
            <v>0</v>
          </cell>
          <cell r="AJ17">
            <v>0</v>
          </cell>
          <cell r="AK17">
            <v>14</v>
          </cell>
          <cell r="AL17">
            <v>70</v>
          </cell>
        </row>
        <row r="18">
          <cell r="A18" t="str">
            <v>ЖАР-мени ВЕС ТМ Зареченские  ПОКОМ</v>
          </cell>
          <cell r="B18" t="str">
            <v>кг</v>
          </cell>
          <cell r="C18">
            <v>74</v>
          </cell>
          <cell r="F18">
            <v>74</v>
          </cell>
          <cell r="G18">
            <v>0</v>
          </cell>
          <cell r="H18">
            <v>180</v>
          </cell>
          <cell r="I18" t="str">
            <v>в матрице</v>
          </cell>
          <cell r="J18">
            <v>5.5</v>
          </cell>
          <cell r="K18">
            <v>-5.5</v>
          </cell>
          <cell r="O18">
            <v>0</v>
          </cell>
          <cell r="Q18">
            <v>0</v>
          </cell>
          <cell r="T18" t="e">
            <v>#DIV/0!</v>
          </cell>
          <cell r="U18" t="e">
            <v>#DIV/0!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1.1000000000000001</v>
          </cell>
          <cell r="AA18">
            <v>1.1000000000000001</v>
          </cell>
          <cell r="AB18">
            <v>0</v>
          </cell>
          <cell r="AC18">
            <v>0</v>
          </cell>
          <cell r="AD18">
            <v>0</v>
          </cell>
          <cell r="AE18">
            <v>5.5</v>
          </cell>
          <cell r="AF18" t="str">
            <v>нужно увеличить продажи!!! / нет в бланке</v>
          </cell>
          <cell r="AG18">
            <v>0</v>
          </cell>
          <cell r="AH18">
            <v>5.5</v>
          </cell>
          <cell r="AI18">
            <v>0</v>
          </cell>
          <cell r="AJ18">
            <v>0</v>
          </cell>
          <cell r="AK18">
            <v>12</v>
          </cell>
        </row>
        <row r="19">
          <cell r="A19" t="str">
            <v>Круггетсы с сырным соусом ТМ Горячая штучка 0,25 кг зам  ПОКОМ</v>
          </cell>
          <cell r="B19" t="str">
            <v>шт</v>
          </cell>
          <cell r="C19">
            <v>486</v>
          </cell>
          <cell r="E19">
            <v>43</v>
          </cell>
          <cell r="F19">
            <v>436</v>
          </cell>
          <cell r="G19">
            <v>0.25</v>
          </cell>
          <cell r="H19">
            <v>180</v>
          </cell>
          <cell r="I19" t="str">
            <v>в матрице</v>
          </cell>
          <cell r="J19">
            <v>43</v>
          </cell>
          <cell r="K19">
            <v>0</v>
          </cell>
          <cell r="O19">
            <v>8.6</v>
          </cell>
          <cell r="Q19">
            <v>0</v>
          </cell>
          <cell r="T19">
            <v>50.697674418604656</v>
          </cell>
          <cell r="U19">
            <v>50.697674418604656</v>
          </cell>
          <cell r="V19">
            <v>7.2</v>
          </cell>
          <cell r="W19">
            <v>5.4</v>
          </cell>
          <cell r="X19">
            <v>53.8</v>
          </cell>
          <cell r="Y19">
            <v>10</v>
          </cell>
          <cell r="Z19">
            <v>8.8000000000000007</v>
          </cell>
          <cell r="AA19">
            <v>6</v>
          </cell>
          <cell r="AB19">
            <v>9.6</v>
          </cell>
          <cell r="AC19">
            <v>8</v>
          </cell>
          <cell r="AD19">
            <v>19.75</v>
          </cell>
          <cell r="AE19">
            <v>35.25</v>
          </cell>
          <cell r="AF19" t="str">
            <v>нужно увеличить продажи!!!</v>
          </cell>
          <cell r="AG19">
            <v>0</v>
          </cell>
          <cell r="AH19">
            <v>12</v>
          </cell>
          <cell r="AI19">
            <v>0</v>
          </cell>
          <cell r="AJ19">
            <v>0</v>
          </cell>
          <cell r="AK19">
            <v>14</v>
          </cell>
          <cell r="AL19">
            <v>70</v>
          </cell>
        </row>
        <row r="20">
          <cell r="A20" t="str">
            <v>Круггетсы сочные ТМ Горячая штучка ТС Круггетсы 0,25 кг зам  ПОКОМ</v>
          </cell>
          <cell r="B20" t="str">
            <v>шт</v>
          </cell>
          <cell r="C20">
            <v>341</v>
          </cell>
          <cell r="E20">
            <v>99</v>
          </cell>
          <cell r="F20">
            <v>227</v>
          </cell>
          <cell r="G20">
            <v>0.25</v>
          </cell>
          <cell r="H20">
            <v>180</v>
          </cell>
          <cell r="I20" t="str">
            <v>в матрице</v>
          </cell>
          <cell r="J20">
            <v>99</v>
          </cell>
          <cell r="K20">
            <v>0</v>
          </cell>
          <cell r="O20">
            <v>19.8</v>
          </cell>
          <cell r="P20">
            <v>169</v>
          </cell>
          <cell r="Q20">
            <v>168</v>
          </cell>
          <cell r="T20">
            <v>19.949494949494948</v>
          </cell>
          <cell r="U20">
            <v>11.464646464646464</v>
          </cell>
          <cell r="V20">
            <v>10</v>
          </cell>
          <cell r="W20">
            <v>8.8000000000000007</v>
          </cell>
          <cell r="X20">
            <v>57.6</v>
          </cell>
          <cell r="Y20">
            <v>10.4</v>
          </cell>
          <cell r="Z20">
            <v>13.8</v>
          </cell>
          <cell r="AA20">
            <v>11.6</v>
          </cell>
          <cell r="AB20">
            <v>13.2</v>
          </cell>
          <cell r="AC20">
            <v>11.6</v>
          </cell>
          <cell r="AD20">
            <v>16.75</v>
          </cell>
          <cell r="AE20">
            <v>41</v>
          </cell>
          <cell r="AG20">
            <v>42.25</v>
          </cell>
          <cell r="AH20">
            <v>12</v>
          </cell>
          <cell r="AI20">
            <v>14</v>
          </cell>
          <cell r="AJ20">
            <v>42</v>
          </cell>
          <cell r="AK20">
            <v>14</v>
          </cell>
          <cell r="AL20">
            <v>70</v>
          </cell>
        </row>
        <row r="21">
          <cell r="A21" t="str">
            <v>Мини-сосиски в тесте "Фрайпики" 3,7кг ВЕС,  ПОКОМ</v>
          </cell>
          <cell r="B21" t="str">
            <v>кг</v>
          </cell>
          <cell r="C21">
            <v>18.5</v>
          </cell>
          <cell r="E21">
            <v>3.7</v>
          </cell>
          <cell r="F21">
            <v>14.8</v>
          </cell>
          <cell r="G21">
            <v>1</v>
          </cell>
          <cell r="H21">
            <v>180</v>
          </cell>
          <cell r="I21" t="str">
            <v>в матрице</v>
          </cell>
          <cell r="J21">
            <v>3.7</v>
          </cell>
          <cell r="K21">
            <v>0</v>
          </cell>
          <cell r="O21">
            <v>0.74</v>
          </cell>
          <cell r="P21">
            <v>0</v>
          </cell>
          <cell r="Q21">
            <v>0</v>
          </cell>
          <cell r="T21">
            <v>20</v>
          </cell>
          <cell r="U21">
            <v>20</v>
          </cell>
          <cell r="V21">
            <v>0.74</v>
          </cell>
          <cell r="W21">
            <v>0.74</v>
          </cell>
          <cell r="X21">
            <v>1.48</v>
          </cell>
          <cell r="Y21">
            <v>0.74</v>
          </cell>
          <cell r="Z21">
            <v>2.2200000000000002</v>
          </cell>
          <cell r="AA21">
            <v>0.74</v>
          </cell>
          <cell r="AB21">
            <v>0.74</v>
          </cell>
          <cell r="AC21">
            <v>1.48</v>
          </cell>
          <cell r="AD21">
            <v>11.1</v>
          </cell>
          <cell r="AE21">
            <v>7.4</v>
          </cell>
          <cell r="AF21" t="str">
            <v>нужно увеличить продажи</v>
          </cell>
          <cell r="AG21">
            <v>0</v>
          </cell>
          <cell r="AH21">
            <v>3.7</v>
          </cell>
          <cell r="AI21">
            <v>0</v>
          </cell>
          <cell r="AJ21">
            <v>0</v>
          </cell>
          <cell r="AK21">
            <v>14</v>
          </cell>
          <cell r="AL21">
            <v>126</v>
          </cell>
        </row>
        <row r="22">
          <cell r="A22" t="str">
            <v>Наггетсы Нагетосы Сочная курочка ТМ Горячая штучка 0,25 кг зам  ПОКОМ</v>
          </cell>
          <cell r="B22" t="str">
            <v>шт</v>
          </cell>
          <cell r="C22">
            <v>186</v>
          </cell>
          <cell r="E22">
            <v>121</v>
          </cell>
          <cell r="F22">
            <v>62</v>
          </cell>
          <cell r="G22">
            <v>0.25</v>
          </cell>
          <cell r="H22">
            <v>180</v>
          </cell>
          <cell r="I22" t="str">
            <v>в матрице</v>
          </cell>
          <cell r="J22">
            <v>121</v>
          </cell>
          <cell r="K22">
            <v>0</v>
          </cell>
          <cell r="O22">
            <v>24.2</v>
          </cell>
          <cell r="P22">
            <v>422</v>
          </cell>
          <cell r="Q22">
            <v>420</v>
          </cell>
          <cell r="T22">
            <v>19.917355371900825</v>
          </cell>
          <cell r="U22">
            <v>2.5619834710743801</v>
          </cell>
          <cell r="V22">
            <v>4.5999999999999996</v>
          </cell>
          <cell r="W22">
            <v>7.4</v>
          </cell>
          <cell r="X22">
            <v>45.2</v>
          </cell>
          <cell r="Y22">
            <v>10.4</v>
          </cell>
          <cell r="Z22">
            <v>16.8</v>
          </cell>
          <cell r="AA22">
            <v>6</v>
          </cell>
          <cell r="AB22">
            <v>6.4</v>
          </cell>
          <cell r="AC22">
            <v>19.399999999999999</v>
          </cell>
          <cell r="AD22">
            <v>6.25</v>
          </cell>
          <cell r="AE22">
            <v>41</v>
          </cell>
          <cell r="AG22">
            <v>105.5</v>
          </cell>
          <cell r="AH22">
            <v>6</v>
          </cell>
          <cell r="AI22">
            <v>70</v>
          </cell>
          <cell r="AJ22">
            <v>105</v>
          </cell>
          <cell r="AK22">
            <v>14</v>
          </cell>
          <cell r="AL22">
            <v>140</v>
          </cell>
        </row>
        <row r="23">
          <cell r="A23" t="str">
            <v>Наггетсы Нагетосы Сочная курочка в хрустящей панировке ТМ Горячая штучка 0,25 кг зам  ПОКОМ</v>
          </cell>
          <cell r="B23" t="str">
            <v>шт</v>
          </cell>
          <cell r="C23">
            <v>400</v>
          </cell>
          <cell r="E23">
            <v>26</v>
          </cell>
          <cell r="F23">
            <v>345</v>
          </cell>
          <cell r="G23">
            <v>0.25</v>
          </cell>
          <cell r="H23">
            <v>180</v>
          </cell>
          <cell r="I23" t="str">
            <v>в матрице</v>
          </cell>
          <cell r="J23">
            <v>26</v>
          </cell>
          <cell r="K23">
            <v>0</v>
          </cell>
          <cell r="O23">
            <v>5.2</v>
          </cell>
          <cell r="Q23">
            <v>0</v>
          </cell>
          <cell r="T23">
            <v>66.34615384615384</v>
          </cell>
          <cell r="U23">
            <v>66.34615384615384</v>
          </cell>
          <cell r="V23">
            <v>2.4</v>
          </cell>
          <cell r="W23">
            <v>3.6</v>
          </cell>
          <cell r="X23">
            <v>54.4</v>
          </cell>
          <cell r="Y23">
            <v>5</v>
          </cell>
          <cell r="Z23">
            <v>7</v>
          </cell>
          <cell r="AA23">
            <v>5.2</v>
          </cell>
          <cell r="AB23">
            <v>6.8</v>
          </cell>
          <cell r="AC23">
            <v>5.4</v>
          </cell>
          <cell r="AD23">
            <v>4.75</v>
          </cell>
          <cell r="AE23">
            <v>16.25</v>
          </cell>
          <cell r="AF23" t="str">
            <v>нужно увеличить продажи!!!</v>
          </cell>
          <cell r="AG23">
            <v>0</v>
          </cell>
          <cell r="AH23">
            <v>6</v>
          </cell>
          <cell r="AI23">
            <v>0</v>
          </cell>
          <cell r="AJ23">
            <v>0</v>
          </cell>
          <cell r="AK23">
            <v>14</v>
          </cell>
          <cell r="AL23">
            <v>140</v>
          </cell>
        </row>
        <row r="24">
          <cell r="A24" t="str">
            <v>Наггетсы из печи 0,25кг ТМ Вязанка ТС Няняггетсы Сливушки замор.  ПОКОМ</v>
          </cell>
          <cell r="B24" t="str">
            <v>шт</v>
          </cell>
          <cell r="C24">
            <v>433</v>
          </cell>
          <cell r="D24">
            <v>3</v>
          </cell>
          <cell r="E24">
            <v>33</v>
          </cell>
          <cell r="F24">
            <v>394</v>
          </cell>
          <cell r="G24">
            <v>0.25</v>
          </cell>
          <cell r="H24">
            <v>180</v>
          </cell>
          <cell r="I24" t="str">
            <v>в матрице</v>
          </cell>
          <cell r="J24">
            <v>35</v>
          </cell>
          <cell r="K24">
            <v>-2</v>
          </cell>
          <cell r="O24">
            <v>6.6</v>
          </cell>
          <cell r="Q24">
            <v>0</v>
          </cell>
          <cell r="T24">
            <v>59.696969696969703</v>
          </cell>
          <cell r="U24">
            <v>59.696969696969703</v>
          </cell>
          <cell r="V24">
            <v>14</v>
          </cell>
          <cell r="W24">
            <v>7.6</v>
          </cell>
          <cell r="X24">
            <v>15.2</v>
          </cell>
          <cell r="Y24">
            <v>17</v>
          </cell>
          <cell r="Z24">
            <v>15.4</v>
          </cell>
          <cell r="AA24">
            <v>4.2</v>
          </cell>
          <cell r="AB24">
            <v>12.2</v>
          </cell>
          <cell r="AC24">
            <v>19</v>
          </cell>
          <cell r="AD24">
            <v>19.25</v>
          </cell>
          <cell r="AE24">
            <v>25.25</v>
          </cell>
          <cell r="AF24" t="str">
            <v>нужно увеличить продажи!!!</v>
          </cell>
          <cell r="AG24">
            <v>0</v>
          </cell>
          <cell r="AH24">
            <v>12</v>
          </cell>
          <cell r="AI24">
            <v>0</v>
          </cell>
          <cell r="AJ24">
            <v>0</v>
          </cell>
          <cell r="AK24">
            <v>14</v>
          </cell>
          <cell r="AL24">
            <v>70</v>
          </cell>
        </row>
        <row r="25">
          <cell r="A25" t="str">
            <v>Наггетсы с индейкой 0,25кг ТМ Вязанка ТС Няняггетсы Сливушки НД2 замор.  ПОКОМ</v>
          </cell>
          <cell r="B25" t="str">
            <v>шт</v>
          </cell>
          <cell r="C25">
            <v>575</v>
          </cell>
          <cell r="E25">
            <v>28</v>
          </cell>
          <cell r="F25">
            <v>540</v>
          </cell>
          <cell r="G25">
            <v>0.25</v>
          </cell>
          <cell r="H25">
            <v>180</v>
          </cell>
          <cell r="I25" t="str">
            <v>в матрице</v>
          </cell>
          <cell r="J25">
            <v>28</v>
          </cell>
          <cell r="K25">
            <v>0</v>
          </cell>
          <cell r="O25">
            <v>5.6</v>
          </cell>
          <cell r="Q25">
            <v>0</v>
          </cell>
          <cell r="T25">
            <v>96.428571428571431</v>
          </cell>
          <cell r="U25">
            <v>96.428571428571431</v>
          </cell>
          <cell r="V25">
            <v>5.8</v>
          </cell>
          <cell r="W25">
            <v>5.8</v>
          </cell>
          <cell r="X25">
            <v>10.199999999999999</v>
          </cell>
          <cell r="Y25">
            <v>10.4</v>
          </cell>
          <cell r="Z25">
            <v>12</v>
          </cell>
          <cell r="AA25">
            <v>5.4</v>
          </cell>
          <cell r="AB25">
            <v>9.4</v>
          </cell>
          <cell r="AC25">
            <v>13.8</v>
          </cell>
          <cell r="AD25">
            <v>11.75</v>
          </cell>
          <cell r="AE25">
            <v>41.5</v>
          </cell>
          <cell r="AF25" t="str">
            <v>нужно увеличить продажи!!!</v>
          </cell>
          <cell r="AG25">
            <v>0</v>
          </cell>
          <cell r="AH25">
            <v>12</v>
          </cell>
          <cell r="AI25">
            <v>0</v>
          </cell>
          <cell r="AJ25">
            <v>0</v>
          </cell>
          <cell r="AK25">
            <v>14</v>
          </cell>
          <cell r="AL25">
            <v>70</v>
          </cell>
        </row>
        <row r="26">
          <cell r="A26" t="str">
            <v>Наггетсы с куриным филе и сыром ТМ Вязанка 0,25 кг ПОКОМ</v>
          </cell>
          <cell r="B26" t="str">
            <v>шт</v>
          </cell>
          <cell r="C26">
            <v>317</v>
          </cell>
          <cell r="E26">
            <v>34</v>
          </cell>
          <cell r="F26">
            <v>271</v>
          </cell>
          <cell r="G26">
            <v>0.25</v>
          </cell>
          <cell r="H26">
            <v>180</v>
          </cell>
          <cell r="I26" t="str">
            <v>в матрице</v>
          </cell>
          <cell r="J26">
            <v>34</v>
          </cell>
          <cell r="K26">
            <v>0</v>
          </cell>
          <cell r="O26">
            <v>6.8</v>
          </cell>
          <cell r="Q26">
            <v>0</v>
          </cell>
          <cell r="T26">
            <v>39.852941176470587</v>
          </cell>
          <cell r="U26">
            <v>39.852941176470587</v>
          </cell>
          <cell r="V26">
            <v>5.6</v>
          </cell>
          <cell r="W26">
            <v>5.8</v>
          </cell>
          <cell r="X26">
            <v>5.4</v>
          </cell>
          <cell r="Y26">
            <v>7.6</v>
          </cell>
          <cell r="Z26">
            <v>3</v>
          </cell>
          <cell r="AA26">
            <v>4.2</v>
          </cell>
          <cell r="AB26">
            <v>10.4</v>
          </cell>
          <cell r="AC26">
            <v>9.1999999999999993</v>
          </cell>
          <cell r="AD26">
            <v>8.75</v>
          </cell>
          <cell r="AE26">
            <v>14.25</v>
          </cell>
          <cell r="AF26" t="str">
            <v>нужно увеличить продажи!!!</v>
          </cell>
          <cell r="AG26">
            <v>0</v>
          </cell>
          <cell r="AH26">
            <v>12</v>
          </cell>
          <cell r="AI26">
            <v>0</v>
          </cell>
          <cell r="AJ26">
            <v>0</v>
          </cell>
          <cell r="AK26">
            <v>14</v>
          </cell>
          <cell r="AL26">
            <v>70</v>
          </cell>
        </row>
        <row r="27">
          <cell r="A27" t="str">
            <v>Наггетсы хрустящие п/ф ВЕС ПОКОМ</v>
          </cell>
          <cell r="B27" t="str">
            <v>кг</v>
          </cell>
          <cell r="C27">
            <v>24</v>
          </cell>
          <cell r="E27">
            <v>12</v>
          </cell>
          <cell r="F27">
            <v>12</v>
          </cell>
          <cell r="G27">
            <v>1</v>
          </cell>
          <cell r="H27">
            <v>180</v>
          </cell>
          <cell r="I27" t="str">
            <v>в матрице</v>
          </cell>
          <cell r="J27">
            <v>12</v>
          </cell>
          <cell r="K27">
            <v>0</v>
          </cell>
          <cell r="O27">
            <v>2.4</v>
          </cell>
          <cell r="P27">
            <v>36</v>
          </cell>
          <cell r="Q27">
            <v>72</v>
          </cell>
          <cell r="T27">
            <v>35</v>
          </cell>
          <cell r="U27">
            <v>5</v>
          </cell>
          <cell r="V27">
            <v>3.6</v>
          </cell>
          <cell r="W27">
            <v>4.8</v>
          </cell>
          <cell r="X27">
            <v>1.2</v>
          </cell>
          <cell r="Y27">
            <v>0</v>
          </cell>
          <cell r="Z27">
            <v>2.4</v>
          </cell>
          <cell r="AA27">
            <v>0</v>
          </cell>
          <cell r="AB27">
            <v>1.2</v>
          </cell>
          <cell r="AC27">
            <v>3.6</v>
          </cell>
          <cell r="AD27">
            <v>12</v>
          </cell>
          <cell r="AE27">
            <v>18</v>
          </cell>
          <cell r="AG27">
            <v>36</v>
          </cell>
          <cell r="AH27">
            <v>6</v>
          </cell>
          <cell r="AI27">
            <v>12</v>
          </cell>
          <cell r="AJ27">
            <v>72</v>
          </cell>
          <cell r="AK27">
            <v>12</v>
          </cell>
          <cell r="AL27">
            <v>84</v>
          </cell>
        </row>
        <row r="28">
          <cell r="A28" t="str">
            <v>Пекерсы с индейкой в сливочном соусе ТМ Горячая штучка 0,25 кг зам  ПОКОМ</v>
          </cell>
          <cell r="B28" t="str">
            <v>шт</v>
          </cell>
          <cell r="C28">
            <v>376</v>
          </cell>
          <cell r="E28">
            <v>45</v>
          </cell>
          <cell r="F28">
            <v>326</v>
          </cell>
          <cell r="G28">
            <v>0.25</v>
          </cell>
          <cell r="H28">
            <v>180</v>
          </cell>
          <cell r="I28" t="str">
            <v>в матрице</v>
          </cell>
          <cell r="J28">
            <v>45</v>
          </cell>
          <cell r="K28">
            <v>0</v>
          </cell>
          <cell r="O28">
            <v>9</v>
          </cell>
          <cell r="Q28">
            <v>0</v>
          </cell>
          <cell r="T28">
            <v>36.222222222222221</v>
          </cell>
          <cell r="U28">
            <v>36.222222222222221</v>
          </cell>
          <cell r="V28">
            <v>12.8</v>
          </cell>
          <cell r="W28">
            <v>7.4</v>
          </cell>
          <cell r="X28">
            <v>13</v>
          </cell>
          <cell r="Y28">
            <v>17.600000000000001</v>
          </cell>
          <cell r="Z28">
            <v>16.399999999999999</v>
          </cell>
          <cell r="AA28">
            <v>9.1999999999999993</v>
          </cell>
          <cell r="AB28">
            <v>12.4</v>
          </cell>
          <cell r="AC28">
            <v>1.8</v>
          </cell>
          <cell r="AD28">
            <v>22.25</v>
          </cell>
          <cell r="AE28">
            <v>60.5</v>
          </cell>
          <cell r="AF28" t="str">
            <v>нужно увеличить продажи!!!</v>
          </cell>
          <cell r="AG28">
            <v>0</v>
          </cell>
          <cell r="AH28">
            <v>12</v>
          </cell>
          <cell r="AI28">
            <v>0</v>
          </cell>
          <cell r="AJ28">
            <v>0</v>
          </cell>
          <cell r="AK28">
            <v>14</v>
          </cell>
          <cell r="AL28">
            <v>70</v>
          </cell>
        </row>
        <row r="29">
          <cell r="A29" t="str">
            <v>Пельмени Бигбули с мясом ТМ Горячая штучка. флоу-пак сфера 0,4 кг. ПОКОМ</v>
          </cell>
          <cell r="B29" t="str">
            <v>шт</v>
          </cell>
          <cell r="C29">
            <v>242</v>
          </cell>
          <cell r="F29">
            <v>242</v>
          </cell>
          <cell r="G29">
            <v>0.4</v>
          </cell>
          <cell r="H29">
            <v>180</v>
          </cell>
          <cell r="I29" t="str">
            <v>в матрице</v>
          </cell>
          <cell r="J29">
            <v>23</v>
          </cell>
          <cell r="K29">
            <v>-23</v>
          </cell>
          <cell r="O29">
            <v>0</v>
          </cell>
          <cell r="Q29">
            <v>0</v>
          </cell>
          <cell r="T29" t="e">
            <v>#DIV/0!</v>
          </cell>
          <cell r="U29" t="e">
            <v>#DIV/0!</v>
          </cell>
          <cell r="V29">
            <v>-0.2</v>
          </cell>
          <cell r="W29">
            <v>0</v>
          </cell>
          <cell r="X29">
            <v>0.2</v>
          </cell>
          <cell r="Y29">
            <v>4.4000000000000004</v>
          </cell>
          <cell r="Z29">
            <v>1.2</v>
          </cell>
          <cell r="AA29">
            <v>2</v>
          </cell>
          <cell r="AB29">
            <v>4</v>
          </cell>
          <cell r="AC29">
            <v>10.199999999999999</v>
          </cell>
          <cell r="AD29">
            <v>2.4</v>
          </cell>
          <cell r="AE29">
            <v>27.2</v>
          </cell>
          <cell r="AF29" t="str">
            <v>нужно увеличить продажи!!!</v>
          </cell>
          <cell r="AG29">
            <v>0</v>
          </cell>
          <cell r="AH29">
            <v>16</v>
          </cell>
          <cell r="AI29">
            <v>0</v>
          </cell>
          <cell r="AJ29">
            <v>0</v>
          </cell>
          <cell r="AK29">
            <v>12</v>
          </cell>
          <cell r="AL29">
            <v>84</v>
          </cell>
        </row>
        <row r="30">
          <cell r="A30" t="str">
            <v>Пельмени Бигбули с мясом ТМ Горячая штучка. флоу-пак сфера 0,7 кг ПОКОМ</v>
          </cell>
          <cell r="B30" t="str">
            <v>шт</v>
          </cell>
          <cell r="C30">
            <v>166</v>
          </cell>
          <cell r="D30">
            <v>5</v>
          </cell>
          <cell r="E30">
            <v>46</v>
          </cell>
          <cell r="F30">
            <v>101</v>
          </cell>
          <cell r="G30">
            <v>0.7</v>
          </cell>
          <cell r="H30">
            <v>180</v>
          </cell>
          <cell r="I30" t="str">
            <v>в матрице</v>
          </cell>
          <cell r="J30">
            <v>51</v>
          </cell>
          <cell r="K30">
            <v>-5</v>
          </cell>
          <cell r="O30">
            <v>9.1999999999999993</v>
          </cell>
          <cell r="P30">
            <v>83</v>
          </cell>
          <cell r="Q30">
            <v>120</v>
          </cell>
          <cell r="T30">
            <v>24.021739130434785</v>
          </cell>
          <cell r="U30">
            <v>10.978260869565219</v>
          </cell>
          <cell r="V30">
            <v>3</v>
          </cell>
          <cell r="W30">
            <v>0.6</v>
          </cell>
          <cell r="X30">
            <v>7.8</v>
          </cell>
          <cell r="Y30">
            <v>7</v>
          </cell>
          <cell r="Z30">
            <v>1.6</v>
          </cell>
          <cell r="AA30">
            <v>5.2</v>
          </cell>
          <cell r="AB30">
            <v>2.2000000000000002</v>
          </cell>
          <cell r="AC30">
            <v>1.6</v>
          </cell>
          <cell r="AD30">
            <v>7</v>
          </cell>
          <cell r="AE30">
            <v>32.9</v>
          </cell>
          <cell r="AG30">
            <v>58.099999999999994</v>
          </cell>
          <cell r="AH30">
            <v>10</v>
          </cell>
          <cell r="AI30">
            <v>12</v>
          </cell>
          <cell r="AJ30">
            <v>84</v>
          </cell>
          <cell r="AK30">
            <v>12</v>
          </cell>
          <cell r="AL30">
            <v>84</v>
          </cell>
        </row>
        <row r="31">
          <cell r="A31" t="str">
            <v>Пельмени Бульмени с говядиной и свининой 2,7кг Наваристые Горячая штучка ВЕС  ПОКОМ</v>
          </cell>
          <cell r="B31" t="str">
            <v>кг</v>
          </cell>
          <cell r="C31">
            <v>92.2</v>
          </cell>
          <cell r="E31">
            <v>10.8</v>
          </cell>
          <cell r="F31">
            <v>81.400000000000006</v>
          </cell>
          <cell r="G31">
            <v>1</v>
          </cell>
          <cell r="H31">
            <v>180</v>
          </cell>
          <cell r="I31" t="str">
            <v>в матрице</v>
          </cell>
          <cell r="J31">
            <v>10.8</v>
          </cell>
          <cell r="K31">
            <v>0</v>
          </cell>
          <cell r="O31">
            <v>2.16</v>
          </cell>
          <cell r="Q31">
            <v>0</v>
          </cell>
          <cell r="T31">
            <v>37.685185185185183</v>
          </cell>
          <cell r="U31">
            <v>37.685185185185183</v>
          </cell>
          <cell r="V31">
            <v>0.54</v>
          </cell>
          <cell r="W31">
            <v>0.54</v>
          </cell>
          <cell r="X31">
            <v>0.54</v>
          </cell>
          <cell r="Y31">
            <v>0</v>
          </cell>
          <cell r="Z31">
            <v>0.54</v>
          </cell>
          <cell r="AA31">
            <v>0.54</v>
          </cell>
          <cell r="AB31">
            <v>0</v>
          </cell>
          <cell r="AC31">
            <v>0</v>
          </cell>
          <cell r="AD31">
            <v>5.4</v>
          </cell>
          <cell r="AE31">
            <v>0</v>
          </cell>
          <cell r="AF31" t="str">
            <v>нужно увеличить продажи!!!</v>
          </cell>
          <cell r="AG31">
            <v>0</v>
          </cell>
          <cell r="AH31">
            <v>2.7</v>
          </cell>
          <cell r="AI31">
            <v>0</v>
          </cell>
          <cell r="AJ31">
            <v>0</v>
          </cell>
          <cell r="AK31">
            <v>18</v>
          </cell>
          <cell r="AL31">
            <v>234</v>
          </cell>
        </row>
        <row r="32">
          <cell r="A32" t="str">
            <v>Пельмени Бульмени с говядиной и свининой 5кг Наваристые Горячая штучка ВЕС  ПОКОМ</v>
          </cell>
          <cell r="B32" t="str">
            <v>кг</v>
          </cell>
          <cell r="G32">
            <v>1</v>
          </cell>
          <cell r="H32">
            <v>180</v>
          </cell>
          <cell r="I32" t="str">
            <v>в матрице</v>
          </cell>
          <cell r="K32">
            <v>0</v>
          </cell>
          <cell r="O32">
            <v>0</v>
          </cell>
          <cell r="P32">
            <v>0</v>
          </cell>
          <cell r="Q32">
            <v>0</v>
          </cell>
          <cell r="T32" t="e">
            <v>#DIV/0!</v>
          </cell>
          <cell r="U32" t="e">
            <v>#DIV/0!</v>
          </cell>
          <cell r="V32">
            <v>0</v>
          </cell>
          <cell r="W32">
            <v>0</v>
          </cell>
          <cell r="X32">
            <v>1</v>
          </cell>
          <cell r="Y32">
            <v>0</v>
          </cell>
          <cell r="Z32">
            <v>0</v>
          </cell>
          <cell r="AA32">
            <v>2</v>
          </cell>
          <cell r="AB32">
            <v>1</v>
          </cell>
          <cell r="AC32">
            <v>1</v>
          </cell>
          <cell r="AD32">
            <v>0</v>
          </cell>
          <cell r="AE32">
            <v>20</v>
          </cell>
          <cell r="AF32" t="str">
            <v>есть ли потребность???</v>
          </cell>
          <cell r="AG32">
            <v>0</v>
          </cell>
          <cell r="AH32">
            <v>5</v>
          </cell>
          <cell r="AI32">
            <v>0</v>
          </cell>
          <cell r="AJ32">
            <v>0</v>
          </cell>
          <cell r="AK32">
            <v>12</v>
          </cell>
          <cell r="AL32">
            <v>144</v>
          </cell>
        </row>
        <row r="33">
          <cell r="A33" t="str">
            <v>Пельмени Бульмени с говядиной и свининой ТМ Горячая штучка. флоу-пак сфера 0,4 кг ПОКОМ</v>
          </cell>
          <cell r="B33" t="str">
            <v>шт</v>
          </cell>
          <cell r="C33">
            <v>320</v>
          </cell>
          <cell r="D33">
            <v>4</v>
          </cell>
          <cell r="E33">
            <v>30</v>
          </cell>
          <cell r="F33">
            <v>272</v>
          </cell>
          <cell r="G33">
            <v>0.4</v>
          </cell>
          <cell r="H33">
            <v>180</v>
          </cell>
          <cell r="I33" t="str">
            <v>в матрице</v>
          </cell>
          <cell r="J33">
            <v>34</v>
          </cell>
          <cell r="K33">
            <v>-4</v>
          </cell>
          <cell r="O33">
            <v>6</v>
          </cell>
          <cell r="Q33">
            <v>0</v>
          </cell>
          <cell r="T33">
            <v>45.333333333333336</v>
          </cell>
          <cell r="U33">
            <v>45.333333333333336</v>
          </cell>
          <cell r="V33">
            <v>6.8</v>
          </cell>
          <cell r="W33">
            <v>4</v>
          </cell>
          <cell r="X33">
            <v>35.6</v>
          </cell>
          <cell r="Y33">
            <v>19</v>
          </cell>
          <cell r="Z33">
            <v>5</v>
          </cell>
          <cell r="AA33">
            <v>14</v>
          </cell>
          <cell r="AB33">
            <v>7</v>
          </cell>
          <cell r="AC33">
            <v>14</v>
          </cell>
          <cell r="AD33">
            <v>24.4</v>
          </cell>
          <cell r="AE33">
            <v>43.2</v>
          </cell>
          <cell r="AF33" t="str">
            <v>нужно увеличить продажи!!!</v>
          </cell>
          <cell r="AG33">
            <v>0</v>
          </cell>
          <cell r="AH33">
            <v>16</v>
          </cell>
          <cell r="AI33">
            <v>0</v>
          </cell>
          <cell r="AJ33">
            <v>0</v>
          </cell>
          <cell r="AK33">
            <v>12</v>
          </cell>
          <cell r="AL33">
            <v>84</v>
          </cell>
        </row>
        <row r="34">
          <cell r="A34" t="str">
            <v>Пельмени Бульмени с говядиной и свининой ТМ Горячая штучка. флоу-пак сфера 0,7 кг ПОКОМ</v>
          </cell>
          <cell r="B34" t="str">
            <v>шт</v>
          </cell>
          <cell r="C34">
            <v>166</v>
          </cell>
          <cell r="D34">
            <v>7</v>
          </cell>
          <cell r="E34">
            <v>68</v>
          </cell>
          <cell r="F34">
            <v>64</v>
          </cell>
          <cell r="G34">
            <v>0.7</v>
          </cell>
          <cell r="H34">
            <v>180</v>
          </cell>
          <cell r="I34" t="str">
            <v>в матрице</v>
          </cell>
          <cell r="J34">
            <v>48</v>
          </cell>
          <cell r="K34">
            <v>20</v>
          </cell>
          <cell r="O34">
            <v>13.6</v>
          </cell>
          <cell r="P34">
            <v>208</v>
          </cell>
          <cell r="Q34">
            <v>240</v>
          </cell>
          <cell r="T34">
            <v>22.352941176470591</v>
          </cell>
          <cell r="U34">
            <v>4.7058823529411766</v>
          </cell>
          <cell r="V34">
            <v>7.6</v>
          </cell>
          <cell r="W34">
            <v>5</v>
          </cell>
          <cell r="X34">
            <v>40.200000000000003</v>
          </cell>
          <cell r="Y34">
            <v>18</v>
          </cell>
          <cell r="Z34">
            <v>7.4</v>
          </cell>
          <cell r="AA34">
            <v>12.4</v>
          </cell>
          <cell r="AB34">
            <v>5.8</v>
          </cell>
          <cell r="AC34">
            <v>8</v>
          </cell>
          <cell r="AD34">
            <v>40.6</v>
          </cell>
          <cell r="AE34">
            <v>45.5</v>
          </cell>
          <cell r="AG34">
            <v>145.6</v>
          </cell>
          <cell r="AH34">
            <v>10</v>
          </cell>
          <cell r="AI34">
            <v>24</v>
          </cell>
          <cell r="AJ34">
            <v>168</v>
          </cell>
          <cell r="AK34">
            <v>12</v>
          </cell>
          <cell r="AL34">
            <v>84</v>
          </cell>
        </row>
        <row r="35">
          <cell r="A35" t="str">
            <v>Пельмени Бульмени со сливочным маслом ТМ Горячая штучка. флоу-пак сфера 0,4 кг. ПОКОМ</v>
          </cell>
          <cell r="B35" t="str">
            <v>шт</v>
          </cell>
          <cell r="C35">
            <v>473</v>
          </cell>
          <cell r="E35">
            <v>29</v>
          </cell>
          <cell r="F35">
            <v>426</v>
          </cell>
          <cell r="G35">
            <v>0.4</v>
          </cell>
          <cell r="H35">
            <v>180</v>
          </cell>
          <cell r="I35" t="str">
            <v>в матрице</v>
          </cell>
          <cell r="J35">
            <v>29</v>
          </cell>
          <cell r="K35">
            <v>0</v>
          </cell>
          <cell r="O35">
            <v>5.8</v>
          </cell>
          <cell r="Q35">
            <v>0</v>
          </cell>
          <cell r="T35">
            <v>73.448275862068968</v>
          </cell>
          <cell r="U35">
            <v>73.448275862068968</v>
          </cell>
          <cell r="V35">
            <v>7.2</v>
          </cell>
          <cell r="W35">
            <v>4.8</v>
          </cell>
          <cell r="X35">
            <v>29.4</v>
          </cell>
          <cell r="Y35">
            <v>14.6</v>
          </cell>
          <cell r="Z35">
            <v>8.1999999999999993</v>
          </cell>
          <cell r="AA35">
            <v>11.2</v>
          </cell>
          <cell r="AB35">
            <v>6.8</v>
          </cell>
          <cell r="AC35">
            <v>11.2</v>
          </cell>
          <cell r="AD35">
            <v>12.8</v>
          </cell>
          <cell r="AE35">
            <v>60.8</v>
          </cell>
          <cell r="AF35" t="str">
            <v>нужно увеличить продажи!!!</v>
          </cell>
          <cell r="AG35">
            <v>0</v>
          </cell>
          <cell r="AH35">
            <v>16</v>
          </cell>
          <cell r="AI35">
            <v>0</v>
          </cell>
          <cell r="AJ35">
            <v>0</v>
          </cell>
          <cell r="AK35">
            <v>12</v>
          </cell>
          <cell r="AL35">
            <v>84</v>
          </cell>
        </row>
        <row r="36">
          <cell r="A36" t="str">
            <v>Пельмени Бульмени со сливочным маслом ТМ Горячая штучка.флоу-пак сфера 0,7 кг. ПОКОМ</v>
          </cell>
          <cell r="B36" t="str">
            <v>шт</v>
          </cell>
          <cell r="C36">
            <v>226</v>
          </cell>
          <cell r="E36">
            <v>38</v>
          </cell>
          <cell r="F36">
            <v>171</v>
          </cell>
          <cell r="G36">
            <v>0.7</v>
          </cell>
          <cell r="H36">
            <v>180</v>
          </cell>
          <cell r="I36" t="str">
            <v>в матрице</v>
          </cell>
          <cell r="J36">
            <v>38</v>
          </cell>
          <cell r="K36">
            <v>0</v>
          </cell>
          <cell r="O36">
            <v>7.6</v>
          </cell>
          <cell r="Q36">
            <v>0</v>
          </cell>
          <cell r="T36">
            <v>22.5</v>
          </cell>
          <cell r="U36">
            <v>22.5</v>
          </cell>
          <cell r="V36">
            <v>12</v>
          </cell>
          <cell r="W36">
            <v>4</v>
          </cell>
          <cell r="X36">
            <v>36.6</v>
          </cell>
          <cell r="Y36">
            <v>16.8</v>
          </cell>
          <cell r="Z36">
            <v>14.6</v>
          </cell>
          <cell r="AA36">
            <v>9.4</v>
          </cell>
          <cell r="AB36">
            <v>9.4</v>
          </cell>
          <cell r="AC36">
            <v>8.6</v>
          </cell>
          <cell r="AD36">
            <v>46.9</v>
          </cell>
          <cell r="AE36">
            <v>93.1</v>
          </cell>
          <cell r="AF36" t="str">
            <v>нужно увеличить продажи!!!</v>
          </cell>
          <cell r="AG36">
            <v>0</v>
          </cell>
          <cell r="AH36">
            <v>10</v>
          </cell>
          <cell r="AI36">
            <v>0</v>
          </cell>
          <cell r="AJ36">
            <v>0</v>
          </cell>
          <cell r="AK36">
            <v>12</v>
          </cell>
          <cell r="AL36">
            <v>84</v>
          </cell>
        </row>
        <row r="37">
          <cell r="A37" t="str">
            <v>Пельмени Медвежьи ушки с фермерскими сливками 0,4 кг. ТМ Стародворье ПОКОМ</v>
          </cell>
          <cell r="B37" t="str">
            <v>шт</v>
          </cell>
          <cell r="C37">
            <v>2</v>
          </cell>
          <cell r="F37">
            <v>0</v>
          </cell>
          <cell r="G37">
            <v>0.4</v>
          </cell>
          <cell r="H37">
            <v>180</v>
          </cell>
          <cell r="I37" t="str">
            <v>в матрице</v>
          </cell>
          <cell r="J37">
            <v>3</v>
          </cell>
          <cell r="K37">
            <v>-3</v>
          </cell>
          <cell r="O37">
            <v>0</v>
          </cell>
          <cell r="P37">
            <v>0</v>
          </cell>
          <cell r="Q37">
            <v>0</v>
          </cell>
          <cell r="T37" t="e">
            <v>#DIV/0!</v>
          </cell>
          <cell r="U37" t="e">
            <v>#DIV/0!</v>
          </cell>
          <cell r="V37">
            <v>0</v>
          </cell>
          <cell r="W37">
            <v>0.2</v>
          </cell>
          <cell r="X37">
            <v>14.8</v>
          </cell>
          <cell r="Y37">
            <v>8</v>
          </cell>
          <cell r="Z37">
            <v>4.2</v>
          </cell>
          <cell r="AA37">
            <v>0.6</v>
          </cell>
          <cell r="AB37">
            <v>2.4</v>
          </cell>
          <cell r="AC37">
            <v>1.8</v>
          </cell>
          <cell r="AD37">
            <v>4.8</v>
          </cell>
          <cell r="AE37">
            <v>17.2</v>
          </cell>
          <cell r="AF37" t="str">
            <v>есть ли потребность???</v>
          </cell>
          <cell r="AG37">
            <v>0</v>
          </cell>
          <cell r="AH37">
            <v>16</v>
          </cell>
          <cell r="AI37">
            <v>0</v>
          </cell>
          <cell r="AJ37">
            <v>0</v>
          </cell>
          <cell r="AK37">
            <v>12</v>
          </cell>
          <cell r="AL37">
            <v>84</v>
          </cell>
        </row>
        <row r="38">
          <cell r="A38" t="str">
            <v>Пельмени Медвежьи ушки с фермерскими сливками 0,7кг  ПОКОМ</v>
          </cell>
          <cell r="B38" t="str">
            <v>шт</v>
          </cell>
          <cell r="C38">
            <v>132</v>
          </cell>
          <cell r="E38">
            <v>3</v>
          </cell>
          <cell r="F38">
            <v>126</v>
          </cell>
          <cell r="G38">
            <v>0.7</v>
          </cell>
          <cell r="H38">
            <v>180</v>
          </cell>
          <cell r="I38" t="str">
            <v>в матрице</v>
          </cell>
          <cell r="J38">
            <v>6</v>
          </cell>
          <cell r="K38">
            <v>-3</v>
          </cell>
          <cell r="O38">
            <v>0.6</v>
          </cell>
          <cell r="Q38">
            <v>0</v>
          </cell>
          <cell r="T38">
            <v>210</v>
          </cell>
          <cell r="U38">
            <v>210</v>
          </cell>
          <cell r="V38">
            <v>1.2</v>
          </cell>
          <cell r="W38">
            <v>0</v>
          </cell>
          <cell r="X38">
            <v>2.6</v>
          </cell>
          <cell r="Y38">
            <v>2.4</v>
          </cell>
          <cell r="Z38">
            <v>3</v>
          </cell>
          <cell r="AA38">
            <v>1.2</v>
          </cell>
          <cell r="AB38">
            <v>2</v>
          </cell>
          <cell r="AC38">
            <v>0.4</v>
          </cell>
          <cell r="AD38">
            <v>4.9000000000000004</v>
          </cell>
          <cell r="AE38">
            <v>4.2</v>
          </cell>
          <cell r="AF38" t="str">
            <v>нужно увеличить продажи!!!</v>
          </cell>
          <cell r="AG38">
            <v>0</v>
          </cell>
          <cell r="AH38">
            <v>8</v>
          </cell>
          <cell r="AI38">
            <v>0</v>
          </cell>
          <cell r="AJ38">
            <v>0</v>
          </cell>
          <cell r="AK38">
            <v>12</v>
          </cell>
          <cell r="AL38">
            <v>84</v>
          </cell>
        </row>
        <row r="39">
          <cell r="A39" t="str">
            <v>Пельмени Мясорубские ТМ Стародворье фоупак равиоли 0,7 кг  ПОКОМ</v>
          </cell>
          <cell r="B39" t="str">
            <v>шт</v>
          </cell>
          <cell r="C39">
            <v>358</v>
          </cell>
          <cell r="E39">
            <v>40</v>
          </cell>
          <cell r="F39">
            <v>308</v>
          </cell>
          <cell r="G39">
            <v>0.7</v>
          </cell>
          <cell r="H39">
            <v>180</v>
          </cell>
          <cell r="I39" t="str">
            <v>в матрице</v>
          </cell>
          <cell r="J39">
            <v>40</v>
          </cell>
          <cell r="K39">
            <v>0</v>
          </cell>
          <cell r="O39">
            <v>8</v>
          </cell>
          <cell r="Q39">
            <v>0</v>
          </cell>
          <cell r="T39">
            <v>38.5</v>
          </cell>
          <cell r="U39">
            <v>38.5</v>
          </cell>
          <cell r="V39">
            <v>5.8</v>
          </cell>
          <cell r="W39">
            <v>6</v>
          </cell>
          <cell r="X39">
            <v>43.2</v>
          </cell>
          <cell r="Y39">
            <v>9.4</v>
          </cell>
          <cell r="Z39">
            <v>8</v>
          </cell>
          <cell r="AA39">
            <v>6.8</v>
          </cell>
          <cell r="AB39">
            <v>7.8</v>
          </cell>
          <cell r="AC39">
            <v>8.1999999999999993</v>
          </cell>
          <cell r="AD39">
            <v>33.6</v>
          </cell>
          <cell r="AE39">
            <v>22.4</v>
          </cell>
          <cell r="AF39" t="str">
            <v>нужно увеличить продажи!!!</v>
          </cell>
          <cell r="AG39">
            <v>0</v>
          </cell>
          <cell r="AH39">
            <v>8</v>
          </cell>
          <cell r="AI39">
            <v>0</v>
          </cell>
          <cell r="AJ39">
            <v>0</v>
          </cell>
          <cell r="AK39">
            <v>12</v>
          </cell>
          <cell r="AL39">
            <v>84</v>
          </cell>
        </row>
        <row r="40">
          <cell r="A40" t="str">
            <v>Пельмени Отборные из свинины и говядины 0,9 кг ТМ Стародворье ТС Медвежье ушко  ПОКОМ</v>
          </cell>
          <cell r="B40" t="str">
            <v>шт</v>
          </cell>
          <cell r="C40">
            <v>9</v>
          </cell>
          <cell r="D40">
            <v>1</v>
          </cell>
          <cell r="F40">
            <v>9</v>
          </cell>
          <cell r="G40">
            <v>0.9</v>
          </cell>
          <cell r="H40">
            <v>180</v>
          </cell>
          <cell r="I40" t="str">
            <v>в матрице</v>
          </cell>
          <cell r="J40">
            <v>5</v>
          </cell>
          <cell r="K40">
            <v>-5</v>
          </cell>
          <cell r="O40">
            <v>0</v>
          </cell>
          <cell r="Q40">
            <v>0</v>
          </cell>
          <cell r="T40" t="e">
            <v>#DIV/0!</v>
          </cell>
          <cell r="U40" t="e">
            <v>#DIV/0!</v>
          </cell>
          <cell r="V40">
            <v>0.6</v>
          </cell>
          <cell r="W40">
            <v>3</v>
          </cell>
          <cell r="X40">
            <v>4.8</v>
          </cell>
          <cell r="Y40">
            <v>1.4</v>
          </cell>
          <cell r="Z40">
            <v>0.6</v>
          </cell>
          <cell r="AA40">
            <v>1.4</v>
          </cell>
          <cell r="AB40">
            <v>1.6</v>
          </cell>
          <cell r="AC40">
            <v>1</v>
          </cell>
          <cell r="AD40">
            <v>13.5</v>
          </cell>
          <cell r="AE40">
            <v>5.4</v>
          </cell>
          <cell r="AF40" t="str">
            <v>нужно увеличить продажи!!!</v>
          </cell>
          <cell r="AG40">
            <v>0</v>
          </cell>
          <cell r="AH40">
            <v>8</v>
          </cell>
          <cell r="AI40">
            <v>0</v>
          </cell>
          <cell r="AJ40">
            <v>0</v>
          </cell>
          <cell r="AK40">
            <v>12</v>
          </cell>
          <cell r="AL40">
            <v>84</v>
          </cell>
        </row>
        <row r="41">
          <cell r="A41" t="str">
            <v>Пельмени Отборные с говядиной 0,43 кг ТМ Стародворье ТС Медвежье ушко</v>
          </cell>
          <cell r="B41" t="str">
            <v>шт</v>
          </cell>
          <cell r="C41">
            <v>189</v>
          </cell>
          <cell r="E41">
            <v>6</v>
          </cell>
          <cell r="F41">
            <v>183</v>
          </cell>
          <cell r="G41">
            <v>0.43</v>
          </cell>
          <cell r="H41">
            <v>180</v>
          </cell>
          <cell r="I41" t="str">
            <v>в матрице</v>
          </cell>
          <cell r="J41">
            <v>6</v>
          </cell>
          <cell r="K41">
            <v>0</v>
          </cell>
          <cell r="O41">
            <v>1.2</v>
          </cell>
          <cell r="Q41">
            <v>0</v>
          </cell>
          <cell r="T41">
            <v>152.5</v>
          </cell>
          <cell r="U41">
            <v>152.5</v>
          </cell>
          <cell r="V41">
            <v>0.8</v>
          </cell>
          <cell r="W41">
            <v>1</v>
          </cell>
          <cell r="X41">
            <v>0</v>
          </cell>
          <cell r="Y41">
            <v>0.4</v>
          </cell>
          <cell r="Z41">
            <v>0</v>
          </cell>
          <cell r="AA41">
            <v>0</v>
          </cell>
          <cell r="AB41">
            <v>-0.2</v>
          </cell>
          <cell r="AC41">
            <v>0</v>
          </cell>
          <cell r="AD41">
            <v>0</v>
          </cell>
          <cell r="AE41">
            <v>-0.86</v>
          </cell>
          <cell r="AF41" t="str">
            <v>нужно увеличить продажи!!!</v>
          </cell>
          <cell r="AG41">
            <v>0</v>
          </cell>
          <cell r="AH41">
            <v>16</v>
          </cell>
          <cell r="AI41">
            <v>0</v>
          </cell>
          <cell r="AJ41">
            <v>0</v>
          </cell>
          <cell r="AK41">
            <v>12</v>
          </cell>
          <cell r="AL41">
            <v>84</v>
          </cell>
        </row>
        <row r="42">
          <cell r="A42" t="str">
            <v>Пельмени Отборные с говядиной 0,9 кг НОВА ТМ Стародворье ТС Медвежье ушко  ПОКОМ</v>
          </cell>
          <cell r="B42" t="str">
            <v>шт</v>
          </cell>
          <cell r="C42">
            <v>41</v>
          </cell>
          <cell r="D42">
            <v>2</v>
          </cell>
          <cell r="F42">
            <v>41</v>
          </cell>
          <cell r="G42">
            <v>0.9</v>
          </cell>
          <cell r="H42">
            <v>180</v>
          </cell>
          <cell r="I42" t="str">
            <v>в матрице</v>
          </cell>
          <cell r="J42">
            <v>5</v>
          </cell>
          <cell r="K42">
            <v>-5</v>
          </cell>
          <cell r="O42">
            <v>0</v>
          </cell>
          <cell r="Q42">
            <v>0</v>
          </cell>
          <cell r="T42" t="e">
            <v>#DIV/0!</v>
          </cell>
          <cell r="U42" t="e">
            <v>#DIV/0!</v>
          </cell>
          <cell r="V42">
            <v>0.4</v>
          </cell>
          <cell r="W42">
            <v>1.2</v>
          </cell>
          <cell r="X42">
            <v>0.6</v>
          </cell>
          <cell r="Y42">
            <v>1.4</v>
          </cell>
          <cell r="Z42">
            <v>1</v>
          </cell>
          <cell r="AA42">
            <v>1</v>
          </cell>
          <cell r="AB42">
            <v>1.8</v>
          </cell>
          <cell r="AC42">
            <v>2</v>
          </cell>
          <cell r="AD42">
            <v>4.5</v>
          </cell>
          <cell r="AE42">
            <v>8.1</v>
          </cell>
          <cell r="AF42" t="str">
            <v>нужно увеличить продажи!!!</v>
          </cell>
          <cell r="AG42">
            <v>0</v>
          </cell>
          <cell r="AH42">
            <v>8</v>
          </cell>
          <cell r="AI42">
            <v>0</v>
          </cell>
          <cell r="AJ42">
            <v>0</v>
          </cell>
          <cell r="AK42">
            <v>12</v>
          </cell>
          <cell r="AL42">
            <v>84</v>
          </cell>
        </row>
        <row r="43">
          <cell r="A43" t="str">
            <v>Пельмени Отборные с говядиной и свининой 0,43 кг ТМ Стародворье ТС Медвежье ушко</v>
          </cell>
          <cell r="B43" t="str">
            <v>шт</v>
          </cell>
          <cell r="C43">
            <v>117</v>
          </cell>
          <cell r="E43">
            <v>3</v>
          </cell>
          <cell r="F43">
            <v>108</v>
          </cell>
          <cell r="G43">
            <v>0.43</v>
          </cell>
          <cell r="H43">
            <v>180</v>
          </cell>
          <cell r="I43" t="str">
            <v>в матрице</v>
          </cell>
          <cell r="J43">
            <v>3</v>
          </cell>
          <cell r="K43">
            <v>0</v>
          </cell>
          <cell r="O43">
            <v>0.6</v>
          </cell>
          <cell r="Q43">
            <v>0</v>
          </cell>
          <cell r="T43">
            <v>180</v>
          </cell>
          <cell r="U43">
            <v>180</v>
          </cell>
          <cell r="V43">
            <v>0.6</v>
          </cell>
          <cell r="W43">
            <v>0.4</v>
          </cell>
          <cell r="X43">
            <v>3.4</v>
          </cell>
          <cell r="Y43">
            <v>4.5999999999999996</v>
          </cell>
          <cell r="Z43">
            <v>0.6</v>
          </cell>
          <cell r="AA43">
            <v>1.2</v>
          </cell>
          <cell r="AB43">
            <v>2.4</v>
          </cell>
          <cell r="AC43">
            <v>1.4</v>
          </cell>
          <cell r="AD43">
            <v>0.86</v>
          </cell>
          <cell r="AE43">
            <v>1.29</v>
          </cell>
          <cell r="AF43" t="str">
            <v>нужно увеличить продажи!!!</v>
          </cell>
          <cell r="AG43">
            <v>0</v>
          </cell>
          <cell r="AH43">
            <v>16</v>
          </cell>
          <cell r="AI43">
            <v>0</v>
          </cell>
          <cell r="AJ43">
            <v>0</v>
          </cell>
          <cell r="AK43">
            <v>12</v>
          </cell>
          <cell r="AL43">
            <v>84</v>
          </cell>
        </row>
        <row r="44">
          <cell r="A44" t="str">
            <v>Пельмени С говядиной и свининой, ВЕС, сфера пуговки Мясная Галерея  ПОКОМ</v>
          </cell>
          <cell r="B44" t="str">
            <v>кг</v>
          </cell>
          <cell r="C44">
            <v>20</v>
          </cell>
          <cell r="E44">
            <v>10</v>
          </cell>
          <cell r="F44">
            <v>10</v>
          </cell>
          <cell r="G44">
            <v>1</v>
          </cell>
          <cell r="H44">
            <v>180</v>
          </cell>
          <cell r="I44" t="str">
            <v>в матрице</v>
          </cell>
          <cell r="J44">
            <v>10</v>
          </cell>
          <cell r="K44">
            <v>0</v>
          </cell>
          <cell r="O44">
            <v>2</v>
          </cell>
          <cell r="P44">
            <v>30</v>
          </cell>
          <cell r="Q44">
            <v>60</v>
          </cell>
          <cell r="T44">
            <v>35</v>
          </cell>
          <cell r="U44">
            <v>5</v>
          </cell>
          <cell r="V44">
            <v>1</v>
          </cell>
          <cell r="W44">
            <v>0</v>
          </cell>
          <cell r="X44">
            <v>0</v>
          </cell>
          <cell r="Y44">
            <v>1</v>
          </cell>
          <cell r="Z44">
            <v>1</v>
          </cell>
          <cell r="AA44">
            <v>3</v>
          </cell>
          <cell r="AB44">
            <v>0</v>
          </cell>
          <cell r="AC44">
            <v>0</v>
          </cell>
          <cell r="AD44">
            <v>10</v>
          </cell>
          <cell r="AE44">
            <v>10</v>
          </cell>
          <cell r="AG44">
            <v>30</v>
          </cell>
          <cell r="AH44">
            <v>5</v>
          </cell>
          <cell r="AI44">
            <v>12</v>
          </cell>
          <cell r="AJ44">
            <v>60</v>
          </cell>
          <cell r="AK44">
            <v>12</v>
          </cell>
          <cell r="AL44">
            <v>144</v>
          </cell>
        </row>
        <row r="45">
          <cell r="A45" t="str">
            <v>Пельмени Со свининой и говядиной ТМ Особый рецепт Любимая ложка 1,0 кг  ПОКОМ</v>
          </cell>
          <cell r="B45" t="str">
            <v>шт</v>
          </cell>
          <cell r="C45">
            <v>87</v>
          </cell>
          <cell r="E45">
            <v>24</v>
          </cell>
          <cell r="F45">
            <v>63</v>
          </cell>
          <cell r="G45">
            <v>1</v>
          </cell>
          <cell r="H45">
            <v>180</v>
          </cell>
          <cell r="I45" t="str">
            <v>в матрице</v>
          </cell>
          <cell r="J45">
            <v>22</v>
          </cell>
          <cell r="K45">
            <v>2</v>
          </cell>
          <cell r="O45">
            <v>4.8</v>
          </cell>
          <cell r="P45">
            <v>33</v>
          </cell>
          <cell r="Q45">
            <v>60</v>
          </cell>
          <cell r="T45">
            <v>25.625</v>
          </cell>
          <cell r="U45">
            <v>13.125</v>
          </cell>
          <cell r="V45">
            <v>4.2</v>
          </cell>
          <cell r="W45">
            <v>4</v>
          </cell>
          <cell r="X45">
            <v>1.2</v>
          </cell>
          <cell r="Y45">
            <v>2</v>
          </cell>
          <cell r="Z45">
            <v>5</v>
          </cell>
          <cell r="AA45">
            <v>1.4</v>
          </cell>
          <cell r="AB45">
            <v>1.4</v>
          </cell>
          <cell r="AC45">
            <v>0.4</v>
          </cell>
          <cell r="AD45">
            <v>16</v>
          </cell>
          <cell r="AE45">
            <v>21</v>
          </cell>
          <cell r="AG45">
            <v>33</v>
          </cell>
          <cell r="AH45">
            <v>5</v>
          </cell>
          <cell r="AI45">
            <v>12</v>
          </cell>
          <cell r="AJ45">
            <v>60</v>
          </cell>
          <cell r="AK45">
            <v>12</v>
          </cell>
          <cell r="AL45">
            <v>84</v>
          </cell>
        </row>
        <row r="46">
          <cell r="A46" t="str">
            <v>Пирожки с мясом 3,7кг ВЕС ТМ Зареченские  ПОКОМ</v>
          </cell>
          <cell r="B46" t="str">
            <v>кг</v>
          </cell>
          <cell r="G46">
            <v>1</v>
          </cell>
          <cell r="H46">
            <v>180</v>
          </cell>
          <cell r="I46" t="str">
            <v>в матрице</v>
          </cell>
          <cell r="J46">
            <v>18.5</v>
          </cell>
          <cell r="K46">
            <v>-18.5</v>
          </cell>
          <cell r="O46">
            <v>0</v>
          </cell>
          <cell r="P46">
            <v>0</v>
          </cell>
          <cell r="Q46">
            <v>0</v>
          </cell>
          <cell r="T46" t="e">
            <v>#DIV/0!</v>
          </cell>
          <cell r="U46" t="e">
            <v>#DIV/0!</v>
          </cell>
          <cell r="V46">
            <v>0</v>
          </cell>
          <cell r="W46">
            <v>0.74</v>
          </cell>
          <cell r="X46">
            <v>0.74</v>
          </cell>
          <cell r="Y46">
            <v>0.74</v>
          </cell>
          <cell r="Z46">
            <v>2.2200000000000002</v>
          </cell>
          <cell r="AA46">
            <v>0</v>
          </cell>
          <cell r="AB46">
            <v>0.74</v>
          </cell>
          <cell r="AC46">
            <v>0</v>
          </cell>
          <cell r="AD46">
            <v>7.4</v>
          </cell>
          <cell r="AE46">
            <v>11.1</v>
          </cell>
          <cell r="AF46" t="str">
            <v>есть ли потребность???</v>
          </cell>
          <cell r="AG46">
            <v>0</v>
          </cell>
          <cell r="AH46">
            <v>3.7</v>
          </cell>
          <cell r="AI46">
            <v>0</v>
          </cell>
          <cell r="AJ46">
            <v>0</v>
          </cell>
          <cell r="AK46">
            <v>14</v>
          </cell>
          <cell r="AL46">
            <v>126</v>
          </cell>
        </row>
        <row r="47">
          <cell r="A47" t="str">
            <v>Хот-догстер ТМ Горячая штучка ТС Хот-Догстер флоу-пак 0,09 кг. ПОКОМ</v>
          </cell>
          <cell r="B47" t="str">
            <v>шт</v>
          </cell>
          <cell r="C47">
            <v>549</v>
          </cell>
          <cell r="E47">
            <v>85</v>
          </cell>
          <cell r="F47">
            <v>416</v>
          </cell>
          <cell r="G47">
            <v>0.09</v>
          </cell>
          <cell r="H47">
            <v>180</v>
          </cell>
          <cell r="I47" t="str">
            <v>в матрице</v>
          </cell>
          <cell r="J47">
            <v>65</v>
          </cell>
          <cell r="K47">
            <v>20</v>
          </cell>
          <cell r="O47">
            <v>17</v>
          </cell>
          <cell r="Q47">
            <v>0</v>
          </cell>
          <cell r="T47">
            <v>24.470588235294116</v>
          </cell>
          <cell r="U47">
            <v>24.470588235294116</v>
          </cell>
          <cell r="V47">
            <v>28</v>
          </cell>
          <cell r="W47">
            <v>17.600000000000001</v>
          </cell>
          <cell r="X47">
            <v>1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 t="str">
            <v>нужно увеличить продажи!!!</v>
          </cell>
          <cell r="AG47">
            <v>0</v>
          </cell>
          <cell r="AH47">
            <v>30</v>
          </cell>
          <cell r="AI47">
            <v>0</v>
          </cell>
          <cell r="AJ47">
            <v>0</v>
          </cell>
          <cell r="AK47">
            <v>14</v>
          </cell>
          <cell r="AL47">
            <v>126</v>
          </cell>
        </row>
        <row r="48">
          <cell r="A48" t="str">
            <v>Хотстеры ТМ Горячая штучка ТС Хотстеры 0,25 кг зам  ПОКОМ</v>
          </cell>
          <cell r="B48" t="str">
            <v>шт</v>
          </cell>
          <cell r="C48">
            <v>417</v>
          </cell>
          <cell r="E48">
            <v>101</v>
          </cell>
          <cell r="F48">
            <v>287</v>
          </cell>
          <cell r="G48">
            <v>0.25</v>
          </cell>
          <cell r="H48">
            <v>180</v>
          </cell>
          <cell r="I48" t="str">
            <v>в матрице</v>
          </cell>
          <cell r="J48">
            <v>101</v>
          </cell>
          <cell r="K48">
            <v>0</v>
          </cell>
          <cell r="O48">
            <v>20.2</v>
          </cell>
          <cell r="P48">
            <v>117</v>
          </cell>
          <cell r="Q48">
            <v>168</v>
          </cell>
          <cell r="T48">
            <v>22.524752475247524</v>
          </cell>
          <cell r="U48">
            <v>14.207920792079209</v>
          </cell>
          <cell r="V48">
            <v>11.6</v>
          </cell>
          <cell r="W48">
            <v>16.399999999999999</v>
          </cell>
          <cell r="X48">
            <v>65</v>
          </cell>
          <cell r="Y48">
            <v>20.399999999999999</v>
          </cell>
          <cell r="Z48">
            <v>25.6</v>
          </cell>
          <cell r="AA48">
            <v>31</v>
          </cell>
          <cell r="AB48">
            <v>0</v>
          </cell>
          <cell r="AC48">
            <v>6.8</v>
          </cell>
          <cell r="AD48">
            <v>10.75</v>
          </cell>
          <cell r="AE48">
            <v>65.25</v>
          </cell>
          <cell r="AG48">
            <v>29.25</v>
          </cell>
          <cell r="AH48">
            <v>12</v>
          </cell>
          <cell r="AI48">
            <v>14</v>
          </cell>
          <cell r="AJ48">
            <v>42</v>
          </cell>
          <cell r="AK48">
            <v>14</v>
          </cell>
          <cell r="AL48">
            <v>70</v>
          </cell>
        </row>
        <row r="49">
          <cell r="A49" t="str">
            <v>Хрустящие крылышки ТМ Горячая штучка 0,3 кг зам  ПОКОМ</v>
          </cell>
          <cell r="B49" t="str">
            <v>шт</v>
          </cell>
          <cell r="C49">
            <v>367</v>
          </cell>
          <cell r="E49">
            <v>30</v>
          </cell>
          <cell r="F49">
            <v>333</v>
          </cell>
          <cell r="G49">
            <v>0.3</v>
          </cell>
          <cell r="H49">
            <v>180</v>
          </cell>
          <cell r="I49" t="str">
            <v>в матрице</v>
          </cell>
          <cell r="J49">
            <v>30</v>
          </cell>
          <cell r="K49">
            <v>0</v>
          </cell>
          <cell r="O49">
            <v>6</v>
          </cell>
          <cell r="Q49">
            <v>0</v>
          </cell>
          <cell r="T49">
            <v>55.5</v>
          </cell>
          <cell r="U49">
            <v>55.5</v>
          </cell>
          <cell r="V49">
            <v>6.4</v>
          </cell>
          <cell r="W49">
            <v>6.8</v>
          </cell>
          <cell r="X49">
            <v>56.4</v>
          </cell>
          <cell r="Y49">
            <v>10.199999999999999</v>
          </cell>
          <cell r="Z49">
            <v>11.8</v>
          </cell>
          <cell r="AA49">
            <v>6.8</v>
          </cell>
          <cell r="AB49">
            <v>7.2</v>
          </cell>
          <cell r="AC49">
            <v>8.8000000000000007</v>
          </cell>
          <cell r="AD49">
            <v>21</v>
          </cell>
          <cell r="AE49">
            <v>37.5</v>
          </cell>
          <cell r="AF49" t="str">
            <v>нужно увеличить продажи!!!</v>
          </cell>
          <cell r="AG49">
            <v>0</v>
          </cell>
          <cell r="AH49">
            <v>12</v>
          </cell>
          <cell r="AI49">
            <v>0</v>
          </cell>
          <cell r="AJ49">
            <v>0</v>
          </cell>
          <cell r="AK49">
            <v>14</v>
          </cell>
          <cell r="AL49">
            <v>70</v>
          </cell>
        </row>
        <row r="50">
          <cell r="A50" t="str">
            <v>Хрустящие крылышки ТМ Зареченские ТС Зареченские продукты. ВЕС ПОКОМ</v>
          </cell>
          <cell r="B50" t="str">
            <v>кг</v>
          </cell>
          <cell r="C50">
            <v>66.599999999999994</v>
          </cell>
          <cell r="E50">
            <v>7.2</v>
          </cell>
          <cell r="F50">
            <v>59.4</v>
          </cell>
          <cell r="G50">
            <v>1</v>
          </cell>
          <cell r="H50">
            <v>180</v>
          </cell>
          <cell r="I50" t="str">
            <v>в матрице</v>
          </cell>
          <cell r="J50">
            <v>7.2</v>
          </cell>
          <cell r="K50">
            <v>0</v>
          </cell>
          <cell r="O50">
            <v>1.44</v>
          </cell>
          <cell r="Q50">
            <v>0</v>
          </cell>
          <cell r="T50">
            <v>41.25</v>
          </cell>
          <cell r="U50">
            <v>41.25</v>
          </cell>
          <cell r="V50">
            <v>1.08</v>
          </cell>
          <cell r="W50">
            <v>0.72</v>
          </cell>
          <cell r="X50">
            <v>0.72</v>
          </cell>
          <cell r="Y50">
            <v>0.72</v>
          </cell>
          <cell r="Z50">
            <v>0</v>
          </cell>
          <cell r="AA50">
            <v>0.4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 t="str">
            <v>нужно увеличить продажи!!!</v>
          </cell>
          <cell r="AG50">
            <v>0</v>
          </cell>
          <cell r="AH50">
            <v>1.8</v>
          </cell>
          <cell r="AI50">
            <v>0</v>
          </cell>
          <cell r="AJ50">
            <v>0</v>
          </cell>
          <cell r="AK50">
            <v>18</v>
          </cell>
          <cell r="AL50">
            <v>234</v>
          </cell>
        </row>
        <row r="51">
          <cell r="A51" t="str">
            <v>Хрустящие крылышки острые к пиву ТМ Горячая штучка 0,3кг зам  ПОКОМ</v>
          </cell>
          <cell r="B51" t="str">
            <v>шт</v>
          </cell>
          <cell r="C51">
            <v>682</v>
          </cell>
          <cell r="E51">
            <v>43</v>
          </cell>
          <cell r="F51">
            <v>628</v>
          </cell>
          <cell r="G51">
            <v>0.3</v>
          </cell>
          <cell r="H51">
            <v>180</v>
          </cell>
          <cell r="I51" t="str">
            <v>в матрице</v>
          </cell>
          <cell r="J51">
            <v>43</v>
          </cell>
          <cell r="K51">
            <v>0</v>
          </cell>
          <cell r="O51">
            <v>8.6</v>
          </cell>
          <cell r="Q51">
            <v>0</v>
          </cell>
          <cell r="T51">
            <v>73.023255813953497</v>
          </cell>
          <cell r="U51">
            <v>73.023255813953497</v>
          </cell>
          <cell r="V51">
            <v>8.8000000000000007</v>
          </cell>
          <cell r="W51">
            <v>9</v>
          </cell>
          <cell r="X51">
            <v>58.4</v>
          </cell>
          <cell r="Y51">
            <v>6.6</v>
          </cell>
          <cell r="Z51">
            <v>12.6</v>
          </cell>
          <cell r="AA51">
            <v>6.6</v>
          </cell>
          <cell r="AB51">
            <v>21.2</v>
          </cell>
          <cell r="AC51">
            <v>15.2</v>
          </cell>
          <cell r="AD51">
            <v>34.5</v>
          </cell>
          <cell r="AE51">
            <v>52.2</v>
          </cell>
          <cell r="AF51" t="str">
            <v>нужно увеличить продажи!!!</v>
          </cell>
          <cell r="AG51">
            <v>0</v>
          </cell>
          <cell r="AH51">
            <v>12</v>
          </cell>
          <cell r="AI51">
            <v>0</v>
          </cell>
          <cell r="AJ51">
            <v>0</v>
          </cell>
          <cell r="AK51">
            <v>14</v>
          </cell>
          <cell r="AL51">
            <v>70</v>
          </cell>
        </row>
        <row r="52">
          <cell r="A52" t="str">
            <v>Чебупай сочное яблоко ТМ Горячая штучка 0,2 кг зам.  ПОКОМ</v>
          </cell>
          <cell r="B52" t="str">
            <v>шт</v>
          </cell>
          <cell r="C52">
            <v>124</v>
          </cell>
          <cell r="E52">
            <v>34</v>
          </cell>
          <cell r="F52">
            <v>90</v>
          </cell>
          <cell r="G52">
            <v>0.2</v>
          </cell>
          <cell r="H52">
            <v>365</v>
          </cell>
          <cell r="I52" t="str">
            <v>в матрице</v>
          </cell>
          <cell r="J52">
            <v>34</v>
          </cell>
          <cell r="K52">
            <v>0</v>
          </cell>
          <cell r="O52">
            <v>6.8</v>
          </cell>
          <cell r="P52">
            <v>46</v>
          </cell>
          <cell r="Q52">
            <v>60</v>
          </cell>
          <cell r="T52">
            <v>22.058823529411764</v>
          </cell>
          <cell r="U52">
            <v>13.23529411764706</v>
          </cell>
          <cell r="V52">
            <v>0</v>
          </cell>
          <cell r="W52">
            <v>3.2</v>
          </cell>
          <cell r="X52">
            <v>3.4</v>
          </cell>
          <cell r="Y52">
            <v>5.4</v>
          </cell>
          <cell r="Z52">
            <v>2.6</v>
          </cell>
          <cell r="AA52">
            <v>1.4</v>
          </cell>
          <cell r="AB52">
            <v>1.2</v>
          </cell>
          <cell r="AC52">
            <v>3.6</v>
          </cell>
          <cell r="AD52">
            <v>2.4</v>
          </cell>
          <cell r="AE52">
            <v>3.8</v>
          </cell>
          <cell r="AG52">
            <v>9.2000000000000011</v>
          </cell>
          <cell r="AH52">
            <v>6</v>
          </cell>
          <cell r="AI52">
            <v>10</v>
          </cell>
          <cell r="AJ52">
            <v>12</v>
          </cell>
          <cell r="AK52">
            <v>10</v>
          </cell>
          <cell r="AL52">
            <v>130</v>
          </cell>
        </row>
        <row r="53">
          <cell r="A53" t="str">
            <v>Чебупай спелая вишня ТМ Горячая штучка 0,2 кг зам.  ПОКОМ</v>
          </cell>
          <cell r="B53" t="str">
            <v>шт</v>
          </cell>
          <cell r="G53">
            <v>0</v>
          </cell>
          <cell r="H53">
            <v>365</v>
          </cell>
          <cell r="I53" t="str">
            <v>в матрице</v>
          </cell>
          <cell r="K53">
            <v>0</v>
          </cell>
          <cell r="O53">
            <v>0</v>
          </cell>
          <cell r="Q53">
            <v>0</v>
          </cell>
          <cell r="T53" t="e">
            <v>#DIV/0!</v>
          </cell>
          <cell r="U53" t="e">
            <v>#DIV/0!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 t="str">
            <v>нет в бланке</v>
          </cell>
          <cell r="AG53">
            <v>0</v>
          </cell>
          <cell r="AH53">
            <v>6</v>
          </cell>
          <cell r="AI53">
            <v>0</v>
          </cell>
          <cell r="AJ53">
            <v>0</v>
          </cell>
          <cell r="AK53">
            <v>10</v>
          </cell>
        </row>
        <row r="54">
          <cell r="A54" t="str">
            <v>Чебупели Курочка гриль ТМ Горячая штучка, 0,3 кг зам  ПОКОМ</v>
          </cell>
          <cell r="B54" t="str">
            <v>шт</v>
          </cell>
          <cell r="C54">
            <v>4056</v>
          </cell>
          <cell r="E54">
            <v>920</v>
          </cell>
          <cell r="F54">
            <v>3128</v>
          </cell>
          <cell r="G54">
            <v>0.3</v>
          </cell>
          <cell r="H54">
            <v>180</v>
          </cell>
          <cell r="I54" t="str">
            <v>в матрице</v>
          </cell>
          <cell r="J54">
            <v>920</v>
          </cell>
          <cell r="K54">
            <v>0</v>
          </cell>
          <cell r="O54">
            <v>184</v>
          </cell>
          <cell r="P54">
            <v>552</v>
          </cell>
          <cell r="Q54">
            <v>588</v>
          </cell>
          <cell r="T54">
            <v>20.195652173913043</v>
          </cell>
          <cell r="U54">
            <v>17</v>
          </cell>
          <cell r="V54">
            <v>123</v>
          </cell>
          <cell r="W54">
            <v>84.4</v>
          </cell>
          <cell r="X54">
            <v>155.19999999999999</v>
          </cell>
          <cell r="Y54">
            <v>130.6</v>
          </cell>
          <cell r="Z54">
            <v>170.6</v>
          </cell>
          <cell r="AA54">
            <v>170.4</v>
          </cell>
          <cell r="AB54">
            <v>117</v>
          </cell>
          <cell r="AC54">
            <v>128.6</v>
          </cell>
          <cell r="AD54">
            <v>322.8</v>
          </cell>
          <cell r="AE54">
            <v>241.5</v>
          </cell>
          <cell r="AG54">
            <v>165.6</v>
          </cell>
          <cell r="AH54">
            <v>14</v>
          </cell>
          <cell r="AI54">
            <v>42</v>
          </cell>
          <cell r="AJ54">
            <v>176.4</v>
          </cell>
          <cell r="AK54">
            <v>14</v>
          </cell>
          <cell r="AL54">
            <v>70</v>
          </cell>
        </row>
        <row r="55">
          <cell r="A55" t="str">
            <v>Чебупицца Пепперони ТМ Горячая штучка ТС Чебупицца 0.25кг зам  ПОКОМ</v>
          </cell>
          <cell r="B55" t="str">
            <v>шт</v>
          </cell>
          <cell r="C55">
            <v>1117</v>
          </cell>
          <cell r="E55">
            <v>385</v>
          </cell>
          <cell r="F55">
            <v>687</v>
          </cell>
          <cell r="G55">
            <v>0.25</v>
          </cell>
          <cell r="H55">
            <v>180</v>
          </cell>
          <cell r="I55" t="str">
            <v>в матрице</v>
          </cell>
          <cell r="J55">
            <v>385</v>
          </cell>
          <cell r="K55">
            <v>0</v>
          </cell>
          <cell r="O55">
            <v>77</v>
          </cell>
          <cell r="P55">
            <v>853</v>
          </cell>
          <cell r="Q55">
            <v>840</v>
          </cell>
          <cell r="T55">
            <v>19.831168831168831</v>
          </cell>
          <cell r="U55">
            <v>8.9220779220779214</v>
          </cell>
          <cell r="V55">
            <v>57</v>
          </cell>
          <cell r="W55">
            <v>54.8</v>
          </cell>
          <cell r="X55">
            <v>124.2</v>
          </cell>
          <cell r="Y55">
            <v>56.2</v>
          </cell>
          <cell r="Z55">
            <v>71.8</v>
          </cell>
          <cell r="AA55">
            <v>68.599999999999994</v>
          </cell>
          <cell r="AB55">
            <v>0</v>
          </cell>
          <cell r="AC55">
            <v>54.8</v>
          </cell>
          <cell r="AD55">
            <v>79.75</v>
          </cell>
          <cell r="AE55">
            <v>141.5</v>
          </cell>
          <cell r="AG55">
            <v>213.25</v>
          </cell>
          <cell r="AH55">
            <v>12</v>
          </cell>
          <cell r="AI55">
            <v>70</v>
          </cell>
          <cell r="AJ55">
            <v>210</v>
          </cell>
          <cell r="AK55">
            <v>14</v>
          </cell>
          <cell r="AL55">
            <v>70</v>
          </cell>
        </row>
        <row r="56">
          <cell r="A56" t="str">
            <v>Чебупицца курочка по-итальянски Горячая штучка 0,25 кг зам  ПОКОМ</v>
          </cell>
          <cell r="B56" t="str">
            <v>шт</v>
          </cell>
          <cell r="C56">
            <v>1221</v>
          </cell>
          <cell r="E56">
            <v>186</v>
          </cell>
          <cell r="F56">
            <v>1010</v>
          </cell>
          <cell r="G56">
            <v>0.25</v>
          </cell>
          <cell r="H56">
            <v>180</v>
          </cell>
          <cell r="I56" t="str">
            <v>в матрице</v>
          </cell>
          <cell r="J56">
            <v>186</v>
          </cell>
          <cell r="K56">
            <v>0</v>
          </cell>
          <cell r="O56">
            <v>37.200000000000003</v>
          </cell>
          <cell r="Q56">
            <v>0</v>
          </cell>
          <cell r="T56">
            <v>27.1505376344086</v>
          </cell>
          <cell r="U56">
            <v>27.1505376344086</v>
          </cell>
          <cell r="V56">
            <v>37</v>
          </cell>
          <cell r="W56">
            <v>30.8</v>
          </cell>
          <cell r="X56">
            <v>92.8</v>
          </cell>
          <cell r="Y56">
            <v>36.4</v>
          </cell>
          <cell r="Z56">
            <v>42.6</v>
          </cell>
          <cell r="AA56">
            <v>48.4</v>
          </cell>
          <cell r="AB56">
            <v>52.4</v>
          </cell>
          <cell r="AC56">
            <v>21.8</v>
          </cell>
          <cell r="AD56">
            <v>46.25</v>
          </cell>
          <cell r="AE56">
            <v>124.5</v>
          </cell>
          <cell r="AF56" t="str">
            <v>нужно увеличить продажи!!!</v>
          </cell>
          <cell r="AG56">
            <v>0</v>
          </cell>
          <cell r="AH56">
            <v>12</v>
          </cell>
          <cell r="AI56">
            <v>0</v>
          </cell>
          <cell r="AJ56">
            <v>0</v>
          </cell>
          <cell r="AK56">
            <v>14</v>
          </cell>
          <cell r="AL56">
            <v>70</v>
          </cell>
        </row>
        <row r="57">
          <cell r="A57" t="str">
            <v>Чебуреки Мясные вес 2,7  ПОКОМ</v>
          </cell>
          <cell r="B57" t="str">
            <v>кг</v>
          </cell>
          <cell r="G57">
            <v>1</v>
          </cell>
          <cell r="H57">
            <v>180</v>
          </cell>
          <cell r="I57" t="str">
            <v>в матрице</v>
          </cell>
          <cell r="K57">
            <v>0</v>
          </cell>
          <cell r="O57">
            <v>0</v>
          </cell>
          <cell r="P57">
            <v>0</v>
          </cell>
          <cell r="Q57">
            <v>0</v>
          </cell>
          <cell r="T57" t="e">
            <v>#DIV/0!</v>
          </cell>
          <cell r="U57" t="e">
            <v>#DIV/0!</v>
          </cell>
          <cell r="V57">
            <v>0</v>
          </cell>
          <cell r="W57">
            <v>7</v>
          </cell>
          <cell r="X57">
            <v>1.08</v>
          </cell>
          <cell r="Y57">
            <v>1.08</v>
          </cell>
          <cell r="Z57">
            <v>1.62</v>
          </cell>
          <cell r="AA57">
            <v>2.14</v>
          </cell>
          <cell r="AB57">
            <v>1.62</v>
          </cell>
          <cell r="AC57">
            <v>2.16</v>
          </cell>
          <cell r="AD57">
            <v>8.1</v>
          </cell>
          <cell r="AE57">
            <v>45.9</v>
          </cell>
          <cell r="AF57" t="str">
            <v>есть ли потребность???</v>
          </cell>
          <cell r="AG57">
            <v>0</v>
          </cell>
          <cell r="AH57">
            <v>2.7</v>
          </cell>
          <cell r="AI57">
            <v>0</v>
          </cell>
          <cell r="AJ57">
            <v>0</v>
          </cell>
          <cell r="AK57">
            <v>14</v>
          </cell>
          <cell r="AL57">
            <v>126</v>
          </cell>
        </row>
        <row r="58">
          <cell r="A58" t="str">
            <v>Чебуреки сочные ВЕС ТМ Зареченские  ПОКОМ</v>
          </cell>
          <cell r="B58" t="str">
            <v>кг</v>
          </cell>
          <cell r="G58">
            <v>1</v>
          </cell>
          <cell r="H58">
            <v>180</v>
          </cell>
          <cell r="I58" t="str">
            <v>в матрице</v>
          </cell>
          <cell r="K58">
            <v>0</v>
          </cell>
          <cell r="O58">
            <v>0</v>
          </cell>
          <cell r="P58">
            <v>0</v>
          </cell>
          <cell r="Q58">
            <v>0</v>
          </cell>
          <cell r="T58" t="e">
            <v>#DIV/0!</v>
          </cell>
          <cell r="U58" t="e">
            <v>#DIV/0!</v>
          </cell>
          <cell r="V58">
            <v>0</v>
          </cell>
          <cell r="W58">
            <v>0</v>
          </cell>
          <cell r="X58">
            <v>1</v>
          </cell>
          <cell r="Y58">
            <v>1</v>
          </cell>
          <cell r="Z58">
            <v>0</v>
          </cell>
          <cell r="AA58">
            <v>0</v>
          </cell>
          <cell r="AB58">
            <v>0</v>
          </cell>
          <cell r="AC58">
            <v>2</v>
          </cell>
          <cell r="AD58">
            <v>0</v>
          </cell>
          <cell r="AE58">
            <v>5</v>
          </cell>
          <cell r="AF58" t="str">
            <v>есть ли потребность???</v>
          </cell>
          <cell r="AG58">
            <v>0</v>
          </cell>
          <cell r="AH58">
            <v>5</v>
          </cell>
          <cell r="AI58">
            <v>0</v>
          </cell>
          <cell r="AJ58">
            <v>0</v>
          </cell>
          <cell r="AK58">
            <v>12</v>
          </cell>
          <cell r="AL58">
            <v>84</v>
          </cell>
        </row>
        <row r="59">
          <cell r="A59" t="str">
            <v>Чебуречище ТМ Горячая штучка .0,14 кг зам. ПОКОМ</v>
          </cell>
          <cell r="B59" t="str">
            <v>шт</v>
          </cell>
          <cell r="C59">
            <v>1826</v>
          </cell>
          <cell r="E59">
            <v>198</v>
          </cell>
          <cell r="F59">
            <v>1606</v>
          </cell>
          <cell r="G59">
            <v>0.14000000000000001</v>
          </cell>
          <cell r="H59">
            <v>180</v>
          </cell>
          <cell r="I59" t="str">
            <v>в матрице</v>
          </cell>
          <cell r="J59">
            <v>198</v>
          </cell>
          <cell r="K59">
            <v>0</v>
          </cell>
          <cell r="O59">
            <v>39.6</v>
          </cell>
          <cell r="Q59">
            <v>0</v>
          </cell>
          <cell r="T59">
            <v>40.555555555555557</v>
          </cell>
          <cell r="U59">
            <v>40.555555555555557</v>
          </cell>
          <cell r="V59">
            <v>40</v>
          </cell>
          <cell r="W59">
            <v>33.4</v>
          </cell>
          <cell r="X59">
            <v>6.8</v>
          </cell>
          <cell r="Y59">
            <v>27.4</v>
          </cell>
          <cell r="Z59">
            <v>42</v>
          </cell>
          <cell r="AA59">
            <v>22.2</v>
          </cell>
          <cell r="AB59">
            <v>14.2</v>
          </cell>
          <cell r="AC59">
            <v>31.6</v>
          </cell>
          <cell r="AD59">
            <v>17.64</v>
          </cell>
          <cell r="AE59">
            <v>6.58</v>
          </cell>
          <cell r="AF59" t="str">
            <v>нужно увеличить продажи!!!</v>
          </cell>
          <cell r="AG59">
            <v>0</v>
          </cell>
          <cell r="AH59">
            <v>22</v>
          </cell>
          <cell r="AI59">
            <v>0</v>
          </cell>
          <cell r="AJ59">
            <v>0</v>
          </cell>
          <cell r="AK59">
            <v>12</v>
          </cell>
          <cell r="AL59">
            <v>84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заяв</v>
          </cell>
          <cell r="K3" t="str">
            <v>разн</v>
          </cell>
          <cell r="L3" t="str">
            <v>без опта</v>
          </cell>
          <cell r="M3" t="str">
            <v>опт</v>
          </cell>
          <cell r="N3" t="str">
            <v>заказ в пути</v>
          </cell>
          <cell r="O3" t="str">
            <v>ср нов</v>
          </cell>
          <cell r="P3" t="str">
            <v>расчет (потребность)</v>
          </cell>
          <cell r="Q3" t="str">
            <v>расчет (отгрузит завод)</v>
          </cell>
          <cell r="R3" t="str">
            <v>заказ филиала</v>
          </cell>
          <cell r="S3" t="str">
            <v>Комментарии филиала</v>
          </cell>
          <cell r="T3" t="str">
            <v>кон ост</v>
          </cell>
          <cell r="U3" t="str">
            <v>факт</v>
          </cell>
          <cell r="V3" t="str">
            <v>ср</v>
          </cell>
          <cell r="W3" t="str">
            <v>ср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ср</v>
          </cell>
          <cell r="AE3" t="str">
            <v>ср</v>
          </cell>
          <cell r="AF3" t="str">
            <v>комментарии</v>
          </cell>
          <cell r="AG3" t="str">
            <v>вес</v>
          </cell>
          <cell r="AH3" t="str">
            <v>крат кор</v>
          </cell>
          <cell r="AI3" t="str">
            <v>заказ кор.</v>
          </cell>
          <cell r="AJ3" t="str">
            <v>ВЕС</v>
          </cell>
          <cell r="AK3" t="str">
            <v>ряд</v>
          </cell>
          <cell r="AL3" t="str">
            <v>паллет</v>
          </cell>
        </row>
        <row r="4">
          <cell r="N4" t="str">
            <v>07,04,</v>
          </cell>
          <cell r="O4" t="str">
            <v>10,04,</v>
          </cell>
          <cell r="V4" t="str">
            <v>03,04,</v>
          </cell>
          <cell r="W4" t="str">
            <v>27,03,</v>
          </cell>
          <cell r="X4" t="str">
            <v>20,03,</v>
          </cell>
          <cell r="Y4" t="str">
            <v>13,03,</v>
          </cell>
          <cell r="Z4" t="str">
            <v>06,03,</v>
          </cell>
          <cell r="AA4" t="str">
            <v>04,03,</v>
          </cell>
          <cell r="AB4" t="str">
            <v>27,02,</v>
          </cell>
          <cell r="AC4" t="str">
            <v>20,02,</v>
          </cell>
          <cell r="AD4" t="str">
            <v>13,02,</v>
          </cell>
          <cell r="AE4" t="str">
            <v>06,02,</v>
          </cell>
          <cell r="AI4" t="str">
            <v>14,04,</v>
          </cell>
        </row>
        <row r="5">
          <cell r="E5">
            <v>16740.599999999999</v>
          </cell>
          <cell r="F5">
            <v>14143.199999999999</v>
          </cell>
          <cell r="J5">
            <v>16875.199999999997</v>
          </cell>
          <cell r="K5">
            <v>-134.60000000000002</v>
          </cell>
          <cell r="L5">
            <v>0</v>
          </cell>
          <cell r="M5">
            <v>0</v>
          </cell>
          <cell r="N5">
            <v>7059.6</v>
          </cell>
          <cell r="O5">
            <v>3348.1199999999994</v>
          </cell>
          <cell r="P5">
            <v>25448.400000000001</v>
          </cell>
          <cell r="Q5">
            <v>25747.399999999998</v>
          </cell>
          <cell r="R5">
            <v>0</v>
          </cell>
          <cell r="V5">
            <v>3026.3199999999993</v>
          </cell>
          <cell r="W5">
            <v>3245.6599999999994</v>
          </cell>
          <cell r="X5">
            <v>3210.1200000000008</v>
          </cell>
          <cell r="Y5">
            <v>2930.9399999999996</v>
          </cell>
          <cell r="Z5">
            <v>3485.3200000000006</v>
          </cell>
          <cell r="AA5">
            <v>3670.5199999999995</v>
          </cell>
          <cell r="AB5">
            <v>3050.4800000000005</v>
          </cell>
          <cell r="AC5">
            <v>3085.7</v>
          </cell>
          <cell r="AD5">
            <v>5092.2999999999984</v>
          </cell>
          <cell r="AE5">
            <v>3055.3799999999992</v>
          </cell>
          <cell r="AG5">
            <v>14222.536000000002</v>
          </cell>
          <cell r="AI5">
            <v>3178</v>
          </cell>
          <cell r="AJ5">
            <v>14339.24</v>
          </cell>
        </row>
        <row r="6">
          <cell r="A6" t="str">
            <v>Вареники замороженные постные Благолепные с картофелем и луком классическая форма, ВЕС,  ПОКОМ</v>
          </cell>
          <cell r="B6" t="str">
            <v>кг</v>
          </cell>
          <cell r="C6">
            <v>55</v>
          </cell>
          <cell r="E6">
            <v>15</v>
          </cell>
          <cell r="F6">
            <v>40</v>
          </cell>
          <cell r="G6">
            <v>1</v>
          </cell>
          <cell r="H6">
            <v>90</v>
          </cell>
          <cell r="I6" t="str">
            <v>матрица</v>
          </cell>
          <cell r="J6">
            <v>15</v>
          </cell>
          <cell r="K6">
            <v>0</v>
          </cell>
          <cell r="N6">
            <v>0</v>
          </cell>
          <cell r="O6">
            <v>3</v>
          </cell>
          <cell r="Q6">
            <v>0</v>
          </cell>
          <cell r="T6">
            <v>13.333333333333334</v>
          </cell>
          <cell r="U6">
            <v>13.333333333333334</v>
          </cell>
          <cell r="V6">
            <v>1</v>
          </cell>
          <cell r="W6">
            <v>1</v>
          </cell>
          <cell r="X6">
            <v>3</v>
          </cell>
          <cell r="Y6">
            <v>0</v>
          </cell>
          <cell r="Z6">
            <v>2</v>
          </cell>
          <cell r="AA6">
            <v>1</v>
          </cell>
          <cell r="AB6">
            <v>1</v>
          </cell>
          <cell r="AC6">
            <v>2</v>
          </cell>
          <cell r="AD6">
            <v>2</v>
          </cell>
          <cell r="AE6">
            <v>0</v>
          </cell>
          <cell r="AG6">
            <v>0</v>
          </cell>
          <cell r="AH6">
            <v>5</v>
          </cell>
          <cell r="AI6">
            <v>0</v>
          </cell>
          <cell r="AJ6">
            <v>0</v>
          </cell>
          <cell r="AK6">
            <v>12</v>
          </cell>
          <cell r="AL6">
            <v>144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668</v>
          </cell>
          <cell r="D7">
            <v>171</v>
          </cell>
          <cell r="E7">
            <v>417</v>
          </cell>
          <cell r="F7">
            <v>400</v>
          </cell>
          <cell r="G7">
            <v>0.3</v>
          </cell>
          <cell r="H7">
            <v>180</v>
          </cell>
          <cell r="I7" t="str">
            <v>матрица</v>
          </cell>
          <cell r="J7">
            <v>420</v>
          </cell>
          <cell r="K7">
            <v>-3</v>
          </cell>
          <cell r="N7">
            <v>0</v>
          </cell>
          <cell r="O7">
            <v>83.4</v>
          </cell>
          <cell r="P7">
            <v>767.60000000000014</v>
          </cell>
          <cell r="Q7">
            <v>840</v>
          </cell>
          <cell r="T7">
            <v>14.868105515587528</v>
          </cell>
          <cell r="U7">
            <v>4.796163069544364</v>
          </cell>
          <cell r="V7">
            <v>52</v>
          </cell>
          <cell r="W7">
            <v>85.6</v>
          </cell>
          <cell r="X7">
            <v>94.8</v>
          </cell>
          <cell r="Y7">
            <v>56.8</v>
          </cell>
          <cell r="Z7">
            <v>74.599999999999994</v>
          </cell>
          <cell r="AA7">
            <v>70.599999999999994</v>
          </cell>
          <cell r="AB7">
            <v>72.2</v>
          </cell>
          <cell r="AC7">
            <v>72.2</v>
          </cell>
          <cell r="AD7">
            <v>72</v>
          </cell>
          <cell r="AE7">
            <v>75.8</v>
          </cell>
          <cell r="AG7">
            <v>230.28000000000003</v>
          </cell>
          <cell r="AH7">
            <v>12</v>
          </cell>
          <cell r="AI7">
            <v>70</v>
          </cell>
          <cell r="AJ7">
            <v>252</v>
          </cell>
          <cell r="AK7">
            <v>14</v>
          </cell>
          <cell r="AL7">
            <v>70</v>
          </cell>
        </row>
        <row r="8">
          <cell r="A8" t="str">
            <v>Готовые чебуманы с говядиной ТМ горячая штучка 0,28 кг.  Поком</v>
          </cell>
          <cell r="B8" t="str">
            <v>шт</v>
          </cell>
          <cell r="C8">
            <v>168</v>
          </cell>
          <cell r="E8">
            <v>117</v>
          </cell>
          <cell r="F8">
            <v>22</v>
          </cell>
          <cell r="G8">
            <v>0.28000000000000003</v>
          </cell>
          <cell r="H8">
            <v>180</v>
          </cell>
          <cell r="I8" t="str">
            <v>матрица</v>
          </cell>
          <cell r="J8">
            <v>117</v>
          </cell>
          <cell r="K8">
            <v>0</v>
          </cell>
          <cell r="N8">
            <v>0</v>
          </cell>
          <cell r="O8">
            <v>23.4</v>
          </cell>
          <cell r="P8">
            <v>235.39999999999998</v>
          </cell>
          <cell r="Q8">
            <v>252</v>
          </cell>
          <cell r="T8">
            <v>11.70940170940171</v>
          </cell>
          <cell r="U8">
            <v>0.94017094017094027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 t="str">
            <v>новинка</v>
          </cell>
          <cell r="AG8">
            <v>65.912000000000006</v>
          </cell>
          <cell r="AH8">
            <v>6</v>
          </cell>
          <cell r="AI8">
            <v>42</v>
          </cell>
          <cell r="AJ8">
            <v>70.56</v>
          </cell>
          <cell r="AK8">
            <v>14</v>
          </cell>
          <cell r="AL8">
            <v>140</v>
          </cell>
        </row>
        <row r="9">
          <cell r="A9" t="str">
            <v>Готовые чебупели острые с мясом Горячая штучка 0,3 кг зам  ПОКОМ</v>
          </cell>
          <cell r="B9" t="str">
            <v>шт</v>
          </cell>
          <cell r="G9">
            <v>0</v>
          </cell>
          <cell r="H9">
            <v>180</v>
          </cell>
          <cell r="I9" t="str">
            <v>матрица</v>
          </cell>
          <cell r="K9">
            <v>0</v>
          </cell>
          <cell r="O9">
            <v>0</v>
          </cell>
          <cell r="T9" t="e">
            <v>#DIV/0!</v>
          </cell>
          <cell r="U9" t="e">
            <v>#DIV/0!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 t="str">
            <v>нет потребности</v>
          </cell>
          <cell r="AH9">
            <v>12</v>
          </cell>
          <cell r="AK9">
            <v>14</v>
          </cell>
          <cell r="AL9">
            <v>70</v>
          </cell>
        </row>
        <row r="10">
          <cell r="A10" t="str">
            <v>Готовые чебупели с ветчиной и сыром Горячая штучка 0,3кг зам  ПОКОМ</v>
          </cell>
          <cell r="B10" t="str">
            <v>шт</v>
          </cell>
          <cell r="C10">
            <v>676</v>
          </cell>
          <cell r="D10">
            <v>1248</v>
          </cell>
          <cell r="E10">
            <v>597</v>
          </cell>
          <cell r="F10">
            <v>709</v>
          </cell>
          <cell r="G10">
            <v>0.3</v>
          </cell>
          <cell r="H10">
            <v>180</v>
          </cell>
          <cell r="I10" t="str">
            <v>матрица</v>
          </cell>
          <cell r="J10">
            <v>626</v>
          </cell>
          <cell r="K10">
            <v>-29</v>
          </cell>
          <cell r="N10">
            <v>0</v>
          </cell>
          <cell r="O10">
            <v>119.4</v>
          </cell>
          <cell r="P10">
            <v>962.60000000000014</v>
          </cell>
          <cell r="Q10">
            <v>1008</v>
          </cell>
          <cell r="T10">
            <v>14.380234505862646</v>
          </cell>
          <cell r="U10">
            <v>5.9380234505862646</v>
          </cell>
          <cell r="V10">
            <v>111.6</v>
          </cell>
          <cell r="W10">
            <v>142</v>
          </cell>
          <cell r="X10">
            <v>131.4</v>
          </cell>
          <cell r="Y10">
            <v>106.4</v>
          </cell>
          <cell r="Z10">
            <v>139.19999999999999</v>
          </cell>
          <cell r="AA10">
            <v>153.19999999999999</v>
          </cell>
          <cell r="AB10">
            <v>105</v>
          </cell>
          <cell r="AC10">
            <v>93.6</v>
          </cell>
          <cell r="AD10">
            <v>268.60000000000002</v>
          </cell>
          <cell r="AE10">
            <v>141.4</v>
          </cell>
          <cell r="AF10" t="str">
            <v>сети</v>
          </cell>
          <cell r="AG10">
            <v>288.78000000000003</v>
          </cell>
          <cell r="AH10">
            <v>12</v>
          </cell>
          <cell r="AI10">
            <v>84</v>
          </cell>
          <cell r="AJ10">
            <v>302.39999999999998</v>
          </cell>
          <cell r="AK10">
            <v>14</v>
          </cell>
          <cell r="AL10">
            <v>70</v>
          </cell>
        </row>
        <row r="11">
          <cell r="A11" t="str">
            <v>Готовые чебупели с мясом ТМ Горячая штучка Без свинины 0,3 кг  ПОКОМ</v>
          </cell>
          <cell r="B11" t="str">
            <v>шт</v>
          </cell>
          <cell r="C11">
            <v>-15</v>
          </cell>
          <cell r="D11">
            <v>15</v>
          </cell>
          <cell r="G11">
            <v>0.3</v>
          </cell>
          <cell r="H11">
            <v>180</v>
          </cell>
          <cell r="I11" t="str">
            <v>матрица</v>
          </cell>
          <cell r="K11">
            <v>0</v>
          </cell>
          <cell r="N11">
            <v>336</v>
          </cell>
          <cell r="O11">
            <v>0</v>
          </cell>
          <cell r="Q11">
            <v>0</v>
          </cell>
          <cell r="T11" t="e">
            <v>#DIV/0!</v>
          </cell>
          <cell r="U11" t="e">
            <v>#DIV/0!</v>
          </cell>
          <cell r="V11">
            <v>36.6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1.2</v>
          </cell>
          <cell r="AE11">
            <v>0</v>
          </cell>
          <cell r="AF11" t="str">
            <v>заказываем с 21,03,25</v>
          </cell>
          <cell r="AG11">
            <v>0</v>
          </cell>
          <cell r="AH11">
            <v>12</v>
          </cell>
          <cell r="AI11">
            <v>0</v>
          </cell>
          <cell r="AJ11">
            <v>0</v>
          </cell>
          <cell r="AK11">
            <v>14</v>
          </cell>
          <cell r="AL11">
            <v>70</v>
          </cell>
        </row>
        <row r="12">
          <cell r="A12" t="str">
            <v>Готовые чебупели сочные с мясом ТМ Горячая штучка  0,3кг зам  ПОКОМ</v>
          </cell>
          <cell r="B12" t="str">
            <v>шт</v>
          </cell>
          <cell r="C12">
            <v>1165</v>
          </cell>
          <cell r="D12">
            <v>1553</v>
          </cell>
          <cell r="E12">
            <v>764</v>
          </cell>
          <cell r="F12">
            <v>801</v>
          </cell>
          <cell r="G12">
            <v>0.3</v>
          </cell>
          <cell r="H12">
            <v>180</v>
          </cell>
          <cell r="I12" t="str">
            <v>матрица</v>
          </cell>
          <cell r="J12">
            <v>797</v>
          </cell>
          <cell r="K12">
            <v>-33</v>
          </cell>
          <cell r="N12">
            <v>0</v>
          </cell>
          <cell r="O12">
            <v>152.80000000000001</v>
          </cell>
          <cell r="P12">
            <v>1338.2000000000003</v>
          </cell>
          <cell r="Q12">
            <v>1344</v>
          </cell>
          <cell r="T12">
            <v>14.037958115183246</v>
          </cell>
          <cell r="U12">
            <v>5.242146596858638</v>
          </cell>
          <cell r="V12">
            <v>126.4</v>
          </cell>
          <cell r="W12">
            <v>169.2</v>
          </cell>
          <cell r="X12">
            <v>177.4</v>
          </cell>
          <cell r="Y12">
            <v>154.19999999999999</v>
          </cell>
          <cell r="Z12">
            <v>163.19999999999999</v>
          </cell>
          <cell r="AA12">
            <v>182</v>
          </cell>
          <cell r="AB12">
            <v>155.80000000000001</v>
          </cell>
          <cell r="AC12">
            <v>217.2</v>
          </cell>
          <cell r="AD12">
            <v>293.60000000000002</v>
          </cell>
          <cell r="AE12">
            <v>190.4</v>
          </cell>
          <cell r="AF12" t="str">
            <v>сети</v>
          </cell>
          <cell r="AG12">
            <v>401.46000000000009</v>
          </cell>
          <cell r="AH12">
            <v>12</v>
          </cell>
          <cell r="AI12">
            <v>112</v>
          </cell>
          <cell r="AJ12">
            <v>403.2</v>
          </cell>
          <cell r="AK12">
            <v>14</v>
          </cell>
          <cell r="AL12">
            <v>70</v>
          </cell>
        </row>
        <row r="13">
          <cell r="A13" t="str">
            <v>Готовые чебуреки с мясом ТМ Горячая штучка 0,09 кг флоу-пак ПОКОМ</v>
          </cell>
          <cell r="B13" t="str">
            <v>шт</v>
          </cell>
          <cell r="G13">
            <v>0</v>
          </cell>
          <cell r="H13">
            <v>180</v>
          </cell>
          <cell r="I13" t="str">
            <v>матрица</v>
          </cell>
          <cell r="K13">
            <v>0</v>
          </cell>
          <cell r="O13">
            <v>0</v>
          </cell>
          <cell r="T13" t="e">
            <v>#DIV/0!</v>
          </cell>
          <cell r="U13" t="e">
            <v>#DIV/0!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 t="str">
            <v>нет потребности</v>
          </cell>
          <cell r="AH13">
            <v>24</v>
          </cell>
          <cell r="AK13">
            <v>14</v>
          </cell>
          <cell r="AL13">
            <v>126</v>
          </cell>
        </row>
        <row r="14">
          <cell r="A14" t="str">
            <v>Готовые чебуреки со свининой и говядиной ТМ Горячая штучка ТС Базовый ассортимент 0,36 кг  ПОКОМ</v>
          </cell>
          <cell r="B14" t="str">
            <v>шт</v>
          </cell>
          <cell r="G14">
            <v>0</v>
          </cell>
          <cell r="H14">
            <v>180</v>
          </cell>
          <cell r="I14" t="str">
            <v>матрица</v>
          </cell>
          <cell r="K14">
            <v>0</v>
          </cell>
          <cell r="O14">
            <v>0</v>
          </cell>
          <cell r="T14" t="e">
            <v>#DIV/0!</v>
          </cell>
          <cell r="U14" t="e">
            <v>#DIV/0!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 t="str">
            <v>нет потребности</v>
          </cell>
          <cell r="AH14">
            <v>10</v>
          </cell>
          <cell r="AK14">
            <v>14</v>
          </cell>
          <cell r="AL14">
            <v>70</v>
          </cell>
        </row>
        <row r="15">
          <cell r="A15" t="str">
            <v>ЖАР-ладушки с клубникой и вишней ТМ Стародворье 0,2 кг.  Поком</v>
          </cell>
          <cell r="B15" t="str">
            <v>шт</v>
          </cell>
          <cell r="C15">
            <v>8</v>
          </cell>
          <cell r="E15">
            <v>8</v>
          </cell>
          <cell r="G15">
            <v>0.2</v>
          </cell>
          <cell r="H15">
            <v>180</v>
          </cell>
          <cell r="I15" t="str">
            <v>матрица</v>
          </cell>
          <cell r="J15">
            <v>6</v>
          </cell>
          <cell r="K15">
            <v>2</v>
          </cell>
          <cell r="N15">
            <v>0</v>
          </cell>
          <cell r="O15">
            <v>1.6</v>
          </cell>
          <cell r="P15">
            <v>0</v>
          </cell>
          <cell r="Q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1.4</v>
          </cell>
          <cell r="Y15">
            <v>1.4</v>
          </cell>
          <cell r="Z15">
            <v>3.6</v>
          </cell>
          <cell r="AA15">
            <v>5.4</v>
          </cell>
          <cell r="AB15">
            <v>4.2</v>
          </cell>
          <cell r="AC15">
            <v>6.4</v>
          </cell>
          <cell r="AD15">
            <v>3</v>
          </cell>
          <cell r="AE15">
            <v>1.2</v>
          </cell>
          <cell r="AF15" t="str">
            <v>Есть ли потребность??? (заказ кратно 168шт.)</v>
          </cell>
          <cell r="AG15">
            <v>0</v>
          </cell>
          <cell r="AH15">
            <v>12</v>
          </cell>
          <cell r="AI15">
            <v>0</v>
          </cell>
          <cell r="AJ15">
            <v>0</v>
          </cell>
          <cell r="AK15">
            <v>14</v>
          </cell>
          <cell r="AL15">
            <v>70</v>
          </cell>
        </row>
        <row r="16">
          <cell r="A16" t="str">
            <v>ЖАР-ладушки с яблоком и грушей ТМ Стародворье 0,2 кг.  Поком</v>
          </cell>
          <cell r="B16" t="str">
            <v>шт</v>
          </cell>
          <cell r="G16">
            <v>0</v>
          </cell>
          <cell r="H16">
            <v>180</v>
          </cell>
          <cell r="I16" t="str">
            <v>матрица</v>
          </cell>
          <cell r="K16">
            <v>0</v>
          </cell>
          <cell r="O16">
            <v>0</v>
          </cell>
          <cell r="T16" t="e">
            <v>#DIV/0!</v>
          </cell>
          <cell r="U16" t="e">
            <v>#DIV/0!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 t="str">
            <v>нет потребности</v>
          </cell>
          <cell r="AH16">
            <v>12</v>
          </cell>
          <cell r="AK16">
            <v>14</v>
          </cell>
          <cell r="AL16">
            <v>70</v>
          </cell>
        </row>
        <row r="17">
          <cell r="A17" t="str">
            <v>Круггетсы с сырным соусом ТМ Горячая штучка 0,25 кг зам  ПОКОМ</v>
          </cell>
          <cell r="B17" t="str">
            <v>шт</v>
          </cell>
          <cell r="C17">
            <v>353</v>
          </cell>
          <cell r="D17">
            <v>776</v>
          </cell>
          <cell r="E17">
            <v>263</v>
          </cell>
          <cell r="F17">
            <v>569</v>
          </cell>
          <cell r="G17">
            <v>0.25</v>
          </cell>
          <cell r="H17">
            <v>180</v>
          </cell>
          <cell r="I17" t="str">
            <v>матрица</v>
          </cell>
          <cell r="J17">
            <v>272</v>
          </cell>
          <cell r="K17">
            <v>-9</v>
          </cell>
          <cell r="N17">
            <v>0</v>
          </cell>
          <cell r="O17">
            <v>52.6</v>
          </cell>
          <cell r="P17">
            <v>167.39999999999998</v>
          </cell>
          <cell r="Q17">
            <v>168</v>
          </cell>
          <cell r="T17">
            <v>14.011406844106464</v>
          </cell>
          <cell r="U17">
            <v>10.817490494296578</v>
          </cell>
          <cell r="V17">
            <v>46.4</v>
          </cell>
          <cell r="W17">
            <v>72</v>
          </cell>
          <cell r="X17">
            <v>58.4</v>
          </cell>
          <cell r="Y17">
            <v>57.8</v>
          </cell>
          <cell r="Z17">
            <v>62.8</v>
          </cell>
          <cell r="AA17">
            <v>70</v>
          </cell>
          <cell r="AB17">
            <v>53.2</v>
          </cell>
          <cell r="AC17">
            <v>60</v>
          </cell>
          <cell r="AD17">
            <v>68.8</v>
          </cell>
          <cell r="AE17">
            <v>96.6</v>
          </cell>
          <cell r="AF17" t="str">
            <v>сети</v>
          </cell>
          <cell r="AG17">
            <v>41.849999999999994</v>
          </cell>
          <cell r="AH17">
            <v>12</v>
          </cell>
          <cell r="AI17">
            <v>14</v>
          </cell>
          <cell r="AJ17">
            <v>42</v>
          </cell>
          <cell r="AK17">
            <v>14</v>
          </cell>
          <cell r="AL17">
            <v>70</v>
          </cell>
        </row>
        <row r="18">
          <cell r="A18" t="str">
            <v>Круггетсы сочные ТМ Горячая штучка ТС Круггетсы 0,25 кг зам  ПОКОМ</v>
          </cell>
          <cell r="B18" t="str">
            <v>шт</v>
          </cell>
          <cell r="G18">
            <v>0</v>
          </cell>
          <cell r="H18">
            <v>180</v>
          </cell>
          <cell r="I18" t="str">
            <v>матрица</v>
          </cell>
          <cell r="K18">
            <v>0</v>
          </cell>
          <cell r="O18">
            <v>0</v>
          </cell>
          <cell r="T18" t="e">
            <v>#DIV/0!</v>
          </cell>
          <cell r="U18" t="e">
            <v>#DIV/0!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 t="str">
            <v>нет потребности</v>
          </cell>
          <cell r="AH18">
            <v>12</v>
          </cell>
          <cell r="AK18">
            <v>14</v>
          </cell>
          <cell r="AL18">
            <v>70</v>
          </cell>
        </row>
        <row r="19">
          <cell r="A19" t="str">
            <v>Мини-пицца с ветчиной и сыром ТМ Зареченские продукты. ВЕС  Поком</v>
          </cell>
          <cell r="B19" t="str">
            <v>кг</v>
          </cell>
          <cell r="C19">
            <v>36</v>
          </cell>
          <cell r="F19">
            <v>36</v>
          </cell>
          <cell r="G19">
            <v>1</v>
          </cell>
          <cell r="H19">
            <v>180</v>
          </cell>
          <cell r="I19" t="str">
            <v>матрица</v>
          </cell>
          <cell r="K19">
            <v>0</v>
          </cell>
          <cell r="N19">
            <v>0</v>
          </cell>
          <cell r="O19">
            <v>0</v>
          </cell>
          <cell r="Q19">
            <v>0</v>
          </cell>
          <cell r="T19" t="e">
            <v>#DIV/0!</v>
          </cell>
          <cell r="U19" t="e">
            <v>#DIV/0!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0.6</v>
          </cell>
          <cell r="AB19">
            <v>0.6</v>
          </cell>
          <cell r="AC19">
            <v>0</v>
          </cell>
          <cell r="AD19">
            <v>0</v>
          </cell>
          <cell r="AE19">
            <v>0</v>
          </cell>
          <cell r="AF19" t="str">
            <v>нужно увеличить продажи!!!</v>
          </cell>
          <cell r="AG19">
            <v>0</v>
          </cell>
          <cell r="AH19">
            <v>3</v>
          </cell>
          <cell r="AI19">
            <v>0</v>
          </cell>
          <cell r="AJ19">
            <v>0</v>
          </cell>
          <cell r="AK19">
            <v>14</v>
          </cell>
          <cell r="AL19">
            <v>126</v>
          </cell>
        </row>
        <row r="20">
          <cell r="A20" t="str">
            <v>Мини-сосиски в тесте ТМ Зареченские . ВЕС  Поком</v>
          </cell>
          <cell r="B20" t="str">
            <v>кг</v>
          </cell>
          <cell r="C20">
            <v>182.7</v>
          </cell>
          <cell r="D20">
            <v>222</v>
          </cell>
          <cell r="E20">
            <v>196.1</v>
          </cell>
          <cell r="F20">
            <v>51.8</v>
          </cell>
          <cell r="G20">
            <v>1</v>
          </cell>
          <cell r="H20">
            <v>180</v>
          </cell>
          <cell r="I20" t="str">
            <v>матрица</v>
          </cell>
          <cell r="J20">
            <v>194.3</v>
          </cell>
          <cell r="K20">
            <v>1.7999999999999829</v>
          </cell>
          <cell r="N20">
            <v>0</v>
          </cell>
          <cell r="O20">
            <v>39.22</v>
          </cell>
          <cell r="P20">
            <v>379.61999999999995</v>
          </cell>
          <cell r="Q20">
            <v>362.6</v>
          </cell>
          <cell r="T20">
            <v>10.566037735849058</v>
          </cell>
          <cell r="U20">
            <v>1.320754716981132</v>
          </cell>
          <cell r="V20">
            <v>24.42</v>
          </cell>
          <cell r="W20">
            <v>30.06</v>
          </cell>
          <cell r="X20">
            <v>31.82</v>
          </cell>
          <cell r="Y20">
            <v>31.82</v>
          </cell>
          <cell r="Z20">
            <v>33.299999999999997</v>
          </cell>
          <cell r="AA20">
            <v>45.14</v>
          </cell>
          <cell r="AB20">
            <v>48.88</v>
          </cell>
          <cell r="AC20">
            <v>41.44</v>
          </cell>
          <cell r="AD20">
            <v>51.760000000000012</v>
          </cell>
          <cell r="AE20">
            <v>45.14</v>
          </cell>
          <cell r="AG20">
            <v>379.61999999999995</v>
          </cell>
          <cell r="AH20">
            <v>3.7</v>
          </cell>
          <cell r="AI20">
            <v>98</v>
          </cell>
          <cell r="AJ20">
            <v>362.6</v>
          </cell>
          <cell r="AK20">
            <v>14</v>
          </cell>
          <cell r="AL20">
            <v>126</v>
          </cell>
        </row>
        <row r="21">
          <cell r="A21" t="str">
            <v>Мини-сосиски в тесте ТМ Зареченские ТС Зареченские продукты флоу-пак 0,3 кг.  Поком</v>
          </cell>
          <cell r="B21" t="str">
            <v>шт</v>
          </cell>
          <cell r="C21">
            <v>99</v>
          </cell>
          <cell r="F21">
            <v>88</v>
          </cell>
          <cell r="G21">
            <v>0.3</v>
          </cell>
          <cell r="H21">
            <v>180</v>
          </cell>
          <cell r="I21" t="str">
            <v>Общий прайс</v>
          </cell>
          <cell r="K21">
            <v>0</v>
          </cell>
          <cell r="N21">
            <v>0</v>
          </cell>
          <cell r="O21">
            <v>0</v>
          </cell>
          <cell r="Q21">
            <v>0</v>
          </cell>
          <cell r="T21" t="e">
            <v>#DIV/0!</v>
          </cell>
          <cell r="U21" t="e">
            <v>#DIV/0!</v>
          </cell>
          <cell r="V21">
            <v>0</v>
          </cell>
          <cell r="W21">
            <v>0</v>
          </cell>
          <cell r="X21">
            <v>1</v>
          </cell>
          <cell r="Y21">
            <v>0</v>
          </cell>
          <cell r="Z21">
            <v>1.2</v>
          </cell>
          <cell r="AA21">
            <v>2.4</v>
          </cell>
          <cell r="AB21">
            <v>3.2</v>
          </cell>
          <cell r="AC21">
            <v>2.6</v>
          </cell>
          <cell r="AD21">
            <v>3.8</v>
          </cell>
          <cell r="AE21">
            <v>3.2</v>
          </cell>
          <cell r="AF21" t="str">
            <v>нужно увеличить продажи!!!</v>
          </cell>
          <cell r="AG21">
            <v>0</v>
          </cell>
          <cell r="AH21">
            <v>9</v>
          </cell>
          <cell r="AI21">
            <v>0</v>
          </cell>
          <cell r="AJ21">
            <v>0</v>
          </cell>
          <cell r="AK21">
            <v>14</v>
          </cell>
          <cell r="AL21">
            <v>126</v>
          </cell>
        </row>
        <row r="22">
          <cell r="A22" t="str">
            <v>Мини-чебуреки с мясом  ТМ Зареченские ТС Зареченские продукты флоу-пак 0,3 кг.  Поком</v>
          </cell>
          <cell r="B22" t="str">
            <v>шт</v>
          </cell>
          <cell r="C22">
            <v>78</v>
          </cell>
          <cell r="F22">
            <v>67</v>
          </cell>
          <cell r="G22">
            <v>0.3</v>
          </cell>
          <cell r="H22">
            <v>180</v>
          </cell>
          <cell r="I22" t="str">
            <v>Общий прайс</v>
          </cell>
          <cell r="K22">
            <v>0</v>
          </cell>
          <cell r="N22">
            <v>0</v>
          </cell>
          <cell r="O22">
            <v>0</v>
          </cell>
          <cell r="Q22">
            <v>0</v>
          </cell>
          <cell r="T22" t="e">
            <v>#DIV/0!</v>
          </cell>
          <cell r="U22" t="e">
            <v>#DIV/0!</v>
          </cell>
          <cell r="V22">
            <v>0</v>
          </cell>
          <cell r="W22">
            <v>0</v>
          </cell>
          <cell r="X22">
            <v>1</v>
          </cell>
          <cell r="Y22">
            <v>0</v>
          </cell>
          <cell r="Z22">
            <v>0</v>
          </cell>
          <cell r="AA22">
            <v>1</v>
          </cell>
          <cell r="AB22">
            <v>1</v>
          </cell>
          <cell r="AC22">
            <v>1.6</v>
          </cell>
          <cell r="AD22">
            <v>2.6</v>
          </cell>
          <cell r="AE22">
            <v>1.4</v>
          </cell>
          <cell r="AF22" t="str">
            <v>нужно увеличить продажи!!!</v>
          </cell>
          <cell r="AG22">
            <v>0</v>
          </cell>
          <cell r="AH22">
            <v>9</v>
          </cell>
          <cell r="AI22">
            <v>0</v>
          </cell>
          <cell r="AJ22">
            <v>0</v>
          </cell>
          <cell r="AK22">
            <v>18</v>
          </cell>
          <cell r="AL22">
            <v>234</v>
          </cell>
        </row>
        <row r="23">
          <cell r="A23" t="str">
            <v>Мини-чебуреки с мясом ТМ Зареченские ТС Зареченские продукты ПОКОМ</v>
          </cell>
          <cell r="B23" t="str">
            <v>кг</v>
          </cell>
          <cell r="C23">
            <v>115.5</v>
          </cell>
          <cell r="E23">
            <v>66</v>
          </cell>
          <cell r="F23">
            <v>33</v>
          </cell>
          <cell r="G23">
            <v>1</v>
          </cell>
          <cell r="H23">
            <v>180</v>
          </cell>
          <cell r="I23" t="str">
            <v>матрица</v>
          </cell>
          <cell r="J23">
            <v>66</v>
          </cell>
          <cell r="K23">
            <v>0</v>
          </cell>
          <cell r="N23">
            <v>0</v>
          </cell>
          <cell r="O23">
            <v>13.2</v>
          </cell>
          <cell r="P23">
            <v>138.6</v>
          </cell>
          <cell r="Q23">
            <v>132</v>
          </cell>
          <cell r="T23">
            <v>12.5</v>
          </cell>
          <cell r="U23">
            <v>2.5</v>
          </cell>
          <cell r="V23">
            <v>11</v>
          </cell>
          <cell r="W23">
            <v>5.5</v>
          </cell>
          <cell r="X23">
            <v>12.1</v>
          </cell>
          <cell r="Y23">
            <v>14.3</v>
          </cell>
          <cell r="Z23">
            <v>6.6</v>
          </cell>
          <cell r="AA23">
            <v>9.9</v>
          </cell>
          <cell r="AB23">
            <v>12.1</v>
          </cell>
          <cell r="AC23">
            <v>9.9</v>
          </cell>
          <cell r="AD23">
            <v>9.9</v>
          </cell>
          <cell r="AE23">
            <v>9.9</v>
          </cell>
          <cell r="AF23" t="str">
            <v>сети</v>
          </cell>
          <cell r="AG23">
            <v>138.6</v>
          </cell>
          <cell r="AH23">
            <v>5.5</v>
          </cell>
          <cell r="AI23">
            <v>24</v>
          </cell>
          <cell r="AJ23">
            <v>132</v>
          </cell>
          <cell r="AK23">
            <v>12</v>
          </cell>
          <cell r="AL23">
            <v>84</v>
          </cell>
        </row>
        <row r="24">
          <cell r="A24" t="str">
            <v>Мини-чебуреки с сыром и ветчиной  ТМ Зареченские ТС Зареченские продукты флоу-пак 0,3 кг.  Поком</v>
          </cell>
          <cell r="B24" t="str">
            <v>шт</v>
          </cell>
          <cell r="C24">
            <v>35</v>
          </cell>
          <cell r="G24">
            <v>0.3</v>
          </cell>
          <cell r="H24">
            <v>180</v>
          </cell>
          <cell r="I24" t="str">
            <v>Общий прайс</v>
          </cell>
          <cell r="K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T24" t="e">
            <v>#DIV/0!</v>
          </cell>
          <cell r="U24" t="e">
            <v>#DIV/0!</v>
          </cell>
          <cell r="V24">
            <v>0</v>
          </cell>
          <cell r="W24">
            <v>0</v>
          </cell>
          <cell r="X24">
            <v>1</v>
          </cell>
          <cell r="Y24">
            <v>0</v>
          </cell>
          <cell r="Z24">
            <v>0</v>
          </cell>
          <cell r="AA24">
            <v>0</v>
          </cell>
          <cell r="AB24">
            <v>1.2</v>
          </cell>
          <cell r="AC24">
            <v>0.4</v>
          </cell>
          <cell r="AD24">
            <v>0</v>
          </cell>
          <cell r="AE24">
            <v>0.8</v>
          </cell>
          <cell r="AF24" t="str">
            <v>Есть ли потребность??? (заказ кратно 168шт.) / 08,04,25 в уценку 35шт.</v>
          </cell>
          <cell r="AG24">
            <v>0</v>
          </cell>
          <cell r="AH24">
            <v>9</v>
          </cell>
          <cell r="AI24">
            <v>0</v>
          </cell>
          <cell r="AJ24">
            <v>0</v>
          </cell>
          <cell r="AK24">
            <v>18</v>
          </cell>
          <cell r="AL24">
            <v>234</v>
          </cell>
        </row>
        <row r="25">
          <cell r="A25" t="str">
            <v>Мини-шарики с курочкой и сыром ТМ Зареченские ВЕС ПОКОМ</v>
          </cell>
          <cell r="B25" t="str">
            <v>кг</v>
          </cell>
          <cell r="C25">
            <v>6</v>
          </cell>
          <cell r="D25">
            <v>126</v>
          </cell>
          <cell r="E25">
            <v>105</v>
          </cell>
          <cell r="F25">
            <v>15</v>
          </cell>
          <cell r="G25">
            <v>1</v>
          </cell>
          <cell r="H25">
            <v>180</v>
          </cell>
          <cell r="I25" t="str">
            <v>матрица</v>
          </cell>
          <cell r="J25">
            <v>104.8</v>
          </cell>
          <cell r="K25">
            <v>0.20000000000000284</v>
          </cell>
          <cell r="N25">
            <v>0</v>
          </cell>
          <cell r="O25">
            <v>21</v>
          </cell>
          <cell r="P25">
            <v>216</v>
          </cell>
          <cell r="Q25">
            <v>210</v>
          </cell>
          <cell r="T25">
            <v>10.714285714285714</v>
          </cell>
          <cell r="U25">
            <v>0.7142857142857143</v>
          </cell>
          <cell r="V25">
            <v>9.6</v>
          </cell>
          <cell r="W25">
            <v>14.4</v>
          </cell>
          <cell r="X25">
            <v>13.2</v>
          </cell>
          <cell r="Y25">
            <v>10.199999999999999</v>
          </cell>
          <cell r="Z25">
            <v>11.4</v>
          </cell>
          <cell r="AA25">
            <v>16.8</v>
          </cell>
          <cell r="AB25">
            <v>22.8</v>
          </cell>
          <cell r="AC25">
            <v>18</v>
          </cell>
          <cell r="AD25">
            <v>19.8</v>
          </cell>
          <cell r="AE25">
            <v>18.739999999999998</v>
          </cell>
          <cell r="AG25">
            <v>216</v>
          </cell>
          <cell r="AH25">
            <v>3</v>
          </cell>
          <cell r="AI25">
            <v>70</v>
          </cell>
          <cell r="AJ25">
            <v>210</v>
          </cell>
          <cell r="AK25">
            <v>14</v>
          </cell>
          <cell r="AL25">
            <v>126</v>
          </cell>
        </row>
        <row r="26">
          <cell r="A26" t="str">
            <v>Наггетсы Нагетосы Сочная курочка ТМ Горячая штучка 0,25 кг зам  ПОКОМ</v>
          </cell>
          <cell r="B26" t="str">
            <v>шт</v>
          </cell>
          <cell r="C26">
            <v>752</v>
          </cell>
          <cell r="D26">
            <v>888</v>
          </cell>
          <cell r="E26">
            <v>582</v>
          </cell>
          <cell r="F26">
            <v>393</v>
          </cell>
          <cell r="G26">
            <v>0.25</v>
          </cell>
          <cell r="H26">
            <v>180</v>
          </cell>
          <cell r="I26" t="str">
            <v>матрица</v>
          </cell>
          <cell r="J26">
            <v>597</v>
          </cell>
          <cell r="K26">
            <v>-15</v>
          </cell>
          <cell r="N26">
            <v>420</v>
          </cell>
          <cell r="O26">
            <v>116.4</v>
          </cell>
          <cell r="P26">
            <v>816.60000000000014</v>
          </cell>
          <cell r="Q26">
            <v>840</v>
          </cell>
          <cell r="T26">
            <v>14.201030927835051</v>
          </cell>
          <cell r="U26">
            <v>6.9845360824742269</v>
          </cell>
          <cell r="V26">
            <v>121.2</v>
          </cell>
          <cell r="W26">
            <v>118.6</v>
          </cell>
          <cell r="X26">
            <v>130.19999999999999</v>
          </cell>
          <cell r="Y26">
            <v>98.6</v>
          </cell>
          <cell r="Z26">
            <v>147.6</v>
          </cell>
          <cell r="AA26">
            <v>159</v>
          </cell>
          <cell r="AB26">
            <v>107.4</v>
          </cell>
          <cell r="AC26">
            <v>105.2</v>
          </cell>
          <cell r="AD26">
            <v>207.6</v>
          </cell>
          <cell r="AE26">
            <v>111.8</v>
          </cell>
          <cell r="AF26" t="str">
            <v>сети</v>
          </cell>
          <cell r="AG26">
            <v>204.15000000000003</v>
          </cell>
          <cell r="AH26">
            <v>6</v>
          </cell>
          <cell r="AI26">
            <v>140</v>
          </cell>
          <cell r="AJ26">
            <v>210</v>
          </cell>
          <cell r="AK26">
            <v>14</v>
          </cell>
          <cell r="AL26">
            <v>140</v>
          </cell>
        </row>
        <row r="27">
          <cell r="A27" t="str">
            <v>Наггетсы Нагетосы Сочная курочка в хруст панир со сметаной и зеленью ТМ Горячая штучка 0,25 ПОКОМ</v>
          </cell>
          <cell r="B27" t="str">
            <v>шт</v>
          </cell>
          <cell r="G27">
            <v>0</v>
          </cell>
          <cell r="H27">
            <v>180</v>
          </cell>
          <cell r="I27" t="str">
            <v>матрица</v>
          </cell>
          <cell r="K27">
            <v>0</v>
          </cell>
          <cell r="O27">
            <v>0</v>
          </cell>
          <cell r="T27" t="e">
            <v>#DIV/0!</v>
          </cell>
          <cell r="U27" t="e">
            <v>#DIV/0!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 t="str">
            <v>нет потребности</v>
          </cell>
          <cell r="AH27">
            <v>6</v>
          </cell>
          <cell r="AK27">
            <v>14</v>
          </cell>
          <cell r="AL27">
            <v>140</v>
          </cell>
        </row>
        <row r="28">
          <cell r="A28" t="str">
            <v>Наггетсы Нагетосы Сочная курочка со сладкой паприкой ТМ Горячая штучка ф/в 0,25 кг  ПОКОМ</v>
          </cell>
          <cell r="B28" t="str">
            <v>шт</v>
          </cell>
          <cell r="G28">
            <v>0</v>
          </cell>
          <cell r="H28">
            <v>180</v>
          </cell>
          <cell r="I28" t="str">
            <v>матрица</v>
          </cell>
          <cell r="K28">
            <v>0</v>
          </cell>
          <cell r="O28">
            <v>0</v>
          </cell>
          <cell r="T28" t="e">
            <v>#DIV/0!</v>
          </cell>
          <cell r="U28" t="e">
            <v>#DIV/0!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 t="str">
            <v>нет потребности</v>
          </cell>
          <cell r="AH28">
            <v>6</v>
          </cell>
          <cell r="AK28">
            <v>14</v>
          </cell>
          <cell r="AL28">
            <v>140</v>
          </cell>
        </row>
        <row r="29">
          <cell r="A29" t="str">
            <v>Наггетсы Хрустящие ТМ Зареченские ТС Зареченские продукты. Поком</v>
          </cell>
          <cell r="B29" t="str">
            <v>кг</v>
          </cell>
          <cell r="C29">
            <v>391</v>
          </cell>
          <cell r="D29">
            <v>474</v>
          </cell>
          <cell r="E29">
            <v>324</v>
          </cell>
          <cell r="F29">
            <v>246</v>
          </cell>
          <cell r="G29">
            <v>1</v>
          </cell>
          <cell r="H29">
            <v>180</v>
          </cell>
          <cell r="I29" t="str">
            <v>матрица</v>
          </cell>
          <cell r="J29">
            <v>313.7</v>
          </cell>
          <cell r="K29">
            <v>10.300000000000011</v>
          </cell>
          <cell r="N29">
            <v>216</v>
          </cell>
          <cell r="O29">
            <v>64.8</v>
          </cell>
          <cell r="P29">
            <v>445.19999999999993</v>
          </cell>
          <cell r="Q29">
            <v>432</v>
          </cell>
          <cell r="T29">
            <v>13.796296296296298</v>
          </cell>
          <cell r="U29">
            <v>7.1296296296296298</v>
          </cell>
          <cell r="V29">
            <v>67</v>
          </cell>
          <cell r="W29">
            <v>50.4</v>
          </cell>
          <cell r="X29">
            <v>66</v>
          </cell>
          <cell r="Y29">
            <v>54</v>
          </cell>
          <cell r="Z29">
            <v>47.52</v>
          </cell>
          <cell r="AA29">
            <v>55.2</v>
          </cell>
          <cell r="AB29">
            <v>61.2</v>
          </cell>
          <cell r="AC29">
            <v>98.4</v>
          </cell>
          <cell r="AD29">
            <v>82.8</v>
          </cell>
          <cell r="AE29">
            <v>75</v>
          </cell>
          <cell r="AG29">
            <v>445.19999999999993</v>
          </cell>
          <cell r="AH29">
            <v>6</v>
          </cell>
          <cell r="AI29">
            <v>72</v>
          </cell>
          <cell r="AJ29">
            <v>432</v>
          </cell>
          <cell r="AK29">
            <v>12</v>
          </cell>
          <cell r="AL29">
            <v>84</v>
          </cell>
        </row>
        <row r="30">
          <cell r="A30" t="str">
            <v>Наггетсы с индейкой 0,25кг ТМ Вязанка ТС Из печи Сливушки ПОКОМ</v>
          </cell>
          <cell r="B30" t="str">
            <v>шт</v>
          </cell>
          <cell r="C30">
            <v>561</v>
          </cell>
          <cell r="D30">
            <v>742</v>
          </cell>
          <cell r="E30">
            <v>649</v>
          </cell>
          <cell r="F30">
            <v>209</v>
          </cell>
          <cell r="G30">
            <v>0.25</v>
          </cell>
          <cell r="H30">
            <v>365</v>
          </cell>
          <cell r="I30" t="str">
            <v>матрица</v>
          </cell>
          <cell r="J30">
            <v>664</v>
          </cell>
          <cell r="K30">
            <v>-15</v>
          </cell>
          <cell r="N30">
            <v>504</v>
          </cell>
          <cell r="O30">
            <v>129.80000000000001</v>
          </cell>
          <cell r="P30">
            <v>1104.2000000000003</v>
          </cell>
          <cell r="Q30">
            <v>1176</v>
          </cell>
          <cell r="T30">
            <v>14.553158705701078</v>
          </cell>
          <cell r="U30">
            <v>5.4930662557781194</v>
          </cell>
          <cell r="V30">
            <v>119.8</v>
          </cell>
          <cell r="W30">
            <v>106.8</v>
          </cell>
          <cell r="X30">
            <v>113.2</v>
          </cell>
          <cell r="Y30">
            <v>96.8</v>
          </cell>
          <cell r="Z30">
            <v>170</v>
          </cell>
          <cell r="AA30">
            <v>180.2</v>
          </cell>
          <cell r="AB30">
            <v>124.2</v>
          </cell>
          <cell r="AC30">
            <v>144.80000000000001</v>
          </cell>
          <cell r="AD30">
            <v>226</v>
          </cell>
          <cell r="AE30">
            <v>128.80000000000001</v>
          </cell>
          <cell r="AG30">
            <v>276.05000000000007</v>
          </cell>
          <cell r="AH30">
            <v>12</v>
          </cell>
          <cell r="AI30">
            <v>98</v>
          </cell>
          <cell r="AJ30">
            <v>294</v>
          </cell>
          <cell r="AK30">
            <v>14</v>
          </cell>
          <cell r="AL30">
            <v>70</v>
          </cell>
        </row>
        <row r="31">
          <cell r="A31" t="str">
            <v>Наггетсы с куриным филе и сыром ТМ Вязанка ТС Из печи Сливушки 0,25 кг.  Поком</v>
          </cell>
          <cell r="B31" t="str">
            <v>шт</v>
          </cell>
          <cell r="C31">
            <v>1116</v>
          </cell>
          <cell r="D31">
            <v>22</v>
          </cell>
          <cell r="E31">
            <v>622</v>
          </cell>
          <cell r="F31">
            <v>460</v>
          </cell>
          <cell r="G31">
            <v>0.25</v>
          </cell>
          <cell r="H31">
            <v>180</v>
          </cell>
          <cell r="I31" t="str">
            <v>матрица</v>
          </cell>
          <cell r="J31">
            <v>643</v>
          </cell>
          <cell r="K31">
            <v>-21</v>
          </cell>
          <cell r="N31">
            <v>0</v>
          </cell>
          <cell r="O31">
            <v>124.4</v>
          </cell>
          <cell r="P31">
            <v>1281.6000000000001</v>
          </cell>
          <cell r="Q31">
            <v>1344</v>
          </cell>
          <cell r="T31">
            <v>14.5016077170418</v>
          </cell>
          <cell r="U31">
            <v>3.697749196141479</v>
          </cell>
          <cell r="V31">
            <v>81</v>
          </cell>
          <cell r="W31">
            <v>86</v>
          </cell>
          <cell r="X31">
            <v>126.2</v>
          </cell>
          <cell r="Y31">
            <v>64</v>
          </cell>
          <cell r="Z31">
            <v>158.19999999999999</v>
          </cell>
          <cell r="AA31">
            <v>162.80000000000001</v>
          </cell>
          <cell r="AB31">
            <v>107.2</v>
          </cell>
          <cell r="AC31">
            <v>60.6</v>
          </cell>
          <cell r="AD31">
            <v>229</v>
          </cell>
          <cell r="AE31">
            <v>101.8</v>
          </cell>
          <cell r="AF31" t="str">
            <v>сети</v>
          </cell>
          <cell r="AG31">
            <v>320.40000000000003</v>
          </cell>
          <cell r="AH31">
            <v>12</v>
          </cell>
          <cell r="AI31">
            <v>112</v>
          </cell>
          <cell r="AJ31">
            <v>336</v>
          </cell>
          <cell r="AK31">
            <v>14</v>
          </cell>
          <cell r="AL31">
            <v>70</v>
          </cell>
        </row>
        <row r="32">
          <cell r="A32" t="str">
            <v>Нагетосы Сочная курочка в хрустящей панировке Наггетсы ГШ Фикс.вес 0,25 Лоток Горячая штучка Поком</v>
          </cell>
          <cell r="B32" t="str">
            <v>шт</v>
          </cell>
          <cell r="G32">
            <v>0</v>
          </cell>
          <cell r="H32">
            <v>180</v>
          </cell>
          <cell r="I32" t="str">
            <v>матрица</v>
          </cell>
          <cell r="K32">
            <v>0</v>
          </cell>
          <cell r="O32">
            <v>0</v>
          </cell>
          <cell r="T32" t="e">
            <v>#DIV/0!</v>
          </cell>
          <cell r="U32" t="e">
            <v>#DIV/0!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 t="str">
            <v>нет потребности</v>
          </cell>
          <cell r="AH32">
            <v>6</v>
          </cell>
          <cell r="AK32">
            <v>14</v>
          </cell>
          <cell r="AL32">
            <v>126</v>
          </cell>
        </row>
        <row r="33">
          <cell r="A33" t="str">
            <v>Пекерсы с индейкой в сливочном соусе ТМ Горячая штучка 0,25 кг зам  ПОКОМ</v>
          </cell>
          <cell r="B33" t="str">
            <v>шт</v>
          </cell>
          <cell r="G33">
            <v>0</v>
          </cell>
          <cell r="H33">
            <v>180</v>
          </cell>
          <cell r="I33" t="str">
            <v>матрица</v>
          </cell>
          <cell r="K33">
            <v>0</v>
          </cell>
          <cell r="O33">
            <v>0</v>
          </cell>
          <cell r="T33" t="e">
            <v>#DIV/0!</v>
          </cell>
          <cell r="U33" t="e">
            <v>#DIV/0!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 t="str">
            <v>нет потребности</v>
          </cell>
          <cell r="AH33">
            <v>12</v>
          </cell>
          <cell r="AK33">
            <v>14</v>
          </cell>
          <cell r="AL33">
            <v>70</v>
          </cell>
        </row>
        <row r="34">
          <cell r="A34" t="str">
            <v>Пельмени Grandmeni с говядиной ТМ Горячаяштучка флоу-пак сфера 0,7 кг.  Поком</v>
          </cell>
          <cell r="B34" t="str">
            <v>шт</v>
          </cell>
          <cell r="C34">
            <v>195</v>
          </cell>
          <cell r="E34">
            <v>151</v>
          </cell>
          <cell r="F34">
            <v>13</v>
          </cell>
          <cell r="G34">
            <v>0.7</v>
          </cell>
          <cell r="H34">
            <v>180</v>
          </cell>
          <cell r="I34" t="str">
            <v>матрица</v>
          </cell>
          <cell r="J34">
            <v>151</v>
          </cell>
          <cell r="K34">
            <v>0</v>
          </cell>
          <cell r="N34">
            <v>0</v>
          </cell>
          <cell r="O34">
            <v>30.2</v>
          </cell>
          <cell r="P34">
            <v>289</v>
          </cell>
          <cell r="Q34">
            <v>288</v>
          </cell>
          <cell r="T34">
            <v>9.966887417218544</v>
          </cell>
          <cell r="U34">
            <v>0.43046357615894043</v>
          </cell>
          <cell r="V34">
            <v>14</v>
          </cell>
          <cell r="W34">
            <v>13.4</v>
          </cell>
          <cell r="X34">
            <v>20</v>
          </cell>
          <cell r="Y34">
            <v>28.6</v>
          </cell>
          <cell r="Z34">
            <v>10.8</v>
          </cell>
          <cell r="AA34">
            <v>28.8</v>
          </cell>
          <cell r="AB34">
            <v>27.6</v>
          </cell>
          <cell r="AC34">
            <v>0</v>
          </cell>
          <cell r="AD34">
            <v>19.2</v>
          </cell>
          <cell r="AE34">
            <v>0</v>
          </cell>
          <cell r="AG34">
            <v>202.29999999999998</v>
          </cell>
          <cell r="AH34">
            <v>8</v>
          </cell>
          <cell r="AI34">
            <v>36</v>
          </cell>
          <cell r="AJ34">
            <v>201.6</v>
          </cell>
          <cell r="AK34">
            <v>12</v>
          </cell>
          <cell r="AL34">
            <v>84</v>
          </cell>
        </row>
        <row r="35">
          <cell r="A35" t="str">
            <v>Пельмени Grandmeni с говядиной и свининой ТМ Горячаяштучка флоу-па классическая форма 0,7 кг.  Поком</v>
          </cell>
          <cell r="B35" t="str">
            <v>шт</v>
          </cell>
          <cell r="C35">
            <v>177</v>
          </cell>
          <cell r="E35">
            <v>99</v>
          </cell>
          <cell r="F35">
            <v>28</v>
          </cell>
          <cell r="G35">
            <v>0.7</v>
          </cell>
          <cell r="H35">
            <v>180</v>
          </cell>
          <cell r="I35" t="str">
            <v>матрица</v>
          </cell>
          <cell r="J35">
            <v>99</v>
          </cell>
          <cell r="K35">
            <v>0</v>
          </cell>
          <cell r="N35">
            <v>0</v>
          </cell>
          <cell r="O35">
            <v>19.8</v>
          </cell>
          <cell r="P35">
            <v>189.8</v>
          </cell>
          <cell r="Q35">
            <v>192</v>
          </cell>
          <cell r="T35">
            <v>11.111111111111111</v>
          </cell>
          <cell r="U35">
            <v>1.4141414141414141</v>
          </cell>
          <cell r="V35">
            <v>7.4</v>
          </cell>
          <cell r="W35">
            <v>14.8</v>
          </cell>
          <cell r="X35">
            <v>19.600000000000001</v>
          </cell>
          <cell r="Y35">
            <v>19.600000000000001</v>
          </cell>
          <cell r="Z35">
            <v>14.2</v>
          </cell>
          <cell r="AA35">
            <v>32</v>
          </cell>
          <cell r="AB35">
            <v>24.2</v>
          </cell>
          <cell r="AC35">
            <v>0</v>
          </cell>
          <cell r="AD35">
            <v>17.8</v>
          </cell>
          <cell r="AE35">
            <v>0</v>
          </cell>
          <cell r="AG35">
            <v>132.86000000000001</v>
          </cell>
          <cell r="AH35">
            <v>8</v>
          </cell>
          <cell r="AI35">
            <v>24</v>
          </cell>
          <cell r="AJ35">
            <v>134.39999999999998</v>
          </cell>
          <cell r="AK35">
            <v>12</v>
          </cell>
          <cell r="AL35">
            <v>84</v>
          </cell>
        </row>
        <row r="36">
          <cell r="A36" t="str">
            <v>Пельмени Grandmeni со сливочным маслом  ТМ Горячая штучка флоу-пак сфера 0,7 кг.  Поком</v>
          </cell>
          <cell r="B36" t="str">
            <v>шт</v>
          </cell>
          <cell r="C36">
            <v>189</v>
          </cell>
          <cell r="D36">
            <v>22</v>
          </cell>
          <cell r="E36">
            <v>146</v>
          </cell>
          <cell r="F36">
            <v>28</v>
          </cell>
          <cell r="G36">
            <v>0.7</v>
          </cell>
          <cell r="H36">
            <v>180</v>
          </cell>
          <cell r="I36" t="str">
            <v>матрица</v>
          </cell>
          <cell r="J36">
            <v>146</v>
          </cell>
          <cell r="K36">
            <v>0</v>
          </cell>
          <cell r="N36">
            <v>96</v>
          </cell>
          <cell r="O36">
            <v>29.2</v>
          </cell>
          <cell r="P36">
            <v>284.8</v>
          </cell>
          <cell r="Q36">
            <v>288</v>
          </cell>
          <cell r="T36">
            <v>14.109589041095891</v>
          </cell>
          <cell r="U36">
            <v>4.2465753424657535</v>
          </cell>
          <cell r="V36">
            <v>20.2</v>
          </cell>
          <cell r="W36">
            <v>11.8</v>
          </cell>
          <cell r="X36">
            <v>20.8</v>
          </cell>
          <cell r="Y36">
            <v>22.2</v>
          </cell>
          <cell r="Z36">
            <v>5.2</v>
          </cell>
          <cell r="AA36">
            <v>15</v>
          </cell>
          <cell r="AB36">
            <v>32.6</v>
          </cell>
          <cell r="AC36">
            <v>0</v>
          </cell>
          <cell r="AD36">
            <v>20.8</v>
          </cell>
          <cell r="AE36">
            <v>0</v>
          </cell>
          <cell r="AG36">
            <v>199.35999999999999</v>
          </cell>
          <cell r="AH36">
            <v>8</v>
          </cell>
          <cell r="AI36">
            <v>36</v>
          </cell>
          <cell r="AJ36">
            <v>201.6</v>
          </cell>
          <cell r="AK36">
            <v>12</v>
          </cell>
          <cell r="AL36">
            <v>84</v>
          </cell>
        </row>
        <row r="37">
          <cell r="A37" t="str">
            <v>Пельмени Бигбули #МЕГАВКУСИЩЕ с сочной грудинкой  ТМ Горячая штучка  флоу-пак сфера 0,7 кг.  Поком</v>
          </cell>
          <cell r="B37" t="str">
            <v>шт</v>
          </cell>
          <cell r="C37">
            <v>515</v>
          </cell>
          <cell r="D37">
            <v>446</v>
          </cell>
          <cell r="E37">
            <v>282</v>
          </cell>
          <cell r="F37">
            <v>341</v>
          </cell>
          <cell r="G37">
            <v>0.7</v>
          </cell>
          <cell r="H37">
            <v>180</v>
          </cell>
          <cell r="I37" t="str">
            <v>матрица</v>
          </cell>
          <cell r="J37">
            <v>274</v>
          </cell>
          <cell r="K37">
            <v>8</v>
          </cell>
          <cell r="N37">
            <v>0</v>
          </cell>
          <cell r="O37">
            <v>56.4</v>
          </cell>
          <cell r="P37">
            <v>448.6</v>
          </cell>
          <cell r="Q37">
            <v>480</v>
          </cell>
          <cell r="T37">
            <v>14.556737588652483</v>
          </cell>
          <cell r="U37">
            <v>6.0460992907801421</v>
          </cell>
          <cell r="V37">
            <v>47.8</v>
          </cell>
          <cell r="W37">
            <v>43.4</v>
          </cell>
          <cell r="X37">
            <v>69.599999999999994</v>
          </cell>
          <cell r="Y37">
            <v>61.4</v>
          </cell>
          <cell r="Z37">
            <v>85.4</v>
          </cell>
          <cell r="AA37">
            <v>58.8</v>
          </cell>
          <cell r="AB37">
            <v>26.4</v>
          </cell>
          <cell r="AC37">
            <v>6.2</v>
          </cell>
          <cell r="AD37">
            <v>108.6</v>
          </cell>
          <cell r="AE37">
            <v>21.6</v>
          </cell>
          <cell r="AG37">
            <v>314.02</v>
          </cell>
          <cell r="AH37">
            <v>10</v>
          </cell>
          <cell r="AI37">
            <v>48</v>
          </cell>
          <cell r="AJ37">
            <v>336</v>
          </cell>
          <cell r="AK37">
            <v>12</v>
          </cell>
          <cell r="AL37">
            <v>84</v>
          </cell>
        </row>
        <row r="38">
          <cell r="A38" t="str">
            <v>Пельмени Бигбули #МЕГАВКУСИЩЕ с сочной грудинкой  ТМ Горячая штучка флоу-пак сфера 0,4.  Поком</v>
          </cell>
          <cell r="B38" t="str">
            <v>шт</v>
          </cell>
          <cell r="C38">
            <v>160</v>
          </cell>
          <cell r="E38">
            <v>48</v>
          </cell>
          <cell r="G38">
            <v>0.4</v>
          </cell>
          <cell r="H38">
            <v>180</v>
          </cell>
          <cell r="I38" t="str">
            <v>матрица</v>
          </cell>
          <cell r="J38">
            <v>48</v>
          </cell>
          <cell r="K38">
            <v>0</v>
          </cell>
          <cell r="N38">
            <v>0</v>
          </cell>
          <cell r="O38">
            <v>9.6</v>
          </cell>
          <cell r="P38">
            <v>96</v>
          </cell>
          <cell r="Q38">
            <v>192</v>
          </cell>
          <cell r="T38">
            <v>20</v>
          </cell>
          <cell r="U38">
            <v>0</v>
          </cell>
          <cell r="V38">
            <v>6.4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 t="str">
            <v>новинка</v>
          </cell>
          <cell r="AG38">
            <v>38.400000000000006</v>
          </cell>
          <cell r="AH38">
            <v>16</v>
          </cell>
          <cell r="AI38">
            <v>12</v>
          </cell>
          <cell r="AJ38">
            <v>76.800000000000011</v>
          </cell>
          <cell r="AK38">
            <v>12</v>
          </cell>
          <cell r="AL38">
            <v>84</v>
          </cell>
        </row>
        <row r="39">
          <cell r="A39" t="str">
            <v>Пельмени Бигбули с мясом ТМ Горячая штучка БУЛЬМЕНИ ТС Бигбули ГШ  флоу-пак сфера 0,7.   Поком</v>
          </cell>
          <cell r="B39" t="str">
            <v>шт</v>
          </cell>
          <cell r="C39">
            <v>111</v>
          </cell>
          <cell r="D39">
            <v>193</v>
          </cell>
          <cell r="E39">
            <v>106</v>
          </cell>
          <cell r="F39">
            <v>109</v>
          </cell>
          <cell r="G39">
            <v>0.7</v>
          </cell>
          <cell r="H39">
            <v>180</v>
          </cell>
          <cell r="I39" t="str">
            <v>матрица</v>
          </cell>
          <cell r="J39">
            <v>100</v>
          </cell>
          <cell r="K39">
            <v>6</v>
          </cell>
          <cell r="N39">
            <v>0</v>
          </cell>
          <cell r="O39">
            <v>21.2</v>
          </cell>
          <cell r="P39">
            <v>187.8</v>
          </cell>
          <cell r="Q39">
            <v>240</v>
          </cell>
          <cell r="T39">
            <v>16.462264150943398</v>
          </cell>
          <cell r="U39">
            <v>5.1415094339622645</v>
          </cell>
          <cell r="V39">
            <v>11</v>
          </cell>
          <cell r="W39">
            <v>17.600000000000001</v>
          </cell>
          <cell r="X39">
            <v>16.2</v>
          </cell>
          <cell r="Y39">
            <v>4</v>
          </cell>
          <cell r="Z39">
            <v>25.4</v>
          </cell>
          <cell r="AA39">
            <v>9</v>
          </cell>
          <cell r="AB39">
            <v>6.6</v>
          </cell>
          <cell r="AC39">
            <v>21.8</v>
          </cell>
          <cell r="AD39">
            <v>18.2</v>
          </cell>
          <cell r="AE39">
            <v>15.2</v>
          </cell>
          <cell r="AG39">
            <v>131.46</v>
          </cell>
          <cell r="AH39">
            <v>10</v>
          </cell>
          <cell r="AI39">
            <v>24</v>
          </cell>
          <cell r="AJ39">
            <v>168</v>
          </cell>
          <cell r="AK39">
            <v>12</v>
          </cell>
          <cell r="AL39">
            <v>84</v>
          </cell>
        </row>
        <row r="40">
          <cell r="A40" t="str">
            <v>Пельмени Бигбули со сливочным маслом  ТС Бигбули ГШ#МЕГАМАСЛИЩЕ флоу-пак сфера 0,7.  Поком</v>
          </cell>
          <cell r="B40" t="str">
            <v>шт</v>
          </cell>
          <cell r="C40">
            <v>307</v>
          </cell>
          <cell r="D40">
            <v>91</v>
          </cell>
          <cell r="E40">
            <v>311</v>
          </cell>
          <cell r="F40">
            <v>-10</v>
          </cell>
          <cell r="G40">
            <v>0.7</v>
          </cell>
          <cell r="H40">
            <v>180</v>
          </cell>
          <cell r="I40" t="str">
            <v>матрица</v>
          </cell>
          <cell r="J40">
            <v>301</v>
          </cell>
          <cell r="K40">
            <v>10</v>
          </cell>
          <cell r="N40">
            <v>240</v>
          </cell>
          <cell r="O40">
            <v>62.2</v>
          </cell>
          <cell r="P40">
            <v>640.80000000000007</v>
          </cell>
          <cell r="Q40">
            <v>600</v>
          </cell>
          <cell r="T40">
            <v>13.344051446945336</v>
          </cell>
          <cell r="U40">
            <v>3.697749196141479</v>
          </cell>
          <cell r="V40">
            <v>41.2</v>
          </cell>
          <cell r="W40">
            <v>29.8</v>
          </cell>
          <cell r="X40">
            <v>45.2</v>
          </cell>
          <cell r="Y40">
            <v>40.200000000000003</v>
          </cell>
          <cell r="Z40">
            <v>57.2</v>
          </cell>
          <cell r="AA40">
            <v>41.6</v>
          </cell>
          <cell r="AB40">
            <v>15.8</v>
          </cell>
          <cell r="AC40">
            <v>13.8</v>
          </cell>
          <cell r="AD40">
            <v>101.8</v>
          </cell>
          <cell r="AE40">
            <v>21</v>
          </cell>
          <cell r="AG40">
            <v>448.56</v>
          </cell>
          <cell r="AH40">
            <v>10</v>
          </cell>
          <cell r="AI40">
            <v>60</v>
          </cell>
          <cell r="AJ40">
            <v>420</v>
          </cell>
          <cell r="AK40">
            <v>12</v>
          </cell>
          <cell r="AL40">
            <v>84</v>
          </cell>
        </row>
        <row r="41">
          <cell r="A41" t="str">
            <v>Пельмени Бигбули со сливочным маслом ТМ Горячая штучка  флоу-пак сфера 0,4.  Поком</v>
          </cell>
          <cell r="B41" t="str">
            <v>шт</v>
          </cell>
          <cell r="C41">
            <v>612</v>
          </cell>
          <cell r="D41">
            <v>13</v>
          </cell>
          <cell r="E41">
            <v>162</v>
          </cell>
          <cell r="F41">
            <v>463</v>
          </cell>
          <cell r="G41">
            <v>0.4</v>
          </cell>
          <cell r="H41">
            <v>180</v>
          </cell>
          <cell r="I41" t="str">
            <v>матрица</v>
          </cell>
          <cell r="J41">
            <v>162</v>
          </cell>
          <cell r="K41">
            <v>0</v>
          </cell>
          <cell r="N41">
            <v>0</v>
          </cell>
          <cell r="O41">
            <v>32.4</v>
          </cell>
          <cell r="Q41">
            <v>0</v>
          </cell>
          <cell r="T41">
            <v>14.290123456790123</v>
          </cell>
          <cell r="U41">
            <v>14.290123456790123</v>
          </cell>
          <cell r="V41">
            <v>34.799999999999997</v>
          </cell>
          <cell r="W41">
            <v>21.2</v>
          </cell>
          <cell r="X41">
            <v>26.6</v>
          </cell>
          <cell r="Y41">
            <v>29.6</v>
          </cell>
          <cell r="Z41">
            <v>66.8</v>
          </cell>
          <cell r="AA41">
            <v>61.8</v>
          </cell>
          <cell r="AB41">
            <v>13.2</v>
          </cell>
          <cell r="AC41">
            <v>0</v>
          </cell>
          <cell r="AD41">
            <v>66.2</v>
          </cell>
          <cell r="AE41">
            <v>16.8</v>
          </cell>
          <cell r="AF41" t="str">
            <v>нужно увеличить продажи</v>
          </cell>
          <cell r="AG41">
            <v>0</v>
          </cell>
          <cell r="AH41">
            <v>16</v>
          </cell>
          <cell r="AI41">
            <v>0</v>
          </cell>
          <cell r="AJ41">
            <v>0</v>
          </cell>
          <cell r="AK41">
            <v>12</v>
          </cell>
          <cell r="AL41">
            <v>84</v>
          </cell>
        </row>
        <row r="42">
          <cell r="A42" t="str">
            <v>Пельмени Бульмени с говядиной и свининой Наваристые Горячая штучка ВЕС  ПОКОМ</v>
          </cell>
          <cell r="B42" t="str">
            <v>кг</v>
          </cell>
          <cell r="C42">
            <v>275</v>
          </cell>
          <cell r="D42">
            <v>865</v>
          </cell>
          <cell r="E42">
            <v>550</v>
          </cell>
          <cell r="F42">
            <v>350</v>
          </cell>
          <cell r="G42">
            <v>1</v>
          </cell>
          <cell r="H42">
            <v>180</v>
          </cell>
          <cell r="I42" t="str">
            <v>матрица</v>
          </cell>
          <cell r="J42">
            <v>550</v>
          </cell>
          <cell r="K42">
            <v>0</v>
          </cell>
          <cell r="N42">
            <v>720</v>
          </cell>
          <cell r="O42">
            <v>110</v>
          </cell>
          <cell r="P42">
            <v>470</v>
          </cell>
          <cell r="Q42">
            <v>480</v>
          </cell>
          <cell r="T42">
            <v>14.090909090909092</v>
          </cell>
          <cell r="U42">
            <v>9.7272727272727266</v>
          </cell>
          <cell r="V42">
            <v>139</v>
          </cell>
          <cell r="W42">
            <v>124</v>
          </cell>
          <cell r="X42">
            <v>107</v>
          </cell>
          <cell r="Y42">
            <v>120</v>
          </cell>
          <cell r="Z42">
            <v>67</v>
          </cell>
          <cell r="AA42">
            <v>75</v>
          </cell>
          <cell r="AB42">
            <v>127</v>
          </cell>
          <cell r="AC42">
            <v>179</v>
          </cell>
          <cell r="AD42">
            <v>130</v>
          </cell>
          <cell r="AE42">
            <v>111</v>
          </cell>
          <cell r="AF42" t="str">
            <v>сети</v>
          </cell>
          <cell r="AG42">
            <v>470</v>
          </cell>
          <cell r="AH42">
            <v>5</v>
          </cell>
          <cell r="AI42">
            <v>96</v>
          </cell>
          <cell r="AJ42">
            <v>480</v>
          </cell>
          <cell r="AK42">
            <v>12</v>
          </cell>
          <cell r="AL42">
            <v>144</v>
          </cell>
        </row>
        <row r="43">
          <cell r="A43" t="str">
            <v>Пельмени Бульмени с говядиной и свининой ТМ Горячая штучка  флоу-пак сфера 0,4 кг  Поком</v>
          </cell>
          <cell r="B43" t="str">
            <v>шт</v>
          </cell>
          <cell r="C43">
            <v>389</v>
          </cell>
          <cell r="D43">
            <v>1</v>
          </cell>
          <cell r="E43">
            <v>245</v>
          </cell>
          <cell r="F43">
            <v>130</v>
          </cell>
          <cell r="G43">
            <v>0.4</v>
          </cell>
          <cell r="H43">
            <v>180</v>
          </cell>
          <cell r="I43" t="str">
            <v>матрица</v>
          </cell>
          <cell r="J43">
            <v>245</v>
          </cell>
          <cell r="K43">
            <v>0</v>
          </cell>
          <cell r="N43">
            <v>192</v>
          </cell>
          <cell r="O43">
            <v>49</v>
          </cell>
          <cell r="P43">
            <v>364</v>
          </cell>
          <cell r="Q43">
            <v>384</v>
          </cell>
          <cell r="T43">
            <v>14.408163265306122</v>
          </cell>
          <cell r="U43">
            <v>6.5714285714285712</v>
          </cell>
          <cell r="V43">
            <v>41.2</v>
          </cell>
          <cell r="W43">
            <v>43</v>
          </cell>
          <cell r="X43">
            <v>51</v>
          </cell>
          <cell r="Y43">
            <v>36.200000000000003</v>
          </cell>
          <cell r="Z43">
            <v>74.400000000000006</v>
          </cell>
          <cell r="AA43">
            <v>73.2</v>
          </cell>
          <cell r="AB43">
            <v>23.4</v>
          </cell>
          <cell r="AC43">
            <v>26.2</v>
          </cell>
          <cell r="AD43">
            <v>133.4</v>
          </cell>
          <cell r="AE43">
            <v>16.2</v>
          </cell>
          <cell r="AG43">
            <v>145.6</v>
          </cell>
          <cell r="AH43">
            <v>16</v>
          </cell>
          <cell r="AI43">
            <v>24</v>
          </cell>
          <cell r="AJ43">
            <v>153.60000000000002</v>
          </cell>
          <cell r="AK43">
            <v>12</v>
          </cell>
          <cell r="AL43">
            <v>84</v>
          </cell>
        </row>
        <row r="44">
          <cell r="A44" t="str">
            <v>Пельмени Бульмени с говядиной и свининой ТМ Горячая штучка БУЛЬМЕНИ  флоу-пак сфера 0,7 кг.  Поком</v>
          </cell>
          <cell r="B44" t="str">
            <v>шт</v>
          </cell>
          <cell r="C44">
            <v>1058</v>
          </cell>
          <cell r="D44">
            <v>872</v>
          </cell>
          <cell r="E44">
            <v>604</v>
          </cell>
          <cell r="F44">
            <v>621</v>
          </cell>
          <cell r="G44">
            <v>0.7</v>
          </cell>
          <cell r="H44">
            <v>180</v>
          </cell>
          <cell r="I44" t="str">
            <v>матрица</v>
          </cell>
          <cell r="J44">
            <v>596</v>
          </cell>
          <cell r="K44">
            <v>8</v>
          </cell>
          <cell r="N44">
            <v>0</v>
          </cell>
          <cell r="O44">
            <v>120.8</v>
          </cell>
          <cell r="P44">
            <v>1070.2</v>
          </cell>
          <cell r="Q44">
            <v>1080</v>
          </cell>
          <cell r="T44">
            <v>14.081125827814569</v>
          </cell>
          <cell r="U44">
            <v>5.1407284768211925</v>
          </cell>
          <cell r="V44">
            <v>67.400000000000006</v>
          </cell>
          <cell r="W44">
            <v>119.6</v>
          </cell>
          <cell r="X44">
            <v>135.4</v>
          </cell>
          <cell r="Y44">
            <v>98</v>
          </cell>
          <cell r="Z44">
            <v>113</v>
          </cell>
          <cell r="AA44">
            <v>109</v>
          </cell>
          <cell r="AB44">
            <v>114.2</v>
          </cell>
          <cell r="AC44">
            <v>129.19999999999999</v>
          </cell>
          <cell r="AD44">
            <v>229.4</v>
          </cell>
          <cell r="AE44">
            <v>141</v>
          </cell>
          <cell r="AF44" t="str">
            <v>сети</v>
          </cell>
          <cell r="AG44">
            <v>749.14</v>
          </cell>
          <cell r="AH44">
            <v>10</v>
          </cell>
          <cell r="AI44">
            <v>108</v>
          </cell>
          <cell r="AJ44">
            <v>756</v>
          </cell>
          <cell r="AK44">
            <v>12</v>
          </cell>
          <cell r="AL44">
            <v>84</v>
          </cell>
        </row>
        <row r="45">
          <cell r="A45" t="str">
            <v>Пельмени Бульмени со сливочным маслом ТМ Горячая штучка  флоу-пак сфера 0,4 кг .  Поком</v>
          </cell>
          <cell r="B45" t="str">
            <v>шт</v>
          </cell>
          <cell r="C45">
            <v>464</v>
          </cell>
          <cell r="D45">
            <v>332</v>
          </cell>
          <cell r="E45">
            <v>291</v>
          </cell>
          <cell r="F45">
            <v>187</v>
          </cell>
          <cell r="G45">
            <v>0.4</v>
          </cell>
          <cell r="H45">
            <v>180</v>
          </cell>
          <cell r="I45" t="str">
            <v>матрица</v>
          </cell>
          <cell r="J45">
            <v>291</v>
          </cell>
          <cell r="K45">
            <v>0</v>
          </cell>
          <cell r="N45">
            <v>192</v>
          </cell>
          <cell r="O45">
            <v>58.2</v>
          </cell>
          <cell r="P45">
            <v>435.80000000000007</v>
          </cell>
          <cell r="Q45">
            <v>384</v>
          </cell>
          <cell r="T45">
            <v>13.109965635738831</v>
          </cell>
          <cell r="U45">
            <v>6.5120274914089347</v>
          </cell>
          <cell r="V45">
            <v>52.2</v>
          </cell>
          <cell r="W45">
            <v>29</v>
          </cell>
          <cell r="X45">
            <v>55.4</v>
          </cell>
          <cell r="Y45">
            <v>53.2</v>
          </cell>
          <cell r="Z45">
            <v>76</v>
          </cell>
          <cell r="AA45">
            <v>72.599999999999994</v>
          </cell>
          <cell r="AB45">
            <v>24.4</v>
          </cell>
          <cell r="AC45">
            <v>3.2</v>
          </cell>
          <cell r="AD45">
            <v>105</v>
          </cell>
          <cell r="AE45">
            <v>23</v>
          </cell>
          <cell r="AG45">
            <v>174.32000000000005</v>
          </cell>
          <cell r="AH45">
            <v>16</v>
          </cell>
          <cell r="AI45">
            <v>24</v>
          </cell>
          <cell r="AJ45">
            <v>153.60000000000002</v>
          </cell>
          <cell r="AK45">
            <v>12</v>
          </cell>
          <cell r="AL45">
            <v>84</v>
          </cell>
        </row>
        <row r="46">
          <cell r="A46" t="str">
            <v>Пельмени Бульмени со сливочным маслом ТМ Горячая штучка флоу-пак сфера 0,7 кг .  Поком</v>
          </cell>
          <cell r="B46" t="str">
            <v>шт</v>
          </cell>
          <cell r="C46">
            <v>892</v>
          </cell>
          <cell r="D46">
            <v>1849</v>
          </cell>
          <cell r="E46">
            <v>949</v>
          </cell>
          <cell r="F46">
            <v>1003</v>
          </cell>
          <cell r="G46">
            <v>0.7</v>
          </cell>
          <cell r="H46">
            <v>180</v>
          </cell>
          <cell r="I46" t="str">
            <v>матрица</v>
          </cell>
          <cell r="J46">
            <v>935</v>
          </cell>
          <cell r="K46">
            <v>14</v>
          </cell>
          <cell r="N46">
            <v>0</v>
          </cell>
          <cell r="O46">
            <v>189.8</v>
          </cell>
          <cell r="P46">
            <v>1654.2000000000003</v>
          </cell>
          <cell r="Q46">
            <v>1680</v>
          </cell>
          <cell r="T46">
            <v>14.135932560590094</v>
          </cell>
          <cell r="U46">
            <v>5.2845100105374074</v>
          </cell>
          <cell r="V46">
            <v>166</v>
          </cell>
          <cell r="W46">
            <v>200.2</v>
          </cell>
          <cell r="X46">
            <v>168.4</v>
          </cell>
          <cell r="Y46">
            <v>198.2</v>
          </cell>
          <cell r="Z46">
            <v>145.6</v>
          </cell>
          <cell r="AA46">
            <v>133.6</v>
          </cell>
          <cell r="AB46">
            <v>185.2</v>
          </cell>
          <cell r="AC46">
            <v>279.2</v>
          </cell>
          <cell r="AD46">
            <v>206.2</v>
          </cell>
          <cell r="AE46">
            <v>155.6</v>
          </cell>
          <cell r="AG46">
            <v>1157.94</v>
          </cell>
          <cell r="AH46">
            <v>10</v>
          </cell>
          <cell r="AI46">
            <v>168</v>
          </cell>
          <cell r="AJ46">
            <v>1176</v>
          </cell>
          <cell r="AK46">
            <v>12</v>
          </cell>
          <cell r="AL46">
            <v>84</v>
          </cell>
        </row>
        <row r="47">
          <cell r="A47" t="str">
            <v>Пельмени Домашние со сливочным маслом ТМ Зареченские  продукты флоу-пак сфера 0,7 кг.  Поком</v>
          </cell>
          <cell r="B47" t="str">
            <v>шт</v>
          </cell>
          <cell r="C47">
            <v>281</v>
          </cell>
          <cell r="D47">
            <v>279</v>
          </cell>
          <cell r="E47">
            <v>273</v>
          </cell>
          <cell r="F47">
            <v>248</v>
          </cell>
          <cell r="G47">
            <v>0.7</v>
          </cell>
          <cell r="H47">
            <v>180</v>
          </cell>
          <cell r="I47" t="str">
            <v>матрица</v>
          </cell>
          <cell r="J47">
            <v>273</v>
          </cell>
          <cell r="K47">
            <v>0</v>
          </cell>
          <cell r="N47">
            <v>120</v>
          </cell>
          <cell r="O47">
            <v>54.6</v>
          </cell>
          <cell r="P47">
            <v>396.4</v>
          </cell>
          <cell r="Q47">
            <v>360</v>
          </cell>
          <cell r="T47">
            <v>13.333333333333332</v>
          </cell>
          <cell r="U47">
            <v>6.73992673992674</v>
          </cell>
          <cell r="V47">
            <v>50.6</v>
          </cell>
          <cell r="W47">
            <v>44</v>
          </cell>
          <cell r="X47">
            <v>46.2</v>
          </cell>
          <cell r="Y47">
            <v>46</v>
          </cell>
          <cell r="Z47">
            <v>31.6</v>
          </cell>
          <cell r="AA47">
            <v>32</v>
          </cell>
          <cell r="AB47">
            <v>64.8</v>
          </cell>
          <cell r="AC47">
            <v>36</v>
          </cell>
          <cell r="AD47">
            <v>61</v>
          </cell>
          <cell r="AE47">
            <v>43.6</v>
          </cell>
          <cell r="AG47">
            <v>277.47999999999996</v>
          </cell>
          <cell r="AH47">
            <v>10</v>
          </cell>
          <cell r="AI47">
            <v>36</v>
          </cell>
          <cell r="AJ47">
            <v>251.99999999999997</v>
          </cell>
          <cell r="AK47">
            <v>12</v>
          </cell>
          <cell r="AL47">
            <v>84</v>
          </cell>
        </row>
        <row r="48">
          <cell r="A48" t="str">
            <v>Пельмени Медвежьи ушки с фермерскими сливками ТМ Стародв флоу-пак классическая форма 0,7 кг.  Поком</v>
          </cell>
          <cell r="B48" t="str">
            <v>шт</v>
          </cell>
          <cell r="C48">
            <v>60</v>
          </cell>
          <cell r="D48">
            <v>142</v>
          </cell>
          <cell r="E48">
            <v>28</v>
          </cell>
          <cell r="F48">
            <v>101</v>
          </cell>
          <cell r="G48">
            <v>0.7</v>
          </cell>
          <cell r="H48">
            <v>180</v>
          </cell>
          <cell r="I48" t="str">
            <v>матрица</v>
          </cell>
          <cell r="J48">
            <v>28</v>
          </cell>
          <cell r="K48">
            <v>0</v>
          </cell>
          <cell r="N48">
            <v>0</v>
          </cell>
          <cell r="O48">
            <v>5.6</v>
          </cell>
          <cell r="Q48">
            <v>0</v>
          </cell>
          <cell r="T48">
            <v>18.035714285714288</v>
          </cell>
          <cell r="U48">
            <v>18.035714285714288</v>
          </cell>
          <cell r="V48">
            <v>5</v>
          </cell>
          <cell r="W48">
            <v>8.8000000000000007</v>
          </cell>
          <cell r="X48">
            <v>5.4</v>
          </cell>
          <cell r="Y48">
            <v>7.6</v>
          </cell>
          <cell r="Z48">
            <v>12.6</v>
          </cell>
          <cell r="AA48">
            <v>11.6</v>
          </cell>
          <cell r="AB48">
            <v>10.4</v>
          </cell>
          <cell r="AC48">
            <v>20</v>
          </cell>
          <cell r="AD48">
            <v>14.2</v>
          </cell>
          <cell r="AE48">
            <v>12</v>
          </cell>
          <cell r="AG48">
            <v>0</v>
          </cell>
          <cell r="AH48">
            <v>8</v>
          </cell>
          <cell r="AI48">
            <v>0</v>
          </cell>
          <cell r="AJ48">
            <v>0</v>
          </cell>
          <cell r="AK48">
            <v>12</v>
          </cell>
          <cell r="AL48">
            <v>84</v>
          </cell>
        </row>
        <row r="49">
          <cell r="A49" t="str">
            <v>Пельмени Медвежьи ушки с фермерской свининой и говядиной Большие флоу-пак класс 0,7 кг  Поком</v>
          </cell>
          <cell r="B49" t="str">
            <v>шт</v>
          </cell>
          <cell r="C49">
            <v>200</v>
          </cell>
          <cell r="E49">
            <v>39</v>
          </cell>
          <cell r="F49">
            <v>145</v>
          </cell>
          <cell r="G49">
            <v>0.7</v>
          </cell>
          <cell r="H49">
            <v>180</v>
          </cell>
          <cell r="I49" t="str">
            <v>матрица</v>
          </cell>
          <cell r="J49">
            <v>39</v>
          </cell>
          <cell r="K49">
            <v>0</v>
          </cell>
          <cell r="N49">
            <v>0</v>
          </cell>
          <cell r="O49">
            <v>7.8</v>
          </cell>
          <cell r="Q49">
            <v>0</v>
          </cell>
          <cell r="T49">
            <v>18.589743589743591</v>
          </cell>
          <cell r="U49">
            <v>18.589743589743591</v>
          </cell>
          <cell r="V49">
            <v>3</v>
          </cell>
          <cell r="W49">
            <v>4</v>
          </cell>
          <cell r="X49">
            <v>4.8</v>
          </cell>
          <cell r="Y49">
            <v>2.6</v>
          </cell>
          <cell r="Z49">
            <v>16.399999999999999</v>
          </cell>
          <cell r="AA49">
            <v>13.8</v>
          </cell>
          <cell r="AB49">
            <v>7.8</v>
          </cell>
          <cell r="AC49">
            <v>15.6</v>
          </cell>
          <cell r="AD49">
            <v>7.2</v>
          </cell>
          <cell r="AE49">
            <v>7</v>
          </cell>
          <cell r="AF49" t="str">
            <v>нужно увеличить продажи</v>
          </cell>
          <cell r="AG49">
            <v>0</v>
          </cell>
          <cell r="AH49">
            <v>8</v>
          </cell>
          <cell r="AI49">
            <v>0</v>
          </cell>
          <cell r="AJ49">
            <v>0</v>
          </cell>
          <cell r="AK49">
            <v>12</v>
          </cell>
          <cell r="AL49">
            <v>84</v>
          </cell>
        </row>
        <row r="50">
          <cell r="A50" t="str">
            <v>Пельмени Медвежьи ушки с фермерской свининой и говядиной Малые флоу-пак классическая 0,7 кг  Поком</v>
          </cell>
          <cell r="B50" t="str">
            <v>шт</v>
          </cell>
          <cell r="C50">
            <v>64</v>
          </cell>
          <cell r="D50">
            <v>145</v>
          </cell>
          <cell r="E50">
            <v>24</v>
          </cell>
          <cell r="F50">
            <v>132</v>
          </cell>
          <cell r="G50">
            <v>0.7</v>
          </cell>
          <cell r="H50">
            <v>180</v>
          </cell>
          <cell r="I50" t="str">
            <v>матрица</v>
          </cell>
          <cell r="J50">
            <v>24</v>
          </cell>
          <cell r="K50">
            <v>0</v>
          </cell>
          <cell r="N50">
            <v>0</v>
          </cell>
          <cell r="O50">
            <v>4.8</v>
          </cell>
          <cell r="Q50">
            <v>0</v>
          </cell>
          <cell r="T50">
            <v>27.5</v>
          </cell>
          <cell r="U50">
            <v>27.5</v>
          </cell>
          <cell r="V50">
            <v>2.8</v>
          </cell>
          <cell r="W50">
            <v>10.199999999999999</v>
          </cell>
          <cell r="X50">
            <v>4.2</v>
          </cell>
          <cell r="Y50">
            <v>4.8</v>
          </cell>
          <cell r="Z50">
            <v>4.2</v>
          </cell>
          <cell r="AA50">
            <v>1.2</v>
          </cell>
          <cell r="AB50">
            <v>0</v>
          </cell>
          <cell r="AC50">
            <v>21.6</v>
          </cell>
          <cell r="AD50">
            <v>4.5999999999999996</v>
          </cell>
          <cell r="AE50">
            <v>5.6</v>
          </cell>
          <cell r="AG50">
            <v>0</v>
          </cell>
          <cell r="AH50">
            <v>8</v>
          </cell>
          <cell r="AI50">
            <v>0</v>
          </cell>
          <cell r="AJ50">
            <v>0</v>
          </cell>
          <cell r="AK50">
            <v>12</v>
          </cell>
          <cell r="AL50">
            <v>84</v>
          </cell>
        </row>
        <row r="51">
          <cell r="A51" t="str">
            <v>Пельмени Мясорубские ТМ Стародворье фоу-пак равиоли 0,7 кг.  Поком</v>
          </cell>
          <cell r="B51" t="str">
            <v>шт</v>
          </cell>
          <cell r="C51">
            <v>436</v>
          </cell>
          <cell r="D51">
            <v>497</v>
          </cell>
          <cell r="E51">
            <v>452</v>
          </cell>
          <cell r="F51">
            <v>241</v>
          </cell>
          <cell r="G51">
            <v>0.7</v>
          </cell>
          <cell r="H51">
            <v>180</v>
          </cell>
          <cell r="I51" t="str">
            <v>матрица</v>
          </cell>
          <cell r="J51">
            <v>448</v>
          </cell>
          <cell r="K51">
            <v>4</v>
          </cell>
          <cell r="N51">
            <v>0</v>
          </cell>
          <cell r="O51">
            <v>90.4</v>
          </cell>
          <cell r="P51">
            <v>934.2</v>
          </cell>
          <cell r="Q51">
            <v>960</v>
          </cell>
          <cell r="T51">
            <v>13.285398230088495</v>
          </cell>
          <cell r="U51">
            <v>2.665929203539823</v>
          </cell>
          <cell r="V51">
            <v>45</v>
          </cell>
          <cell r="W51">
            <v>70.400000000000006</v>
          </cell>
          <cell r="X51">
            <v>62.8</v>
          </cell>
          <cell r="Y51">
            <v>58.2</v>
          </cell>
          <cell r="Z51">
            <v>96.2</v>
          </cell>
          <cell r="AA51">
            <v>85.6</v>
          </cell>
          <cell r="AB51">
            <v>79.8</v>
          </cell>
          <cell r="AC51">
            <v>58.2</v>
          </cell>
          <cell r="AD51">
            <v>116.2</v>
          </cell>
          <cell r="AE51">
            <v>70.8</v>
          </cell>
          <cell r="AF51" t="str">
            <v>сети</v>
          </cell>
          <cell r="AG51">
            <v>653.93999999999994</v>
          </cell>
          <cell r="AH51">
            <v>8</v>
          </cell>
          <cell r="AI51">
            <v>120</v>
          </cell>
          <cell r="AJ51">
            <v>672</v>
          </cell>
          <cell r="AK51">
            <v>12</v>
          </cell>
          <cell r="AL51">
            <v>84</v>
          </cell>
        </row>
        <row r="52">
          <cell r="A52" t="str">
            <v>Пельмени Отборные из свинины и говядины 0,9 кг ТМ Стародворье ТС Медвежье ушко  ПОКОМ</v>
          </cell>
          <cell r="B52" t="str">
            <v>шт</v>
          </cell>
          <cell r="C52">
            <v>401</v>
          </cell>
          <cell r="D52">
            <v>150</v>
          </cell>
          <cell r="E52">
            <v>133</v>
          </cell>
          <cell r="F52">
            <v>260</v>
          </cell>
          <cell r="G52">
            <v>0.9</v>
          </cell>
          <cell r="H52">
            <v>180</v>
          </cell>
          <cell r="I52" t="str">
            <v>матрица</v>
          </cell>
          <cell r="J52">
            <v>133</v>
          </cell>
          <cell r="K52">
            <v>0</v>
          </cell>
          <cell r="N52">
            <v>0</v>
          </cell>
          <cell r="O52">
            <v>26.6</v>
          </cell>
          <cell r="P52">
            <v>112.40000000000003</v>
          </cell>
          <cell r="Q52">
            <v>96</v>
          </cell>
          <cell r="T52">
            <v>13.383458646616541</v>
          </cell>
          <cell r="U52">
            <v>9.7744360902255636</v>
          </cell>
          <cell r="V52">
            <v>31.2</v>
          </cell>
          <cell r="W52">
            <v>22.8</v>
          </cell>
          <cell r="X52">
            <v>38</v>
          </cell>
          <cell r="Y52">
            <v>22.6</v>
          </cell>
          <cell r="Z52">
            <v>61</v>
          </cell>
          <cell r="AA52">
            <v>57.2</v>
          </cell>
          <cell r="AB52">
            <v>16.2</v>
          </cell>
          <cell r="AC52">
            <v>12.4</v>
          </cell>
          <cell r="AD52">
            <v>72.2</v>
          </cell>
          <cell r="AE52">
            <v>17</v>
          </cell>
          <cell r="AF52" t="str">
            <v>сети</v>
          </cell>
          <cell r="AG52">
            <v>101.16000000000004</v>
          </cell>
          <cell r="AH52">
            <v>8</v>
          </cell>
          <cell r="AI52">
            <v>12</v>
          </cell>
          <cell r="AJ52">
            <v>86.4</v>
          </cell>
          <cell r="AK52">
            <v>12</v>
          </cell>
          <cell r="AL52">
            <v>84</v>
          </cell>
        </row>
        <row r="53">
          <cell r="A53" t="str">
            <v>Пельмени Отборные с говядиной 0,9 кг НОВА ТМ Стародворье ТС Медвежье ушко  ПОКОМ</v>
          </cell>
          <cell r="B53" t="str">
            <v>шт</v>
          </cell>
          <cell r="C53">
            <v>192</v>
          </cell>
          <cell r="E53">
            <v>181</v>
          </cell>
          <cell r="F53">
            <v>8</v>
          </cell>
          <cell r="G53">
            <v>0.9</v>
          </cell>
          <cell r="H53">
            <v>180</v>
          </cell>
          <cell r="I53" t="str">
            <v>матрица</v>
          </cell>
          <cell r="J53">
            <v>181</v>
          </cell>
          <cell r="K53">
            <v>0</v>
          </cell>
          <cell r="N53">
            <v>192</v>
          </cell>
          <cell r="O53">
            <v>36.200000000000003</v>
          </cell>
          <cell r="P53">
            <v>306.80000000000007</v>
          </cell>
          <cell r="Q53">
            <v>288</v>
          </cell>
          <cell r="T53">
            <v>13.480662983425413</v>
          </cell>
          <cell r="U53">
            <v>5.5248618784530379</v>
          </cell>
          <cell r="V53">
            <v>31.2</v>
          </cell>
          <cell r="W53">
            <v>24</v>
          </cell>
          <cell r="X53">
            <v>31.8</v>
          </cell>
          <cell r="Y53">
            <v>20.6</v>
          </cell>
          <cell r="Z53">
            <v>48</v>
          </cell>
          <cell r="AA53">
            <v>52.4</v>
          </cell>
          <cell r="AB53">
            <v>16.600000000000001</v>
          </cell>
          <cell r="AC53">
            <v>31.2</v>
          </cell>
          <cell r="AD53">
            <v>48.2</v>
          </cell>
          <cell r="AE53">
            <v>24</v>
          </cell>
          <cell r="AF53" t="str">
            <v>сети</v>
          </cell>
          <cell r="AG53">
            <v>276.12000000000006</v>
          </cell>
          <cell r="AH53">
            <v>8</v>
          </cell>
          <cell r="AI53">
            <v>36</v>
          </cell>
          <cell r="AJ53">
            <v>259.2</v>
          </cell>
          <cell r="AK53">
            <v>12</v>
          </cell>
          <cell r="AL53">
            <v>84</v>
          </cell>
        </row>
        <row r="54">
          <cell r="A54" t="str">
            <v>Пельмени С говядиной и свининой, ВЕС, ТМ Славница сфера пуговки  ПОКОМ</v>
          </cell>
          <cell r="B54" t="str">
            <v>кг</v>
          </cell>
          <cell r="C54">
            <v>520</v>
          </cell>
          <cell r="D54">
            <v>840</v>
          </cell>
          <cell r="E54">
            <v>670</v>
          </cell>
          <cell r="F54">
            <v>270</v>
          </cell>
          <cell r="G54">
            <v>1</v>
          </cell>
          <cell r="H54">
            <v>180</v>
          </cell>
          <cell r="I54" t="str">
            <v>матрица</v>
          </cell>
          <cell r="J54">
            <v>670</v>
          </cell>
          <cell r="K54">
            <v>0</v>
          </cell>
          <cell r="N54">
            <v>360</v>
          </cell>
          <cell r="O54">
            <v>134</v>
          </cell>
          <cell r="P54">
            <v>1246</v>
          </cell>
          <cell r="Q54">
            <v>1260</v>
          </cell>
          <cell r="T54">
            <v>14.104477611940299</v>
          </cell>
          <cell r="U54">
            <v>4.7014925373134329</v>
          </cell>
          <cell r="V54">
            <v>115</v>
          </cell>
          <cell r="W54">
            <v>120</v>
          </cell>
          <cell r="X54">
            <v>118</v>
          </cell>
          <cell r="Y54">
            <v>134</v>
          </cell>
          <cell r="Z54">
            <v>107</v>
          </cell>
          <cell r="AA54">
            <v>125</v>
          </cell>
          <cell r="AB54">
            <v>125</v>
          </cell>
          <cell r="AC54">
            <v>178</v>
          </cell>
          <cell r="AD54">
            <v>150</v>
          </cell>
          <cell r="AE54">
            <v>126</v>
          </cell>
          <cell r="AF54" t="str">
            <v>сети</v>
          </cell>
          <cell r="AG54">
            <v>1246</v>
          </cell>
          <cell r="AH54">
            <v>5</v>
          </cell>
          <cell r="AI54">
            <v>252</v>
          </cell>
          <cell r="AJ54">
            <v>1260</v>
          </cell>
          <cell r="AK54">
            <v>12</v>
          </cell>
          <cell r="AL54">
            <v>144</v>
          </cell>
        </row>
        <row r="55">
          <cell r="A55" t="str">
            <v>Пельмени Со свининой и говядиной ТМ Особый рецепт Любимая ложка 1,0 кг  ПОКОМ</v>
          </cell>
          <cell r="B55" t="str">
            <v>шт</v>
          </cell>
          <cell r="C55">
            <v>333</v>
          </cell>
          <cell r="D55">
            <v>1550</v>
          </cell>
          <cell r="E55">
            <v>762</v>
          </cell>
          <cell r="F55">
            <v>423</v>
          </cell>
          <cell r="G55">
            <v>1</v>
          </cell>
          <cell r="H55">
            <v>180</v>
          </cell>
          <cell r="I55" t="str">
            <v>матрица</v>
          </cell>
          <cell r="J55">
            <v>762</v>
          </cell>
          <cell r="K55">
            <v>0</v>
          </cell>
          <cell r="N55">
            <v>300</v>
          </cell>
          <cell r="O55">
            <v>152.4</v>
          </cell>
          <cell r="P55">
            <v>1410.6</v>
          </cell>
          <cell r="Q55">
            <v>1440</v>
          </cell>
          <cell r="T55">
            <v>14.19291338582677</v>
          </cell>
          <cell r="U55">
            <v>4.7440944881889759</v>
          </cell>
          <cell r="V55">
            <v>132.6</v>
          </cell>
          <cell r="W55">
            <v>145.19999999999999</v>
          </cell>
          <cell r="X55">
            <v>109.8</v>
          </cell>
          <cell r="Y55">
            <v>130.6</v>
          </cell>
          <cell r="Z55">
            <v>151.6</v>
          </cell>
          <cell r="AA55">
            <v>169</v>
          </cell>
          <cell r="AB55">
            <v>132.4</v>
          </cell>
          <cell r="AC55">
            <v>102</v>
          </cell>
          <cell r="AD55">
            <v>221.4</v>
          </cell>
          <cell r="AE55">
            <v>115</v>
          </cell>
          <cell r="AF55" t="str">
            <v>сети</v>
          </cell>
          <cell r="AG55">
            <v>1410.6</v>
          </cell>
          <cell r="AH55">
            <v>5</v>
          </cell>
          <cell r="AI55">
            <v>288</v>
          </cell>
          <cell r="AJ55">
            <v>1440</v>
          </cell>
          <cell r="AK55">
            <v>12</v>
          </cell>
          <cell r="AL55">
            <v>84</v>
          </cell>
        </row>
        <row r="56">
          <cell r="A56" t="str">
            <v>Пельмени Супермени с мясом, Горячая штучка 0,2кг    ПОКОМ</v>
          </cell>
          <cell r="B56" t="str">
            <v>шт</v>
          </cell>
          <cell r="G56">
            <v>0</v>
          </cell>
          <cell r="H56">
            <v>180</v>
          </cell>
          <cell r="I56" t="str">
            <v>матрица</v>
          </cell>
          <cell r="K56">
            <v>0</v>
          </cell>
          <cell r="O56">
            <v>0</v>
          </cell>
          <cell r="T56" t="e">
            <v>#DIV/0!</v>
          </cell>
          <cell r="U56" t="e">
            <v>#DIV/0!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 t="str">
            <v>нет потребности</v>
          </cell>
          <cell r="AH56">
            <v>8</v>
          </cell>
          <cell r="AK56">
            <v>8</v>
          </cell>
          <cell r="AL56">
            <v>48</v>
          </cell>
        </row>
        <row r="57">
          <cell r="A57" t="str">
            <v>Пельмени Супермени со сливочным маслом Супермени 0,2 Сфера Горячая штучка  Поком</v>
          </cell>
          <cell r="B57" t="str">
            <v>шт</v>
          </cell>
          <cell r="G57">
            <v>0</v>
          </cell>
          <cell r="H57">
            <v>180</v>
          </cell>
          <cell r="I57" t="str">
            <v>матрица</v>
          </cell>
          <cell r="K57">
            <v>0</v>
          </cell>
          <cell r="O57">
            <v>0</v>
          </cell>
          <cell r="T57" t="e">
            <v>#DIV/0!</v>
          </cell>
          <cell r="U57" t="e">
            <v>#DIV/0!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нет потребности</v>
          </cell>
          <cell r="AH57">
            <v>8</v>
          </cell>
          <cell r="AK57">
            <v>6</v>
          </cell>
          <cell r="AL57">
            <v>72</v>
          </cell>
        </row>
        <row r="58">
          <cell r="A58" t="str">
            <v>Печеные пельмени Печь-мени с мясом Печеные пельмени Фикс.вес 0,2 сфера Вязанка  Поком</v>
          </cell>
          <cell r="B58" t="str">
            <v>шт</v>
          </cell>
          <cell r="G58">
            <v>0</v>
          </cell>
          <cell r="H58">
            <v>180</v>
          </cell>
          <cell r="I58" t="str">
            <v>матрица</v>
          </cell>
          <cell r="K58">
            <v>0</v>
          </cell>
          <cell r="O58">
            <v>0</v>
          </cell>
          <cell r="T58" t="e">
            <v>#DIV/0!</v>
          </cell>
          <cell r="U58" t="e">
            <v>#DIV/0!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 t="str">
            <v>нет потребности / нет в бланке</v>
          </cell>
          <cell r="AH58">
            <v>8</v>
          </cell>
          <cell r="AK58">
            <v>6</v>
          </cell>
          <cell r="AL58">
            <v>72</v>
          </cell>
        </row>
        <row r="59">
          <cell r="A59" t="str">
            <v>Пирожки с мясом 3,7кг ВЕС ТМ Зареченские  ПОКОМ</v>
          </cell>
          <cell r="B59" t="str">
            <v>кг</v>
          </cell>
          <cell r="G59">
            <v>0</v>
          </cell>
          <cell r="H59">
            <v>180</v>
          </cell>
          <cell r="I59" t="str">
            <v>матрица</v>
          </cell>
          <cell r="K59">
            <v>0</v>
          </cell>
          <cell r="O59">
            <v>0</v>
          </cell>
          <cell r="T59" t="e">
            <v>#DIV/0!</v>
          </cell>
          <cell r="U59" t="e">
            <v>#DIV/0!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 t="str">
            <v>нет потребности</v>
          </cell>
          <cell r="AH59">
            <v>3.7</v>
          </cell>
          <cell r="AK59">
            <v>14</v>
          </cell>
          <cell r="AL59">
            <v>126</v>
          </cell>
        </row>
        <row r="60">
          <cell r="A60" t="str">
            <v>Хот-догстер ТМ Горячая штучка ТС Хот-Догстер флоу-пак 0,09 кг.  Поком</v>
          </cell>
          <cell r="B60" t="str">
            <v>шт</v>
          </cell>
          <cell r="C60">
            <v>157</v>
          </cell>
          <cell r="D60">
            <v>1</v>
          </cell>
          <cell r="E60">
            <v>63</v>
          </cell>
          <cell r="F60">
            <v>84</v>
          </cell>
          <cell r="G60">
            <v>0.09</v>
          </cell>
          <cell r="H60">
            <v>180</v>
          </cell>
          <cell r="I60" t="str">
            <v>матрица</v>
          </cell>
          <cell r="J60">
            <v>64</v>
          </cell>
          <cell r="K60">
            <v>-1</v>
          </cell>
          <cell r="N60">
            <v>0</v>
          </cell>
          <cell r="O60">
            <v>12.6</v>
          </cell>
          <cell r="P60">
            <v>0</v>
          </cell>
          <cell r="Q60">
            <v>0</v>
          </cell>
          <cell r="T60">
            <v>6.666666666666667</v>
          </cell>
          <cell r="U60">
            <v>6.666666666666667</v>
          </cell>
          <cell r="V60">
            <v>13</v>
          </cell>
          <cell r="W60">
            <v>13.2</v>
          </cell>
          <cell r="X60">
            <v>12.4</v>
          </cell>
          <cell r="Y60">
            <v>9.1999999999999993</v>
          </cell>
          <cell r="Z60">
            <v>19.600000000000001</v>
          </cell>
          <cell r="AA60">
            <v>21.8</v>
          </cell>
          <cell r="AB60">
            <v>20.399999999999999</v>
          </cell>
          <cell r="AC60">
            <v>28.6</v>
          </cell>
          <cell r="AD60">
            <v>19.8</v>
          </cell>
          <cell r="AE60">
            <v>39</v>
          </cell>
          <cell r="AF60" t="str">
            <v>Есть ли потребность??? (заказ кратно 420шт.)</v>
          </cell>
          <cell r="AG60">
            <v>0</v>
          </cell>
          <cell r="AH60">
            <v>30</v>
          </cell>
          <cell r="AI60">
            <v>0</v>
          </cell>
          <cell r="AJ60">
            <v>0</v>
          </cell>
          <cell r="AK60">
            <v>14</v>
          </cell>
          <cell r="AL60">
            <v>126</v>
          </cell>
        </row>
        <row r="61">
          <cell r="A61" t="str">
            <v>Хотстеры ТМ Горячая штучка ТС Хотстеры 0,25 кг зам  ПОКОМ</v>
          </cell>
          <cell r="B61" t="str">
            <v>шт</v>
          </cell>
          <cell r="C61">
            <v>614</v>
          </cell>
          <cell r="D61">
            <v>978</v>
          </cell>
          <cell r="E61">
            <v>672</v>
          </cell>
          <cell r="F61">
            <v>431</v>
          </cell>
          <cell r="G61">
            <v>0.25</v>
          </cell>
          <cell r="H61">
            <v>180</v>
          </cell>
          <cell r="I61" t="str">
            <v>матрица</v>
          </cell>
          <cell r="J61">
            <v>681</v>
          </cell>
          <cell r="K61">
            <v>-9</v>
          </cell>
          <cell r="N61">
            <v>840</v>
          </cell>
          <cell r="O61">
            <v>134.4</v>
          </cell>
          <cell r="P61">
            <v>610.60000000000014</v>
          </cell>
          <cell r="Q61">
            <v>672</v>
          </cell>
          <cell r="T61">
            <v>14.456845238095237</v>
          </cell>
          <cell r="U61">
            <v>9.4568452380952372</v>
          </cell>
          <cell r="V61">
            <v>158.4</v>
          </cell>
          <cell r="W61">
            <v>151.4</v>
          </cell>
          <cell r="X61">
            <v>147.4</v>
          </cell>
          <cell r="Y61">
            <v>120.4</v>
          </cell>
          <cell r="Z61">
            <v>160</v>
          </cell>
          <cell r="AA61">
            <v>179</v>
          </cell>
          <cell r="AB61">
            <v>117</v>
          </cell>
          <cell r="AC61">
            <v>161</v>
          </cell>
          <cell r="AD61">
            <v>255.6</v>
          </cell>
          <cell r="AE61">
            <v>153.4</v>
          </cell>
          <cell r="AF61" t="str">
            <v>сети</v>
          </cell>
          <cell r="AG61">
            <v>152.65000000000003</v>
          </cell>
          <cell r="AH61">
            <v>12</v>
          </cell>
          <cell r="AI61">
            <v>56</v>
          </cell>
          <cell r="AJ61">
            <v>168</v>
          </cell>
          <cell r="AK61">
            <v>14</v>
          </cell>
          <cell r="AL61">
            <v>70</v>
          </cell>
        </row>
        <row r="62">
          <cell r="A62" t="str">
            <v>Хотстеры с сыром ТМ Горячая штучка ТС Хотстеры 0,25кг.  Поком</v>
          </cell>
          <cell r="B62" t="str">
            <v>шт</v>
          </cell>
          <cell r="C62">
            <v>252</v>
          </cell>
          <cell r="D62">
            <v>15</v>
          </cell>
          <cell r="E62">
            <v>238</v>
          </cell>
          <cell r="F62">
            <v>7</v>
          </cell>
          <cell r="G62">
            <v>0.25</v>
          </cell>
          <cell r="H62">
            <v>180</v>
          </cell>
          <cell r="I62" t="str">
            <v>матрица</v>
          </cell>
          <cell r="J62">
            <v>253</v>
          </cell>
          <cell r="K62">
            <v>-15</v>
          </cell>
          <cell r="N62">
            <v>336</v>
          </cell>
          <cell r="O62">
            <v>47.6</v>
          </cell>
          <cell r="P62">
            <v>323.39999999999998</v>
          </cell>
          <cell r="Q62">
            <v>336</v>
          </cell>
          <cell r="T62">
            <v>14.26470588235294</v>
          </cell>
          <cell r="U62">
            <v>7.2058823529411766</v>
          </cell>
          <cell r="V62">
            <v>53.2</v>
          </cell>
          <cell r="W62">
            <v>34.200000000000003</v>
          </cell>
          <cell r="X62">
            <v>44.2</v>
          </cell>
          <cell r="Y62">
            <v>59.2</v>
          </cell>
          <cell r="Z62">
            <v>13</v>
          </cell>
          <cell r="AA62">
            <v>43.6</v>
          </cell>
          <cell r="AB62">
            <v>57.2</v>
          </cell>
          <cell r="AC62">
            <v>5.2</v>
          </cell>
          <cell r="AD62">
            <v>29</v>
          </cell>
          <cell r="AE62">
            <v>0</v>
          </cell>
          <cell r="AG62">
            <v>80.849999999999994</v>
          </cell>
          <cell r="AH62">
            <v>12</v>
          </cell>
          <cell r="AI62">
            <v>28</v>
          </cell>
          <cell r="AJ62">
            <v>84</v>
          </cell>
          <cell r="AK62">
            <v>14</v>
          </cell>
          <cell r="AL62">
            <v>70</v>
          </cell>
        </row>
        <row r="63">
          <cell r="A63" t="str">
            <v>Хрустящие крылышки ТМ Горячая штучка 0,3 кг зам  ПОКОМ</v>
          </cell>
          <cell r="B63" t="str">
            <v>шт</v>
          </cell>
          <cell r="C63">
            <v>507</v>
          </cell>
          <cell r="D63">
            <v>1520</v>
          </cell>
          <cell r="E63">
            <v>623</v>
          </cell>
          <cell r="F63">
            <v>839</v>
          </cell>
          <cell r="G63">
            <v>0.3</v>
          </cell>
          <cell r="H63">
            <v>180</v>
          </cell>
          <cell r="I63" t="str">
            <v>матрица</v>
          </cell>
          <cell r="J63">
            <v>629</v>
          </cell>
          <cell r="K63">
            <v>-6</v>
          </cell>
          <cell r="N63">
            <v>168</v>
          </cell>
          <cell r="O63">
            <v>124.6</v>
          </cell>
          <cell r="P63">
            <v>737.39999999999986</v>
          </cell>
          <cell r="Q63">
            <v>672</v>
          </cell>
          <cell r="T63">
            <v>13.475120385232746</v>
          </cell>
          <cell r="U63">
            <v>8.0818619582664528</v>
          </cell>
          <cell r="V63">
            <v>138.6</v>
          </cell>
          <cell r="W63">
            <v>162.19999999999999</v>
          </cell>
          <cell r="X63">
            <v>141</v>
          </cell>
          <cell r="Y63">
            <v>133.6</v>
          </cell>
          <cell r="Z63">
            <v>168.8</v>
          </cell>
          <cell r="AA63">
            <v>176.4</v>
          </cell>
          <cell r="AB63">
            <v>132.80000000000001</v>
          </cell>
          <cell r="AC63">
            <v>82</v>
          </cell>
          <cell r="AD63">
            <v>268.2</v>
          </cell>
          <cell r="AE63">
            <v>138</v>
          </cell>
          <cell r="AG63">
            <v>221.21999999999994</v>
          </cell>
          <cell r="AH63">
            <v>12</v>
          </cell>
          <cell r="AI63">
            <v>56</v>
          </cell>
          <cell r="AJ63">
            <v>201.6</v>
          </cell>
          <cell r="AK63">
            <v>14</v>
          </cell>
          <cell r="AL63">
            <v>70</v>
          </cell>
        </row>
        <row r="64">
          <cell r="A64" t="str">
            <v>Хрустящие крылышки ТМ Зареченские ТС Зареченские продукты.   Поком</v>
          </cell>
          <cell r="B64" t="str">
            <v>кг</v>
          </cell>
          <cell r="C64">
            <v>90</v>
          </cell>
          <cell r="D64">
            <v>251.2</v>
          </cell>
          <cell r="E64">
            <v>200.1</v>
          </cell>
          <cell r="F64">
            <v>45.5</v>
          </cell>
          <cell r="G64">
            <v>1</v>
          </cell>
          <cell r="H64">
            <v>180</v>
          </cell>
          <cell r="I64" t="str">
            <v>матрица / Общий прайс</v>
          </cell>
          <cell r="J64">
            <v>198</v>
          </cell>
          <cell r="K64">
            <v>2.0999999999999943</v>
          </cell>
          <cell r="N64">
            <v>291.60000000000002</v>
          </cell>
          <cell r="O64">
            <v>40.019999999999996</v>
          </cell>
          <cell r="P64">
            <v>223.17999999999995</v>
          </cell>
          <cell r="Q64">
            <v>226.79999999999998</v>
          </cell>
          <cell r="T64">
            <v>14.090454772613693</v>
          </cell>
          <cell r="U64">
            <v>8.4232883558220912</v>
          </cell>
          <cell r="V64">
            <v>47.16</v>
          </cell>
          <cell r="W64">
            <v>40.68</v>
          </cell>
          <cell r="X64">
            <v>32.760000000000012</v>
          </cell>
          <cell r="Y64">
            <v>41.04</v>
          </cell>
          <cell r="Z64">
            <v>30.28</v>
          </cell>
          <cell r="AA64">
            <v>34.239999999999988</v>
          </cell>
          <cell r="AB64">
            <v>40.32</v>
          </cell>
          <cell r="AC64">
            <v>42.92</v>
          </cell>
          <cell r="AD64">
            <v>42.16</v>
          </cell>
          <cell r="AE64">
            <v>37.1</v>
          </cell>
          <cell r="AG64">
            <v>223.17999999999995</v>
          </cell>
          <cell r="AH64">
            <v>1.8</v>
          </cell>
          <cell r="AI64">
            <v>125.99999999999999</v>
          </cell>
          <cell r="AJ64">
            <v>226.79999999999998</v>
          </cell>
          <cell r="AK64">
            <v>18</v>
          </cell>
          <cell r="AL64">
            <v>234</v>
          </cell>
        </row>
        <row r="65">
          <cell r="A65" t="str">
            <v>Хрустящие крылышки острые к пиву ТМ Горячая штучка 0,3кг зам  ПОКОМ</v>
          </cell>
          <cell r="B65" t="str">
            <v>шт</v>
          </cell>
          <cell r="C65">
            <v>643</v>
          </cell>
          <cell r="D65">
            <v>1175</v>
          </cell>
          <cell r="E65">
            <v>598</v>
          </cell>
          <cell r="F65">
            <v>696</v>
          </cell>
          <cell r="G65">
            <v>0.3</v>
          </cell>
          <cell r="H65">
            <v>180</v>
          </cell>
          <cell r="I65" t="str">
            <v>матрица</v>
          </cell>
          <cell r="J65">
            <v>598</v>
          </cell>
          <cell r="K65">
            <v>0</v>
          </cell>
          <cell r="N65">
            <v>168</v>
          </cell>
          <cell r="O65">
            <v>119.6</v>
          </cell>
          <cell r="P65">
            <v>810.39999999999986</v>
          </cell>
          <cell r="Q65">
            <v>840</v>
          </cell>
          <cell r="T65">
            <v>14.247491638795987</v>
          </cell>
          <cell r="U65">
            <v>7.2240802675585289</v>
          </cell>
          <cell r="V65">
            <v>124.2</v>
          </cell>
          <cell r="W65">
            <v>141.80000000000001</v>
          </cell>
          <cell r="X65">
            <v>129.80000000000001</v>
          </cell>
          <cell r="Y65">
            <v>133.6</v>
          </cell>
          <cell r="Z65">
            <v>142.80000000000001</v>
          </cell>
          <cell r="AA65">
            <v>164.8</v>
          </cell>
          <cell r="AB65">
            <v>173.6</v>
          </cell>
          <cell r="AC65">
            <v>103.8</v>
          </cell>
          <cell r="AD65">
            <v>205.8</v>
          </cell>
          <cell r="AE65">
            <v>166.4</v>
          </cell>
          <cell r="AG65">
            <v>243.11999999999995</v>
          </cell>
          <cell r="AH65">
            <v>12</v>
          </cell>
          <cell r="AI65">
            <v>70</v>
          </cell>
          <cell r="AJ65">
            <v>252</v>
          </cell>
          <cell r="AK65">
            <v>14</v>
          </cell>
          <cell r="AL65">
            <v>70</v>
          </cell>
        </row>
        <row r="66">
          <cell r="A66" t="str">
            <v>Чебупели Курочка гриль Базовый ассортимент Фикс.вес 0,3 Пакет Горячая штучка  Поком</v>
          </cell>
          <cell r="B66" t="str">
            <v>шт</v>
          </cell>
          <cell r="G66">
            <v>0</v>
          </cell>
          <cell r="H66">
            <v>180</v>
          </cell>
          <cell r="I66" t="str">
            <v>матрица</v>
          </cell>
          <cell r="K66">
            <v>0</v>
          </cell>
          <cell r="O66">
            <v>0</v>
          </cell>
          <cell r="T66" t="e">
            <v>#DIV/0!</v>
          </cell>
          <cell r="U66" t="e">
            <v>#DIV/0!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 t="str">
            <v>нет потребности</v>
          </cell>
          <cell r="AH66">
            <v>14</v>
          </cell>
          <cell r="AK66">
            <v>14</v>
          </cell>
          <cell r="AL66">
            <v>70</v>
          </cell>
        </row>
        <row r="67">
          <cell r="A67" t="str">
            <v>Чебупели с мясом Базовый ассортимент Фикс.вес 0,48 Лоток Горячая штучка ХХЛ  Поком</v>
          </cell>
          <cell r="B67" t="str">
            <v>шт</v>
          </cell>
          <cell r="G67">
            <v>0</v>
          </cell>
          <cell r="H67">
            <v>180</v>
          </cell>
          <cell r="I67" t="str">
            <v>матрица</v>
          </cell>
          <cell r="K67">
            <v>0</v>
          </cell>
          <cell r="O67">
            <v>0</v>
          </cell>
          <cell r="T67" t="e">
            <v>#DIV/0!</v>
          </cell>
          <cell r="U67" t="e">
            <v>#DIV/0!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 t="str">
            <v>нет потребности</v>
          </cell>
          <cell r="AH67">
            <v>8</v>
          </cell>
          <cell r="AK67">
            <v>14</v>
          </cell>
          <cell r="AL67">
            <v>70</v>
          </cell>
        </row>
        <row r="68">
          <cell r="A68" t="str">
            <v>Чебупицца Пепперони ТМ Горячая штучка ТС Чебупицца 0.25кг зам  ПОКОМ</v>
          </cell>
          <cell r="B68" t="str">
            <v>шт</v>
          </cell>
          <cell r="C68">
            <v>445</v>
          </cell>
          <cell r="D68">
            <v>1522</v>
          </cell>
          <cell r="E68">
            <v>743</v>
          </cell>
          <cell r="F68">
            <v>970</v>
          </cell>
          <cell r="G68">
            <v>0.25</v>
          </cell>
          <cell r="H68">
            <v>180</v>
          </cell>
          <cell r="I68" t="str">
            <v>матрица</v>
          </cell>
          <cell r="J68">
            <v>752</v>
          </cell>
          <cell r="K68">
            <v>-9</v>
          </cell>
          <cell r="N68">
            <v>168</v>
          </cell>
          <cell r="O68">
            <v>148.6</v>
          </cell>
          <cell r="P68">
            <v>942.40000000000009</v>
          </cell>
          <cell r="Q68">
            <v>1008</v>
          </cell>
          <cell r="T68">
            <v>14.441453566621805</v>
          </cell>
          <cell r="U68">
            <v>7.6581426648721402</v>
          </cell>
          <cell r="V68">
            <v>159.6</v>
          </cell>
          <cell r="W68">
            <v>189.6</v>
          </cell>
          <cell r="X68">
            <v>145.19999999999999</v>
          </cell>
          <cell r="Y68">
            <v>148</v>
          </cell>
          <cell r="Z68">
            <v>157.4</v>
          </cell>
          <cell r="AA68">
            <v>173.4</v>
          </cell>
          <cell r="AB68">
            <v>154.80000000000001</v>
          </cell>
          <cell r="AC68">
            <v>194</v>
          </cell>
          <cell r="AD68">
            <v>252.4</v>
          </cell>
          <cell r="AE68">
            <v>174.4</v>
          </cell>
          <cell r="AG68">
            <v>235.60000000000002</v>
          </cell>
          <cell r="AH68">
            <v>12</v>
          </cell>
          <cell r="AI68">
            <v>84</v>
          </cell>
          <cell r="AJ68">
            <v>252</v>
          </cell>
          <cell r="AK68">
            <v>14</v>
          </cell>
          <cell r="AL68">
            <v>70</v>
          </cell>
        </row>
        <row r="69">
          <cell r="A69" t="str">
            <v>Чебупицца курочка по-итальянски Горячая штучка 0,25 кг зам  ПОКОМ</v>
          </cell>
          <cell r="B69" t="str">
            <v>шт</v>
          </cell>
          <cell r="C69">
            <v>559</v>
          </cell>
          <cell r="D69">
            <v>1690</v>
          </cell>
          <cell r="E69">
            <v>780</v>
          </cell>
          <cell r="F69">
            <v>1093</v>
          </cell>
          <cell r="G69">
            <v>0.25</v>
          </cell>
          <cell r="H69">
            <v>180</v>
          </cell>
          <cell r="I69" t="str">
            <v>матрица</v>
          </cell>
          <cell r="J69">
            <v>813</v>
          </cell>
          <cell r="K69">
            <v>-33</v>
          </cell>
          <cell r="N69">
            <v>168</v>
          </cell>
          <cell r="O69">
            <v>156</v>
          </cell>
          <cell r="P69">
            <v>923</v>
          </cell>
          <cell r="Q69">
            <v>840</v>
          </cell>
          <cell r="T69">
            <v>13.467948717948717</v>
          </cell>
          <cell r="U69">
            <v>8.0833333333333339</v>
          </cell>
          <cell r="V69">
            <v>172</v>
          </cell>
          <cell r="W69">
            <v>204.4</v>
          </cell>
          <cell r="X69">
            <v>162</v>
          </cell>
          <cell r="Y69">
            <v>130.4</v>
          </cell>
          <cell r="Z69">
            <v>220</v>
          </cell>
          <cell r="AA69">
            <v>195.8</v>
          </cell>
          <cell r="AB69">
            <v>169.6</v>
          </cell>
          <cell r="AC69">
            <v>149.19999999999999</v>
          </cell>
          <cell r="AD69">
            <v>317.39999999999998</v>
          </cell>
          <cell r="AE69">
            <v>185</v>
          </cell>
          <cell r="AF69" t="str">
            <v>сети</v>
          </cell>
          <cell r="AG69">
            <v>230.75</v>
          </cell>
          <cell r="AH69">
            <v>12</v>
          </cell>
          <cell r="AI69">
            <v>70</v>
          </cell>
          <cell r="AJ69">
            <v>210</v>
          </cell>
          <cell r="AK69">
            <v>14</v>
          </cell>
          <cell r="AL69">
            <v>70</v>
          </cell>
        </row>
        <row r="70">
          <cell r="A70" t="str">
            <v>Чебуреки Мясные вес 2,7 кг ТМ Зареченские ТС Зареченские продукты   Поком</v>
          </cell>
          <cell r="B70" t="str">
            <v>кг</v>
          </cell>
          <cell r="C70">
            <v>97.2</v>
          </cell>
          <cell r="D70">
            <v>132.30000000000001</v>
          </cell>
          <cell r="E70">
            <v>5.4</v>
          </cell>
          <cell r="F70">
            <v>126.9</v>
          </cell>
          <cell r="G70">
            <v>1</v>
          </cell>
          <cell r="H70">
            <v>180</v>
          </cell>
          <cell r="I70" t="str">
            <v>матрица</v>
          </cell>
          <cell r="J70">
            <v>5.4</v>
          </cell>
          <cell r="K70">
            <v>0</v>
          </cell>
          <cell r="N70">
            <v>0</v>
          </cell>
          <cell r="O70">
            <v>1.08</v>
          </cell>
          <cell r="Q70">
            <v>0</v>
          </cell>
          <cell r="T70">
            <v>117.5</v>
          </cell>
          <cell r="U70">
            <v>117.5</v>
          </cell>
          <cell r="V70">
            <v>5.94</v>
          </cell>
          <cell r="W70">
            <v>12.42</v>
          </cell>
          <cell r="X70">
            <v>8.64</v>
          </cell>
          <cell r="Y70">
            <v>14.58</v>
          </cell>
          <cell r="Z70">
            <v>12.42</v>
          </cell>
          <cell r="AA70">
            <v>14.04</v>
          </cell>
          <cell r="AB70">
            <v>3.78</v>
          </cell>
          <cell r="AC70">
            <v>3.24</v>
          </cell>
          <cell r="AD70">
            <v>17.28</v>
          </cell>
          <cell r="AE70">
            <v>2.7</v>
          </cell>
          <cell r="AF70" t="str">
            <v>нужно увеличить продажи</v>
          </cell>
          <cell r="AG70">
            <v>0</v>
          </cell>
          <cell r="AH70">
            <v>2.7</v>
          </cell>
          <cell r="AI70">
            <v>0</v>
          </cell>
          <cell r="AJ70">
            <v>0</v>
          </cell>
          <cell r="AK70">
            <v>14</v>
          </cell>
          <cell r="AL70">
            <v>126</v>
          </cell>
        </row>
        <row r="71">
          <cell r="A71" t="str">
            <v>Чебуреки сочные ТМ Зареченские ТС Зареченские продукты.  Поком</v>
          </cell>
          <cell r="B71" t="str">
            <v>кг</v>
          </cell>
          <cell r="C71">
            <v>865</v>
          </cell>
          <cell r="D71">
            <v>620</v>
          </cell>
          <cell r="E71">
            <v>760</v>
          </cell>
          <cell r="F71">
            <v>15</v>
          </cell>
          <cell r="G71">
            <v>1</v>
          </cell>
          <cell r="H71">
            <v>180</v>
          </cell>
          <cell r="I71" t="str">
            <v>матрица</v>
          </cell>
          <cell r="J71">
            <v>763</v>
          </cell>
          <cell r="K71">
            <v>-3</v>
          </cell>
          <cell r="N71">
            <v>240</v>
          </cell>
          <cell r="O71">
            <v>152</v>
          </cell>
          <cell r="P71">
            <v>1569</v>
          </cell>
          <cell r="Q71">
            <v>1560</v>
          </cell>
          <cell r="T71">
            <v>11.940789473684211</v>
          </cell>
          <cell r="U71">
            <v>1.6776315789473684</v>
          </cell>
          <cell r="V71">
            <v>103</v>
          </cell>
          <cell r="W71">
            <v>114</v>
          </cell>
          <cell r="X71">
            <v>123</v>
          </cell>
          <cell r="Y71">
            <v>149</v>
          </cell>
          <cell r="Z71">
            <v>111</v>
          </cell>
          <cell r="AA71">
            <v>123</v>
          </cell>
          <cell r="AB71">
            <v>123</v>
          </cell>
          <cell r="AC71">
            <v>195</v>
          </cell>
          <cell r="AD71">
            <v>157</v>
          </cell>
          <cell r="AE71">
            <v>141</v>
          </cell>
          <cell r="AG71">
            <v>1569</v>
          </cell>
          <cell r="AH71">
            <v>5</v>
          </cell>
          <cell r="AI71">
            <v>312</v>
          </cell>
          <cell r="AJ71">
            <v>1560</v>
          </cell>
          <cell r="AK71">
            <v>12</v>
          </cell>
          <cell r="AL71">
            <v>84</v>
          </cell>
        </row>
        <row r="72">
          <cell r="A72" t="str">
            <v>Чебуречище горячая штучка 0,14кг Поком</v>
          </cell>
          <cell r="B72" t="str">
            <v>шт</v>
          </cell>
          <cell r="C72">
            <v>376</v>
          </cell>
          <cell r="D72">
            <v>1120</v>
          </cell>
          <cell r="E72">
            <v>827</v>
          </cell>
          <cell r="F72">
            <v>605</v>
          </cell>
          <cell r="G72">
            <v>0.14000000000000001</v>
          </cell>
          <cell r="H72">
            <v>180</v>
          </cell>
          <cell r="I72" t="str">
            <v>матрица</v>
          </cell>
          <cell r="J72">
            <v>827</v>
          </cell>
          <cell r="K72">
            <v>0</v>
          </cell>
          <cell r="N72">
            <v>792</v>
          </cell>
          <cell r="O72">
            <v>165.4</v>
          </cell>
          <cell r="P72">
            <v>918.59999999999991</v>
          </cell>
          <cell r="Q72">
            <v>792</v>
          </cell>
          <cell r="T72">
            <v>13.234582829504232</v>
          </cell>
          <cell r="U72">
            <v>8.4461910519951626</v>
          </cell>
          <cell r="V72">
            <v>178.2</v>
          </cell>
          <cell r="W72">
            <v>183</v>
          </cell>
          <cell r="X72">
            <v>145.4</v>
          </cell>
          <cell r="Y72">
            <v>107.4</v>
          </cell>
          <cell r="Z72">
            <v>159.19999999999999</v>
          </cell>
          <cell r="AA72">
            <v>171</v>
          </cell>
          <cell r="AB72">
            <v>103.2</v>
          </cell>
          <cell r="AC72">
            <v>52.8</v>
          </cell>
          <cell r="AD72">
            <v>133.6</v>
          </cell>
          <cell r="AE72">
            <v>74</v>
          </cell>
          <cell r="AF72" t="str">
            <v>сети</v>
          </cell>
          <cell r="AG72">
            <v>128.60400000000001</v>
          </cell>
          <cell r="AH72">
            <v>22</v>
          </cell>
          <cell r="AI72">
            <v>36</v>
          </cell>
          <cell r="AJ72">
            <v>110.88000000000001</v>
          </cell>
          <cell r="AK72">
            <v>12</v>
          </cell>
          <cell r="AL72">
            <v>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16" sqref="AL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7" customWidth="1"/>
    <col min="8" max="8" width="5" customWidth="1"/>
    <col min="9" max="9" width="9" customWidth="1"/>
    <col min="10" max="10" width="6.42578125" customWidth="1"/>
    <col min="11" max="11" width="5.42578125" customWidth="1"/>
    <col min="12" max="14" width="0.42578125" customWidth="1"/>
    <col min="15" max="15" width="6" customWidth="1"/>
    <col min="16" max="18" width="7" customWidth="1"/>
    <col min="19" max="19" width="20" customWidth="1"/>
    <col min="20" max="21" width="5" customWidth="1"/>
    <col min="22" max="22" width="6" customWidth="1"/>
    <col min="23" max="23" width="24" customWidth="1"/>
    <col min="24" max="24" width="6" customWidth="1"/>
    <col min="25" max="25" width="6" style="7" customWidth="1"/>
    <col min="26" max="26" width="6" style="14" customWidth="1"/>
    <col min="27" max="27" width="6" customWidth="1"/>
    <col min="28" max="29" width="5" customWidth="1"/>
    <col min="30" max="30" width="6" style="14" customWidth="1"/>
    <col min="31" max="50" width="5" customWidth="1"/>
  </cols>
  <sheetData>
    <row r="1" spans="1:50" x14ac:dyDescent="0.25">
      <c r="A1" s="9"/>
      <c r="B1" s="9"/>
      <c r="C1" s="9"/>
      <c r="D1" s="9"/>
      <c r="E1" s="9"/>
      <c r="F1" s="9"/>
      <c r="G1" s="5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5"/>
      <c r="Z1" s="11"/>
      <c r="AA1" s="9"/>
      <c r="AB1" s="9"/>
      <c r="AC1" s="9"/>
      <c r="AD1" s="11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1:50" x14ac:dyDescent="0.25">
      <c r="A2" s="9"/>
      <c r="B2" s="9"/>
      <c r="C2" s="9"/>
      <c r="D2" s="9"/>
      <c r="E2" s="9"/>
      <c r="F2" s="9"/>
      <c r="G2" s="5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5"/>
      <c r="Z2" s="11"/>
      <c r="AA2" s="9"/>
      <c r="AB2" s="9"/>
      <c r="AC2" s="9"/>
      <c r="AD2" s="11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2" t="s">
        <v>15</v>
      </c>
      <c r="Q3" s="2" t="s">
        <v>16</v>
      </c>
      <c r="R3" s="10" t="s">
        <v>17</v>
      </c>
      <c r="S3" s="10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6" t="s">
        <v>24</v>
      </c>
      <c r="Z3" s="12" t="s">
        <v>25</v>
      </c>
      <c r="AA3" s="1" t="s">
        <v>26</v>
      </c>
      <c r="AB3" s="1" t="s">
        <v>27</v>
      </c>
      <c r="AC3" s="1" t="s">
        <v>28</v>
      </c>
      <c r="AD3" s="12" t="s">
        <v>29</v>
      </c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</row>
    <row r="4" spans="1:50" x14ac:dyDescent="0.25">
      <c r="A4" s="9"/>
      <c r="B4" s="9"/>
      <c r="C4" s="9"/>
      <c r="D4" s="9"/>
      <c r="E4" s="9"/>
      <c r="F4" s="9"/>
      <c r="G4" s="5"/>
      <c r="H4" s="9"/>
      <c r="I4" s="9"/>
      <c r="J4" s="9"/>
      <c r="K4" s="9"/>
      <c r="L4" s="9"/>
      <c r="M4" s="9"/>
      <c r="N4" s="9" t="s">
        <v>30</v>
      </c>
      <c r="O4" s="9" t="s">
        <v>31</v>
      </c>
      <c r="P4" s="9"/>
      <c r="Q4" s="9"/>
      <c r="R4" s="9"/>
      <c r="S4" s="9"/>
      <c r="T4" s="9"/>
      <c r="U4" s="9"/>
      <c r="V4" s="9" t="s">
        <v>30</v>
      </c>
      <c r="W4" s="9"/>
      <c r="X4" s="9"/>
      <c r="Y4" s="5"/>
      <c r="Z4" s="11" t="s">
        <v>162</v>
      </c>
      <c r="AA4" s="9"/>
      <c r="AB4" s="9"/>
      <c r="AC4" s="9"/>
      <c r="AD4" s="11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</row>
    <row r="5" spans="1:50" x14ac:dyDescent="0.25">
      <c r="A5" s="9"/>
      <c r="B5" s="9"/>
      <c r="C5" s="9"/>
      <c r="D5" s="9"/>
      <c r="E5" s="3">
        <f>SUM(E6:E493)</f>
        <v>2853.28</v>
      </c>
      <c r="F5" s="3">
        <f>SUM(F6:F493)</f>
        <v>21093.98</v>
      </c>
      <c r="G5" s="5"/>
      <c r="H5" s="9"/>
      <c r="I5" s="9"/>
      <c r="J5" s="3">
        <f t="shared" ref="J5:R5" si="0">SUM(J6:J493)</f>
        <v>3132.1400000000003</v>
      </c>
      <c r="K5" s="3">
        <f t="shared" si="0"/>
        <v>-278.85999999999996</v>
      </c>
      <c r="L5" s="3">
        <f t="shared" si="0"/>
        <v>0</v>
      </c>
      <c r="M5" s="3">
        <f t="shared" si="0"/>
        <v>0</v>
      </c>
      <c r="N5" s="3">
        <f t="shared" si="0"/>
        <v>0</v>
      </c>
      <c r="O5" s="3">
        <f t="shared" si="0"/>
        <v>570.65600000000018</v>
      </c>
      <c r="P5" s="3">
        <f t="shared" si="0"/>
        <v>660.5</v>
      </c>
      <c r="Q5" s="3">
        <f t="shared" si="0"/>
        <v>661.8</v>
      </c>
      <c r="R5" s="3">
        <f t="shared" si="0"/>
        <v>0</v>
      </c>
      <c r="S5" s="9"/>
      <c r="T5" s="9"/>
      <c r="U5" s="9"/>
      <c r="V5" s="3">
        <f>SUM(V6:V493)</f>
        <v>0</v>
      </c>
      <c r="W5" s="9"/>
      <c r="X5" s="3">
        <f>SUM(X6:X493)</f>
        <v>396.5</v>
      </c>
      <c r="Y5" s="5"/>
      <c r="Z5" s="13">
        <f>SUM(Z6:Z493)</f>
        <v>78</v>
      </c>
      <c r="AA5" s="3">
        <f>SUM(AA6:AA493)</f>
        <v>361.8</v>
      </c>
      <c r="AB5" s="9"/>
      <c r="AC5" s="9"/>
      <c r="AD5" s="13">
        <f>SUM(AD6:AD493)</f>
        <v>0.93968253968253967</v>
      </c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</row>
    <row r="6" spans="1:50" x14ac:dyDescent="0.25">
      <c r="A6" s="22" t="s">
        <v>32</v>
      </c>
      <c r="B6" s="20" t="s">
        <v>33</v>
      </c>
      <c r="C6" s="20"/>
      <c r="D6" s="20"/>
      <c r="E6" s="25">
        <v>17</v>
      </c>
      <c r="F6" s="25">
        <v>-17</v>
      </c>
      <c r="G6" s="21">
        <v>0</v>
      </c>
      <c r="H6" s="20"/>
      <c r="I6" s="22" t="s">
        <v>34</v>
      </c>
      <c r="J6" s="20">
        <v>20</v>
      </c>
      <c r="K6" s="20">
        <f t="shared" ref="K6:K37" si="1">E6-J6</f>
        <v>-3</v>
      </c>
      <c r="L6" s="20"/>
      <c r="M6" s="20"/>
      <c r="N6" s="20"/>
      <c r="O6" s="20">
        <f>E6/5</f>
        <v>3.4</v>
      </c>
      <c r="P6" s="23"/>
      <c r="Q6" s="23"/>
      <c r="R6" s="23"/>
      <c r="S6" s="20"/>
      <c r="T6" s="20">
        <f t="shared" ref="T6:T7" si="2">(F6+Q6)/O6</f>
        <v>-5</v>
      </c>
      <c r="U6" s="20">
        <f t="shared" ref="U6:U7" si="3">F6/O6</f>
        <v>-5</v>
      </c>
      <c r="V6" s="20" t="s">
        <v>30</v>
      </c>
      <c r="W6" s="22"/>
      <c r="X6" s="20"/>
      <c r="Y6" s="21"/>
      <c r="Z6" s="24"/>
      <c r="AA6" s="20"/>
      <c r="AB6" s="20"/>
      <c r="AC6" s="20"/>
      <c r="AD6" s="24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</row>
    <row r="7" spans="1:50" x14ac:dyDescent="0.25">
      <c r="A7" s="22" t="s">
        <v>35</v>
      </c>
      <c r="B7" s="20" t="s">
        <v>33</v>
      </c>
      <c r="C7" s="20"/>
      <c r="D7" s="20"/>
      <c r="E7" s="25">
        <v>13</v>
      </c>
      <c r="F7" s="25">
        <v>-13</v>
      </c>
      <c r="G7" s="21">
        <v>0</v>
      </c>
      <c r="H7" s="20"/>
      <c r="I7" s="22" t="s">
        <v>34</v>
      </c>
      <c r="J7" s="20">
        <v>19</v>
      </c>
      <c r="K7" s="20">
        <f t="shared" si="1"/>
        <v>-6</v>
      </c>
      <c r="L7" s="20"/>
      <c r="M7" s="20"/>
      <c r="N7" s="20"/>
      <c r="O7" s="20">
        <f t="shared" ref="O7:O70" si="4">E7/5</f>
        <v>2.6</v>
      </c>
      <c r="P7" s="23"/>
      <c r="Q7" s="23"/>
      <c r="R7" s="23"/>
      <c r="S7" s="20"/>
      <c r="T7" s="20">
        <f t="shared" si="2"/>
        <v>-5</v>
      </c>
      <c r="U7" s="20">
        <f t="shared" si="3"/>
        <v>-5</v>
      </c>
      <c r="V7" s="20" t="s">
        <v>30</v>
      </c>
      <c r="W7" s="22"/>
      <c r="X7" s="20"/>
      <c r="Y7" s="21"/>
      <c r="Z7" s="24"/>
      <c r="AA7" s="20"/>
      <c r="AB7" s="20"/>
      <c r="AC7" s="20"/>
      <c r="AD7" s="24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</row>
    <row r="8" spans="1:50" x14ac:dyDescent="0.25">
      <c r="A8" s="9" t="s">
        <v>36</v>
      </c>
      <c r="B8" s="9" t="s">
        <v>37</v>
      </c>
      <c r="C8" s="9"/>
      <c r="D8" s="9">
        <v>60</v>
      </c>
      <c r="E8" s="9">
        <v>10</v>
      </c>
      <c r="F8" s="9">
        <v>50</v>
      </c>
      <c r="G8" s="5">
        <v>1</v>
      </c>
      <c r="H8" s="9">
        <v>90</v>
      </c>
      <c r="I8" s="9" t="s">
        <v>38</v>
      </c>
      <c r="J8" s="9">
        <v>15</v>
      </c>
      <c r="K8" s="9">
        <f t="shared" si="1"/>
        <v>-5</v>
      </c>
      <c r="L8" s="9"/>
      <c r="M8" s="9"/>
      <c r="N8" s="9"/>
      <c r="O8" s="9">
        <f t="shared" si="4"/>
        <v>2</v>
      </c>
      <c r="P8" s="4"/>
      <c r="Q8" s="4">
        <f t="shared" ref="Q8:Q17" si="5">Y8*Z8</f>
        <v>0</v>
      </c>
      <c r="R8" s="4"/>
      <c r="S8" s="9"/>
      <c r="T8" s="9">
        <f>(F8+Q8)/O8</f>
        <v>25</v>
      </c>
      <c r="U8" s="9">
        <f>F8/O8</f>
        <v>25</v>
      </c>
      <c r="V8" s="9" t="s">
        <v>30</v>
      </c>
      <c r="W8" s="9"/>
      <c r="X8" s="9">
        <f t="shared" ref="X8:X17" si="6">G8*P8</f>
        <v>0</v>
      </c>
      <c r="Y8" s="5">
        <v>5</v>
      </c>
      <c r="Z8" s="11">
        <f t="shared" ref="Z8:Z17" si="7">MROUND(P8, Y8*AB8)/Y8</f>
        <v>0</v>
      </c>
      <c r="AA8" s="9">
        <f t="shared" ref="AA8:AA17" si="8">Z8*Y8*G8</f>
        <v>0</v>
      </c>
      <c r="AB8" s="9">
        <v>12</v>
      </c>
      <c r="AC8" s="9">
        <v>144</v>
      </c>
      <c r="AD8" s="11">
        <f t="shared" ref="AD8:AD17" si="9">Z8/AC8</f>
        <v>0</v>
      </c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</row>
    <row r="9" spans="1:50" x14ac:dyDescent="0.25">
      <c r="A9" s="9" t="s">
        <v>39</v>
      </c>
      <c r="B9" s="9" t="s">
        <v>33</v>
      </c>
      <c r="C9" s="9"/>
      <c r="D9" s="9">
        <v>168</v>
      </c>
      <c r="E9" s="9">
        <v>21</v>
      </c>
      <c r="F9" s="9">
        <v>147</v>
      </c>
      <c r="G9" s="5">
        <v>0.3</v>
      </c>
      <c r="H9" s="9">
        <v>180</v>
      </c>
      <c r="I9" s="9" t="s">
        <v>40</v>
      </c>
      <c r="J9" s="9">
        <v>22</v>
      </c>
      <c r="K9" s="9">
        <f t="shared" si="1"/>
        <v>-1</v>
      </c>
      <c r="L9" s="9"/>
      <c r="M9" s="9"/>
      <c r="N9" s="9"/>
      <c r="O9" s="9">
        <f t="shared" si="4"/>
        <v>4.2</v>
      </c>
      <c r="P9" s="4"/>
      <c r="Q9" s="4">
        <f t="shared" si="5"/>
        <v>0</v>
      </c>
      <c r="R9" s="4"/>
      <c r="S9" s="9"/>
      <c r="T9" s="9">
        <f t="shared" ref="T9:T70" si="10">(F9+Q9)/O9</f>
        <v>35</v>
      </c>
      <c r="U9" s="9">
        <f t="shared" ref="U9:U70" si="11">F9/O9</f>
        <v>35</v>
      </c>
      <c r="V9" s="9" t="s">
        <v>30</v>
      </c>
      <c r="W9" s="9"/>
      <c r="X9" s="9">
        <f t="shared" si="6"/>
        <v>0</v>
      </c>
      <c r="Y9" s="5">
        <v>12</v>
      </c>
      <c r="Z9" s="11">
        <f t="shared" si="7"/>
        <v>0</v>
      </c>
      <c r="AA9" s="9">
        <f t="shared" si="8"/>
        <v>0</v>
      </c>
      <c r="AB9" s="9">
        <v>14</v>
      </c>
      <c r="AC9" s="9">
        <v>70</v>
      </c>
      <c r="AD9" s="11">
        <f t="shared" si="9"/>
        <v>0</v>
      </c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</row>
    <row r="10" spans="1:50" x14ac:dyDescent="0.25">
      <c r="A10" s="9" t="s">
        <v>41</v>
      </c>
      <c r="B10" s="9" t="s">
        <v>33</v>
      </c>
      <c r="C10" s="9"/>
      <c r="D10" s="9">
        <v>336</v>
      </c>
      <c r="E10" s="9">
        <v>52</v>
      </c>
      <c r="F10" s="9">
        <v>280</v>
      </c>
      <c r="G10" s="5">
        <v>0.3</v>
      </c>
      <c r="H10" s="9">
        <v>180</v>
      </c>
      <c r="I10" s="9" t="s">
        <v>42</v>
      </c>
      <c r="J10" s="9">
        <v>58</v>
      </c>
      <c r="K10" s="9">
        <f t="shared" si="1"/>
        <v>-6</v>
      </c>
      <c r="L10" s="9"/>
      <c r="M10" s="9"/>
      <c r="N10" s="9"/>
      <c r="O10" s="9">
        <f t="shared" si="4"/>
        <v>10.4</v>
      </c>
      <c r="P10" s="4"/>
      <c r="Q10" s="4">
        <f t="shared" si="5"/>
        <v>0</v>
      </c>
      <c r="R10" s="4"/>
      <c r="S10" s="9"/>
      <c r="T10" s="9">
        <f t="shared" si="10"/>
        <v>26.923076923076923</v>
      </c>
      <c r="U10" s="9">
        <f t="shared" si="11"/>
        <v>26.923076923076923</v>
      </c>
      <c r="V10" s="9" t="s">
        <v>30</v>
      </c>
      <c r="W10" s="9"/>
      <c r="X10" s="9">
        <f t="shared" si="6"/>
        <v>0</v>
      </c>
      <c r="Y10" s="5">
        <f>VLOOKUP(A10,[1]Sheet!$A:$AH,34,0)</f>
        <v>12</v>
      </c>
      <c r="Z10" s="11">
        <f t="shared" si="7"/>
        <v>0</v>
      </c>
      <c r="AA10" s="9">
        <f t="shared" si="8"/>
        <v>0</v>
      </c>
      <c r="AB10" s="9">
        <f>VLOOKUP(A10,[1]Sheet!$A:$AL,37,0)</f>
        <v>14</v>
      </c>
      <c r="AC10" s="9">
        <f>VLOOKUP(A10,[1]Sheet!$A:$AL,38,0)</f>
        <v>70</v>
      </c>
      <c r="AD10" s="11">
        <f t="shared" si="9"/>
        <v>0</v>
      </c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</row>
    <row r="11" spans="1:50" x14ac:dyDescent="0.25">
      <c r="A11" s="9" t="s">
        <v>43</v>
      </c>
      <c r="B11" s="9" t="s">
        <v>33</v>
      </c>
      <c r="C11" s="9"/>
      <c r="D11" s="9">
        <v>672</v>
      </c>
      <c r="E11" s="9">
        <v>108</v>
      </c>
      <c r="F11" s="9">
        <v>564</v>
      </c>
      <c r="G11" s="5">
        <v>0.3</v>
      </c>
      <c r="H11" s="9">
        <v>180</v>
      </c>
      <c r="I11" s="9" t="s">
        <v>44</v>
      </c>
      <c r="J11" s="9">
        <v>125</v>
      </c>
      <c r="K11" s="9">
        <f t="shared" si="1"/>
        <v>-17</v>
      </c>
      <c r="L11" s="9"/>
      <c r="M11" s="9"/>
      <c r="N11" s="9"/>
      <c r="O11" s="9">
        <f t="shared" si="4"/>
        <v>21.6</v>
      </c>
      <c r="P11" s="4"/>
      <c r="Q11" s="4">
        <f t="shared" si="5"/>
        <v>0</v>
      </c>
      <c r="R11" s="4"/>
      <c r="S11" s="9"/>
      <c r="T11" s="9">
        <f t="shared" si="10"/>
        <v>26.111111111111111</v>
      </c>
      <c r="U11" s="9">
        <f t="shared" si="11"/>
        <v>26.111111111111111</v>
      </c>
      <c r="V11" s="9" t="s">
        <v>30</v>
      </c>
      <c r="W11" s="9"/>
      <c r="X11" s="9">
        <f t="shared" si="6"/>
        <v>0</v>
      </c>
      <c r="Y11" s="5">
        <f>VLOOKUP(A11,[1]Sheet!$A:$AH,34,0)</f>
        <v>12</v>
      </c>
      <c r="Z11" s="11">
        <f t="shared" si="7"/>
        <v>0</v>
      </c>
      <c r="AA11" s="9">
        <f t="shared" si="8"/>
        <v>0</v>
      </c>
      <c r="AB11" s="9">
        <f>VLOOKUP(A11,[1]Sheet!$A:$AL,37,0)</f>
        <v>14</v>
      </c>
      <c r="AC11" s="9">
        <f>VLOOKUP(A11,[1]Sheet!$A:$AL,38,0)</f>
        <v>70</v>
      </c>
      <c r="AD11" s="11">
        <f t="shared" si="9"/>
        <v>0</v>
      </c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</row>
    <row r="12" spans="1:50" x14ac:dyDescent="0.25">
      <c r="A12" s="9" t="s">
        <v>45</v>
      </c>
      <c r="B12" s="9" t="s">
        <v>33</v>
      </c>
      <c r="C12" s="9"/>
      <c r="D12" s="9">
        <v>336</v>
      </c>
      <c r="E12" s="9">
        <v>29</v>
      </c>
      <c r="F12" s="9">
        <v>303</v>
      </c>
      <c r="G12" s="5">
        <v>0.3</v>
      </c>
      <c r="H12" s="9">
        <v>180</v>
      </c>
      <c r="I12" s="9" t="s">
        <v>46</v>
      </c>
      <c r="J12" s="9">
        <v>33</v>
      </c>
      <c r="K12" s="9">
        <f t="shared" si="1"/>
        <v>-4</v>
      </c>
      <c r="L12" s="9"/>
      <c r="M12" s="9"/>
      <c r="N12" s="9"/>
      <c r="O12" s="9">
        <f t="shared" si="4"/>
        <v>5.8</v>
      </c>
      <c r="P12" s="4"/>
      <c r="Q12" s="4">
        <f t="shared" si="5"/>
        <v>0</v>
      </c>
      <c r="R12" s="4"/>
      <c r="S12" s="9"/>
      <c r="T12" s="9">
        <f t="shared" si="10"/>
        <v>52.241379310344833</v>
      </c>
      <c r="U12" s="9">
        <f t="shared" si="11"/>
        <v>52.241379310344833</v>
      </c>
      <c r="V12" s="9" t="s">
        <v>30</v>
      </c>
      <c r="W12" s="9"/>
      <c r="X12" s="9">
        <f t="shared" si="6"/>
        <v>0</v>
      </c>
      <c r="Y12" s="5">
        <f>VLOOKUP(A12,[1]Sheet!$A:$AH,34,0)</f>
        <v>12</v>
      </c>
      <c r="Z12" s="11">
        <f t="shared" si="7"/>
        <v>0</v>
      </c>
      <c r="AA12" s="9">
        <f t="shared" si="8"/>
        <v>0</v>
      </c>
      <c r="AB12" s="9">
        <f>VLOOKUP(A12,[1]Sheet!$A:$AL,37,0)</f>
        <v>14</v>
      </c>
      <c r="AC12" s="9">
        <f>VLOOKUP(A12,[1]Sheet!$A:$AL,38,0)</f>
        <v>70</v>
      </c>
      <c r="AD12" s="11">
        <f t="shared" si="9"/>
        <v>0</v>
      </c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</row>
    <row r="13" spans="1:50" x14ac:dyDescent="0.25">
      <c r="A13" s="9" t="s">
        <v>47</v>
      </c>
      <c r="B13" s="9" t="s">
        <v>33</v>
      </c>
      <c r="C13" s="9"/>
      <c r="D13" s="9">
        <v>1344</v>
      </c>
      <c r="E13" s="25">
        <f>133+E6</f>
        <v>150</v>
      </c>
      <c r="F13" s="25">
        <f>1217+F6</f>
        <v>1200</v>
      </c>
      <c r="G13" s="5">
        <v>0.3</v>
      </c>
      <c r="H13" s="9">
        <v>180</v>
      </c>
      <c r="I13" s="9" t="s">
        <v>48</v>
      </c>
      <c r="J13" s="9">
        <v>143</v>
      </c>
      <c r="K13" s="9">
        <f t="shared" si="1"/>
        <v>7</v>
      </c>
      <c r="L13" s="9"/>
      <c r="M13" s="9"/>
      <c r="N13" s="9"/>
      <c r="O13" s="9">
        <f t="shared" si="4"/>
        <v>30</v>
      </c>
      <c r="P13" s="4"/>
      <c r="Q13" s="4">
        <f t="shared" si="5"/>
        <v>0</v>
      </c>
      <c r="R13" s="4"/>
      <c r="S13" s="9"/>
      <c r="T13" s="9">
        <f t="shared" si="10"/>
        <v>40</v>
      </c>
      <c r="U13" s="9">
        <f t="shared" si="11"/>
        <v>40</v>
      </c>
      <c r="V13" s="9" t="s">
        <v>30</v>
      </c>
      <c r="W13" s="9"/>
      <c r="X13" s="9">
        <f t="shared" si="6"/>
        <v>0</v>
      </c>
      <c r="Y13" s="5">
        <f>VLOOKUP(A13,[1]Sheet!$A:$AH,34,0)</f>
        <v>12</v>
      </c>
      <c r="Z13" s="11">
        <f t="shared" si="7"/>
        <v>0</v>
      </c>
      <c r="AA13" s="9">
        <f t="shared" si="8"/>
        <v>0</v>
      </c>
      <c r="AB13" s="9">
        <f>VLOOKUP(A13,[1]Sheet!$A:$AL,37,0)</f>
        <v>14</v>
      </c>
      <c r="AC13" s="9">
        <f>VLOOKUP(A13,[1]Sheet!$A:$AL,38,0)</f>
        <v>70</v>
      </c>
      <c r="AD13" s="11">
        <f t="shared" si="9"/>
        <v>0</v>
      </c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</row>
    <row r="14" spans="1:50" x14ac:dyDescent="0.25">
      <c r="A14" s="9" t="s">
        <v>49</v>
      </c>
      <c r="B14" s="9" t="s">
        <v>33</v>
      </c>
      <c r="C14" s="9"/>
      <c r="D14" s="9">
        <v>336</v>
      </c>
      <c r="E14" s="9">
        <v>56</v>
      </c>
      <c r="F14" s="9">
        <v>270</v>
      </c>
      <c r="G14" s="5">
        <v>0.09</v>
      </c>
      <c r="H14" s="9">
        <v>180</v>
      </c>
      <c r="I14" s="9" t="s">
        <v>50</v>
      </c>
      <c r="J14" s="9">
        <v>56</v>
      </c>
      <c r="K14" s="9">
        <f t="shared" si="1"/>
        <v>0</v>
      </c>
      <c r="L14" s="9"/>
      <c r="M14" s="9"/>
      <c r="N14" s="9"/>
      <c r="O14" s="9">
        <f t="shared" si="4"/>
        <v>11.2</v>
      </c>
      <c r="P14" s="4"/>
      <c r="Q14" s="4">
        <f t="shared" si="5"/>
        <v>0</v>
      </c>
      <c r="R14" s="4"/>
      <c r="S14" s="9"/>
      <c r="T14" s="9">
        <f t="shared" si="10"/>
        <v>24.107142857142858</v>
      </c>
      <c r="U14" s="9">
        <f t="shared" si="11"/>
        <v>24.107142857142858</v>
      </c>
      <c r="V14" s="9" t="s">
        <v>30</v>
      </c>
      <c r="W14" s="9"/>
      <c r="X14" s="9">
        <f t="shared" si="6"/>
        <v>0</v>
      </c>
      <c r="Y14" s="5">
        <f>VLOOKUP(A14,[1]Sheet!$A:$AH,34,0)</f>
        <v>24</v>
      </c>
      <c r="Z14" s="11">
        <f t="shared" si="7"/>
        <v>0</v>
      </c>
      <c r="AA14" s="9">
        <f t="shared" si="8"/>
        <v>0</v>
      </c>
      <c r="AB14" s="9">
        <f>VLOOKUP(A14,[1]Sheet!$A:$AL,37,0)</f>
        <v>14</v>
      </c>
      <c r="AC14" s="9">
        <f>VLOOKUP(A14,[1]Sheet!$A:$AL,38,0)</f>
        <v>126</v>
      </c>
      <c r="AD14" s="11">
        <f t="shared" si="9"/>
        <v>0</v>
      </c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</row>
    <row r="15" spans="1:50" x14ac:dyDescent="0.25">
      <c r="A15" s="8" t="s">
        <v>51</v>
      </c>
      <c r="B15" s="9" t="s">
        <v>33</v>
      </c>
      <c r="C15" s="9"/>
      <c r="D15" s="9">
        <v>280</v>
      </c>
      <c r="E15" s="9">
        <v>40</v>
      </c>
      <c r="F15" s="9">
        <v>231</v>
      </c>
      <c r="G15" s="5">
        <v>0.36</v>
      </c>
      <c r="H15" s="9">
        <v>180</v>
      </c>
      <c r="I15" s="9" t="s">
        <v>52</v>
      </c>
      <c r="J15" s="9">
        <v>44</v>
      </c>
      <c r="K15" s="9">
        <f t="shared" si="1"/>
        <v>-4</v>
      </c>
      <c r="L15" s="9"/>
      <c r="M15" s="9"/>
      <c r="N15" s="9"/>
      <c r="O15" s="9">
        <f t="shared" si="4"/>
        <v>8</v>
      </c>
      <c r="P15" s="4"/>
      <c r="Q15" s="4">
        <f t="shared" si="5"/>
        <v>0</v>
      </c>
      <c r="R15" s="4"/>
      <c r="S15" s="9"/>
      <c r="T15" s="9">
        <f t="shared" si="10"/>
        <v>28.875</v>
      </c>
      <c r="U15" s="9">
        <f t="shared" si="11"/>
        <v>28.875</v>
      </c>
      <c r="V15" s="9" t="s">
        <v>30</v>
      </c>
      <c r="W15" s="9"/>
      <c r="X15" s="9">
        <f t="shared" si="6"/>
        <v>0</v>
      </c>
      <c r="Y15" s="5">
        <f>VLOOKUP(A15,[1]Sheet!$A:$AH,34,0)</f>
        <v>10</v>
      </c>
      <c r="Z15" s="11">
        <f t="shared" si="7"/>
        <v>0</v>
      </c>
      <c r="AA15" s="9">
        <f t="shared" si="8"/>
        <v>0</v>
      </c>
      <c r="AB15" s="9">
        <f>VLOOKUP(A15,[1]Sheet!$A:$AL,37,0)</f>
        <v>14</v>
      </c>
      <c r="AC15" s="9">
        <f>VLOOKUP(A15,[1]Sheet!$A:$AL,38,0)</f>
        <v>70</v>
      </c>
      <c r="AD15" s="11">
        <f t="shared" si="9"/>
        <v>0</v>
      </c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</row>
    <row r="16" spans="1:50" x14ac:dyDescent="0.25">
      <c r="A16" s="9" t="s">
        <v>53</v>
      </c>
      <c r="B16" s="9" t="s">
        <v>33</v>
      </c>
      <c r="C16" s="9"/>
      <c r="D16" s="9">
        <v>336</v>
      </c>
      <c r="E16" s="9">
        <v>69</v>
      </c>
      <c r="F16" s="9">
        <v>263</v>
      </c>
      <c r="G16" s="5">
        <v>0.25</v>
      </c>
      <c r="H16" s="9">
        <v>180</v>
      </c>
      <c r="I16" s="9" t="s">
        <v>54</v>
      </c>
      <c r="J16" s="9">
        <v>85</v>
      </c>
      <c r="K16" s="9">
        <f t="shared" si="1"/>
        <v>-16</v>
      </c>
      <c r="L16" s="9"/>
      <c r="M16" s="9"/>
      <c r="N16" s="9"/>
      <c r="O16" s="9">
        <f t="shared" si="4"/>
        <v>13.8</v>
      </c>
      <c r="P16" s="4">
        <f>30*O16-F16</f>
        <v>151</v>
      </c>
      <c r="Q16" s="4">
        <f t="shared" si="5"/>
        <v>168</v>
      </c>
      <c r="R16" s="4"/>
      <c r="S16" s="9"/>
      <c r="T16" s="9">
        <f t="shared" si="10"/>
        <v>31.231884057971012</v>
      </c>
      <c r="U16" s="9">
        <f t="shared" si="11"/>
        <v>19.057971014492754</v>
      </c>
      <c r="V16" s="9" t="s">
        <v>30</v>
      </c>
      <c r="W16" s="9"/>
      <c r="X16" s="9">
        <f t="shared" si="6"/>
        <v>37.75</v>
      </c>
      <c r="Y16" s="5">
        <f>VLOOKUP(A16,[1]Sheet!$A:$AH,34,0)</f>
        <v>12</v>
      </c>
      <c r="Z16" s="11">
        <f t="shared" si="7"/>
        <v>14</v>
      </c>
      <c r="AA16" s="9">
        <f t="shared" si="8"/>
        <v>42</v>
      </c>
      <c r="AB16" s="9">
        <f>VLOOKUP(A16,[1]Sheet!$A:$AL,37,0)</f>
        <v>14</v>
      </c>
      <c r="AC16" s="9">
        <f>VLOOKUP(A16,[1]Sheet!$A:$AL,38,0)</f>
        <v>70</v>
      </c>
      <c r="AD16" s="11">
        <f t="shared" si="9"/>
        <v>0.2</v>
      </c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</row>
    <row r="17" spans="1:50" x14ac:dyDescent="0.25">
      <c r="A17" s="9" t="s">
        <v>55</v>
      </c>
      <c r="B17" s="9" t="s">
        <v>33</v>
      </c>
      <c r="C17" s="9"/>
      <c r="D17" s="9">
        <v>336</v>
      </c>
      <c r="E17" s="9">
        <v>59</v>
      </c>
      <c r="F17" s="9">
        <v>275</v>
      </c>
      <c r="G17" s="5">
        <v>0.25</v>
      </c>
      <c r="H17" s="9">
        <v>180</v>
      </c>
      <c r="I17" s="9" t="s">
        <v>56</v>
      </c>
      <c r="J17" s="9">
        <v>61</v>
      </c>
      <c r="K17" s="9">
        <f t="shared" si="1"/>
        <v>-2</v>
      </c>
      <c r="L17" s="9"/>
      <c r="M17" s="9"/>
      <c r="N17" s="9"/>
      <c r="O17" s="9">
        <f t="shared" si="4"/>
        <v>11.8</v>
      </c>
      <c r="P17" s="4"/>
      <c r="Q17" s="4">
        <f t="shared" si="5"/>
        <v>0</v>
      </c>
      <c r="R17" s="4"/>
      <c r="S17" s="9"/>
      <c r="T17" s="9">
        <f t="shared" si="10"/>
        <v>23.305084745762709</v>
      </c>
      <c r="U17" s="9">
        <f t="shared" si="11"/>
        <v>23.305084745762709</v>
      </c>
      <c r="V17" s="9" t="s">
        <v>30</v>
      </c>
      <c r="W17" s="9"/>
      <c r="X17" s="9">
        <f t="shared" si="6"/>
        <v>0</v>
      </c>
      <c r="Y17" s="5">
        <f>VLOOKUP(A17,[1]Sheet!$A:$AH,34,0)</f>
        <v>12</v>
      </c>
      <c r="Z17" s="11">
        <f t="shared" si="7"/>
        <v>0</v>
      </c>
      <c r="AA17" s="9">
        <f t="shared" si="8"/>
        <v>0</v>
      </c>
      <c r="AB17" s="9">
        <f>VLOOKUP(A17,[1]Sheet!$A:$AL,37,0)</f>
        <v>14</v>
      </c>
      <c r="AC17" s="9">
        <f>VLOOKUP(A17,[1]Sheet!$A:$AL,38,0)</f>
        <v>70</v>
      </c>
      <c r="AD17" s="11">
        <f t="shared" si="9"/>
        <v>0</v>
      </c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</row>
    <row r="18" spans="1:50" x14ac:dyDescent="0.25">
      <c r="A18" s="20" t="s">
        <v>57</v>
      </c>
      <c r="B18" s="20" t="s">
        <v>37</v>
      </c>
      <c r="C18" s="20"/>
      <c r="D18" s="20"/>
      <c r="E18" s="25">
        <v>4.7</v>
      </c>
      <c r="F18" s="25">
        <v>-4.7</v>
      </c>
      <c r="G18" s="21">
        <v>0</v>
      </c>
      <c r="H18" s="20">
        <v>180</v>
      </c>
      <c r="I18" s="22" t="s">
        <v>58</v>
      </c>
      <c r="J18" s="20">
        <v>4.7</v>
      </c>
      <c r="K18" s="20">
        <f t="shared" si="1"/>
        <v>0</v>
      </c>
      <c r="L18" s="20"/>
      <c r="M18" s="20"/>
      <c r="N18" s="20"/>
      <c r="O18" s="20">
        <f t="shared" si="4"/>
        <v>0.94000000000000006</v>
      </c>
      <c r="P18" s="23"/>
      <c r="Q18" s="23"/>
      <c r="R18" s="23"/>
      <c r="S18" s="22"/>
      <c r="T18" s="20">
        <f t="shared" si="10"/>
        <v>-5</v>
      </c>
      <c r="U18" s="20">
        <f t="shared" si="11"/>
        <v>-5</v>
      </c>
      <c r="V18" s="20" t="s">
        <v>30</v>
      </c>
      <c r="W18" s="22" t="s">
        <v>58</v>
      </c>
      <c r="X18" s="20"/>
      <c r="Y18" s="21"/>
      <c r="Z18" s="24"/>
      <c r="AA18" s="20"/>
      <c r="AB18" s="20"/>
      <c r="AC18" s="20"/>
      <c r="AD18" s="24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</row>
    <row r="19" spans="1:50" x14ac:dyDescent="0.25">
      <c r="A19" s="9" t="s">
        <v>59</v>
      </c>
      <c r="B19" s="9" t="s">
        <v>37</v>
      </c>
      <c r="C19" s="9"/>
      <c r="D19" s="9">
        <v>207.2</v>
      </c>
      <c r="E19" s="25">
        <f>29.6+E18</f>
        <v>34.300000000000004</v>
      </c>
      <c r="F19" s="25">
        <f>177.6+F18</f>
        <v>172.9</v>
      </c>
      <c r="G19" s="5">
        <v>1</v>
      </c>
      <c r="H19" s="9">
        <v>180</v>
      </c>
      <c r="I19" s="9" t="s">
        <v>60</v>
      </c>
      <c r="J19" s="9">
        <v>33.299999999999997</v>
      </c>
      <c r="K19" s="9">
        <f t="shared" si="1"/>
        <v>1.0000000000000071</v>
      </c>
      <c r="L19" s="9"/>
      <c r="M19" s="9"/>
      <c r="N19" s="9"/>
      <c r="O19" s="9">
        <f t="shared" si="4"/>
        <v>6.8600000000000012</v>
      </c>
      <c r="P19" s="4"/>
      <c r="Q19" s="4">
        <f t="shared" ref="Q19:Q27" si="12">Y19*Z19</f>
        <v>0</v>
      </c>
      <c r="R19" s="4"/>
      <c r="S19" s="8"/>
      <c r="T19" s="9">
        <f t="shared" si="10"/>
        <v>25.204081632653057</v>
      </c>
      <c r="U19" s="9">
        <f t="shared" si="11"/>
        <v>25.204081632653057</v>
      </c>
      <c r="V19" s="9" t="s">
        <v>30</v>
      </c>
      <c r="W19" s="8" t="s">
        <v>61</v>
      </c>
      <c r="X19" s="9">
        <f t="shared" ref="X19:X27" si="13">G19*P19</f>
        <v>0</v>
      </c>
      <c r="Y19" s="5">
        <v>3.7</v>
      </c>
      <c r="Z19" s="11">
        <f t="shared" ref="Z19:Z27" si="14">MROUND(P19, Y19*AB19)/Y19</f>
        <v>0</v>
      </c>
      <c r="AA19" s="9">
        <f t="shared" ref="AA19:AA27" si="15">Z19*Y19*G19</f>
        <v>0</v>
      </c>
      <c r="AB19" s="9">
        <v>14</v>
      </c>
      <c r="AC19" s="9">
        <v>126</v>
      </c>
      <c r="AD19" s="11">
        <f t="shared" ref="AD19:AD27" si="16">Z19/AC19</f>
        <v>0</v>
      </c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</row>
    <row r="20" spans="1:50" x14ac:dyDescent="0.25">
      <c r="A20" s="9" t="s">
        <v>62</v>
      </c>
      <c r="B20" s="9" t="s">
        <v>37</v>
      </c>
      <c r="C20" s="9"/>
      <c r="D20" s="9">
        <v>198</v>
      </c>
      <c r="E20" s="9">
        <v>16.5</v>
      </c>
      <c r="F20" s="9">
        <v>181.5</v>
      </c>
      <c r="G20" s="5">
        <v>1</v>
      </c>
      <c r="H20" s="9">
        <v>180</v>
      </c>
      <c r="I20" s="9" t="s">
        <v>63</v>
      </c>
      <c r="J20" s="9">
        <v>16.5</v>
      </c>
      <c r="K20" s="9">
        <f t="shared" si="1"/>
        <v>0</v>
      </c>
      <c r="L20" s="9"/>
      <c r="M20" s="9"/>
      <c r="N20" s="9"/>
      <c r="O20" s="9">
        <f t="shared" si="4"/>
        <v>3.3</v>
      </c>
      <c r="P20" s="4"/>
      <c r="Q20" s="4">
        <f t="shared" si="12"/>
        <v>0</v>
      </c>
      <c r="R20" s="4"/>
      <c r="S20" s="9"/>
      <c r="T20" s="9">
        <f t="shared" si="10"/>
        <v>55</v>
      </c>
      <c r="U20" s="9">
        <f t="shared" si="11"/>
        <v>55</v>
      </c>
      <c r="V20" s="9" t="s">
        <v>30</v>
      </c>
      <c r="W20" s="9"/>
      <c r="X20" s="9">
        <f t="shared" si="13"/>
        <v>0</v>
      </c>
      <c r="Y20" s="5">
        <v>5.5</v>
      </c>
      <c r="Z20" s="11">
        <f t="shared" si="14"/>
        <v>0</v>
      </c>
      <c r="AA20" s="9">
        <f t="shared" si="15"/>
        <v>0</v>
      </c>
      <c r="AB20" s="9">
        <v>12</v>
      </c>
      <c r="AC20" s="9">
        <v>84</v>
      </c>
      <c r="AD20" s="11">
        <f t="shared" si="16"/>
        <v>0</v>
      </c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</row>
    <row r="21" spans="1:50" x14ac:dyDescent="0.25">
      <c r="A21" s="9" t="s">
        <v>64</v>
      </c>
      <c r="B21" s="9" t="s">
        <v>37</v>
      </c>
      <c r="C21" s="9"/>
      <c r="D21" s="9">
        <v>126</v>
      </c>
      <c r="E21" s="9">
        <v>3</v>
      </c>
      <c r="F21" s="9">
        <v>123</v>
      </c>
      <c r="G21" s="5">
        <v>1</v>
      </c>
      <c r="H21" s="9">
        <v>180</v>
      </c>
      <c r="I21" s="9" t="s">
        <v>65</v>
      </c>
      <c r="J21" s="9">
        <v>9.6999999999999993</v>
      </c>
      <c r="K21" s="9">
        <f t="shared" si="1"/>
        <v>-6.6999999999999993</v>
      </c>
      <c r="L21" s="9"/>
      <c r="M21" s="9"/>
      <c r="N21" s="9"/>
      <c r="O21" s="9">
        <f t="shared" si="4"/>
        <v>0.6</v>
      </c>
      <c r="P21" s="4"/>
      <c r="Q21" s="4">
        <f t="shared" si="12"/>
        <v>0</v>
      </c>
      <c r="R21" s="4"/>
      <c r="S21" s="9"/>
      <c r="T21" s="9">
        <f t="shared" si="10"/>
        <v>205</v>
      </c>
      <c r="U21" s="9">
        <f t="shared" si="11"/>
        <v>205</v>
      </c>
      <c r="V21" s="9" t="s">
        <v>30</v>
      </c>
      <c r="W21" s="9"/>
      <c r="X21" s="9">
        <f t="shared" si="13"/>
        <v>0</v>
      </c>
      <c r="Y21" s="5">
        <v>3</v>
      </c>
      <c r="Z21" s="11">
        <f t="shared" si="14"/>
        <v>0</v>
      </c>
      <c r="AA21" s="9">
        <f t="shared" si="15"/>
        <v>0</v>
      </c>
      <c r="AB21" s="9">
        <v>14</v>
      </c>
      <c r="AC21" s="9">
        <v>126</v>
      </c>
      <c r="AD21" s="11">
        <f t="shared" si="16"/>
        <v>0</v>
      </c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</row>
    <row r="22" spans="1:50" x14ac:dyDescent="0.25">
      <c r="A22" s="9" t="s">
        <v>66</v>
      </c>
      <c r="B22" s="9" t="s">
        <v>33</v>
      </c>
      <c r="C22" s="9"/>
      <c r="D22" s="9">
        <v>420</v>
      </c>
      <c r="E22" s="9">
        <v>57</v>
      </c>
      <c r="F22" s="9">
        <v>365</v>
      </c>
      <c r="G22" s="5">
        <v>0.25</v>
      </c>
      <c r="H22" s="9">
        <v>365</v>
      </c>
      <c r="I22" s="9" t="s">
        <v>67</v>
      </c>
      <c r="J22" s="9">
        <v>60</v>
      </c>
      <c r="K22" s="9">
        <f t="shared" si="1"/>
        <v>-3</v>
      </c>
      <c r="L22" s="9"/>
      <c r="M22" s="9"/>
      <c r="N22" s="9"/>
      <c r="O22" s="9">
        <f t="shared" si="4"/>
        <v>11.4</v>
      </c>
      <c r="P22" s="4"/>
      <c r="Q22" s="4">
        <f t="shared" si="12"/>
        <v>0</v>
      </c>
      <c r="R22" s="4"/>
      <c r="S22" s="9"/>
      <c r="T22" s="9">
        <f t="shared" si="10"/>
        <v>32.017543859649123</v>
      </c>
      <c r="U22" s="9">
        <f t="shared" si="11"/>
        <v>32.017543859649123</v>
      </c>
      <c r="V22" s="9" t="s">
        <v>30</v>
      </c>
      <c r="W22" s="9"/>
      <c r="X22" s="9">
        <f t="shared" si="13"/>
        <v>0</v>
      </c>
      <c r="Y22" s="5">
        <f>VLOOKUP(A22,[1]Sheet!$A:$AH,34,0)</f>
        <v>6</v>
      </c>
      <c r="Z22" s="11">
        <f t="shared" si="14"/>
        <v>0</v>
      </c>
      <c r="AA22" s="9">
        <f t="shared" si="15"/>
        <v>0</v>
      </c>
      <c r="AB22" s="9">
        <f>VLOOKUP(A22,[1]Sheet!$A:$AL,37,0)</f>
        <v>14</v>
      </c>
      <c r="AC22" s="9">
        <f>VLOOKUP(A22,[1]Sheet!$A:$AL,38,0)</f>
        <v>140</v>
      </c>
      <c r="AD22" s="11">
        <f t="shared" si="16"/>
        <v>0</v>
      </c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</row>
    <row r="23" spans="1:50" x14ac:dyDescent="0.25">
      <c r="A23" s="9" t="s">
        <v>68</v>
      </c>
      <c r="B23" s="9" t="s">
        <v>33</v>
      </c>
      <c r="C23" s="9"/>
      <c r="D23" s="9">
        <v>588</v>
      </c>
      <c r="E23" s="9">
        <v>71</v>
      </c>
      <c r="F23" s="9">
        <v>518</v>
      </c>
      <c r="G23" s="5">
        <v>0.25</v>
      </c>
      <c r="H23" s="9">
        <v>365</v>
      </c>
      <c r="I23" s="9" t="s">
        <v>69</v>
      </c>
      <c r="J23" s="9">
        <v>77</v>
      </c>
      <c r="K23" s="9">
        <f t="shared" si="1"/>
        <v>-6</v>
      </c>
      <c r="L23" s="9"/>
      <c r="M23" s="9"/>
      <c r="N23" s="9"/>
      <c r="O23" s="9">
        <f t="shared" si="4"/>
        <v>14.2</v>
      </c>
      <c r="P23" s="4"/>
      <c r="Q23" s="4">
        <f t="shared" si="12"/>
        <v>0</v>
      </c>
      <c r="R23" s="4"/>
      <c r="S23" s="9"/>
      <c r="T23" s="9">
        <f t="shared" si="10"/>
        <v>36.478873239436624</v>
      </c>
      <c r="U23" s="9">
        <f t="shared" si="11"/>
        <v>36.478873239436624</v>
      </c>
      <c r="V23" s="9" t="s">
        <v>30</v>
      </c>
      <c r="W23" s="9"/>
      <c r="X23" s="9">
        <f t="shared" si="13"/>
        <v>0</v>
      </c>
      <c r="Y23" s="5">
        <f>VLOOKUP(A23,[1]Sheet!$A:$AH,34,0)</f>
        <v>6</v>
      </c>
      <c r="Z23" s="11">
        <f t="shared" si="14"/>
        <v>0</v>
      </c>
      <c r="AA23" s="9">
        <f t="shared" si="15"/>
        <v>0</v>
      </c>
      <c r="AB23" s="9">
        <f>VLOOKUP(A23,[1]Sheet!$A:$AL,37,0)</f>
        <v>14</v>
      </c>
      <c r="AC23" s="9">
        <f>VLOOKUP(A23,[1]Sheet!$A:$AL,38,0)</f>
        <v>140</v>
      </c>
      <c r="AD23" s="11">
        <f t="shared" si="16"/>
        <v>0</v>
      </c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</row>
    <row r="24" spans="1:50" x14ac:dyDescent="0.25">
      <c r="A24" s="9" t="s">
        <v>70</v>
      </c>
      <c r="B24" s="9" t="s">
        <v>37</v>
      </c>
      <c r="C24" s="9"/>
      <c r="D24" s="9">
        <v>576</v>
      </c>
      <c r="E24" s="25">
        <f>24+E28</f>
        <v>30</v>
      </c>
      <c r="F24" s="25">
        <f>552+F28</f>
        <v>546</v>
      </c>
      <c r="G24" s="5">
        <v>1</v>
      </c>
      <c r="H24" s="9">
        <v>180</v>
      </c>
      <c r="I24" s="9" t="s">
        <v>71</v>
      </c>
      <c r="J24" s="9">
        <v>24</v>
      </c>
      <c r="K24" s="9">
        <f t="shared" si="1"/>
        <v>6</v>
      </c>
      <c r="L24" s="9"/>
      <c r="M24" s="9"/>
      <c r="N24" s="9"/>
      <c r="O24" s="9">
        <f t="shared" si="4"/>
        <v>6</v>
      </c>
      <c r="P24" s="4"/>
      <c r="Q24" s="4">
        <f t="shared" si="12"/>
        <v>0</v>
      </c>
      <c r="R24" s="4"/>
      <c r="S24" s="8"/>
      <c r="T24" s="9">
        <f t="shared" si="10"/>
        <v>91</v>
      </c>
      <c r="U24" s="9">
        <f t="shared" si="11"/>
        <v>91</v>
      </c>
      <c r="V24" s="9" t="s">
        <v>30</v>
      </c>
      <c r="W24" s="8" t="s">
        <v>61</v>
      </c>
      <c r="X24" s="9">
        <f t="shared" si="13"/>
        <v>0</v>
      </c>
      <c r="Y24" s="5">
        <v>6</v>
      </c>
      <c r="Z24" s="11">
        <f t="shared" si="14"/>
        <v>0</v>
      </c>
      <c r="AA24" s="9">
        <f t="shared" si="15"/>
        <v>0</v>
      </c>
      <c r="AB24" s="9">
        <v>12</v>
      </c>
      <c r="AC24" s="9">
        <v>84</v>
      </c>
      <c r="AD24" s="11">
        <f t="shared" si="16"/>
        <v>0</v>
      </c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</row>
    <row r="25" spans="1:50" x14ac:dyDescent="0.25">
      <c r="A25" s="9" t="s">
        <v>72</v>
      </c>
      <c r="B25" s="9" t="s">
        <v>33</v>
      </c>
      <c r="C25" s="9"/>
      <c r="D25" s="9">
        <v>336</v>
      </c>
      <c r="E25" s="9">
        <v>78</v>
      </c>
      <c r="F25" s="9">
        <v>265</v>
      </c>
      <c r="G25" s="5">
        <v>0.25</v>
      </c>
      <c r="H25" s="9">
        <v>365</v>
      </c>
      <c r="I25" s="9" t="s">
        <v>73</v>
      </c>
      <c r="J25" s="9">
        <v>85</v>
      </c>
      <c r="K25" s="9">
        <f t="shared" si="1"/>
        <v>-7</v>
      </c>
      <c r="L25" s="9"/>
      <c r="M25" s="9"/>
      <c r="N25" s="9"/>
      <c r="O25" s="9">
        <f t="shared" si="4"/>
        <v>15.6</v>
      </c>
      <c r="P25" s="4">
        <f t="shared" ref="P25" si="17">25*O25-F25</f>
        <v>125</v>
      </c>
      <c r="Q25" s="4">
        <f t="shared" si="12"/>
        <v>168</v>
      </c>
      <c r="R25" s="4"/>
      <c r="S25" s="9"/>
      <c r="T25" s="9">
        <f t="shared" si="10"/>
        <v>27.756410256410255</v>
      </c>
      <c r="U25" s="9">
        <f t="shared" si="11"/>
        <v>16.987179487179489</v>
      </c>
      <c r="V25" s="9" t="s">
        <v>30</v>
      </c>
      <c r="W25" s="9"/>
      <c r="X25" s="9">
        <f t="shared" si="13"/>
        <v>31.25</v>
      </c>
      <c r="Y25" s="5">
        <f>VLOOKUP(A25,[1]Sheet!$A:$AH,34,0)</f>
        <v>12</v>
      </c>
      <c r="Z25" s="11">
        <f t="shared" si="14"/>
        <v>14</v>
      </c>
      <c r="AA25" s="9">
        <f t="shared" si="15"/>
        <v>42</v>
      </c>
      <c r="AB25" s="9">
        <f>VLOOKUP(A25,[1]Sheet!$A:$AL,37,0)</f>
        <v>14</v>
      </c>
      <c r="AC25" s="9">
        <f>VLOOKUP(A25,[1]Sheet!$A:$AL,38,0)</f>
        <v>70</v>
      </c>
      <c r="AD25" s="11">
        <f t="shared" si="16"/>
        <v>0.2</v>
      </c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</row>
    <row r="26" spans="1:50" x14ac:dyDescent="0.25">
      <c r="A26" s="9" t="s">
        <v>74</v>
      </c>
      <c r="B26" s="9" t="s">
        <v>33</v>
      </c>
      <c r="C26" s="9"/>
      <c r="D26" s="9">
        <v>336</v>
      </c>
      <c r="E26" s="9">
        <v>61</v>
      </c>
      <c r="F26" s="9">
        <v>276</v>
      </c>
      <c r="G26" s="5">
        <v>0.25</v>
      </c>
      <c r="H26" s="9">
        <v>365</v>
      </c>
      <c r="I26" s="9" t="s">
        <v>75</v>
      </c>
      <c r="J26" s="9">
        <v>66</v>
      </c>
      <c r="K26" s="9">
        <f t="shared" si="1"/>
        <v>-5</v>
      </c>
      <c r="L26" s="9"/>
      <c r="M26" s="9"/>
      <c r="N26" s="9"/>
      <c r="O26" s="9">
        <f t="shared" si="4"/>
        <v>12.2</v>
      </c>
      <c r="P26" s="4"/>
      <c r="Q26" s="4">
        <f t="shared" si="12"/>
        <v>0</v>
      </c>
      <c r="R26" s="4"/>
      <c r="S26" s="9"/>
      <c r="T26" s="9">
        <f t="shared" si="10"/>
        <v>22.622950819672134</v>
      </c>
      <c r="U26" s="9">
        <f t="shared" si="11"/>
        <v>22.622950819672134</v>
      </c>
      <c r="V26" s="9" t="s">
        <v>30</v>
      </c>
      <c r="W26" s="9"/>
      <c r="X26" s="9">
        <f t="shared" si="13"/>
        <v>0</v>
      </c>
      <c r="Y26" s="5">
        <f>VLOOKUP(A26,[1]Sheet!$A:$AH,34,0)</f>
        <v>12</v>
      </c>
      <c r="Z26" s="11">
        <f t="shared" si="14"/>
        <v>0</v>
      </c>
      <c r="AA26" s="9">
        <f t="shared" si="15"/>
        <v>0</v>
      </c>
      <c r="AB26" s="9">
        <f>VLOOKUP(A26,[1]Sheet!$A:$AL,37,0)</f>
        <v>14</v>
      </c>
      <c r="AC26" s="9">
        <f>VLOOKUP(A26,[1]Sheet!$A:$AL,38,0)</f>
        <v>70</v>
      </c>
      <c r="AD26" s="11">
        <f t="shared" si="16"/>
        <v>0</v>
      </c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</row>
    <row r="27" spans="1:50" x14ac:dyDescent="0.25">
      <c r="A27" s="9" t="s">
        <v>76</v>
      </c>
      <c r="B27" s="9" t="s">
        <v>33</v>
      </c>
      <c r="C27" s="9"/>
      <c r="D27" s="9">
        <v>840</v>
      </c>
      <c r="E27" s="9">
        <v>67</v>
      </c>
      <c r="F27" s="9">
        <v>775</v>
      </c>
      <c r="G27" s="5">
        <v>0.25</v>
      </c>
      <c r="H27" s="9">
        <v>180</v>
      </c>
      <c r="I27" s="9" t="s">
        <v>77</v>
      </c>
      <c r="J27" s="9">
        <v>72</v>
      </c>
      <c r="K27" s="9">
        <f t="shared" si="1"/>
        <v>-5</v>
      </c>
      <c r="L27" s="9"/>
      <c r="M27" s="9"/>
      <c r="N27" s="9"/>
      <c r="O27" s="9">
        <f t="shared" si="4"/>
        <v>13.4</v>
      </c>
      <c r="P27" s="4"/>
      <c r="Q27" s="4">
        <f t="shared" si="12"/>
        <v>0</v>
      </c>
      <c r="R27" s="4"/>
      <c r="S27" s="9"/>
      <c r="T27" s="9">
        <f t="shared" si="10"/>
        <v>57.835820895522389</v>
      </c>
      <c r="U27" s="9">
        <f t="shared" si="11"/>
        <v>57.835820895522389</v>
      </c>
      <c r="V27" s="9" t="s">
        <v>30</v>
      </c>
      <c r="W27" s="9"/>
      <c r="X27" s="9">
        <f t="shared" si="13"/>
        <v>0</v>
      </c>
      <c r="Y27" s="5">
        <f>VLOOKUP(A27,[1]Sheet!$A:$AH,34,0)</f>
        <v>12</v>
      </c>
      <c r="Z27" s="11">
        <f t="shared" si="14"/>
        <v>0</v>
      </c>
      <c r="AA27" s="9">
        <f t="shared" si="15"/>
        <v>0</v>
      </c>
      <c r="AB27" s="9">
        <f>VLOOKUP(A27,[1]Sheet!$A:$AL,37,0)</f>
        <v>14</v>
      </c>
      <c r="AC27" s="9">
        <f>VLOOKUP(A27,[1]Sheet!$A:$AL,38,0)</f>
        <v>70</v>
      </c>
      <c r="AD27" s="11">
        <f t="shared" si="16"/>
        <v>0</v>
      </c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</row>
    <row r="28" spans="1:50" x14ac:dyDescent="0.25">
      <c r="A28" s="20" t="s">
        <v>78</v>
      </c>
      <c r="B28" s="20" t="s">
        <v>37</v>
      </c>
      <c r="C28" s="20"/>
      <c r="D28" s="20"/>
      <c r="E28" s="25">
        <v>6</v>
      </c>
      <c r="F28" s="25">
        <v>-6</v>
      </c>
      <c r="G28" s="21">
        <v>0</v>
      </c>
      <c r="H28" s="20">
        <v>180</v>
      </c>
      <c r="I28" s="22" t="s">
        <v>58</v>
      </c>
      <c r="J28" s="20">
        <v>6</v>
      </c>
      <c r="K28" s="20">
        <f t="shared" si="1"/>
        <v>0</v>
      </c>
      <c r="L28" s="20"/>
      <c r="M28" s="20"/>
      <c r="N28" s="20"/>
      <c r="O28" s="20">
        <f t="shared" si="4"/>
        <v>1.2</v>
      </c>
      <c r="P28" s="23"/>
      <c r="Q28" s="23"/>
      <c r="R28" s="23"/>
      <c r="S28" s="22"/>
      <c r="T28" s="20">
        <f t="shared" si="10"/>
        <v>-5</v>
      </c>
      <c r="U28" s="20">
        <f t="shared" si="11"/>
        <v>-5</v>
      </c>
      <c r="V28" s="20" t="s">
        <v>30</v>
      </c>
      <c r="W28" s="22" t="s">
        <v>58</v>
      </c>
      <c r="X28" s="20"/>
      <c r="Y28" s="21"/>
      <c r="Z28" s="24"/>
      <c r="AA28" s="20"/>
      <c r="AB28" s="20"/>
      <c r="AC28" s="20"/>
      <c r="AD28" s="24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</row>
    <row r="29" spans="1:50" x14ac:dyDescent="0.25">
      <c r="A29" s="9" t="s">
        <v>79</v>
      </c>
      <c r="B29" s="9" t="s">
        <v>33</v>
      </c>
      <c r="C29" s="9"/>
      <c r="D29" s="9">
        <v>168</v>
      </c>
      <c r="E29" s="9">
        <v>26</v>
      </c>
      <c r="F29" s="9">
        <v>137</v>
      </c>
      <c r="G29" s="5">
        <v>0.25</v>
      </c>
      <c r="H29" s="9">
        <v>180</v>
      </c>
      <c r="I29" s="9" t="s">
        <v>80</v>
      </c>
      <c r="J29" s="9">
        <v>27</v>
      </c>
      <c r="K29" s="9">
        <f t="shared" si="1"/>
        <v>-1</v>
      </c>
      <c r="L29" s="9"/>
      <c r="M29" s="9"/>
      <c r="N29" s="9"/>
      <c r="O29" s="9">
        <f t="shared" si="4"/>
        <v>5.2</v>
      </c>
      <c r="P29" s="4"/>
      <c r="Q29" s="4">
        <f t="shared" ref="Q29:Q60" si="18">Y29*Z29</f>
        <v>0</v>
      </c>
      <c r="R29" s="4"/>
      <c r="S29" s="9"/>
      <c r="T29" s="9">
        <f t="shared" si="10"/>
        <v>26.346153846153847</v>
      </c>
      <c r="U29" s="9">
        <f t="shared" si="11"/>
        <v>26.346153846153847</v>
      </c>
      <c r="V29" s="9" t="s">
        <v>30</v>
      </c>
      <c r="W29" s="9"/>
      <c r="X29" s="9">
        <f t="shared" ref="X29:X47" si="19">G29*P29</f>
        <v>0</v>
      </c>
      <c r="Y29" s="5">
        <f>VLOOKUP(A29,[1]Sheet!$A:$AH,34,0)</f>
        <v>12</v>
      </c>
      <c r="Z29" s="11">
        <f t="shared" ref="Z29:Z59" si="20">MROUND(P29, Y29*AB29)/Y29</f>
        <v>0</v>
      </c>
      <c r="AA29" s="9">
        <f t="shared" ref="AA29:AA59" si="21">Z29*Y29*G29</f>
        <v>0</v>
      </c>
      <c r="AB29" s="9">
        <f>VLOOKUP(A29,[1]Sheet!$A:$AL,37,0)</f>
        <v>14</v>
      </c>
      <c r="AC29" s="9">
        <f>VLOOKUP(A29,[1]Sheet!$A:$AL,38,0)</f>
        <v>70</v>
      </c>
      <c r="AD29" s="11">
        <f t="shared" ref="AD29:AD58" si="22">Z29/AC29</f>
        <v>0</v>
      </c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</row>
    <row r="30" spans="1:50" x14ac:dyDescent="0.25">
      <c r="A30" s="9" t="s">
        <v>81</v>
      </c>
      <c r="B30" s="9" t="s">
        <v>33</v>
      </c>
      <c r="C30" s="9"/>
      <c r="D30" s="9">
        <v>120</v>
      </c>
      <c r="E30" s="9">
        <v>13</v>
      </c>
      <c r="F30" s="9">
        <v>107</v>
      </c>
      <c r="G30" s="5">
        <v>0.7</v>
      </c>
      <c r="H30" s="9">
        <v>180</v>
      </c>
      <c r="I30" s="9" t="s">
        <v>82</v>
      </c>
      <c r="J30" s="9">
        <v>13</v>
      </c>
      <c r="K30" s="9">
        <f t="shared" si="1"/>
        <v>0</v>
      </c>
      <c r="L30" s="9"/>
      <c r="M30" s="9"/>
      <c r="N30" s="9"/>
      <c r="O30" s="9">
        <f t="shared" si="4"/>
        <v>2.6</v>
      </c>
      <c r="P30" s="4"/>
      <c r="Q30" s="4">
        <f t="shared" si="18"/>
        <v>0</v>
      </c>
      <c r="R30" s="4"/>
      <c r="S30" s="9"/>
      <c r="T30" s="9">
        <f t="shared" si="10"/>
        <v>41.153846153846153</v>
      </c>
      <c r="U30" s="9">
        <f t="shared" si="11"/>
        <v>41.153846153846153</v>
      </c>
      <c r="V30" s="9" t="s">
        <v>30</v>
      </c>
      <c r="W30" s="9"/>
      <c r="X30" s="9">
        <f t="shared" si="19"/>
        <v>0</v>
      </c>
      <c r="Y30" s="5">
        <v>10</v>
      </c>
      <c r="Z30" s="11">
        <f t="shared" si="20"/>
        <v>0</v>
      </c>
      <c r="AA30" s="9">
        <f t="shared" si="21"/>
        <v>0</v>
      </c>
      <c r="AB30" s="9">
        <v>12</v>
      </c>
      <c r="AC30" s="9">
        <v>84</v>
      </c>
      <c r="AD30" s="11">
        <f t="shared" si="22"/>
        <v>0</v>
      </c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</row>
    <row r="31" spans="1:50" x14ac:dyDescent="0.25">
      <c r="A31" s="9" t="s">
        <v>83</v>
      </c>
      <c r="B31" s="9" t="s">
        <v>33</v>
      </c>
      <c r="C31" s="9"/>
      <c r="D31" s="9">
        <v>192</v>
      </c>
      <c r="E31" s="9">
        <v>18</v>
      </c>
      <c r="F31" s="9">
        <v>173</v>
      </c>
      <c r="G31" s="5">
        <v>0.4</v>
      </c>
      <c r="H31" s="9">
        <v>180</v>
      </c>
      <c r="I31" s="9" t="s">
        <v>84</v>
      </c>
      <c r="J31" s="9">
        <v>26</v>
      </c>
      <c r="K31" s="9">
        <f t="shared" si="1"/>
        <v>-8</v>
      </c>
      <c r="L31" s="9"/>
      <c r="M31" s="9"/>
      <c r="N31" s="9"/>
      <c r="O31" s="9">
        <f t="shared" si="4"/>
        <v>3.6</v>
      </c>
      <c r="P31" s="4"/>
      <c r="Q31" s="4">
        <f t="shared" si="18"/>
        <v>0</v>
      </c>
      <c r="R31" s="4"/>
      <c r="S31" s="9"/>
      <c r="T31" s="9">
        <f t="shared" si="10"/>
        <v>48.055555555555557</v>
      </c>
      <c r="U31" s="9">
        <f t="shared" si="11"/>
        <v>48.055555555555557</v>
      </c>
      <c r="V31" s="9" t="s">
        <v>30</v>
      </c>
      <c r="W31" s="9"/>
      <c r="X31" s="9">
        <f t="shared" si="19"/>
        <v>0</v>
      </c>
      <c r="Y31" s="5">
        <f>VLOOKUP(A31,[1]Sheet!$A:$AH,34,0)</f>
        <v>16</v>
      </c>
      <c r="Z31" s="11">
        <f t="shared" si="20"/>
        <v>0</v>
      </c>
      <c r="AA31" s="9">
        <f t="shared" si="21"/>
        <v>0</v>
      </c>
      <c r="AB31" s="9">
        <f>VLOOKUP(A31,[1]Sheet!$A:$AL,37,0)</f>
        <v>12</v>
      </c>
      <c r="AC31" s="9">
        <f>VLOOKUP(A31,[1]Sheet!$A:$AL,38,0)</f>
        <v>84</v>
      </c>
      <c r="AD31" s="11">
        <f t="shared" si="22"/>
        <v>0</v>
      </c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</row>
    <row r="32" spans="1:50" x14ac:dyDescent="0.25">
      <c r="A32" s="9" t="s">
        <v>85</v>
      </c>
      <c r="B32" s="9" t="s">
        <v>33</v>
      </c>
      <c r="C32" s="9"/>
      <c r="D32" s="9">
        <v>240</v>
      </c>
      <c r="E32" s="9">
        <v>13</v>
      </c>
      <c r="F32" s="9">
        <v>226</v>
      </c>
      <c r="G32" s="5">
        <v>0.7</v>
      </c>
      <c r="H32" s="9">
        <v>180</v>
      </c>
      <c r="I32" s="9" t="s">
        <v>86</v>
      </c>
      <c r="J32" s="9">
        <v>26</v>
      </c>
      <c r="K32" s="9">
        <f t="shared" si="1"/>
        <v>-13</v>
      </c>
      <c r="L32" s="9"/>
      <c r="M32" s="9"/>
      <c r="N32" s="9"/>
      <c r="O32" s="9">
        <f t="shared" si="4"/>
        <v>2.6</v>
      </c>
      <c r="P32" s="4"/>
      <c r="Q32" s="4">
        <f t="shared" si="18"/>
        <v>0</v>
      </c>
      <c r="R32" s="4"/>
      <c r="S32" s="9"/>
      <c r="T32" s="9">
        <f t="shared" si="10"/>
        <v>86.92307692307692</v>
      </c>
      <c r="U32" s="9">
        <f t="shared" si="11"/>
        <v>86.92307692307692</v>
      </c>
      <c r="V32" s="9" t="s">
        <v>30</v>
      </c>
      <c r="W32" s="9"/>
      <c r="X32" s="9">
        <f t="shared" si="19"/>
        <v>0</v>
      </c>
      <c r="Y32" s="5">
        <f>VLOOKUP(A32,[1]Sheet!$A:$AH,34,0)</f>
        <v>10</v>
      </c>
      <c r="Z32" s="11">
        <f t="shared" si="20"/>
        <v>0</v>
      </c>
      <c r="AA32" s="9">
        <f t="shared" si="21"/>
        <v>0</v>
      </c>
      <c r="AB32" s="9">
        <f>VLOOKUP(A32,[1]Sheet!$A:$AL,37,0)</f>
        <v>12</v>
      </c>
      <c r="AC32" s="9">
        <f>VLOOKUP(A32,[1]Sheet!$A:$AL,38,0)</f>
        <v>84</v>
      </c>
      <c r="AD32" s="11">
        <f t="shared" si="22"/>
        <v>0</v>
      </c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</row>
    <row r="33" spans="1:50" x14ac:dyDescent="0.25">
      <c r="A33" s="9" t="s">
        <v>87</v>
      </c>
      <c r="B33" s="9" t="s">
        <v>33</v>
      </c>
      <c r="C33" s="9"/>
      <c r="D33" s="9">
        <v>120</v>
      </c>
      <c r="E33" s="9">
        <v>4</v>
      </c>
      <c r="F33" s="9">
        <v>116</v>
      </c>
      <c r="G33" s="5">
        <v>0.7</v>
      </c>
      <c r="H33" s="9">
        <v>180</v>
      </c>
      <c r="I33" s="9" t="s">
        <v>88</v>
      </c>
      <c r="J33" s="9">
        <v>4</v>
      </c>
      <c r="K33" s="9">
        <f t="shared" si="1"/>
        <v>0</v>
      </c>
      <c r="L33" s="9"/>
      <c r="M33" s="9"/>
      <c r="N33" s="9"/>
      <c r="O33" s="9">
        <f t="shared" si="4"/>
        <v>0.8</v>
      </c>
      <c r="P33" s="4"/>
      <c r="Q33" s="4">
        <f t="shared" si="18"/>
        <v>0</v>
      </c>
      <c r="R33" s="4"/>
      <c r="S33" s="9"/>
      <c r="T33" s="9">
        <f t="shared" si="10"/>
        <v>145</v>
      </c>
      <c r="U33" s="9">
        <f t="shared" si="11"/>
        <v>145</v>
      </c>
      <c r="V33" s="9" t="s">
        <v>30</v>
      </c>
      <c r="W33" s="9"/>
      <c r="X33" s="9">
        <f t="shared" si="19"/>
        <v>0</v>
      </c>
      <c r="Y33" s="5">
        <v>10</v>
      </c>
      <c r="Z33" s="11">
        <f t="shared" si="20"/>
        <v>0</v>
      </c>
      <c r="AA33" s="9">
        <f t="shared" si="21"/>
        <v>0</v>
      </c>
      <c r="AB33" s="9">
        <v>12</v>
      </c>
      <c r="AC33" s="9">
        <v>84</v>
      </c>
      <c r="AD33" s="11">
        <f t="shared" si="22"/>
        <v>0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</row>
    <row r="34" spans="1:50" x14ac:dyDescent="0.25">
      <c r="A34" s="9" t="s">
        <v>89</v>
      </c>
      <c r="B34" s="9" t="s">
        <v>37</v>
      </c>
      <c r="C34" s="9"/>
      <c r="D34" s="9">
        <v>437.4</v>
      </c>
      <c r="E34" s="9">
        <v>33.4</v>
      </c>
      <c r="F34" s="9">
        <v>406.7</v>
      </c>
      <c r="G34" s="5">
        <v>1</v>
      </c>
      <c r="H34" s="9">
        <v>180</v>
      </c>
      <c r="I34" s="9" t="s">
        <v>90</v>
      </c>
      <c r="J34" s="9">
        <v>36.1</v>
      </c>
      <c r="K34" s="9">
        <f t="shared" si="1"/>
        <v>-2.7000000000000028</v>
      </c>
      <c r="L34" s="9"/>
      <c r="M34" s="9"/>
      <c r="N34" s="9"/>
      <c r="O34" s="9">
        <f t="shared" si="4"/>
        <v>6.68</v>
      </c>
      <c r="P34" s="4"/>
      <c r="Q34" s="4">
        <f t="shared" si="18"/>
        <v>0</v>
      </c>
      <c r="R34" s="4"/>
      <c r="S34" s="9"/>
      <c r="T34" s="9">
        <f t="shared" si="10"/>
        <v>60.883233532934135</v>
      </c>
      <c r="U34" s="9">
        <f t="shared" si="11"/>
        <v>60.883233532934135</v>
      </c>
      <c r="V34" s="9" t="s">
        <v>30</v>
      </c>
      <c r="W34" s="9"/>
      <c r="X34" s="9">
        <f t="shared" si="19"/>
        <v>0</v>
      </c>
      <c r="Y34" s="5">
        <f>VLOOKUP(A34,[1]Sheet!$A:$AH,34,0)</f>
        <v>2.7</v>
      </c>
      <c r="Z34" s="11">
        <f t="shared" si="20"/>
        <v>0</v>
      </c>
      <c r="AA34" s="9">
        <f t="shared" si="21"/>
        <v>0</v>
      </c>
      <c r="AB34" s="9">
        <f>VLOOKUP(A34,[1]Sheet!$A:$AL,37,0)</f>
        <v>18</v>
      </c>
      <c r="AC34" s="9">
        <f>VLOOKUP(A34,[1]Sheet!$A:$AL,38,0)</f>
        <v>234</v>
      </c>
      <c r="AD34" s="11">
        <f t="shared" si="22"/>
        <v>0</v>
      </c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</row>
    <row r="35" spans="1:50" x14ac:dyDescent="0.25">
      <c r="A35" s="9" t="s">
        <v>91</v>
      </c>
      <c r="B35" s="9" t="s">
        <v>37</v>
      </c>
      <c r="C35" s="9"/>
      <c r="D35" s="9">
        <v>840</v>
      </c>
      <c r="E35" s="9">
        <v>100</v>
      </c>
      <c r="F35" s="9">
        <v>755</v>
      </c>
      <c r="G35" s="5">
        <v>1</v>
      </c>
      <c r="H35" s="9">
        <v>180</v>
      </c>
      <c r="I35" s="9" t="s">
        <v>92</v>
      </c>
      <c r="J35" s="9">
        <v>110</v>
      </c>
      <c r="K35" s="9">
        <f t="shared" si="1"/>
        <v>-10</v>
      </c>
      <c r="L35" s="9"/>
      <c r="M35" s="9"/>
      <c r="N35" s="9"/>
      <c r="O35" s="9">
        <f t="shared" si="4"/>
        <v>20</v>
      </c>
      <c r="P35" s="4"/>
      <c r="Q35" s="4">
        <f t="shared" si="18"/>
        <v>0</v>
      </c>
      <c r="R35" s="4"/>
      <c r="S35" s="9"/>
      <c r="T35" s="9">
        <f t="shared" si="10"/>
        <v>37.75</v>
      </c>
      <c r="U35" s="9">
        <f t="shared" si="11"/>
        <v>37.75</v>
      </c>
      <c r="V35" s="9" t="s">
        <v>30</v>
      </c>
      <c r="W35" s="9"/>
      <c r="X35" s="9">
        <f t="shared" si="19"/>
        <v>0</v>
      </c>
      <c r="Y35" s="5">
        <f>VLOOKUP(A35,[1]Sheet!$A:$AH,34,0)</f>
        <v>5</v>
      </c>
      <c r="Z35" s="11">
        <f t="shared" si="20"/>
        <v>0</v>
      </c>
      <c r="AA35" s="9">
        <f t="shared" si="21"/>
        <v>0</v>
      </c>
      <c r="AB35" s="9">
        <f>VLOOKUP(A35,[1]Sheet!$A:$AL,37,0)</f>
        <v>12</v>
      </c>
      <c r="AC35" s="9">
        <f>VLOOKUP(A35,[1]Sheet!$A:$AL,38,0)</f>
        <v>144</v>
      </c>
      <c r="AD35" s="11">
        <f t="shared" si="22"/>
        <v>0</v>
      </c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</row>
    <row r="36" spans="1:50" x14ac:dyDescent="0.25">
      <c r="A36" s="9" t="s">
        <v>93</v>
      </c>
      <c r="B36" s="9" t="s">
        <v>33</v>
      </c>
      <c r="C36" s="9"/>
      <c r="D36" s="9">
        <v>1728</v>
      </c>
      <c r="E36" s="9">
        <v>98</v>
      </c>
      <c r="F36" s="9">
        <v>1635</v>
      </c>
      <c r="G36" s="5">
        <v>0.4</v>
      </c>
      <c r="H36" s="9">
        <v>180</v>
      </c>
      <c r="I36" s="9" t="s">
        <v>94</v>
      </c>
      <c r="J36" s="9">
        <v>113</v>
      </c>
      <c r="K36" s="9">
        <f t="shared" si="1"/>
        <v>-15</v>
      </c>
      <c r="L36" s="9"/>
      <c r="M36" s="9"/>
      <c r="N36" s="9"/>
      <c r="O36" s="9">
        <f t="shared" si="4"/>
        <v>19.600000000000001</v>
      </c>
      <c r="P36" s="4"/>
      <c r="Q36" s="4">
        <f t="shared" si="18"/>
        <v>0</v>
      </c>
      <c r="R36" s="4"/>
      <c r="S36" s="9"/>
      <c r="T36" s="9">
        <f t="shared" si="10"/>
        <v>83.418367346938766</v>
      </c>
      <c r="U36" s="9">
        <f t="shared" si="11"/>
        <v>83.418367346938766</v>
      </c>
      <c r="V36" s="9" t="s">
        <v>30</v>
      </c>
      <c r="W36" s="9"/>
      <c r="X36" s="9">
        <f t="shared" si="19"/>
        <v>0</v>
      </c>
      <c r="Y36" s="5">
        <f>VLOOKUP(A36,[1]Sheet!$A:$AH,34,0)</f>
        <v>16</v>
      </c>
      <c r="Z36" s="11">
        <f t="shared" si="20"/>
        <v>0</v>
      </c>
      <c r="AA36" s="9">
        <f t="shared" si="21"/>
        <v>0</v>
      </c>
      <c r="AB36" s="9">
        <f>VLOOKUP(A36,[1]Sheet!$A:$AL,37,0)</f>
        <v>12</v>
      </c>
      <c r="AC36" s="9">
        <f>VLOOKUP(A36,[1]Sheet!$A:$AL,38,0)</f>
        <v>84</v>
      </c>
      <c r="AD36" s="11">
        <f t="shared" si="22"/>
        <v>0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</row>
    <row r="37" spans="1:50" x14ac:dyDescent="0.25">
      <c r="A37" s="9" t="s">
        <v>95</v>
      </c>
      <c r="B37" s="9" t="s">
        <v>33</v>
      </c>
      <c r="C37" s="9"/>
      <c r="D37" s="9">
        <v>1320</v>
      </c>
      <c r="E37" s="25">
        <f>130+E7</f>
        <v>143</v>
      </c>
      <c r="F37" s="25">
        <f>1201+F7</f>
        <v>1188</v>
      </c>
      <c r="G37" s="5">
        <v>0.7</v>
      </c>
      <c r="H37" s="9">
        <v>180</v>
      </c>
      <c r="I37" s="9" t="s">
        <v>96</v>
      </c>
      <c r="J37" s="9">
        <v>142</v>
      </c>
      <c r="K37" s="9">
        <f t="shared" si="1"/>
        <v>1</v>
      </c>
      <c r="L37" s="9"/>
      <c r="M37" s="9"/>
      <c r="N37" s="9"/>
      <c r="O37" s="9">
        <f t="shared" si="4"/>
        <v>28.6</v>
      </c>
      <c r="P37" s="4"/>
      <c r="Q37" s="4">
        <f t="shared" si="18"/>
        <v>0</v>
      </c>
      <c r="R37" s="4"/>
      <c r="S37" s="9"/>
      <c r="T37" s="9">
        <f t="shared" si="10"/>
        <v>41.538461538461533</v>
      </c>
      <c r="U37" s="9">
        <f t="shared" si="11"/>
        <v>41.538461538461533</v>
      </c>
      <c r="V37" s="9" t="s">
        <v>30</v>
      </c>
      <c r="W37" s="9"/>
      <c r="X37" s="9">
        <f t="shared" si="19"/>
        <v>0</v>
      </c>
      <c r="Y37" s="5">
        <f>VLOOKUP(A37,[1]Sheet!$A:$AH,34,0)</f>
        <v>10</v>
      </c>
      <c r="Z37" s="11">
        <f t="shared" si="20"/>
        <v>0</v>
      </c>
      <c r="AA37" s="9">
        <f t="shared" si="21"/>
        <v>0</v>
      </c>
      <c r="AB37" s="9">
        <f>VLOOKUP(A37,[1]Sheet!$A:$AL,37,0)</f>
        <v>12</v>
      </c>
      <c r="AC37" s="9">
        <f>VLOOKUP(A37,[1]Sheet!$A:$AL,38,0)</f>
        <v>84</v>
      </c>
      <c r="AD37" s="11">
        <f t="shared" si="22"/>
        <v>0</v>
      </c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</row>
    <row r="38" spans="1:50" x14ac:dyDescent="0.25">
      <c r="A38" s="9" t="s">
        <v>97</v>
      </c>
      <c r="B38" s="9" t="s">
        <v>33</v>
      </c>
      <c r="C38" s="9"/>
      <c r="D38" s="9">
        <v>768</v>
      </c>
      <c r="E38" s="9">
        <v>99</v>
      </c>
      <c r="F38" s="9">
        <v>684</v>
      </c>
      <c r="G38" s="5">
        <v>0.4</v>
      </c>
      <c r="H38" s="9">
        <v>180</v>
      </c>
      <c r="I38" s="9" t="s">
        <v>98</v>
      </c>
      <c r="J38" s="9">
        <v>113</v>
      </c>
      <c r="K38" s="9">
        <f t="shared" ref="K38:K69" si="23">E38-J38</f>
        <v>-14</v>
      </c>
      <c r="L38" s="9"/>
      <c r="M38" s="9"/>
      <c r="N38" s="9"/>
      <c r="O38" s="9">
        <f t="shared" si="4"/>
        <v>19.8</v>
      </c>
      <c r="P38" s="4"/>
      <c r="Q38" s="4">
        <f t="shared" si="18"/>
        <v>0</v>
      </c>
      <c r="R38" s="4"/>
      <c r="S38" s="9"/>
      <c r="T38" s="9">
        <f t="shared" si="10"/>
        <v>34.545454545454547</v>
      </c>
      <c r="U38" s="9">
        <f t="shared" si="11"/>
        <v>34.545454545454547</v>
      </c>
      <c r="V38" s="9" t="s">
        <v>30</v>
      </c>
      <c r="W38" s="9"/>
      <c r="X38" s="9">
        <f t="shared" si="19"/>
        <v>0</v>
      </c>
      <c r="Y38" s="5">
        <f>VLOOKUP(A38,[1]Sheet!$A:$AH,34,0)</f>
        <v>16</v>
      </c>
      <c r="Z38" s="11">
        <f t="shared" si="20"/>
        <v>0</v>
      </c>
      <c r="AA38" s="9">
        <f t="shared" si="21"/>
        <v>0</v>
      </c>
      <c r="AB38" s="9">
        <f>VLOOKUP(A38,[1]Sheet!$A:$AL,37,0)</f>
        <v>12</v>
      </c>
      <c r="AC38" s="9">
        <f>VLOOKUP(A38,[1]Sheet!$A:$AL,38,0)</f>
        <v>84</v>
      </c>
      <c r="AD38" s="11">
        <f t="shared" si="22"/>
        <v>0</v>
      </c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</row>
    <row r="39" spans="1:50" x14ac:dyDescent="0.25">
      <c r="A39" s="9" t="s">
        <v>99</v>
      </c>
      <c r="B39" s="9" t="s">
        <v>33</v>
      </c>
      <c r="C39" s="9"/>
      <c r="D39" s="9">
        <v>1200</v>
      </c>
      <c r="E39" s="9">
        <v>113</v>
      </c>
      <c r="F39" s="9">
        <v>1100</v>
      </c>
      <c r="G39" s="5">
        <v>0.7</v>
      </c>
      <c r="H39" s="9">
        <v>180</v>
      </c>
      <c r="I39" s="9" t="s">
        <v>100</v>
      </c>
      <c r="J39" s="9">
        <v>116</v>
      </c>
      <c r="K39" s="9">
        <f t="shared" si="23"/>
        <v>-3</v>
      </c>
      <c r="L39" s="9"/>
      <c r="M39" s="9"/>
      <c r="N39" s="9"/>
      <c r="O39" s="9">
        <f t="shared" si="4"/>
        <v>22.6</v>
      </c>
      <c r="P39" s="4"/>
      <c r="Q39" s="4">
        <f t="shared" si="18"/>
        <v>0</v>
      </c>
      <c r="R39" s="4"/>
      <c r="S39" s="9"/>
      <c r="T39" s="9">
        <f t="shared" si="10"/>
        <v>48.672566371681413</v>
      </c>
      <c r="U39" s="9">
        <f t="shared" si="11"/>
        <v>48.672566371681413</v>
      </c>
      <c r="V39" s="9" t="s">
        <v>30</v>
      </c>
      <c r="W39" s="9"/>
      <c r="X39" s="9">
        <f t="shared" si="19"/>
        <v>0</v>
      </c>
      <c r="Y39" s="5">
        <f>VLOOKUP(A39,[1]Sheet!$A:$AH,34,0)</f>
        <v>10</v>
      </c>
      <c r="Z39" s="11">
        <f t="shared" si="20"/>
        <v>0</v>
      </c>
      <c r="AA39" s="9">
        <f t="shared" si="21"/>
        <v>0</v>
      </c>
      <c r="AB39" s="9">
        <f>VLOOKUP(A39,[1]Sheet!$A:$AL,37,0)</f>
        <v>12</v>
      </c>
      <c r="AC39" s="9">
        <f>VLOOKUP(A39,[1]Sheet!$A:$AL,38,0)</f>
        <v>84</v>
      </c>
      <c r="AD39" s="11">
        <f t="shared" si="22"/>
        <v>0</v>
      </c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</row>
    <row r="40" spans="1:50" x14ac:dyDescent="0.25">
      <c r="A40" s="15" t="s">
        <v>101</v>
      </c>
      <c r="B40" s="16" t="s">
        <v>33</v>
      </c>
      <c r="C40" s="16"/>
      <c r="D40" s="16"/>
      <c r="E40" s="16">
        <v>1</v>
      </c>
      <c r="F40" s="16">
        <v>-1</v>
      </c>
      <c r="G40" s="17">
        <v>0</v>
      </c>
      <c r="H40" s="16">
        <v>180</v>
      </c>
      <c r="I40" s="15" t="s">
        <v>102</v>
      </c>
      <c r="J40" s="16">
        <v>1</v>
      </c>
      <c r="K40" s="16">
        <f t="shared" si="23"/>
        <v>0</v>
      </c>
      <c r="L40" s="16"/>
      <c r="M40" s="16"/>
      <c r="N40" s="16"/>
      <c r="O40" s="16">
        <f t="shared" si="4"/>
        <v>0.2</v>
      </c>
      <c r="P40" s="18"/>
      <c r="Q40" s="18"/>
      <c r="R40" s="18"/>
      <c r="S40" s="16"/>
      <c r="T40" s="16">
        <f t="shared" si="10"/>
        <v>-5</v>
      </c>
      <c r="U40" s="16">
        <f t="shared" si="11"/>
        <v>-5</v>
      </c>
      <c r="V40" s="16" t="s">
        <v>30</v>
      </c>
      <c r="W40" s="16"/>
      <c r="X40" s="16"/>
      <c r="Y40" s="17"/>
      <c r="Z40" s="19"/>
      <c r="AA40" s="16"/>
      <c r="AB40" s="16"/>
      <c r="AC40" s="16"/>
      <c r="AD40" s="1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</row>
    <row r="41" spans="1:50" x14ac:dyDescent="0.25">
      <c r="A41" s="8" t="s">
        <v>103</v>
      </c>
      <c r="B41" s="9" t="s">
        <v>33</v>
      </c>
      <c r="C41" s="9"/>
      <c r="D41" s="9">
        <v>192</v>
      </c>
      <c r="E41" s="9">
        <v>2</v>
      </c>
      <c r="F41" s="9">
        <v>190</v>
      </c>
      <c r="G41" s="5">
        <v>0.4</v>
      </c>
      <c r="H41" s="9">
        <v>180</v>
      </c>
      <c r="I41" s="9" t="s">
        <v>104</v>
      </c>
      <c r="J41" s="9">
        <v>2</v>
      </c>
      <c r="K41" s="9">
        <f t="shared" si="23"/>
        <v>0</v>
      </c>
      <c r="L41" s="9"/>
      <c r="M41" s="9"/>
      <c r="N41" s="9"/>
      <c r="O41" s="9">
        <f t="shared" si="4"/>
        <v>0.4</v>
      </c>
      <c r="P41" s="4"/>
      <c r="Q41" s="4">
        <f t="shared" si="18"/>
        <v>0</v>
      </c>
      <c r="R41" s="4"/>
      <c r="S41" s="9"/>
      <c r="T41" s="9">
        <f t="shared" si="10"/>
        <v>475</v>
      </c>
      <c r="U41" s="9">
        <f t="shared" si="11"/>
        <v>475</v>
      </c>
      <c r="V41" s="9" t="s">
        <v>30</v>
      </c>
      <c r="W41" s="9"/>
      <c r="X41" s="9">
        <f t="shared" si="19"/>
        <v>0</v>
      </c>
      <c r="Y41" s="5">
        <v>16</v>
      </c>
      <c r="Z41" s="11">
        <f t="shared" si="20"/>
        <v>0</v>
      </c>
      <c r="AA41" s="9">
        <f t="shared" si="21"/>
        <v>0</v>
      </c>
      <c r="AB41" s="9">
        <v>12</v>
      </c>
      <c r="AC41" s="9">
        <v>84</v>
      </c>
      <c r="AD41" s="11">
        <f t="shared" si="22"/>
        <v>0</v>
      </c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</row>
    <row r="42" spans="1:50" x14ac:dyDescent="0.25">
      <c r="A42" s="9" t="s">
        <v>105</v>
      </c>
      <c r="B42" s="9" t="s">
        <v>33</v>
      </c>
      <c r="C42" s="9"/>
      <c r="D42" s="9">
        <v>192</v>
      </c>
      <c r="E42" s="9">
        <v>3</v>
      </c>
      <c r="F42" s="9">
        <v>189</v>
      </c>
      <c r="G42" s="5">
        <v>0.4</v>
      </c>
      <c r="H42" s="9">
        <v>180</v>
      </c>
      <c r="I42" s="9" t="s">
        <v>106</v>
      </c>
      <c r="J42" s="9">
        <v>7</v>
      </c>
      <c r="K42" s="9">
        <f t="shared" si="23"/>
        <v>-4</v>
      </c>
      <c r="L42" s="9"/>
      <c r="M42" s="9"/>
      <c r="N42" s="9"/>
      <c r="O42" s="9">
        <f t="shared" si="4"/>
        <v>0.6</v>
      </c>
      <c r="P42" s="4"/>
      <c r="Q42" s="4">
        <f t="shared" si="18"/>
        <v>0</v>
      </c>
      <c r="R42" s="4"/>
      <c r="S42" s="9"/>
      <c r="T42" s="9">
        <f t="shared" si="10"/>
        <v>315</v>
      </c>
      <c r="U42" s="9">
        <f t="shared" si="11"/>
        <v>315</v>
      </c>
      <c r="V42" s="9" t="s">
        <v>30</v>
      </c>
      <c r="W42" s="9"/>
      <c r="X42" s="9">
        <f t="shared" si="19"/>
        <v>0</v>
      </c>
      <c r="Y42" s="5">
        <v>16</v>
      </c>
      <c r="Z42" s="11">
        <f t="shared" si="20"/>
        <v>0</v>
      </c>
      <c r="AA42" s="9">
        <f t="shared" si="21"/>
        <v>0</v>
      </c>
      <c r="AB42" s="9">
        <v>12</v>
      </c>
      <c r="AC42" s="9">
        <v>84</v>
      </c>
      <c r="AD42" s="11">
        <f t="shared" si="22"/>
        <v>0</v>
      </c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</row>
    <row r="43" spans="1:50" x14ac:dyDescent="0.25">
      <c r="A43" s="9" t="s">
        <v>107</v>
      </c>
      <c r="B43" s="9" t="s">
        <v>33</v>
      </c>
      <c r="C43" s="9"/>
      <c r="D43" s="9">
        <v>96</v>
      </c>
      <c r="E43" s="9">
        <v>36</v>
      </c>
      <c r="F43" s="9">
        <v>67</v>
      </c>
      <c r="G43" s="5">
        <v>0.7</v>
      </c>
      <c r="H43" s="9">
        <v>180</v>
      </c>
      <c r="I43" s="9" t="s">
        <v>108</v>
      </c>
      <c r="J43" s="9">
        <v>40</v>
      </c>
      <c r="K43" s="9">
        <f t="shared" si="23"/>
        <v>-4</v>
      </c>
      <c r="L43" s="9"/>
      <c r="M43" s="9"/>
      <c r="N43" s="9"/>
      <c r="O43" s="9">
        <f t="shared" si="4"/>
        <v>7.2</v>
      </c>
      <c r="P43" s="4">
        <f t="shared" ref="P43:P47" si="24">25*O43-F43</f>
        <v>113</v>
      </c>
      <c r="Q43" s="4">
        <f t="shared" si="18"/>
        <v>96</v>
      </c>
      <c r="R43" s="4"/>
      <c r="S43" s="9"/>
      <c r="T43" s="9">
        <f t="shared" si="10"/>
        <v>22.638888888888889</v>
      </c>
      <c r="U43" s="9">
        <f t="shared" si="11"/>
        <v>9.3055555555555554</v>
      </c>
      <c r="V43" s="9" t="s">
        <v>30</v>
      </c>
      <c r="W43" s="9"/>
      <c r="X43" s="9">
        <f t="shared" si="19"/>
        <v>79.099999999999994</v>
      </c>
      <c r="Y43" s="5">
        <v>8</v>
      </c>
      <c r="Z43" s="11">
        <f t="shared" si="20"/>
        <v>12</v>
      </c>
      <c r="AA43" s="9">
        <f t="shared" si="21"/>
        <v>67.199999999999989</v>
      </c>
      <c r="AB43" s="9">
        <v>12</v>
      </c>
      <c r="AC43" s="9">
        <v>84</v>
      </c>
      <c r="AD43" s="11">
        <f t="shared" si="22"/>
        <v>0.14285714285714285</v>
      </c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</row>
    <row r="44" spans="1:50" x14ac:dyDescent="0.25">
      <c r="A44" s="9" t="s">
        <v>109</v>
      </c>
      <c r="B44" s="9" t="s">
        <v>33</v>
      </c>
      <c r="C44" s="9"/>
      <c r="D44" s="9">
        <v>96</v>
      </c>
      <c r="E44" s="9">
        <v>4</v>
      </c>
      <c r="F44" s="9">
        <v>92</v>
      </c>
      <c r="G44" s="5">
        <v>0.7</v>
      </c>
      <c r="H44" s="9">
        <v>180</v>
      </c>
      <c r="I44" s="9" t="s">
        <v>110</v>
      </c>
      <c r="J44" s="9">
        <v>20</v>
      </c>
      <c r="K44" s="9">
        <f t="shared" si="23"/>
        <v>-16</v>
      </c>
      <c r="L44" s="9"/>
      <c r="M44" s="9"/>
      <c r="N44" s="9"/>
      <c r="O44" s="9">
        <f t="shared" si="4"/>
        <v>0.8</v>
      </c>
      <c r="P44" s="4"/>
      <c r="Q44" s="4">
        <f t="shared" si="18"/>
        <v>0</v>
      </c>
      <c r="R44" s="4"/>
      <c r="S44" s="9"/>
      <c r="T44" s="9">
        <f t="shared" si="10"/>
        <v>115</v>
      </c>
      <c r="U44" s="9">
        <f t="shared" si="11"/>
        <v>115</v>
      </c>
      <c r="V44" s="9" t="s">
        <v>30</v>
      </c>
      <c r="W44" s="9"/>
      <c r="X44" s="9">
        <f t="shared" si="19"/>
        <v>0</v>
      </c>
      <c r="Y44" s="5">
        <f>VLOOKUP(A44,[1]Sheet!$A:$AH,34,0)</f>
        <v>8</v>
      </c>
      <c r="Z44" s="11">
        <f t="shared" si="20"/>
        <v>0</v>
      </c>
      <c r="AA44" s="9">
        <f t="shared" si="21"/>
        <v>0</v>
      </c>
      <c r="AB44" s="9">
        <f>VLOOKUP(A44,[1]Sheet!$A:$AL,37,0)</f>
        <v>12</v>
      </c>
      <c r="AC44" s="9">
        <f>VLOOKUP(A44,[1]Sheet!$A:$AL,38,0)</f>
        <v>84</v>
      </c>
      <c r="AD44" s="11">
        <f t="shared" si="22"/>
        <v>0</v>
      </c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</row>
    <row r="45" spans="1:50" x14ac:dyDescent="0.25">
      <c r="A45" s="8" t="s">
        <v>111</v>
      </c>
      <c r="B45" s="9" t="s">
        <v>33</v>
      </c>
      <c r="C45" s="9"/>
      <c r="D45" s="9">
        <v>96</v>
      </c>
      <c r="E45" s="9">
        <v>4</v>
      </c>
      <c r="F45" s="9">
        <v>92</v>
      </c>
      <c r="G45" s="5">
        <v>0.7</v>
      </c>
      <c r="H45" s="9">
        <v>180</v>
      </c>
      <c r="I45" s="9" t="s">
        <v>112</v>
      </c>
      <c r="J45" s="9">
        <v>8</v>
      </c>
      <c r="K45" s="9">
        <f t="shared" si="23"/>
        <v>-4</v>
      </c>
      <c r="L45" s="9"/>
      <c r="M45" s="9"/>
      <c r="N45" s="9"/>
      <c r="O45" s="9">
        <f t="shared" si="4"/>
        <v>0.8</v>
      </c>
      <c r="P45" s="4"/>
      <c r="Q45" s="4">
        <f t="shared" si="18"/>
        <v>0</v>
      </c>
      <c r="R45" s="4"/>
      <c r="S45" s="9"/>
      <c r="T45" s="9">
        <f t="shared" si="10"/>
        <v>115</v>
      </c>
      <c r="U45" s="9">
        <f t="shared" si="11"/>
        <v>115</v>
      </c>
      <c r="V45" s="9" t="s">
        <v>30</v>
      </c>
      <c r="W45" s="9"/>
      <c r="X45" s="9">
        <f t="shared" si="19"/>
        <v>0</v>
      </c>
      <c r="Y45" s="5">
        <v>8</v>
      </c>
      <c r="Z45" s="11">
        <f t="shared" si="20"/>
        <v>0</v>
      </c>
      <c r="AA45" s="9">
        <f t="shared" si="21"/>
        <v>0</v>
      </c>
      <c r="AB45" s="9">
        <v>12</v>
      </c>
      <c r="AC45" s="9">
        <v>84</v>
      </c>
      <c r="AD45" s="11">
        <f t="shared" si="22"/>
        <v>0</v>
      </c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</row>
    <row r="46" spans="1:50" x14ac:dyDescent="0.25">
      <c r="A46" s="9" t="s">
        <v>113</v>
      </c>
      <c r="B46" s="9" t="s">
        <v>33</v>
      </c>
      <c r="C46" s="9"/>
      <c r="D46" s="9">
        <v>96</v>
      </c>
      <c r="E46" s="9">
        <v>17</v>
      </c>
      <c r="F46" s="9">
        <v>79</v>
      </c>
      <c r="G46" s="5">
        <v>0.7</v>
      </c>
      <c r="H46" s="9">
        <v>180</v>
      </c>
      <c r="I46" s="9" t="s">
        <v>114</v>
      </c>
      <c r="J46" s="9">
        <v>22</v>
      </c>
      <c r="K46" s="9">
        <f t="shared" si="23"/>
        <v>-5</v>
      </c>
      <c r="L46" s="9"/>
      <c r="M46" s="9"/>
      <c r="N46" s="9"/>
      <c r="O46" s="9">
        <f t="shared" si="4"/>
        <v>3.4</v>
      </c>
      <c r="P46" s="4"/>
      <c r="Q46" s="4">
        <f t="shared" si="18"/>
        <v>0</v>
      </c>
      <c r="R46" s="4"/>
      <c r="S46" s="9"/>
      <c r="T46" s="9">
        <f t="shared" si="10"/>
        <v>23.235294117647058</v>
      </c>
      <c r="U46" s="9">
        <f t="shared" si="11"/>
        <v>23.235294117647058</v>
      </c>
      <c r="V46" s="9" t="s">
        <v>30</v>
      </c>
      <c r="W46" s="9"/>
      <c r="X46" s="9">
        <f t="shared" si="19"/>
        <v>0</v>
      </c>
      <c r="Y46" s="5">
        <v>8</v>
      </c>
      <c r="Z46" s="11">
        <f t="shared" si="20"/>
        <v>0</v>
      </c>
      <c r="AA46" s="9">
        <f t="shared" si="21"/>
        <v>0</v>
      </c>
      <c r="AB46" s="9">
        <v>12</v>
      </c>
      <c r="AC46" s="9">
        <v>84</v>
      </c>
      <c r="AD46" s="11">
        <f t="shared" si="22"/>
        <v>0</v>
      </c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</row>
    <row r="47" spans="1:50" x14ac:dyDescent="0.25">
      <c r="A47" s="9" t="s">
        <v>115</v>
      </c>
      <c r="B47" s="9" t="s">
        <v>33</v>
      </c>
      <c r="C47" s="9"/>
      <c r="D47" s="9">
        <v>192</v>
      </c>
      <c r="E47" s="9">
        <v>54</v>
      </c>
      <c r="F47" s="9">
        <v>143</v>
      </c>
      <c r="G47" s="5">
        <v>0.9</v>
      </c>
      <c r="H47" s="9">
        <v>180</v>
      </c>
      <c r="I47" s="9" t="s">
        <v>116</v>
      </c>
      <c r="J47" s="9">
        <v>61</v>
      </c>
      <c r="K47" s="9">
        <f t="shared" si="23"/>
        <v>-7</v>
      </c>
      <c r="L47" s="9"/>
      <c r="M47" s="9"/>
      <c r="N47" s="9"/>
      <c r="O47" s="9">
        <f t="shared" si="4"/>
        <v>10.8</v>
      </c>
      <c r="P47" s="4">
        <f t="shared" si="24"/>
        <v>127</v>
      </c>
      <c r="Q47" s="4">
        <f t="shared" si="18"/>
        <v>96</v>
      </c>
      <c r="R47" s="4"/>
      <c r="S47" s="9"/>
      <c r="T47" s="9">
        <f t="shared" si="10"/>
        <v>22.12962962962963</v>
      </c>
      <c r="U47" s="9">
        <f t="shared" si="11"/>
        <v>13.24074074074074</v>
      </c>
      <c r="V47" s="9" t="s">
        <v>30</v>
      </c>
      <c r="W47" s="9"/>
      <c r="X47" s="9">
        <f t="shared" si="19"/>
        <v>114.3</v>
      </c>
      <c r="Y47" s="5">
        <f>VLOOKUP(A47,[1]Sheet!$A:$AH,34,0)</f>
        <v>8</v>
      </c>
      <c r="Z47" s="11">
        <f t="shared" si="20"/>
        <v>12</v>
      </c>
      <c r="AA47" s="9">
        <f t="shared" si="21"/>
        <v>86.4</v>
      </c>
      <c r="AB47" s="9">
        <f>VLOOKUP(A47,[1]Sheet!$A:$AL,37,0)</f>
        <v>12</v>
      </c>
      <c r="AC47" s="9">
        <f>VLOOKUP(A47,[1]Sheet!$A:$AL,38,0)</f>
        <v>84</v>
      </c>
      <c r="AD47" s="11">
        <f t="shared" si="22"/>
        <v>0.14285714285714285</v>
      </c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</row>
    <row r="48" spans="1:50" x14ac:dyDescent="0.25">
      <c r="A48" s="22" t="s">
        <v>117</v>
      </c>
      <c r="B48" s="20" t="s">
        <v>33</v>
      </c>
      <c r="C48" s="20"/>
      <c r="D48" s="20"/>
      <c r="E48" s="25">
        <v>10</v>
      </c>
      <c r="F48" s="25">
        <v>-10</v>
      </c>
      <c r="G48" s="21">
        <v>0</v>
      </c>
      <c r="H48" s="20">
        <v>180</v>
      </c>
      <c r="I48" s="20" t="s">
        <v>58</v>
      </c>
      <c r="J48" s="20">
        <v>11</v>
      </c>
      <c r="K48" s="20">
        <f t="shared" si="23"/>
        <v>-1</v>
      </c>
      <c r="L48" s="20"/>
      <c r="M48" s="20"/>
      <c r="N48" s="20"/>
      <c r="O48" s="20">
        <f t="shared" si="4"/>
        <v>2</v>
      </c>
      <c r="P48" s="23"/>
      <c r="Q48" s="23"/>
      <c r="R48" s="23"/>
      <c r="S48" s="22"/>
      <c r="T48" s="20">
        <f t="shared" si="10"/>
        <v>-5</v>
      </c>
      <c r="U48" s="20">
        <f t="shared" si="11"/>
        <v>-5</v>
      </c>
      <c r="V48" s="20" t="s">
        <v>30</v>
      </c>
      <c r="W48" s="22" t="s">
        <v>58</v>
      </c>
      <c r="X48" s="20"/>
      <c r="Y48" s="21"/>
      <c r="Z48" s="24"/>
      <c r="AA48" s="20"/>
      <c r="AB48" s="20"/>
      <c r="AC48" s="20"/>
      <c r="AD48" s="24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</row>
    <row r="49" spans="1:50" x14ac:dyDescent="0.25">
      <c r="A49" s="9" t="s">
        <v>118</v>
      </c>
      <c r="B49" s="9" t="s">
        <v>33</v>
      </c>
      <c r="C49" s="9"/>
      <c r="D49" s="9">
        <v>96</v>
      </c>
      <c r="E49" s="9">
        <v>34</v>
      </c>
      <c r="F49" s="9">
        <v>66</v>
      </c>
      <c r="G49" s="5">
        <v>0.9</v>
      </c>
      <c r="H49" s="9">
        <v>180</v>
      </c>
      <c r="I49" s="9" t="s">
        <v>119</v>
      </c>
      <c r="J49" s="9">
        <v>36</v>
      </c>
      <c r="K49" s="9">
        <f t="shared" si="23"/>
        <v>-2</v>
      </c>
      <c r="L49" s="9"/>
      <c r="M49" s="9"/>
      <c r="N49" s="9"/>
      <c r="O49" s="9">
        <f t="shared" si="4"/>
        <v>6.8</v>
      </c>
      <c r="P49" s="4">
        <f t="shared" ref="P49:P69" si="25">25*O49-F49</f>
        <v>104</v>
      </c>
      <c r="Q49" s="4">
        <f t="shared" si="18"/>
        <v>96</v>
      </c>
      <c r="R49" s="4"/>
      <c r="S49" s="9"/>
      <c r="T49" s="9">
        <f t="shared" si="10"/>
        <v>23.823529411764707</v>
      </c>
      <c r="U49" s="9">
        <f t="shared" si="11"/>
        <v>9.7058823529411775</v>
      </c>
      <c r="V49" s="9" t="s">
        <v>30</v>
      </c>
      <c r="W49" s="9"/>
      <c r="X49" s="9">
        <f t="shared" ref="X49:X56" si="26">G49*P49</f>
        <v>93.600000000000009</v>
      </c>
      <c r="Y49" s="5">
        <f>VLOOKUP(A49,[1]Sheet!$A:$AH,34,0)</f>
        <v>8</v>
      </c>
      <c r="Z49" s="11">
        <f t="shared" si="20"/>
        <v>12</v>
      </c>
      <c r="AA49" s="9">
        <f t="shared" si="21"/>
        <v>86.4</v>
      </c>
      <c r="AB49" s="9">
        <f>VLOOKUP(A49,[1]Sheet!$A:$AL,37,0)</f>
        <v>12</v>
      </c>
      <c r="AC49" s="9">
        <f>VLOOKUP(A49,[1]Sheet!$A:$AL,38,0)</f>
        <v>84</v>
      </c>
      <c r="AD49" s="11">
        <f t="shared" si="22"/>
        <v>0.14285714285714285</v>
      </c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</row>
    <row r="50" spans="1:50" x14ac:dyDescent="0.25">
      <c r="A50" s="9" t="s">
        <v>120</v>
      </c>
      <c r="B50" s="9" t="s">
        <v>33</v>
      </c>
      <c r="C50" s="9"/>
      <c r="D50" s="9">
        <v>192</v>
      </c>
      <c r="E50" s="25">
        <f>29+E48</f>
        <v>39</v>
      </c>
      <c r="F50" s="25">
        <f>167+F48</f>
        <v>157</v>
      </c>
      <c r="G50" s="5">
        <v>0.43</v>
      </c>
      <c r="H50" s="9">
        <v>180</v>
      </c>
      <c r="I50" s="9" t="s">
        <v>121</v>
      </c>
      <c r="J50" s="9">
        <v>31</v>
      </c>
      <c r="K50" s="9">
        <f t="shared" si="23"/>
        <v>8</v>
      </c>
      <c r="L50" s="9"/>
      <c r="M50" s="9"/>
      <c r="N50" s="9"/>
      <c r="O50" s="9">
        <f t="shared" si="4"/>
        <v>7.8</v>
      </c>
      <c r="P50" s="4"/>
      <c r="Q50" s="4">
        <f t="shared" si="18"/>
        <v>0</v>
      </c>
      <c r="R50" s="4"/>
      <c r="S50" s="8"/>
      <c r="T50" s="9">
        <f t="shared" si="10"/>
        <v>20.128205128205128</v>
      </c>
      <c r="U50" s="9">
        <f t="shared" si="11"/>
        <v>20.128205128205128</v>
      </c>
      <c r="V50" s="9" t="s">
        <v>30</v>
      </c>
      <c r="W50" s="8" t="s">
        <v>61</v>
      </c>
      <c r="X50" s="9">
        <f t="shared" si="26"/>
        <v>0</v>
      </c>
      <c r="Y50" s="5">
        <f>VLOOKUP(A50,[1]Sheet!$A:$AH,34,0)</f>
        <v>16</v>
      </c>
      <c r="Z50" s="11">
        <f t="shared" si="20"/>
        <v>0</v>
      </c>
      <c r="AA50" s="9">
        <f t="shared" si="21"/>
        <v>0</v>
      </c>
      <c r="AB50" s="9">
        <f>VLOOKUP(A50,[1]Sheet!$A:$AL,37,0)</f>
        <v>12</v>
      </c>
      <c r="AC50" s="9">
        <f>VLOOKUP(A50,[1]Sheet!$A:$AL,38,0)</f>
        <v>84</v>
      </c>
      <c r="AD50" s="11">
        <f t="shared" si="22"/>
        <v>0</v>
      </c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</row>
    <row r="51" spans="1:50" x14ac:dyDescent="0.25">
      <c r="A51" s="9" t="s">
        <v>122</v>
      </c>
      <c r="B51" s="9" t="s">
        <v>37</v>
      </c>
      <c r="C51" s="9"/>
      <c r="D51" s="9">
        <v>300</v>
      </c>
      <c r="E51" s="9">
        <v>30</v>
      </c>
      <c r="F51" s="9">
        <v>270</v>
      </c>
      <c r="G51" s="5">
        <v>1</v>
      </c>
      <c r="H51" s="9">
        <v>180</v>
      </c>
      <c r="I51" s="9" t="s">
        <v>123</v>
      </c>
      <c r="J51" s="9">
        <v>35</v>
      </c>
      <c r="K51" s="9">
        <f t="shared" si="23"/>
        <v>-5</v>
      </c>
      <c r="L51" s="9"/>
      <c r="M51" s="9"/>
      <c r="N51" s="9"/>
      <c r="O51" s="9">
        <f t="shared" si="4"/>
        <v>6</v>
      </c>
      <c r="P51" s="4"/>
      <c r="Q51" s="4">
        <f t="shared" si="18"/>
        <v>0</v>
      </c>
      <c r="R51" s="4"/>
      <c r="S51" s="9"/>
      <c r="T51" s="9">
        <f t="shared" si="10"/>
        <v>45</v>
      </c>
      <c r="U51" s="9">
        <f t="shared" si="11"/>
        <v>45</v>
      </c>
      <c r="V51" s="9" t="s">
        <v>30</v>
      </c>
      <c r="W51" s="9"/>
      <c r="X51" s="9">
        <f t="shared" si="26"/>
        <v>0</v>
      </c>
      <c r="Y51" s="5">
        <f>VLOOKUP(A51,[1]Sheet!$A:$AH,34,0)</f>
        <v>5</v>
      </c>
      <c r="Z51" s="11">
        <f t="shared" si="20"/>
        <v>0</v>
      </c>
      <c r="AA51" s="9">
        <f t="shared" si="21"/>
        <v>0</v>
      </c>
      <c r="AB51" s="9">
        <f>VLOOKUP(A51,[1]Sheet!$A:$AL,37,0)</f>
        <v>12</v>
      </c>
      <c r="AC51" s="9">
        <f>VLOOKUP(A51,[1]Sheet!$A:$AL,38,0)</f>
        <v>144</v>
      </c>
      <c r="AD51" s="11">
        <f t="shared" si="22"/>
        <v>0</v>
      </c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</row>
    <row r="52" spans="1:50" x14ac:dyDescent="0.25">
      <c r="A52" s="9" t="s">
        <v>124</v>
      </c>
      <c r="B52" s="9" t="s">
        <v>33</v>
      </c>
      <c r="C52" s="9"/>
      <c r="D52" s="9">
        <v>540</v>
      </c>
      <c r="E52" s="9">
        <v>47</v>
      </c>
      <c r="F52" s="9">
        <v>493</v>
      </c>
      <c r="G52" s="5">
        <v>1</v>
      </c>
      <c r="H52" s="9">
        <v>180</v>
      </c>
      <c r="I52" s="9" t="s">
        <v>125</v>
      </c>
      <c r="J52" s="9">
        <v>50</v>
      </c>
      <c r="K52" s="9">
        <f t="shared" si="23"/>
        <v>-3</v>
      </c>
      <c r="L52" s="9"/>
      <c r="M52" s="9"/>
      <c r="N52" s="9"/>
      <c r="O52" s="9">
        <f t="shared" si="4"/>
        <v>9.4</v>
      </c>
      <c r="P52" s="4"/>
      <c r="Q52" s="4">
        <f t="shared" si="18"/>
        <v>0</v>
      </c>
      <c r="R52" s="4"/>
      <c r="S52" s="9"/>
      <c r="T52" s="9">
        <f t="shared" si="10"/>
        <v>52.446808510638299</v>
      </c>
      <c r="U52" s="9">
        <f t="shared" si="11"/>
        <v>52.446808510638299</v>
      </c>
      <c r="V52" s="9" t="s">
        <v>30</v>
      </c>
      <c r="W52" s="9"/>
      <c r="X52" s="9">
        <f t="shared" si="26"/>
        <v>0</v>
      </c>
      <c r="Y52" s="5">
        <f>VLOOKUP(A52,[1]Sheet!$A:$AH,34,0)</f>
        <v>5</v>
      </c>
      <c r="Z52" s="11">
        <f t="shared" si="20"/>
        <v>0</v>
      </c>
      <c r="AA52" s="9">
        <f t="shared" si="21"/>
        <v>0</v>
      </c>
      <c r="AB52" s="9">
        <f>VLOOKUP(A52,[1]Sheet!$A:$AL,37,0)</f>
        <v>12</v>
      </c>
      <c r="AC52" s="9">
        <f>VLOOKUP(A52,[1]Sheet!$A:$AL,38,0)</f>
        <v>84</v>
      </c>
      <c r="AD52" s="11">
        <f t="shared" si="22"/>
        <v>0</v>
      </c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</row>
    <row r="53" spans="1:50" x14ac:dyDescent="0.25">
      <c r="A53" s="9" t="s">
        <v>126</v>
      </c>
      <c r="B53" s="9" t="s">
        <v>33</v>
      </c>
      <c r="C53" s="9"/>
      <c r="D53" s="9">
        <v>96</v>
      </c>
      <c r="E53" s="9">
        <v>6</v>
      </c>
      <c r="F53" s="9">
        <v>90</v>
      </c>
      <c r="G53" s="5">
        <v>0.2</v>
      </c>
      <c r="H53" s="9">
        <v>180</v>
      </c>
      <c r="I53" s="9" t="s">
        <v>127</v>
      </c>
      <c r="J53" s="9">
        <v>7</v>
      </c>
      <c r="K53" s="9">
        <f t="shared" si="23"/>
        <v>-1</v>
      </c>
      <c r="L53" s="9"/>
      <c r="M53" s="9"/>
      <c r="N53" s="9"/>
      <c r="O53" s="9">
        <f t="shared" si="4"/>
        <v>1.2</v>
      </c>
      <c r="P53" s="4"/>
      <c r="Q53" s="4">
        <f t="shared" si="18"/>
        <v>0</v>
      </c>
      <c r="R53" s="4"/>
      <c r="S53" s="9"/>
      <c r="T53" s="9">
        <f t="shared" si="10"/>
        <v>75</v>
      </c>
      <c r="U53" s="9">
        <f t="shared" si="11"/>
        <v>75</v>
      </c>
      <c r="V53" s="9" t="s">
        <v>30</v>
      </c>
      <c r="W53" s="9"/>
      <c r="X53" s="9">
        <f t="shared" si="26"/>
        <v>0</v>
      </c>
      <c r="Y53" s="5">
        <f>VLOOKUP(A53,[2]Sheet!$A:$AL,34,0)</f>
        <v>8</v>
      </c>
      <c r="Z53" s="11">
        <f t="shared" si="20"/>
        <v>0</v>
      </c>
      <c r="AA53" s="9">
        <f t="shared" si="21"/>
        <v>0</v>
      </c>
      <c r="AB53" s="9">
        <f>VLOOKUP(A53,[2]Sheet!$A:$AL,37,0)</f>
        <v>8</v>
      </c>
      <c r="AC53" s="9">
        <f>VLOOKUP(A53,[2]Sheet!$A:$AL,38,0)</f>
        <v>48</v>
      </c>
      <c r="AD53" s="11">
        <f t="shared" si="22"/>
        <v>0</v>
      </c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</row>
    <row r="54" spans="1:50" x14ac:dyDescent="0.25">
      <c r="A54" s="8" t="s">
        <v>128</v>
      </c>
      <c r="B54" s="9" t="s">
        <v>33</v>
      </c>
      <c r="C54" s="9"/>
      <c r="D54" s="9">
        <v>96</v>
      </c>
      <c r="E54" s="9">
        <v>5</v>
      </c>
      <c r="F54" s="9">
        <v>91</v>
      </c>
      <c r="G54" s="5">
        <v>0.2</v>
      </c>
      <c r="H54" s="9">
        <v>180</v>
      </c>
      <c r="I54" s="9" t="s">
        <v>129</v>
      </c>
      <c r="J54" s="9">
        <v>7</v>
      </c>
      <c r="K54" s="9">
        <f t="shared" si="23"/>
        <v>-2</v>
      </c>
      <c r="L54" s="9"/>
      <c r="M54" s="9"/>
      <c r="N54" s="9"/>
      <c r="O54" s="9">
        <f t="shared" si="4"/>
        <v>1</v>
      </c>
      <c r="P54" s="4"/>
      <c r="Q54" s="4">
        <f t="shared" si="18"/>
        <v>0</v>
      </c>
      <c r="R54" s="4"/>
      <c r="S54" s="9"/>
      <c r="T54" s="9">
        <f t="shared" si="10"/>
        <v>91</v>
      </c>
      <c r="U54" s="9">
        <f t="shared" si="11"/>
        <v>91</v>
      </c>
      <c r="V54" s="9" t="s">
        <v>30</v>
      </c>
      <c r="W54" s="9"/>
      <c r="X54" s="9">
        <f t="shared" si="26"/>
        <v>0</v>
      </c>
      <c r="Y54" s="5">
        <v>8</v>
      </c>
      <c r="Z54" s="11">
        <f t="shared" si="20"/>
        <v>0</v>
      </c>
      <c r="AA54" s="9">
        <f t="shared" si="21"/>
        <v>0</v>
      </c>
      <c r="AB54" s="9">
        <v>6</v>
      </c>
      <c r="AC54" s="9">
        <v>72</v>
      </c>
      <c r="AD54" s="11">
        <f t="shared" si="22"/>
        <v>0</v>
      </c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</row>
    <row r="55" spans="1:50" x14ac:dyDescent="0.25">
      <c r="A55" s="9" t="s">
        <v>130</v>
      </c>
      <c r="B55" s="9" t="s">
        <v>37</v>
      </c>
      <c r="C55" s="9"/>
      <c r="D55" s="9">
        <v>414.4</v>
      </c>
      <c r="E55" s="9">
        <v>51.8</v>
      </c>
      <c r="F55" s="9">
        <v>358.9</v>
      </c>
      <c r="G55" s="5">
        <v>1</v>
      </c>
      <c r="H55" s="9">
        <v>180</v>
      </c>
      <c r="I55" s="9" t="s">
        <v>131</v>
      </c>
      <c r="J55" s="9">
        <v>64.2</v>
      </c>
      <c r="K55" s="9">
        <f t="shared" si="23"/>
        <v>-12.400000000000006</v>
      </c>
      <c r="L55" s="9"/>
      <c r="M55" s="9"/>
      <c r="N55" s="9"/>
      <c r="O55" s="9">
        <f t="shared" si="4"/>
        <v>10.36</v>
      </c>
      <c r="P55" s="4"/>
      <c r="Q55" s="4">
        <f t="shared" si="18"/>
        <v>0</v>
      </c>
      <c r="R55" s="4"/>
      <c r="S55" s="9"/>
      <c r="T55" s="9">
        <f t="shared" si="10"/>
        <v>34.642857142857146</v>
      </c>
      <c r="U55" s="9">
        <f t="shared" si="11"/>
        <v>34.642857142857146</v>
      </c>
      <c r="V55" s="9" t="s">
        <v>30</v>
      </c>
      <c r="W55" s="9"/>
      <c r="X55" s="9">
        <f t="shared" si="26"/>
        <v>0</v>
      </c>
      <c r="Y55" s="5">
        <v>3.7</v>
      </c>
      <c r="Z55" s="11">
        <f t="shared" si="20"/>
        <v>0</v>
      </c>
      <c r="AA55" s="9">
        <f t="shared" si="21"/>
        <v>0</v>
      </c>
      <c r="AB55" s="9">
        <v>14</v>
      </c>
      <c r="AC55" s="9">
        <v>126</v>
      </c>
      <c r="AD55" s="11">
        <f t="shared" si="22"/>
        <v>0</v>
      </c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</row>
    <row r="56" spans="1:50" x14ac:dyDescent="0.25">
      <c r="A56" s="8" t="s">
        <v>132</v>
      </c>
      <c r="B56" s="9" t="s">
        <v>37</v>
      </c>
      <c r="C56" s="9"/>
      <c r="D56" s="9">
        <v>103.6</v>
      </c>
      <c r="E56" s="9">
        <v>11.1</v>
      </c>
      <c r="F56" s="9">
        <v>92.5</v>
      </c>
      <c r="G56" s="5">
        <v>1</v>
      </c>
      <c r="H56" s="9">
        <v>180</v>
      </c>
      <c r="I56" s="9" t="s">
        <v>133</v>
      </c>
      <c r="J56" s="9">
        <v>14.8</v>
      </c>
      <c r="K56" s="9">
        <f t="shared" si="23"/>
        <v>-3.7000000000000011</v>
      </c>
      <c r="L56" s="9"/>
      <c r="M56" s="9"/>
      <c r="N56" s="9"/>
      <c r="O56" s="9">
        <f t="shared" si="4"/>
        <v>2.2199999999999998</v>
      </c>
      <c r="P56" s="4"/>
      <c r="Q56" s="4">
        <f t="shared" si="18"/>
        <v>0</v>
      </c>
      <c r="R56" s="4"/>
      <c r="S56" s="9"/>
      <c r="T56" s="9">
        <f t="shared" si="10"/>
        <v>41.666666666666671</v>
      </c>
      <c r="U56" s="9">
        <f t="shared" si="11"/>
        <v>41.666666666666671</v>
      </c>
      <c r="V56" s="9" t="s">
        <v>30</v>
      </c>
      <c r="W56" s="9"/>
      <c r="X56" s="9">
        <f t="shared" si="26"/>
        <v>0</v>
      </c>
      <c r="Y56" s="5">
        <v>3.7</v>
      </c>
      <c r="Z56" s="11">
        <f t="shared" si="20"/>
        <v>0</v>
      </c>
      <c r="AA56" s="9">
        <f t="shared" si="21"/>
        <v>0</v>
      </c>
      <c r="AB56" s="9">
        <v>14</v>
      </c>
      <c r="AC56" s="9">
        <v>126</v>
      </c>
      <c r="AD56" s="11">
        <f t="shared" si="22"/>
        <v>0</v>
      </c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</row>
    <row r="57" spans="1:50" x14ac:dyDescent="0.25">
      <c r="A57" s="9" t="s">
        <v>134</v>
      </c>
      <c r="B57" s="9" t="s">
        <v>37</v>
      </c>
      <c r="C57" s="9"/>
      <c r="D57" s="9">
        <v>188.16</v>
      </c>
      <c r="E57" s="9">
        <v>15.68</v>
      </c>
      <c r="F57" s="9">
        <v>172.48</v>
      </c>
      <c r="G57" s="5">
        <v>1</v>
      </c>
      <c r="H57" s="9">
        <v>180</v>
      </c>
      <c r="I57" s="9" t="s">
        <v>135</v>
      </c>
      <c r="J57" s="9">
        <v>18.34</v>
      </c>
      <c r="K57" s="9">
        <f t="shared" si="23"/>
        <v>-2.66</v>
      </c>
      <c r="L57" s="9"/>
      <c r="M57" s="9"/>
      <c r="N57" s="9"/>
      <c r="O57" s="9">
        <f t="shared" si="4"/>
        <v>3.1360000000000001</v>
      </c>
      <c r="P57" s="4"/>
      <c r="Q57" s="4">
        <f t="shared" si="18"/>
        <v>0</v>
      </c>
      <c r="R57" s="4"/>
      <c r="S57" s="9"/>
      <c r="T57" s="9">
        <f t="shared" si="10"/>
        <v>54.999999999999993</v>
      </c>
      <c r="U57" s="9">
        <f t="shared" si="11"/>
        <v>54.999999999999993</v>
      </c>
      <c r="V57" s="9" t="s">
        <v>30</v>
      </c>
      <c r="W57" s="9"/>
      <c r="X57" s="9">
        <f t="shared" ref="X57:X70" si="27">G57*P57</f>
        <v>0</v>
      </c>
      <c r="Y57" s="5">
        <v>2.2400000000000002</v>
      </c>
      <c r="Z57" s="11">
        <f t="shared" si="20"/>
        <v>0</v>
      </c>
      <c r="AA57" s="9">
        <f t="shared" si="21"/>
        <v>0</v>
      </c>
      <c r="AB57" s="9">
        <v>14</v>
      </c>
      <c r="AC57" s="9">
        <v>126</v>
      </c>
      <c r="AD57" s="11">
        <f t="shared" si="22"/>
        <v>0</v>
      </c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</row>
    <row r="58" spans="1:50" x14ac:dyDescent="0.25">
      <c r="A58" s="9" t="s">
        <v>136</v>
      </c>
      <c r="B58" s="9" t="s">
        <v>37</v>
      </c>
      <c r="C58" s="9"/>
      <c r="D58" s="9">
        <v>180</v>
      </c>
      <c r="E58" s="9">
        <v>25</v>
      </c>
      <c r="F58" s="9">
        <v>155</v>
      </c>
      <c r="G58" s="5">
        <v>1</v>
      </c>
      <c r="H58" s="9">
        <v>180</v>
      </c>
      <c r="I58" s="9" t="s">
        <v>137</v>
      </c>
      <c r="J58" s="9">
        <v>25</v>
      </c>
      <c r="K58" s="9">
        <f t="shared" si="23"/>
        <v>0</v>
      </c>
      <c r="L58" s="9"/>
      <c r="M58" s="9"/>
      <c r="N58" s="9"/>
      <c r="O58" s="9">
        <f t="shared" si="4"/>
        <v>5</v>
      </c>
      <c r="P58" s="4"/>
      <c r="Q58" s="4">
        <f t="shared" si="18"/>
        <v>0</v>
      </c>
      <c r="R58" s="4"/>
      <c r="S58" s="9"/>
      <c r="T58" s="9">
        <f t="shared" si="10"/>
        <v>31</v>
      </c>
      <c r="U58" s="9">
        <f t="shared" si="11"/>
        <v>31</v>
      </c>
      <c r="V58" s="9" t="s">
        <v>30</v>
      </c>
      <c r="W58" s="9"/>
      <c r="X58" s="9">
        <f t="shared" si="27"/>
        <v>0</v>
      </c>
      <c r="Y58" s="5">
        <v>5</v>
      </c>
      <c r="Z58" s="11">
        <f t="shared" si="20"/>
        <v>0</v>
      </c>
      <c r="AA58" s="9">
        <f t="shared" si="21"/>
        <v>0</v>
      </c>
      <c r="AB58" s="9">
        <v>12</v>
      </c>
      <c r="AC58" s="9">
        <v>144</v>
      </c>
      <c r="AD58" s="11">
        <f t="shared" si="22"/>
        <v>0</v>
      </c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</row>
    <row r="59" spans="1:50" x14ac:dyDescent="0.25">
      <c r="A59" s="9" t="s">
        <v>138</v>
      </c>
      <c r="B59" s="9" t="s">
        <v>33</v>
      </c>
      <c r="C59" s="9"/>
      <c r="D59" s="9">
        <v>840</v>
      </c>
      <c r="E59" s="9">
        <v>38</v>
      </c>
      <c r="F59" s="9">
        <v>797</v>
      </c>
      <c r="G59" s="5">
        <v>0.09</v>
      </c>
      <c r="H59" s="9">
        <v>180</v>
      </c>
      <c r="I59" s="9" t="s">
        <v>139</v>
      </c>
      <c r="J59" s="9">
        <v>42</v>
      </c>
      <c r="K59" s="9">
        <f t="shared" si="23"/>
        <v>-4</v>
      </c>
      <c r="L59" s="9"/>
      <c r="M59" s="9"/>
      <c r="N59" s="9"/>
      <c r="O59" s="9">
        <f t="shared" si="4"/>
        <v>7.6</v>
      </c>
      <c r="P59" s="4"/>
      <c r="Q59" s="4">
        <f t="shared" si="18"/>
        <v>0</v>
      </c>
      <c r="R59" s="4"/>
      <c r="S59" s="9"/>
      <c r="T59" s="9">
        <f t="shared" si="10"/>
        <v>104.86842105263159</v>
      </c>
      <c r="U59" s="9">
        <f t="shared" si="11"/>
        <v>104.86842105263159</v>
      </c>
      <c r="V59" s="9" t="s">
        <v>30</v>
      </c>
      <c r="W59" s="9"/>
      <c r="X59" s="9">
        <f t="shared" si="27"/>
        <v>0</v>
      </c>
      <c r="Y59" s="5">
        <f>VLOOKUP(A59,[1]Sheet!$A:$AH,34,0)</f>
        <v>30</v>
      </c>
      <c r="Z59" s="11">
        <f t="shared" si="20"/>
        <v>0</v>
      </c>
      <c r="AA59" s="9">
        <f t="shared" si="21"/>
        <v>0</v>
      </c>
      <c r="AB59" s="9">
        <f>VLOOKUP(A59,[1]Sheet!$A:$AL,37,0)</f>
        <v>14</v>
      </c>
      <c r="AC59" s="9">
        <f>VLOOKUP(A59,[1]Sheet!$A:$AL,38,0)</f>
        <v>126</v>
      </c>
      <c r="AD59" s="11">
        <f t="shared" ref="AD59:AD70" si="28">Z59/AC59</f>
        <v>0</v>
      </c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</row>
    <row r="60" spans="1:50" x14ac:dyDescent="0.25">
      <c r="A60" s="9" t="s">
        <v>140</v>
      </c>
      <c r="B60" s="9" t="s">
        <v>33</v>
      </c>
      <c r="C60" s="9"/>
      <c r="D60" s="9">
        <v>672</v>
      </c>
      <c r="E60" s="9">
        <v>117</v>
      </c>
      <c r="F60" s="9">
        <v>556</v>
      </c>
      <c r="G60" s="5">
        <v>0.25</v>
      </c>
      <c r="H60" s="9">
        <v>180</v>
      </c>
      <c r="I60" s="9" t="s">
        <v>141</v>
      </c>
      <c r="J60" s="9">
        <v>129</v>
      </c>
      <c r="K60" s="9">
        <f t="shared" si="23"/>
        <v>-12</v>
      </c>
      <c r="L60" s="9"/>
      <c r="M60" s="9"/>
      <c r="N60" s="9"/>
      <c r="O60" s="9">
        <f t="shared" si="4"/>
        <v>23.4</v>
      </c>
      <c r="P60" s="4"/>
      <c r="Q60" s="4">
        <f t="shared" si="18"/>
        <v>0</v>
      </c>
      <c r="R60" s="4"/>
      <c r="S60" s="9"/>
      <c r="T60" s="9">
        <f t="shared" si="10"/>
        <v>23.760683760683762</v>
      </c>
      <c r="U60" s="9">
        <f t="shared" si="11"/>
        <v>23.760683760683762</v>
      </c>
      <c r="V60" s="9" t="s">
        <v>30</v>
      </c>
      <c r="W60" s="9"/>
      <c r="X60" s="9">
        <f t="shared" si="27"/>
        <v>0</v>
      </c>
      <c r="Y60" s="5">
        <f>VLOOKUP(A60,[1]Sheet!$A:$AH,34,0)</f>
        <v>12</v>
      </c>
      <c r="Z60" s="11">
        <f t="shared" ref="Z60:Z70" si="29">MROUND(P60, Y60*AB60)/Y60</f>
        <v>0</v>
      </c>
      <c r="AA60" s="9">
        <f t="shared" ref="AA60:AA70" si="30">Z60*Y60*G60</f>
        <v>0</v>
      </c>
      <c r="AB60" s="9">
        <f>VLOOKUP(A60,[1]Sheet!$A:$AL,37,0)</f>
        <v>14</v>
      </c>
      <c r="AC60" s="9">
        <f>VLOOKUP(A60,[1]Sheet!$A:$AL,38,0)</f>
        <v>70</v>
      </c>
      <c r="AD60" s="11">
        <f t="shared" si="28"/>
        <v>0</v>
      </c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</row>
    <row r="61" spans="1:50" x14ac:dyDescent="0.25">
      <c r="A61" s="9" t="s">
        <v>142</v>
      </c>
      <c r="B61" s="9" t="s">
        <v>33</v>
      </c>
      <c r="C61" s="9"/>
      <c r="D61" s="9">
        <v>336</v>
      </c>
      <c r="E61" s="9">
        <v>38</v>
      </c>
      <c r="F61" s="9">
        <v>294</v>
      </c>
      <c r="G61" s="5">
        <v>0.25</v>
      </c>
      <c r="H61" s="9">
        <v>180</v>
      </c>
      <c r="I61" s="9" t="s">
        <v>143</v>
      </c>
      <c r="J61" s="9">
        <v>41</v>
      </c>
      <c r="K61" s="9">
        <f t="shared" si="23"/>
        <v>-3</v>
      </c>
      <c r="L61" s="9"/>
      <c r="M61" s="9"/>
      <c r="N61" s="9"/>
      <c r="O61" s="9">
        <f t="shared" si="4"/>
        <v>7.6</v>
      </c>
      <c r="P61" s="4"/>
      <c r="Q61" s="4">
        <f t="shared" ref="Q61:Q70" si="31">Y61*Z61</f>
        <v>0</v>
      </c>
      <c r="R61" s="4"/>
      <c r="S61" s="9"/>
      <c r="T61" s="9">
        <f t="shared" si="10"/>
        <v>38.684210526315795</v>
      </c>
      <c r="U61" s="9">
        <f t="shared" si="11"/>
        <v>38.684210526315795</v>
      </c>
      <c r="V61" s="9" t="s">
        <v>30</v>
      </c>
      <c r="W61" s="9"/>
      <c r="X61" s="9">
        <f t="shared" si="27"/>
        <v>0</v>
      </c>
      <c r="Y61" s="5">
        <v>12</v>
      </c>
      <c r="Z61" s="11">
        <f t="shared" si="29"/>
        <v>0</v>
      </c>
      <c r="AA61" s="9">
        <f t="shared" si="30"/>
        <v>0</v>
      </c>
      <c r="AB61" s="9">
        <v>14</v>
      </c>
      <c r="AC61" s="9">
        <v>70</v>
      </c>
      <c r="AD61" s="11">
        <f t="shared" si="28"/>
        <v>0</v>
      </c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</row>
    <row r="62" spans="1:50" x14ac:dyDescent="0.25">
      <c r="A62" s="9" t="s">
        <v>144</v>
      </c>
      <c r="B62" s="9" t="s">
        <v>33</v>
      </c>
      <c r="C62" s="9"/>
      <c r="D62" s="9">
        <v>504</v>
      </c>
      <c r="E62" s="9">
        <v>63</v>
      </c>
      <c r="F62" s="9">
        <v>433</v>
      </c>
      <c r="G62" s="5">
        <v>0.3</v>
      </c>
      <c r="H62" s="9">
        <v>180</v>
      </c>
      <c r="I62" s="9" t="s">
        <v>145</v>
      </c>
      <c r="J62" s="9">
        <v>72</v>
      </c>
      <c r="K62" s="9">
        <f t="shared" si="23"/>
        <v>-9</v>
      </c>
      <c r="L62" s="9"/>
      <c r="M62" s="9"/>
      <c r="N62" s="9"/>
      <c r="O62" s="9">
        <f t="shared" si="4"/>
        <v>12.6</v>
      </c>
      <c r="P62" s="4"/>
      <c r="Q62" s="4">
        <f t="shared" si="31"/>
        <v>0</v>
      </c>
      <c r="R62" s="4"/>
      <c r="S62" s="9"/>
      <c r="T62" s="9">
        <f t="shared" si="10"/>
        <v>34.365079365079367</v>
      </c>
      <c r="U62" s="9">
        <f t="shared" si="11"/>
        <v>34.365079365079367</v>
      </c>
      <c r="V62" s="9" t="s">
        <v>30</v>
      </c>
      <c r="W62" s="9"/>
      <c r="X62" s="9">
        <f t="shared" si="27"/>
        <v>0</v>
      </c>
      <c r="Y62" s="5">
        <f>VLOOKUP(A62,[1]Sheet!$A:$AH,34,0)</f>
        <v>12</v>
      </c>
      <c r="Z62" s="11">
        <f t="shared" si="29"/>
        <v>0</v>
      </c>
      <c r="AA62" s="9">
        <f t="shared" si="30"/>
        <v>0</v>
      </c>
      <c r="AB62" s="9">
        <f>VLOOKUP(A62,[1]Sheet!$A:$AL,37,0)</f>
        <v>14</v>
      </c>
      <c r="AC62" s="9">
        <f>VLOOKUP(A62,[1]Sheet!$A:$AL,38,0)</f>
        <v>70</v>
      </c>
      <c r="AD62" s="11">
        <f t="shared" si="28"/>
        <v>0</v>
      </c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</row>
    <row r="63" spans="1:50" x14ac:dyDescent="0.25">
      <c r="A63" s="9" t="s">
        <v>146</v>
      </c>
      <c r="B63" s="9" t="s">
        <v>37</v>
      </c>
      <c r="C63" s="9"/>
      <c r="D63" s="9">
        <v>97.2</v>
      </c>
      <c r="E63" s="9">
        <v>9</v>
      </c>
      <c r="F63" s="9">
        <v>85.2</v>
      </c>
      <c r="G63" s="5">
        <v>1</v>
      </c>
      <c r="H63" s="9">
        <v>180</v>
      </c>
      <c r="I63" s="9" t="s">
        <v>147</v>
      </c>
      <c r="J63" s="9">
        <v>12</v>
      </c>
      <c r="K63" s="9">
        <f t="shared" si="23"/>
        <v>-3</v>
      </c>
      <c r="L63" s="9"/>
      <c r="M63" s="9"/>
      <c r="N63" s="9"/>
      <c r="O63" s="9">
        <f t="shared" si="4"/>
        <v>1.8</v>
      </c>
      <c r="P63" s="4"/>
      <c r="Q63" s="4">
        <f t="shared" si="31"/>
        <v>0</v>
      </c>
      <c r="R63" s="4"/>
      <c r="S63" s="9"/>
      <c r="T63" s="9">
        <f t="shared" si="10"/>
        <v>47.333333333333336</v>
      </c>
      <c r="U63" s="9">
        <f t="shared" si="11"/>
        <v>47.333333333333336</v>
      </c>
      <c r="V63" s="9" t="s">
        <v>30</v>
      </c>
      <c r="W63" s="9"/>
      <c r="X63" s="9">
        <f t="shared" si="27"/>
        <v>0</v>
      </c>
      <c r="Y63" s="5">
        <f>VLOOKUP(A63,[1]Sheet!$A:$AH,34,0)</f>
        <v>1.8</v>
      </c>
      <c r="Z63" s="11">
        <f t="shared" si="29"/>
        <v>0</v>
      </c>
      <c r="AA63" s="9">
        <f t="shared" si="30"/>
        <v>0</v>
      </c>
      <c r="AB63" s="9">
        <f>VLOOKUP(A63,[1]Sheet!$A:$AL,37,0)</f>
        <v>18</v>
      </c>
      <c r="AC63" s="9">
        <f>VLOOKUP(A63,[1]Sheet!$A:$AL,38,0)</f>
        <v>234</v>
      </c>
      <c r="AD63" s="11">
        <f t="shared" si="28"/>
        <v>0</v>
      </c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</row>
    <row r="64" spans="1:50" x14ac:dyDescent="0.25">
      <c r="A64" s="9" t="s">
        <v>148</v>
      </c>
      <c r="B64" s="9" t="s">
        <v>33</v>
      </c>
      <c r="C64" s="9"/>
      <c r="D64" s="9">
        <v>336</v>
      </c>
      <c r="E64" s="9">
        <v>54</v>
      </c>
      <c r="F64" s="9">
        <v>279</v>
      </c>
      <c r="G64" s="5">
        <v>0.3</v>
      </c>
      <c r="H64" s="9">
        <v>180</v>
      </c>
      <c r="I64" s="9" t="s">
        <v>149</v>
      </c>
      <c r="J64" s="9">
        <v>57</v>
      </c>
      <c r="K64" s="9">
        <f t="shared" si="23"/>
        <v>-3</v>
      </c>
      <c r="L64" s="9"/>
      <c r="M64" s="9"/>
      <c r="N64" s="9"/>
      <c r="O64" s="9">
        <f t="shared" si="4"/>
        <v>10.8</v>
      </c>
      <c r="P64" s="4"/>
      <c r="Q64" s="4">
        <f t="shared" si="31"/>
        <v>0</v>
      </c>
      <c r="R64" s="4"/>
      <c r="S64" s="9"/>
      <c r="T64" s="9">
        <f t="shared" si="10"/>
        <v>25.833333333333332</v>
      </c>
      <c r="U64" s="9">
        <f t="shared" si="11"/>
        <v>25.833333333333332</v>
      </c>
      <c r="V64" s="9" t="s">
        <v>30</v>
      </c>
      <c r="W64" s="9"/>
      <c r="X64" s="9">
        <f t="shared" si="27"/>
        <v>0</v>
      </c>
      <c r="Y64" s="5">
        <f>VLOOKUP(A64,[1]Sheet!$A:$AH,34,0)</f>
        <v>12</v>
      </c>
      <c r="Z64" s="11">
        <f t="shared" si="29"/>
        <v>0</v>
      </c>
      <c r="AA64" s="9">
        <f t="shared" si="30"/>
        <v>0</v>
      </c>
      <c r="AB64" s="9">
        <f>VLOOKUP(A64,[1]Sheet!$A:$AL,37,0)</f>
        <v>14</v>
      </c>
      <c r="AC64" s="9">
        <f>VLOOKUP(A64,[1]Sheet!$A:$AL,38,0)</f>
        <v>70</v>
      </c>
      <c r="AD64" s="11">
        <f t="shared" si="28"/>
        <v>0</v>
      </c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</row>
    <row r="65" spans="1:50" x14ac:dyDescent="0.25">
      <c r="A65" s="9" t="s">
        <v>150</v>
      </c>
      <c r="B65" s="9" t="s">
        <v>33</v>
      </c>
      <c r="C65" s="9"/>
      <c r="D65" s="9">
        <v>196</v>
      </c>
      <c r="E65" s="9">
        <v>27</v>
      </c>
      <c r="F65" s="9">
        <v>164</v>
      </c>
      <c r="G65" s="5">
        <v>0.3</v>
      </c>
      <c r="H65" s="9">
        <v>180</v>
      </c>
      <c r="I65" s="9" t="s">
        <v>151</v>
      </c>
      <c r="J65" s="9">
        <v>28</v>
      </c>
      <c r="K65" s="9">
        <f t="shared" si="23"/>
        <v>-1</v>
      </c>
      <c r="L65" s="9"/>
      <c r="M65" s="9"/>
      <c r="N65" s="9"/>
      <c r="O65" s="9">
        <f t="shared" si="4"/>
        <v>5.4</v>
      </c>
      <c r="P65" s="4"/>
      <c r="Q65" s="4">
        <f t="shared" si="31"/>
        <v>0</v>
      </c>
      <c r="R65" s="4"/>
      <c r="S65" s="9"/>
      <c r="T65" s="9">
        <f t="shared" si="10"/>
        <v>30.370370370370367</v>
      </c>
      <c r="U65" s="9">
        <f t="shared" si="11"/>
        <v>30.370370370370367</v>
      </c>
      <c r="V65" s="9" t="s">
        <v>30</v>
      </c>
      <c r="W65" s="9"/>
      <c r="X65" s="9">
        <f t="shared" si="27"/>
        <v>0</v>
      </c>
      <c r="Y65" s="5">
        <f>VLOOKUP(A65,[1]Sheet!$A:$AH,34,0)</f>
        <v>14</v>
      </c>
      <c r="Z65" s="11">
        <f t="shared" si="29"/>
        <v>0</v>
      </c>
      <c r="AA65" s="9">
        <f t="shared" si="30"/>
        <v>0</v>
      </c>
      <c r="AB65" s="9">
        <f>VLOOKUP(A65,[1]Sheet!$A:$AL,37,0)</f>
        <v>14</v>
      </c>
      <c r="AC65" s="9">
        <f>VLOOKUP(A65,[1]Sheet!$A:$AL,38,0)</f>
        <v>70</v>
      </c>
      <c r="AD65" s="11">
        <f t="shared" si="28"/>
        <v>0</v>
      </c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</row>
    <row r="66" spans="1:50" x14ac:dyDescent="0.25">
      <c r="A66" s="9" t="s">
        <v>152</v>
      </c>
      <c r="B66" s="9" t="s">
        <v>33</v>
      </c>
      <c r="C66" s="9"/>
      <c r="D66" s="9">
        <v>224</v>
      </c>
      <c r="E66" s="9">
        <v>30</v>
      </c>
      <c r="F66" s="9">
        <v>189</v>
      </c>
      <c r="G66" s="5">
        <v>0.48</v>
      </c>
      <c r="H66" s="9">
        <v>180</v>
      </c>
      <c r="I66" s="9" t="s">
        <v>153</v>
      </c>
      <c r="J66" s="9">
        <v>32</v>
      </c>
      <c r="K66" s="9">
        <f t="shared" si="23"/>
        <v>-2</v>
      </c>
      <c r="L66" s="9"/>
      <c r="M66" s="9"/>
      <c r="N66" s="9"/>
      <c r="O66" s="9">
        <f t="shared" si="4"/>
        <v>6</v>
      </c>
      <c r="P66" s="4"/>
      <c r="Q66" s="4">
        <f t="shared" si="31"/>
        <v>0</v>
      </c>
      <c r="R66" s="4"/>
      <c r="S66" s="9"/>
      <c r="T66" s="9">
        <f t="shared" si="10"/>
        <v>31.5</v>
      </c>
      <c r="U66" s="9">
        <f t="shared" si="11"/>
        <v>31.5</v>
      </c>
      <c r="V66" s="9" t="s">
        <v>30</v>
      </c>
      <c r="W66" s="9"/>
      <c r="X66" s="9">
        <f t="shared" si="27"/>
        <v>0</v>
      </c>
      <c r="Y66" s="5">
        <v>8</v>
      </c>
      <c r="Z66" s="11">
        <f t="shared" si="29"/>
        <v>0</v>
      </c>
      <c r="AA66" s="9">
        <f t="shared" si="30"/>
        <v>0</v>
      </c>
      <c r="AB66" s="9">
        <v>14</v>
      </c>
      <c r="AC66" s="9">
        <v>70</v>
      </c>
      <c r="AD66" s="11">
        <f t="shared" si="28"/>
        <v>0</v>
      </c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</row>
    <row r="67" spans="1:50" x14ac:dyDescent="0.25">
      <c r="A67" s="9" t="s">
        <v>154</v>
      </c>
      <c r="B67" s="9" t="s">
        <v>33</v>
      </c>
      <c r="C67" s="9"/>
      <c r="D67" s="9">
        <v>1008</v>
      </c>
      <c r="E67" s="9">
        <v>140</v>
      </c>
      <c r="F67" s="9">
        <v>874</v>
      </c>
      <c r="G67" s="5">
        <v>0.25</v>
      </c>
      <c r="H67" s="9">
        <v>180</v>
      </c>
      <c r="I67" s="9" t="s">
        <v>155</v>
      </c>
      <c r="J67" s="9">
        <v>155</v>
      </c>
      <c r="K67" s="9">
        <f t="shared" si="23"/>
        <v>-15</v>
      </c>
      <c r="L67" s="9"/>
      <c r="M67" s="9"/>
      <c r="N67" s="9"/>
      <c r="O67" s="9">
        <f t="shared" si="4"/>
        <v>28</v>
      </c>
      <c r="P67" s="4"/>
      <c r="Q67" s="4">
        <f t="shared" si="31"/>
        <v>0</v>
      </c>
      <c r="R67" s="4"/>
      <c r="S67" s="9"/>
      <c r="T67" s="9">
        <f t="shared" si="10"/>
        <v>31.214285714285715</v>
      </c>
      <c r="U67" s="9">
        <f t="shared" si="11"/>
        <v>31.214285714285715</v>
      </c>
      <c r="V67" s="9" t="s">
        <v>30</v>
      </c>
      <c r="W67" s="9"/>
      <c r="X67" s="9">
        <f t="shared" si="27"/>
        <v>0</v>
      </c>
      <c r="Y67" s="5">
        <f>VLOOKUP(A67,[1]Sheet!$A:$AH,34,0)</f>
        <v>12</v>
      </c>
      <c r="Z67" s="11">
        <f t="shared" si="29"/>
        <v>0</v>
      </c>
      <c r="AA67" s="9">
        <f t="shared" si="30"/>
        <v>0</v>
      </c>
      <c r="AB67" s="9">
        <f>VLOOKUP(A67,[1]Sheet!$A:$AL,37,0)</f>
        <v>14</v>
      </c>
      <c r="AC67" s="9">
        <f>VLOOKUP(A67,[1]Sheet!$A:$AL,38,0)</f>
        <v>70</v>
      </c>
      <c r="AD67" s="11">
        <f t="shared" si="28"/>
        <v>0</v>
      </c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</row>
    <row r="68" spans="1:50" x14ac:dyDescent="0.25">
      <c r="A68" s="9" t="s">
        <v>156</v>
      </c>
      <c r="B68" s="9" t="s">
        <v>33</v>
      </c>
      <c r="C68" s="9"/>
      <c r="D68" s="9">
        <v>840</v>
      </c>
      <c r="E68" s="9">
        <v>126</v>
      </c>
      <c r="F68" s="9">
        <v>715</v>
      </c>
      <c r="G68" s="5">
        <v>0.25</v>
      </c>
      <c r="H68" s="9">
        <v>180</v>
      </c>
      <c r="I68" s="9" t="s">
        <v>157</v>
      </c>
      <c r="J68" s="9">
        <v>132</v>
      </c>
      <c r="K68" s="9">
        <f t="shared" si="23"/>
        <v>-6</v>
      </c>
      <c r="L68" s="9"/>
      <c r="M68" s="9"/>
      <c r="N68" s="9"/>
      <c r="O68" s="9">
        <f t="shared" si="4"/>
        <v>25.2</v>
      </c>
      <c r="P68" s="4"/>
      <c r="Q68" s="4">
        <f t="shared" si="31"/>
        <v>0</v>
      </c>
      <c r="R68" s="4"/>
      <c r="S68" s="9"/>
      <c r="T68" s="9">
        <f t="shared" si="10"/>
        <v>28.373015873015873</v>
      </c>
      <c r="U68" s="9">
        <f t="shared" si="11"/>
        <v>28.373015873015873</v>
      </c>
      <c r="V68" s="9" t="s">
        <v>30</v>
      </c>
      <c r="W68" s="9"/>
      <c r="X68" s="9">
        <f t="shared" si="27"/>
        <v>0</v>
      </c>
      <c r="Y68" s="5">
        <f>VLOOKUP(A68,[1]Sheet!$A:$AH,34,0)</f>
        <v>12</v>
      </c>
      <c r="Z68" s="11">
        <f t="shared" si="29"/>
        <v>0</v>
      </c>
      <c r="AA68" s="9">
        <f t="shared" si="30"/>
        <v>0</v>
      </c>
      <c r="AB68" s="9">
        <f>VLOOKUP(A68,[1]Sheet!$A:$AL,37,0)</f>
        <v>14</v>
      </c>
      <c r="AC68" s="9">
        <f>VLOOKUP(A68,[1]Sheet!$A:$AL,38,0)</f>
        <v>70</v>
      </c>
      <c r="AD68" s="11">
        <f t="shared" si="28"/>
        <v>0</v>
      </c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</row>
    <row r="69" spans="1:50" x14ac:dyDescent="0.25">
      <c r="A69" s="9" t="s">
        <v>158</v>
      </c>
      <c r="B69" s="9" t="s">
        <v>37</v>
      </c>
      <c r="C69" s="9"/>
      <c r="D69" s="9">
        <v>189</v>
      </c>
      <c r="E69" s="9">
        <v>37.799999999999997</v>
      </c>
      <c r="F69" s="9">
        <v>148.5</v>
      </c>
      <c r="G69" s="5">
        <v>1</v>
      </c>
      <c r="H69" s="9">
        <v>180</v>
      </c>
      <c r="I69" s="9" t="s">
        <v>159</v>
      </c>
      <c r="J69" s="9">
        <v>40.5</v>
      </c>
      <c r="K69" s="9">
        <f t="shared" si="23"/>
        <v>-2.7000000000000028</v>
      </c>
      <c r="L69" s="9"/>
      <c r="M69" s="9"/>
      <c r="N69" s="9"/>
      <c r="O69" s="9">
        <f t="shared" si="4"/>
        <v>7.56</v>
      </c>
      <c r="P69" s="4">
        <f t="shared" si="25"/>
        <v>40.5</v>
      </c>
      <c r="Q69" s="4">
        <f t="shared" si="31"/>
        <v>37.800000000000004</v>
      </c>
      <c r="R69" s="4"/>
      <c r="S69" s="9"/>
      <c r="T69" s="9">
        <f t="shared" si="10"/>
        <v>24.642857142857146</v>
      </c>
      <c r="U69" s="9">
        <f t="shared" si="11"/>
        <v>19.642857142857142</v>
      </c>
      <c r="V69" s="9" t="s">
        <v>30</v>
      </c>
      <c r="W69" s="9"/>
      <c r="X69" s="9">
        <f t="shared" si="27"/>
        <v>40.5</v>
      </c>
      <c r="Y69" s="5">
        <f>VLOOKUP(A69,[1]Sheet!$A:$AH,34,0)</f>
        <v>2.7</v>
      </c>
      <c r="Z69" s="11">
        <f t="shared" si="29"/>
        <v>14</v>
      </c>
      <c r="AA69" s="9">
        <f t="shared" si="30"/>
        <v>37.800000000000004</v>
      </c>
      <c r="AB69" s="9">
        <f>VLOOKUP(A69,[1]Sheet!$A:$AL,37,0)</f>
        <v>14</v>
      </c>
      <c r="AC69" s="9">
        <f>VLOOKUP(A69,[1]Sheet!$A:$AL,38,0)</f>
        <v>126</v>
      </c>
      <c r="AD69" s="11">
        <f t="shared" si="28"/>
        <v>0.1111111111111111</v>
      </c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</row>
    <row r="70" spans="1:50" x14ac:dyDescent="0.25">
      <c r="A70" s="9" t="s">
        <v>160</v>
      </c>
      <c r="B70" s="9" t="s">
        <v>37</v>
      </c>
      <c r="C70" s="9"/>
      <c r="D70" s="9">
        <v>540</v>
      </c>
      <c r="E70" s="9">
        <v>65</v>
      </c>
      <c r="F70" s="9">
        <v>480</v>
      </c>
      <c r="G70" s="5">
        <v>1</v>
      </c>
      <c r="H70" s="9">
        <v>180</v>
      </c>
      <c r="I70" s="9" t="s">
        <v>161</v>
      </c>
      <c r="J70" s="9">
        <v>70</v>
      </c>
      <c r="K70" s="9">
        <f t="shared" ref="K70" si="32">E70-J70</f>
        <v>-5</v>
      </c>
      <c r="L70" s="9"/>
      <c r="M70" s="9"/>
      <c r="N70" s="9"/>
      <c r="O70" s="9">
        <f t="shared" si="4"/>
        <v>13</v>
      </c>
      <c r="P70" s="4"/>
      <c r="Q70" s="4">
        <f t="shared" si="31"/>
        <v>0</v>
      </c>
      <c r="R70" s="4"/>
      <c r="S70" s="9"/>
      <c r="T70" s="9">
        <f t="shared" si="10"/>
        <v>36.92307692307692</v>
      </c>
      <c r="U70" s="9">
        <f t="shared" si="11"/>
        <v>36.92307692307692</v>
      </c>
      <c r="V70" s="9" t="s">
        <v>30</v>
      </c>
      <c r="W70" s="9"/>
      <c r="X70" s="9">
        <f t="shared" si="27"/>
        <v>0</v>
      </c>
      <c r="Y70" s="5">
        <f>VLOOKUP(A70,[1]Sheet!$A:$AH,34,0)</f>
        <v>5</v>
      </c>
      <c r="Z70" s="11">
        <f t="shared" si="29"/>
        <v>0</v>
      </c>
      <c r="AA70" s="9">
        <f t="shared" si="30"/>
        <v>0</v>
      </c>
      <c r="AB70" s="9">
        <f>VLOOKUP(A70,[1]Sheet!$A:$AL,37,0)</f>
        <v>12</v>
      </c>
      <c r="AC70" s="9">
        <f>VLOOKUP(A70,[1]Sheet!$A:$AL,38,0)</f>
        <v>84</v>
      </c>
      <c r="AD70" s="11">
        <f t="shared" si="28"/>
        <v>0</v>
      </c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</row>
    <row r="71" spans="1:50" x14ac:dyDescent="0.25">
      <c r="A71" s="9"/>
      <c r="B71" s="9"/>
      <c r="C71" s="9"/>
      <c r="D71" s="9"/>
      <c r="E71" s="9"/>
      <c r="F71" s="9"/>
      <c r="G71" s="5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5"/>
      <c r="Z71" s="11"/>
      <c r="AA71" s="9"/>
      <c r="AB71" s="9"/>
      <c r="AC71" s="9"/>
      <c r="AD71" s="11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</row>
    <row r="72" spans="1:50" x14ac:dyDescent="0.25">
      <c r="A72" s="9"/>
      <c r="B72" s="9"/>
      <c r="C72" s="9"/>
      <c r="D72" s="9"/>
      <c r="E72" s="9"/>
      <c r="F72" s="9"/>
      <c r="G72" s="5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5"/>
      <c r="Z72" s="11"/>
      <c r="AA72" s="9"/>
      <c r="AB72" s="9"/>
      <c r="AC72" s="9"/>
      <c r="AD72" s="11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</row>
    <row r="73" spans="1:50" x14ac:dyDescent="0.25">
      <c r="A73" s="9"/>
      <c r="B73" s="9"/>
      <c r="C73" s="9"/>
      <c r="D73" s="9"/>
      <c r="E73" s="9"/>
      <c r="F73" s="9"/>
      <c r="G73" s="5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5"/>
      <c r="Z73" s="11"/>
      <c r="AA73" s="9"/>
      <c r="AB73" s="9"/>
      <c r="AC73" s="9"/>
      <c r="AD73" s="11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</row>
    <row r="74" spans="1:50" x14ac:dyDescent="0.25">
      <c r="A74" s="9"/>
      <c r="B74" s="9"/>
      <c r="C74" s="9"/>
      <c r="D74" s="9"/>
      <c r="E74" s="9"/>
      <c r="F74" s="9"/>
      <c r="G74" s="5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5"/>
      <c r="Z74" s="11"/>
      <c r="AA74" s="9"/>
      <c r="AB74" s="9"/>
      <c r="AC74" s="9"/>
      <c r="AD74" s="11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</row>
    <row r="75" spans="1:50" x14ac:dyDescent="0.25">
      <c r="A75" s="9"/>
      <c r="B75" s="9"/>
      <c r="C75" s="9"/>
      <c r="D75" s="9"/>
      <c r="E75" s="9"/>
      <c r="F75" s="9"/>
      <c r="G75" s="5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5"/>
      <c r="Z75" s="11"/>
      <c r="AA75" s="9"/>
      <c r="AB75" s="9"/>
      <c r="AC75" s="9"/>
      <c r="AD75" s="11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</row>
    <row r="76" spans="1:50" x14ac:dyDescent="0.25">
      <c r="A76" s="9"/>
      <c r="B76" s="9"/>
      <c r="C76" s="9"/>
      <c r="D76" s="9"/>
      <c r="E76" s="9"/>
      <c r="F76" s="9"/>
      <c r="G76" s="5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5"/>
      <c r="Z76" s="11"/>
      <c r="AA76" s="9"/>
      <c r="AB76" s="9"/>
      <c r="AC76" s="9"/>
      <c r="AD76" s="11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</row>
    <row r="77" spans="1:50" x14ac:dyDescent="0.25">
      <c r="A77" s="9"/>
      <c r="B77" s="9"/>
      <c r="C77" s="9"/>
      <c r="D77" s="9"/>
      <c r="E77" s="9"/>
      <c r="F77" s="9"/>
      <c r="G77" s="5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5"/>
      <c r="Z77" s="11"/>
      <c r="AA77" s="9"/>
      <c r="AB77" s="9"/>
      <c r="AC77" s="9"/>
      <c r="AD77" s="11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</row>
    <row r="78" spans="1:50" x14ac:dyDescent="0.25">
      <c r="A78" s="9"/>
      <c r="B78" s="9"/>
      <c r="C78" s="9"/>
      <c r="D78" s="9"/>
      <c r="E78" s="9"/>
      <c r="F78" s="9"/>
      <c r="G78" s="5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5"/>
      <c r="Z78" s="11"/>
      <c r="AA78" s="9"/>
      <c r="AB78" s="9"/>
      <c r="AC78" s="9"/>
      <c r="AD78" s="11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</row>
    <row r="79" spans="1:50" x14ac:dyDescent="0.25">
      <c r="A79" s="9"/>
      <c r="B79" s="9"/>
      <c r="C79" s="9"/>
      <c r="D79" s="9"/>
      <c r="E79" s="9"/>
      <c r="F79" s="9"/>
      <c r="G79" s="5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5"/>
      <c r="Z79" s="11"/>
      <c r="AA79" s="9"/>
      <c r="AB79" s="9"/>
      <c r="AC79" s="9"/>
      <c r="AD79" s="11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</row>
    <row r="80" spans="1:50" x14ac:dyDescent="0.25">
      <c r="A80" s="9"/>
      <c r="B80" s="9"/>
      <c r="C80" s="9"/>
      <c r="D80" s="9"/>
      <c r="E80" s="9"/>
      <c r="F80" s="9"/>
      <c r="G80" s="5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5"/>
      <c r="Z80" s="11"/>
      <c r="AA80" s="9"/>
      <c r="AB80" s="9"/>
      <c r="AC80" s="9"/>
      <c r="AD80" s="11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</row>
    <row r="81" spans="1:50" x14ac:dyDescent="0.25">
      <c r="A81" s="9"/>
      <c r="B81" s="9"/>
      <c r="C81" s="9"/>
      <c r="D81" s="9"/>
      <c r="E81" s="9"/>
      <c r="F81" s="9"/>
      <c r="G81" s="5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5"/>
      <c r="Z81" s="11"/>
      <c r="AA81" s="9"/>
      <c r="AB81" s="9"/>
      <c r="AC81" s="9"/>
      <c r="AD81" s="11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</row>
    <row r="82" spans="1:50" x14ac:dyDescent="0.25">
      <c r="A82" s="9"/>
      <c r="B82" s="9"/>
      <c r="C82" s="9"/>
      <c r="D82" s="9"/>
      <c r="E82" s="9"/>
      <c r="F82" s="9"/>
      <c r="G82" s="5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5"/>
      <c r="Z82" s="11"/>
      <c r="AA82" s="9"/>
      <c r="AB82" s="9"/>
      <c r="AC82" s="9"/>
      <c r="AD82" s="11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</row>
    <row r="83" spans="1:50" x14ac:dyDescent="0.25">
      <c r="A83" s="9"/>
      <c r="B83" s="9"/>
      <c r="C83" s="9"/>
      <c r="D83" s="9"/>
      <c r="E83" s="9"/>
      <c r="F83" s="9"/>
      <c r="G83" s="5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5"/>
      <c r="Z83" s="11"/>
      <c r="AA83" s="9"/>
      <c r="AB83" s="9"/>
      <c r="AC83" s="9"/>
      <c r="AD83" s="11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</row>
    <row r="84" spans="1:50" x14ac:dyDescent="0.25">
      <c r="A84" s="9"/>
      <c r="B84" s="9"/>
      <c r="C84" s="9"/>
      <c r="D84" s="9"/>
      <c r="E84" s="9"/>
      <c r="F84" s="9"/>
      <c r="G84" s="5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5"/>
      <c r="Z84" s="11"/>
      <c r="AA84" s="9"/>
      <c r="AB84" s="9"/>
      <c r="AC84" s="9"/>
      <c r="AD84" s="11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</row>
    <row r="85" spans="1:50" x14ac:dyDescent="0.25">
      <c r="A85" s="9"/>
      <c r="B85" s="9"/>
      <c r="C85" s="9"/>
      <c r="D85" s="9"/>
      <c r="E85" s="9"/>
      <c r="F85" s="9"/>
      <c r="G85" s="5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5"/>
      <c r="Z85" s="11"/>
      <c r="AA85" s="9"/>
      <c r="AB85" s="9"/>
      <c r="AC85" s="9"/>
      <c r="AD85" s="11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</row>
    <row r="86" spans="1:50" x14ac:dyDescent="0.25">
      <c r="A86" s="9"/>
      <c r="B86" s="9"/>
      <c r="C86" s="9"/>
      <c r="D86" s="9"/>
      <c r="E86" s="9"/>
      <c r="F86" s="9"/>
      <c r="G86" s="5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5"/>
      <c r="Z86" s="11"/>
      <c r="AA86" s="9"/>
      <c r="AB86" s="9"/>
      <c r="AC86" s="9"/>
      <c r="AD86" s="11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</row>
    <row r="87" spans="1:50" x14ac:dyDescent="0.25">
      <c r="A87" s="9"/>
      <c r="B87" s="9"/>
      <c r="C87" s="9"/>
      <c r="D87" s="9"/>
      <c r="E87" s="9"/>
      <c r="F87" s="9"/>
      <c r="G87" s="5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5"/>
      <c r="Z87" s="11"/>
      <c r="AA87" s="9"/>
      <c r="AB87" s="9"/>
      <c r="AC87" s="9"/>
      <c r="AD87" s="11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</row>
    <row r="88" spans="1:50" x14ac:dyDescent="0.25">
      <c r="A88" s="9"/>
      <c r="B88" s="9"/>
      <c r="C88" s="9"/>
      <c r="D88" s="9"/>
      <c r="E88" s="9"/>
      <c r="F88" s="9"/>
      <c r="G88" s="5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5"/>
      <c r="Z88" s="11"/>
      <c r="AA88" s="9"/>
      <c r="AB88" s="9"/>
      <c r="AC88" s="9"/>
      <c r="AD88" s="11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</row>
    <row r="89" spans="1:50" x14ac:dyDescent="0.25">
      <c r="A89" s="9"/>
      <c r="B89" s="9"/>
      <c r="C89" s="9"/>
      <c r="D89" s="9"/>
      <c r="E89" s="9"/>
      <c r="F89" s="9"/>
      <c r="G89" s="5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5"/>
      <c r="Z89" s="11"/>
      <c r="AA89" s="9"/>
      <c r="AB89" s="9"/>
      <c r="AC89" s="9"/>
      <c r="AD89" s="11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</row>
    <row r="90" spans="1:50" x14ac:dyDescent="0.25">
      <c r="A90" s="9"/>
      <c r="B90" s="9"/>
      <c r="C90" s="9"/>
      <c r="D90" s="9"/>
      <c r="E90" s="9"/>
      <c r="F90" s="9"/>
      <c r="G90" s="5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5"/>
      <c r="Z90" s="11"/>
      <c r="AA90" s="9"/>
      <c r="AB90" s="9"/>
      <c r="AC90" s="9"/>
      <c r="AD90" s="11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</row>
    <row r="91" spans="1:50" x14ac:dyDescent="0.25">
      <c r="A91" s="9"/>
      <c r="B91" s="9"/>
      <c r="C91" s="9"/>
      <c r="D91" s="9"/>
      <c r="E91" s="9"/>
      <c r="F91" s="9"/>
      <c r="G91" s="5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5"/>
      <c r="Z91" s="11"/>
      <c r="AA91" s="9"/>
      <c r="AB91" s="9"/>
      <c r="AC91" s="9"/>
      <c r="AD91" s="11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</row>
    <row r="92" spans="1:50" x14ac:dyDescent="0.25">
      <c r="A92" s="9"/>
      <c r="B92" s="9"/>
      <c r="C92" s="9"/>
      <c r="D92" s="9"/>
      <c r="E92" s="9"/>
      <c r="F92" s="9"/>
      <c r="G92" s="5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5"/>
      <c r="Z92" s="11"/>
      <c r="AA92" s="9"/>
      <c r="AB92" s="9"/>
      <c r="AC92" s="9"/>
      <c r="AD92" s="11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</row>
    <row r="93" spans="1:50" x14ac:dyDescent="0.25">
      <c r="A93" s="9"/>
      <c r="B93" s="9"/>
      <c r="C93" s="9"/>
      <c r="D93" s="9"/>
      <c r="E93" s="9"/>
      <c r="F93" s="9"/>
      <c r="G93" s="5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5"/>
      <c r="Z93" s="11"/>
      <c r="AA93" s="9"/>
      <c r="AB93" s="9"/>
      <c r="AC93" s="9"/>
      <c r="AD93" s="11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</row>
    <row r="94" spans="1:50" x14ac:dyDescent="0.25">
      <c r="A94" s="9"/>
      <c r="B94" s="9"/>
      <c r="C94" s="9"/>
      <c r="D94" s="9"/>
      <c r="E94" s="9"/>
      <c r="F94" s="9"/>
      <c r="G94" s="5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5"/>
      <c r="Z94" s="11"/>
      <c r="AA94" s="9"/>
      <c r="AB94" s="9"/>
      <c r="AC94" s="9"/>
      <c r="AD94" s="11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</row>
    <row r="95" spans="1:50" x14ac:dyDescent="0.25">
      <c r="A95" s="9"/>
      <c r="B95" s="9"/>
      <c r="C95" s="9"/>
      <c r="D95" s="9"/>
      <c r="E95" s="9"/>
      <c r="F95" s="9"/>
      <c r="G95" s="5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5"/>
      <c r="Z95" s="11"/>
      <c r="AA95" s="9"/>
      <c r="AB95" s="9"/>
      <c r="AC95" s="9"/>
      <c r="AD95" s="11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</row>
    <row r="96" spans="1:50" x14ac:dyDescent="0.25">
      <c r="A96" s="9"/>
      <c r="B96" s="9"/>
      <c r="C96" s="9"/>
      <c r="D96" s="9"/>
      <c r="E96" s="9"/>
      <c r="F96" s="9"/>
      <c r="G96" s="5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5"/>
      <c r="Z96" s="11"/>
      <c r="AA96" s="9"/>
      <c r="AB96" s="9"/>
      <c r="AC96" s="9"/>
      <c r="AD96" s="11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</row>
    <row r="97" spans="1:50" x14ac:dyDescent="0.25">
      <c r="A97" s="9"/>
      <c r="B97" s="9"/>
      <c r="C97" s="9"/>
      <c r="D97" s="9"/>
      <c r="E97" s="9"/>
      <c r="F97" s="9"/>
      <c r="G97" s="5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5"/>
      <c r="Z97" s="11"/>
      <c r="AA97" s="9"/>
      <c r="AB97" s="9"/>
      <c r="AC97" s="9"/>
      <c r="AD97" s="11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</row>
    <row r="98" spans="1:50" x14ac:dyDescent="0.25">
      <c r="A98" s="9"/>
      <c r="B98" s="9"/>
      <c r="C98" s="9"/>
      <c r="D98" s="9"/>
      <c r="E98" s="9"/>
      <c r="F98" s="9"/>
      <c r="G98" s="5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5"/>
      <c r="Z98" s="11"/>
      <c r="AA98" s="9"/>
      <c r="AB98" s="9"/>
      <c r="AC98" s="9"/>
      <c r="AD98" s="11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</row>
    <row r="99" spans="1:50" x14ac:dyDescent="0.25">
      <c r="A99" s="9"/>
      <c r="B99" s="9"/>
      <c r="C99" s="9"/>
      <c r="D99" s="9"/>
      <c r="E99" s="9"/>
      <c r="F99" s="9"/>
      <c r="G99" s="5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5"/>
      <c r="Z99" s="11"/>
      <c r="AA99" s="9"/>
      <c r="AB99" s="9"/>
      <c r="AC99" s="9"/>
      <c r="AD99" s="11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</row>
    <row r="100" spans="1:50" x14ac:dyDescent="0.25">
      <c r="A100" s="9"/>
      <c r="B100" s="9"/>
      <c r="C100" s="9"/>
      <c r="D100" s="9"/>
      <c r="E100" s="9"/>
      <c r="F100" s="9"/>
      <c r="G100" s="5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5"/>
      <c r="Z100" s="11"/>
      <c r="AA100" s="9"/>
      <c r="AB100" s="9"/>
      <c r="AC100" s="9"/>
      <c r="AD100" s="11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</row>
    <row r="101" spans="1:50" x14ac:dyDescent="0.25">
      <c r="A101" s="9"/>
      <c r="B101" s="9"/>
      <c r="C101" s="9"/>
      <c r="D101" s="9"/>
      <c r="E101" s="9"/>
      <c r="F101" s="9"/>
      <c r="G101" s="5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5"/>
      <c r="Z101" s="11"/>
      <c r="AA101" s="9"/>
      <c r="AB101" s="9"/>
      <c r="AC101" s="9"/>
      <c r="AD101" s="11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</row>
    <row r="102" spans="1:50" x14ac:dyDescent="0.25">
      <c r="A102" s="9"/>
      <c r="B102" s="9"/>
      <c r="C102" s="9"/>
      <c r="D102" s="9"/>
      <c r="E102" s="9"/>
      <c r="F102" s="9"/>
      <c r="G102" s="5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5"/>
      <c r="Z102" s="11"/>
      <c r="AA102" s="9"/>
      <c r="AB102" s="9"/>
      <c r="AC102" s="9"/>
      <c r="AD102" s="11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</row>
    <row r="103" spans="1:50" x14ac:dyDescent="0.25">
      <c r="A103" s="9"/>
      <c r="B103" s="9"/>
      <c r="C103" s="9"/>
      <c r="D103" s="9"/>
      <c r="E103" s="9"/>
      <c r="F103" s="9"/>
      <c r="G103" s="5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5"/>
      <c r="Z103" s="11"/>
      <c r="AA103" s="9"/>
      <c r="AB103" s="9"/>
      <c r="AC103" s="9"/>
      <c r="AD103" s="11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</row>
    <row r="104" spans="1:50" x14ac:dyDescent="0.25">
      <c r="A104" s="9"/>
      <c r="B104" s="9"/>
      <c r="C104" s="9"/>
      <c r="D104" s="9"/>
      <c r="E104" s="9"/>
      <c r="F104" s="9"/>
      <c r="G104" s="5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5"/>
      <c r="Z104" s="11"/>
      <c r="AA104" s="9"/>
      <c r="AB104" s="9"/>
      <c r="AC104" s="9"/>
      <c r="AD104" s="11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</row>
    <row r="105" spans="1:50" x14ac:dyDescent="0.25">
      <c r="A105" s="9"/>
      <c r="B105" s="9"/>
      <c r="C105" s="9"/>
      <c r="D105" s="9"/>
      <c r="E105" s="9"/>
      <c r="F105" s="9"/>
      <c r="G105" s="5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5"/>
      <c r="Z105" s="11"/>
      <c r="AA105" s="9"/>
      <c r="AB105" s="9"/>
      <c r="AC105" s="9"/>
      <c r="AD105" s="11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</row>
    <row r="106" spans="1:50" x14ac:dyDescent="0.25">
      <c r="A106" s="9"/>
      <c r="B106" s="9"/>
      <c r="C106" s="9"/>
      <c r="D106" s="9"/>
      <c r="E106" s="9"/>
      <c r="F106" s="9"/>
      <c r="G106" s="5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5"/>
      <c r="Z106" s="11"/>
      <c r="AA106" s="9"/>
      <c r="AB106" s="9"/>
      <c r="AC106" s="9"/>
      <c r="AD106" s="11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</row>
    <row r="107" spans="1:50" x14ac:dyDescent="0.25">
      <c r="A107" s="9"/>
      <c r="B107" s="9"/>
      <c r="C107" s="9"/>
      <c r="D107" s="9"/>
      <c r="E107" s="9"/>
      <c r="F107" s="9"/>
      <c r="G107" s="5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5"/>
      <c r="Z107" s="11"/>
      <c r="AA107" s="9"/>
      <c r="AB107" s="9"/>
      <c r="AC107" s="9"/>
      <c r="AD107" s="11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</row>
    <row r="108" spans="1:50" x14ac:dyDescent="0.25">
      <c r="A108" s="9"/>
      <c r="B108" s="9"/>
      <c r="C108" s="9"/>
      <c r="D108" s="9"/>
      <c r="E108" s="9"/>
      <c r="F108" s="9"/>
      <c r="G108" s="5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5"/>
      <c r="Z108" s="11"/>
      <c r="AA108" s="9"/>
      <c r="AB108" s="9"/>
      <c r="AC108" s="9"/>
      <c r="AD108" s="11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</row>
    <row r="109" spans="1:50" x14ac:dyDescent="0.25">
      <c r="A109" s="9"/>
      <c r="B109" s="9"/>
      <c r="C109" s="9"/>
      <c r="D109" s="9"/>
      <c r="E109" s="9"/>
      <c r="F109" s="9"/>
      <c r="G109" s="5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5"/>
      <c r="Z109" s="11"/>
      <c r="AA109" s="9"/>
      <c r="AB109" s="9"/>
      <c r="AC109" s="9"/>
      <c r="AD109" s="11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</row>
    <row r="110" spans="1:50" x14ac:dyDescent="0.25">
      <c r="A110" s="9"/>
      <c r="B110" s="9"/>
      <c r="C110" s="9"/>
      <c r="D110" s="9"/>
      <c r="E110" s="9"/>
      <c r="F110" s="9"/>
      <c r="G110" s="5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5"/>
      <c r="Z110" s="11"/>
      <c r="AA110" s="9"/>
      <c r="AB110" s="9"/>
      <c r="AC110" s="9"/>
      <c r="AD110" s="11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</row>
    <row r="111" spans="1:50" x14ac:dyDescent="0.25">
      <c r="A111" s="9"/>
      <c r="B111" s="9"/>
      <c r="C111" s="9"/>
      <c r="D111" s="9"/>
      <c r="E111" s="9"/>
      <c r="F111" s="9"/>
      <c r="G111" s="5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5"/>
      <c r="Z111" s="11"/>
      <c r="AA111" s="9"/>
      <c r="AB111" s="9"/>
      <c r="AC111" s="9"/>
      <c r="AD111" s="11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</row>
    <row r="112" spans="1:50" x14ac:dyDescent="0.25">
      <c r="A112" s="9"/>
      <c r="B112" s="9"/>
      <c r="C112" s="9"/>
      <c r="D112" s="9"/>
      <c r="E112" s="9"/>
      <c r="F112" s="9"/>
      <c r="G112" s="5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5"/>
      <c r="Z112" s="11"/>
      <c r="AA112" s="9"/>
      <c r="AB112" s="9"/>
      <c r="AC112" s="9"/>
      <c r="AD112" s="11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</row>
    <row r="113" spans="1:50" x14ac:dyDescent="0.25">
      <c r="A113" s="9"/>
      <c r="B113" s="9"/>
      <c r="C113" s="9"/>
      <c r="D113" s="9"/>
      <c r="E113" s="9"/>
      <c r="F113" s="9"/>
      <c r="G113" s="5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5"/>
      <c r="Z113" s="11"/>
      <c r="AA113" s="9"/>
      <c r="AB113" s="9"/>
      <c r="AC113" s="9"/>
      <c r="AD113" s="11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</row>
    <row r="114" spans="1:50" x14ac:dyDescent="0.25">
      <c r="A114" s="9"/>
      <c r="B114" s="9"/>
      <c r="C114" s="9"/>
      <c r="D114" s="9"/>
      <c r="E114" s="9"/>
      <c r="F114" s="9"/>
      <c r="G114" s="5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5"/>
      <c r="Z114" s="11"/>
      <c r="AA114" s="9"/>
      <c r="AB114" s="9"/>
      <c r="AC114" s="9"/>
      <c r="AD114" s="11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</row>
    <row r="115" spans="1:50" x14ac:dyDescent="0.25">
      <c r="A115" s="9"/>
      <c r="B115" s="9"/>
      <c r="C115" s="9"/>
      <c r="D115" s="9"/>
      <c r="E115" s="9"/>
      <c r="F115" s="9"/>
      <c r="G115" s="5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5"/>
      <c r="Z115" s="11"/>
      <c r="AA115" s="9"/>
      <c r="AB115" s="9"/>
      <c r="AC115" s="9"/>
      <c r="AD115" s="11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</row>
    <row r="116" spans="1:50" x14ac:dyDescent="0.25">
      <c r="A116" s="9"/>
      <c r="B116" s="9"/>
      <c r="C116" s="9"/>
      <c r="D116" s="9"/>
      <c r="E116" s="9"/>
      <c r="F116" s="9"/>
      <c r="G116" s="5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5"/>
      <c r="Z116" s="11"/>
      <c r="AA116" s="9"/>
      <c r="AB116" s="9"/>
      <c r="AC116" s="9"/>
      <c r="AD116" s="11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</row>
    <row r="117" spans="1:50" x14ac:dyDescent="0.25">
      <c r="A117" s="9"/>
      <c r="B117" s="9"/>
      <c r="C117" s="9"/>
      <c r="D117" s="9"/>
      <c r="E117" s="9"/>
      <c r="F117" s="9"/>
      <c r="G117" s="5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5"/>
      <c r="Z117" s="11"/>
      <c r="AA117" s="9"/>
      <c r="AB117" s="9"/>
      <c r="AC117" s="9"/>
      <c r="AD117" s="11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</row>
    <row r="118" spans="1:50" x14ac:dyDescent="0.25">
      <c r="A118" s="9"/>
      <c r="B118" s="9"/>
      <c r="C118" s="9"/>
      <c r="D118" s="9"/>
      <c r="E118" s="9"/>
      <c r="F118" s="9"/>
      <c r="G118" s="5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5"/>
      <c r="Z118" s="11"/>
      <c r="AA118" s="9"/>
      <c r="AB118" s="9"/>
      <c r="AC118" s="9"/>
      <c r="AD118" s="11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</row>
    <row r="119" spans="1:50" x14ac:dyDescent="0.25">
      <c r="A119" s="9"/>
      <c r="B119" s="9"/>
      <c r="C119" s="9"/>
      <c r="D119" s="9"/>
      <c r="E119" s="9"/>
      <c r="F119" s="9"/>
      <c r="G119" s="5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5"/>
      <c r="Z119" s="11"/>
      <c r="AA119" s="9"/>
      <c r="AB119" s="9"/>
      <c r="AC119" s="9"/>
      <c r="AD119" s="11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</row>
    <row r="120" spans="1:50" x14ac:dyDescent="0.25">
      <c r="A120" s="9"/>
      <c r="B120" s="9"/>
      <c r="C120" s="9"/>
      <c r="D120" s="9"/>
      <c r="E120" s="9"/>
      <c r="F120" s="9"/>
      <c r="G120" s="5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5"/>
      <c r="Z120" s="11"/>
      <c r="AA120" s="9"/>
      <c r="AB120" s="9"/>
      <c r="AC120" s="9"/>
      <c r="AD120" s="11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</row>
    <row r="121" spans="1:50" x14ac:dyDescent="0.25">
      <c r="A121" s="9"/>
      <c r="B121" s="9"/>
      <c r="C121" s="9"/>
      <c r="D121" s="9"/>
      <c r="E121" s="9"/>
      <c r="F121" s="9"/>
      <c r="G121" s="5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5"/>
      <c r="Z121" s="11"/>
      <c r="AA121" s="9"/>
      <c r="AB121" s="9"/>
      <c r="AC121" s="9"/>
      <c r="AD121" s="11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</row>
    <row r="122" spans="1:50" x14ac:dyDescent="0.25">
      <c r="A122" s="9"/>
      <c r="B122" s="9"/>
      <c r="C122" s="9"/>
      <c r="D122" s="9"/>
      <c r="E122" s="9"/>
      <c r="F122" s="9"/>
      <c r="G122" s="5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5"/>
      <c r="Z122" s="11"/>
      <c r="AA122" s="9"/>
      <c r="AB122" s="9"/>
      <c r="AC122" s="9"/>
      <c r="AD122" s="11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</row>
    <row r="123" spans="1:50" x14ac:dyDescent="0.25">
      <c r="A123" s="9"/>
      <c r="B123" s="9"/>
      <c r="C123" s="9"/>
      <c r="D123" s="9"/>
      <c r="E123" s="9"/>
      <c r="F123" s="9"/>
      <c r="G123" s="5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5"/>
      <c r="Z123" s="11"/>
      <c r="AA123" s="9"/>
      <c r="AB123" s="9"/>
      <c r="AC123" s="9"/>
      <c r="AD123" s="11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</row>
    <row r="124" spans="1:50" x14ac:dyDescent="0.25">
      <c r="A124" s="9"/>
      <c r="B124" s="9"/>
      <c r="C124" s="9"/>
      <c r="D124" s="9"/>
      <c r="E124" s="9"/>
      <c r="F124" s="9"/>
      <c r="G124" s="5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5"/>
      <c r="Z124" s="11"/>
      <c r="AA124" s="9"/>
      <c r="AB124" s="9"/>
      <c r="AC124" s="9"/>
      <c r="AD124" s="11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</row>
    <row r="125" spans="1:50" x14ac:dyDescent="0.25">
      <c r="A125" s="9"/>
      <c r="B125" s="9"/>
      <c r="C125" s="9"/>
      <c r="D125" s="9"/>
      <c r="E125" s="9"/>
      <c r="F125" s="9"/>
      <c r="G125" s="5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5"/>
      <c r="Z125" s="11"/>
      <c r="AA125" s="9"/>
      <c r="AB125" s="9"/>
      <c r="AC125" s="9"/>
      <c r="AD125" s="11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</row>
    <row r="126" spans="1:50" x14ac:dyDescent="0.25">
      <c r="A126" s="9"/>
      <c r="B126" s="9"/>
      <c r="C126" s="9"/>
      <c r="D126" s="9"/>
      <c r="E126" s="9"/>
      <c r="F126" s="9"/>
      <c r="G126" s="5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5"/>
      <c r="Z126" s="11"/>
      <c r="AA126" s="9"/>
      <c r="AB126" s="9"/>
      <c r="AC126" s="9"/>
      <c r="AD126" s="11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</row>
    <row r="127" spans="1:50" x14ac:dyDescent="0.25">
      <c r="A127" s="9"/>
      <c r="B127" s="9"/>
      <c r="C127" s="9"/>
      <c r="D127" s="9"/>
      <c r="E127" s="9"/>
      <c r="F127" s="9"/>
      <c r="G127" s="5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5"/>
      <c r="Z127" s="11"/>
      <c r="AA127" s="9"/>
      <c r="AB127" s="9"/>
      <c r="AC127" s="9"/>
      <c r="AD127" s="11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</row>
    <row r="128" spans="1:50" x14ac:dyDescent="0.25">
      <c r="A128" s="9"/>
      <c r="B128" s="9"/>
      <c r="C128" s="9"/>
      <c r="D128" s="9"/>
      <c r="E128" s="9"/>
      <c r="F128" s="9"/>
      <c r="G128" s="5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5"/>
      <c r="Z128" s="11"/>
      <c r="AA128" s="9"/>
      <c r="AB128" s="9"/>
      <c r="AC128" s="9"/>
      <c r="AD128" s="11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</row>
    <row r="129" spans="1:50" x14ac:dyDescent="0.25">
      <c r="A129" s="9"/>
      <c r="B129" s="9"/>
      <c r="C129" s="9"/>
      <c r="D129" s="9"/>
      <c r="E129" s="9"/>
      <c r="F129" s="9"/>
      <c r="G129" s="5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5"/>
      <c r="Z129" s="11"/>
      <c r="AA129" s="9"/>
      <c r="AB129" s="9"/>
      <c r="AC129" s="9"/>
      <c r="AD129" s="11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</row>
    <row r="130" spans="1:50" x14ac:dyDescent="0.25">
      <c r="A130" s="9"/>
      <c r="B130" s="9"/>
      <c r="C130" s="9"/>
      <c r="D130" s="9"/>
      <c r="E130" s="9"/>
      <c r="F130" s="9"/>
      <c r="G130" s="5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5"/>
      <c r="Z130" s="11"/>
      <c r="AA130" s="9"/>
      <c r="AB130" s="9"/>
      <c r="AC130" s="9"/>
      <c r="AD130" s="11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</row>
    <row r="131" spans="1:50" x14ac:dyDescent="0.25">
      <c r="A131" s="9"/>
      <c r="B131" s="9"/>
      <c r="C131" s="9"/>
      <c r="D131" s="9"/>
      <c r="E131" s="9"/>
      <c r="F131" s="9"/>
      <c r="G131" s="5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5"/>
      <c r="Z131" s="11"/>
      <c r="AA131" s="9"/>
      <c r="AB131" s="9"/>
      <c r="AC131" s="9"/>
      <c r="AD131" s="11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</row>
    <row r="132" spans="1:50" x14ac:dyDescent="0.25">
      <c r="A132" s="9"/>
      <c r="B132" s="9"/>
      <c r="C132" s="9"/>
      <c r="D132" s="9"/>
      <c r="E132" s="9"/>
      <c r="F132" s="9"/>
      <c r="G132" s="5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5"/>
      <c r="Z132" s="11"/>
      <c r="AA132" s="9"/>
      <c r="AB132" s="9"/>
      <c r="AC132" s="9"/>
      <c r="AD132" s="11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</row>
    <row r="133" spans="1:50" x14ac:dyDescent="0.25">
      <c r="A133" s="9"/>
      <c r="B133" s="9"/>
      <c r="C133" s="9"/>
      <c r="D133" s="9"/>
      <c r="E133" s="9"/>
      <c r="F133" s="9"/>
      <c r="G133" s="5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5"/>
      <c r="Z133" s="11"/>
      <c r="AA133" s="9"/>
      <c r="AB133" s="9"/>
      <c r="AC133" s="9"/>
      <c r="AD133" s="11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</row>
    <row r="134" spans="1:50" x14ac:dyDescent="0.25">
      <c r="A134" s="9"/>
      <c r="B134" s="9"/>
      <c r="C134" s="9"/>
      <c r="D134" s="9"/>
      <c r="E134" s="9"/>
      <c r="F134" s="9"/>
      <c r="G134" s="5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5"/>
      <c r="Z134" s="11"/>
      <c r="AA134" s="9"/>
      <c r="AB134" s="9"/>
      <c r="AC134" s="9"/>
      <c r="AD134" s="11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</row>
    <row r="135" spans="1:50" x14ac:dyDescent="0.25">
      <c r="A135" s="9"/>
      <c r="B135" s="9"/>
      <c r="C135" s="9"/>
      <c r="D135" s="9"/>
      <c r="E135" s="9"/>
      <c r="F135" s="9"/>
      <c r="G135" s="5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5"/>
      <c r="Z135" s="11"/>
      <c r="AA135" s="9"/>
      <c r="AB135" s="9"/>
      <c r="AC135" s="9"/>
      <c r="AD135" s="11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</row>
    <row r="136" spans="1:50" x14ac:dyDescent="0.25">
      <c r="A136" s="9"/>
      <c r="B136" s="9"/>
      <c r="C136" s="9"/>
      <c r="D136" s="9"/>
      <c r="E136" s="9"/>
      <c r="F136" s="9"/>
      <c r="G136" s="5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5"/>
      <c r="Z136" s="11"/>
      <c r="AA136" s="9"/>
      <c r="AB136" s="9"/>
      <c r="AC136" s="9"/>
      <c r="AD136" s="11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</row>
    <row r="137" spans="1:50" x14ac:dyDescent="0.25">
      <c r="A137" s="9"/>
      <c r="B137" s="9"/>
      <c r="C137" s="9"/>
      <c r="D137" s="9"/>
      <c r="E137" s="9"/>
      <c r="F137" s="9"/>
      <c r="G137" s="5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5"/>
      <c r="Z137" s="11"/>
      <c r="AA137" s="9"/>
      <c r="AB137" s="9"/>
      <c r="AC137" s="9"/>
      <c r="AD137" s="11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</row>
    <row r="138" spans="1:50" x14ac:dyDescent="0.25">
      <c r="A138" s="9"/>
      <c r="B138" s="9"/>
      <c r="C138" s="9"/>
      <c r="D138" s="9"/>
      <c r="E138" s="9"/>
      <c r="F138" s="9"/>
      <c r="G138" s="5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5"/>
      <c r="Z138" s="11"/>
      <c r="AA138" s="9"/>
      <c r="AB138" s="9"/>
      <c r="AC138" s="9"/>
      <c r="AD138" s="11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</row>
    <row r="139" spans="1:50" x14ac:dyDescent="0.25">
      <c r="A139" s="9"/>
      <c r="B139" s="9"/>
      <c r="C139" s="9"/>
      <c r="D139" s="9"/>
      <c r="E139" s="9"/>
      <c r="F139" s="9"/>
      <c r="G139" s="5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5"/>
      <c r="Z139" s="11"/>
      <c r="AA139" s="9"/>
      <c r="AB139" s="9"/>
      <c r="AC139" s="9"/>
      <c r="AD139" s="11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</row>
    <row r="140" spans="1:50" x14ac:dyDescent="0.25">
      <c r="A140" s="9"/>
      <c r="B140" s="9"/>
      <c r="C140" s="9"/>
      <c r="D140" s="9"/>
      <c r="E140" s="9"/>
      <c r="F140" s="9"/>
      <c r="G140" s="5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5"/>
      <c r="Z140" s="11"/>
      <c r="AA140" s="9"/>
      <c r="AB140" s="9"/>
      <c r="AC140" s="9"/>
      <c r="AD140" s="11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</row>
    <row r="141" spans="1:50" x14ac:dyDescent="0.25">
      <c r="A141" s="9"/>
      <c r="B141" s="9"/>
      <c r="C141" s="9"/>
      <c r="D141" s="9"/>
      <c r="E141" s="9"/>
      <c r="F141" s="9"/>
      <c r="G141" s="5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5"/>
      <c r="Z141" s="11"/>
      <c r="AA141" s="9"/>
      <c r="AB141" s="9"/>
      <c r="AC141" s="9"/>
      <c r="AD141" s="11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</row>
    <row r="142" spans="1:50" x14ac:dyDescent="0.25">
      <c r="A142" s="9"/>
      <c r="B142" s="9"/>
      <c r="C142" s="9"/>
      <c r="D142" s="9"/>
      <c r="E142" s="9"/>
      <c r="F142" s="9"/>
      <c r="G142" s="5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5"/>
      <c r="Z142" s="11"/>
      <c r="AA142" s="9"/>
      <c r="AB142" s="9"/>
      <c r="AC142" s="9"/>
      <c r="AD142" s="11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</row>
    <row r="143" spans="1:50" x14ac:dyDescent="0.25">
      <c r="A143" s="9"/>
      <c r="B143" s="9"/>
      <c r="C143" s="9"/>
      <c r="D143" s="9"/>
      <c r="E143" s="9"/>
      <c r="F143" s="9"/>
      <c r="G143" s="5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5"/>
      <c r="Z143" s="11"/>
      <c r="AA143" s="9"/>
      <c r="AB143" s="9"/>
      <c r="AC143" s="9"/>
      <c r="AD143" s="11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</row>
    <row r="144" spans="1:50" x14ac:dyDescent="0.25">
      <c r="A144" s="9"/>
      <c r="B144" s="9"/>
      <c r="C144" s="9"/>
      <c r="D144" s="9"/>
      <c r="E144" s="9"/>
      <c r="F144" s="9"/>
      <c r="G144" s="5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5"/>
      <c r="Z144" s="11"/>
      <c r="AA144" s="9"/>
      <c r="AB144" s="9"/>
      <c r="AC144" s="9"/>
      <c r="AD144" s="11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</row>
    <row r="145" spans="1:50" x14ac:dyDescent="0.25">
      <c r="A145" s="9"/>
      <c r="B145" s="9"/>
      <c r="C145" s="9"/>
      <c r="D145" s="9"/>
      <c r="E145" s="9"/>
      <c r="F145" s="9"/>
      <c r="G145" s="5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5"/>
      <c r="Z145" s="11"/>
      <c r="AA145" s="9"/>
      <c r="AB145" s="9"/>
      <c r="AC145" s="9"/>
      <c r="AD145" s="11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</row>
    <row r="146" spans="1:50" x14ac:dyDescent="0.25">
      <c r="A146" s="9"/>
      <c r="B146" s="9"/>
      <c r="C146" s="9"/>
      <c r="D146" s="9"/>
      <c r="E146" s="9"/>
      <c r="F146" s="9"/>
      <c r="G146" s="5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5"/>
      <c r="Z146" s="11"/>
      <c r="AA146" s="9"/>
      <c r="AB146" s="9"/>
      <c r="AC146" s="9"/>
      <c r="AD146" s="11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</row>
    <row r="147" spans="1:50" x14ac:dyDescent="0.25">
      <c r="A147" s="9"/>
      <c r="B147" s="9"/>
      <c r="C147" s="9"/>
      <c r="D147" s="9"/>
      <c r="E147" s="9"/>
      <c r="F147" s="9"/>
      <c r="G147" s="5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5"/>
      <c r="Z147" s="11"/>
      <c r="AA147" s="9"/>
      <c r="AB147" s="9"/>
      <c r="AC147" s="9"/>
      <c r="AD147" s="11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</row>
    <row r="148" spans="1:50" x14ac:dyDescent="0.25">
      <c r="A148" s="9"/>
      <c r="B148" s="9"/>
      <c r="C148" s="9"/>
      <c r="D148" s="9"/>
      <c r="E148" s="9"/>
      <c r="F148" s="9"/>
      <c r="G148" s="5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5"/>
      <c r="Z148" s="11"/>
      <c r="AA148" s="9"/>
      <c r="AB148" s="9"/>
      <c r="AC148" s="9"/>
      <c r="AD148" s="11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</row>
    <row r="149" spans="1:50" x14ac:dyDescent="0.25">
      <c r="A149" s="9"/>
      <c r="B149" s="9"/>
      <c r="C149" s="9"/>
      <c r="D149" s="9"/>
      <c r="E149" s="9"/>
      <c r="F149" s="9"/>
      <c r="G149" s="5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5"/>
      <c r="Z149" s="11"/>
      <c r="AA149" s="9"/>
      <c r="AB149" s="9"/>
      <c r="AC149" s="9"/>
      <c r="AD149" s="11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</row>
    <row r="150" spans="1:50" x14ac:dyDescent="0.25">
      <c r="A150" s="9"/>
      <c r="B150" s="9"/>
      <c r="C150" s="9"/>
      <c r="D150" s="9"/>
      <c r="E150" s="9"/>
      <c r="F150" s="9"/>
      <c r="G150" s="5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5"/>
      <c r="Z150" s="11"/>
      <c r="AA150" s="9"/>
      <c r="AB150" s="9"/>
      <c r="AC150" s="9"/>
      <c r="AD150" s="11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</row>
    <row r="151" spans="1:50" x14ac:dyDescent="0.25">
      <c r="A151" s="9"/>
      <c r="B151" s="9"/>
      <c r="C151" s="9"/>
      <c r="D151" s="9"/>
      <c r="E151" s="9"/>
      <c r="F151" s="9"/>
      <c r="G151" s="5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5"/>
      <c r="Z151" s="11"/>
      <c r="AA151" s="9"/>
      <c r="AB151" s="9"/>
      <c r="AC151" s="9"/>
      <c r="AD151" s="11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</row>
    <row r="152" spans="1:50" x14ac:dyDescent="0.25">
      <c r="A152" s="9"/>
      <c r="B152" s="9"/>
      <c r="C152" s="9"/>
      <c r="D152" s="9"/>
      <c r="E152" s="9"/>
      <c r="F152" s="9"/>
      <c r="G152" s="5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5"/>
      <c r="Z152" s="11"/>
      <c r="AA152" s="9"/>
      <c r="AB152" s="9"/>
      <c r="AC152" s="9"/>
      <c r="AD152" s="11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</row>
    <row r="153" spans="1:50" x14ac:dyDescent="0.25">
      <c r="A153" s="9"/>
      <c r="B153" s="9"/>
      <c r="C153" s="9"/>
      <c r="D153" s="9"/>
      <c r="E153" s="9"/>
      <c r="F153" s="9"/>
      <c r="G153" s="5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5"/>
      <c r="Z153" s="11"/>
      <c r="AA153" s="9"/>
      <c r="AB153" s="9"/>
      <c r="AC153" s="9"/>
      <c r="AD153" s="11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</row>
    <row r="154" spans="1:50" x14ac:dyDescent="0.25">
      <c r="A154" s="9"/>
      <c r="B154" s="9"/>
      <c r="C154" s="9"/>
      <c r="D154" s="9"/>
      <c r="E154" s="9"/>
      <c r="F154" s="9"/>
      <c r="G154" s="5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5"/>
      <c r="Z154" s="11"/>
      <c r="AA154" s="9"/>
      <c r="AB154" s="9"/>
      <c r="AC154" s="9"/>
      <c r="AD154" s="11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</row>
    <row r="155" spans="1:50" x14ac:dyDescent="0.25">
      <c r="A155" s="9"/>
      <c r="B155" s="9"/>
      <c r="C155" s="9"/>
      <c r="D155" s="9"/>
      <c r="E155" s="9"/>
      <c r="F155" s="9"/>
      <c r="G155" s="5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5"/>
      <c r="Z155" s="11"/>
      <c r="AA155" s="9"/>
      <c r="AB155" s="9"/>
      <c r="AC155" s="9"/>
      <c r="AD155" s="11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</row>
    <row r="156" spans="1:50" x14ac:dyDescent="0.25">
      <c r="A156" s="9"/>
      <c r="B156" s="9"/>
      <c r="C156" s="9"/>
      <c r="D156" s="9"/>
      <c r="E156" s="9"/>
      <c r="F156" s="9"/>
      <c r="G156" s="5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5"/>
      <c r="Z156" s="11"/>
      <c r="AA156" s="9"/>
      <c r="AB156" s="9"/>
      <c r="AC156" s="9"/>
      <c r="AD156" s="11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</row>
    <row r="157" spans="1:50" x14ac:dyDescent="0.25">
      <c r="A157" s="9"/>
      <c r="B157" s="9"/>
      <c r="C157" s="9"/>
      <c r="D157" s="9"/>
      <c r="E157" s="9"/>
      <c r="F157" s="9"/>
      <c r="G157" s="5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5"/>
      <c r="Z157" s="11"/>
      <c r="AA157" s="9"/>
      <c r="AB157" s="9"/>
      <c r="AC157" s="9"/>
      <c r="AD157" s="11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</row>
    <row r="158" spans="1:50" x14ac:dyDescent="0.25">
      <c r="A158" s="9"/>
      <c r="B158" s="9"/>
      <c r="C158" s="9"/>
      <c r="D158" s="9"/>
      <c r="E158" s="9"/>
      <c r="F158" s="9"/>
      <c r="G158" s="5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5"/>
      <c r="Z158" s="11"/>
      <c r="AA158" s="9"/>
      <c r="AB158" s="9"/>
      <c r="AC158" s="9"/>
      <c r="AD158" s="11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</row>
    <row r="159" spans="1:50" x14ac:dyDescent="0.25">
      <c r="A159" s="9"/>
      <c r="B159" s="9"/>
      <c r="C159" s="9"/>
      <c r="D159" s="9"/>
      <c r="E159" s="9"/>
      <c r="F159" s="9"/>
      <c r="G159" s="5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5"/>
      <c r="Z159" s="11"/>
      <c r="AA159" s="9"/>
      <c r="AB159" s="9"/>
      <c r="AC159" s="9"/>
      <c r="AD159" s="11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</row>
    <row r="160" spans="1:50" x14ac:dyDescent="0.25">
      <c r="A160" s="9"/>
      <c r="B160" s="9"/>
      <c r="C160" s="9"/>
      <c r="D160" s="9"/>
      <c r="E160" s="9"/>
      <c r="F160" s="9"/>
      <c r="G160" s="5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5"/>
      <c r="Z160" s="11"/>
      <c r="AA160" s="9"/>
      <c r="AB160" s="9"/>
      <c r="AC160" s="9"/>
      <c r="AD160" s="11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</row>
    <row r="161" spans="1:50" x14ac:dyDescent="0.25">
      <c r="A161" s="9"/>
      <c r="B161" s="9"/>
      <c r="C161" s="9"/>
      <c r="D161" s="9"/>
      <c r="E161" s="9"/>
      <c r="F161" s="9"/>
      <c r="G161" s="5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5"/>
      <c r="Z161" s="11"/>
      <c r="AA161" s="9"/>
      <c r="AB161" s="9"/>
      <c r="AC161" s="9"/>
      <c r="AD161" s="11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</row>
    <row r="162" spans="1:50" x14ac:dyDescent="0.25">
      <c r="A162" s="9"/>
      <c r="B162" s="9"/>
      <c r="C162" s="9"/>
      <c r="D162" s="9"/>
      <c r="E162" s="9"/>
      <c r="F162" s="9"/>
      <c r="G162" s="5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5"/>
      <c r="Z162" s="11"/>
      <c r="AA162" s="9"/>
      <c r="AB162" s="9"/>
      <c r="AC162" s="9"/>
      <c r="AD162" s="11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</row>
    <row r="163" spans="1:50" x14ac:dyDescent="0.25">
      <c r="A163" s="9"/>
      <c r="B163" s="9"/>
      <c r="C163" s="9"/>
      <c r="D163" s="9"/>
      <c r="E163" s="9"/>
      <c r="F163" s="9"/>
      <c r="G163" s="5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5"/>
      <c r="Z163" s="11"/>
      <c r="AA163" s="9"/>
      <c r="AB163" s="9"/>
      <c r="AC163" s="9"/>
      <c r="AD163" s="11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</row>
    <row r="164" spans="1:50" x14ac:dyDescent="0.25">
      <c r="A164" s="9"/>
      <c r="B164" s="9"/>
      <c r="C164" s="9"/>
      <c r="D164" s="9"/>
      <c r="E164" s="9"/>
      <c r="F164" s="9"/>
      <c r="G164" s="5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5"/>
      <c r="Z164" s="11"/>
      <c r="AA164" s="9"/>
      <c r="AB164" s="9"/>
      <c r="AC164" s="9"/>
      <c r="AD164" s="11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</row>
    <row r="165" spans="1:50" x14ac:dyDescent="0.25">
      <c r="A165" s="9"/>
      <c r="B165" s="9"/>
      <c r="C165" s="9"/>
      <c r="D165" s="9"/>
      <c r="E165" s="9"/>
      <c r="F165" s="9"/>
      <c r="G165" s="5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5"/>
      <c r="Z165" s="11"/>
      <c r="AA165" s="9"/>
      <c r="AB165" s="9"/>
      <c r="AC165" s="9"/>
      <c r="AD165" s="11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</row>
    <row r="166" spans="1:50" x14ac:dyDescent="0.25">
      <c r="A166" s="9"/>
      <c r="B166" s="9"/>
      <c r="C166" s="9"/>
      <c r="D166" s="9"/>
      <c r="E166" s="9"/>
      <c r="F166" s="9"/>
      <c r="G166" s="5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5"/>
      <c r="Z166" s="11"/>
      <c r="AA166" s="9"/>
      <c r="AB166" s="9"/>
      <c r="AC166" s="9"/>
      <c r="AD166" s="11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</row>
    <row r="167" spans="1:50" x14ac:dyDescent="0.25">
      <c r="A167" s="9"/>
      <c r="B167" s="9"/>
      <c r="C167" s="9"/>
      <c r="D167" s="9"/>
      <c r="E167" s="9"/>
      <c r="F167" s="9"/>
      <c r="G167" s="5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5"/>
      <c r="Z167" s="11"/>
      <c r="AA167" s="9"/>
      <c r="AB167" s="9"/>
      <c r="AC167" s="9"/>
      <c r="AD167" s="11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</row>
    <row r="168" spans="1:50" x14ac:dyDescent="0.25">
      <c r="A168" s="9"/>
      <c r="B168" s="9"/>
      <c r="C168" s="9"/>
      <c r="D168" s="9"/>
      <c r="E168" s="9"/>
      <c r="F168" s="9"/>
      <c r="G168" s="5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5"/>
      <c r="Z168" s="11"/>
      <c r="AA168" s="9"/>
      <c r="AB168" s="9"/>
      <c r="AC168" s="9"/>
      <c r="AD168" s="11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</row>
    <row r="169" spans="1:50" x14ac:dyDescent="0.25">
      <c r="A169" s="9"/>
      <c r="B169" s="9"/>
      <c r="C169" s="9"/>
      <c r="D169" s="9"/>
      <c r="E169" s="9"/>
      <c r="F169" s="9"/>
      <c r="G169" s="5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5"/>
      <c r="Z169" s="11"/>
      <c r="AA169" s="9"/>
      <c r="AB169" s="9"/>
      <c r="AC169" s="9"/>
      <c r="AD169" s="11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</row>
    <row r="170" spans="1:50" x14ac:dyDescent="0.25">
      <c r="A170" s="9"/>
      <c r="B170" s="9"/>
      <c r="C170" s="9"/>
      <c r="D170" s="9"/>
      <c r="E170" s="9"/>
      <c r="F170" s="9"/>
      <c r="G170" s="5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5"/>
      <c r="Z170" s="11"/>
      <c r="AA170" s="9"/>
      <c r="AB170" s="9"/>
      <c r="AC170" s="9"/>
      <c r="AD170" s="11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</row>
    <row r="171" spans="1:50" x14ac:dyDescent="0.25">
      <c r="A171" s="9"/>
      <c r="B171" s="9"/>
      <c r="C171" s="9"/>
      <c r="D171" s="9"/>
      <c r="E171" s="9"/>
      <c r="F171" s="9"/>
      <c r="G171" s="5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5"/>
      <c r="Z171" s="11"/>
      <c r="AA171" s="9"/>
      <c r="AB171" s="9"/>
      <c r="AC171" s="9"/>
      <c r="AD171" s="11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</row>
    <row r="172" spans="1:50" x14ac:dyDescent="0.25">
      <c r="A172" s="9"/>
      <c r="B172" s="9"/>
      <c r="C172" s="9"/>
      <c r="D172" s="9"/>
      <c r="E172" s="9"/>
      <c r="F172" s="9"/>
      <c r="G172" s="5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5"/>
      <c r="Z172" s="11"/>
      <c r="AA172" s="9"/>
      <c r="AB172" s="9"/>
      <c r="AC172" s="9"/>
      <c r="AD172" s="11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</row>
    <row r="173" spans="1:50" x14ac:dyDescent="0.25">
      <c r="A173" s="9"/>
      <c r="B173" s="9"/>
      <c r="C173" s="9"/>
      <c r="D173" s="9"/>
      <c r="E173" s="9"/>
      <c r="F173" s="9"/>
      <c r="G173" s="5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5"/>
      <c r="Z173" s="11"/>
      <c r="AA173" s="9"/>
      <c r="AB173" s="9"/>
      <c r="AC173" s="9"/>
      <c r="AD173" s="11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</row>
    <row r="174" spans="1:50" x14ac:dyDescent="0.25">
      <c r="A174" s="9"/>
      <c r="B174" s="9"/>
      <c r="C174" s="9"/>
      <c r="D174" s="9"/>
      <c r="E174" s="9"/>
      <c r="F174" s="9"/>
      <c r="G174" s="5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5"/>
      <c r="Z174" s="11"/>
      <c r="AA174" s="9"/>
      <c r="AB174" s="9"/>
      <c r="AC174" s="9"/>
      <c r="AD174" s="11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</row>
    <row r="175" spans="1:50" x14ac:dyDescent="0.25">
      <c r="A175" s="9"/>
      <c r="B175" s="9"/>
      <c r="C175" s="9"/>
      <c r="D175" s="9"/>
      <c r="E175" s="9"/>
      <c r="F175" s="9"/>
      <c r="G175" s="5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5"/>
      <c r="Z175" s="11"/>
      <c r="AA175" s="9"/>
      <c r="AB175" s="9"/>
      <c r="AC175" s="9"/>
      <c r="AD175" s="11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</row>
    <row r="176" spans="1:50" x14ac:dyDescent="0.25">
      <c r="A176" s="9"/>
      <c r="B176" s="9"/>
      <c r="C176" s="9"/>
      <c r="D176" s="9"/>
      <c r="E176" s="9"/>
      <c r="F176" s="9"/>
      <c r="G176" s="5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5"/>
      <c r="Z176" s="11"/>
      <c r="AA176" s="9"/>
      <c r="AB176" s="9"/>
      <c r="AC176" s="9"/>
      <c r="AD176" s="11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</row>
    <row r="177" spans="1:50" x14ac:dyDescent="0.25">
      <c r="A177" s="9"/>
      <c r="B177" s="9"/>
      <c r="C177" s="9"/>
      <c r="D177" s="9"/>
      <c r="E177" s="9"/>
      <c r="F177" s="9"/>
      <c r="G177" s="5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5"/>
      <c r="Z177" s="11"/>
      <c r="AA177" s="9"/>
      <c r="AB177" s="9"/>
      <c r="AC177" s="9"/>
      <c r="AD177" s="11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</row>
    <row r="178" spans="1:50" x14ac:dyDescent="0.25">
      <c r="A178" s="9"/>
      <c r="B178" s="9"/>
      <c r="C178" s="9"/>
      <c r="D178" s="9"/>
      <c r="E178" s="9"/>
      <c r="F178" s="9"/>
      <c r="G178" s="5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5"/>
      <c r="Z178" s="11"/>
      <c r="AA178" s="9"/>
      <c r="AB178" s="9"/>
      <c r="AC178" s="9"/>
      <c r="AD178" s="11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</row>
    <row r="179" spans="1:50" x14ac:dyDescent="0.25">
      <c r="A179" s="9"/>
      <c r="B179" s="9"/>
      <c r="C179" s="9"/>
      <c r="D179" s="9"/>
      <c r="E179" s="9"/>
      <c r="F179" s="9"/>
      <c r="G179" s="5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5"/>
      <c r="Z179" s="11"/>
      <c r="AA179" s="9"/>
      <c r="AB179" s="9"/>
      <c r="AC179" s="9"/>
      <c r="AD179" s="11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</row>
    <row r="180" spans="1:50" x14ac:dyDescent="0.25">
      <c r="A180" s="9"/>
      <c r="B180" s="9"/>
      <c r="C180" s="9"/>
      <c r="D180" s="9"/>
      <c r="E180" s="9"/>
      <c r="F180" s="9"/>
      <c r="G180" s="5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5"/>
      <c r="Z180" s="11"/>
      <c r="AA180" s="9"/>
      <c r="AB180" s="9"/>
      <c r="AC180" s="9"/>
      <c r="AD180" s="11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</row>
    <row r="181" spans="1:50" x14ac:dyDescent="0.25">
      <c r="A181" s="9"/>
      <c r="B181" s="9"/>
      <c r="C181" s="9"/>
      <c r="D181" s="9"/>
      <c r="E181" s="9"/>
      <c r="F181" s="9"/>
      <c r="G181" s="5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5"/>
      <c r="Z181" s="11"/>
      <c r="AA181" s="9"/>
      <c r="AB181" s="9"/>
      <c r="AC181" s="9"/>
      <c r="AD181" s="11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</row>
    <row r="182" spans="1:50" x14ac:dyDescent="0.25">
      <c r="A182" s="9"/>
      <c r="B182" s="9"/>
      <c r="C182" s="9"/>
      <c r="D182" s="9"/>
      <c r="E182" s="9"/>
      <c r="F182" s="9"/>
      <c r="G182" s="5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5"/>
      <c r="Z182" s="11"/>
      <c r="AA182" s="9"/>
      <c r="AB182" s="9"/>
      <c r="AC182" s="9"/>
      <c r="AD182" s="11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</row>
    <row r="183" spans="1:50" x14ac:dyDescent="0.25">
      <c r="A183" s="9"/>
      <c r="B183" s="9"/>
      <c r="C183" s="9"/>
      <c r="D183" s="9"/>
      <c r="E183" s="9"/>
      <c r="F183" s="9"/>
      <c r="G183" s="5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5"/>
      <c r="Z183" s="11"/>
      <c r="AA183" s="9"/>
      <c r="AB183" s="9"/>
      <c r="AC183" s="9"/>
      <c r="AD183" s="11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</row>
    <row r="184" spans="1:50" x14ac:dyDescent="0.25">
      <c r="A184" s="9"/>
      <c r="B184" s="9"/>
      <c r="C184" s="9"/>
      <c r="D184" s="9"/>
      <c r="E184" s="9"/>
      <c r="F184" s="9"/>
      <c r="G184" s="5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5"/>
      <c r="Z184" s="11"/>
      <c r="AA184" s="9"/>
      <c r="AB184" s="9"/>
      <c r="AC184" s="9"/>
      <c r="AD184" s="11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</row>
    <row r="185" spans="1:50" x14ac:dyDescent="0.25">
      <c r="A185" s="9"/>
      <c r="B185" s="9"/>
      <c r="C185" s="9"/>
      <c r="D185" s="9"/>
      <c r="E185" s="9"/>
      <c r="F185" s="9"/>
      <c r="G185" s="5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5"/>
      <c r="Z185" s="11"/>
      <c r="AA185" s="9"/>
      <c r="AB185" s="9"/>
      <c r="AC185" s="9"/>
      <c r="AD185" s="11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</row>
    <row r="186" spans="1:50" x14ac:dyDescent="0.25">
      <c r="A186" s="9"/>
      <c r="B186" s="9"/>
      <c r="C186" s="9"/>
      <c r="D186" s="9"/>
      <c r="E186" s="9"/>
      <c r="F186" s="9"/>
      <c r="G186" s="5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5"/>
      <c r="Z186" s="11"/>
      <c r="AA186" s="9"/>
      <c r="AB186" s="9"/>
      <c r="AC186" s="9"/>
      <c r="AD186" s="11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</row>
    <row r="187" spans="1:50" x14ac:dyDescent="0.25">
      <c r="A187" s="9"/>
      <c r="B187" s="9"/>
      <c r="C187" s="9"/>
      <c r="D187" s="9"/>
      <c r="E187" s="9"/>
      <c r="F187" s="9"/>
      <c r="G187" s="5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5"/>
      <c r="Z187" s="11"/>
      <c r="AA187" s="9"/>
      <c r="AB187" s="9"/>
      <c r="AC187" s="9"/>
      <c r="AD187" s="11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</row>
    <row r="188" spans="1:50" x14ac:dyDescent="0.25">
      <c r="A188" s="9"/>
      <c r="B188" s="9"/>
      <c r="C188" s="9"/>
      <c r="D188" s="9"/>
      <c r="E188" s="9"/>
      <c r="F188" s="9"/>
      <c r="G188" s="5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5"/>
      <c r="Z188" s="11"/>
      <c r="AA188" s="9"/>
      <c r="AB188" s="9"/>
      <c r="AC188" s="9"/>
      <c r="AD188" s="11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</row>
    <row r="189" spans="1:50" x14ac:dyDescent="0.25">
      <c r="A189" s="9"/>
      <c r="B189" s="9"/>
      <c r="C189" s="9"/>
      <c r="D189" s="9"/>
      <c r="E189" s="9"/>
      <c r="F189" s="9"/>
      <c r="G189" s="5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5"/>
      <c r="Z189" s="11"/>
      <c r="AA189" s="9"/>
      <c r="AB189" s="9"/>
      <c r="AC189" s="9"/>
      <c r="AD189" s="11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</row>
    <row r="190" spans="1:50" x14ac:dyDescent="0.25">
      <c r="A190" s="9"/>
      <c r="B190" s="9"/>
      <c r="C190" s="9"/>
      <c r="D190" s="9"/>
      <c r="E190" s="9"/>
      <c r="F190" s="9"/>
      <c r="G190" s="5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5"/>
      <c r="Z190" s="11"/>
      <c r="AA190" s="9"/>
      <c r="AB190" s="9"/>
      <c r="AC190" s="9"/>
      <c r="AD190" s="11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</row>
    <row r="191" spans="1:50" x14ac:dyDescent="0.25">
      <c r="A191" s="9"/>
      <c r="B191" s="9"/>
      <c r="C191" s="9"/>
      <c r="D191" s="9"/>
      <c r="E191" s="9"/>
      <c r="F191" s="9"/>
      <c r="G191" s="5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5"/>
      <c r="Z191" s="11"/>
      <c r="AA191" s="9"/>
      <c r="AB191" s="9"/>
      <c r="AC191" s="9"/>
      <c r="AD191" s="11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</row>
    <row r="192" spans="1:50" x14ac:dyDescent="0.25">
      <c r="A192" s="9"/>
      <c r="B192" s="9"/>
      <c r="C192" s="9"/>
      <c r="D192" s="9"/>
      <c r="E192" s="9"/>
      <c r="F192" s="9"/>
      <c r="G192" s="5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5"/>
      <c r="Z192" s="11"/>
      <c r="AA192" s="9"/>
      <c r="AB192" s="9"/>
      <c r="AC192" s="9"/>
      <c r="AD192" s="11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</row>
    <row r="193" spans="1:50" x14ac:dyDescent="0.25">
      <c r="A193" s="9"/>
      <c r="B193" s="9"/>
      <c r="C193" s="9"/>
      <c r="D193" s="9"/>
      <c r="E193" s="9"/>
      <c r="F193" s="9"/>
      <c r="G193" s="5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5"/>
      <c r="Z193" s="11"/>
      <c r="AA193" s="9"/>
      <c r="AB193" s="9"/>
      <c r="AC193" s="9"/>
      <c r="AD193" s="11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</row>
    <row r="194" spans="1:50" x14ac:dyDescent="0.25">
      <c r="A194" s="9"/>
      <c r="B194" s="9"/>
      <c r="C194" s="9"/>
      <c r="D194" s="9"/>
      <c r="E194" s="9"/>
      <c r="F194" s="9"/>
      <c r="G194" s="5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5"/>
      <c r="Z194" s="11"/>
      <c r="AA194" s="9"/>
      <c r="AB194" s="9"/>
      <c r="AC194" s="9"/>
      <c r="AD194" s="11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</row>
    <row r="195" spans="1:50" x14ac:dyDescent="0.25">
      <c r="A195" s="9"/>
      <c r="B195" s="9"/>
      <c r="C195" s="9"/>
      <c r="D195" s="9"/>
      <c r="E195" s="9"/>
      <c r="F195" s="9"/>
      <c r="G195" s="5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5"/>
      <c r="Z195" s="11"/>
      <c r="AA195" s="9"/>
      <c r="AB195" s="9"/>
      <c r="AC195" s="9"/>
      <c r="AD195" s="11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</row>
    <row r="196" spans="1:50" x14ac:dyDescent="0.25">
      <c r="A196" s="9"/>
      <c r="B196" s="9"/>
      <c r="C196" s="9"/>
      <c r="D196" s="9"/>
      <c r="E196" s="9"/>
      <c r="F196" s="9"/>
      <c r="G196" s="5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5"/>
      <c r="Z196" s="11"/>
      <c r="AA196" s="9"/>
      <c r="AB196" s="9"/>
      <c r="AC196" s="9"/>
      <c r="AD196" s="11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</row>
    <row r="197" spans="1:50" x14ac:dyDescent="0.25">
      <c r="A197" s="9"/>
      <c r="B197" s="9"/>
      <c r="C197" s="9"/>
      <c r="D197" s="9"/>
      <c r="E197" s="9"/>
      <c r="F197" s="9"/>
      <c r="G197" s="5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5"/>
      <c r="Z197" s="11"/>
      <c r="AA197" s="9"/>
      <c r="AB197" s="9"/>
      <c r="AC197" s="9"/>
      <c r="AD197" s="11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</row>
    <row r="198" spans="1:50" x14ac:dyDescent="0.25">
      <c r="A198" s="9"/>
      <c r="B198" s="9"/>
      <c r="C198" s="9"/>
      <c r="D198" s="9"/>
      <c r="E198" s="9"/>
      <c r="F198" s="9"/>
      <c r="G198" s="5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5"/>
      <c r="Z198" s="11"/>
      <c r="AA198" s="9"/>
      <c r="AB198" s="9"/>
      <c r="AC198" s="9"/>
      <c r="AD198" s="11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</row>
    <row r="199" spans="1:50" x14ac:dyDescent="0.25">
      <c r="A199" s="9"/>
      <c r="B199" s="9"/>
      <c r="C199" s="9"/>
      <c r="D199" s="9"/>
      <c r="E199" s="9"/>
      <c r="F199" s="9"/>
      <c r="G199" s="5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5"/>
      <c r="Z199" s="11"/>
      <c r="AA199" s="9"/>
      <c r="AB199" s="9"/>
      <c r="AC199" s="9"/>
      <c r="AD199" s="11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</row>
    <row r="200" spans="1:50" x14ac:dyDescent="0.25">
      <c r="A200" s="9"/>
      <c r="B200" s="9"/>
      <c r="C200" s="9"/>
      <c r="D200" s="9"/>
      <c r="E200" s="9"/>
      <c r="F200" s="9"/>
      <c r="G200" s="5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5"/>
      <c r="Z200" s="11"/>
      <c r="AA200" s="9"/>
      <c r="AB200" s="9"/>
      <c r="AC200" s="9"/>
      <c r="AD200" s="11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</row>
    <row r="201" spans="1:50" x14ac:dyDescent="0.25">
      <c r="A201" s="9"/>
      <c r="B201" s="9"/>
      <c r="C201" s="9"/>
      <c r="D201" s="9"/>
      <c r="E201" s="9"/>
      <c r="F201" s="9"/>
      <c r="G201" s="5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5"/>
      <c r="Z201" s="11"/>
      <c r="AA201" s="9"/>
      <c r="AB201" s="9"/>
      <c r="AC201" s="9"/>
      <c r="AD201" s="11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</row>
    <row r="202" spans="1:50" x14ac:dyDescent="0.25">
      <c r="A202" s="9"/>
      <c r="B202" s="9"/>
      <c r="C202" s="9"/>
      <c r="D202" s="9"/>
      <c r="E202" s="9"/>
      <c r="F202" s="9"/>
      <c r="G202" s="5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5"/>
      <c r="Z202" s="11"/>
      <c r="AA202" s="9"/>
      <c r="AB202" s="9"/>
      <c r="AC202" s="9"/>
      <c r="AD202" s="11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</row>
    <row r="203" spans="1:50" x14ac:dyDescent="0.25">
      <c r="A203" s="9"/>
      <c r="B203" s="9"/>
      <c r="C203" s="9"/>
      <c r="D203" s="9"/>
      <c r="E203" s="9"/>
      <c r="F203" s="9"/>
      <c r="G203" s="5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5"/>
      <c r="Z203" s="11"/>
      <c r="AA203" s="9"/>
      <c r="AB203" s="9"/>
      <c r="AC203" s="9"/>
      <c r="AD203" s="11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</row>
    <row r="204" spans="1:50" x14ac:dyDescent="0.25">
      <c r="A204" s="9"/>
      <c r="B204" s="9"/>
      <c r="C204" s="9"/>
      <c r="D204" s="9"/>
      <c r="E204" s="9"/>
      <c r="F204" s="9"/>
      <c r="G204" s="5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5"/>
      <c r="Z204" s="11"/>
      <c r="AA204" s="9"/>
      <c r="AB204" s="9"/>
      <c r="AC204" s="9"/>
      <c r="AD204" s="11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</row>
    <row r="205" spans="1:50" x14ac:dyDescent="0.25">
      <c r="A205" s="9"/>
      <c r="B205" s="9"/>
      <c r="C205" s="9"/>
      <c r="D205" s="9"/>
      <c r="E205" s="9"/>
      <c r="F205" s="9"/>
      <c r="G205" s="5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5"/>
      <c r="Z205" s="11"/>
      <c r="AA205" s="9"/>
      <c r="AB205" s="9"/>
      <c r="AC205" s="9"/>
      <c r="AD205" s="11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</row>
    <row r="206" spans="1:50" x14ac:dyDescent="0.25">
      <c r="A206" s="9"/>
      <c r="B206" s="9"/>
      <c r="C206" s="9"/>
      <c r="D206" s="9"/>
      <c r="E206" s="9"/>
      <c r="F206" s="9"/>
      <c r="G206" s="5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5"/>
      <c r="Z206" s="11"/>
      <c r="AA206" s="9"/>
      <c r="AB206" s="9"/>
      <c r="AC206" s="9"/>
      <c r="AD206" s="11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</row>
    <row r="207" spans="1:50" x14ac:dyDescent="0.25">
      <c r="A207" s="9"/>
      <c r="B207" s="9"/>
      <c r="C207" s="9"/>
      <c r="D207" s="9"/>
      <c r="E207" s="9"/>
      <c r="F207" s="9"/>
      <c r="G207" s="5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5"/>
      <c r="Z207" s="11"/>
      <c r="AA207" s="9"/>
      <c r="AB207" s="9"/>
      <c r="AC207" s="9"/>
      <c r="AD207" s="11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</row>
    <row r="208" spans="1:50" x14ac:dyDescent="0.25">
      <c r="A208" s="9"/>
      <c r="B208" s="9"/>
      <c r="C208" s="9"/>
      <c r="D208" s="9"/>
      <c r="E208" s="9"/>
      <c r="F208" s="9"/>
      <c r="G208" s="5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5"/>
      <c r="Z208" s="11"/>
      <c r="AA208" s="9"/>
      <c r="AB208" s="9"/>
      <c r="AC208" s="9"/>
      <c r="AD208" s="11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</row>
    <row r="209" spans="1:50" x14ac:dyDescent="0.25">
      <c r="A209" s="9"/>
      <c r="B209" s="9"/>
      <c r="C209" s="9"/>
      <c r="D209" s="9"/>
      <c r="E209" s="9"/>
      <c r="F209" s="9"/>
      <c r="G209" s="5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5"/>
      <c r="Z209" s="11"/>
      <c r="AA209" s="9"/>
      <c r="AB209" s="9"/>
      <c r="AC209" s="9"/>
      <c r="AD209" s="11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</row>
    <row r="210" spans="1:50" x14ac:dyDescent="0.25">
      <c r="A210" s="9"/>
      <c r="B210" s="9"/>
      <c r="C210" s="9"/>
      <c r="D210" s="9"/>
      <c r="E210" s="9"/>
      <c r="F210" s="9"/>
      <c r="G210" s="5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5"/>
      <c r="Z210" s="11"/>
      <c r="AA210" s="9"/>
      <c r="AB210" s="9"/>
      <c r="AC210" s="9"/>
      <c r="AD210" s="11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</row>
    <row r="211" spans="1:50" x14ac:dyDescent="0.25">
      <c r="A211" s="9"/>
      <c r="B211" s="9"/>
      <c r="C211" s="9"/>
      <c r="D211" s="9"/>
      <c r="E211" s="9"/>
      <c r="F211" s="9"/>
      <c r="G211" s="5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5"/>
      <c r="Z211" s="11"/>
      <c r="AA211" s="9"/>
      <c r="AB211" s="9"/>
      <c r="AC211" s="9"/>
      <c r="AD211" s="11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</row>
    <row r="212" spans="1:50" x14ac:dyDescent="0.25">
      <c r="A212" s="9"/>
      <c r="B212" s="9"/>
      <c r="C212" s="9"/>
      <c r="D212" s="9"/>
      <c r="E212" s="9"/>
      <c r="F212" s="9"/>
      <c r="G212" s="5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5"/>
      <c r="Z212" s="11"/>
      <c r="AA212" s="9"/>
      <c r="AB212" s="9"/>
      <c r="AC212" s="9"/>
      <c r="AD212" s="11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</row>
    <row r="213" spans="1:50" x14ac:dyDescent="0.25">
      <c r="A213" s="9"/>
      <c r="B213" s="9"/>
      <c r="C213" s="9"/>
      <c r="D213" s="9"/>
      <c r="E213" s="9"/>
      <c r="F213" s="9"/>
      <c r="G213" s="5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5"/>
      <c r="Z213" s="11"/>
      <c r="AA213" s="9"/>
      <c r="AB213" s="9"/>
      <c r="AC213" s="9"/>
      <c r="AD213" s="11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</row>
    <row r="214" spans="1:50" x14ac:dyDescent="0.25">
      <c r="A214" s="9"/>
      <c r="B214" s="9"/>
      <c r="C214" s="9"/>
      <c r="D214" s="9"/>
      <c r="E214" s="9"/>
      <c r="F214" s="9"/>
      <c r="G214" s="5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5"/>
      <c r="Z214" s="11"/>
      <c r="AA214" s="9"/>
      <c r="AB214" s="9"/>
      <c r="AC214" s="9"/>
      <c r="AD214" s="11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</row>
    <row r="215" spans="1:50" x14ac:dyDescent="0.25">
      <c r="A215" s="9"/>
      <c r="B215" s="9"/>
      <c r="C215" s="9"/>
      <c r="D215" s="9"/>
      <c r="E215" s="9"/>
      <c r="F215" s="9"/>
      <c r="G215" s="5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5"/>
      <c r="Z215" s="11"/>
      <c r="AA215" s="9"/>
      <c r="AB215" s="9"/>
      <c r="AC215" s="9"/>
      <c r="AD215" s="11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</row>
    <row r="216" spans="1:50" x14ac:dyDescent="0.25">
      <c r="A216" s="9"/>
      <c r="B216" s="9"/>
      <c r="C216" s="9"/>
      <c r="D216" s="9"/>
      <c r="E216" s="9"/>
      <c r="F216" s="9"/>
      <c r="G216" s="5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5"/>
      <c r="Z216" s="11"/>
      <c r="AA216" s="9"/>
      <c r="AB216" s="9"/>
      <c r="AC216" s="9"/>
      <c r="AD216" s="11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</row>
    <row r="217" spans="1:50" x14ac:dyDescent="0.25">
      <c r="A217" s="9"/>
      <c r="B217" s="9"/>
      <c r="C217" s="9"/>
      <c r="D217" s="9"/>
      <c r="E217" s="9"/>
      <c r="F217" s="9"/>
      <c r="G217" s="5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5"/>
      <c r="Z217" s="11"/>
      <c r="AA217" s="9"/>
      <c r="AB217" s="9"/>
      <c r="AC217" s="9"/>
      <c r="AD217" s="11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</row>
    <row r="218" spans="1:50" x14ac:dyDescent="0.25">
      <c r="A218" s="9"/>
      <c r="B218" s="9"/>
      <c r="C218" s="9"/>
      <c r="D218" s="9"/>
      <c r="E218" s="9"/>
      <c r="F218" s="9"/>
      <c r="G218" s="5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5"/>
      <c r="Z218" s="11"/>
      <c r="AA218" s="9"/>
      <c r="AB218" s="9"/>
      <c r="AC218" s="9"/>
      <c r="AD218" s="11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</row>
    <row r="219" spans="1:50" x14ac:dyDescent="0.25">
      <c r="A219" s="9"/>
      <c r="B219" s="9"/>
      <c r="C219" s="9"/>
      <c r="D219" s="9"/>
      <c r="E219" s="9"/>
      <c r="F219" s="9"/>
      <c r="G219" s="5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5"/>
      <c r="Z219" s="11"/>
      <c r="AA219" s="9"/>
      <c r="AB219" s="9"/>
      <c r="AC219" s="9"/>
      <c r="AD219" s="11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</row>
    <row r="220" spans="1:50" x14ac:dyDescent="0.25">
      <c r="A220" s="9"/>
      <c r="B220" s="9"/>
      <c r="C220" s="9"/>
      <c r="D220" s="9"/>
      <c r="E220" s="9"/>
      <c r="F220" s="9"/>
      <c r="G220" s="5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5"/>
      <c r="Z220" s="11"/>
      <c r="AA220" s="9"/>
      <c r="AB220" s="9"/>
      <c r="AC220" s="9"/>
      <c r="AD220" s="11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</row>
    <row r="221" spans="1:50" x14ac:dyDescent="0.25">
      <c r="A221" s="9"/>
      <c r="B221" s="9"/>
      <c r="C221" s="9"/>
      <c r="D221" s="9"/>
      <c r="E221" s="9"/>
      <c r="F221" s="9"/>
      <c r="G221" s="5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5"/>
      <c r="Z221" s="11"/>
      <c r="AA221" s="9"/>
      <c r="AB221" s="9"/>
      <c r="AC221" s="9"/>
      <c r="AD221" s="11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</row>
    <row r="222" spans="1:50" x14ac:dyDescent="0.25">
      <c r="A222" s="9"/>
      <c r="B222" s="9"/>
      <c r="C222" s="9"/>
      <c r="D222" s="9"/>
      <c r="E222" s="9"/>
      <c r="F222" s="9"/>
      <c r="G222" s="5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5"/>
      <c r="Z222" s="11"/>
      <c r="AA222" s="9"/>
      <c r="AB222" s="9"/>
      <c r="AC222" s="9"/>
      <c r="AD222" s="11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</row>
    <row r="223" spans="1:50" x14ac:dyDescent="0.25">
      <c r="A223" s="9"/>
      <c r="B223" s="9"/>
      <c r="C223" s="9"/>
      <c r="D223" s="9"/>
      <c r="E223" s="9"/>
      <c r="F223" s="9"/>
      <c r="G223" s="5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5"/>
      <c r="Z223" s="11"/>
      <c r="AA223" s="9"/>
      <c r="AB223" s="9"/>
      <c r="AC223" s="9"/>
      <c r="AD223" s="11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</row>
    <row r="224" spans="1:50" x14ac:dyDescent="0.25">
      <c r="A224" s="9"/>
      <c r="B224" s="9"/>
      <c r="C224" s="9"/>
      <c r="D224" s="9"/>
      <c r="E224" s="9"/>
      <c r="F224" s="9"/>
      <c r="G224" s="5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5"/>
      <c r="Z224" s="11"/>
      <c r="AA224" s="9"/>
      <c r="AB224" s="9"/>
      <c r="AC224" s="9"/>
      <c r="AD224" s="11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</row>
    <row r="225" spans="1:50" x14ac:dyDescent="0.25">
      <c r="A225" s="9"/>
      <c r="B225" s="9"/>
      <c r="C225" s="9"/>
      <c r="D225" s="9"/>
      <c r="E225" s="9"/>
      <c r="F225" s="9"/>
      <c r="G225" s="5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5"/>
      <c r="Z225" s="11"/>
      <c r="AA225" s="9"/>
      <c r="AB225" s="9"/>
      <c r="AC225" s="9"/>
      <c r="AD225" s="11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</row>
    <row r="226" spans="1:50" x14ac:dyDescent="0.25">
      <c r="A226" s="9"/>
      <c r="B226" s="9"/>
      <c r="C226" s="9"/>
      <c r="D226" s="9"/>
      <c r="E226" s="9"/>
      <c r="F226" s="9"/>
      <c r="G226" s="5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5"/>
      <c r="Z226" s="11"/>
      <c r="AA226" s="9"/>
      <c r="AB226" s="9"/>
      <c r="AC226" s="9"/>
      <c r="AD226" s="11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</row>
    <row r="227" spans="1:50" x14ac:dyDescent="0.25">
      <c r="A227" s="9"/>
      <c r="B227" s="9"/>
      <c r="C227" s="9"/>
      <c r="D227" s="9"/>
      <c r="E227" s="9"/>
      <c r="F227" s="9"/>
      <c r="G227" s="5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5"/>
      <c r="Z227" s="11"/>
      <c r="AA227" s="9"/>
      <c r="AB227" s="9"/>
      <c r="AC227" s="9"/>
      <c r="AD227" s="11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</row>
    <row r="228" spans="1:50" x14ac:dyDescent="0.25">
      <c r="A228" s="9"/>
      <c r="B228" s="9"/>
      <c r="C228" s="9"/>
      <c r="D228" s="9"/>
      <c r="E228" s="9"/>
      <c r="F228" s="9"/>
      <c r="G228" s="5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5"/>
      <c r="Z228" s="11"/>
      <c r="AA228" s="9"/>
      <c r="AB228" s="9"/>
      <c r="AC228" s="9"/>
      <c r="AD228" s="11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</row>
    <row r="229" spans="1:50" x14ac:dyDescent="0.25">
      <c r="A229" s="9"/>
      <c r="B229" s="9"/>
      <c r="C229" s="9"/>
      <c r="D229" s="9"/>
      <c r="E229" s="9"/>
      <c r="F229" s="9"/>
      <c r="G229" s="5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5"/>
      <c r="Z229" s="11"/>
      <c r="AA229" s="9"/>
      <c r="AB229" s="9"/>
      <c r="AC229" s="9"/>
      <c r="AD229" s="11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</row>
    <row r="230" spans="1:50" x14ac:dyDescent="0.25">
      <c r="A230" s="9"/>
      <c r="B230" s="9"/>
      <c r="C230" s="9"/>
      <c r="D230" s="9"/>
      <c r="E230" s="9"/>
      <c r="F230" s="9"/>
      <c r="G230" s="5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5"/>
      <c r="Z230" s="11"/>
      <c r="AA230" s="9"/>
      <c r="AB230" s="9"/>
      <c r="AC230" s="9"/>
      <c r="AD230" s="11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</row>
    <row r="231" spans="1:50" x14ac:dyDescent="0.25">
      <c r="A231" s="9"/>
      <c r="B231" s="9"/>
      <c r="C231" s="9"/>
      <c r="D231" s="9"/>
      <c r="E231" s="9"/>
      <c r="F231" s="9"/>
      <c r="G231" s="5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5"/>
      <c r="Z231" s="11"/>
      <c r="AA231" s="9"/>
      <c r="AB231" s="9"/>
      <c r="AC231" s="9"/>
      <c r="AD231" s="11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</row>
    <row r="232" spans="1:50" x14ac:dyDescent="0.25">
      <c r="A232" s="9"/>
      <c r="B232" s="9"/>
      <c r="C232" s="9"/>
      <c r="D232" s="9"/>
      <c r="E232" s="9"/>
      <c r="F232" s="9"/>
      <c r="G232" s="5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5"/>
      <c r="Z232" s="11"/>
      <c r="AA232" s="9"/>
      <c r="AB232" s="9"/>
      <c r="AC232" s="9"/>
      <c r="AD232" s="11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</row>
    <row r="233" spans="1:50" x14ac:dyDescent="0.25">
      <c r="A233" s="9"/>
      <c r="B233" s="9"/>
      <c r="C233" s="9"/>
      <c r="D233" s="9"/>
      <c r="E233" s="9"/>
      <c r="F233" s="9"/>
      <c r="G233" s="5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5"/>
      <c r="Z233" s="11"/>
      <c r="AA233" s="9"/>
      <c r="AB233" s="9"/>
      <c r="AC233" s="9"/>
      <c r="AD233" s="11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</row>
    <row r="234" spans="1:50" x14ac:dyDescent="0.25">
      <c r="A234" s="9"/>
      <c r="B234" s="9"/>
      <c r="C234" s="9"/>
      <c r="D234" s="9"/>
      <c r="E234" s="9"/>
      <c r="F234" s="9"/>
      <c r="G234" s="5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5"/>
      <c r="Z234" s="11"/>
      <c r="AA234" s="9"/>
      <c r="AB234" s="9"/>
      <c r="AC234" s="9"/>
      <c r="AD234" s="11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</row>
    <row r="235" spans="1:50" x14ac:dyDescent="0.25">
      <c r="A235" s="9"/>
      <c r="B235" s="9"/>
      <c r="C235" s="9"/>
      <c r="D235" s="9"/>
      <c r="E235" s="9"/>
      <c r="F235" s="9"/>
      <c r="G235" s="5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5"/>
      <c r="Z235" s="11"/>
      <c r="AA235" s="9"/>
      <c r="AB235" s="9"/>
      <c r="AC235" s="9"/>
      <c r="AD235" s="11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</row>
    <row r="236" spans="1:50" x14ac:dyDescent="0.25">
      <c r="A236" s="9"/>
      <c r="B236" s="9"/>
      <c r="C236" s="9"/>
      <c r="D236" s="9"/>
      <c r="E236" s="9"/>
      <c r="F236" s="9"/>
      <c r="G236" s="5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5"/>
      <c r="Z236" s="11"/>
      <c r="AA236" s="9"/>
      <c r="AB236" s="9"/>
      <c r="AC236" s="9"/>
      <c r="AD236" s="11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</row>
    <row r="237" spans="1:50" x14ac:dyDescent="0.25">
      <c r="A237" s="9"/>
      <c r="B237" s="9"/>
      <c r="C237" s="9"/>
      <c r="D237" s="9"/>
      <c r="E237" s="9"/>
      <c r="F237" s="9"/>
      <c r="G237" s="5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5"/>
      <c r="Z237" s="11"/>
      <c r="AA237" s="9"/>
      <c r="AB237" s="9"/>
      <c r="AC237" s="9"/>
      <c r="AD237" s="11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</row>
    <row r="238" spans="1:50" x14ac:dyDescent="0.25">
      <c r="A238" s="9"/>
      <c r="B238" s="9"/>
      <c r="C238" s="9"/>
      <c r="D238" s="9"/>
      <c r="E238" s="9"/>
      <c r="F238" s="9"/>
      <c r="G238" s="5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5"/>
      <c r="Z238" s="11"/>
      <c r="AA238" s="9"/>
      <c r="AB238" s="9"/>
      <c r="AC238" s="9"/>
      <c r="AD238" s="11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</row>
    <row r="239" spans="1:50" x14ac:dyDescent="0.25">
      <c r="A239" s="9"/>
      <c r="B239" s="9"/>
      <c r="C239" s="9"/>
      <c r="D239" s="9"/>
      <c r="E239" s="9"/>
      <c r="F239" s="9"/>
      <c r="G239" s="5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5"/>
      <c r="Z239" s="11"/>
      <c r="AA239" s="9"/>
      <c r="AB239" s="9"/>
      <c r="AC239" s="9"/>
      <c r="AD239" s="11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</row>
    <row r="240" spans="1:50" x14ac:dyDescent="0.25">
      <c r="A240" s="9"/>
      <c r="B240" s="9"/>
      <c r="C240" s="9"/>
      <c r="D240" s="9"/>
      <c r="E240" s="9"/>
      <c r="F240" s="9"/>
      <c r="G240" s="5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5"/>
      <c r="Z240" s="11"/>
      <c r="AA240" s="9"/>
      <c r="AB240" s="9"/>
      <c r="AC240" s="9"/>
      <c r="AD240" s="11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</row>
    <row r="241" spans="1:50" x14ac:dyDescent="0.25">
      <c r="A241" s="9"/>
      <c r="B241" s="9"/>
      <c r="C241" s="9"/>
      <c r="D241" s="9"/>
      <c r="E241" s="9"/>
      <c r="F241" s="9"/>
      <c r="G241" s="5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5"/>
      <c r="Z241" s="11"/>
      <c r="AA241" s="9"/>
      <c r="AB241" s="9"/>
      <c r="AC241" s="9"/>
      <c r="AD241" s="11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</row>
    <row r="242" spans="1:50" x14ac:dyDescent="0.25">
      <c r="A242" s="9"/>
      <c r="B242" s="9"/>
      <c r="C242" s="9"/>
      <c r="D242" s="9"/>
      <c r="E242" s="9"/>
      <c r="F242" s="9"/>
      <c r="G242" s="5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5"/>
      <c r="Z242" s="11"/>
      <c r="AA242" s="9"/>
      <c r="AB242" s="9"/>
      <c r="AC242" s="9"/>
      <c r="AD242" s="11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</row>
    <row r="243" spans="1:50" x14ac:dyDescent="0.25">
      <c r="A243" s="9"/>
      <c r="B243" s="9"/>
      <c r="C243" s="9"/>
      <c r="D243" s="9"/>
      <c r="E243" s="9"/>
      <c r="F243" s="9"/>
      <c r="G243" s="5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5"/>
      <c r="Z243" s="11"/>
      <c r="AA243" s="9"/>
      <c r="AB243" s="9"/>
      <c r="AC243" s="9"/>
      <c r="AD243" s="11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</row>
    <row r="244" spans="1:50" x14ac:dyDescent="0.25">
      <c r="A244" s="9"/>
      <c r="B244" s="9"/>
      <c r="C244" s="9"/>
      <c r="D244" s="9"/>
      <c r="E244" s="9"/>
      <c r="F244" s="9"/>
      <c r="G244" s="5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5"/>
      <c r="Z244" s="11"/>
      <c r="AA244" s="9"/>
      <c r="AB244" s="9"/>
      <c r="AC244" s="9"/>
      <c r="AD244" s="11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</row>
    <row r="245" spans="1:50" x14ac:dyDescent="0.25">
      <c r="A245" s="9"/>
      <c r="B245" s="9"/>
      <c r="C245" s="9"/>
      <c r="D245" s="9"/>
      <c r="E245" s="9"/>
      <c r="F245" s="9"/>
      <c r="G245" s="5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5"/>
      <c r="Z245" s="11"/>
      <c r="AA245" s="9"/>
      <c r="AB245" s="9"/>
      <c r="AC245" s="9"/>
      <c r="AD245" s="11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</row>
    <row r="246" spans="1:50" x14ac:dyDescent="0.25">
      <c r="A246" s="9"/>
      <c r="B246" s="9"/>
      <c r="C246" s="9"/>
      <c r="D246" s="9"/>
      <c r="E246" s="9"/>
      <c r="F246" s="9"/>
      <c r="G246" s="5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5"/>
      <c r="Z246" s="11"/>
      <c r="AA246" s="9"/>
      <c r="AB246" s="9"/>
      <c r="AC246" s="9"/>
      <c r="AD246" s="11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</row>
    <row r="247" spans="1:50" x14ac:dyDescent="0.25">
      <c r="A247" s="9"/>
      <c r="B247" s="9"/>
      <c r="C247" s="9"/>
      <c r="D247" s="9"/>
      <c r="E247" s="9"/>
      <c r="F247" s="9"/>
      <c r="G247" s="5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5"/>
      <c r="Z247" s="11"/>
      <c r="AA247" s="9"/>
      <c r="AB247" s="9"/>
      <c r="AC247" s="9"/>
      <c r="AD247" s="11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</row>
    <row r="248" spans="1:50" x14ac:dyDescent="0.25">
      <c r="A248" s="9"/>
      <c r="B248" s="9"/>
      <c r="C248" s="9"/>
      <c r="D248" s="9"/>
      <c r="E248" s="9"/>
      <c r="F248" s="9"/>
      <c r="G248" s="5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5"/>
      <c r="Z248" s="11"/>
      <c r="AA248" s="9"/>
      <c r="AB248" s="9"/>
      <c r="AC248" s="9"/>
      <c r="AD248" s="11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</row>
    <row r="249" spans="1:50" x14ac:dyDescent="0.25">
      <c r="A249" s="9"/>
      <c r="B249" s="9"/>
      <c r="C249" s="9"/>
      <c r="D249" s="9"/>
      <c r="E249" s="9"/>
      <c r="F249" s="9"/>
      <c r="G249" s="5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5"/>
      <c r="Z249" s="11"/>
      <c r="AA249" s="9"/>
      <c r="AB249" s="9"/>
      <c r="AC249" s="9"/>
      <c r="AD249" s="11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</row>
    <row r="250" spans="1:50" x14ac:dyDescent="0.25">
      <c r="A250" s="9"/>
      <c r="B250" s="9"/>
      <c r="C250" s="9"/>
      <c r="D250" s="9"/>
      <c r="E250" s="9"/>
      <c r="F250" s="9"/>
      <c r="G250" s="5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5"/>
      <c r="Z250" s="11"/>
      <c r="AA250" s="9"/>
      <c r="AB250" s="9"/>
      <c r="AC250" s="9"/>
      <c r="AD250" s="11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</row>
    <row r="251" spans="1:50" x14ac:dyDescent="0.25">
      <c r="A251" s="9"/>
      <c r="B251" s="9"/>
      <c r="C251" s="9"/>
      <c r="D251" s="9"/>
      <c r="E251" s="9"/>
      <c r="F251" s="9"/>
      <c r="G251" s="5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5"/>
      <c r="Z251" s="11"/>
      <c r="AA251" s="9"/>
      <c r="AB251" s="9"/>
      <c r="AC251" s="9"/>
      <c r="AD251" s="11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</row>
    <row r="252" spans="1:50" x14ac:dyDescent="0.25">
      <c r="A252" s="9"/>
      <c r="B252" s="9"/>
      <c r="C252" s="9"/>
      <c r="D252" s="9"/>
      <c r="E252" s="9"/>
      <c r="F252" s="9"/>
      <c r="G252" s="5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5"/>
      <c r="Z252" s="11"/>
      <c r="AA252" s="9"/>
      <c r="AB252" s="9"/>
      <c r="AC252" s="9"/>
      <c r="AD252" s="11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</row>
    <row r="253" spans="1:50" x14ac:dyDescent="0.25">
      <c r="A253" s="9"/>
      <c r="B253" s="9"/>
      <c r="C253" s="9"/>
      <c r="D253" s="9"/>
      <c r="E253" s="9"/>
      <c r="F253" s="9"/>
      <c r="G253" s="5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5"/>
      <c r="Z253" s="11"/>
      <c r="AA253" s="9"/>
      <c r="AB253" s="9"/>
      <c r="AC253" s="9"/>
      <c r="AD253" s="11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</row>
    <row r="254" spans="1:50" x14ac:dyDescent="0.25">
      <c r="A254" s="9"/>
      <c r="B254" s="9"/>
      <c r="C254" s="9"/>
      <c r="D254" s="9"/>
      <c r="E254" s="9"/>
      <c r="F254" s="9"/>
      <c r="G254" s="5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5"/>
      <c r="Z254" s="11"/>
      <c r="AA254" s="9"/>
      <c r="AB254" s="9"/>
      <c r="AC254" s="9"/>
      <c r="AD254" s="11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</row>
    <row r="255" spans="1:50" x14ac:dyDescent="0.25">
      <c r="A255" s="9"/>
      <c r="B255" s="9"/>
      <c r="C255" s="9"/>
      <c r="D255" s="9"/>
      <c r="E255" s="9"/>
      <c r="F255" s="9"/>
      <c r="G255" s="5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5"/>
      <c r="Z255" s="11"/>
      <c r="AA255" s="9"/>
      <c r="AB255" s="9"/>
      <c r="AC255" s="9"/>
      <c r="AD255" s="11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</row>
    <row r="256" spans="1:50" x14ac:dyDescent="0.25">
      <c r="A256" s="9"/>
      <c r="B256" s="9"/>
      <c r="C256" s="9"/>
      <c r="D256" s="9"/>
      <c r="E256" s="9"/>
      <c r="F256" s="9"/>
      <c r="G256" s="5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5"/>
      <c r="Z256" s="11"/>
      <c r="AA256" s="9"/>
      <c r="AB256" s="9"/>
      <c r="AC256" s="9"/>
      <c r="AD256" s="11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</row>
    <row r="257" spans="1:50" x14ac:dyDescent="0.25">
      <c r="A257" s="9"/>
      <c r="B257" s="9"/>
      <c r="C257" s="9"/>
      <c r="D257" s="9"/>
      <c r="E257" s="9"/>
      <c r="F257" s="9"/>
      <c r="G257" s="5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5"/>
      <c r="Z257" s="11"/>
      <c r="AA257" s="9"/>
      <c r="AB257" s="9"/>
      <c r="AC257" s="9"/>
      <c r="AD257" s="11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</row>
    <row r="258" spans="1:50" x14ac:dyDescent="0.25">
      <c r="A258" s="9"/>
      <c r="B258" s="9"/>
      <c r="C258" s="9"/>
      <c r="D258" s="9"/>
      <c r="E258" s="9"/>
      <c r="F258" s="9"/>
      <c r="G258" s="5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5"/>
      <c r="Z258" s="11"/>
      <c r="AA258" s="9"/>
      <c r="AB258" s="9"/>
      <c r="AC258" s="9"/>
      <c r="AD258" s="11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</row>
    <row r="259" spans="1:50" x14ac:dyDescent="0.25">
      <c r="A259" s="9"/>
      <c r="B259" s="9"/>
      <c r="C259" s="9"/>
      <c r="D259" s="9"/>
      <c r="E259" s="9"/>
      <c r="F259" s="9"/>
      <c r="G259" s="5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5"/>
      <c r="Z259" s="11"/>
      <c r="AA259" s="9"/>
      <c r="AB259" s="9"/>
      <c r="AC259" s="9"/>
      <c r="AD259" s="11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</row>
    <row r="260" spans="1:50" x14ac:dyDescent="0.25">
      <c r="A260" s="9"/>
      <c r="B260" s="9"/>
      <c r="C260" s="9"/>
      <c r="D260" s="9"/>
      <c r="E260" s="9"/>
      <c r="F260" s="9"/>
      <c r="G260" s="5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5"/>
      <c r="Z260" s="11"/>
      <c r="AA260" s="9"/>
      <c r="AB260" s="9"/>
      <c r="AC260" s="9"/>
      <c r="AD260" s="11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</row>
    <row r="261" spans="1:50" x14ac:dyDescent="0.25">
      <c r="A261" s="9"/>
      <c r="B261" s="9"/>
      <c r="C261" s="9"/>
      <c r="D261" s="9"/>
      <c r="E261" s="9"/>
      <c r="F261" s="9"/>
      <c r="G261" s="5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5"/>
      <c r="Z261" s="11"/>
      <c r="AA261" s="9"/>
      <c r="AB261" s="9"/>
      <c r="AC261" s="9"/>
      <c r="AD261" s="11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</row>
    <row r="262" spans="1:50" x14ac:dyDescent="0.25">
      <c r="A262" s="9"/>
      <c r="B262" s="9"/>
      <c r="C262" s="9"/>
      <c r="D262" s="9"/>
      <c r="E262" s="9"/>
      <c r="F262" s="9"/>
      <c r="G262" s="5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5"/>
      <c r="Z262" s="11"/>
      <c r="AA262" s="9"/>
      <c r="AB262" s="9"/>
      <c r="AC262" s="9"/>
      <c r="AD262" s="11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</row>
    <row r="263" spans="1:50" x14ac:dyDescent="0.25">
      <c r="A263" s="9"/>
      <c r="B263" s="9"/>
      <c r="C263" s="9"/>
      <c r="D263" s="9"/>
      <c r="E263" s="9"/>
      <c r="F263" s="9"/>
      <c r="G263" s="5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5"/>
      <c r="Z263" s="11"/>
      <c r="AA263" s="9"/>
      <c r="AB263" s="9"/>
      <c r="AC263" s="9"/>
      <c r="AD263" s="11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</row>
    <row r="264" spans="1:50" x14ac:dyDescent="0.25">
      <c r="A264" s="9"/>
      <c r="B264" s="9"/>
      <c r="C264" s="9"/>
      <c r="D264" s="9"/>
      <c r="E264" s="9"/>
      <c r="F264" s="9"/>
      <c r="G264" s="5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5"/>
      <c r="Z264" s="11"/>
      <c r="AA264" s="9"/>
      <c r="AB264" s="9"/>
      <c r="AC264" s="9"/>
      <c r="AD264" s="11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</row>
    <row r="265" spans="1:50" x14ac:dyDescent="0.25">
      <c r="A265" s="9"/>
      <c r="B265" s="9"/>
      <c r="C265" s="9"/>
      <c r="D265" s="9"/>
      <c r="E265" s="9"/>
      <c r="F265" s="9"/>
      <c r="G265" s="5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5"/>
      <c r="Z265" s="11"/>
      <c r="AA265" s="9"/>
      <c r="AB265" s="9"/>
      <c r="AC265" s="9"/>
      <c r="AD265" s="11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</row>
    <row r="266" spans="1:50" x14ac:dyDescent="0.25">
      <c r="A266" s="9"/>
      <c r="B266" s="9"/>
      <c r="C266" s="9"/>
      <c r="D266" s="9"/>
      <c r="E266" s="9"/>
      <c r="F266" s="9"/>
      <c r="G266" s="5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5"/>
      <c r="Z266" s="11"/>
      <c r="AA266" s="9"/>
      <c r="AB266" s="9"/>
      <c r="AC266" s="9"/>
      <c r="AD266" s="11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</row>
    <row r="267" spans="1:50" x14ac:dyDescent="0.25">
      <c r="A267" s="9"/>
      <c r="B267" s="9"/>
      <c r="C267" s="9"/>
      <c r="D267" s="9"/>
      <c r="E267" s="9"/>
      <c r="F267" s="9"/>
      <c r="G267" s="5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5"/>
      <c r="Z267" s="11"/>
      <c r="AA267" s="9"/>
      <c r="AB267" s="9"/>
      <c r="AC267" s="9"/>
      <c r="AD267" s="11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</row>
    <row r="268" spans="1:50" x14ac:dyDescent="0.25">
      <c r="A268" s="9"/>
      <c r="B268" s="9"/>
      <c r="C268" s="9"/>
      <c r="D268" s="9"/>
      <c r="E268" s="9"/>
      <c r="F268" s="9"/>
      <c r="G268" s="5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5"/>
      <c r="Z268" s="11"/>
      <c r="AA268" s="9"/>
      <c r="AB268" s="9"/>
      <c r="AC268" s="9"/>
      <c r="AD268" s="11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</row>
    <row r="269" spans="1:50" x14ac:dyDescent="0.25">
      <c r="A269" s="9"/>
      <c r="B269" s="9"/>
      <c r="C269" s="9"/>
      <c r="D269" s="9"/>
      <c r="E269" s="9"/>
      <c r="F269" s="9"/>
      <c r="G269" s="5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5"/>
      <c r="Z269" s="11"/>
      <c r="AA269" s="9"/>
      <c r="AB269" s="9"/>
      <c r="AC269" s="9"/>
      <c r="AD269" s="11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</row>
    <row r="270" spans="1:50" x14ac:dyDescent="0.25">
      <c r="A270" s="9"/>
      <c r="B270" s="9"/>
      <c r="C270" s="9"/>
      <c r="D270" s="9"/>
      <c r="E270" s="9"/>
      <c r="F270" s="9"/>
      <c r="G270" s="5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5"/>
      <c r="Z270" s="11"/>
      <c r="AA270" s="9"/>
      <c r="AB270" s="9"/>
      <c r="AC270" s="9"/>
      <c r="AD270" s="11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</row>
    <row r="271" spans="1:50" x14ac:dyDescent="0.25">
      <c r="A271" s="9"/>
      <c r="B271" s="9"/>
      <c r="C271" s="9"/>
      <c r="D271" s="9"/>
      <c r="E271" s="9"/>
      <c r="F271" s="9"/>
      <c r="G271" s="5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5"/>
      <c r="Z271" s="11"/>
      <c r="AA271" s="9"/>
      <c r="AB271" s="9"/>
      <c r="AC271" s="9"/>
      <c r="AD271" s="11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</row>
    <row r="272" spans="1:50" x14ac:dyDescent="0.25">
      <c r="A272" s="9"/>
      <c r="B272" s="9"/>
      <c r="C272" s="9"/>
      <c r="D272" s="9"/>
      <c r="E272" s="9"/>
      <c r="F272" s="9"/>
      <c r="G272" s="5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5"/>
      <c r="Z272" s="11"/>
      <c r="AA272" s="9"/>
      <c r="AB272" s="9"/>
      <c r="AC272" s="9"/>
      <c r="AD272" s="11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</row>
    <row r="273" spans="1:50" x14ac:dyDescent="0.25">
      <c r="A273" s="9"/>
      <c r="B273" s="9"/>
      <c r="C273" s="9"/>
      <c r="D273" s="9"/>
      <c r="E273" s="9"/>
      <c r="F273" s="9"/>
      <c r="G273" s="5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5"/>
      <c r="Z273" s="11"/>
      <c r="AA273" s="9"/>
      <c r="AB273" s="9"/>
      <c r="AC273" s="9"/>
      <c r="AD273" s="11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</row>
    <row r="274" spans="1:50" x14ac:dyDescent="0.25">
      <c r="A274" s="9"/>
      <c r="B274" s="9"/>
      <c r="C274" s="9"/>
      <c r="D274" s="9"/>
      <c r="E274" s="9"/>
      <c r="F274" s="9"/>
      <c r="G274" s="5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5"/>
      <c r="Z274" s="11"/>
      <c r="AA274" s="9"/>
      <c r="AB274" s="9"/>
      <c r="AC274" s="9"/>
      <c r="AD274" s="11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</row>
    <row r="275" spans="1:50" x14ac:dyDescent="0.25">
      <c r="A275" s="9"/>
      <c r="B275" s="9"/>
      <c r="C275" s="9"/>
      <c r="D275" s="9"/>
      <c r="E275" s="9"/>
      <c r="F275" s="9"/>
      <c r="G275" s="5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5"/>
      <c r="Z275" s="11"/>
      <c r="AA275" s="9"/>
      <c r="AB275" s="9"/>
      <c r="AC275" s="9"/>
      <c r="AD275" s="11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</row>
    <row r="276" spans="1:50" x14ac:dyDescent="0.25">
      <c r="A276" s="9"/>
      <c r="B276" s="9"/>
      <c r="C276" s="9"/>
      <c r="D276" s="9"/>
      <c r="E276" s="9"/>
      <c r="F276" s="9"/>
      <c r="G276" s="5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5"/>
      <c r="Z276" s="11"/>
      <c r="AA276" s="9"/>
      <c r="AB276" s="9"/>
      <c r="AC276" s="9"/>
      <c r="AD276" s="11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</row>
    <row r="277" spans="1:50" x14ac:dyDescent="0.25">
      <c r="A277" s="9"/>
      <c r="B277" s="9"/>
      <c r="C277" s="9"/>
      <c r="D277" s="9"/>
      <c r="E277" s="9"/>
      <c r="F277" s="9"/>
      <c r="G277" s="5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5"/>
      <c r="Z277" s="11"/>
      <c r="AA277" s="9"/>
      <c r="AB277" s="9"/>
      <c r="AC277" s="9"/>
      <c r="AD277" s="11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</row>
    <row r="278" spans="1:50" x14ac:dyDescent="0.25">
      <c r="A278" s="9"/>
      <c r="B278" s="9"/>
      <c r="C278" s="9"/>
      <c r="D278" s="9"/>
      <c r="E278" s="9"/>
      <c r="F278" s="9"/>
      <c r="G278" s="5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5"/>
      <c r="Z278" s="11"/>
      <c r="AA278" s="9"/>
      <c r="AB278" s="9"/>
      <c r="AC278" s="9"/>
      <c r="AD278" s="11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</row>
    <row r="279" spans="1:50" x14ac:dyDescent="0.25">
      <c r="A279" s="9"/>
      <c r="B279" s="9"/>
      <c r="C279" s="9"/>
      <c r="D279" s="9"/>
      <c r="E279" s="9"/>
      <c r="F279" s="9"/>
      <c r="G279" s="5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5"/>
      <c r="Z279" s="11"/>
      <c r="AA279" s="9"/>
      <c r="AB279" s="9"/>
      <c r="AC279" s="9"/>
      <c r="AD279" s="11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</row>
    <row r="280" spans="1:50" x14ac:dyDescent="0.25">
      <c r="A280" s="9"/>
      <c r="B280" s="9"/>
      <c r="C280" s="9"/>
      <c r="D280" s="9"/>
      <c r="E280" s="9"/>
      <c r="F280" s="9"/>
      <c r="G280" s="5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5"/>
      <c r="Z280" s="11"/>
      <c r="AA280" s="9"/>
      <c r="AB280" s="9"/>
      <c r="AC280" s="9"/>
      <c r="AD280" s="11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</row>
    <row r="281" spans="1:50" x14ac:dyDescent="0.25">
      <c r="A281" s="9"/>
      <c r="B281" s="9"/>
      <c r="C281" s="9"/>
      <c r="D281" s="9"/>
      <c r="E281" s="9"/>
      <c r="F281" s="9"/>
      <c r="G281" s="5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5"/>
      <c r="Z281" s="11"/>
      <c r="AA281" s="9"/>
      <c r="AB281" s="9"/>
      <c r="AC281" s="9"/>
      <c r="AD281" s="11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</row>
    <row r="282" spans="1:50" x14ac:dyDescent="0.25">
      <c r="A282" s="9"/>
      <c r="B282" s="9"/>
      <c r="C282" s="9"/>
      <c r="D282" s="9"/>
      <c r="E282" s="9"/>
      <c r="F282" s="9"/>
      <c r="G282" s="5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5"/>
      <c r="Z282" s="11"/>
      <c r="AA282" s="9"/>
      <c r="AB282" s="9"/>
      <c r="AC282" s="9"/>
      <c r="AD282" s="11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</row>
    <row r="283" spans="1:50" x14ac:dyDescent="0.25">
      <c r="A283" s="9"/>
      <c r="B283" s="9"/>
      <c r="C283" s="9"/>
      <c r="D283" s="9"/>
      <c r="E283" s="9"/>
      <c r="F283" s="9"/>
      <c r="G283" s="5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5"/>
      <c r="Z283" s="11"/>
      <c r="AA283" s="9"/>
      <c r="AB283" s="9"/>
      <c r="AC283" s="9"/>
      <c r="AD283" s="11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</row>
    <row r="284" spans="1:50" x14ac:dyDescent="0.25">
      <c r="A284" s="9"/>
      <c r="B284" s="9"/>
      <c r="C284" s="9"/>
      <c r="D284" s="9"/>
      <c r="E284" s="9"/>
      <c r="F284" s="9"/>
      <c r="G284" s="5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5"/>
      <c r="Z284" s="11"/>
      <c r="AA284" s="9"/>
      <c r="AB284" s="9"/>
      <c r="AC284" s="9"/>
      <c r="AD284" s="11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</row>
    <row r="285" spans="1:50" x14ac:dyDescent="0.25">
      <c r="A285" s="9"/>
      <c r="B285" s="9"/>
      <c r="C285" s="9"/>
      <c r="D285" s="9"/>
      <c r="E285" s="9"/>
      <c r="F285" s="9"/>
      <c r="G285" s="5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5"/>
      <c r="Z285" s="11"/>
      <c r="AA285" s="9"/>
      <c r="AB285" s="9"/>
      <c r="AC285" s="9"/>
      <c r="AD285" s="11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</row>
    <row r="286" spans="1:50" x14ac:dyDescent="0.25">
      <c r="A286" s="9"/>
      <c r="B286" s="9"/>
      <c r="C286" s="9"/>
      <c r="D286" s="9"/>
      <c r="E286" s="9"/>
      <c r="F286" s="9"/>
      <c r="G286" s="5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5"/>
      <c r="Z286" s="11"/>
      <c r="AA286" s="9"/>
      <c r="AB286" s="9"/>
      <c r="AC286" s="9"/>
      <c r="AD286" s="11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</row>
    <row r="287" spans="1:50" x14ac:dyDescent="0.25">
      <c r="A287" s="9"/>
      <c r="B287" s="9"/>
      <c r="C287" s="9"/>
      <c r="D287" s="9"/>
      <c r="E287" s="9"/>
      <c r="F287" s="9"/>
      <c r="G287" s="5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5"/>
      <c r="Z287" s="11"/>
      <c r="AA287" s="9"/>
      <c r="AB287" s="9"/>
      <c r="AC287" s="9"/>
      <c r="AD287" s="11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</row>
    <row r="288" spans="1:50" x14ac:dyDescent="0.25">
      <c r="A288" s="9"/>
      <c r="B288" s="9"/>
      <c r="C288" s="9"/>
      <c r="D288" s="9"/>
      <c r="E288" s="9"/>
      <c r="F288" s="9"/>
      <c r="G288" s="5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5"/>
      <c r="Z288" s="11"/>
      <c r="AA288" s="9"/>
      <c r="AB288" s="9"/>
      <c r="AC288" s="9"/>
      <c r="AD288" s="11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</row>
    <row r="289" spans="1:50" x14ac:dyDescent="0.25">
      <c r="A289" s="9"/>
      <c r="B289" s="9"/>
      <c r="C289" s="9"/>
      <c r="D289" s="9"/>
      <c r="E289" s="9"/>
      <c r="F289" s="9"/>
      <c r="G289" s="5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5"/>
      <c r="Z289" s="11"/>
      <c r="AA289" s="9"/>
      <c r="AB289" s="9"/>
      <c r="AC289" s="9"/>
      <c r="AD289" s="11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</row>
    <row r="290" spans="1:50" x14ac:dyDescent="0.25">
      <c r="A290" s="9"/>
      <c r="B290" s="9"/>
      <c r="C290" s="9"/>
      <c r="D290" s="9"/>
      <c r="E290" s="9"/>
      <c r="F290" s="9"/>
      <c r="G290" s="5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5"/>
      <c r="Z290" s="11"/>
      <c r="AA290" s="9"/>
      <c r="AB290" s="9"/>
      <c r="AC290" s="9"/>
      <c r="AD290" s="11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</row>
    <row r="291" spans="1:50" x14ac:dyDescent="0.25">
      <c r="A291" s="9"/>
      <c r="B291" s="9"/>
      <c r="C291" s="9"/>
      <c r="D291" s="9"/>
      <c r="E291" s="9"/>
      <c r="F291" s="9"/>
      <c r="G291" s="5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5"/>
      <c r="Z291" s="11"/>
      <c r="AA291" s="9"/>
      <c r="AB291" s="9"/>
      <c r="AC291" s="9"/>
      <c r="AD291" s="11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</row>
    <row r="292" spans="1:50" x14ac:dyDescent="0.25">
      <c r="A292" s="9"/>
      <c r="B292" s="9"/>
      <c r="C292" s="9"/>
      <c r="D292" s="9"/>
      <c r="E292" s="9"/>
      <c r="F292" s="9"/>
      <c r="G292" s="5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5"/>
      <c r="Z292" s="11"/>
      <c r="AA292" s="9"/>
      <c r="AB292" s="9"/>
      <c r="AC292" s="9"/>
      <c r="AD292" s="11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</row>
    <row r="293" spans="1:50" x14ac:dyDescent="0.25">
      <c r="A293" s="9"/>
      <c r="B293" s="9"/>
      <c r="C293" s="9"/>
      <c r="D293" s="9"/>
      <c r="E293" s="9"/>
      <c r="F293" s="9"/>
      <c r="G293" s="5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5"/>
      <c r="Z293" s="11"/>
      <c r="AA293" s="9"/>
      <c r="AB293" s="9"/>
      <c r="AC293" s="9"/>
      <c r="AD293" s="11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</row>
    <row r="294" spans="1:50" x14ac:dyDescent="0.25">
      <c r="A294" s="9"/>
      <c r="B294" s="9"/>
      <c r="C294" s="9"/>
      <c r="D294" s="9"/>
      <c r="E294" s="9"/>
      <c r="F294" s="9"/>
      <c r="G294" s="5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5"/>
      <c r="Z294" s="11"/>
      <c r="AA294" s="9"/>
      <c r="AB294" s="9"/>
      <c r="AC294" s="9"/>
      <c r="AD294" s="11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</row>
    <row r="295" spans="1:50" x14ac:dyDescent="0.25">
      <c r="A295" s="9"/>
      <c r="B295" s="9"/>
      <c r="C295" s="9"/>
      <c r="D295" s="9"/>
      <c r="E295" s="9"/>
      <c r="F295" s="9"/>
      <c r="G295" s="5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5"/>
      <c r="Z295" s="11"/>
      <c r="AA295" s="9"/>
      <c r="AB295" s="9"/>
      <c r="AC295" s="9"/>
      <c r="AD295" s="11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</row>
    <row r="296" spans="1:50" x14ac:dyDescent="0.25">
      <c r="A296" s="9"/>
      <c r="B296" s="9"/>
      <c r="C296" s="9"/>
      <c r="D296" s="9"/>
      <c r="E296" s="9"/>
      <c r="F296" s="9"/>
      <c r="G296" s="5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5"/>
      <c r="Z296" s="11"/>
      <c r="AA296" s="9"/>
      <c r="AB296" s="9"/>
      <c r="AC296" s="9"/>
      <c r="AD296" s="11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</row>
    <row r="297" spans="1:50" x14ac:dyDescent="0.25">
      <c r="A297" s="9"/>
      <c r="B297" s="9"/>
      <c r="C297" s="9"/>
      <c r="D297" s="9"/>
      <c r="E297" s="9"/>
      <c r="F297" s="9"/>
      <c r="G297" s="5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5"/>
      <c r="Z297" s="11"/>
      <c r="AA297" s="9"/>
      <c r="AB297" s="9"/>
      <c r="AC297" s="9"/>
      <c r="AD297" s="11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</row>
    <row r="298" spans="1:50" x14ac:dyDescent="0.25">
      <c r="A298" s="9"/>
      <c r="B298" s="9"/>
      <c r="C298" s="9"/>
      <c r="D298" s="9"/>
      <c r="E298" s="9"/>
      <c r="F298" s="9"/>
      <c r="G298" s="5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5"/>
      <c r="Z298" s="11"/>
      <c r="AA298" s="9"/>
      <c r="AB298" s="9"/>
      <c r="AC298" s="9"/>
      <c r="AD298" s="11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</row>
    <row r="299" spans="1:50" x14ac:dyDescent="0.25">
      <c r="A299" s="9"/>
      <c r="B299" s="9"/>
      <c r="C299" s="9"/>
      <c r="D299" s="9"/>
      <c r="E299" s="9"/>
      <c r="F299" s="9"/>
      <c r="G299" s="5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5"/>
      <c r="Z299" s="11"/>
      <c r="AA299" s="9"/>
      <c r="AB299" s="9"/>
      <c r="AC299" s="9"/>
      <c r="AD299" s="11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</row>
    <row r="300" spans="1:50" x14ac:dyDescent="0.25">
      <c r="A300" s="9"/>
      <c r="B300" s="9"/>
      <c r="C300" s="9"/>
      <c r="D300" s="9"/>
      <c r="E300" s="9"/>
      <c r="F300" s="9"/>
      <c r="G300" s="5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5"/>
      <c r="Z300" s="11"/>
      <c r="AA300" s="9"/>
      <c r="AB300" s="9"/>
      <c r="AC300" s="9"/>
      <c r="AD300" s="11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</row>
    <row r="301" spans="1:50" x14ac:dyDescent="0.25">
      <c r="A301" s="9"/>
      <c r="B301" s="9"/>
      <c r="C301" s="9"/>
      <c r="D301" s="9"/>
      <c r="E301" s="9"/>
      <c r="F301" s="9"/>
      <c r="G301" s="5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5"/>
      <c r="Z301" s="11"/>
      <c r="AA301" s="9"/>
      <c r="AB301" s="9"/>
      <c r="AC301" s="9"/>
      <c r="AD301" s="11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</row>
    <row r="302" spans="1:50" x14ac:dyDescent="0.25">
      <c r="A302" s="9"/>
      <c r="B302" s="9"/>
      <c r="C302" s="9"/>
      <c r="D302" s="9"/>
      <c r="E302" s="9"/>
      <c r="F302" s="9"/>
      <c r="G302" s="5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5"/>
      <c r="Z302" s="11"/>
      <c r="AA302" s="9"/>
      <c r="AB302" s="9"/>
      <c r="AC302" s="9"/>
      <c r="AD302" s="11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</row>
    <row r="303" spans="1:50" x14ac:dyDescent="0.25">
      <c r="A303" s="9"/>
      <c r="B303" s="9"/>
      <c r="C303" s="9"/>
      <c r="D303" s="9"/>
      <c r="E303" s="9"/>
      <c r="F303" s="9"/>
      <c r="G303" s="5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5"/>
      <c r="Z303" s="11"/>
      <c r="AA303" s="9"/>
      <c r="AB303" s="9"/>
      <c r="AC303" s="9"/>
      <c r="AD303" s="11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</row>
    <row r="304" spans="1:50" x14ac:dyDescent="0.25">
      <c r="A304" s="9"/>
      <c r="B304" s="9"/>
      <c r="C304" s="9"/>
      <c r="D304" s="9"/>
      <c r="E304" s="9"/>
      <c r="F304" s="9"/>
      <c r="G304" s="5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5"/>
      <c r="Z304" s="11"/>
      <c r="AA304" s="9"/>
      <c r="AB304" s="9"/>
      <c r="AC304" s="9"/>
      <c r="AD304" s="11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</row>
    <row r="305" spans="1:50" x14ac:dyDescent="0.25">
      <c r="A305" s="9"/>
      <c r="B305" s="9"/>
      <c r="C305" s="9"/>
      <c r="D305" s="9"/>
      <c r="E305" s="9"/>
      <c r="F305" s="9"/>
      <c r="G305" s="5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5"/>
      <c r="Z305" s="11"/>
      <c r="AA305" s="9"/>
      <c r="AB305" s="9"/>
      <c r="AC305" s="9"/>
      <c r="AD305" s="11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</row>
    <row r="306" spans="1:50" x14ac:dyDescent="0.25">
      <c r="A306" s="9"/>
      <c r="B306" s="9"/>
      <c r="C306" s="9"/>
      <c r="D306" s="9"/>
      <c r="E306" s="9"/>
      <c r="F306" s="9"/>
      <c r="G306" s="5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5"/>
      <c r="Z306" s="11"/>
      <c r="AA306" s="9"/>
      <c r="AB306" s="9"/>
      <c r="AC306" s="9"/>
      <c r="AD306" s="11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</row>
    <row r="307" spans="1:50" x14ac:dyDescent="0.25">
      <c r="A307" s="9"/>
      <c r="B307" s="9"/>
      <c r="C307" s="9"/>
      <c r="D307" s="9"/>
      <c r="E307" s="9"/>
      <c r="F307" s="9"/>
      <c r="G307" s="5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5"/>
      <c r="Z307" s="11"/>
      <c r="AA307" s="9"/>
      <c r="AB307" s="9"/>
      <c r="AC307" s="9"/>
      <c r="AD307" s="11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</row>
    <row r="308" spans="1:50" x14ac:dyDescent="0.25">
      <c r="A308" s="9"/>
      <c r="B308" s="9"/>
      <c r="C308" s="9"/>
      <c r="D308" s="9"/>
      <c r="E308" s="9"/>
      <c r="F308" s="9"/>
      <c r="G308" s="5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5"/>
      <c r="Z308" s="11"/>
      <c r="AA308" s="9"/>
      <c r="AB308" s="9"/>
      <c r="AC308" s="9"/>
      <c r="AD308" s="11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</row>
    <row r="309" spans="1:50" x14ac:dyDescent="0.25">
      <c r="A309" s="9"/>
      <c r="B309" s="9"/>
      <c r="C309" s="9"/>
      <c r="D309" s="9"/>
      <c r="E309" s="9"/>
      <c r="F309" s="9"/>
      <c r="G309" s="5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5"/>
      <c r="Z309" s="11"/>
      <c r="AA309" s="9"/>
      <c r="AB309" s="9"/>
      <c r="AC309" s="9"/>
      <c r="AD309" s="11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</row>
    <row r="310" spans="1:50" x14ac:dyDescent="0.25">
      <c r="A310" s="9"/>
      <c r="B310" s="9"/>
      <c r="C310" s="9"/>
      <c r="D310" s="9"/>
      <c r="E310" s="9"/>
      <c r="F310" s="9"/>
      <c r="G310" s="5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5"/>
      <c r="Z310" s="11"/>
      <c r="AA310" s="9"/>
      <c r="AB310" s="9"/>
      <c r="AC310" s="9"/>
      <c r="AD310" s="11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</row>
    <row r="311" spans="1:50" x14ac:dyDescent="0.25">
      <c r="A311" s="9"/>
      <c r="B311" s="9"/>
      <c r="C311" s="9"/>
      <c r="D311" s="9"/>
      <c r="E311" s="9"/>
      <c r="F311" s="9"/>
      <c r="G311" s="5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5"/>
      <c r="Z311" s="11"/>
      <c r="AA311" s="9"/>
      <c r="AB311" s="9"/>
      <c r="AC311" s="9"/>
      <c r="AD311" s="11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</row>
    <row r="312" spans="1:50" x14ac:dyDescent="0.25">
      <c r="A312" s="9"/>
      <c r="B312" s="9"/>
      <c r="C312" s="9"/>
      <c r="D312" s="9"/>
      <c r="E312" s="9"/>
      <c r="F312" s="9"/>
      <c r="G312" s="5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5"/>
      <c r="Z312" s="11"/>
      <c r="AA312" s="9"/>
      <c r="AB312" s="9"/>
      <c r="AC312" s="9"/>
      <c r="AD312" s="11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</row>
    <row r="313" spans="1:50" x14ac:dyDescent="0.25">
      <c r="A313" s="9"/>
      <c r="B313" s="9"/>
      <c r="C313" s="9"/>
      <c r="D313" s="9"/>
      <c r="E313" s="9"/>
      <c r="F313" s="9"/>
      <c r="G313" s="5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5"/>
      <c r="Z313" s="11"/>
      <c r="AA313" s="9"/>
      <c r="AB313" s="9"/>
      <c r="AC313" s="9"/>
      <c r="AD313" s="11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</row>
    <row r="314" spans="1:50" x14ac:dyDescent="0.25">
      <c r="A314" s="9"/>
      <c r="B314" s="9"/>
      <c r="C314" s="9"/>
      <c r="D314" s="9"/>
      <c r="E314" s="9"/>
      <c r="F314" s="9"/>
      <c r="G314" s="5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5"/>
      <c r="Z314" s="11"/>
      <c r="AA314" s="9"/>
      <c r="AB314" s="9"/>
      <c r="AC314" s="9"/>
      <c r="AD314" s="11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</row>
    <row r="315" spans="1:50" x14ac:dyDescent="0.25">
      <c r="A315" s="9"/>
      <c r="B315" s="9"/>
      <c r="C315" s="9"/>
      <c r="D315" s="9"/>
      <c r="E315" s="9"/>
      <c r="F315" s="9"/>
      <c r="G315" s="5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5"/>
      <c r="Z315" s="11"/>
      <c r="AA315" s="9"/>
      <c r="AB315" s="9"/>
      <c r="AC315" s="9"/>
      <c r="AD315" s="11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</row>
    <row r="316" spans="1:50" x14ac:dyDescent="0.25">
      <c r="A316" s="9"/>
      <c r="B316" s="9"/>
      <c r="C316" s="9"/>
      <c r="D316" s="9"/>
      <c r="E316" s="9"/>
      <c r="F316" s="9"/>
      <c r="G316" s="5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5"/>
      <c r="Z316" s="11"/>
      <c r="AA316" s="9"/>
      <c r="AB316" s="9"/>
      <c r="AC316" s="9"/>
      <c r="AD316" s="11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</row>
    <row r="317" spans="1:50" x14ac:dyDescent="0.25">
      <c r="A317" s="9"/>
      <c r="B317" s="9"/>
      <c r="C317" s="9"/>
      <c r="D317" s="9"/>
      <c r="E317" s="9"/>
      <c r="F317" s="9"/>
      <c r="G317" s="5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5"/>
      <c r="Z317" s="11"/>
      <c r="AA317" s="9"/>
      <c r="AB317" s="9"/>
      <c r="AC317" s="9"/>
      <c r="AD317" s="11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</row>
    <row r="318" spans="1:50" x14ac:dyDescent="0.25">
      <c r="A318" s="9"/>
      <c r="B318" s="9"/>
      <c r="C318" s="9"/>
      <c r="D318" s="9"/>
      <c r="E318" s="9"/>
      <c r="F318" s="9"/>
      <c r="G318" s="5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5"/>
      <c r="Z318" s="11"/>
      <c r="AA318" s="9"/>
      <c r="AB318" s="9"/>
      <c r="AC318" s="9"/>
      <c r="AD318" s="11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</row>
    <row r="319" spans="1:50" x14ac:dyDescent="0.25">
      <c r="A319" s="9"/>
      <c r="B319" s="9"/>
      <c r="C319" s="9"/>
      <c r="D319" s="9"/>
      <c r="E319" s="9"/>
      <c r="F319" s="9"/>
      <c r="G319" s="5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5"/>
      <c r="Z319" s="11"/>
      <c r="AA319" s="9"/>
      <c r="AB319" s="9"/>
      <c r="AC319" s="9"/>
      <c r="AD319" s="11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</row>
    <row r="320" spans="1:50" x14ac:dyDescent="0.25">
      <c r="A320" s="9"/>
      <c r="B320" s="9"/>
      <c r="C320" s="9"/>
      <c r="D320" s="9"/>
      <c r="E320" s="9"/>
      <c r="F320" s="9"/>
      <c r="G320" s="5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5"/>
      <c r="Z320" s="11"/>
      <c r="AA320" s="9"/>
      <c r="AB320" s="9"/>
      <c r="AC320" s="9"/>
      <c r="AD320" s="11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</row>
    <row r="321" spans="1:50" x14ac:dyDescent="0.25">
      <c r="A321" s="9"/>
      <c r="B321" s="9"/>
      <c r="C321" s="9"/>
      <c r="D321" s="9"/>
      <c r="E321" s="9"/>
      <c r="F321" s="9"/>
      <c r="G321" s="5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5"/>
      <c r="Z321" s="11"/>
      <c r="AA321" s="9"/>
      <c r="AB321" s="9"/>
      <c r="AC321" s="9"/>
      <c r="AD321" s="11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</row>
    <row r="322" spans="1:50" x14ac:dyDescent="0.25">
      <c r="A322" s="9"/>
      <c r="B322" s="9"/>
      <c r="C322" s="9"/>
      <c r="D322" s="9"/>
      <c r="E322" s="9"/>
      <c r="F322" s="9"/>
      <c r="G322" s="5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5"/>
      <c r="Z322" s="11"/>
      <c r="AA322" s="9"/>
      <c r="AB322" s="9"/>
      <c r="AC322" s="9"/>
      <c r="AD322" s="11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</row>
    <row r="323" spans="1:50" x14ac:dyDescent="0.25">
      <c r="A323" s="9"/>
      <c r="B323" s="9"/>
      <c r="C323" s="9"/>
      <c r="D323" s="9"/>
      <c r="E323" s="9"/>
      <c r="F323" s="9"/>
      <c r="G323" s="5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5"/>
      <c r="Z323" s="11"/>
      <c r="AA323" s="9"/>
      <c r="AB323" s="9"/>
      <c r="AC323" s="9"/>
      <c r="AD323" s="11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</row>
    <row r="324" spans="1:50" x14ac:dyDescent="0.25">
      <c r="A324" s="9"/>
      <c r="B324" s="9"/>
      <c r="C324" s="9"/>
      <c r="D324" s="9"/>
      <c r="E324" s="9"/>
      <c r="F324" s="9"/>
      <c r="G324" s="5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5"/>
      <c r="Z324" s="11"/>
      <c r="AA324" s="9"/>
      <c r="AB324" s="9"/>
      <c r="AC324" s="9"/>
      <c r="AD324" s="11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</row>
    <row r="325" spans="1:50" x14ac:dyDescent="0.25">
      <c r="A325" s="9"/>
      <c r="B325" s="9"/>
      <c r="C325" s="9"/>
      <c r="D325" s="9"/>
      <c r="E325" s="9"/>
      <c r="F325" s="9"/>
      <c r="G325" s="5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5"/>
      <c r="Z325" s="11"/>
      <c r="AA325" s="9"/>
      <c r="AB325" s="9"/>
      <c r="AC325" s="9"/>
      <c r="AD325" s="11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</row>
    <row r="326" spans="1:50" x14ac:dyDescent="0.25">
      <c r="A326" s="9"/>
      <c r="B326" s="9"/>
      <c r="C326" s="9"/>
      <c r="D326" s="9"/>
      <c r="E326" s="9"/>
      <c r="F326" s="9"/>
      <c r="G326" s="5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5"/>
      <c r="Z326" s="11"/>
      <c r="AA326" s="9"/>
      <c r="AB326" s="9"/>
      <c r="AC326" s="9"/>
      <c r="AD326" s="11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</row>
    <row r="327" spans="1:50" x14ac:dyDescent="0.25">
      <c r="A327" s="9"/>
      <c r="B327" s="9"/>
      <c r="C327" s="9"/>
      <c r="D327" s="9"/>
      <c r="E327" s="9"/>
      <c r="F327" s="9"/>
      <c r="G327" s="5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5"/>
      <c r="Z327" s="11"/>
      <c r="AA327" s="9"/>
      <c r="AB327" s="9"/>
      <c r="AC327" s="9"/>
      <c r="AD327" s="11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</row>
    <row r="328" spans="1:50" x14ac:dyDescent="0.25">
      <c r="A328" s="9"/>
      <c r="B328" s="9"/>
      <c r="C328" s="9"/>
      <c r="D328" s="9"/>
      <c r="E328" s="9"/>
      <c r="F328" s="9"/>
      <c r="G328" s="5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5"/>
      <c r="Z328" s="11"/>
      <c r="AA328" s="9"/>
      <c r="AB328" s="9"/>
      <c r="AC328" s="9"/>
      <c r="AD328" s="11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</row>
    <row r="329" spans="1:50" x14ac:dyDescent="0.25">
      <c r="A329" s="9"/>
      <c r="B329" s="9"/>
      <c r="C329" s="9"/>
      <c r="D329" s="9"/>
      <c r="E329" s="9"/>
      <c r="F329" s="9"/>
      <c r="G329" s="5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5"/>
      <c r="Z329" s="11"/>
      <c r="AA329" s="9"/>
      <c r="AB329" s="9"/>
      <c r="AC329" s="9"/>
      <c r="AD329" s="11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</row>
    <row r="330" spans="1:50" x14ac:dyDescent="0.25">
      <c r="A330" s="9"/>
      <c r="B330" s="9"/>
      <c r="C330" s="9"/>
      <c r="D330" s="9"/>
      <c r="E330" s="9"/>
      <c r="F330" s="9"/>
      <c r="G330" s="5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5"/>
      <c r="Z330" s="11"/>
      <c r="AA330" s="9"/>
      <c r="AB330" s="9"/>
      <c r="AC330" s="9"/>
      <c r="AD330" s="11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</row>
    <row r="331" spans="1:50" x14ac:dyDescent="0.25">
      <c r="A331" s="9"/>
      <c r="B331" s="9"/>
      <c r="C331" s="9"/>
      <c r="D331" s="9"/>
      <c r="E331" s="9"/>
      <c r="F331" s="9"/>
      <c r="G331" s="5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5"/>
      <c r="Z331" s="11"/>
      <c r="AA331" s="9"/>
      <c r="AB331" s="9"/>
      <c r="AC331" s="9"/>
      <c r="AD331" s="11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</row>
    <row r="332" spans="1:50" x14ac:dyDescent="0.25">
      <c r="A332" s="9"/>
      <c r="B332" s="9"/>
      <c r="C332" s="9"/>
      <c r="D332" s="9"/>
      <c r="E332" s="9"/>
      <c r="F332" s="9"/>
      <c r="G332" s="5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5"/>
      <c r="Z332" s="11"/>
      <c r="AA332" s="9"/>
      <c r="AB332" s="9"/>
      <c r="AC332" s="9"/>
      <c r="AD332" s="11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</row>
    <row r="333" spans="1:50" x14ac:dyDescent="0.25">
      <c r="A333" s="9"/>
      <c r="B333" s="9"/>
      <c r="C333" s="9"/>
      <c r="D333" s="9"/>
      <c r="E333" s="9"/>
      <c r="F333" s="9"/>
      <c r="G333" s="5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5"/>
      <c r="Z333" s="11"/>
      <c r="AA333" s="9"/>
      <c r="AB333" s="9"/>
      <c r="AC333" s="9"/>
      <c r="AD333" s="11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</row>
    <row r="334" spans="1:50" x14ac:dyDescent="0.25">
      <c r="A334" s="9"/>
      <c r="B334" s="9"/>
      <c r="C334" s="9"/>
      <c r="D334" s="9"/>
      <c r="E334" s="9"/>
      <c r="F334" s="9"/>
      <c r="G334" s="5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5"/>
      <c r="Z334" s="11"/>
      <c r="AA334" s="9"/>
      <c r="AB334" s="9"/>
      <c r="AC334" s="9"/>
      <c r="AD334" s="11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</row>
    <row r="335" spans="1:50" x14ac:dyDescent="0.25">
      <c r="A335" s="9"/>
      <c r="B335" s="9"/>
      <c r="C335" s="9"/>
      <c r="D335" s="9"/>
      <c r="E335" s="9"/>
      <c r="F335" s="9"/>
      <c r="G335" s="5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5"/>
      <c r="Z335" s="11"/>
      <c r="AA335" s="9"/>
      <c r="AB335" s="9"/>
      <c r="AC335" s="9"/>
      <c r="AD335" s="11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</row>
    <row r="336" spans="1:50" x14ac:dyDescent="0.25">
      <c r="A336" s="9"/>
      <c r="B336" s="9"/>
      <c r="C336" s="9"/>
      <c r="D336" s="9"/>
      <c r="E336" s="9"/>
      <c r="F336" s="9"/>
      <c r="G336" s="5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5"/>
      <c r="Z336" s="11"/>
      <c r="AA336" s="9"/>
      <c r="AB336" s="9"/>
      <c r="AC336" s="9"/>
      <c r="AD336" s="11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</row>
    <row r="337" spans="1:50" x14ac:dyDescent="0.25">
      <c r="A337" s="9"/>
      <c r="B337" s="9"/>
      <c r="C337" s="9"/>
      <c r="D337" s="9"/>
      <c r="E337" s="9"/>
      <c r="F337" s="9"/>
      <c r="G337" s="5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5"/>
      <c r="Z337" s="11"/>
      <c r="AA337" s="9"/>
      <c r="AB337" s="9"/>
      <c r="AC337" s="9"/>
      <c r="AD337" s="11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</row>
    <row r="338" spans="1:50" x14ac:dyDescent="0.25">
      <c r="A338" s="9"/>
      <c r="B338" s="9"/>
      <c r="C338" s="9"/>
      <c r="D338" s="9"/>
      <c r="E338" s="9"/>
      <c r="F338" s="9"/>
      <c r="G338" s="5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5"/>
      <c r="Z338" s="11"/>
      <c r="AA338" s="9"/>
      <c r="AB338" s="9"/>
      <c r="AC338" s="9"/>
      <c r="AD338" s="11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</row>
    <row r="339" spans="1:50" x14ac:dyDescent="0.25">
      <c r="A339" s="9"/>
      <c r="B339" s="9"/>
      <c r="C339" s="9"/>
      <c r="D339" s="9"/>
      <c r="E339" s="9"/>
      <c r="F339" s="9"/>
      <c r="G339" s="5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5"/>
      <c r="Z339" s="11"/>
      <c r="AA339" s="9"/>
      <c r="AB339" s="9"/>
      <c r="AC339" s="9"/>
      <c r="AD339" s="11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</row>
    <row r="340" spans="1:50" x14ac:dyDescent="0.25">
      <c r="A340" s="9"/>
      <c r="B340" s="9"/>
      <c r="C340" s="9"/>
      <c r="D340" s="9"/>
      <c r="E340" s="9"/>
      <c r="F340" s="9"/>
      <c r="G340" s="5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5"/>
      <c r="Z340" s="11"/>
      <c r="AA340" s="9"/>
      <c r="AB340" s="9"/>
      <c r="AC340" s="9"/>
      <c r="AD340" s="11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</row>
    <row r="341" spans="1:50" x14ac:dyDescent="0.25">
      <c r="A341" s="9"/>
      <c r="B341" s="9"/>
      <c r="C341" s="9"/>
      <c r="D341" s="9"/>
      <c r="E341" s="9"/>
      <c r="F341" s="9"/>
      <c r="G341" s="5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5"/>
      <c r="Z341" s="11"/>
      <c r="AA341" s="9"/>
      <c r="AB341" s="9"/>
      <c r="AC341" s="9"/>
      <c r="AD341" s="11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</row>
    <row r="342" spans="1:50" x14ac:dyDescent="0.25">
      <c r="A342" s="9"/>
      <c r="B342" s="9"/>
      <c r="C342" s="9"/>
      <c r="D342" s="9"/>
      <c r="E342" s="9"/>
      <c r="F342" s="9"/>
      <c r="G342" s="5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5"/>
      <c r="Z342" s="11"/>
      <c r="AA342" s="9"/>
      <c r="AB342" s="9"/>
      <c r="AC342" s="9"/>
      <c r="AD342" s="11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</row>
    <row r="343" spans="1:50" x14ac:dyDescent="0.25">
      <c r="A343" s="9"/>
      <c r="B343" s="9"/>
      <c r="C343" s="9"/>
      <c r="D343" s="9"/>
      <c r="E343" s="9"/>
      <c r="F343" s="9"/>
      <c r="G343" s="5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5"/>
      <c r="Z343" s="11"/>
      <c r="AA343" s="9"/>
      <c r="AB343" s="9"/>
      <c r="AC343" s="9"/>
      <c r="AD343" s="11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</row>
    <row r="344" spans="1:50" x14ac:dyDescent="0.25">
      <c r="A344" s="9"/>
      <c r="B344" s="9"/>
      <c r="C344" s="9"/>
      <c r="D344" s="9"/>
      <c r="E344" s="9"/>
      <c r="F344" s="9"/>
      <c r="G344" s="5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5"/>
      <c r="Z344" s="11"/>
      <c r="AA344" s="9"/>
      <c r="AB344" s="9"/>
      <c r="AC344" s="9"/>
      <c r="AD344" s="11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</row>
    <row r="345" spans="1:50" x14ac:dyDescent="0.25">
      <c r="A345" s="9"/>
      <c r="B345" s="9"/>
      <c r="C345" s="9"/>
      <c r="D345" s="9"/>
      <c r="E345" s="9"/>
      <c r="F345" s="9"/>
      <c r="G345" s="5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5"/>
      <c r="Z345" s="11"/>
      <c r="AA345" s="9"/>
      <c r="AB345" s="9"/>
      <c r="AC345" s="9"/>
      <c r="AD345" s="11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</row>
    <row r="346" spans="1:50" x14ac:dyDescent="0.25">
      <c r="A346" s="9"/>
      <c r="B346" s="9"/>
      <c r="C346" s="9"/>
      <c r="D346" s="9"/>
      <c r="E346" s="9"/>
      <c r="F346" s="9"/>
      <c r="G346" s="5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5"/>
      <c r="Z346" s="11"/>
      <c r="AA346" s="9"/>
      <c r="AB346" s="9"/>
      <c r="AC346" s="9"/>
      <c r="AD346" s="11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</row>
    <row r="347" spans="1:50" x14ac:dyDescent="0.25">
      <c r="A347" s="9"/>
      <c r="B347" s="9"/>
      <c r="C347" s="9"/>
      <c r="D347" s="9"/>
      <c r="E347" s="9"/>
      <c r="F347" s="9"/>
      <c r="G347" s="5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5"/>
      <c r="Z347" s="11"/>
      <c r="AA347" s="9"/>
      <c r="AB347" s="9"/>
      <c r="AC347" s="9"/>
      <c r="AD347" s="11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</row>
    <row r="348" spans="1:50" x14ac:dyDescent="0.25">
      <c r="A348" s="9"/>
      <c r="B348" s="9"/>
      <c r="C348" s="9"/>
      <c r="D348" s="9"/>
      <c r="E348" s="9"/>
      <c r="F348" s="9"/>
      <c r="G348" s="5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5"/>
      <c r="Z348" s="11"/>
      <c r="AA348" s="9"/>
      <c r="AB348" s="9"/>
      <c r="AC348" s="9"/>
      <c r="AD348" s="11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</row>
    <row r="349" spans="1:50" x14ac:dyDescent="0.25">
      <c r="A349" s="9"/>
      <c r="B349" s="9"/>
      <c r="C349" s="9"/>
      <c r="D349" s="9"/>
      <c r="E349" s="9"/>
      <c r="F349" s="9"/>
      <c r="G349" s="5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5"/>
      <c r="Z349" s="11"/>
      <c r="AA349" s="9"/>
      <c r="AB349" s="9"/>
      <c r="AC349" s="9"/>
      <c r="AD349" s="11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</row>
    <row r="350" spans="1:50" x14ac:dyDescent="0.25">
      <c r="A350" s="9"/>
      <c r="B350" s="9"/>
      <c r="C350" s="9"/>
      <c r="D350" s="9"/>
      <c r="E350" s="9"/>
      <c r="F350" s="9"/>
      <c r="G350" s="5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5"/>
      <c r="Z350" s="11"/>
      <c r="AA350" s="9"/>
      <c r="AB350" s="9"/>
      <c r="AC350" s="9"/>
      <c r="AD350" s="11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</row>
    <row r="351" spans="1:50" x14ac:dyDescent="0.25">
      <c r="A351" s="9"/>
      <c r="B351" s="9"/>
      <c r="C351" s="9"/>
      <c r="D351" s="9"/>
      <c r="E351" s="9"/>
      <c r="F351" s="9"/>
      <c r="G351" s="5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5"/>
      <c r="Z351" s="11"/>
      <c r="AA351" s="9"/>
      <c r="AB351" s="9"/>
      <c r="AC351" s="9"/>
      <c r="AD351" s="11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</row>
    <row r="352" spans="1:50" x14ac:dyDescent="0.25">
      <c r="A352" s="9"/>
      <c r="B352" s="9"/>
      <c r="C352" s="9"/>
      <c r="D352" s="9"/>
      <c r="E352" s="9"/>
      <c r="F352" s="9"/>
      <c r="G352" s="5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5"/>
      <c r="Z352" s="11"/>
      <c r="AA352" s="9"/>
      <c r="AB352" s="9"/>
      <c r="AC352" s="9"/>
      <c r="AD352" s="11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</row>
    <row r="353" spans="1:50" x14ac:dyDescent="0.25">
      <c r="A353" s="9"/>
      <c r="B353" s="9"/>
      <c r="C353" s="9"/>
      <c r="D353" s="9"/>
      <c r="E353" s="9"/>
      <c r="F353" s="9"/>
      <c r="G353" s="5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5"/>
      <c r="Z353" s="11"/>
      <c r="AA353" s="9"/>
      <c r="AB353" s="9"/>
      <c r="AC353" s="9"/>
      <c r="AD353" s="11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</row>
    <row r="354" spans="1:50" x14ac:dyDescent="0.25">
      <c r="A354" s="9"/>
      <c r="B354" s="9"/>
      <c r="C354" s="9"/>
      <c r="D354" s="9"/>
      <c r="E354" s="9"/>
      <c r="F354" s="9"/>
      <c r="G354" s="5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5"/>
      <c r="Z354" s="11"/>
      <c r="AA354" s="9"/>
      <c r="AB354" s="9"/>
      <c r="AC354" s="9"/>
      <c r="AD354" s="11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</row>
    <row r="355" spans="1:50" x14ac:dyDescent="0.25">
      <c r="A355" s="9"/>
      <c r="B355" s="9"/>
      <c r="C355" s="9"/>
      <c r="D355" s="9"/>
      <c r="E355" s="9"/>
      <c r="F355" s="9"/>
      <c r="G355" s="5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5"/>
      <c r="Z355" s="11"/>
      <c r="AA355" s="9"/>
      <c r="AB355" s="9"/>
      <c r="AC355" s="9"/>
      <c r="AD355" s="11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</row>
    <row r="356" spans="1:50" x14ac:dyDescent="0.25">
      <c r="A356" s="9"/>
      <c r="B356" s="9"/>
      <c r="C356" s="9"/>
      <c r="D356" s="9"/>
      <c r="E356" s="9"/>
      <c r="F356" s="9"/>
      <c r="G356" s="5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5"/>
      <c r="Z356" s="11"/>
      <c r="AA356" s="9"/>
      <c r="AB356" s="9"/>
      <c r="AC356" s="9"/>
      <c r="AD356" s="11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</row>
    <row r="357" spans="1:50" x14ac:dyDescent="0.25">
      <c r="A357" s="9"/>
      <c r="B357" s="9"/>
      <c r="C357" s="9"/>
      <c r="D357" s="9"/>
      <c r="E357" s="9"/>
      <c r="F357" s="9"/>
      <c r="G357" s="5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5"/>
      <c r="Z357" s="11"/>
      <c r="AA357" s="9"/>
      <c r="AB357" s="9"/>
      <c r="AC357" s="9"/>
      <c r="AD357" s="11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</row>
    <row r="358" spans="1:50" x14ac:dyDescent="0.25">
      <c r="A358" s="9"/>
      <c r="B358" s="9"/>
      <c r="C358" s="9"/>
      <c r="D358" s="9"/>
      <c r="E358" s="9"/>
      <c r="F358" s="9"/>
      <c r="G358" s="5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5"/>
      <c r="Z358" s="11"/>
      <c r="AA358" s="9"/>
      <c r="AB358" s="9"/>
      <c r="AC358" s="9"/>
      <c r="AD358" s="11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</row>
    <row r="359" spans="1:50" x14ac:dyDescent="0.25">
      <c r="A359" s="9"/>
      <c r="B359" s="9"/>
      <c r="C359" s="9"/>
      <c r="D359" s="9"/>
      <c r="E359" s="9"/>
      <c r="F359" s="9"/>
      <c r="G359" s="5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5"/>
      <c r="Z359" s="11"/>
      <c r="AA359" s="9"/>
      <c r="AB359" s="9"/>
      <c r="AC359" s="9"/>
      <c r="AD359" s="11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</row>
    <row r="360" spans="1:50" x14ac:dyDescent="0.25">
      <c r="A360" s="9"/>
      <c r="B360" s="9"/>
      <c r="C360" s="9"/>
      <c r="D360" s="9"/>
      <c r="E360" s="9"/>
      <c r="F360" s="9"/>
      <c r="G360" s="5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5"/>
      <c r="Z360" s="11"/>
      <c r="AA360" s="9"/>
      <c r="AB360" s="9"/>
      <c r="AC360" s="9"/>
      <c r="AD360" s="11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</row>
    <row r="361" spans="1:50" x14ac:dyDescent="0.25">
      <c r="A361" s="9"/>
      <c r="B361" s="9"/>
      <c r="C361" s="9"/>
      <c r="D361" s="9"/>
      <c r="E361" s="9"/>
      <c r="F361" s="9"/>
      <c r="G361" s="5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5"/>
      <c r="Z361" s="11"/>
      <c r="AA361" s="9"/>
      <c r="AB361" s="9"/>
      <c r="AC361" s="9"/>
      <c r="AD361" s="11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</row>
    <row r="362" spans="1:50" x14ac:dyDescent="0.25">
      <c r="A362" s="9"/>
      <c r="B362" s="9"/>
      <c r="C362" s="9"/>
      <c r="D362" s="9"/>
      <c r="E362" s="9"/>
      <c r="F362" s="9"/>
      <c r="G362" s="5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5"/>
      <c r="Z362" s="11"/>
      <c r="AA362" s="9"/>
      <c r="AB362" s="9"/>
      <c r="AC362" s="9"/>
      <c r="AD362" s="11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</row>
    <row r="363" spans="1:50" x14ac:dyDescent="0.25">
      <c r="A363" s="9"/>
      <c r="B363" s="9"/>
      <c r="C363" s="9"/>
      <c r="D363" s="9"/>
      <c r="E363" s="9"/>
      <c r="F363" s="9"/>
      <c r="G363" s="5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5"/>
      <c r="Z363" s="11"/>
      <c r="AA363" s="9"/>
      <c r="AB363" s="9"/>
      <c r="AC363" s="9"/>
      <c r="AD363" s="11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</row>
    <row r="364" spans="1:50" x14ac:dyDescent="0.25">
      <c r="A364" s="9"/>
      <c r="B364" s="9"/>
      <c r="C364" s="9"/>
      <c r="D364" s="9"/>
      <c r="E364" s="9"/>
      <c r="F364" s="9"/>
      <c r="G364" s="5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5"/>
      <c r="Z364" s="11"/>
      <c r="AA364" s="9"/>
      <c r="AB364" s="9"/>
      <c r="AC364" s="9"/>
      <c r="AD364" s="11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</row>
    <row r="365" spans="1:50" x14ac:dyDescent="0.25">
      <c r="A365" s="9"/>
      <c r="B365" s="9"/>
      <c r="C365" s="9"/>
      <c r="D365" s="9"/>
      <c r="E365" s="9"/>
      <c r="F365" s="9"/>
      <c r="G365" s="5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5"/>
      <c r="Z365" s="11"/>
      <c r="AA365" s="9"/>
      <c r="AB365" s="9"/>
      <c r="AC365" s="9"/>
      <c r="AD365" s="11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</row>
    <row r="366" spans="1:50" x14ac:dyDescent="0.25">
      <c r="A366" s="9"/>
      <c r="B366" s="9"/>
      <c r="C366" s="9"/>
      <c r="D366" s="9"/>
      <c r="E366" s="9"/>
      <c r="F366" s="9"/>
      <c r="G366" s="5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5"/>
      <c r="Z366" s="11"/>
      <c r="AA366" s="9"/>
      <c r="AB366" s="9"/>
      <c r="AC366" s="9"/>
      <c r="AD366" s="11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</row>
    <row r="367" spans="1:50" x14ac:dyDescent="0.25">
      <c r="A367" s="9"/>
      <c r="B367" s="9"/>
      <c r="C367" s="9"/>
      <c r="D367" s="9"/>
      <c r="E367" s="9"/>
      <c r="F367" s="9"/>
      <c r="G367" s="5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5"/>
      <c r="Z367" s="11"/>
      <c r="AA367" s="9"/>
      <c r="AB367" s="9"/>
      <c r="AC367" s="9"/>
      <c r="AD367" s="11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</row>
    <row r="368" spans="1:50" x14ac:dyDescent="0.25">
      <c r="A368" s="9"/>
      <c r="B368" s="9"/>
      <c r="C368" s="9"/>
      <c r="D368" s="9"/>
      <c r="E368" s="9"/>
      <c r="F368" s="9"/>
      <c r="G368" s="5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5"/>
      <c r="Z368" s="11"/>
      <c r="AA368" s="9"/>
      <c r="AB368" s="9"/>
      <c r="AC368" s="9"/>
      <c r="AD368" s="11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</row>
    <row r="369" spans="1:50" x14ac:dyDescent="0.25">
      <c r="A369" s="9"/>
      <c r="B369" s="9"/>
      <c r="C369" s="9"/>
      <c r="D369" s="9"/>
      <c r="E369" s="9"/>
      <c r="F369" s="9"/>
      <c r="G369" s="5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5"/>
      <c r="Z369" s="11"/>
      <c r="AA369" s="9"/>
      <c r="AB369" s="9"/>
      <c r="AC369" s="9"/>
      <c r="AD369" s="11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</row>
    <row r="370" spans="1:50" x14ac:dyDescent="0.25">
      <c r="A370" s="9"/>
      <c r="B370" s="9"/>
      <c r="C370" s="9"/>
      <c r="D370" s="9"/>
      <c r="E370" s="9"/>
      <c r="F370" s="9"/>
      <c r="G370" s="5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5"/>
      <c r="Z370" s="11"/>
      <c r="AA370" s="9"/>
      <c r="AB370" s="9"/>
      <c r="AC370" s="9"/>
      <c r="AD370" s="11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</row>
    <row r="371" spans="1:50" x14ac:dyDescent="0.25">
      <c r="A371" s="9"/>
      <c r="B371" s="9"/>
      <c r="C371" s="9"/>
      <c r="D371" s="9"/>
      <c r="E371" s="9"/>
      <c r="F371" s="9"/>
      <c r="G371" s="5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5"/>
      <c r="Z371" s="11"/>
      <c r="AA371" s="9"/>
      <c r="AB371" s="9"/>
      <c r="AC371" s="9"/>
      <c r="AD371" s="11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</row>
    <row r="372" spans="1:50" x14ac:dyDescent="0.25">
      <c r="A372" s="9"/>
      <c r="B372" s="9"/>
      <c r="C372" s="9"/>
      <c r="D372" s="9"/>
      <c r="E372" s="9"/>
      <c r="F372" s="9"/>
      <c r="G372" s="5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5"/>
      <c r="Z372" s="11"/>
      <c r="AA372" s="9"/>
      <c r="AB372" s="9"/>
      <c r="AC372" s="9"/>
      <c r="AD372" s="11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</row>
    <row r="373" spans="1:50" x14ac:dyDescent="0.25">
      <c r="A373" s="9"/>
      <c r="B373" s="9"/>
      <c r="C373" s="9"/>
      <c r="D373" s="9"/>
      <c r="E373" s="9"/>
      <c r="F373" s="9"/>
      <c r="G373" s="5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5"/>
      <c r="Z373" s="11"/>
      <c r="AA373" s="9"/>
      <c r="AB373" s="9"/>
      <c r="AC373" s="9"/>
      <c r="AD373" s="11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</row>
    <row r="374" spans="1:50" x14ac:dyDescent="0.25">
      <c r="A374" s="9"/>
      <c r="B374" s="9"/>
      <c r="C374" s="9"/>
      <c r="D374" s="9"/>
      <c r="E374" s="9"/>
      <c r="F374" s="9"/>
      <c r="G374" s="5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5"/>
      <c r="Z374" s="11"/>
      <c r="AA374" s="9"/>
      <c r="AB374" s="9"/>
      <c r="AC374" s="9"/>
      <c r="AD374" s="11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</row>
    <row r="375" spans="1:50" x14ac:dyDescent="0.25">
      <c r="A375" s="9"/>
      <c r="B375" s="9"/>
      <c r="C375" s="9"/>
      <c r="D375" s="9"/>
      <c r="E375" s="9"/>
      <c r="F375" s="9"/>
      <c r="G375" s="5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5"/>
      <c r="Z375" s="11"/>
      <c r="AA375" s="9"/>
      <c r="AB375" s="9"/>
      <c r="AC375" s="9"/>
      <c r="AD375" s="11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</row>
    <row r="376" spans="1:50" x14ac:dyDescent="0.25">
      <c r="A376" s="9"/>
      <c r="B376" s="9"/>
      <c r="C376" s="9"/>
      <c r="D376" s="9"/>
      <c r="E376" s="9"/>
      <c r="F376" s="9"/>
      <c r="G376" s="5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5"/>
      <c r="Z376" s="11"/>
      <c r="AA376" s="9"/>
      <c r="AB376" s="9"/>
      <c r="AC376" s="9"/>
      <c r="AD376" s="11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</row>
    <row r="377" spans="1:50" x14ac:dyDescent="0.25">
      <c r="A377" s="9"/>
      <c r="B377" s="9"/>
      <c r="C377" s="9"/>
      <c r="D377" s="9"/>
      <c r="E377" s="9"/>
      <c r="F377" s="9"/>
      <c r="G377" s="5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5"/>
      <c r="Z377" s="11"/>
      <c r="AA377" s="9"/>
      <c r="AB377" s="9"/>
      <c r="AC377" s="9"/>
      <c r="AD377" s="11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</row>
    <row r="378" spans="1:50" x14ac:dyDescent="0.25">
      <c r="A378" s="9"/>
      <c r="B378" s="9"/>
      <c r="C378" s="9"/>
      <c r="D378" s="9"/>
      <c r="E378" s="9"/>
      <c r="F378" s="9"/>
      <c r="G378" s="5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5"/>
      <c r="Z378" s="11"/>
      <c r="AA378" s="9"/>
      <c r="AB378" s="9"/>
      <c r="AC378" s="9"/>
      <c r="AD378" s="11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</row>
    <row r="379" spans="1:50" x14ac:dyDescent="0.25">
      <c r="A379" s="9"/>
      <c r="B379" s="9"/>
      <c r="C379" s="9"/>
      <c r="D379" s="9"/>
      <c r="E379" s="9"/>
      <c r="F379" s="9"/>
      <c r="G379" s="5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5"/>
      <c r="Z379" s="11"/>
      <c r="AA379" s="9"/>
      <c r="AB379" s="9"/>
      <c r="AC379" s="9"/>
      <c r="AD379" s="11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</row>
    <row r="380" spans="1:50" x14ac:dyDescent="0.25">
      <c r="A380" s="9"/>
      <c r="B380" s="9"/>
      <c r="C380" s="9"/>
      <c r="D380" s="9"/>
      <c r="E380" s="9"/>
      <c r="F380" s="9"/>
      <c r="G380" s="5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5"/>
      <c r="Z380" s="11"/>
      <c r="AA380" s="9"/>
      <c r="AB380" s="9"/>
      <c r="AC380" s="9"/>
      <c r="AD380" s="11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</row>
    <row r="381" spans="1:50" x14ac:dyDescent="0.25">
      <c r="A381" s="9"/>
      <c r="B381" s="9"/>
      <c r="C381" s="9"/>
      <c r="D381" s="9"/>
      <c r="E381" s="9"/>
      <c r="F381" s="9"/>
      <c r="G381" s="5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5"/>
      <c r="Z381" s="11"/>
      <c r="AA381" s="9"/>
      <c r="AB381" s="9"/>
      <c r="AC381" s="9"/>
      <c r="AD381" s="11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</row>
    <row r="382" spans="1:50" x14ac:dyDescent="0.25">
      <c r="A382" s="9"/>
      <c r="B382" s="9"/>
      <c r="C382" s="9"/>
      <c r="D382" s="9"/>
      <c r="E382" s="9"/>
      <c r="F382" s="9"/>
      <c r="G382" s="5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5"/>
      <c r="Z382" s="11"/>
      <c r="AA382" s="9"/>
      <c r="AB382" s="9"/>
      <c r="AC382" s="9"/>
      <c r="AD382" s="11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</row>
    <row r="383" spans="1:50" x14ac:dyDescent="0.25">
      <c r="A383" s="9"/>
      <c r="B383" s="9"/>
      <c r="C383" s="9"/>
      <c r="D383" s="9"/>
      <c r="E383" s="9"/>
      <c r="F383" s="9"/>
      <c r="G383" s="5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5"/>
      <c r="Z383" s="11"/>
      <c r="AA383" s="9"/>
      <c r="AB383" s="9"/>
      <c r="AC383" s="9"/>
      <c r="AD383" s="11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</row>
    <row r="384" spans="1:50" x14ac:dyDescent="0.25">
      <c r="A384" s="9"/>
      <c r="B384" s="9"/>
      <c r="C384" s="9"/>
      <c r="D384" s="9"/>
      <c r="E384" s="9"/>
      <c r="F384" s="9"/>
      <c r="G384" s="5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5"/>
      <c r="Z384" s="11"/>
      <c r="AA384" s="9"/>
      <c r="AB384" s="9"/>
      <c r="AC384" s="9"/>
      <c r="AD384" s="11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</row>
    <row r="385" spans="1:50" x14ac:dyDescent="0.25">
      <c r="A385" s="9"/>
      <c r="B385" s="9"/>
      <c r="C385" s="9"/>
      <c r="D385" s="9"/>
      <c r="E385" s="9"/>
      <c r="F385" s="9"/>
      <c r="G385" s="5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5"/>
      <c r="Z385" s="11"/>
      <c r="AA385" s="9"/>
      <c r="AB385" s="9"/>
      <c r="AC385" s="9"/>
      <c r="AD385" s="11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</row>
    <row r="386" spans="1:50" x14ac:dyDescent="0.25">
      <c r="A386" s="9"/>
      <c r="B386" s="9"/>
      <c r="C386" s="9"/>
      <c r="D386" s="9"/>
      <c r="E386" s="9"/>
      <c r="F386" s="9"/>
      <c r="G386" s="5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5"/>
      <c r="Z386" s="11"/>
      <c r="AA386" s="9"/>
      <c r="AB386" s="9"/>
      <c r="AC386" s="9"/>
      <c r="AD386" s="11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</row>
    <row r="387" spans="1:50" x14ac:dyDescent="0.25">
      <c r="A387" s="9"/>
      <c r="B387" s="9"/>
      <c r="C387" s="9"/>
      <c r="D387" s="9"/>
      <c r="E387" s="9"/>
      <c r="F387" s="9"/>
      <c r="G387" s="5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5"/>
      <c r="Z387" s="11"/>
      <c r="AA387" s="9"/>
      <c r="AB387" s="9"/>
      <c r="AC387" s="9"/>
      <c r="AD387" s="11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</row>
    <row r="388" spans="1:50" x14ac:dyDescent="0.25">
      <c r="A388" s="9"/>
      <c r="B388" s="9"/>
      <c r="C388" s="9"/>
      <c r="D388" s="9"/>
      <c r="E388" s="9"/>
      <c r="F388" s="9"/>
      <c r="G388" s="5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5"/>
      <c r="Z388" s="11"/>
      <c r="AA388" s="9"/>
      <c r="AB388" s="9"/>
      <c r="AC388" s="9"/>
      <c r="AD388" s="11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</row>
    <row r="389" spans="1:50" x14ac:dyDescent="0.25">
      <c r="A389" s="9"/>
      <c r="B389" s="9"/>
      <c r="C389" s="9"/>
      <c r="D389" s="9"/>
      <c r="E389" s="9"/>
      <c r="F389" s="9"/>
      <c r="G389" s="5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5"/>
      <c r="Z389" s="11"/>
      <c r="AA389" s="9"/>
      <c r="AB389" s="9"/>
      <c r="AC389" s="9"/>
      <c r="AD389" s="11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</row>
    <row r="390" spans="1:50" x14ac:dyDescent="0.25">
      <c r="A390" s="9"/>
      <c r="B390" s="9"/>
      <c r="C390" s="9"/>
      <c r="D390" s="9"/>
      <c r="E390" s="9"/>
      <c r="F390" s="9"/>
      <c r="G390" s="5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5"/>
      <c r="Z390" s="11"/>
      <c r="AA390" s="9"/>
      <c r="AB390" s="9"/>
      <c r="AC390" s="9"/>
      <c r="AD390" s="11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</row>
    <row r="391" spans="1:50" x14ac:dyDescent="0.25">
      <c r="A391" s="9"/>
      <c r="B391" s="9"/>
      <c r="C391" s="9"/>
      <c r="D391" s="9"/>
      <c r="E391" s="9"/>
      <c r="F391" s="9"/>
      <c r="G391" s="5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5"/>
      <c r="Z391" s="11"/>
      <c r="AA391" s="9"/>
      <c r="AB391" s="9"/>
      <c r="AC391" s="9"/>
      <c r="AD391" s="11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</row>
    <row r="392" spans="1:50" x14ac:dyDescent="0.25">
      <c r="A392" s="9"/>
      <c r="B392" s="9"/>
      <c r="C392" s="9"/>
      <c r="D392" s="9"/>
      <c r="E392" s="9"/>
      <c r="F392" s="9"/>
      <c r="G392" s="5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5"/>
      <c r="Z392" s="11"/>
      <c r="AA392" s="9"/>
      <c r="AB392" s="9"/>
      <c r="AC392" s="9"/>
      <c r="AD392" s="11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</row>
    <row r="393" spans="1:50" x14ac:dyDescent="0.25">
      <c r="A393" s="9"/>
      <c r="B393" s="9"/>
      <c r="C393" s="9"/>
      <c r="D393" s="9"/>
      <c r="E393" s="9"/>
      <c r="F393" s="9"/>
      <c r="G393" s="5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5"/>
      <c r="Z393" s="11"/>
      <c r="AA393" s="9"/>
      <c r="AB393" s="9"/>
      <c r="AC393" s="9"/>
      <c r="AD393" s="11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</row>
    <row r="394" spans="1:50" x14ac:dyDescent="0.25">
      <c r="A394" s="9"/>
      <c r="B394" s="9"/>
      <c r="C394" s="9"/>
      <c r="D394" s="9"/>
      <c r="E394" s="9"/>
      <c r="F394" s="9"/>
      <c r="G394" s="5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5"/>
      <c r="Z394" s="11"/>
      <c r="AA394" s="9"/>
      <c r="AB394" s="9"/>
      <c r="AC394" s="9"/>
      <c r="AD394" s="11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</row>
    <row r="395" spans="1:50" x14ac:dyDescent="0.25">
      <c r="A395" s="9"/>
      <c r="B395" s="9"/>
      <c r="C395" s="9"/>
      <c r="D395" s="9"/>
      <c r="E395" s="9"/>
      <c r="F395" s="9"/>
      <c r="G395" s="5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5"/>
      <c r="Z395" s="11"/>
      <c r="AA395" s="9"/>
      <c r="AB395" s="9"/>
      <c r="AC395" s="9"/>
      <c r="AD395" s="11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</row>
    <row r="396" spans="1:50" x14ac:dyDescent="0.25">
      <c r="A396" s="9"/>
      <c r="B396" s="9"/>
      <c r="C396" s="9"/>
      <c r="D396" s="9"/>
      <c r="E396" s="9"/>
      <c r="F396" s="9"/>
      <c r="G396" s="5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5"/>
      <c r="Z396" s="11"/>
      <c r="AA396" s="9"/>
      <c r="AB396" s="9"/>
      <c r="AC396" s="9"/>
      <c r="AD396" s="11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</row>
    <row r="397" spans="1:50" x14ac:dyDescent="0.25">
      <c r="A397" s="9"/>
      <c r="B397" s="9"/>
      <c r="C397" s="9"/>
      <c r="D397" s="9"/>
      <c r="E397" s="9"/>
      <c r="F397" s="9"/>
      <c r="G397" s="5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5"/>
      <c r="Z397" s="11"/>
      <c r="AA397" s="9"/>
      <c r="AB397" s="9"/>
      <c r="AC397" s="9"/>
      <c r="AD397" s="11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</row>
    <row r="398" spans="1:50" x14ac:dyDescent="0.25">
      <c r="A398" s="9"/>
      <c r="B398" s="9"/>
      <c r="C398" s="9"/>
      <c r="D398" s="9"/>
      <c r="E398" s="9"/>
      <c r="F398" s="9"/>
      <c r="G398" s="5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5"/>
      <c r="Z398" s="11"/>
      <c r="AA398" s="9"/>
      <c r="AB398" s="9"/>
      <c r="AC398" s="9"/>
      <c r="AD398" s="11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</row>
    <row r="399" spans="1:50" x14ac:dyDescent="0.25">
      <c r="A399" s="9"/>
      <c r="B399" s="9"/>
      <c r="C399" s="9"/>
      <c r="D399" s="9"/>
      <c r="E399" s="9"/>
      <c r="F399" s="9"/>
      <c r="G399" s="5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5"/>
      <c r="Z399" s="11"/>
      <c r="AA399" s="9"/>
      <c r="AB399" s="9"/>
      <c r="AC399" s="9"/>
      <c r="AD399" s="11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</row>
    <row r="400" spans="1:50" x14ac:dyDescent="0.25">
      <c r="A400" s="9"/>
      <c r="B400" s="9"/>
      <c r="C400" s="9"/>
      <c r="D400" s="9"/>
      <c r="E400" s="9"/>
      <c r="F400" s="9"/>
      <c r="G400" s="5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5"/>
      <c r="Z400" s="11"/>
      <c r="AA400" s="9"/>
      <c r="AB400" s="9"/>
      <c r="AC400" s="9"/>
      <c r="AD400" s="11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</row>
    <row r="401" spans="1:50" x14ac:dyDescent="0.25">
      <c r="A401" s="9"/>
      <c r="B401" s="9"/>
      <c r="C401" s="9"/>
      <c r="D401" s="9"/>
      <c r="E401" s="9"/>
      <c r="F401" s="9"/>
      <c r="G401" s="5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5"/>
      <c r="Z401" s="11"/>
      <c r="AA401" s="9"/>
      <c r="AB401" s="9"/>
      <c r="AC401" s="9"/>
      <c r="AD401" s="11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</row>
    <row r="402" spans="1:50" x14ac:dyDescent="0.25">
      <c r="A402" s="9"/>
      <c r="B402" s="9"/>
      <c r="C402" s="9"/>
      <c r="D402" s="9"/>
      <c r="E402" s="9"/>
      <c r="F402" s="9"/>
      <c r="G402" s="5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5"/>
      <c r="Z402" s="11"/>
      <c r="AA402" s="9"/>
      <c r="AB402" s="9"/>
      <c r="AC402" s="9"/>
      <c r="AD402" s="11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</row>
    <row r="403" spans="1:50" x14ac:dyDescent="0.25">
      <c r="A403" s="9"/>
      <c r="B403" s="9"/>
      <c r="C403" s="9"/>
      <c r="D403" s="9"/>
      <c r="E403" s="9"/>
      <c r="F403" s="9"/>
      <c r="G403" s="5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5"/>
      <c r="Z403" s="11"/>
      <c r="AA403" s="9"/>
      <c r="AB403" s="9"/>
      <c r="AC403" s="9"/>
      <c r="AD403" s="11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</row>
    <row r="404" spans="1:50" x14ac:dyDescent="0.25">
      <c r="A404" s="9"/>
      <c r="B404" s="9"/>
      <c r="C404" s="9"/>
      <c r="D404" s="9"/>
      <c r="E404" s="9"/>
      <c r="F404" s="9"/>
      <c r="G404" s="5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5"/>
      <c r="Z404" s="11"/>
      <c r="AA404" s="9"/>
      <c r="AB404" s="9"/>
      <c r="AC404" s="9"/>
      <c r="AD404" s="11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</row>
    <row r="405" spans="1:50" x14ac:dyDescent="0.25">
      <c r="A405" s="9"/>
      <c r="B405" s="9"/>
      <c r="C405" s="9"/>
      <c r="D405" s="9"/>
      <c r="E405" s="9"/>
      <c r="F405" s="9"/>
      <c r="G405" s="5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5"/>
      <c r="Z405" s="11"/>
      <c r="AA405" s="9"/>
      <c r="AB405" s="9"/>
      <c r="AC405" s="9"/>
      <c r="AD405" s="11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</row>
    <row r="406" spans="1:50" x14ac:dyDescent="0.25">
      <c r="A406" s="9"/>
      <c r="B406" s="9"/>
      <c r="C406" s="9"/>
      <c r="D406" s="9"/>
      <c r="E406" s="9"/>
      <c r="F406" s="9"/>
      <c r="G406" s="5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5"/>
      <c r="Z406" s="11"/>
      <c r="AA406" s="9"/>
      <c r="AB406" s="9"/>
      <c r="AC406" s="9"/>
      <c r="AD406" s="11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</row>
    <row r="407" spans="1:50" x14ac:dyDescent="0.25">
      <c r="A407" s="9"/>
      <c r="B407" s="9"/>
      <c r="C407" s="9"/>
      <c r="D407" s="9"/>
      <c r="E407" s="9"/>
      <c r="F407" s="9"/>
      <c r="G407" s="5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5"/>
      <c r="Z407" s="11"/>
      <c r="AA407" s="9"/>
      <c r="AB407" s="9"/>
      <c r="AC407" s="9"/>
      <c r="AD407" s="11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</row>
    <row r="408" spans="1:50" x14ac:dyDescent="0.25">
      <c r="A408" s="9"/>
      <c r="B408" s="9"/>
      <c r="C408" s="9"/>
      <c r="D408" s="9"/>
      <c r="E408" s="9"/>
      <c r="F408" s="9"/>
      <c r="G408" s="5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5"/>
      <c r="Z408" s="11"/>
      <c r="AA408" s="9"/>
      <c r="AB408" s="9"/>
      <c r="AC408" s="9"/>
      <c r="AD408" s="11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</row>
    <row r="409" spans="1:50" x14ac:dyDescent="0.25">
      <c r="A409" s="9"/>
      <c r="B409" s="9"/>
      <c r="C409" s="9"/>
      <c r="D409" s="9"/>
      <c r="E409" s="9"/>
      <c r="F409" s="9"/>
      <c r="G409" s="5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5"/>
      <c r="Z409" s="11"/>
      <c r="AA409" s="9"/>
      <c r="AB409" s="9"/>
      <c r="AC409" s="9"/>
      <c r="AD409" s="11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</row>
    <row r="410" spans="1:50" x14ac:dyDescent="0.25">
      <c r="A410" s="9"/>
      <c r="B410" s="9"/>
      <c r="C410" s="9"/>
      <c r="D410" s="9"/>
      <c r="E410" s="9"/>
      <c r="F410" s="9"/>
      <c r="G410" s="5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5"/>
      <c r="Z410" s="11"/>
      <c r="AA410" s="9"/>
      <c r="AB410" s="9"/>
      <c r="AC410" s="9"/>
      <c r="AD410" s="11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</row>
    <row r="411" spans="1:50" x14ac:dyDescent="0.25">
      <c r="A411" s="9"/>
      <c r="B411" s="9"/>
      <c r="C411" s="9"/>
      <c r="D411" s="9"/>
      <c r="E411" s="9"/>
      <c r="F411" s="9"/>
      <c r="G411" s="5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5"/>
      <c r="Z411" s="11"/>
      <c r="AA411" s="9"/>
      <c r="AB411" s="9"/>
      <c r="AC411" s="9"/>
      <c r="AD411" s="11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</row>
    <row r="412" spans="1:50" x14ac:dyDescent="0.25">
      <c r="A412" s="9"/>
      <c r="B412" s="9"/>
      <c r="C412" s="9"/>
      <c r="D412" s="9"/>
      <c r="E412" s="9"/>
      <c r="F412" s="9"/>
      <c r="G412" s="5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5"/>
      <c r="Z412" s="11"/>
      <c r="AA412" s="9"/>
      <c r="AB412" s="9"/>
      <c r="AC412" s="9"/>
      <c r="AD412" s="11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</row>
    <row r="413" spans="1:50" x14ac:dyDescent="0.25">
      <c r="A413" s="9"/>
      <c r="B413" s="9"/>
      <c r="C413" s="9"/>
      <c r="D413" s="9"/>
      <c r="E413" s="9"/>
      <c r="F413" s="9"/>
      <c r="G413" s="5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5"/>
      <c r="Z413" s="11"/>
      <c r="AA413" s="9"/>
      <c r="AB413" s="9"/>
      <c r="AC413" s="9"/>
      <c r="AD413" s="11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</row>
    <row r="414" spans="1:50" x14ac:dyDescent="0.25">
      <c r="A414" s="9"/>
      <c r="B414" s="9"/>
      <c r="C414" s="9"/>
      <c r="D414" s="9"/>
      <c r="E414" s="9"/>
      <c r="F414" s="9"/>
      <c r="G414" s="5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5"/>
      <c r="Z414" s="11"/>
      <c r="AA414" s="9"/>
      <c r="AB414" s="9"/>
      <c r="AC414" s="9"/>
      <c r="AD414" s="11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</row>
    <row r="415" spans="1:50" x14ac:dyDescent="0.25">
      <c r="A415" s="9"/>
      <c r="B415" s="9"/>
      <c r="C415" s="9"/>
      <c r="D415" s="9"/>
      <c r="E415" s="9"/>
      <c r="F415" s="9"/>
      <c r="G415" s="5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5"/>
      <c r="Z415" s="11"/>
      <c r="AA415" s="9"/>
      <c r="AB415" s="9"/>
      <c r="AC415" s="9"/>
      <c r="AD415" s="11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</row>
    <row r="416" spans="1:50" x14ac:dyDescent="0.25">
      <c r="A416" s="9"/>
      <c r="B416" s="9"/>
      <c r="C416" s="9"/>
      <c r="D416" s="9"/>
      <c r="E416" s="9"/>
      <c r="F416" s="9"/>
      <c r="G416" s="5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5"/>
      <c r="Z416" s="11"/>
      <c r="AA416" s="9"/>
      <c r="AB416" s="9"/>
      <c r="AC416" s="9"/>
      <c r="AD416" s="11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</row>
    <row r="417" spans="1:50" x14ac:dyDescent="0.25">
      <c r="A417" s="9"/>
      <c r="B417" s="9"/>
      <c r="C417" s="9"/>
      <c r="D417" s="9"/>
      <c r="E417" s="9"/>
      <c r="F417" s="9"/>
      <c r="G417" s="5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5"/>
      <c r="Z417" s="11"/>
      <c r="AA417" s="9"/>
      <c r="AB417" s="9"/>
      <c r="AC417" s="9"/>
      <c r="AD417" s="11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</row>
    <row r="418" spans="1:50" x14ac:dyDescent="0.25">
      <c r="A418" s="9"/>
      <c r="B418" s="9"/>
      <c r="C418" s="9"/>
      <c r="D418" s="9"/>
      <c r="E418" s="9"/>
      <c r="F418" s="9"/>
      <c r="G418" s="5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5"/>
      <c r="Z418" s="11"/>
      <c r="AA418" s="9"/>
      <c r="AB418" s="9"/>
      <c r="AC418" s="9"/>
      <c r="AD418" s="11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</row>
    <row r="419" spans="1:50" x14ac:dyDescent="0.25">
      <c r="A419" s="9"/>
      <c r="B419" s="9"/>
      <c r="C419" s="9"/>
      <c r="D419" s="9"/>
      <c r="E419" s="9"/>
      <c r="F419" s="9"/>
      <c r="G419" s="5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5"/>
      <c r="Z419" s="11"/>
      <c r="AA419" s="9"/>
      <c r="AB419" s="9"/>
      <c r="AC419" s="9"/>
      <c r="AD419" s="11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</row>
    <row r="420" spans="1:50" x14ac:dyDescent="0.25">
      <c r="A420" s="9"/>
      <c r="B420" s="9"/>
      <c r="C420" s="9"/>
      <c r="D420" s="9"/>
      <c r="E420" s="9"/>
      <c r="F420" s="9"/>
      <c r="G420" s="5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5"/>
      <c r="Z420" s="11"/>
      <c r="AA420" s="9"/>
      <c r="AB420" s="9"/>
      <c r="AC420" s="9"/>
      <c r="AD420" s="11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</row>
    <row r="421" spans="1:50" x14ac:dyDescent="0.25">
      <c r="A421" s="9"/>
      <c r="B421" s="9"/>
      <c r="C421" s="9"/>
      <c r="D421" s="9"/>
      <c r="E421" s="9"/>
      <c r="F421" s="9"/>
      <c r="G421" s="5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5"/>
      <c r="Z421" s="11"/>
      <c r="AA421" s="9"/>
      <c r="AB421" s="9"/>
      <c r="AC421" s="9"/>
      <c r="AD421" s="11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</row>
    <row r="422" spans="1:50" x14ac:dyDescent="0.25">
      <c r="A422" s="9"/>
      <c r="B422" s="9"/>
      <c r="C422" s="9"/>
      <c r="D422" s="9"/>
      <c r="E422" s="9"/>
      <c r="F422" s="9"/>
      <c r="G422" s="5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5"/>
      <c r="Z422" s="11"/>
      <c r="AA422" s="9"/>
      <c r="AB422" s="9"/>
      <c r="AC422" s="9"/>
      <c r="AD422" s="11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</row>
    <row r="423" spans="1:50" x14ac:dyDescent="0.25">
      <c r="A423" s="9"/>
      <c r="B423" s="9"/>
      <c r="C423" s="9"/>
      <c r="D423" s="9"/>
      <c r="E423" s="9"/>
      <c r="F423" s="9"/>
      <c r="G423" s="5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5"/>
      <c r="Z423" s="11"/>
      <c r="AA423" s="9"/>
      <c r="AB423" s="9"/>
      <c r="AC423" s="9"/>
      <c r="AD423" s="11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</row>
    <row r="424" spans="1:50" x14ac:dyDescent="0.25">
      <c r="A424" s="9"/>
      <c r="B424" s="9"/>
      <c r="C424" s="9"/>
      <c r="D424" s="9"/>
      <c r="E424" s="9"/>
      <c r="F424" s="9"/>
      <c r="G424" s="5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5"/>
      <c r="Z424" s="11"/>
      <c r="AA424" s="9"/>
      <c r="AB424" s="9"/>
      <c r="AC424" s="9"/>
      <c r="AD424" s="11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</row>
    <row r="425" spans="1:50" x14ac:dyDescent="0.25">
      <c r="A425" s="9"/>
      <c r="B425" s="9"/>
      <c r="C425" s="9"/>
      <c r="D425" s="9"/>
      <c r="E425" s="9"/>
      <c r="F425" s="9"/>
      <c r="G425" s="5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5"/>
      <c r="Z425" s="11"/>
      <c r="AA425" s="9"/>
      <c r="AB425" s="9"/>
      <c r="AC425" s="9"/>
      <c r="AD425" s="11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</row>
    <row r="426" spans="1:50" x14ac:dyDescent="0.25">
      <c r="A426" s="9"/>
      <c r="B426" s="9"/>
      <c r="C426" s="9"/>
      <c r="D426" s="9"/>
      <c r="E426" s="9"/>
      <c r="F426" s="9"/>
      <c r="G426" s="5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5"/>
      <c r="Z426" s="11"/>
      <c r="AA426" s="9"/>
      <c r="AB426" s="9"/>
      <c r="AC426" s="9"/>
      <c r="AD426" s="11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</row>
    <row r="427" spans="1:50" x14ac:dyDescent="0.25">
      <c r="A427" s="9"/>
      <c r="B427" s="9"/>
      <c r="C427" s="9"/>
      <c r="D427" s="9"/>
      <c r="E427" s="9"/>
      <c r="F427" s="9"/>
      <c r="G427" s="5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5"/>
      <c r="Z427" s="11"/>
      <c r="AA427" s="9"/>
      <c r="AB427" s="9"/>
      <c r="AC427" s="9"/>
      <c r="AD427" s="11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</row>
    <row r="428" spans="1:50" x14ac:dyDescent="0.25">
      <c r="A428" s="9"/>
      <c r="B428" s="9"/>
      <c r="C428" s="9"/>
      <c r="D428" s="9"/>
      <c r="E428" s="9"/>
      <c r="F428" s="9"/>
      <c r="G428" s="5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5"/>
      <c r="Z428" s="11"/>
      <c r="AA428" s="9"/>
      <c r="AB428" s="9"/>
      <c r="AC428" s="9"/>
      <c r="AD428" s="11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</row>
    <row r="429" spans="1:50" x14ac:dyDescent="0.25">
      <c r="A429" s="9"/>
      <c r="B429" s="9"/>
      <c r="C429" s="9"/>
      <c r="D429" s="9"/>
      <c r="E429" s="9"/>
      <c r="F429" s="9"/>
      <c r="G429" s="5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5"/>
      <c r="Z429" s="11"/>
      <c r="AA429" s="9"/>
      <c r="AB429" s="9"/>
      <c r="AC429" s="9"/>
      <c r="AD429" s="11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</row>
    <row r="430" spans="1:50" x14ac:dyDescent="0.25">
      <c r="A430" s="9"/>
      <c r="B430" s="9"/>
      <c r="C430" s="9"/>
      <c r="D430" s="9"/>
      <c r="E430" s="9"/>
      <c r="F430" s="9"/>
      <c r="G430" s="5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5"/>
      <c r="Z430" s="11"/>
      <c r="AA430" s="9"/>
      <c r="AB430" s="9"/>
      <c r="AC430" s="9"/>
      <c r="AD430" s="11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</row>
    <row r="431" spans="1:50" x14ac:dyDescent="0.25">
      <c r="A431" s="9"/>
      <c r="B431" s="9"/>
      <c r="C431" s="9"/>
      <c r="D431" s="9"/>
      <c r="E431" s="9"/>
      <c r="F431" s="9"/>
      <c r="G431" s="5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5"/>
      <c r="Z431" s="11"/>
      <c r="AA431" s="9"/>
      <c r="AB431" s="9"/>
      <c r="AC431" s="9"/>
      <c r="AD431" s="11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</row>
    <row r="432" spans="1:50" x14ac:dyDescent="0.25">
      <c r="A432" s="9"/>
      <c r="B432" s="9"/>
      <c r="C432" s="9"/>
      <c r="D432" s="9"/>
      <c r="E432" s="9"/>
      <c r="F432" s="9"/>
      <c r="G432" s="5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5"/>
      <c r="Z432" s="11"/>
      <c r="AA432" s="9"/>
      <c r="AB432" s="9"/>
      <c r="AC432" s="9"/>
      <c r="AD432" s="11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</row>
    <row r="433" spans="1:50" x14ac:dyDescent="0.25">
      <c r="A433" s="9"/>
      <c r="B433" s="9"/>
      <c r="C433" s="9"/>
      <c r="D433" s="9"/>
      <c r="E433" s="9"/>
      <c r="F433" s="9"/>
      <c r="G433" s="5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5"/>
      <c r="Z433" s="11"/>
      <c r="AA433" s="9"/>
      <c r="AB433" s="9"/>
      <c r="AC433" s="9"/>
      <c r="AD433" s="11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</row>
    <row r="434" spans="1:50" x14ac:dyDescent="0.25">
      <c r="A434" s="9"/>
      <c r="B434" s="9"/>
      <c r="C434" s="9"/>
      <c r="D434" s="9"/>
      <c r="E434" s="9"/>
      <c r="F434" s="9"/>
      <c r="G434" s="5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5"/>
      <c r="Z434" s="11"/>
      <c r="AA434" s="9"/>
      <c r="AB434" s="9"/>
      <c r="AC434" s="9"/>
      <c r="AD434" s="11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</row>
    <row r="435" spans="1:50" x14ac:dyDescent="0.25">
      <c r="A435" s="9"/>
      <c r="B435" s="9"/>
      <c r="C435" s="9"/>
      <c r="D435" s="9"/>
      <c r="E435" s="9"/>
      <c r="F435" s="9"/>
      <c r="G435" s="5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5"/>
      <c r="Z435" s="11"/>
      <c r="AA435" s="9"/>
      <c r="AB435" s="9"/>
      <c r="AC435" s="9"/>
      <c r="AD435" s="11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</row>
    <row r="436" spans="1:50" x14ac:dyDescent="0.25">
      <c r="A436" s="9"/>
      <c r="B436" s="9"/>
      <c r="C436" s="9"/>
      <c r="D436" s="9"/>
      <c r="E436" s="9"/>
      <c r="F436" s="9"/>
      <c r="G436" s="5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5"/>
      <c r="Z436" s="11"/>
      <c r="AA436" s="9"/>
      <c r="AB436" s="9"/>
      <c r="AC436" s="9"/>
      <c r="AD436" s="11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</row>
    <row r="437" spans="1:50" x14ac:dyDescent="0.25">
      <c r="A437" s="9"/>
      <c r="B437" s="9"/>
      <c r="C437" s="9"/>
      <c r="D437" s="9"/>
      <c r="E437" s="9"/>
      <c r="F437" s="9"/>
      <c r="G437" s="5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5"/>
      <c r="Z437" s="11"/>
      <c r="AA437" s="9"/>
      <c r="AB437" s="9"/>
      <c r="AC437" s="9"/>
      <c r="AD437" s="11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</row>
    <row r="438" spans="1:50" x14ac:dyDescent="0.25">
      <c r="A438" s="9"/>
      <c r="B438" s="9"/>
      <c r="C438" s="9"/>
      <c r="D438" s="9"/>
      <c r="E438" s="9"/>
      <c r="F438" s="9"/>
      <c r="G438" s="5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5"/>
      <c r="Z438" s="11"/>
      <c r="AA438" s="9"/>
      <c r="AB438" s="9"/>
      <c r="AC438" s="9"/>
      <c r="AD438" s="11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</row>
    <row r="439" spans="1:50" x14ac:dyDescent="0.25">
      <c r="A439" s="9"/>
      <c r="B439" s="9"/>
      <c r="C439" s="9"/>
      <c r="D439" s="9"/>
      <c r="E439" s="9"/>
      <c r="F439" s="9"/>
      <c r="G439" s="5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5"/>
      <c r="Z439" s="11"/>
      <c r="AA439" s="9"/>
      <c r="AB439" s="9"/>
      <c r="AC439" s="9"/>
      <c r="AD439" s="11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</row>
    <row r="440" spans="1:50" x14ac:dyDescent="0.25">
      <c r="A440" s="9"/>
      <c r="B440" s="9"/>
      <c r="C440" s="9"/>
      <c r="D440" s="9"/>
      <c r="E440" s="9"/>
      <c r="F440" s="9"/>
      <c r="G440" s="5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5"/>
      <c r="Z440" s="11"/>
      <c r="AA440" s="9"/>
      <c r="AB440" s="9"/>
      <c r="AC440" s="9"/>
      <c r="AD440" s="11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</row>
    <row r="441" spans="1:50" x14ac:dyDescent="0.25">
      <c r="A441" s="9"/>
      <c r="B441" s="9"/>
      <c r="C441" s="9"/>
      <c r="D441" s="9"/>
      <c r="E441" s="9"/>
      <c r="F441" s="9"/>
      <c r="G441" s="5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5"/>
      <c r="Z441" s="11"/>
      <c r="AA441" s="9"/>
      <c r="AB441" s="9"/>
      <c r="AC441" s="9"/>
      <c r="AD441" s="11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</row>
    <row r="442" spans="1:50" x14ac:dyDescent="0.25">
      <c r="A442" s="9"/>
      <c r="B442" s="9"/>
      <c r="C442" s="9"/>
      <c r="D442" s="9"/>
      <c r="E442" s="9"/>
      <c r="F442" s="9"/>
      <c r="G442" s="5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5"/>
      <c r="Z442" s="11"/>
      <c r="AA442" s="9"/>
      <c r="AB442" s="9"/>
      <c r="AC442" s="9"/>
      <c r="AD442" s="11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</row>
    <row r="443" spans="1:50" x14ac:dyDescent="0.25">
      <c r="A443" s="9"/>
      <c r="B443" s="9"/>
      <c r="C443" s="9"/>
      <c r="D443" s="9"/>
      <c r="E443" s="9"/>
      <c r="F443" s="9"/>
      <c r="G443" s="5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5"/>
      <c r="Z443" s="11"/>
      <c r="AA443" s="9"/>
      <c r="AB443" s="9"/>
      <c r="AC443" s="9"/>
      <c r="AD443" s="11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</row>
    <row r="444" spans="1:50" x14ac:dyDescent="0.25">
      <c r="A444" s="9"/>
      <c r="B444" s="9"/>
      <c r="C444" s="9"/>
      <c r="D444" s="9"/>
      <c r="E444" s="9"/>
      <c r="F444" s="9"/>
      <c r="G444" s="5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5"/>
      <c r="Z444" s="11"/>
      <c r="AA444" s="9"/>
      <c r="AB444" s="9"/>
      <c r="AC444" s="9"/>
      <c r="AD444" s="11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</row>
    <row r="445" spans="1:50" x14ac:dyDescent="0.25">
      <c r="A445" s="9"/>
      <c r="B445" s="9"/>
      <c r="C445" s="9"/>
      <c r="D445" s="9"/>
      <c r="E445" s="9"/>
      <c r="F445" s="9"/>
      <c r="G445" s="5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5"/>
      <c r="Z445" s="11"/>
      <c r="AA445" s="9"/>
      <c r="AB445" s="9"/>
      <c r="AC445" s="9"/>
      <c r="AD445" s="11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</row>
    <row r="446" spans="1:50" x14ac:dyDescent="0.25">
      <c r="A446" s="9"/>
      <c r="B446" s="9"/>
      <c r="C446" s="9"/>
      <c r="D446" s="9"/>
      <c r="E446" s="9"/>
      <c r="F446" s="9"/>
      <c r="G446" s="5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5"/>
      <c r="Z446" s="11"/>
      <c r="AA446" s="9"/>
      <c r="AB446" s="9"/>
      <c r="AC446" s="9"/>
      <c r="AD446" s="11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</row>
    <row r="447" spans="1:50" x14ac:dyDescent="0.25">
      <c r="A447" s="9"/>
      <c r="B447" s="9"/>
      <c r="C447" s="9"/>
      <c r="D447" s="9"/>
      <c r="E447" s="9"/>
      <c r="F447" s="9"/>
      <c r="G447" s="5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5"/>
      <c r="Z447" s="11"/>
      <c r="AA447" s="9"/>
      <c r="AB447" s="9"/>
      <c r="AC447" s="9"/>
      <c r="AD447" s="11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</row>
    <row r="448" spans="1:50" x14ac:dyDescent="0.25">
      <c r="A448" s="9"/>
      <c r="B448" s="9"/>
      <c r="C448" s="9"/>
      <c r="D448" s="9"/>
      <c r="E448" s="9"/>
      <c r="F448" s="9"/>
      <c r="G448" s="5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5"/>
      <c r="Z448" s="11"/>
      <c r="AA448" s="9"/>
      <c r="AB448" s="9"/>
      <c r="AC448" s="9"/>
      <c r="AD448" s="11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</row>
    <row r="449" spans="1:50" x14ac:dyDescent="0.25">
      <c r="A449" s="9"/>
      <c r="B449" s="9"/>
      <c r="C449" s="9"/>
      <c r="D449" s="9"/>
      <c r="E449" s="9"/>
      <c r="F449" s="9"/>
      <c r="G449" s="5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5"/>
      <c r="Z449" s="11"/>
      <c r="AA449" s="9"/>
      <c r="AB449" s="9"/>
      <c r="AC449" s="9"/>
      <c r="AD449" s="11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</row>
    <row r="450" spans="1:50" x14ac:dyDescent="0.25">
      <c r="A450" s="9"/>
      <c r="B450" s="9"/>
      <c r="C450" s="9"/>
      <c r="D450" s="9"/>
      <c r="E450" s="9"/>
      <c r="F450" s="9"/>
      <c r="G450" s="5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5"/>
      <c r="Z450" s="11"/>
      <c r="AA450" s="9"/>
      <c r="AB450" s="9"/>
      <c r="AC450" s="9"/>
      <c r="AD450" s="11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</row>
    <row r="451" spans="1:50" x14ac:dyDescent="0.25">
      <c r="A451" s="9"/>
      <c r="B451" s="9"/>
      <c r="C451" s="9"/>
      <c r="D451" s="9"/>
      <c r="E451" s="9"/>
      <c r="F451" s="9"/>
      <c r="G451" s="5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5"/>
      <c r="Z451" s="11"/>
      <c r="AA451" s="9"/>
      <c r="AB451" s="9"/>
      <c r="AC451" s="9"/>
      <c r="AD451" s="11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</row>
    <row r="452" spans="1:50" x14ac:dyDescent="0.25">
      <c r="A452" s="9"/>
      <c r="B452" s="9"/>
      <c r="C452" s="9"/>
      <c r="D452" s="9"/>
      <c r="E452" s="9"/>
      <c r="F452" s="9"/>
      <c r="G452" s="5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5"/>
      <c r="Z452" s="11"/>
      <c r="AA452" s="9"/>
      <c r="AB452" s="9"/>
      <c r="AC452" s="9"/>
      <c r="AD452" s="11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</row>
    <row r="453" spans="1:50" x14ac:dyDescent="0.25">
      <c r="A453" s="9"/>
      <c r="B453" s="9"/>
      <c r="C453" s="9"/>
      <c r="D453" s="9"/>
      <c r="E453" s="9"/>
      <c r="F453" s="9"/>
      <c r="G453" s="5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5"/>
      <c r="Z453" s="11"/>
      <c r="AA453" s="9"/>
      <c r="AB453" s="9"/>
      <c r="AC453" s="9"/>
      <c r="AD453" s="11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</row>
    <row r="454" spans="1:50" x14ac:dyDescent="0.25">
      <c r="A454" s="9"/>
      <c r="B454" s="9"/>
      <c r="C454" s="9"/>
      <c r="D454" s="9"/>
      <c r="E454" s="9"/>
      <c r="F454" s="9"/>
      <c r="G454" s="5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5"/>
      <c r="Z454" s="11"/>
      <c r="AA454" s="9"/>
      <c r="AB454" s="9"/>
      <c r="AC454" s="9"/>
      <c r="AD454" s="11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</row>
    <row r="455" spans="1:50" x14ac:dyDescent="0.25">
      <c r="A455" s="9"/>
      <c r="B455" s="9"/>
      <c r="C455" s="9"/>
      <c r="D455" s="9"/>
      <c r="E455" s="9"/>
      <c r="F455" s="9"/>
      <c r="G455" s="5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5"/>
      <c r="Z455" s="11"/>
      <c r="AA455" s="9"/>
      <c r="AB455" s="9"/>
      <c r="AC455" s="9"/>
      <c r="AD455" s="11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</row>
    <row r="456" spans="1:50" x14ac:dyDescent="0.25">
      <c r="A456" s="9"/>
      <c r="B456" s="9"/>
      <c r="C456" s="9"/>
      <c r="D456" s="9"/>
      <c r="E456" s="9"/>
      <c r="F456" s="9"/>
      <c r="G456" s="5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5"/>
      <c r="Z456" s="11"/>
      <c r="AA456" s="9"/>
      <c r="AB456" s="9"/>
      <c r="AC456" s="9"/>
      <c r="AD456" s="11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</row>
    <row r="457" spans="1:50" x14ac:dyDescent="0.25">
      <c r="A457" s="9"/>
      <c r="B457" s="9"/>
      <c r="C457" s="9"/>
      <c r="D457" s="9"/>
      <c r="E457" s="9"/>
      <c r="F457" s="9"/>
      <c r="G457" s="5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5"/>
      <c r="Z457" s="11"/>
      <c r="AA457" s="9"/>
      <c r="AB457" s="9"/>
      <c r="AC457" s="9"/>
      <c r="AD457" s="11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</row>
    <row r="458" spans="1:50" x14ac:dyDescent="0.25">
      <c r="A458" s="9"/>
      <c r="B458" s="9"/>
      <c r="C458" s="9"/>
      <c r="D458" s="9"/>
      <c r="E458" s="9"/>
      <c r="F458" s="9"/>
      <c r="G458" s="5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5"/>
      <c r="Z458" s="11"/>
      <c r="AA458" s="9"/>
      <c r="AB458" s="9"/>
      <c r="AC458" s="9"/>
      <c r="AD458" s="11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</row>
    <row r="459" spans="1:50" x14ac:dyDescent="0.25">
      <c r="A459" s="9"/>
      <c r="B459" s="9"/>
      <c r="C459" s="9"/>
      <c r="D459" s="9"/>
      <c r="E459" s="9"/>
      <c r="F459" s="9"/>
      <c r="G459" s="5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5"/>
      <c r="Z459" s="11"/>
      <c r="AA459" s="9"/>
      <c r="AB459" s="9"/>
      <c r="AC459" s="9"/>
      <c r="AD459" s="11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</row>
    <row r="460" spans="1:50" x14ac:dyDescent="0.25">
      <c r="A460" s="9"/>
      <c r="B460" s="9"/>
      <c r="C460" s="9"/>
      <c r="D460" s="9"/>
      <c r="E460" s="9"/>
      <c r="F460" s="9"/>
      <c r="G460" s="5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5"/>
      <c r="Z460" s="11"/>
      <c r="AA460" s="9"/>
      <c r="AB460" s="9"/>
      <c r="AC460" s="9"/>
      <c r="AD460" s="11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</row>
    <row r="461" spans="1:50" x14ac:dyDescent="0.25">
      <c r="A461" s="9"/>
      <c r="B461" s="9"/>
      <c r="C461" s="9"/>
      <c r="D461" s="9"/>
      <c r="E461" s="9"/>
      <c r="F461" s="9"/>
      <c r="G461" s="5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5"/>
      <c r="Z461" s="11"/>
      <c r="AA461" s="9"/>
      <c r="AB461" s="9"/>
      <c r="AC461" s="9"/>
      <c r="AD461" s="11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</row>
    <row r="462" spans="1:50" x14ac:dyDescent="0.25">
      <c r="A462" s="9"/>
      <c r="B462" s="9"/>
      <c r="C462" s="9"/>
      <c r="D462" s="9"/>
      <c r="E462" s="9"/>
      <c r="F462" s="9"/>
      <c r="G462" s="5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5"/>
      <c r="Z462" s="11"/>
      <c r="AA462" s="9"/>
      <c r="AB462" s="9"/>
      <c r="AC462" s="9"/>
      <c r="AD462" s="11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</row>
    <row r="463" spans="1:50" x14ac:dyDescent="0.25">
      <c r="A463" s="9"/>
      <c r="B463" s="9"/>
      <c r="C463" s="9"/>
      <c r="D463" s="9"/>
      <c r="E463" s="9"/>
      <c r="F463" s="9"/>
      <c r="G463" s="5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5"/>
      <c r="Z463" s="11"/>
      <c r="AA463" s="9"/>
      <c r="AB463" s="9"/>
      <c r="AC463" s="9"/>
      <c r="AD463" s="11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</row>
    <row r="464" spans="1:50" x14ac:dyDescent="0.25">
      <c r="A464" s="9"/>
      <c r="B464" s="9"/>
      <c r="C464" s="9"/>
      <c r="D464" s="9"/>
      <c r="E464" s="9"/>
      <c r="F464" s="9"/>
      <c r="G464" s="5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5"/>
      <c r="Z464" s="11"/>
      <c r="AA464" s="9"/>
      <c r="AB464" s="9"/>
      <c r="AC464" s="9"/>
      <c r="AD464" s="11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</row>
    <row r="465" spans="1:50" x14ac:dyDescent="0.25">
      <c r="A465" s="9"/>
      <c r="B465" s="9"/>
      <c r="C465" s="9"/>
      <c r="D465" s="9"/>
      <c r="E465" s="9"/>
      <c r="F465" s="9"/>
      <c r="G465" s="5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5"/>
      <c r="Z465" s="11"/>
      <c r="AA465" s="9"/>
      <c r="AB465" s="9"/>
      <c r="AC465" s="9"/>
      <c r="AD465" s="11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</row>
    <row r="466" spans="1:50" x14ac:dyDescent="0.25">
      <c r="A466" s="9"/>
      <c r="B466" s="9"/>
      <c r="C466" s="9"/>
      <c r="D466" s="9"/>
      <c r="E466" s="9"/>
      <c r="F466" s="9"/>
      <c r="G466" s="5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5"/>
      <c r="Z466" s="11"/>
      <c r="AA466" s="9"/>
      <c r="AB466" s="9"/>
      <c r="AC466" s="9"/>
      <c r="AD466" s="11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</row>
    <row r="467" spans="1:50" x14ac:dyDescent="0.25">
      <c r="A467" s="9"/>
      <c r="B467" s="9"/>
      <c r="C467" s="9"/>
      <c r="D467" s="9"/>
      <c r="E467" s="9"/>
      <c r="F467" s="9"/>
      <c r="G467" s="5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5"/>
      <c r="Z467" s="11"/>
      <c r="AA467" s="9"/>
      <c r="AB467" s="9"/>
      <c r="AC467" s="9"/>
      <c r="AD467" s="11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</row>
    <row r="468" spans="1:50" x14ac:dyDescent="0.25">
      <c r="A468" s="9"/>
      <c r="B468" s="9"/>
      <c r="C468" s="9"/>
      <c r="D468" s="9"/>
      <c r="E468" s="9"/>
      <c r="F468" s="9"/>
      <c r="G468" s="5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5"/>
      <c r="Z468" s="11"/>
      <c r="AA468" s="9"/>
      <c r="AB468" s="9"/>
      <c r="AC468" s="9"/>
      <c r="AD468" s="11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</row>
    <row r="469" spans="1:50" x14ac:dyDescent="0.25">
      <c r="A469" s="9"/>
      <c r="B469" s="9"/>
      <c r="C469" s="9"/>
      <c r="D469" s="9"/>
      <c r="E469" s="9"/>
      <c r="F469" s="9"/>
      <c r="G469" s="5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5"/>
      <c r="Z469" s="11"/>
      <c r="AA469" s="9"/>
      <c r="AB469" s="9"/>
      <c r="AC469" s="9"/>
      <c r="AD469" s="11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</row>
    <row r="470" spans="1:50" x14ac:dyDescent="0.25">
      <c r="A470" s="9"/>
      <c r="B470" s="9"/>
      <c r="C470" s="9"/>
      <c r="D470" s="9"/>
      <c r="E470" s="9"/>
      <c r="F470" s="9"/>
      <c r="G470" s="5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5"/>
      <c r="Z470" s="11"/>
      <c r="AA470" s="9"/>
      <c r="AB470" s="9"/>
      <c r="AC470" s="9"/>
      <c r="AD470" s="11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</row>
    <row r="471" spans="1:50" x14ac:dyDescent="0.25">
      <c r="A471" s="9"/>
      <c r="B471" s="9"/>
      <c r="C471" s="9"/>
      <c r="D471" s="9"/>
      <c r="E471" s="9"/>
      <c r="F471" s="9"/>
      <c r="G471" s="5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5"/>
      <c r="Z471" s="11"/>
      <c r="AA471" s="9"/>
      <c r="AB471" s="9"/>
      <c r="AC471" s="9"/>
      <c r="AD471" s="11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</row>
    <row r="472" spans="1:50" x14ac:dyDescent="0.25">
      <c r="A472" s="9"/>
      <c r="B472" s="9"/>
      <c r="C472" s="9"/>
      <c r="D472" s="9"/>
      <c r="E472" s="9"/>
      <c r="F472" s="9"/>
      <c r="G472" s="5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5"/>
      <c r="Z472" s="11"/>
      <c r="AA472" s="9"/>
      <c r="AB472" s="9"/>
      <c r="AC472" s="9"/>
      <c r="AD472" s="11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</row>
    <row r="473" spans="1:50" x14ac:dyDescent="0.25">
      <c r="A473" s="9"/>
      <c r="B473" s="9"/>
      <c r="C473" s="9"/>
      <c r="D473" s="9"/>
      <c r="E473" s="9"/>
      <c r="F473" s="9"/>
      <c r="G473" s="5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5"/>
      <c r="Z473" s="11"/>
      <c r="AA473" s="9"/>
      <c r="AB473" s="9"/>
      <c r="AC473" s="9"/>
      <c r="AD473" s="11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</row>
    <row r="474" spans="1:50" x14ac:dyDescent="0.25">
      <c r="A474" s="9"/>
      <c r="B474" s="9"/>
      <c r="C474" s="9"/>
      <c r="D474" s="9"/>
      <c r="E474" s="9"/>
      <c r="F474" s="9"/>
      <c r="G474" s="5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5"/>
      <c r="Z474" s="11"/>
      <c r="AA474" s="9"/>
      <c r="AB474" s="9"/>
      <c r="AC474" s="9"/>
      <c r="AD474" s="11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</row>
    <row r="475" spans="1:50" x14ac:dyDescent="0.25">
      <c r="A475" s="9"/>
      <c r="B475" s="9"/>
      <c r="C475" s="9"/>
      <c r="D475" s="9"/>
      <c r="E475" s="9"/>
      <c r="F475" s="9"/>
      <c r="G475" s="5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5"/>
      <c r="Z475" s="11"/>
      <c r="AA475" s="9"/>
      <c r="AB475" s="9"/>
      <c r="AC475" s="9"/>
      <c r="AD475" s="11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</row>
    <row r="476" spans="1:50" x14ac:dyDescent="0.25">
      <c r="A476" s="9"/>
      <c r="B476" s="9"/>
      <c r="C476" s="9"/>
      <c r="D476" s="9"/>
      <c r="E476" s="9"/>
      <c r="F476" s="9"/>
      <c r="G476" s="5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5"/>
      <c r="Z476" s="11"/>
      <c r="AA476" s="9"/>
      <c r="AB476" s="9"/>
      <c r="AC476" s="9"/>
      <c r="AD476" s="11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</row>
    <row r="477" spans="1:50" x14ac:dyDescent="0.25">
      <c r="A477" s="9"/>
      <c r="B477" s="9"/>
      <c r="C477" s="9"/>
      <c r="D477" s="9"/>
      <c r="E477" s="9"/>
      <c r="F477" s="9"/>
      <c r="G477" s="5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5"/>
      <c r="Z477" s="11"/>
      <c r="AA477" s="9"/>
      <c r="AB477" s="9"/>
      <c r="AC477" s="9"/>
      <c r="AD477" s="11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</row>
    <row r="478" spans="1:50" x14ac:dyDescent="0.25">
      <c r="A478" s="9"/>
      <c r="B478" s="9"/>
      <c r="C478" s="9"/>
      <c r="D478" s="9"/>
      <c r="E478" s="9"/>
      <c r="F478" s="9"/>
      <c r="G478" s="5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5"/>
      <c r="Z478" s="11"/>
      <c r="AA478" s="9"/>
      <c r="AB478" s="9"/>
      <c r="AC478" s="9"/>
      <c r="AD478" s="11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</row>
    <row r="479" spans="1:50" x14ac:dyDescent="0.25">
      <c r="A479" s="9"/>
      <c r="B479" s="9"/>
      <c r="C479" s="9"/>
      <c r="D479" s="9"/>
      <c r="E479" s="9"/>
      <c r="F479" s="9"/>
      <c r="G479" s="5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5"/>
      <c r="Z479" s="11"/>
      <c r="AA479" s="9"/>
      <c r="AB479" s="9"/>
      <c r="AC479" s="9"/>
      <c r="AD479" s="11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</row>
    <row r="480" spans="1:50" x14ac:dyDescent="0.25">
      <c r="A480" s="9"/>
      <c r="B480" s="9"/>
      <c r="C480" s="9"/>
      <c r="D480" s="9"/>
      <c r="E480" s="9"/>
      <c r="F480" s="9"/>
      <c r="G480" s="5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5"/>
      <c r="Z480" s="11"/>
      <c r="AA480" s="9"/>
      <c r="AB480" s="9"/>
      <c r="AC480" s="9"/>
      <c r="AD480" s="11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</row>
    <row r="481" spans="1:50" x14ac:dyDescent="0.25">
      <c r="A481" s="9"/>
      <c r="B481" s="9"/>
      <c r="C481" s="9"/>
      <c r="D481" s="9"/>
      <c r="E481" s="9"/>
      <c r="F481" s="9"/>
      <c r="G481" s="5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5"/>
      <c r="Z481" s="11"/>
      <c r="AA481" s="9"/>
      <c r="AB481" s="9"/>
      <c r="AC481" s="9"/>
      <c r="AD481" s="11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</row>
    <row r="482" spans="1:50" x14ac:dyDescent="0.25">
      <c r="A482" s="9"/>
      <c r="B482" s="9"/>
      <c r="C482" s="9"/>
      <c r="D482" s="9"/>
      <c r="E482" s="9"/>
      <c r="F482" s="9"/>
      <c r="G482" s="5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5"/>
      <c r="Z482" s="11"/>
      <c r="AA482" s="9"/>
      <c r="AB482" s="9"/>
      <c r="AC482" s="9"/>
      <c r="AD482" s="11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</row>
    <row r="483" spans="1:50" x14ac:dyDescent="0.25">
      <c r="A483" s="9"/>
      <c r="B483" s="9"/>
      <c r="C483" s="9"/>
      <c r="D483" s="9"/>
      <c r="E483" s="9"/>
      <c r="F483" s="9"/>
      <c r="G483" s="5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5"/>
      <c r="Z483" s="11"/>
      <c r="AA483" s="9"/>
      <c r="AB483" s="9"/>
      <c r="AC483" s="9"/>
      <c r="AD483" s="11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</row>
    <row r="484" spans="1:50" x14ac:dyDescent="0.25">
      <c r="A484" s="9"/>
      <c r="B484" s="9"/>
      <c r="C484" s="9"/>
      <c r="D484" s="9"/>
      <c r="E484" s="9"/>
      <c r="F484" s="9"/>
      <c r="G484" s="5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5"/>
      <c r="Z484" s="11"/>
      <c r="AA484" s="9"/>
      <c r="AB484" s="9"/>
      <c r="AC484" s="9"/>
      <c r="AD484" s="11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</row>
    <row r="485" spans="1:50" x14ac:dyDescent="0.25">
      <c r="A485" s="9"/>
      <c r="B485" s="9"/>
      <c r="C485" s="9"/>
      <c r="D485" s="9"/>
      <c r="E485" s="9"/>
      <c r="F485" s="9"/>
      <c r="G485" s="5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5"/>
      <c r="Z485" s="11"/>
      <c r="AA485" s="9"/>
      <c r="AB485" s="9"/>
      <c r="AC485" s="9"/>
      <c r="AD485" s="11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</row>
    <row r="486" spans="1:50" x14ac:dyDescent="0.25">
      <c r="A486" s="9"/>
      <c r="B486" s="9"/>
      <c r="C486" s="9"/>
      <c r="D486" s="9"/>
      <c r="E486" s="9"/>
      <c r="F486" s="9"/>
      <c r="G486" s="5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5"/>
      <c r="Z486" s="11"/>
      <c r="AA486" s="9"/>
      <c r="AB486" s="9"/>
      <c r="AC486" s="9"/>
      <c r="AD486" s="11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</row>
    <row r="487" spans="1:50" x14ac:dyDescent="0.25">
      <c r="A487" s="9"/>
      <c r="B487" s="9"/>
      <c r="C487" s="9"/>
      <c r="D487" s="9"/>
      <c r="E487" s="9"/>
      <c r="F487" s="9"/>
      <c r="G487" s="5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5"/>
      <c r="Z487" s="11"/>
      <c r="AA487" s="9"/>
      <c r="AB487" s="9"/>
      <c r="AC487" s="9"/>
      <c r="AD487" s="11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</row>
    <row r="488" spans="1:50" x14ac:dyDescent="0.25">
      <c r="A488" s="9"/>
      <c r="B488" s="9"/>
      <c r="C488" s="9"/>
      <c r="D488" s="9"/>
      <c r="E488" s="9"/>
      <c r="F488" s="9"/>
      <c r="G488" s="5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5"/>
      <c r="Z488" s="11"/>
      <c r="AA488" s="9"/>
      <c r="AB488" s="9"/>
      <c r="AC488" s="9"/>
      <c r="AD488" s="11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</row>
    <row r="489" spans="1:50" x14ac:dyDescent="0.25">
      <c r="A489" s="9"/>
      <c r="B489" s="9"/>
      <c r="C489" s="9"/>
      <c r="D489" s="9"/>
      <c r="E489" s="9"/>
      <c r="F489" s="9"/>
      <c r="G489" s="5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5"/>
      <c r="Z489" s="11"/>
      <c r="AA489" s="9"/>
      <c r="AB489" s="9"/>
      <c r="AC489" s="9"/>
      <c r="AD489" s="11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</row>
    <row r="490" spans="1:50" x14ac:dyDescent="0.25">
      <c r="A490" s="9"/>
      <c r="B490" s="9"/>
      <c r="C490" s="9"/>
      <c r="D490" s="9"/>
      <c r="E490" s="9"/>
      <c r="F490" s="9"/>
      <c r="G490" s="5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5"/>
      <c r="Z490" s="11"/>
      <c r="AA490" s="9"/>
      <c r="AB490" s="9"/>
      <c r="AC490" s="9"/>
      <c r="AD490" s="11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</row>
    <row r="491" spans="1:50" x14ac:dyDescent="0.25">
      <c r="A491" s="9"/>
      <c r="B491" s="9"/>
      <c r="C491" s="9"/>
      <c r="D491" s="9"/>
      <c r="E491" s="9"/>
      <c r="F491" s="9"/>
      <c r="G491" s="5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5"/>
      <c r="Z491" s="11"/>
      <c r="AA491" s="9"/>
      <c r="AB491" s="9"/>
      <c r="AC491" s="9"/>
      <c r="AD491" s="11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</row>
    <row r="492" spans="1:50" x14ac:dyDescent="0.25">
      <c r="A492" s="9"/>
      <c r="B492" s="9"/>
      <c r="C492" s="9"/>
      <c r="D492" s="9"/>
      <c r="E492" s="9"/>
      <c r="F492" s="9"/>
      <c r="G492" s="5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5"/>
      <c r="Z492" s="11"/>
      <c r="AA492" s="9"/>
      <c r="AB492" s="9"/>
      <c r="AC492" s="9"/>
      <c r="AD492" s="11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</row>
    <row r="493" spans="1:50" x14ac:dyDescent="0.25">
      <c r="A493" s="9"/>
      <c r="B493" s="9"/>
      <c r="C493" s="9"/>
      <c r="D493" s="9"/>
      <c r="E493" s="9"/>
      <c r="F493" s="9"/>
      <c r="G493" s="5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5"/>
      <c r="Z493" s="11"/>
      <c r="AA493" s="9"/>
      <c r="AB493" s="9"/>
      <c r="AC493" s="9"/>
      <c r="AD493" s="11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</row>
  </sheetData>
  <autoFilter ref="A3:AD7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2025-04-14T11:20:23Z</dcterms:created>
  <dcterms:modified xsi:type="dcterms:W3CDTF">2025-04-16T06:50:53Z</dcterms:modified>
</cp:coreProperties>
</file>