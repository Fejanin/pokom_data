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E040347F-F8EF-4E55-80E4-D84578EDAE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72" i="1" l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AD583" i="1" s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M516" i="1"/>
  <c r="Y516" i="1"/>
  <c r="BO515" i="1"/>
  <c r="BM515" i="1"/>
  <c r="Y515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P490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Y456" i="1"/>
  <c r="X456" i="1"/>
  <c r="BP455" i="1"/>
  <c r="BO455" i="1"/>
  <c r="BN455" i="1"/>
  <c r="BM455" i="1"/>
  <c r="Z455" i="1"/>
  <c r="Z456" i="1" s="1"/>
  <c r="Y455" i="1"/>
  <c r="AA583" i="1" s="1"/>
  <c r="P455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Z583" i="1" s="1"/>
  <c r="P449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Y439" i="1" s="1"/>
  <c r="P436" i="1"/>
  <c r="X433" i="1"/>
  <c r="X432" i="1"/>
  <c r="BO431" i="1"/>
  <c r="BM431" i="1"/>
  <c r="Y431" i="1"/>
  <c r="BP431" i="1" s="1"/>
  <c r="P431" i="1"/>
  <c r="BP430" i="1"/>
  <c r="BO430" i="1"/>
  <c r="BN430" i="1"/>
  <c r="BM430" i="1"/>
  <c r="Z430" i="1"/>
  <c r="Y430" i="1"/>
  <c r="Y432" i="1" s="1"/>
  <c r="P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X583" i="1" s="1"/>
  <c r="P417" i="1"/>
  <c r="X413" i="1"/>
  <c r="X412" i="1"/>
  <c r="BO411" i="1"/>
  <c r="BM411" i="1"/>
  <c r="Y411" i="1"/>
  <c r="Y412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Y408" i="1" s="1"/>
  <c r="P404" i="1"/>
  <c r="X402" i="1"/>
  <c r="Y401" i="1"/>
  <c r="X401" i="1"/>
  <c r="BP400" i="1"/>
  <c r="BO400" i="1"/>
  <c r="BN400" i="1"/>
  <c r="BM400" i="1"/>
  <c r="Z400" i="1"/>
  <c r="Z401" i="1" s="1"/>
  <c r="Y400" i="1"/>
  <c r="Y402" i="1" s="1"/>
  <c r="P400" i="1"/>
  <c r="X398" i="1"/>
  <c r="X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X389" i="1"/>
  <c r="Y388" i="1"/>
  <c r="X388" i="1"/>
  <c r="BP387" i="1"/>
  <c r="BO387" i="1"/>
  <c r="BN387" i="1"/>
  <c r="BM387" i="1"/>
  <c r="Z387" i="1"/>
  <c r="Z388" i="1" s="1"/>
  <c r="Y387" i="1"/>
  <c r="Y389" i="1" s="1"/>
  <c r="P387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Y385" i="1" s="1"/>
  <c r="P382" i="1"/>
  <c r="X380" i="1"/>
  <c r="X379" i="1"/>
  <c r="BO378" i="1"/>
  <c r="BM378" i="1"/>
  <c r="Y378" i="1"/>
  <c r="BP378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BP360" i="1" s="1"/>
  <c r="P360" i="1"/>
  <c r="BP359" i="1"/>
  <c r="BO359" i="1"/>
  <c r="BN359" i="1"/>
  <c r="BM359" i="1"/>
  <c r="Z359" i="1"/>
  <c r="Y359" i="1"/>
  <c r="Y363" i="1" s="1"/>
  <c r="P359" i="1"/>
  <c r="X357" i="1"/>
  <c r="Y356" i="1"/>
  <c r="X356" i="1"/>
  <c r="BP355" i="1"/>
  <c r="BO355" i="1"/>
  <c r="BN355" i="1"/>
  <c r="BM355" i="1"/>
  <c r="Z355" i="1"/>
  <c r="Z356" i="1" s="1"/>
  <c r="Y355" i="1"/>
  <c r="U583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BP341" i="1"/>
  <c r="BO341" i="1"/>
  <c r="BN341" i="1"/>
  <c r="BM341" i="1"/>
  <c r="Z341" i="1"/>
  <c r="Y341" i="1"/>
  <c r="Y346" i="1" s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Y317" i="1" s="1"/>
  <c r="P311" i="1"/>
  <c r="X308" i="1"/>
  <c r="X307" i="1"/>
  <c r="BO306" i="1"/>
  <c r="BM306" i="1"/>
  <c r="Y306" i="1"/>
  <c r="P306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X297" i="1"/>
  <c r="Y296" i="1"/>
  <c r="X296" i="1"/>
  <c r="BP295" i="1"/>
  <c r="BO295" i="1"/>
  <c r="BN295" i="1"/>
  <c r="BM295" i="1"/>
  <c r="Z295" i="1"/>
  <c r="Z296" i="1" s="1"/>
  <c r="Y295" i="1"/>
  <c r="Y297" i="1" s="1"/>
  <c r="P295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P583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Z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M583" i="1" s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Y267" i="1" s="1"/>
  <c r="P261" i="1"/>
  <c r="BP260" i="1"/>
  <c r="BO260" i="1"/>
  <c r="BN260" i="1"/>
  <c r="BM260" i="1"/>
  <c r="Z260" i="1"/>
  <c r="Y260" i="1"/>
  <c r="P260" i="1"/>
  <c r="X257" i="1"/>
  <c r="Y256" i="1"/>
  <c r="X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Y253" i="1"/>
  <c r="BP252" i="1"/>
  <c r="BO252" i="1"/>
  <c r="BN252" i="1"/>
  <c r="BM252" i="1"/>
  <c r="Z252" i="1"/>
  <c r="Y252" i="1"/>
  <c r="BP251" i="1"/>
  <c r="BO251" i="1"/>
  <c r="BN251" i="1"/>
  <c r="BM251" i="1"/>
  <c r="Z251" i="1"/>
  <c r="Z256" i="1" s="1"/>
  <c r="Y251" i="1"/>
  <c r="Y257" i="1" s="1"/>
  <c r="X249" i="1"/>
  <c r="X248" i="1"/>
  <c r="BO247" i="1"/>
  <c r="BM247" i="1"/>
  <c r="Y247" i="1"/>
  <c r="Y249" i="1" s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Y240" i="1" s="1"/>
  <c r="P232" i="1"/>
  <c r="BP231" i="1"/>
  <c r="BO231" i="1"/>
  <c r="BN231" i="1"/>
  <c r="BM231" i="1"/>
  <c r="Z231" i="1"/>
  <c r="Y231" i="1"/>
  <c r="P231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Y227" i="1" s="1"/>
  <c r="P225" i="1"/>
  <c r="X223" i="1"/>
  <c r="X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3" i="1" s="1"/>
  <c r="P213" i="1"/>
  <c r="X211" i="1"/>
  <c r="X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1" i="1" s="1"/>
  <c r="P203" i="1"/>
  <c r="BP202" i="1"/>
  <c r="BO202" i="1"/>
  <c r="BN202" i="1"/>
  <c r="BM202" i="1"/>
  <c r="Z202" i="1"/>
  <c r="Y202" i="1"/>
  <c r="Y210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BP192" i="1"/>
  <c r="BO192" i="1"/>
  <c r="BN192" i="1"/>
  <c r="BM192" i="1"/>
  <c r="Z192" i="1"/>
  <c r="Y192" i="1"/>
  <c r="P192" i="1"/>
  <c r="X189" i="1"/>
  <c r="Y188" i="1"/>
  <c r="X188" i="1"/>
  <c r="BP187" i="1"/>
  <c r="BO187" i="1"/>
  <c r="BN187" i="1"/>
  <c r="BM187" i="1"/>
  <c r="Z187" i="1"/>
  <c r="Z188" i="1" s="1"/>
  <c r="Y187" i="1"/>
  <c r="Y189" i="1" s="1"/>
  <c r="X185" i="1"/>
  <c r="X184" i="1"/>
  <c r="BO183" i="1"/>
  <c r="BM183" i="1"/>
  <c r="Y183" i="1"/>
  <c r="BP183" i="1" s="1"/>
  <c r="BO182" i="1"/>
  <c r="BM182" i="1"/>
  <c r="Y182" i="1"/>
  <c r="BP182" i="1" s="1"/>
  <c r="BO181" i="1"/>
  <c r="BM181" i="1"/>
  <c r="Y181" i="1"/>
  <c r="Y185" i="1" s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Y178" i="1" s="1"/>
  <c r="P170" i="1"/>
  <c r="BP169" i="1"/>
  <c r="BO169" i="1"/>
  <c r="BN169" i="1"/>
  <c r="BM169" i="1"/>
  <c r="Z169" i="1"/>
  <c r="Y169" i="1"/>
  <c r="Y179" i="1" s="1"/>
  <c r="P169" i="1"/>
  <c r="X167" i="1"/>
  <c r="Y166" i="1"/>
  <c r="X166" i="1"/>
  <c r="BP165" i="1"/>
  <c r="BO165" i="1"/>
  <c r="BN165" i="1"/>
  <c r="BM165" i="1"/>
  <c r="Z165" i="1"/>
  <c r="Z166" i="1" s="1"/>
  <c r="Y165" i="1"/>
  <c r="P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Y156" i="1" s="1"/>
  <c r="P154" i="1"/>
  <c r="BP153" i="1"/>
  <c r="BO153" i="1"/>
  <c r="BN153" i="1"/>
  <c r="BM153" i="1"/>
  <c r="Z153" i="1"/>
  <c r="Y153" i="1"/>
  <c r="Y157" i="1" s="1"/>
  <c r="P153" i="1"/>
  <c r="X151" i="1"/>
  <c r="Y150" i="1"/>
  <c r="X150" i="1"/>
  <c r="BP149" i="1"/>
  <c r="BO149" i="1"/>
  <c r="BN149" i="1"/>
  <c r="BM149" i="1"/>
  <c r="Z149" i="1"/>
  <c r="Z150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Y124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Y115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Y109" i="1" s="1"/>
  <c r="P105" i="1"/>
  <c r="BP104" i="1"/>
  <c r="BO104" i="1"/>
  <c r="BN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0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Y89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8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83" i="1" s="1"/>
  <c r="P37" i="1"/>
  <c r="X33" i="1"/>
  <c r="X32" i="1"/>
  <c r="BO31" i="1"/>
  <c r="BM31" i="1"/>
  <c r="Y31" i="1"/>
  <c r="Y33" i="1" s="1"/>
  <c r="P31" i="1"/>
  <c r="X29" i="1"/>
  <c r="X573" i="1" s="1"/>
  <c r="X28" i="1"/>
  <c r="X577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83" i="1"/>
  <c r="X574" i="1"/>
  <c r="X575" i="1"/>
  <c r="Z23" i="1"/>
  <c r="Z28" i="1" s="1"/>
  <c r="BN23" i="1"/>
  <c r="BP23" i="1"/>
  <c r="Z25" i="1"/>
  <c r="BN25" i="1"/>
  <c r="Z27" i="1"/>
  <c r="BN27" i="1"/>
  <c r="Y28" i="1"/>
  <c r="Z31" i="1"/>
  <c r="Z32" i="1" s="1"/>
  <c r="BN31" i="1"/>
  <c r="BP31" i="1"/>
  <c r="Y32" i="1"/>
  <c r="Z37" i="1"/>
  <c r="BN37" i="1"/>
  <c r="BP37" i="1"/>
  <c r="Z39" i="1"/>
  <c r="BN39" i="1"/>
  <c r="Y42" i="1"/>
  <c r="Y573" i="1" s="1"/>
  <c r="D583" i="1"/>
  <c r="Z50" i="1"/>
  <c r="Z55" i="1" s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Z74" i="1"/>
  <c r="BN74" i="1"/>
  <c r="Z76" i="1"/>
  <c r="BN76" i="1"/>
  <c r="Y77" i="1"/>
  <c r="Z80" i="1"/>
  <c r="Z82" i="1" s="1"/>
  <c r="BN80" i="1"/>
  <c r="BP80" i="1"/>
  <c r="Y83" i="1"/>
  <c r="E583" i="1"/>
  <c r="Z87" i="1"/>
  <c r="Z89" i="1" s="1"/>
  <c r="BN87" i="1"/>
  <c r="BP87" i="1"/>
  <c r="Y90" i="1"/>
  <c r="Z93" i="1"/>
  <c r="Z100" i="1" s="1"/>
  <c r="BN93" i="1"/>
  <c r="Z94" i="1"/>
  <c r="BN94" i="1"/>
  <c r="Z96" i="1"/>
  <c r="BN96" i="1"/>
  <c r="Z98" i="1"/>
  <c r="BN98" i="1"/>
  <c r="Y101" i="1"/>
  <c r="F583" i="1"/>
  <c r="Z105" i="1"/>
  <c r="Z108" i="1" s="1"/>
  <c r="BN105" i="1"/>
  <c r="BP105" i="1"/>
  <c r="Z107" i="1"/>
  <c r="BN107" i="1"/>
  <c r="Y108" i="1"/>
  <c r="Z111" i="1"/>
  <c r="BN111" i="1"/>
  <c r="BP111" i="1"/>
  <c r="Z113" i="1"/>
  <c r="BN113" i="1"/>
  <c r="Y114" i="1"/>
  <c r="Y125" i="1"/>
  <c r="BP120" i="1"/>
  <c r="BN120" i="1"/>
  <c r="Z120" i="1"/>
  <c r="BP128" i="1"/>
  <c r="BN128" i="1"/>
  <c r="Z128" i="1"/>
  <c r="Z129" i="1" s="1"/>
  <c r="Y130" i="1"/>
  <c r="G583" i="1"/>
  <c r="Y136" i="1"/>
  <c r="BP133" i="1"/>
  <c r="BN133" i="1"/>
  <c r="Z133" i="1"/>
  <c r="Z135" i="1" s="1"/>
  <c r="Y140" i="1"/>
  <c r="F9" i="1"/>
  <c r="J9" i="1"/>
  <c r="Y41" i="1"/>
  <c r="BP118" i="1"/>
  <c r="Y575" i="1" s="1"/>
  <c r="BN118" i="1"/>
  <c r="Z118" i="1"/>
  <c r="Z124" i="1" s="1"/>
  <c r="BP122" i="1"/>
  <c r="BN122" i="1"/>
  <c r="Y574" i="1" s="1"/>
  <c r="Y576" i="1" s="1"/>
  <c r="Z122" i="1"/>
  <c r="BP139" i="1"/>
  <c r="BN139" i="1"/>
  <c r="Z139" i="1"/>
  <c r="Z140" i="1" s="1"/>
  <c r="Y141" i="1"/>
  <c r="Y146" i="1"/>
  <c r="BP143" i="1"/>
  <c r="BN143" i="1"/>
  <c r="Z143" i="1"/>
  <c r="Z145" i="1" s="1"/>
  <c r="H583" i="1"/>
  <c r="Y151" i="1"/>
  <c r="Z154" i="1"/>
  <c r="Z156" i="1" s="1"/>
  <c r="BN154" i="1"/>
  <c r="BP154" i="1"/>
  <c r="I583" i="1"/>
  <c r="Y167" i="1"/>
  <c r="Z170" i="1"/>
  <c r="Z178" i="1" s="1"/>
  <c r="BN170" i="1"/>
  <c r="BP170" i="1"/>
  <c r="Z172" i="1"/>
  <c r="BN172" i="1"/>
  <c r="Z174" i="1"/>
  <c r="BN174" i="1"/>
  <c r="Z176" i="1"/>
  <c r="BN176" i="1"/>
  <c r="Z181" i="1"/>
  <c r="BN181" i="1"/>
  <c r="BP181" i="1"/>
  <c r="Z182" i="1"/>
  <c r="BN182" i="1"/>
  <c r="Z183" i="1"/>
  <c r="BN183" i="1"/>
  <c r="Y184" i="1"/>
  <c r="J583" i="1"/>
  <c r="Z193" i="1"/>
  <c r="Z194" i="1" s="1"/>
  <c r="BN193" i="1"/>
  <c r="BP193" i="1"/>
  <c r="Y194" i="1"/>
  <c r="Z197" i="1"/>
  <c r="Z199" i="1" s="1"/>
  <c r="BN197" i="1"/>
  <c r="BP197" i="1"/>
  <c r="Y200" i="1"/>
  <c r="Z203" i="1"/>
  <c r="Z210" i="1" s="1"/>
  <c r="BN203" i="1"/>
  <c r="BP203" i="1"/>
  <c r="Z205" i="1"/>
  <c r="BN205" i="1"/>
  <c r="Z207" i="1"/>
  <c r="BN207" i="1"/>
  <c r="Z209" i="1"/>
  <c r="BN209" i="1"/>
  <c r="Z213" i="1"/>
  <c r="BN213" i="1"/>
  <c r="BP213" i="1"/>
  <c r="Z215" i="1"/>
  <c r="BN215" i="1"/>
  <c r="Z217" i="1"/>
  <c r="BN217" i="1"/>
  <c r="Z219" i="1"/>
  <c r="BN219" i="1"/>
  <c r="Z221" i="1"/>
  <c r="BN221" i="1"/>
  <c r="Y222" i="1"/>
  <c r="Z225" i="1"/>
  <c r="Z227" i="1" s="1"/>
  <c r="BN225" i="1"/>
  <c r="BP225" i="1"/>
  <c r="Y228" i="1"/>
  <c r="K583" i="1"/>
  <c r="Z232" i="1"/>
  <c r="Z239" i="1" s="1"/>
  <c r="BN232" i="1"/>
  <c r="BP232" i="1"/>
  <c r="Z234" i="1"/>
  <c r="BN234" i="1"/>
  <c r="Z236" i="1"/>
  <c r="BN236" i="1"/>
  <c r="Z238" i="1"/>
  <c r="BN238" i="1"/>
  <c r="Y239" i="1"/>
  <c r="Z242" i="1"/>
  <c r="Z244" i="1" s="1"/>
  <c r="BN242" i="1"/>
  <c r="BP242" i="1"/>
  <c r="Y245" i="1"/>
  <c r="Z247" i="1"/>
  <c r="Z248" i="1" s="1"/>
  <c r="BN247" i="1"/>
  <c r="BP247" i="1"/>
  <c r="Y248" i="1"/>
  <c r="L583" i="1"/>
  <c r="Z261" i="1"/>
  <c r="Z266" i="1" s="1"/>
  <c r="BN261" i="1"/>
  <c r="BP261" i="1"/>
  <c r="Z263" i="1"/>
  <c r="BN263" i="1"/>
  <c r="Z265" i="1"/>
  <c r="BN265" i="1"/>
  <c r="Y266" i="1"/>
  <c r="Z270" i="1"/>
  <c r="BN270" i="1"/>
  <c r="BP270" i="1"/>
  <c r="Z272" i="1"/>
  <c r="BN272" i="1"/>
  <c r="Z273" i="1"/>
  <c r="BN273" i="1"/>
  <c r="Y274" i="1"/>
  <c r="Z278" i="1"/>
  <c r="Z282" i="1" s="1"/>
  <c r="BN278" i="1"/>
  <c r="BP313" i="1"/>
  <c r="BN313" i="1"/>
  <c r="Z313" i="1"/>
  <c r="BP321" i="1"/>
  <c r="BN321" i="1"/>
  <c r="Z321" i="1"/>
  <c r="BP329" i="1"/>
  <c r="BN329" i="1"/>
  <c r="Z329" i="1"/>
  <c r="BP337" i="1"/>
  <c r="BN337" i="1"/>
  <c r="Z337" i="1"/>
  <c r="BP343" i="1"/>
  <c r="BN343" i="1"/>
  <c r="Z343" i="1"/>
  <c r="Z345" i="1" s="1"/>
  <c r="Y352" i="1"/>
  <c r="Y275" i="1"/>
  <c r="O583" i="1"/>
  <c r="Y283" i="1"/>
  <c r="BP280" i="1"/>
  <c r="BN280" i="1"/>
  <c r="Y282" i="1"/>
  <c r="BP301" i="1"/>
  <c r="BN301" i="1"/>
  <c r="Z301" i="1"/>
  <c r="Z302" i="1" s="1"/>
  <c r="Y303" i="1"/>
  <c r="S583" i="1"/>
  <c r="Y307" i="1"/>
  <c r="BP306" i="1"/>
  <c r="BN306" i="1"/>
  <c r="Z306" i="1"/>
  <c r="Z307" i="1" s="1"/>
  <c r="Y308" i="1"/>
  <c r="T583" i="1"/>
  <c r="Y318" i="1"/>
  <c r="BP311" i="1"/>
  <c r="BN311" i="1"/>
  <c r="Z311" i="1"/>
  <c r="Z317" i="1" s="1"/>
  <c r="BP315" i="1"/>
  <c r="BN315" i="1"/>
  <c r="Z315" i="1"/>
  <c r="BP323" i="1"/>
  <c r="BN323" i="1"/>
  <c r="Z323" i="1"/>
  <c r="Y325" i="1"/>
  <c r="Y332" i="1"/>
  <c r="BP327" i="1"/>
  <c r="BN327" i="1"/>
  <c r="Z327" i="1"/>
  <c r="BP331" i="1"/>
  <c r="BN331" i="1"/>
  <c r="Z331" i="1"/>
  <c r="Y333" i="1"/>
  <c r="Y338" i="1"/>
  <c r="BP335" i="1"/>
  <c r="BN335" i="1"/>
  <c r="Z335" i="1"/>
  <c r="Z338" i="1" s="1"/>
  <c r="Z351" i="1"/>
  <c r="BP349" i="1"/>
  <c r="BN349" i="1"/>
  <c r="Z349" i="1"/>
  <c r="Y351" i="1"/>
  <c r="Y362" i="1"/>
  <c r="Y374" i="1"/>
  <c r="Y380" i="1"/>
  <c r="Y384" i="1"/>
  <c r="Y397" i="1"/>
  <c r="Y409" i="1"/>
  <c r="Y413" i="1"/>
  <c r="Y427" i="1"/>
  <c r="Y433" i="1"/>
  <c r="Y438" i="1"/>
  <c r="Y446" i="1"/>
  <c r="Y451" i="1"/>
  <c r="BP468" i="1"/>
  <c r="BN468" i="1"/>
  <c r="Z468" i="1"/>
  <c r="BP472" i="1"/>
  <c r="BN472" i="1"/>
  <c r="Z472" i="1"/>
  <c r="BP476" i="1"/>
  <c r="BN476" i="1"/>
  <c r="Z476" i="1"/>
  <c r="BP480" i="1"/>
  <c r="BN480" i="1"/>
  <c r="Z480" i="1"/>
  <c r="Y482" i="1"/>
  <c r="Y487" i="1"/>
  <c r="BP484" i="1"/>
  <c r="BN484" i="1"/>
  <c r="Z484" i="1"/>
  <c r="BP492" i="1"/>
  <c r="BN492" i="1"/>
  <c r="Z492" i="1"/>
  <c r="BP496" i="1"/>
  <c r="BN496" i="1"/>
  <c r="Z496" i="1"/>
  <c r="BP504" i="1"/>
  <c r="BN504" i="1"/>
  <c r="Z504" i="1"/>
  <c r="Y506" i="1"/>
  <c r="Y511" i="1"/>
  <c r="BP508" i="1"/>
  <c r="BN508" i="1"/>
  <c r="Z508" i="1"/>
  <c r="Z510" i="1" s="1"/>
  <c r="BP516" i="1"/>
  <c r="BN516" i="1"/>
  <c r="Z516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Y555" i="1"/>
  <c r="BP552" i="1"/>
  <c r="BN552" i="1"/>
  <c r="Z552" i="1"/>
  <c r="Q583" i="1"/>
  <c r="Y583" i="1"/>
  <c r="Y288" i="1"/>
  <c r="R583" i="1"/>
  <c r="Y302" i="1"/>
  <c r="Y357" i="1"/>
  <c r="Z360" i="1"/>
  <c r="Z362" i="1" s="1"/>
  <c r="BN360" i="1"/>
  <c r="V583" i="1"/>
  <c r="Z368" i="1"/>
  <c r="Z374" i="1" s="1"/>
  <c r="BN368" i="1"/>
  <c r="Z370" i="1"/>
  <c r="BN370" i="1"/>
  <c r="Z372" i="1"/>
  <c r="BN372" i="1"/>
  <c r="Y375" i="1"/>
  <c r="Z378" i="1"/>
  <c r="Z379" i="1" s="1"/>
  <c r="BN378" i="1"/>
  <c r="Z382" i="1"/>
  <c r="Z384" i="1" s="1"/>
  <c r="BN382" i="1"/>
  <c r="BP382" i="1"/>
  <c r="W583" i="1"/>
  <c r="Z393" i="1"/>
  <c r="Z397" i="1" s="1"/>
  <c r="BN393" i="1"/>
  <c r="Z395" i="1"/>
  <c r="BN395" i="1"/>
  <c r="Y398" i="1"/>
  <c r="Z405" i="1"/>
  <c r="Z408" i="1" s="1"/>
  <c r="BN405" i="1"/>
  <c r="Z407" i="1"/>
  <c r="BN407" i="1"/>
  <c r="Z411" i="1"/>
  <c r="Z412" i="1" s="1"/>
  <c r="BN411" i="1"/>
  <c r="BP411" i="1"/>
  <c r="Z417" i="1"/>
  <c r="Z427" i="1" s="1"/>
  <c r="BN417" i="1"/>
  <c r="BP417" i="1"/>
  <c r="Z419" i="1"/>
  <c r="BN419" i="1"/>
  <c r="Z421" i="1"/>
  <c r="BN421" i="1"/>
  <c r="Z423" i="1"/>
  <c r="BN423" i="1"/>
  <c r="Z425" i="1"/>
  <c r="BN425" i="1"/>
  <c r="Y428" i="1"/>
  <c r="Z431" i="1"/>
  <c r="Z432" i="1" s="1"/>
  <c r="BN431" i="1"/>
  <c r="Z436" i="1"/>
  <c r="Z438" i="1" s="1"/>
  <c r="BN436" i="1"/>
  <c r="BP436" i="1"/>
  <c r="Z442" i="1"/>
  <c r="Z445" i="1" s="1"/>
  <c r="BN442" i="1"/>
  <c r="Z444" i="1"/>
  <c r="BN444" i="1"/>
  <c r="Z449" i="1"/>
  <c r="Z451" i="1" s="1"/>
  <c r="BN449" i="1"/>
  <c r="BP449" i="1"/>
  <c r="Y452" i="1"/>
  <c r="Y457" i="1"/>
  <c r="BP466" i="1"/>
  <c r="BN466" i="1"/>
  <c r="Z466" i="1"/>
  <c r="BP470" i="1"/>
  <c r="BN470" i="1"/>
  <c r="Z470" i="1"/>
  <c r="BP474" i="1"/>
  <c r="BN474" i="1"/>
  <c r="Z474" i="1"/>
  <c r="BP478" i="1"/>
  <c r="BN478" i="1"/>
  <c r="Z478" i="1"/>
  <c r="BP486" i="1"/>
  <c r="BN486" i="1"/>
  <c r="Z486" i="1"/>
  <c r="Y488" i="1"/>
  <c r="Y499" i="1"/>
  <c r="BP490" i="1"/>
  <c r="BN490" i="1"/>
  <c r="Z490" i="1"/>
  <c r="BP494" i="1"/>
  <c r="BN494" i="1"/>
  <c r="Z494" i="1"/>
  <c r="BP498" i="1"/>
  <c r="BN498" i="1"/>
  <c r="Z498" i="1"/>
  <c r="Y500" i="1"/>
  <c r="Y505" i="1"/>
  <c r="BP502" i="1"/>
  <c r="BN502" i="1"/>
  <c r="Z502" i="1"/>
  <c r="Z505" i="1" s="1"/>
  <c r="Y510" i="1"/>
  <c r="Y521" i="1"/>
  <c r="BP515" i="1"/>
  <c r="BN515" i="1"/>
  <c r="Z515" i="1"/>
  <c r="AC583" i="1"/>
  <c r="AB583" i="1"/>
  <c r="Y481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Y560" i="1"/>
  <c r="Z521" i="1" l="1"/>
  <c r="Z499" i="1"/>
  <c r="Z554" i="1"/>
  <c r="Z539" i="1"/>
  <c r="Z487" i="1"/>
  <c r="Z332" i="1"/>
  <c r="Z324" i="1"/>
  <c r="Z114" i="1"/>
  <c r="Z41" i="1"/>
  <c r="Z578" i="1" s="1"/>
  <c r="X576" i="1"/>
  <c r="Z481" i="1"/>
  <c r="Z274" i="1"/>
  <c r="Z222" i="1"/>
  <c r="Z184" i="1"/>
  <c r="Z62" i="1"/>
  <c r="Y577" i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<sst xmlns="http://schemas.openxmlformats.org/spreadsheetml/2006/main" count="2613" uniqueCount="938">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</sst>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66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0</v>
      </c>
      <c r="Y37" s="642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0</v>
      </c>
      <c r="Y41" s="643">
        <f>IFERROR(Y37/H37,"0")+IFERROR(Y38/H38,"0")+IFERROR(Y39/H39,"0")+IFERROR(Y40/H40,"0")</f>
        <v>0</v>
      </c>
      <c r="Z41" s="643">
        <f>IFERROR(IF(Z37="",0,Z37),"0")+IFERROR(IF(Z38="",0,Z38),"0")+IFERROR(IF(Z39="",0,Z39),"0")+IFERROR(IF(Z40="",0,Z40),"0")</f>
        <v>0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0</v>
      </c>
      <c r="Y42" s="643">
        <f>IFERROR(SUM(Y37:Y40),"0")</f>
        <v>0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0</v>
      </c>
      <c r="Y49" s="642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0</v>
      </c>
      <c r="Y50" s="642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0</v>
      </c>
      <c r="Y52" s="642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0</v>
      </c>
      <c r="Y55" s="643">
        <f>IFERROR(Y49/H49,"0")+IFERROR(Y50/H50,"0")+IFERROR(Y51/H51,"0")+IFERROR(Y52/H52,"0")+IFERROR(Y53/H53,"0")+IFERROR(Y54/H54,"0")</f>
        <v>0</v>
      </c>
      <c r="Z55" s="643">
        <f>IFERROR(IF(Z49="",0,Z49),"0")+IFERROR(IF(Z50="",0,Z50),"0")+IFERROR(IF(Z51="",0,Z51),"0")+IFERROR(IF(Z52="",0,Z52),"0")+IFERROR(IF(Z53="",0,Z53),"0")+IFERROR(IF(Z54="",0,Z54),"0")</f>
        <v>0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0</v>
      </c>
      <c r="Y56" s="643">
        <f>IFERROR(SUM(Y49:Y54),"0")</f>
        <v>0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0</v>
      </c>
      <c r="Y58" s="642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0</v>
      </c>
      <c r="Y62" s="643">
        <f>IFERROR(Y58/H58,"0")+IFERROR(Y59/H59,"0")+IFERROR(Y60/H60,"0")+IFERROR(Y61/H61,"0")</f>
        <v>0</v>
      </c>
      <c r="Z62" s="643">
        <f>IFERROR(IF(Z58="",0,Z58),"0")+IFERROR(IF(Z59="",0,Z59),"0")+IFERROR(IF(Z60="",0,Z60),"0")+IFERROR(IF(Z61="",0,Z61),"0")</f>
        <v>0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0</v>
      </c>
      <c r="Y63" s="643">
        <f>IFERROR(SUM(Y58:Y61),"0")</f>
        <v>0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0</v>
      </c>
      <c r="Y66" s="6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0</v>
      </c>
      <c r="Y68" s="643">
        <f>IFERROR(Y65/H65,"0")+IFERROR(Y66/H66,"0")+IFERROR(Y67/H67,"0")</f>
        <v>0</v>
      </c>
      <c r="Z68" s="643">
        <f>IFERROR(IF(Z65="",0,Z65),"0")+IFERROR(IF(Z66="",0,Z66),"0")+IFERROR(IF(Z67="",0,Z67),"0")</f>
        <v>0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0</v>
      </c>
      <c r="Y69" s="643">
        <f>IFERROR(SUM(Y65:Y67),"0")</f>
        <v>0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0</v>
      </c>
      <c r="Y72" s="642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0</v>
      </c>
      <c r="Y77" s="643">
        <f>IFERROR(Y71/H71,"0")+IFERROR(Y72/H72,"0")+IFERROR(Y73/H73,"0")+IFERROR(Y74/H74,"0")+IFERROR(Y75/H75,"0")+IFERROR(Y76/H76,"0")</f>
        <v>0</v>
      </c>
      <c r="Z77" s="643">
        <f>IFERROR(IF(Z71="",0,Z71),"0")+IFERROR(IF(Z72="",0,Z72),"0")+IFERROR(IF(Z73="",0,Z73),"0")+IFERROR(IF(Z74="",0,Z74),"0")+IFERROR(IF(Z75="",0,Z75),"0")+IFERROR(IF(Z76="",0,Z76),"0")</f>
        <v>0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0</v>
      </c>
      <c r="Y78" s="643">
        <f>IFERROR(SUM(Y71:Y76),"0")</f>
        <v>0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0</v>
      </c>
      <c r="Y82" s="643">
        <f>IFERROR(Y80/H80,"0")+IFERROR(Y81/H81,"0")</f>
        <v>0</v>
      </c>
      <c r="Z82" s="643">
        <f>IFERROR(IF(Z80="",0,Z80),"0")+IFERROR(IF(Z81="",0,Z81),"0")</f>
        <v>0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0</v>
      </c>
      <c r="Y83" s="643">
        <f>IFERROR(SUM(Y80:Y81),"0")</f>
        <v>0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0</v>
      </c>
      <c r="Y86" s="6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0</v>
      </c>
      <c r="Y88" s="6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0</v>
      </c>
      <c r="Y89" s="643">
        <f>IFERROR(Y86/H86,"0")+IFERROR(Y87/H87,"0")+IFERROR(Y88/H88,"0")</f>
        <v>0</v>
      </c>
      <c r="Z89" s="643">
        <f>IFERROR(IF(Z86="",0,Z86),"0")+IFERROR(IF(Z87="",0,Z87),"0")+IFERROR(IF(Z88="",0,Z88),"0")</f>
        <v>0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0</v>
      </c>
      <c r="Y90" s="643">
        <f>IFERROR(SUM(Y86:Y88),"0")</f>
        <v>0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0</v>
      </c>
      <c r="Y92" s="642">
        <f t="shared" ref="Y92:Y99" si="16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0</v>
      </c>
      <c r="BN92" s="64">
        <f t="shared" ref="BN92:BN99" si="18">IFERROR(Y92*I92/H92,"0")</f>
        <v>0</v>
      </c>
      <c r="BO92" s="64">
        <f t="shared" ref="BO92:BO99" si="19">IFERROR(1/J92*(X92/H92),"0")</f>
        <v>0</v>
      </c>
      <c r="BP92" s="64">
        <f t="shared" ref="BP92:BP99" si="20">IFERROR(1/J92*(Y92/H92),"0")</f>
        <v>0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0</v>
      </c>
      <c r="Y96" s="642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0</v>
      </c>
      <c r="Y100" s="643">
        <f>IFERROR(Y92/H92,"0")+IFERROR(Y93/H93,"0")+IFERROR(Y94/H94,"0")+IFERROR(Y95/H95,"0")+IFERROR(Y96/H96,"0")+IFERROR(Y97/H97,"0")+IFERROR(Y98/H98,"0")+IFERROR(Y99/H99,"0")</f>
        <v>0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0</v>
      </c>
      <c r="Y101" s="643">
        <f>IFERROR(SUM(Y92:Y99),"0")</f>
        <v>0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0</v>
      </c>
      <c r="Y104" s="642">
        <f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0</v>
      </c>
      <c r="Y106" s="642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0</v>
      </c>
      <c r="Y108" s="643">
        <f>IFERROR(Y104/H104,"0")+IFERROR(Y105/H105,"0")+IFERROR(Y106/H106,"0")+IFERROR(Y107/H107,"0")</f>
        <v>0</v>
      </c>
      <c r="Z108" s="643">
        <f>IFERROR(IF(Z104="",0,Z104),"0")+IFERROR(IF(Z105="",0,Z105),"0")+IFERROR(IF(Z106="",0,Z106),"0")+IFERROR(IF(Z107="",0,Z107),"0")</f>
        <v>0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0</v>
      </c>
      <c r="Y109" s="643">
        <f>IFERROR(SUM(Y104:Y107),"0")</f>
        <v>0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0</v>
      </c>
      <c r="Y118" s="642">
        <f t="shared" si="21"/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0</v>
      </c>
      <c r="BN118" s="64">
        <f t="shared" si="23"/>
        <v>0</v>
      </c>
      <c r="BO118" s="64">
        <f t="shared" si="24"/>
        <v>0</v>
      </c>
      <c r="BP118" s="64">
        <f t="shared" si="25"/>
        <v>0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0</v>
      </c>
      <c r="Y124" s="643">
        <f>IFERROR(Y117/H117,"0")+IFERROR(Y118/H118,"0")+IFERROR(Y119/H119,"0")+IFERROR(Y120/H120,"0")+IFERROR(Y121/H121,"0")+IFERROR(Y122/H122,"0")+IFERROR(Y123/H123,"0")</f>
        <v>0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0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0</v>
      </c>
      <c r="Y125" s="643">
        <f>IFERROR(SUM(Y117:Y123),"0")</f>
        <v>0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IFERROR(IF(Y165=0,"",ROUNDUP(Y165/H165,0)*0.00502),"")</f>
        <v/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0</v>
      </c>
      <c r="Y166" s="643">
        <f>IFERROR(Y165/H165,"0")</f>
        <v>0</v>
      </c>
      <c r="Z166" s="643">
        <f>IFERROR(IF(Z165="",0,Z165),"0")</f>
        <v>0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0</v>
      </c>
      <c r="Y167" s="643">
        <f>IFERROR(SUM(Y165:Y165),"0")</f>
        <v>0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120</v>
      </c>
      <c r="Y169" s="642">
        <f t="shared" ref="Y169:Y177" si="26">IFERROR(IF(X169="",0,CEILING((X169/$H169),1)*$H169),"")</f>
        <v>121.80000000000001</v>
      </c>
      <c r="Z169" s="36">
        <f>IFERROR(IF(Y169=0,"",ROUNDUP(Y169/H169,0)*0.00902),"")</f>
        <v>0.26158000000000003</v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127.71428571428571</v>
      </c>
      <c r="BN169" s="64">
        <f t="shared" ref="BN169:BN177" si="28">IFERROR(Y169*I169/H169,"0")</f>
        <v>129.63</v>
      </c>
      <c r="BO169" s="64">
        <f t="shared" ref="BO169:BO177" si="29">IFERROR(1/J169*(X169/H169),"0")</f>
        <v>0.21645021645021645</v>
      </c>
      <c r="BP169" s="64">
        <f t="shared" ref="BP169:BP177" si="30">IFERROR(1/J169*(Y169/H169),"0")</f>
        <v>0.2196969696969697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20</v>
      </c>
      <c r="Y170" s="642">
        <f t="shared" si="26"/>
        <v>21</v>
      </c>
      <c r="Z170" s="36">
        <f>IFERROR(IF(Y170=0,"",ROUNDUP(Y170/H170,0)*0.00902),"")</f>
        <v>4.5100000000000001E-2</v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21.285714285714281</v>
      </c>
      <c r="BN170" s="64">
        <f t="shared" si="28"/>
        <v>22.349999999999998</v>
      </c>
      <c r="BO170" s="64">
        <f t="shared" si="29"/>
        <v>3.6075036075036072E-2</v>
      </c>
      <c r="BP170" s="64">
        <f t="shared" si="30"/>
        <v>3.787878787878788E-2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50</v>
      </c>
      <c r="Y171" s="642">
        <f t="shared" si="26"/>
        <v>50.400000000000006</v>
      </c>
      <c r="Z171" s="36">
        <f>IFERROR(IF(Y171=0,"",ROUNDUP(Y171/H171,0)*0.00902),"")</f>
        <v>0.10824</v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52.5</v>
      </c>
      <c r="BN171" s="64">
        <f t="shared" si="28"/>
        <v>52.920000000000009</v>
      </c>
      <c r="BO171" s="64">
        <f t="shared" si="29"/>
        <v>9.0187590187590191E-2</v>
      </c>
      <c r="BP171" s="64">
        <f t="shared" si="30"/>
        <v>9.0909090909090912E-2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0</v>
      </c>
      <c r="Y172" s="642">
        <f t="shared" si="26"/>
        <v>0</v>
      </c>
      <c r="Z172" s="36" t="str">
        <f>IFERROR(IF(Y172=0,"",ROUNDUP(Y172/H172,0)*0.00502),"")</f>
        <v/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0</v>
      </c>
      <c r="Y174" s="642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0</v>
      </c>
      <c r="Y175" s="642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45.238095238095234</v>
      </c>
      <c r="Y178" s="643">
        <f>IFERROR(Y169/H169,"0")+IFERROR(Y170/H170,"0")+IFERROR(Y171/H171,"0")+IFERROR(Y172/H172,"0")+IFERROR(Y173/H173,"0")+IFERROR(Y174/H174,"0")+IFERROR(Y175/H175,"0")+IFERROR(Y176/H176,"0")+IFERROR(Y177/H177,"0")</f>
        <v>46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0.41492000000000007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190</v>
      </c>
      <c r="Y179" s="643">
        <f>IFERROR(SUM(Y169:Y177),"0")</f>
        <v>193.20000000000002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50</v>
      </c>
      <c r="Y202" s="642">
        <f t="shared" ref="Y202:Y209" si="31">IFERROR(IF(X202="",0,CEILING((X202/$H202),1)*$H202),"")</f>
        <v>54</v>
      </c>
      <c r="Z202" s="36">
        <f>IFERROR(IF(Y202=0,"",ROUNDUP(Y202/H202,0)*0.00902),"")</f>
        <v>9.0200000000000002E-2</v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51.944444444444443</v>
      </c>
      <c r="BN202" s="64">
        <f t="shared" ref="BN202:BN209" si="33">IFERROR(Y202*I202/H202,"0")</f>
        <v>56.099999999999994</v>
      </c>
      <c r="BO202" s="64">
        <f t="shared" ref="BO202:BO209" si="34">IFERROR(1/J202*(X202/H202),"0")</f>
        <v>7.0145903479236812E-2</v>
      </c>
      <c r="BP202" s="64">
        <f t="shared" ref="BP202:BP209" si="35">IFERROR(1/J202*(Y202/H202),"0")</f>
        <v>7.575757575757576E-2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150</v>
      </c>
      <c r="Y203" s="642">
        <f t="shared" si="31"/>
        <v>151.20000000000002</v>
      </c>
      <c r="Z203" s="36">
        <f>IFERROR(IF(Y203=0,"",ROUNDUP(Y203/H203,0)*0.00902),"")</f>
        <v>0.25256000000000001</v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155.83333333333331</v>
      </c>
      <c r="BN203" s="64">
        <f t="shared" si="33"/>
        <v>157.08000000000001</v>
      </c>
      <c r="BO203" s="64">
        <f t="shared" si="34"/>
        <v>0.21043771043771042</v>
      </c>
      <c r="BP203" s="64">
        <f t="shared" si="35"/>
        <v>0.21212121212121213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100</v>
      </c>
      <c r="Y204" s="642">
        <f t="shared" si="31"/>
        <v>102.60000000000001</v>
      </c>
      <c r="Z204" s="36">
        <f>IFERROR(IF(Y204=0,"",ROUNDUP(Y204/H204,0)*0.00902),"")</f>
        <v>0.17138</v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103.88888888888889</v>
      </c>
      <c r="BN204" s="64">
        <f t="shared" si="33"/>
        <v>106.59000000000002</v>
      </c>
      <c r="BO204" s="64">
        <f t="shared" si="34"/>
        <v>0.14029180695847362</v>
      </c>
      <c r="BP204" s="64">
        <f t="shared" si="35"/>
        <v>0.14393939393939395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50</v>
      </c>
      <c r="Y205" s="642">
        <f t="shared" si="31"/>
        <v>54</v>
      </c>
      <c r="Z205" s="36">
        <f>IFERROR(IF(Y205=0,"",ROUNDUP(Y205/H205,0)*0.00902),"")</f>
        <v>9.0200000000000002E-2</v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51.944444444444443</v>
      </c>
      <c r="BN205" s="64">
        <f t="shared" si="33"/>
        <v>56.099999999999994</v>
      </c>
      <c r="BO205" s="64">
        <f t="shared" si="34"/>
        <v>7.0145903479236812E-2</v>
      </c>
      <c r="BP205" s="64">
        <f t="shared" si="35"/>
        <v>7.575757575757576E-2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0</v>
      </c>
      <c r="Y206" s="642">
        <f t="shared" si="31"/>
        <v>0</v>
      </c>
      <c r="Z206" s="36" t="str">
        <f>IFERROR(IF(Y206=0,"",ROUNDUP(Y206/H206,0)*0.00502),"")</f>
        <v/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64.81481481481481</v>
      </c>
      <c r="Y210" s="643">
        <f>IFERROR(Y202/H202,"0")+IFERROR(Y203/H203,"0")+IFERROR(Y204/H204,"0")+IFERROR(Y205/H205,"0")+IFERROR(Y206/H206,"0")+IFERROR(Y207/H207,"0")+IFERROR(Y208/H208,"0")+IFERROR(Y209/H209,"0")</f>
        <v>67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0.6043400000000001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350</v>
      </c>
      <c r="Y211" s="643">
        <f>IFERROR(SUM(Y202:Y209),"0")</f>
        <v>361.8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120</v>
      </c>
      <c r="Y213" s="642">
        <f t="shared" ref="Y213:Y221" si="36">IFERROR(IF(X213="",0,CEILING((X213/$H213),1)*$H213),"")</f>
        <v>121.5</v>
      </c>
      <c r="Z213" s="36">
        <f>IFERROR(IF(Y213=0,"",ROUNDUP(Y213/H213,0)*0.01898),"")</f>
        <v>0.28470000000000001</v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127.6888888888889</v>
      </c>
      <c r="BN213" s="64">
        <f t="shared" ref="BN213:BN221" si="38">IFERROR(Y213*I213/H213,"0")</f>
        <v>129.285</v>
      </c>
      <c r="BO213" s="64">
        <f t="shared" ref="BO213:BO221" si="39">IFERROR(1/J213*(X213/H213),"0")</f>
        <v>0.23148148148148148</v>
      </c>
      <c r="BP213" s="64">
        <f t="shared" ref="BP213:BP221" si="40">IFERROR(1/J213*(Y213/H213),"0")</f>
        <v>0.234375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30</v>
      </c>
      <c r="Y215" s="642">
        <f t="shared" si="36"/>
        <v>34.799999999999997</v>
      </c>
      <c r="Z215" s="36">
        <f>IFERROR(IF(Y215=0,"",ROUNDUP(Y215/H215,0)*0.01898),"")</f>
        <v>7.5920000000000001E-2</v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31.789655172413795</v>
      </c>
      <c r="BN215" s="64">
        <f t="shared" si="38"/>
        <v>36.875999999999998</v>
      </c>
      <c r="BO215" s="64">
        <f t="shared" si="39"/>
        <v>5.387931034482759E-2</v>
      </c>
      <c r="BP215" s="64">
        <f t="shared" si="40"/>
        <v>6.25E-2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72</v>
      </c>
      <c r="Y216" s="642">
        <f t="shared" si="36"/>
        <v>72</v>
      </c>
      <c r="Z216" s="36">
        <f t="shared" ref="Z216:Z221" si="41">IFERROR(IF(Y216=0,"",ROUNDUP(Y216/H216,0)*0.00651),"")</f>
        <v>0.1953</v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80.100000000000009</v>
      </c>
      <c r="BN216" s="64">
        <f t="shared" si="38"/>
        <v>80.100000000000009</v>
      </c>
      <c r="BO216" s="64">
        <f t="shared" si="39"/>
        <v>0.16483516483516486</v>
      </c>
      <c r="BP216" s="64">
        <f t="shared" si="40"/>
        <v>0.16483516483516486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72</v>
      </c>
      <c r="Y218" s="642">
        <f t="shared" si="36"/>
        <v>72</v>
      </c>
      <c r="Z218" s="36">
        <f t="shared" si="41"/>
        <v>0.1953</v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79.560000000000016</v>
      </c>
      <c r="BN218" s="64">
        <f t="shared" si="38"/>
        <v>79.560000000000016</v>
      </c>
      <c r="BO218" s="64">
        <f t="shared" si="39"/>
        <v>0.16483516483516486</v>
      </c>
      <c r="BP218" s="64">
        <f t="shared" si="40"/>
        <v>0.16483516483516486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0</v>
      </c>
      <c r="Y219" s="642">
        <f t="shared" si="36"/>
        <v>0</v>
      </c>
      <c r="Z219" s="36" t="str">
        <f t="shared" si="41"/>
        <v/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156</v>
      </c>
      <c r="Y220" s="642">
        <f t="shared" si="36"/>
        <v>156</v>
      </c>
      <c r="Z220" s="36">
        <f t="shared" si="41"/>
        <v>0.42315000000000003</v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172.38000000000002</v>
      </c>
      <c r="BN220" s="64">
        <f t="shared" si="38"/>
        <v>172.38000000000002</v>
      </c>
      <c r="BO220" s="64">
        <f t="shared" si="39"/>
        <v>0.35714285714285715</v>
      </c>
      <c r="BP220" s="64">
        <f t="shared" si="40"/>
        <v>0.35714285714285715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168</v>
      </c>
      <c r="Y221" s="642">
        <f t="shared" si="36"/>
        <v>168</v>
      </c>
      <c r="Z221" s="36">
        <f t="shared" si="41"/>
        <v>0.45569999999999999</v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186.06</v>
      </c>
      <c r="BN221" s="64">
        <f t="shared" si="38"/>
        <v>186.06</v>
      </c>
      <c r="BO221" s="64">
        <f t="shared" si="39"/>
        <v>0.38461538461538464</v>
      </c>
      <c r="BP221" s="64">
        <f t="shared" si="40"/>
        <v>0.38461538461538464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213.26309067688379</v>
      </c>
      <c r="Y222" s="643">
        <f>IFERROR(Y213/H213,"0")+IFERROR(Y214/H214,"0")+IFERROR(Y215/H215,"0")+IFERROR(Y216/H216,"0")+IFERROR(Y217/H217,"0")+IFERROR(Y218/H218,"0")+IFERROR(Y219/H219,"0")+IFERROR(Y220/H220,"0")+IFERROR(Y221/H221,"0")</f>
        <v>214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1.6300700000000001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618</v>
      </c>
      <c r="Y223" s="643">
        <f>IFERROR(SUM(Y213:Y221),"0")</f>
        <v>624.29999999999995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14.4</v>
      </c>
      <c r="Y225" s="642">
        <f>IFERROR(IF(X225="",0,CEILING((X225/$H225),1)*$H225),"")</f>
        <v>14.399999999999999</v>
      </c>
      <c r="Z225" s="36">
        <f>IFERROR(IF(Y225=0,"",ROUNDUP(Y225/H225,0)*0.00651),"")</f>
        <v>3.9059999999999997E-2</v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15.912000000000001</v>
      </c>
      <c r="BN225" s="64">
        <f>IFERROR(Y225*I225/H225,"0")</f>
        <v>15.912000000000001</v>
      </c>
      <c r="BO225" s="64">
        <f>IFERROR(1/J225*(X225/H225),"0")</f>
        <v>3.2967032967032968E-2</v>
      </c>
      <c r="BP225" s="64">
        <f>IFERROR(1/J225*(Y225/H225),"0")</f>
        <v>3.2967032967032968E-2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14.4</v>
      </c>
      <c r="Y226" s="642">
        <f>IFERROR(IF(X226="",0,CEILING((X226/$H226),1)*$H226),"")</f>
        <v>14.399999999999999</v>
      </c>
      <c r="Z226" s="36">
        <f>IFERROR(IF(Y226=0,"",ROUNDUP(Y226/H226,0)*0.00651),"")</f>
        <v>3.9059999999999997E-2</v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15.912000000000001</v>
      </c>
      <c r="BN226" s="64">
        <f>IFERROR(Y226*I226/H226,"0")</f>
        <v>15.912000000000001</v>
      </c>
      <c r="BO226" s="64">
        <f>IFERROR(1/J226*(X226/H226),"0")</f>
        <v>3.2967032967032968E-2</v>
      </c>
      <c r="BP226" s="64">
        <f>IFERROR(1/J226*(Y226/H226),"0")</f>
        <v>3.2967032967032968E-2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12</v>
      </c>
      <c r="Y227" s="643">
        <f>IFERROR(Y225/H225,"0")+IFERROR(Y226/H226,"0")</f>
        <v>12</v>
      </c>
      <c r="Z227" s="643">
        <f>IFERROR(IF(Z225="",0,Z225),"0")+IFERROR(IF(Z226="",0,Z226),"0")</f>
        <v>7.8119999999999995E-2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28.8</v>
      </c>
      <c r="Y228" s="643">
        <f>IFERROR(SUM(Y225:Y226),"0")</f>
        <v>28.799999999999997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0</v>
      </c>
      <c r="Y279" s="6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0</v>
      </c>
      <c r="Y280" s="6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0</v>
      </c>
      <c r="Y282" s="643">
        <f>IFERROR(Y278/H278,"0")+IFERROR(Y279/H279,"0")+IFERROR(Y280/H280,"0")+IFERROR(Y281/H281,"0")</f>
        <v>0</v>
      </c>
      <c r="Z282" s="643">
        <f>IFERROR(IF(Z278="",0,Z278),"0")+IFERROR(IF(Z279="",0,Z279),"0")+IFERROR(IF(Z280="",0,Z280),"0")+IFERROR(IF(Z281="",0,Z281),"0")</f>
        <v>0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0</v>
      </c>
      <c r="Y283" s="643">
        <f>IFERROR(SUM(Y278:Y281),"0")</f>
        <v>0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80</v>
      </c>
      <c r="Y320" s="642">
        <f>IFERROR(IF(X320="",0,CEILING((X320/$H320),1)*$H320),"")</f>
        <v>84</v>
      </c>
      <c r="Z320" s="36">
        <f>IFERROR(IF(Y320=0,"",ROUNDUP(Y320/H320,0)*0.00902),"")</f>
        <v>0.1804</v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85.142857142857125</v>
      </c>
      <c r="BN320" s="64">
        <f>IFERROR(Y320*I320/H320,"0")</f>
        <v>89.399999999999991</v>
      </c>
      <c r="BO320" s="64">
        <f>IFERROR(1/J320*(X320/H320),"0")</f>
        <v>0.14430014430014429</v>
      </c>
      <c r="BP320" s="64">
        <f>IFERROR(1/J320*(Y320/H320),"0")</f>
        <v>0.15151515151515152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19.047619047619047</v>
      </c>
      <c r="Y324" s="643">
        <f>IFERROR(Y320/H320,"0")+IFERROR(Y321/H321,"0")+IFERROR(Y322/H322,"0")+IFERROR(Y323/H323,"0")</f>
        <v>20</v>
      </c>
      <c r="Z324" s="643">
        <f>IFERROR(IF(Z320="",0,Z320),"0")+IFERROR(IF(Z321="",0,Z321),"0")+IFERROR(IF(Z322="",0,Z322),"0")+IFERROR(IF(Z323="",0,Z323),"0")</f>
        <v>0.1804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80</v>
      </c>
      <c r="Y325" s="643">
        <f>IFERROR(SUM(Y320:Y323),"0")</f>
        <v>84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40</v>
      </c>
      <c r="Y335" s="642">
        <f>IFERROR(IF(X335="",0,CEILING((X335/$H335),1)*$H335),"")</f>
        <v>42</v>
      </c>
      <c r="Z335" s="36">
        <f>IFERROR(IF(Y335=0,"",ROUNDUP(Y335/H335,0)*0.01898),"")</f>
        <v>9.4899999999999998E-2</v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42.471428571428568</v>
      </c>
      <c r="BN335" s="64">
        <f>IFERROR(Y335*I335/H335,"0")</f>
        <v>44.594999999999999</v>
      </c>
      <c r="BO335" s="64">
        <f>IFERROR(1/J335*(X335/H335),"0")</f>
        <v>7.4404761904761904E-2</v>
      </c>
      <c r="BP335" s="64">
        <f>IFERROR(1/J335*(Y335/H335),"0")</f>
        <v>7.8125E-2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40</v>
      </c>
      <c r="Y336" s="642">
        <f>IFERROR(IF(X336="",0,CEILING((X336/$H336),1)*$H336),"")</f>
        <v>46.8</v>
      </c>
      <c r="Z336" s="36">
        <f>IFERROR(IF(Y336=0,"",ROUNDUP(Y336/H336,0)*0.01898),"")</f>
        <v>0.11388000000000001</v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42.66153846153847</v>
      </c>
      <c r="BN336" s="64">
        <f>IFERROR(Y336*I336/H336,"0")</f>
        <v>49.914000000000001</v>
      </c>
      <c r="BO336" s="64">
        <f>IFERROR(1/J336*(X336/H336),"0")</f>
        <v>8.0128205128205135E-2</v>
      </c>
      <c r="BP336" s="64">
        <f>IFERROR(1/J336*(Y336/H336),"0")</f>
        <v>9.375E-2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9.8901098901098905</v>
      </c>
      <c r="Y338" s="643">
        <f>IFERROR(Y335/H335,"0")+IFERROR(Y336/H336,"0")+IFERROR(Y337/H337,"0")</f>
        <v>11</v>
      </c>
      <c r="Z338" s="643">
        <f>IFERROR(IF(Z335="",0,Z335),"0")+IFERROR(IF(Z336="",0,Z336),"0")+IFERROR(IF(Z337="",0,Z337),"0")</f>
        <v>0.20878000000000002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80</v>
      </c>
      <c r="Y339" s="643">
        <f>IFERROR(SUM(Y335:Y337),"0")</f>
        <v>88.8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0</v>
      </c>
      <c r="Y341" s="642">
        <f>IFERROR(IF(X341="",0,CEILING((X341/$H341),1)*$H341),"")</f>
        <v>0</v>
      </c>
      <c r="Z341" s="36" t="str">
        <f>IFERROR(IF(Y341=0,"",ROUNDUP(Y341/H341,0)*0.00753),"")</f>
        <v/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0</v>
      </c>
      <c r="Y345" s="643">
        <f>IFERROR(Y341/H341,"0")+IFERROR(Y342/H342,"0")+IFERROR(Y343/H343,"0")+IFERROR(Y344/H344,"0")</f>
        <v>0</v>
      </c>
      <c r="Z345" s="643">
        <f>IFERROR(IF(Z341="",0,Z341),"0")+IFERROR(IF(Z342="",0,Z342),"0")+IFERROR(IF(Z343="",0,Z343),"0")+IFERROR(IF(Z344="",0,Z344),"0")</f>
        <v>0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0</v>
      </c>
      <c r="Y346" s="643">
        <f>IFERROR(SUM(Y341:Y344),"0")</f>
        <v>0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1000</v>
      </c>
      <c r="Y367" s="642">
        <f t="shared" ref="Y367:Y373" si="57">IFERROR(IF(X367="",0,CEILING((X367/$H367),1)*$H367),"")</f>
        <v>1005</v>
      </c>
      <c r="Z367" s="36">
        <f>IFERROR(IF(Y367=0,"",ROUNDUP(Y367/H367,0)*0.02175),"")</f>
        <v>1.4572499999999999</v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1032</v>
      </c>
      <c r="BN367" s="64">
        <f t="shared" ref="BN367:BN373" si="59">IFERROR(Y367*I367/H367,"0")</f>
        <v>1037.1600000000001</v>
      </c>
      <c r="BO367" s="64">
        <f t="shared" ref="BO367:BO373" si="60">IFERROR(1/J367*(X367/H367),"0")</f>
        <v>1.3888888888888888</v>
      </c>
      <c r="BP367" s="64">
        <f t="shared" ref="BP367:BP373" si="61">IFERROR(1/J367*(Y367/H367),"0")</f>
        <v>1.3958333333333333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500</v>
      </c>
      <c r="Y368" s="642">
        <f t="shared" si="57"/>
        <v>510</v>
      </c>
      <c r="Z368" s="36">
        <f>IFERROR(IF(Y368=0,"",ROUNDUP(Y368/H368,0)*0.02175),"")</f>
        <v>0.73949999999999994</v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516</v>
      </c>
      <c r="BN368" s="64">
        <f t="shared" si="59"/>
        <v>526.32000000000005</v>
      </c>
      <c r="BO368" s="64">
        <f t="shared" si="60"/>
        <v>0.69444444444444442</v>
      </c>
      <c r="BP368" s="64">
        <f t="shared" si="61"/>
        <v>0.70833333333333326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0</v>
      </c>
      <c r="Y369" s="642">
        <f t="shared" si="57"/>
        <v>0</v>
      </c>
      <c r="Z369" s="36" t="str">
        <f>IFERROR(IF(Y369=0,"",ROUNDUP(Y369/H369,0)*0.02175),"")</f>
        <v/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0</v>
      </c>
      <c r="BN369" s="64">
        <f t="shared" si="59"/>
        <v>0</v>
      </c>
      <c r="BO369" s="64">
        <f t="shared" si="60"/>
        <v>0</v>
      </c>
      <c r="BP369" s="64">
        <f t="shared" si="61"/>
        <v>0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500</v>
      </c>
      <c r="Y370" s="642">
        <f t="shared" si="57"/>
        <v>510</v>
      </c>
      <c r="Z370" s="36">
        <f>IFERROR(IF(Y370=0,"",ROUNDUP(Y370/H370,0)*0.02175),"")</f>
        <v>0.73949999999999994</v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516</v>
      </c>
      <c r="BN370" s="64">
        <f t="shared" si="59"/>
        <v>526.32000000000005</v>
      </c>
      <c r="BO370" s="64">
        <f t="shared" si="60"/>
        <v>0.69444444444444442</v>
      </c>
      <c r="BP370" s="64">
        <f t="shared" si="61"/>
        <v>0.70833333333333326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133.33333333333334</v>
      </c>
      <c r="Y374" s="643">
        <f>IFERROR(Y367/H367,"0")+IFERROR(Y368/H368,"0")+IFERROR(Y369/H369,"0")+IFERROR(Y370/H370,"0")+IFERROR(Y371/H371,"0")+IFERROR(Y372/H372,"0")+IFERROR(Y373/H373,"0")</f>
        <v>135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2.9362499999999998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2000</v>
      </c>
      <c r="Y375" s="643">
        <f>IFERROR(SUM(Y367:Y373),"0")</f>
        <v>2025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1000</v>
      </c>
      <c r="Y377" s="642">
        <f>IFERROR(IF(X377="",0,CEILING((X377/$H377),1)*$H377),"")</f>
        <v>1005</v>
      </c>
      <c r="Z377" s="36">
        <f>IFERROR(IF(Y377=0,"",ROUNDUP(Y377/H377,0)*0.02175),"")</f>
        <v>1.4572499999999999</v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1032</v>
      </c>
      <c r="BN377" s="64">
        <f>IFERROR(Y377*I377/H377,"0")</f>
        <v>1037.1600000000001</v>
      </c>
      <c r="BO377" s="64">
        <f>IFERROR(1/J377*(X377/H377),"0")</f>
        <v>1.3888888888888888</v>
      </c>
      <c r="BP377" s="64">
        <f>IFERROR(1/J377*(Y377/H377),"0")</f>
        <v>1.3958333333333333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66.666666666666671</v>
      </c>
      <c r="Y379" s="643">
        <f>IFERROR(Y377/H377,"0")+IFERROR(Y378/H378,"0")</f>
        <v>67</v>
      </c>
      <c r="Z379" s="643">
        <f>IFERROR(IF(Z377="",0,Z377),"0")+IFERROR(IF(Z378="",0,Z378),"0")</f>
        <v>1.4572499999999999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1000</v>
      </c>
      <c r="Y380" s="643">
        <f>IFERROR(SUM(Y377:Y378),"0")</f>
        <v>1005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50</v>
      </c>
      <c r="Y383" s="642">
        <f>IFERROR(IF(X383="",0,CEILING((X383/$H383),1)*$H383),"")</f>
        <v>54</v>
      </c>
      <c r="Z383" s="36">
        <f>IFERROR(IF(Y383=0,"",ROUNDUP(Y383/H383,0)*0.01898),"")</f>
        <v>0.11388000000000001</v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52.883333333333333</v>
      </c>
      <c r="BN383" s="64">
        <f>IFERROR(Y383*I383/H383,"0")</f>
        <v>57.113999999999997</v>
      </c>
      <c r="BO383" s="64">
        <f>IFERROR(1/J383*(X383/H383),"0")</f>
        <v>8.6805555555555552E-2</v>
      </c>
      <c r="BP383" s="64">
        <f>IFERROR(1/J383*(Y383/H383),"0")</f>
        <v>9.375E-2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5.5555555555555554</v>
      </c>
      <c r="Y384" s="643">
        <f>IFERROR(Y382/H382,"0")+IFERROR(Y383/H383,"0")</f>
        <v>6</v>
      </c>
      <c r="Z384" s="643">
        <f>IFERROR(IF(Z382="",0,Z382),"0")+IFERROR(IF(Z383="",0,Z383),"0")</f>
        <v>0.11388000000000001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50</v>
      </c>
      <c r="Y385" s="643">
        <f>IFERROR(SUM(Y382:Y383),"0")</f>
        <v>54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250</v>
      </c>
      <c r="Y387" s="642">
        <f>IFERROR(IF(X387="",0,CEILING((X387/$H387),1)*$H387),"")</f>
        <v>252</v>
      </c>
      <c r="Z387" s="36">
        <f>IFERROR(IF(Y387=0,"",ROUNDUP(Y387/H387,0)*0.01898),"")</f>
        <v>0.53144000000000002</v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264.41666666666669</v>
      </c>
      <c r="BN387" s="64">
        <f>IFERROR(Y387*I387/H387,"0")</f>
        <v>266.53199999999998</v>
      </c>
      <c r="BO387" s="64">
        <f>IFERROR(1/J387*(X387/H387),"0")</f>
        <v>0.43402777777777779</v>
      </c>
      <c r="BP387" s="64">
        <f>IFERROR(1/J387*(Y387/H387),"0")</f>
        <v>0.4375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27.777777777777779</v>
      </c>
      <c r="Y388" s="643">
        <f>IFERROR(Y387/H387,"0")</f>
        <v>28</v>
      </c>
      <c r="Z388" s="643">
        <f>IFERROR(IF(Z387="",0,Z387),"0")</f>
        <v>0.53144000000000002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250</v>
      </c>
      <c r="Y389" s="643">
        <f>IFERROR(SUM(Y387:Y387),"0")</f>
        <v>252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0</v>
      </c>
      <c r="Y408" s="643">
        <f>IFERROR(Y404/H404,"0")+IFERROR(Y405/H405,"0")+IFERROR(Y406/H406,"0")+IFERROR(Y407/H407,"0")</f>
        <v>0</v>
      </c>
      <c r="Z408" s="643">
        <f>IFERROR(IF(Z404="",0,Z404),"0")+IFERROR(IF(Z405="",0,Z405),"0")+IFERROR(IF(Z406="",0,Z406),"0")+IFERROR(IF(Z407="",0,Z407),"0")</f>
        <v>0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0</v>
      </c>
      <c r="Y409" s="643">
        <f>IFERROR(SUM(Y404:Y407),"0")</f>
        <v>0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0</v>
      </c>
      <c r="Y425" s="642">
        <f t="shared" si="62"/>
        <v>0</v>
      </c>
      <c r="Z425" s="36" t="str">
        <f t="shared" si="67"/>
        <v/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0</v>
      </c>
      <c r="BN425" s="64">
        <f t="shared" si="64"/>
        <v>0</v>
      </c>
      <c r="BO425" s="64">
        <f t="shared" si="65"/>
        <v>0</v>
      </c>
      <c r="BP425" s="64">
        <f t="shared" si="66"/>
        <v>0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8.3999999999999986</v>
      </c>
      <c r="Y426" s="642">
        <f t="shared" si="62"/>
        <v>8.4</v>
      </c>
      <c r="Z426" s="36">
        <f t="shared" si="67"/>
        <v>2.0080000000000001E-2</v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8.9199999999999982</v>
      </c>
      <c r="BN426" s="64">
        <f t="shared" si="64"/>
        <v>8.92</v>
      </c>
      <c r="BO426" s="64">
        <f t="shared" si="65"/>
        <v>1.7094017094017092E-2</v>
      </c>
      <c r="BP426" s="64">
        <f t="shared" si="66"/>
        <v>1.7094017094017096E-2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3.9999999999999991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4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2.0080000000000001E-2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8.3999999999999986</v>
      </c>
      <c r="Y428" s="643">
        <f>IFERROR(SUM(Y417:Y426),"0")</f>
        <v>8.4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0</v>
      </c>
      <c r="Y465" s="642">
        <f t="shared" ref="Y465:Y480" si="68">IFERROR(IF(X465="",0,CEILING((X465/$H465),1)*$H465),"")</f>
        <v>0</v>
      </c>
      <c r="Z465" s="36" t="str">
        <f t="shared" ref="Z465:Z470" si="69">IFERROR(IF(Y465=0,"",ROUNDUP(Y465/H465,0)*0.01196),"")</f>
        <v/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0</v>
      </c>
      <c r="BN465" s="64">
        <f t="shared" ref="BN465:BN480" si="71">IFERROR(Y465*I465/H465,"0")</f>
        <v>0</v>
      </c>
      <c r="BO465" s="64">
        <f t="shared" ref="BO465:BO480" si="72">IFERROR(1/J465*(X465/H465),"0")</f>
        <v>0</v>
      </c>
      <c r="BP465" s="64">
        <f t="shared" ref="BP465:BP480" si="73">IFERROR(1/J465*(Y465/H465),"0")</f>
        <v>0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100</v>
      </c>
      <c r="Y469" s="642">
        <f t="shared" si="68"/>
        <v>100.32000000000001</v>
      </c>
      <c r="Z469" s="36">
        <f t="shared" si="69"/>
        <v>0.22724</v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106.81818181818181</v>
      </c>
      <c r="BN469" s="64">
        <f t="shared" si="71"/>
        <v>107.16</v>
      </c>
      <c r="BO469" s="64">
        <f t="shared" si="72"/>
        <v>0.18210955710955709</v>
      </c>
      <c r="BP469" s="64">
        <f t="shared" si="73"/>
        <v>0.18269230769230771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18.939393939393938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19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0.22724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100</v>
      </c>
      <c r="Y482" s="643">
        <f>IFERROR(SUM(Y465:Y480),"0")</f>
        <v>100.32000000000001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100</v>
      </c>
      <c r="Y484" s="642">
        <f>IFERROR(IF(X484="",0,CEILING((X484/$H484),1)*$H484),"")</f>
        <v>100.32000000000001</v>
      </c>
      <c r="Z484" s="36">
        <f>IFERROR(IF(Y484=0,"",ROUNDUP(Y484/H484,0)*0.01196),"")</f>
        <v>0.22724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106.81818181818181</v>
      </c>
      <c r="BN484" s="64">
        <f>IFERROR(Y484*I484/H484,"0")</f>
        <v>107.16</v>
      </c>
      <c r="BO484" s="64">
        <f>IFERROR(1/J484*(X484/H484),"0")</f>
        <v>0.18210955710955709</v>
      </c>
      <c r="BP484" s="64">
        <f>IFERROR(1/J484*(Y484/H484),"0")</f>
        <v>0.18269230769230771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18.939393939393938</v>
      </c>
      <c r="Y487" s="643">
        <f>IFERROR(Y484/H484,"0")+IFERROR(Y485/H485,"0")+IFERROR(Y486/H486,"0")</f>
        <v>19</v>
      </c>
      <c r="Z487" s="643">
        <f>IFERROR(IF(Z484="",0,Z484),"0")+IFERROR(IF(Z485="",0,Z485),"0")+IFERROR(IF(Z486="",0,Z486),"0")</f>
        <v>0.22724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100</v>
      </c>
      <c r="Y488" s="643">
        <f>IFERROR(SUM(Y484:Y486),"0")</f>
        <v>100.32000000000001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0</v>
      </c>
      <c r="Y490" s="642">
        <f t="shared" ref="Y490:Y498" si="74">IFERROR(IF(X490="",0,CEILING((X490/$H490),1)*$H490),"")</f>
        <v>0</v>
      </c>
      <c r="Z490" s="36" t="str">
        <f>IFERROR(IF(Y490=0,"",ROUNDUP(Y490/H490,0)*0.01196),"")</f>
        <v/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0</v>
      </c>
      <c r="BN490" s="64">
        <f t="shared" ref="BN490:BN498" si="76">IFERROR(Y490*I490/H490,"0")</f>
        <v>0</v>
      </c>
      <c r="BO490" s="64">
        <f t="shared" ref="BO490:BO498" si="77">IFERROR(1/J490*(X490/H490),"0")</f>
        <v>0</v>
      </c>
      <c r="BP490" s="64">
        <f t="shared" ref="BP490:BP498" si="78">IFERROR(1/J490*(Y490/H490),"0")</f>
        <v>0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50</v>
      </c>
      <c r="Y491" s="642">
        <f t="shared" si="74"/>
        <v>52.800000000000004</v>
      </c>
      <c r="Z491" s="36">
        <f>IFERROR(IF(Y491=0,"",ROUNDUP(Y491/H491,0)*0.01196),"")</f>
        <v>0.1196</v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53.409090909090907</v>
      </c>
      <c r="BN491" s="64">
        <f t="shared" si="76"/>
        <v>56.400000000000006</v>
      </c>
      <c r="BO491" s="64">
        <f t="shared" si="77"/>
        <v>9.1054778554778545E-2</v>
      </c>
      <c r="BP491" s="64">
        <f t="shared" si="78"/>
        <v>9.6153846153846159E-2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0</v>
      </c>
      <c r="Y492" s="642">
        <f t="shared" si="74"/>
        <v>0</v>
      </c>
      <c r="Z492" s="36" t="str">
        <f>IFERROR(IF(Y492=0,"",ROUNDUP(Y492/H492,0)*0.01196),"")</f>
        <v/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0</v>
      </c>
      <c r="BN492" s="64">
        <f t="shared" si="76"/>
        <v>0</v>
      </c>
      <c r="BO492" s="64">
        <f t="shared" si="77"/>
        <v>0</v>
      </c>
      <c r="BP492" s="64">
        <f t="shared" si="78"/>
        <v>0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9.4696969696969688</v>
      </c>
      <c r="Y499" s="643">
        <f>IFERROR(Y490/H490,"0")+IFERROR(Y491/H491,"0")+IFERROR(Y492/H492,"0")+IFERROR(Y493/H493,"0")+IFERROR(Y494/H494,"0")+IFERROR(Y495/H495,"0")+IFERROR(Y496/H496,"0")+IFERROR(Y497/H497,"0")+IFERROR(Y498/H498,"0")</f>
        <v>10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0.1196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50</v>
      </c>
      <c r="Y500" s="643">
        <f>IFERROR(SUM(Y490:Y498),"0")</f>
        <v>52.800000000000004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100</v>
      </c>
      <c r="Y532" s="642">
        <f t="shared" ref="Y532:Y538" si="84">IFERROR(IF(X532="",0,CEILING((X532/$H532),1)*$H532),"")</f>
        <v>100.80000000000001</v>
      </c>
      <c r="Z532" s="36">
        <f>IFERROR(IF(Y532=0,"",ROUNDUP(Y532/H532,0)*0.00902),"")</f>
        <v>0.21648000000000001</v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106.42857142857143</v>
      </c>
      <c r="BN532" s="64">
        <f t="shared" ref="BN532:BN538" si="86">IFERROR(Y532*I532/H532,"0")</f>
        <v>107.28</v>
      </c>
      <c r="BO532" s="64">
        <f t="shared" ref="BO532:BO538" si="87">IFERROR(1/J532*(X532/H532),"0")</f>
        <v>0.18037518037518038</v>
      </c>
      <c r="BP532" s="64">
        <f t="shared" ref="BP532:BP538" si="88">IFERROR(1/J532*(Y532/H532),"0")</f>
        <v>0.18181818181818182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23.80952380952381</v>
      </c>
      <c r="Y539" s="643">
        <f>IFERROR(Y532/H532,"0")+IFERROR(Y533/H533,"0")+IFERROR(Y534/H534,"0")+IFERROR(Y535/H535,"0")+IFERROR(Y536/H536,"0")+IFERROR(Y537/H537,"0")+IFERROR(Y538/H538,"0")</f>
        <v>24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0.21648000000000001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100</v>
      </c>
      <c r="Y540" s="643">
        <f>IFERROR(SUM(Y532:Y538),"0")</f>
        <v>100.80000000000001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300</v>
      </c>
      <c r="Y542" s="642">
        <f>IFERROR(IF(X542="",0,CEILING((X542/$H542),1)*$H542),"")</f>
        <v>306</v>
      </c>
      <c r="Z542" s="36">
        <f>IFERROR(IF(Y542=0,"",ROUNDUP(Y542/H542,0)*0.01898),"")</f>
        <v>0.64532</v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317.29999999999995</v>
      </c>
      <c r="BN542" s="64">
        <f>IFERROR(Y542*I542/H542,"0")</f>
        <v>323.64599999999996</v>
      </c>
      <c r="BO542" s="64">
        <f>IFERROR(1/J542*(X542/H542),"0")</f>
        <v>0.52083333333333337</v>
      </c>
      <c r="BP542" s="64">
        <f>IFERROR(1/J542*(Y542/H542),"0")</f>
        <v>0.53125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33.333333333333336</v>
      </c>
      <c r="Y547" s="643">
        <f>IFERROR(Y542/H542,"0")+IFERROR(Y543/H543,"0")+IFERROR(Y544/H544,"0")+IFERROR(Y545/H545,"0")+IFERROR(Y546/H546,"0")</f>
        <v>34</v>
      </c>
      <c r="Z547" s="643">
        <f>IFERROR(IF(Z542="",0,Z542),"0")+IFERROR(IF(Z543="",0,Z543),"0")+IFERROR(IF(Z544="",0,Z544),"0")+IFERROR(IF(Z545="",0,Z545),"0")+IFERROR(IF(Z546="",0,Z546),"0")</f>
        <v>0.64532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300</v>
      </c>
      <c r="Y548" s="643">
        <f>IFERROR(SUM(Y542:Y546),"0")</f>
        <v>306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5305.2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5385.5399999999991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5557.7835053222643</v>
      </c>
      <c r="Y574" s="643">
        <f>IFERROR(SUM(BN22:BN570),"0")</f>
        <v>5641.9359999999997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9</v>
      </c>
      <c r="Y575" s="38">
        <f>ROUNDUP(SUM(BP22:BP570),0)</f>
        <v>9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5782.7835053222643</v>
      </c>
      <c r="Y576" s="643">
        <f>GrossWeightTotalR+PalletQtyTotalR*25</f>
        <v>5866.9359999999997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706.07840499219822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716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9.6114100000000011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0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0</v>
      </c>
      <c r="E583" s="46">
        <f>IFERROR(Y86*1,"0")+IFERROR(Y87*1,"0")+IFERROR(Y88*1,"0")+IFERROR(Y92*1,"0")+IFERROR(Y93*1,"0")+IFERROR(Y94*1,"0")+IFERROR(Y95*1,"0")+IFERROR(Y96*1,"0")+IFERROR(Y97*1,"0")+IFERROR(Y98*1,"0")+IFERROR(Y99*1,"0")</f>
        <v>0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0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193.20000000000002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1014.9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0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0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172.8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3336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0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8.4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253.44000000000003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406.8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