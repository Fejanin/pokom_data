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29,04,25 ПОКОМ Патяка\"/>
    </mc:Choice>
  </mc:AlternateContent>
  <xr:revisionPtr revIDLastSave="0" documentId="13_ncr:1_{AD89E8C9-F523-407F-9DA6-67BC535B69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F527" i="102" l="1"/>
  <c r="G123" i="102"/>
  <c r="F488" i="102" l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526" i="102"/>
  <c r="G4" i="102"/>
  <c r="G3" i="102" l="1"/>
  <c r="G356" i="102"/>
  <c r="G321" i="102"/>
  <c r="G266" i="102"/>
  <c r="G181" i="102"/>
  <c r="G343" i="102"/>
  <c r="G488" i="102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C526" i="102"/>
  <c r="AE504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8" i="102"/>
  <c r="AE497" i="102"/>
  <c r="AE496" i="102"/>
  <c r="AE495" i="102"/>
  <c r="AE494" i="102"/>
  <c r="AE526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3" i="102"/>
  <c r="AE502" i="102"/>
  <c r="AE501" i="102"/>
  <c r="AE500" i="102"/>
  <c r="AE499" i="102"/>
  <c r="AE493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527" i="102" l="1"/>
  <c r="AE360" i="102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<sst xmlns="http://schemas.openxmlformats.org/spreadsheetml/2006/main" count="1066" uniqueCount="1015">
  <si>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</si>
  <si>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</si>
  <si>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</si>
  <si>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</si>
  <si>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</si>
  <si>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</si>
  <si>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</si>
  <si>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</si>
  <si>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</si>
  <si>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</si>
  <si>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</si>
  <si>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</si>
  <si>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</si>
  <si>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</si>
  <si>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</si>
  <si>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</si>
  <si>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</si>
  <si>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</si>
  <si>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</si>
  <si>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</si>
  <si>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</si>
  <si>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</si>
  <si>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</si>
  <si>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</si>
  <si>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</si>
  <si>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</si>
  <si>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</si>
  <si>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</si>
  <si>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</si>
  <si>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</si>
  <si>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</si>
  <si>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</si>
  <si>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</si>
  <si>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</si>
  <si>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</si>
  <si>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</si>
  <si>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</si>
  <si>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</si>
  <si>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</si>
  <si>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</si>
  <si>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</si>
  <si>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</si>
  <si>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</si>
  <si>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</si>
  <si>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</si>
  <si>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</si>
  <si>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</si>
  <si>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</si>
  <si>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</si>
  <si>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</si>
  <si>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</si>
  <si>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</si>
  <si>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</si>
  <si>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</si>
  <si>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</si>
  <si>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</si>
  <si>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</si>
  <si>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</si>
  <si>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</si>
  <si>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</si>
  <si>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</si>
  <si>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</si>
  <si>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</si>
  <si>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</si>
  <si>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</si>
  <si>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</si>
  <si>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</si>
  <si>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</si>
  <si>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</si>
  <si>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</si>
  <si>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</si>
  <si>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</si>
  <si>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</si>
  <si>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</si>
  <si>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</si>
  <si>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</si>
  <si>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</si>
  <si>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</si>
  <si>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</si>
  <si>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</si>
  <si>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</si>
  <si>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</si>
  <si>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</si>
  <si>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</si>
  <si>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</si>
  <si>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</si>
  <si>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</si>
  <si>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</si>
  <si>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</si>
  <si>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</si>
  <si>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</si>
  <si>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</si>
  <si>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</si>
  <si>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</si>
  <si>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</si>
  <si>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</si>
  <si>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</si>
  <si>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</si>
  <si>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</si>
  <si>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</si>
  <si>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</si>
  <si>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</si>
  <si>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</si>
  <si>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</si>
  <si>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</si>
  <si>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</si>
  <si>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</si>
  <si>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</si>
  <si>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</si>
  <si>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</si>
  <si>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</si>
  <si>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</si>
  <si>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</si>
  <si>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</si>
  <si>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</si>
  <si>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</si>
  <si>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</si>
  <si>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</si>
  <si>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</si>
  <si>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</si>
  <si>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</si>
  <si>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</si>
  <si>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</si>
  <si>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</si>
  <si>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</si>
  <si>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</si>
  <si>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</si>
  <si>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</si>
  <si>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</si>
  <si>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</si>
  <si>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</si>
  <si>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</si>
  <si>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</si>
  <si>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</si>
  <si>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</si>
  <si>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</si>
  <si>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</si>
  <si>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</si>
  <si>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</si>
  <si>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</si>
  <si>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</si>
  <si>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</si>
  <si>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</si>
  <si>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</si>
  <si>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</si>
  <si>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</si>
  <si>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</si>
  <si>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</si>
  <si>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</si>
  <si>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</si>
  <si>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</si>
  <si>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</si>
  <si>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</si>
  <si>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</si>
  <si>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</si>
  <si>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</si>
  <si>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</si>
  <si>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</si>
  <si>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</si>
  <si>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</si>
  <si>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</si>
  <si>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</si>
  <si>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</si>
  <si>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</si>
  <si>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</si>
  <si>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</si>
  <si>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</si>
  <si>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</si>
  <si>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</si>
  <si>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</si>
  <si>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</si>
  <si>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</si>
  <si>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</si>
  <si>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</si>
  <si>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</si>
  <si>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</si>
  <si>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</si>
  <si>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</si>
  <si>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</si>
  <si>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</si>
  <si>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</si>
  <si>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</si>
  <si>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</si>
  <si>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</si>
  <si>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</si>
  <si>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</si>
  <si>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</si>
  <si>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</si>
  <si>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</si>
  <si>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</si>
  <si>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</si>
  <si>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</si>
  <si>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</si>
  <si>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</si>
  <si>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</si>
  <si>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</si>
  <si>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</si>
  <si>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</si>
  <si>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</si>
  <si>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</si>
  <si>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</si>
  <si>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</si>
  <si>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</si>
  <si>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</si>
  <si>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</si>
  <si>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</si>
  <si>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</si>
  <si>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</si>
  <si>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</si>
  <si>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</si>
  <si>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</si>
  <si>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</si>
  <si>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</si>
  <si>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</si>
  <si>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</si>
  <si>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</si>
  <si>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</si>
  <si>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</si>
  <si>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</si>
  <si>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</si>
  <si>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</si>
  <si>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</si>
  <si>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</si>
  <si>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</si>
  <si>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</si>
  <si>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</si>
  <si>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</si>
  <si>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</si>
  <si>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</si>
  <si>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</si>
  <si>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</si>
  <si>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</si>
  <si>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</si>
  <si>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</si>
  <si>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</si>
  <si>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</si>
  <si>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</si>
  <si>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</si>
  <si>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</si>
  <si>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</si>
  <si>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</si>
  <si>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</si>
  <si>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</si>
  <si>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</si>
  <si>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</si>
  <si>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</si>
  <si>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</si>
  <si>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</si>
  <si>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</si>
  <si>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</si>
  <si>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</si>
  <si>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</si>
  <si>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</si>
  <si>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</si>
  <si>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</si>
  <si>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</si>
  <si>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</si>
  <si>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</si>
  <si>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</si>
  <si>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</si>
  <si>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</si>
  <si>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</si>
  <si>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</si>
  <si>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</si>
  <si>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</si>
  <si>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</si>
  <si>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</si>
  <si>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</si>
  <si>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</si>
  <si>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</si>
  <si>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</si>
  <si>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</si>
  <si>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</si>
  <si>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</si>
  <si>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</si>
  <si>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</si>
  <si>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</si>
  <si>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</si>
  <si>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</si>
  <si>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</si>
  <si>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</si>
  <si>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</si>
  <si>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</si>
  <si>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</si>
  <si>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</si>
  <si>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</si>
  <si>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</si>
  <si>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</si>
  <si>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</si>
  <si>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</si>
  <si>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</si>
  <si>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</si>
  <si>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</si>
  <si>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</si>
  <si>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</si>
  <si>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</si>
  <si>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</si>
  <si>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</si>
  <si>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</si>
  <si>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</si>
  <si>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</si>
  <si>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</si>
  <si>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</si>
  <si>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</si>
  <si>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</si>
  <si>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</si>
  <si>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</si>
  <si>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</si>
  <si>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</si>
  <si>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</si>
  <si>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</si>
  <si>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</si>
  <si>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</si>
  <si>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</si>
  <si>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</si>
  <si>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</si>
  <si>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</si>
  <si>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</si>
  <si>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</si>
  <si>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</si>
  <si>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</si>
  <si>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</si>
  <si>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</si>
  <si>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</si>
  <si>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</si>
  <si>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</si>
  <si>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</si>
  <si>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</si>
  <si>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</si>
  <si>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</si>
  <si>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</si>
  <si>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</si>
  <si>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</si>
  <si>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</si>
  <si>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</si>
  <si>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</si>
  <si>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</si>
  <si>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</si>
  <si>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</si>
  <si>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</si>
  <si>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</si>
  <si>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</si>
  <si>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</si>
  <si>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</si>
  <si>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</si>
  <si>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</si>
  <si>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</si>
  <si>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</si>
  <si>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</si>
  <si>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</si>
  <si>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</si>
  <si>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</si>
  <si>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</si>
  <si>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</si>
  <si>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</si>
  <si>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</si>
  <si>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</si>
  <si>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</si>
  <si>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</si>
  <si>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</si>
  <si>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</si>
  <si>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</si>
  <si>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</si>
  <si>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</si>
  <si>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</si>
  <si>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</si>
  <si>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</si>
  <si>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</si>
  <si>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</si>
  <si>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</si>
  <si>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</si>
  <si>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</si>
  <si>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</si>
  <si>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</si>
  <si>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</si>
  <si>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</si>
  <si>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</si>
  <si>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</si>
  <si>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</si>
  <si>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</si>
  <si>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</si>
  <si>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</si>
  <si>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</si>
  <si>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</si>
  <si>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</si>
  <si>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</si>
  <si>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</si>
  <si>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</si>
  <si>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</si>
  <si>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</si>
  <si>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</si>
  <si>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</si>
  <si>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</si>
  <si>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</si>
  <si>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</si>
  <si>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</si>
  <si>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</si>
  <si>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</si>
  <si>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</si>
  <si>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</si>
  <si>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</si>
  <si>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</si>
  <si>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</si>
  <si>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</si>
  <si>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</si>
  <si>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</si>
  <si>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</si>
  <si>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</si>
  <si>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</si>
  <si>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</si>
  <si>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</si>
  <si>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</si>
  <si>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</si>
  <si>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</si>
  <si>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</si>
  <si>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</si>
  <si>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</si>
  <si>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</si>
  <si>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</si>
  <si>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</si>
  <si>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</si>
  <si>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</si>
  <si>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</si>
  <si>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</si>
  <si>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</si>
  <si>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</si>
  <si>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</si>
  <si>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</si>
  <si>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</si>
  <si>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</si>
  <si>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</si>
  <si>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</si>
  <si>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</si>
  <si>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</si>
  <si>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</si>
  <si>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</si>
  <si>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</si>
  <si>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</si>
  <si>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</si>
  <si>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</si>
  <si>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</si>
  <si>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</si>
  <si>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</si>
  <si>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</si>
  <si>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</si>
  <si>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</si>
  <si>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</si>
  <si>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</si>
  <si>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</si>
  <si>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</si>
  <si>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</si>
  <si>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</si>
  <si>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</si>
  <si>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</si>
  <si>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</si>
  <si>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</si>
  <si>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</si>
  <si>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</si>
  <si>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</si>
  <si>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</si>
  <si>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</si>
  <si>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</si>
  <si>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</si>
  <si>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</si>
  <si>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</si>
  <si>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</si>
  <si>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</si>
  <si>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</si>
  <si>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</si>
  <si>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</si>
  <si>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</si>
  <si>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</si>
  <si>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</si>
  <si>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</si>
  <si>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</si>
  <si>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</si>
  <si>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</si>
  <si>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</si>
  <si>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</si>
  <si>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</si>
  <si>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</si>
  <si>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</si>
  <si>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</si>
  <si>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</si>
  <si>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</si>
  <si>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</si>
  <si>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</si>
  <si>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</si>
  <si>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</si>
  <si>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</si>
  <si>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</si>
  <si>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</si>
  <si>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</si>
  <si>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</si>
  <si>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</si>
  <si>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</si>
  <si>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</si>
  <si>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</si>
  <si>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</si>
  <si>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</si>
  <si>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</si>
  <si>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</si>
  <si>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</si>
  <si>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</si>
  <si>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</si>
  <si>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</si>
  <si>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</si>
  <si>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</si>
  <si>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</si>
  <si>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</si>
  <si>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</si>
  <si>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</si>
  <si>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</si>
  <si>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</si>
  <si>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</si>
  <si>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</si>
  <si>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</si>
  <si>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</si>
  <si>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</si>
  <si>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</si>
  <si>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</si>
  <si>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</si>
  <si>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</si>
  <si>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</si>
  <si>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</si>
  <si>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</si>
  <si>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</si>
  <si>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</si>
  <si>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</si>
  <si>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</si>
  <si>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</si>
  <si>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</si>
  <si>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</si>
  <si>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</si>
  <si>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</si>
  <si>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</si>
  <si>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</si>
  <si>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</si>
  <si>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</si>
  <si>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</si>
  <si>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</si>
  <si>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</si>
  <si>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</si>
  <si>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</si>
  <si>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</si>
  <si>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</si>
  <si>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</si>
  <si>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</si>
  <si>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</si>
  <si>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</si>
  <si>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</si>
  <si>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</si>
  <si>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</si>
  <si>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</si>
  <si>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</si>
  <si>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</si>
  <si>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</si>
  <si>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</si>
  <si>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</si>
  <si>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</si>
  <si>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</si>
  <si>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</si>
  <si>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</si>
  <si>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</si>
  <si>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</si>
  <si>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</si>
  <si>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</si>
  <si>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</si>
  <si>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</si>
  <si>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</si>
  <si>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</si>
  <si>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</si>
  <si>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</si>
  <si>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</si>
  <si>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</si>
  <si>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</si>
  <si>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</si>
  <si>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</si>
  <si>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</si>
  <si>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</si>
  <si>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</si>
  <si>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</si>
  <si>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</si>
  <si>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</si>
  <si>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</si>
  <si>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</si>
  <si>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</si>
  <si>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</si>
  <si>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</si>
  <si>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</si>
  <si>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</si>
  <si>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</si>
  <si>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</si>
  <si>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</si>
  <si>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</si>
  <si>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</si>
  <si>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</si>
  <si>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</si>
  <si>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</si>
  <si>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</si>
  <si>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</si>
  <si>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</si>
  <si>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</si>
  <si>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</si>
  <si>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</si>
  <si>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</si>
  <si>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</si>
  <si>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</si>
  <si>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</si>
  <si>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</si>
  <si>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</si>
  <si>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</si>
  <si>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</si>
  <si>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</si>
  <si>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</si>
  <si>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</si>
  <si>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</si>
  <si>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</si>
  <si>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</si>
  <si>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</si>
  <si>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</si>
  <si>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</si>
  <si>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</si>
  <si>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</si>
  <si>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</si>
  <si>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</si>
  <si>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</si>
  <si>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</si>
  <si>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</si>
  <si>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</si>
  <si>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</si>
  <si>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</si>
  <si>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</si>
  <si>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</si>
  <si>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</si>
  <si>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</si>
  <si>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</si>
  <si>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</si>
  <si>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</si>
  <si>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</si>
  <si>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</si>
  <si>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</si>
  <si>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</si>
  <si>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</si>
  <si>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</si>
  <si>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</si>
  <si>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</si>
  <si>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</si>
  <si>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</si>
  <si>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</si>
  <si>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</si>
  <si>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</si>
  <si>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</si>
  <si>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</si>
  <si>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</si>
  <si>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</si>
  <si>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</si>
  <si>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</si>
  <si>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</si>
  <si>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</si>
  <si>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</si>
  <si>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</si>
  <si>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</si>
  <si>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</si>
  <si>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</si>
  <si>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</si>
  <si>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</si>
  <si>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</si>
  <si>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</si>
  <si>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</si>
  <si>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</si>
  <si>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</si>
  <si>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</si>
  <si>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</si>
  <si>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</si>
  <si>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</si>
  <si>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</si>
  <si>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</si>
  <si>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</si>
  <si>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</si>
  <si>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</si>
  <si>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</si>
  <si>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</si>
  <si>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</si>
  <si>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</si>
  <si>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</si>
  <si>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</si>
  <si>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</si>
  <si>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</si>
  <si>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</si>
  <si>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</si>
  <si>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</si>
  <si>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</si>
  <si>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</si>
  <si>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</si>
  <si>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</si>
  <si>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</si>
  <si>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</si>
  <si>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</si>
  <si>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</si>
  <si>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</si>
  <si>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</si>
  <si>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</si>
  <si>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</si>
  <si>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</si>
  <si>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</si>
  <si>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</si>
  <si>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</si>
  <si>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</si>
  <si>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</si>
  <si>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</si>
  <si>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</si>
  <si>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</si>
  <si>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</si>
  <si>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</si>
  <si>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</si>
  <si>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</si>
  <si>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</si>
  <si>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</si>
  <si>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</si>
  <si>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</si>
  <si>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</si>
  <si>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</si>
  <si>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</si>
  <si>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</si>
  <si>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</si>
  <si>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</si>
  <si>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</si>
  <si>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</si>
  <si>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</si>
  <si>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</si>
  <si>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</si>
  <si>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</si>
  <si>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</si>
  <si>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</si>
  <si>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</si>
  <si>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</si>
  <si>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</si>
  <si>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</si>
  <si>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</si>
  <si>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</si>
  <si>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</si>
  <si>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</si>
  <si>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</si>
  <si>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</si>
  <si>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</si>
  <si>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</si>
  <si>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</si>
  <si>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</si>
  <si>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</si>
  <si>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</si>
  <si>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</si>
  <si>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</si>
  <si>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</si>
  <si>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</si>
  <si>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</si>
  <si>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</si>
  <si>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</si>
  <si>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</si>
  <si>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</si>
  <si>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</si>
  <si>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</si>
  <si>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</si>
  <si>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</si>
  <si>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</si>
  <si>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</si>
  <si>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</si>
  <si>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</si>
  <si>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</si>
  <si>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</si>
  <si>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</si>
  <si>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</si>
  <si>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</si>
  <si>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</si>
  <si>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</si>
  <si>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</si>
  <si>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</si>
  <si>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</si>
  <si>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</si>
  <si>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</si>
  <si>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</si>
  <si>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</si>
  <si>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</si>
  <si>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</si>
  <si>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</si>
  <si>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</si>
  <si>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</si>
  <si>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</si>
  <si>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</si>
  <si>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</si>
  <si>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</si>
  <si>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</si>
  <si>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</si>
  <si>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</si>
  <si>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</si>
  <si>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</si>
  <si>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</si>
  <si>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</si>
  <si>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</si>
  <si>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</si>
  <si>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</si>
  <si>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</si>
  <si>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</si>
  <si>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</si>
  <si>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</si>
  <si>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</si>
  <si>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</si>
  <si>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</si>
  <si>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</si>
  <si>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</si>
  <si>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</si>
  <si>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</si>
  <si>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</si>
  <si>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</si>
  <si>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</si>
  <si>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</si>
  <si>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</si>
  <si>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</si>
  <si>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</si>
  <si>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</si>
  <si>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</si>
  <si>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</si>
  <si>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</si>
  <si>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</si>
  <si>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</si>
  <si>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</si>
  <si>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</si>
  <si>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</si>
  <si>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</si>
  <si>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</si>
  <si>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</si>
  <si>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</si>
  <si>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</si>
  <si>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</si>
  <si>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</si>
  <si>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</si>
  <si>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</si>
  <si>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</si>
  <si>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</si>
  <si>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</si>
  <si>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</si>
  <si>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</si>
  <si>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</si>
  <si>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</si>
  <si>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</si>
  <si>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</si>
  <si>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</si>
  <si>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</si>
  <si>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</si>
  <si>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</si>
  <si>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</si>
  <si>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</si>
  <si>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</si>
  <si>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</si>
  <si>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</si>
  <si>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</si>
  <si>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</si>
  <si>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</si>
  <si>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</si>
  <si>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</si>
  <si>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</si>
  <si>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</si>
  <si>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</si>
  <si>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</si>
  <si>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</si>
  <si>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</si>
  <si>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</si>
  <si>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</si>
  <si>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</si>
  <si>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</si>
  <si>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</si>
  <si>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</si>
  <si>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</si>
  <si>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</si>
  <si>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</si>
  <si>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</si>
  <si>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</si>
  <si>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</si>
  <si>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</si>
  <si>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</si>
  <si>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</si>
  <si>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</si>
  <si>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</si>
  <si>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</si>
  <si>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</si>
  <si>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</si>
  <si>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</si>
  <si>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</si>
  <si>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</si>
  <si>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</si>
  <si>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</si>
  <si>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</si>
  <si>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</si>
  <si>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</si>
  <si>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</si>
  <si>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</si>
  <si>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</si>
  <si>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</si>
  <si>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</si>
  <si>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</si>
  <si>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</si>
  <si>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</si>
  <si>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</si>
  <si>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</si>
  <si>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</si>
  <si>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</si>
  <si>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</si>
  <si>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</si>
  <si>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</si>
  <si>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</si>
  <si>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</si>
  <si>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</si>
  <si>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</si>
  <si>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</si>
  <si>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</si>
  <si>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</si>
  <si>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</si>
  <si>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</si>
  <si>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</si>
  <si>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</si>
  <si>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</si>
  <si>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</si>
  <si>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</si>
  <si>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</si>
  <si>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</si>
  <si>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</si>
  <si>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</si>
  <si>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</si>
  <si>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</si>
  <si>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</si>
  <si>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</si>
  <si>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</si>
  <si>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</si>
  <si>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</si>
  <si>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</si>
  <si>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</si>
  <si>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</si>
  <si>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</si>
  <si>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</si>
  <si>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</si>
  <si>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</si>
  <si>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</si>
  <si>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</si>
  <si>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</si>
  <si>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</si>
  <si>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</si>
  <si>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</si>
  <si>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</si>
  <si>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</si>
  <si>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</si>
  <si>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</si>
  <si>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</si>
  <si>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</si>
  <si>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</si>
  <si>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</si>
  <si>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</si>
  <si>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</si>
  <si>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</si>
  <si>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</si>
  <si>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</si>
  <si>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</si>
  <si>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</si>
  <si>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</si>
  <si>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</si>
  <si>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</si>
  <si>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</si>
  <si>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</si>
  <si>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</si>
  <si>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</si>
  <si>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</si>
  <si>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</si>
  <si>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</si>
  <si>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</si>
  <si>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</si>
  <si>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</si>
  <si>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</si>
  <si>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</si>
  <si>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</si>
  <si>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</si>
  <si>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</si>
  <si>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</si>
  <si>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</si>
  <si>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</si>
  <si>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</si>
  <si>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</si>
  <si>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</si>
  <si>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</si>
  <si>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</si>
  <si>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</si>
  <si>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</si>
  <si>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</si>
  <si>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</si>
  <si>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</si>
  <si>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</si>
  <si>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</si>
  <si>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</si>
  <si>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</si>
  <si>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</si>
  <si>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</si>
  <si>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</si>
  <si>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</si>
  <si>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</si>
  <si>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</si>
  <si>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</si>
  <si>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</si>
  <si>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</si>
  <si>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</si>
  <si>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</si>
  <si>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</si>
  <si>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</si>
  <si>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</si>
  <si>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</si>
  <si>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</si>
  <si>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 xml:space="preserve"> 335  Колбаса Сливушка ТМ Вязанка. ВЕС.  ПОКОМ</t>
  </si>
  <si>
    <t>Заказ Патяки 29.04.25.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</si>
</sst>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7"/>
  <sheetViews>
    <sheetView tabSelected="1" zoomScale="80" zoomScaleNormal="80" workbookViewId="0">
      <selection activeCell="L14" sqref="L14"/>
    </sheetView>
  </sheetViews>
  <sheetFormatPr defaultRowHeight="15" outlineLevelRow="1" x14ac:dyDescent="0.25"/>
  <cols>
    <col min="1" max="1" width="12" customWidth="1"/>
    <col min="2" max="2" width="12" style="9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1014</v>
      </c>
    </row>
    <row r="2" spans="1:31" ht="32.25" thickBot="1" x14ac:dyDescent="0.3">
      <c r="C2" s="43"/>
      <c r="D2" s="79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2"/>
      <c r="C3" s="42" t="s">
        <v>2</v>
      </c>
      <c r="D3" s="42"/>
      <c r="E3" s="27"/>
      <c r="F3" s="27">
        <f>SUM(F4:F180)</f>
        <v>6166</v>
      </c>
      <c r="G3" s="32">
        <f>SUM(G4:G180)</f>
        <v>5405.1999999999989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1" t="s">
        <v>517</v>
      </c>
      <c r="C4" s="39" t="s">
        <v>3</v>
      </c>
      <c r="D4" s="80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C5" s="80" t="s">
        <v>1013</v>
      </c>
      <c r="D5" s="80">
        <v>2928</v>
      </c>
      <c r="E5" s="15">
        <v>1</v>
      </c>
      <c r="F5" s="15"/>
      <c r="G5" s="26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hidden="1" customHeight="1" outlineLevel="1" x14ac:dyDescent="0.25">
      <c r="B6" s="91" t="s">
        <v>1012</v>
      </c>
      <c r="C6" s="80" t="s">
        <v>1011</v>
      </c>
      <c r="D6" s="80">
        <v>3642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18</v>
      </c>
      <c r="B7" s="91" t="s">
        <v>1010</v>
      </c>
      <c r="C7" s="96" t="s">
        <v>1009</v>
      </c>
      <c r="D7" s="80">
        <v>3287</v>
      </c>
      <c r="E7" s="15">
        <v>1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80" t="s">
        <v>1007</v>
      </c>
      <c r="D8" s="80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80" t="s">
        <v>1008</v>
      </c>
      <c r="D9" s="80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999</v>
      </c>
      <c r="B10" s="91" t="s">
        <v>518</v>
      </c>
      <c r="C10" s="38" t="s">
        <v>1000</v>
      </c>
      <c r="D10" s="80">
        <v>2634</v>
      </c>
      <c r="E10" s="15">
        <v>1</v>
      </c>
      <c r="F10" s="15"/>
      <c r="G10" s="26">
        <f t="shared" ref="G10:G12" si="1">F10*E10</f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515</v>
      </c>
      <c r="B11" s="91" t="s">
        <v>519</v>
      </c>
      <c r="C11" s="95" t="s">
        <v>514</v>
      </c>
      <c r="D11" s="80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235</v>
      </c>
      <c r="B12" s="91" t="s">
        <v>520</v>
      </c>
      <c r="C12" s="94" t="s">
        <v>493</v>
      </c>
      <c r="D12" s="80">
        <v>3423</v>
      </c>
      <c r="E12" s="15">
        <v>1</v>
      </c>
      <c r="F12" s="15">
        <v>500</v>
      </c>
      <c r="G12" s="26">
        <f t="shared" si="1"/>
        <v>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1" t="s">
        <v>521</v>
      </c>
      <c r="C13" s="71" t="s">
        <v>494</v>
      </c>
      <c r="D13" s="80">
        <v>3422</v>
      </c>
      <c r="E13" s="15">
        <v>1</v>
      </c>
      <c r="F13" s="15">
        <v>1000</v>
      </c>
      <c r="G13" s="26">
        <f t="shared" ref="G13:G23" si="2">F13*E13</f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customHeight="1" outlineLevel="1" x14ac:dyDescent="0.25">
      <c r="A14">
        <v>219</v>
      </c>
      <c r="B14" s="91" t="s">
        <v>522</v>
      </c>
      <c r="C14" s="71" t="s">
        <v>495</v>
      </c>
      <c r="D14" s="80">
        <v>3420</v>
      </c>
      <c r="E14" s="15">
        <v>1</v>
      </c>
      <c r="F14" s="15">
        <v>500</v>
      </c>
      <c r="G14" s="26">
        <f t="shared" si="2"/>
        <v>500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1005</v>
      </c>
      <c r="B15" s="91" t="s">
        <v>523</v>
      </c>
      <c r="C15" s="76" t="s">
        <v>508</v>
      </c>
      <c r="D15" s="80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1" t="s">
        <v>727</v>
      </c>
      <c r="C16" s="71" t="s">
        <v>496</v>
      </c>
      <c r="D16" s="80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1002</v>
      </c>
      <c r="B17" s="91" t="s">
        <v>728</v>
      </c>
      <c r="C17" s="76" t="s">
        <v>497</v>
      </c>
      <c r="D17" s="80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1006</v>
      </c>
      <c r="B18" s="91" t="s">
        <v>524</v>
      </c>
      <c r="C18" s="76" t="s">
        <v>516</v>
      </c>
      <c r="D18" s="80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1003</v>
      </c>
      <c r="B19" s="91" t="s">
        <v>729</v>
      </c>
      <c r="C19" s="71" t="s">
        <v>498</v>
      </c>
      <c r="D19" s="80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500</v>
      </c>
      <c r="B20" s="91" t="s">
        <v>525</v>
      </c>
      <c r="C20" s="76" t="s">
        <v>499</v>
      </c>
      <c r="D20" s="80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1004</v>
      </c>
      <c r="B21" s="91" t="s">
        <v>526</v>
      </c>
      <c r="C21" s="76" t="s">
        <v>501</v>
      </c>
      <c r="D21" s="80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1001</v>
      </c>
      <c r="B22" s="91" t="s">
        <v>527</v>
      </c>
      <c r="C22" s="75" t="s">
        <v>502</v>
      </c>
      <c r="D22" s="80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1" t="s">
        <v>528</v>
      </c>
      <c r="C23" s="71" t="s">
        <v>503</v>
      </c>
      <c r="D23" s="80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1" t="s">
        <v>529</v>
      </c>
      <c r="C24" s="38" t="s">
        <v>4</v>
      </c>
      <c r="D24" s="80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ref="AC24:AC55" si="4">AA24*E24</f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1" t="s">
        <v>530</v>
      </c>
      <c r="C25" s="44" t="s">
        <v>5</v>
      </c>
      <c r="D25" s="80">
        <v>722</v>
      </c>
      <c r="E25" s="49">
        <v>1</v>
      </c>
      <c r="F25" s="15"/>
      <c r="G25" s="26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4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1" t="s">
        <v>531</v>
      </c>
      <c r="C26" s="44" t="s">
        <v>365</v>
      </c>
      <c r="D26" s="80"/>
      <c r="E26" s="49">
        <v>1</v>
      </c>
      <c r="F26" s="15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4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1" t="s">
        <v>532</v>
      </c>
      <c r="C27" s="44" t="s">
        <v>364</v>
      </c>
      <c r="D27" s="80">
        <v>664</v>
      </c>
      <c r="E27" s="49">
        <v>1</v>
      </c>
      <c r="F27" s="15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4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1" t="s">
        <v>533</v>
      </c>
      <c r="C28" s="44" t="s">
        <v>362</v>
      </c>
      <c r="D28" s="80">
        <v>97</v>
      </c>
      <c r="E28" s="49">
        <v>1</v>
      </c>
      <c r="F28" s="15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4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1" t="s">
        <v>534</v>
      </c>
      <c r="C29" s="44" t="s">
        <v>476</v>
      </c>
      <c r="D29" s="80">
        <v>1831</v>
      </c>
      <c r="E29" s="49">
        <v>1</v>
      </c>
      <c r="F29" s="15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4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1" t="s">
        <v>534</v>
      </c>
      <c r="C30" s="44" t="s">
        <v>6</v>
      </c>
      <c r="D30" s="80">
        <v>1831</v>
      </c>
      <c r="E30" s="49">
        <v>1</v>
      </c>
      <c r="F30" s="15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4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1" t="s">
        <v>535</v>
      </c>
      <c r="C31" s="44" t="s">
        <v>272</v>
      </c>
      <c r="D31" s="80">
        <v>1523</v>
      </c>
      <c r="E31" s="49">
        <v>1</v>
      </c>
      <c r="F31" s="15"/>
      <c r="G31" s="26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4"/>
        <v>1</v>
      </c>
      <c r="AD31" s="9"/>
      <c r="AE31" s="17" t="e">
        <f>AA31*#REF!</f>
        <v>#REF!</v>
      </c>
    </row>
    <row r="32" spans="1:31" ht="16.5" hidden="1" customHeight="1" outlineLevel="1" x14ac:dyDescent="0.25">
      <c r="B32" s="91" t="s">
        <v>536</v>
      </c>
      <c r="C32" s="44" t="s">
        <v>273</v>
      </c>
      <c r="D32" s="80">
        <v>1721</v>
      </c>
      <c r="E32" s="49">
        <v>1</v>
      </c>
      <c r="F32" s="15"/>
      <c r="G32" s="26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4"/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1" t="s">
        <v>537</v>
      </c>
      <c r="C33" s="93" t="s">
        <v>7</v>
      </c>
      <c r="D33" s="80">
        <v>1351</v>
      </c>
      <c r="E33" s="49">
        <v>1</v>
      </c>
      <c r="F33" s="15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 t="shared" si="4"/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1" t="s">
        <v>726</v>
      </c>
      <c r="C34" s="44" t="s">
        <v>8</v>
      </c>
      <c r="D34" s="80">
        <v>82</v>
      </c>
      <c r="E34" s="49">
        <v>0.5</v>
      </c>
      <c r="F34" s="15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 t="shared" si="4"/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1" t="s">
        <v>730</v>
      </c>
      <c r="C35" s="44" t="s">
        <v>9</v>
      </c>
      <c r="D35" s="80">
        <v>1905</v>
      </c>
      <c r="E35" s="49">
        <v>0.45</v>
      </c>
      <c r="F35" s="15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 t="shared" si="4"/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1" t="s">
        <v>731</v>
      </c>
      <c r="C36" s="44" t="s">
        <v>10</v>
      </c>
      <c r="D36" s="80">
        <v>125</v>
      </c>
      <c r="E36" s="49">
        <v>0.5</v>
      </c>
      <c r="F36" s="15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 t="shared" si="4"/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1" t="s">
        <v>732</v>
      </c>
      <c r="C37" s="44" t="s">
        <v>11</v>
      </c>
      <c r="D37" s="80">
        <v>1485</v>
      </c>
      <c r="E37" s="49">
        <v>0.4</v>
      </c>
      <c r="F37" s="15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 t="shared" si="4"/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1" t="s">
        <v>733</v>
      </c>
      <c r="C38" s="44" t="s">
        <v>12</v>
      </c>
      <c r="D38" s="80">
        <v>11</v>
      </c>
      <c r="E38" s="49">
        <v>0.5</v>
      </c>
      <c r="F38" s="15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 t="shared" si="4"/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1" t="s">
        <v>734</v>
      </c>
      <c r="C39" s="44" t="s">
        <v>372</v>
      </c>
      <c r="D39" s="80"/>
      <c r="E39" s="49">
        <v>0.35</v>
      </c>
      <c r="F39" s="15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4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1" t="s">
        <v>735</v>
      </c>
      <c r="C40" s="44" t="s">
        <v>371</v>
      </c>
      <c r="D40" s="80">
        <v>1605</v>
      </c>
      <c r="E40" s="49">
        <v>0.35</v>
      </c>
      <c r="F40" s="15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 t="shared" si="4"/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1" t="s">
        <v>736</v>
      </c>
      <c r="C41" s="44" t="s">
        <v>370</v>
      </c>
      <c r="D41" s="80"/>
      <c r="E41" s="49">
        <v>0.45</v>
      </c>
      <c r="F41" s="15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 t="shared" si="4"/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1" t="s">
        <v>737</v>
      </c>
      <c r="C42" s="44" t="s">
        <v>13</v>
      </c>
      <c r="D42" s="80">
        <v>1527</v>
      </c>
      <c r="E42" s="49">
        <v>0.5</v>
      </c>
      <c r="F42" s="15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 t="shared" si="4"/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1" t="s">
        <v>738</v>
      </c>
      <c r="C43" s="44" t="s">
        <v>14</v>
      </c>
      <c r="D43" s="80">
        <v>1718</v>
      </c>
      <c r="E43" s="49">
        <v>0.45</v>
      </c>
      <c r="F43" s="15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4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1" t="s">
        <v>739</v>
      </c>
      <c r="C44" s="44" t="s">
        <v>15</v>
      </c>
      <c r="D44" s="80">
        <v>1720</v>
      </c>
      <c r="E44" s="49">
        <v>0.45</v>
      </c>
      <c r="F44" s="15"/>
      <c r="G44" s="26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 t="shared" si="4"/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1" t="s">
        <v>740</v>
      </c>
      <c r="C45" s="44" t="s">
        <v>16</v>
      </c>
      <c r="D45" s="80">
        <v>1354</v>
      </c>
      <c r="E45" s="49">
        <v>0.5</v>
      </c>
      <c r="F45" s="15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 t="shared" si="4"/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1" t="s">
        <v>741</v>
      </c>
      <c r="C46" s="44" t="s">
        <v>373</v>
      </c>
      <c r="D46" s="80">
        <v>0</v>
      </c>
      <c r="E46" s="49">
        <v>0.35</v>
      </c>
      <c r="F46" s="15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4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1" t="s">
        <v>742</v>
      </c>
      <c r="C47" s="44" t="s">
        <v>374</v>
      </c>
      <c r="D47" s="80">
        <v>0</v>
      </c>
      <c r="E47" s="49">
        <v>0.35</v>
      </c>
      <c r="F47" s="15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 t="shared" si="4"/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1" t="s">
        <v>743</v>
      </c>
      <c r="C48" s="44" t="s">
        <v>17</v>
      </c>
      <c r="D48" s="80">
        <v>0</v>
      </c>
      <c r="E48" s="49">
        <v>0.4</v>
      </c>
      <c r="F48" s="15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 t="shared" si="4"/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1" t="s">
        <v>744</v>
      </c>
      <c r="C49" s="44" t="s">
        <v>404</v>
      </c>
      <c r="D49" s="80"/>
      <c r="E49" s="49">
        <v>0.43</v>
      </c>
      <c r="F49" s="15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 t="shared" si="4"/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1" t="s">
        <v>745</v>
      </c>
      <c r="C50" s="44" t="s">
        <v>18</v>
      </c>
      <c r="D50" s="80">
        <v>2027</v>
      </c>
      <c r="E50" s="49">
        <v>0.4</v>
      </c>
      <c r="F50" s="15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 t="shared" si="4"/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1" t="s">
        <v>746</v>
      </c>
      <c r="C51" s="44" t="s">
        <v>19</v>
      </c>
      <c r="D51" s="80">
        <v>2092</v>
      </c>
      <c r="E51" s="49">
        <v>0.17</v>
      </c>
      <c r="F51" s="15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 t="shared" si="4"/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1" t="s">
        <v>747</v>
      </c>
      <c r="C52" s="44" t="s">
        <v>409</v>
      </c>
      <c r="D52" s="80">
        <v>0</v>
      </c>
      <c r="E52" s="49">
        <v>0.4</v>
      </c>
      <c r="F52" s="15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4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1" t="s">
        <v>748</v>
      </c>
      <c r="C53" s="44" t="s">
        <v>20</v>
      </c>
      <c r="D53" s="80">
        <v>2019</v>
      </c>
      <c r="E53" s="49">
        <v>0.4</v>
      </c>
      <c r="F53" s="15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 t="shared" si="4"/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1" t="s">
        <v>749</v>
      </c>
      <c r="C54" s="44" t="s">
        <v>21</v>
      </c>
      <c r="D54" s="80">
        <v>1989</v>
      </c>
      <c r="E54" s="49">
        <v>0.5</v>
      </c>
      <c r="F54" s="15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4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1" t="s">
        <v>750</v>
      </c>
      <c r="C55" s="44" t="s">
        <v>22</v>
      </c>
      <c r="D55" s="80">
        <v>1794</v>
      </c>
      <c r="E55" s="49">
        <v>0.5</v>
      </c>
      <c r="F55" s="15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si="4"/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1" t="s">
        <v>751</v>
      </c>
      <c r="C56" s="93" t="s">
        <v>400</v>
      </c>
      <c r="D56" s="80">
        <v>1800</v>
      </c>
      <c r="E56" s="49">
        <v>0.5</v>
      </c>
      <c r="F56" s="15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 t="shared" ref="AC56:AC87" si="5"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1" t="s">
        <v>752</v>
      </c>
      <c r="C57" s="44" t="s">
        <v>23</v>
      </c>
      <c r="D57" s="80">
        <v>2252</v>
      </c>
      <c r="E57" s="49">
        <v>0.3</v>
      </c>
      <c r="F57" s="15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 t="shared" si="5"/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1" t="s">
        <v>753</v>
      </c>
      <c r="C58" s="44" t="s">
        <v>24</v>
      </c>
      <c r="D58" s="80">
        <v>2020</v>
      </c>
      <c r="E58" s="49">
        <v>0.4</v>
      </c>
      <c r="F58" s="15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 t="shared" si="5"/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1" t="s">
        <v>754</v>
      </c>
      <c r="C59" s="93" t="s">
        <v>401</v>
      </c>
      <c r="D59" s="80">
        <v>1795</v>
      </c>
      <c r="E59" s="49">
        <v>0.5</v>
      </c>
      <c r="F59" s="15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5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1" t="s">
        <v>755</v>
      </c>
      <c r="C60" s="44" t="s">
        <v>25</v>
      </c>
      <c r="D60" s="80">
        <v>256</v>
      </c>
      <c r="E60" s="49">
        <v>0.5</v>
      </c>
      <c r="F60" s="15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 t="shared" si="5"/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1" t="s">
        <v>756</v>
      </c>
      <c r="C61" s="44" t="s">
        <v>406</v>
      </c>
      <c r="D61" s="80"/>
      <c r="E61" s="49">
        <v>0.35</v>
      </c>
      <c r="F61" s="15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 t="shared" si="5"/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1" t="s">
        <v>757</v>
      </c>
      <c r="C62" s="44" t="s">
        <v>398</v>
      </c>
      <c r="D62" s="80">
        <v>0</v>
      </c>
      <c r="E62" s="49">
        <v>0.5</v>
      </c>
      <c r="F62" s="15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5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1" t="s">
        <v>758</v>
      </c>
      <c r="C63" s="44" t="s">
        <v>402</v>
      </c>
      <c r="D63" s="80">
        <v>0</v>
      </c>
      <c r="E63" s="49">
        <v>0.5</v>
      </c>
      <c r="F63" s="15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 t="shared" si="5"/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1" t="s">
        <v>759</v>
      </c>
      <c r="C64" s="44" t="s">
        <v>26</v>
      </c>
      <c r="D64" s="80">
        <v>0</v>
      </c>
      <c r="E64" s="49">
        <v>0.35</v>
      </c>
      <c r="F64" s="15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5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1" t="s">
        <v>760</v>
      </c>
      <c r="C65" s="76" t="s">
        <v>27</v>
      </c>
      <c r="D65" s="80">
        <v>2579</v>
      </c>
      <c r="E65" s="49">
        <v>0.35</v>
      </c>
      <c r="F65" s="15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5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1" t="s">
        <v>761</v>
      </c>
      <c r="C66" s="44" t="s">
        <v>410</v>
      </c>
      <c r="D66" s="80"/>
      <c r="E66" s="49">
        <v>0.35</v>
      </c>
      <c r="F66" s="15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5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1" t="s">
        <v>762</v>
      </c>
      <c r="C67" s="44" t="s">
        <v>405</v>
      </c>
      <c r="D67" s="80"/>
      <c r="E67" s="49">
        <v>0.35</v>
      </c>
      <c r="F67" s="15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 t="shared" si="5"/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1" t="s">
        <v>763</v>
      </c>
      <c r="C68" s="44" t="s">
        <v>403</v>
      </c>
      <c r="D68" s="80">
        <v>78</v>
      </c>
      <c r="E68" s="49">
        <v>0.4</v>
      </c>
      <c r="F68" s="15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 t="shared" si="5"/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1" t="s">
        <v>764</v>
      </c>
      <c r="C69" s="44" t="s">
        <v>28</v>
      </c>
      <c r="D69" s="80">
        <v>1869</v>
      </c>
      <c r="E69" s="49">
        <v>0.17</v>
      </c>
      <c r="F69" s="15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 t="shared" si="5"/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1" t="s">
        <v>765</v>
      </c>
      <c r="C70" s="44" t="s">
        <v>29</v>
      </c>
      <c r="D70" s="80">
        <v>2173</v>
      </c>
      <c r="E70" s="49">
        <v>0.38</v>
      </c>
      <c r="F70" s="15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 t="shared" si="5"/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1" t="s">
        <v>766</v>
      </c>
      <c r="C71" s="44" t="s">
        <v>479</v>
      </c>
      <c r="D71" s="80">
        <v>1970</v>
      </c>
      <c r="E71" s="49">
        <v>0.35</v>
      </c>
      <c r="F71" s="15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5"/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1" t="s">
        <v>767</v>
      </c>
      <c r="C72" s="44" t="s">
        <v>30</v>
      </c>
      <c r="D72" s="80">
        <v>0</v>
      </c>
      <c r="E72" s="49">
        <v>0.42</v>
      </c>
      <c r="F72" s="15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5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1" t="s">
        <v>768</v>
      </c>
      <c r="C73" s="44" t="s">
        <v>31</v>
      </c>
      <c r="D73" s="80">
        <v>0</v>
      </c>
      <c r="E73" s="49">
        <v>0.42</v>
      </c>
      <c r="F73" s="15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5"/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1" t="s">
        <v>769</v>
      </c>
      <c r="C74" s="44" t="s">
        <v>481</v>
      </c>
      <c r="D74" s="80">
        <v>1836</v>
      </c>
      <c r="E74" s="49">
        <v>0.35</v>
      </c>
      <c r="F74" s="15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 t="shared" si="5"/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1" t="s">
        <v>770</v>
      </c>
      <c r="C75" s="44" t="s">
        <v>407</v>
      </c>
      <c r="D75" s="80">
        <v>1341</v>
      </c>
      <c r="E75" s="49">
        <v>0.6</v>
      </c>
      <c r="F75" s="15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 t="shared" si="5"/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1" t="s">
        <v>771</v>
      </c>
      <c r="C76" s="44" t="s">
        <v>32</v>
      </c>
      <c r="D76" s="80">
        <v>341</v>
      </c>
      <c r="E76" s="49">
        <v>0.42</v>
      </c>
      <c r="F76" s="15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5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1" t="s">
        <v>772</v>
      </c>
      <c r="C77" s="44" t="s">
        <v>399</v>
      </c>
      <c r="D77" s="80"/>
      <c r="E77" s="49">
        <v>0.42</v>
      </c>
      <c r="F77" s="15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 t="shared" si="5"/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1" t="s">
        <v>773</v>
      </c>
      <c r="C78" s="44" t="s">
        <v>408</v>
      </c>
      <c r="D78" s="80">
        <v>0</v>
      </c>
      <c r="E78" s="49">
        <v>0.33</v>
      </c>
      <c r="F78" s="15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 t="shared" si="5"/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1" t="s">
        <v>774</v>
      </c>
      <c r="C79" s="44" t="s">
        <v>33</v>
      </c>
      <c r="D79" s="80">
        <v>152</v>
      </c>
      <c r="E79" s="49">
        <v>0.42</v>
      </c>
      <c r="F79" s="15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 t="shared" si="5"/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1" t="s">
        <v>775</v>
      </c>
      <c r="C80" s="44" t="s">
        <v>34</v>
      </c>
      <c r="D80" s="80">
        <v>2538</v>
      </c>
      <c r="E80" s="49">
        <v>0.35</v>
      </c>
      <c r="F80" s="15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5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1" t="s">
        <v>776</v>
      </c>
      <c r="C81" s="44" t="s">
        <v>35</v>
      </c>
      <c r="D81" s="80">
        <v>2604</v>
      </c>
      <c r="E81" s="49">
        <v>0.35</v>
      </c>
      <c r="F81" s="15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5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1" t="s">
        <v>777</v>
      </c>
      <c r="C82" s="44" t="s">
        <v>36</v>
      </c>
      <c r="D82" s="80">
        <v>2602</v>
      </c>
      <c r="E82" s="49">
        <v>0.35</v>
      </c>
      <c r="F82" s="15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5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1" t="s">
        <v>778</v>
      </c>
      <c r="C83" s="44" t="s">
        <v>37</v>
      </c>
      <c r="D83" s="80">
        <v>2606</v>
      </c>
      <c r="E83" s="49">
        <v>0.35</v>
      </c>
      <c r="F83" s="15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 t="shared" si="5"/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1" t="s">
        <v>538</v>
      </c>
      <c r="C84" s="75" t="s">
        <v>38</v>
      </c>
      <c r="D84" s="80">
        <v>2035</v>
      </c>
      <c r="E84" s="49">
        <v>1</v>
      </c>
      <c r="F84" s="15">
        <v>100</v>
      </c>
      <c r="G84" s="26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5"/>
        <v>1</v>
      </c>
      <c r="AD84" s="9"/>
      <c r="AE84" s="17" t="e">
        <f>AA84*#REF!</f>
        <v>#REF!</v>
      </c>
    </row>
    <row r="85" spans="1:31" ht="16.5" customHeight="1" outlineLevel="1" x14ac:dyDescent="0.25">
      <c r="B85" s="91" t="s">
        <v>779</v>
      </c>
      <c r="C85" s="44" t="s">
        <v>39</v>
      </c>
      <c r="D85" s="80">
        <v>126</v>
      </c>
      <c r="E85" s="49">
        <v>1</v>
      </c>
      <c r="F85" s="15">
        <v>1000</v>
      </c>
      <c r="G85" s="26">
        <f t="shared" si="3"/>
        <v>1000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5"/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1" t="s">
        <v>539</v>
      </c>
      <c r="C86" s="75" t="s">
        <v>40</v>
      </c>
      <c r="D86" s="80">
        <v>2011</v>
      </c>
      <c r="E86" s="49">
        <v>1</v>
      </c>
      <c r="F86" s="15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5"/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1" t="s">
        <v>540</v>
      </c>
      <c r="C87" s="93" t="s">
        <v>41</v>
      </c>
      <c r="D87" s="80">
        <v>2094</v>
      </c>
      <c r="E87" s="49">
        <v>1</v>
      </c>
      <c r="F87" s="15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si="5"/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1" t="s">
        <v>541</v>
      </c>
      <c r="C88" s="44" t="s">
        <v>42</v>
      </c>
      <c r="D88" s="80" t="s">
        <v>986</v>
      </c>
      <c r="E88" s="49">
        <v>1</v>
      </c>
      <c r="F88" s="15"/>
      <c r="G88" s="26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ref="AC88:AC122" si="7"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1" t="s">
        <v>542</v>
      </c>
      <c r="C89" s="93" t="s">
        <v>43</v>
      </c>
      <c r="D89" s="80">
        <v>251</v>
      </c>
      <c r="E89" s="49">
        <v>1</v>
      </c>
      <c r="F89" s="15"/>
      <c r="G89" s="26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7"/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1" t="s">
        <v>543</v>
      </c>
      <c r="C90" s="93" t="s">
        <v>44</v>
      </c>
      <c r="D90" s="80">
        <v>1793</v>
      </c>
      <c r="E90" s="49">
        <v>1</v>
      </c>
      <c r="F90" s="15"/>
      <c r="G90" s="26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7"/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1" t="s">
        <v>544</v>
      </c>
      <c r="C91" s="44" t="s">
        <v>379</v>
      </c>
      <c r="D91" s="80">
        <v>57</v>
      </c>
      <c r="E91" s="49">
        <v>1</v>
      </c>
      <c r="F91" s="15"/>
      <c r="G91" s="26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7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1" t="s">
        <v>545</v>
      </c>
      <c r="C92" s="93" t="s">
        <v>45</v>
      </c>
      <c r="D92" s="80">
        <v>1777</v>
      </c>
      <c r="E92" s="49">
        <v>1</v>
      </c>
      <c r="F92" s="15"/>
      <c r="G92" s="26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7"/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1" t="s">
        <v>546</v>
      </c>
      <c r="C93" s="93" t="s">
        <v>384</v>
      </c>
      <c r="D93" s="80">
        <v>2203</v>
      </c>
      <c r="E93" s="49">
        <v>1</v>
      </c>
      <c r="F93" s="15"/>
      <c r="G93" s="26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7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1" t="s">
        <v>547</v>
      </c>
      <c r="C94" s="44" t="s">
        <v>46</v>
      </c>
      <c r="D94" s="80">
        <v>2182</v>
      </c>
      <c r="E94" s="49">
        <v>1</v>
      </c>
      <c r="F94" s="15"/>
      <c r="G94" s="26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7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1" t="s">
        <v>548</v>
      </c>
      <c r="C95" s="44" t="s">
        <v>382</v>
      </c>
      <c r="D95" s="80">
        <v>1920</v>
      </c>
      <c r="E95" s="49">
        <v>1</v>
      </c>
      <c r="F95" s="15"/>
      <c r="G95" s="26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7"/>
        <v>1</v>
      </c>
      <c r="AD95" s="9"/>
      <c r="AE95" s="17" t="e">
        <f>AA95*#REF!</f>
        <v>#REF!</v>
      </c>
    </row>
    <row r="96" spans="1:31" ht="16.5" customHeight="1" outlineLevel="1" x14ac:dyDescent="0.25">
      <c r="B96" s="91" t="s">
        <v>549</v>
      </c>
      <c r="C96" s="75" t="s">
        <v>47</v>
      </c>
      <c r="D96" s="80">
        <v>2010</v>
      </c>
      <c r="E96" s="49">
        <v>1</v>
      </c>
      <c r="F96" s="15">
        <v>100</v>
      </c>
      <c r="G96" s="26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7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1" t="s">
        <v>550</v>
      </c>
      <c r="C97" s="93" t="s">
        <v>48</v>
      </c>
      <c r="D97" s="80">
        <v>1578</v>
      </c>
      <c r="E97" s="49">
        <v>1</v>
      </c>
      <c r="F97" s="15"/>
      <c r="G97" s="26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7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1" t="s">
        <v>551</v>
      </c>
      <c r="C98" s="93" t="s">
        <v>49</v>
      </c>
      <c r="D98" s="80">
        <v>1799</v>
      </c>
      <c r="E98" s="49">
        <v>1</v>
      </c>
      <c r="F98" s="15"/>
      <c r="G98" s="26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7"/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1" t="s">
        <v>552</v>
      </c>
      <c r="C99" s="93" t="s">
        <v>50</v>
      </c>
      <c r="D99" s="80">
        <v>102</v>
      </c>
      <c r="E99" s="49">
        <v>1</v>
      </c>
      <c r="F99" s="15"/>
      <c r="G99" s="26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7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B100" s="91" t="s">
        <v>553</v>
      </c>
      <c r="C100" s="75" t="s">
        <v>51</v>
      </c>
      <c r="D100" s="80">
        <v>2150</v>
      </c>
      <c r="E100" s="49">
        <v>1</v>
      </c>
      <c r="F100" s="15"/>
      <c r="G100" s="26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7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1" t="s">
        <v>554</v>
      </c>
      <c r="C101" s="93" t="s">
        <v>378</v>
      </c>
      <c r="D101" s="80">
        <v>1792</v>
      </c>
      <c r="E101" s="49">
        <v>1</v>
      </c>
      <c r="F101" s="15"/>
      <c r="G101" s="26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7"/>
        <v>1</v>
      </c>
      <c r="AD101" s="9"/>
      <c r="AE101" s="17" t="e">
        <f>AA101*#REF!</f>
        <v>#REF!</v>
      </c>
    </row>
    <row r="102" spans="1:31" ht="16.5" customHeight="1" outlineLevel="1" x14ac:dyDescent="0.25">
      <c r="B102" s="91" t="s">
        <v>555</v>
      </c>
      <c r="C102" s="75" t="s">
        <v>52</v>
      </c>
      <c r="D102" s="80">
        <v>2158</v>
      </c>
      <c r="E102" s="49">
        <v>1</v>
      </c>
      <c r="F102" s="15">
        <v>50</v>
      </c>
      <c r="G102" s="26">
        <f t="shared" si="6"/>
        <v>50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7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1" t="s">
        <v>556</v>
      </c>
      <c r="C103" s="44" t="s">
        <v>53</v>
      </c>
      <c r="D103" s="80">
        <v>1921</v>
      </c>
      <c r="E103" s="49">
        <v>1</v>
      </c>
      <c r="F103" s="15"/>
      <c r="G103" s="26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7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1" t="s">
        <v>557</v>
      </c>
      <c r="C104" s="75" t="s">
        <v>54</v>
      </c>
      <c r="D104" s="80">
        <v>2151</v>
      </c>
      <c r="E104" s="49">
        <v>1</v>
      </c>
      <c r="F104" s="15"/>
      <c r="G104" s="26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7"/>
        <v>1</v>
      </c>
      <c r="AD104" s="9"/>
      <c r="AE104" s="17" t="e">
        <f>AA104*#REF!</f>
        <v>#REF!</v>
      </c>
    </row>
    <row r="105" spans="1:31" ht="16.5" customHeight="1" outlineLevel="1" x14ac:dyDescent="0.25">
      <c r="B105" s="91" t="s">
        <v>558</v>
      </c>
      <c r="C105" s="76" t="s">
        <v>55</v>
      </c>
      <c r="D105" s="80">
        <v>1820</v>
      </c>
      <c r="E105" s="49">
        <v>1</v>
      </c>
      <c r="F105" s="15">
        <v>80</v>
      </c>
      <c r="G105" s="26">
        <f t="shared" si="6"/>
        <v>80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7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1" t="s">
        <v>559</v>
      </c>
      <c r="C106" s="76" t="s">
        <v>56</v>
      </c>
      <c r="D106" s="80">
        <v>1822</v>
      </c>
      <c r="E106" s="49">
        <v>1</v>
      </c>
      <c r="F106" s="15"/>
      <c r="G106" s="26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7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1" t="s">
        <v>560</v>
      </c>
      <c r="C107" s="44" t="s">
        <v>380</v>
      </c>
      <c r="D107" s="80">
        <v>1801</v>
      </c>
      <c r="E107" s="49">
        <v>1</v>
      </c>
      <c r="F107" s="15"/>
      <c r="G107" s="26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7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1" t="s">
        <v>561</v>
      </c>
      <c r="C108" s="44" t="s">
        <v>381</v>
      </c>
      <c r="D108" s="80">
        <v>43</v>
      </c>
      <c r="E108" s="49">
        <v>1</v>
      </c>
      <c r="F108" s="15"/>
      <c r="G108" s="26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7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1" t="s">
        <v>562</v>
      </c>
      <c r="C109" s="44" t="s">
        <v>57</v>
      </c>
      <c r="D109" s="80">
        <v>1051</v>
      </c>
      <c r="E109" s="49">
        <v>1</v>
      </c>
      <c r="F109" s="15">
        <v>40</v>
      </c>
      <c r="G109" s="26">
        <f t="shared" si="6"/>
        <v>40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7"/>
        <v>1</v>
      </c>
      <c r="AD109" s="9"/>
      <c r="AE109" s="17" t="e">
        <f>AA109*#REF!</f>
        <v>#REF!</v>
      </c>
    </row>
    <row r="110" spans="1:31" ht="16.5" customHeight="1" outlineLevel="1" x14ac:dyDescent="0.25">
      <c r="B110" s="91" t="s">
        <v>563</v>
      </c>
      <c r="C110" s="44" t="s">
        <v>58</v>
      </c>
      <c r="D110" s="80">
        <v>2287</v>
      </c>
      <c r="E110" s="49">
        <v>1</v>
      </c>
      <c r="F110" s="15">
        <v>250</v>
      </c>
      <c r="G110" s="26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7"/>
        <v>1</v>
      </c>
      <c r="AD110" s="9"/>
      <c r="AE110" s="17" t="e">
        <f>AA110*#REF!</f>
        <v>#REF!</v>
      </c>
    </row>
    <row r="111" spans="1:31" ht="16.5" customHeight="1" outlineLevel="1" x14ac:dyDescent="0.25">
      <c r="B111" s="91" t="s">
        <v>564</v>
      </c>
      <c r="C111" s="76" t="s">
        <v>59</v>
      </c>
      <c r="D111" s="80">
        <v>227</v>
      </c>
      <c r="E111" s="49">
        <v>1</v>
      </c>
      <c r="F111" s="15">
        <v>40</v>
      </c>
      <c r="G111" s="26">
        <f t="shared" si="6"/>
        <v>40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7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1" t="s">
        <v>565</v>
      </c>
      <c r="C112" s="44" t="s">
        <v>60</v>
      </c>
      <c r="D112" s="80">
        <v>1835</v>
      </c>
      <c r="E112" s="49">
        <v>1</v>
      </c>
      <c r="F112" s="15"/>
      <c r="G112" s="26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7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1" t="s">
        <v>566</v>
      </c>
      <c r="C113" s="44" t="s">
        <v>61</v>
      </c>
      <c r="D113" s="80">
        <v>1340</v>
      </c>
      <c r="E113" s="49">
        <v>1</v>
      </c>
      <c r="F113" s="15"/>
      <c r="G113" s="26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7"/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1" t="s">
        <v>567</v>
      </c>
      <c r="C114" s="44" t="s">
        <v>62</v>
      </c>
      <c r="D114" s="80">
        <v>2074</v>
      </c>
      <c r="E114" s="49">
        <v>1</v>
      </c>
      <c r="F114" s="15"/>
      <c r="G114" s="26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7"/>
        <v>1</v>
      </c>
      <c r="AD114" s="9"/>
      <c r="AE114" s="17" t="e">
        <f>AA114*#REF!</f>
        <v>#REF!</v>
      </c>
    </row>
    <row r="115" spans="1:31" ht="16.5" customHeight="1" outlineLevel="1" x14ac:dyDescent="0.25">
      <c r="B115" s="91" t="s">
        <v>568</v>
      </c>
      <c r="C115" s="76" t="s">
        <v>63</v>
      </c>
      <c r="D115" s="80">
        <v>246</v>
      </c>
      <c r="E115" s="49">
        <v>1</v>
      </c>
      <c r="F115" s="15">
        <v>50</v>
      </c>
      <c r="G115" s="26">
        <f t="shared" si="6"/>
        <v>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7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1" t="s">
        <v>569</v>
      </c>
      <c r="C116" s="44" t="s">
        <v>383</v>
      </c>
      <c r="D116" s="80">
        <v>1727</v>
      </c>
      <c r="E116" s="49">
        <v>1</v>
      </c>
      <c r="F116" s="15"/>
      <c r="G116" s="26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7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1" t="s">
        <v>570</v>
      </c>
      <c r="C117" s="44" t="s">
        <v>386</v>
      </c>
      <c r="D117" s="80">
        <v>2219</v>
      </c>
      <c r="E117" s="49">
        <v>1</v>
      </c>
      <c r="F117" s="15"/>
      <c r="G117" s="26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7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1" t="s">
        <v>571</v>
      </c>
      <c r="C118" s="44" t="s">
        <v>377</v>
      </c>
      <c r="D118" s="80">
        <v>1728</v>
      </c>
      <c r="E118" s="49">
        <v>1</v>
      </c>
      <c r="F118" s="15"/>
      <c r="G118" s="26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7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1" t="s">
        <v>572</v>
      </c>
      <c r="C119" s="44" t="s">
        <v>64</v>
      </c>
      <c r="D119" s="80">
        <v>1430</v>
      </c>
      <c r="E119" s="49">
        <v>1</v>
      </c>
      <c r="F119" s="15"/>
      <c r="G119" s="26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7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1" t="s">
        <v>573</v>
      </c>
      <c r="C120" s="44" t="s">
        <v>274</v>
      </c>
      <c r="D120" s="80">
        <v>1780</v>
      </c>
      <c r="E120" s="49">
        <v>1</v>
      </c>
      <c r="F120" s="15"/>
      <c r="G120" s="26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7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1" t="s">
        <v>574</v>
      </c>
      <c r="C121" s="44" t="s">
        <v>65</v>
      </c>
      <c r="D121" s="80">
        <v>2612</v>
      </c>
      <c r="E121" s="49">
        <v>1</v>
      </c>
      <c r="F121" s="15"/>
      <c r="G121" s="26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7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1" t="s">
        <v>575</v>
      </c>
      <c r="C122" s="44" t="s">
        <v>66</v>
      </c>
      <c r="D122" s="80">
        <v>2613</v>
      </c>
      <c r="E122" s="49">
        <v>1</v>
      </c>
      <c r="F122" s="15"/>
      <c r="G122" s="26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 t="shared" si="7"/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1" t="s">
        <v>575</v>
      </c>
      <c r="C123" s="44" t="s">
        <v>503</v>
      </c>
      <c r="D123" s="80">
        <v>2615</v>
      </c>
      <c r="E123" s="49">
        <v>1</v>
      </c>
      <c r="F123" s="15"/>
      <c r="G123" s="26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1" t="s">
        <v>576</v>
      </c>
      <c r="C124" s="44" t="s">
        <v>67</v>
      </c>
      <c r="D124" s="80">
        <v>2614</v>
      </c>
      <c r="E124" s="49">
        <v>1</v>
      </c>
      <c r="F124" s="15"/>
      <c r="G124" s="26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ref="AC124:AC157" si="8"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1" t="s">
        <v>577</v>
      </c>
      <c r="C125" s="44" t="s">
        <v>68</v>
      </c>
      <c r="D125" s="80">
        <v>2448</v>
      </c>
      <c r="E125" s="49">
        <v>1</v>
      </c>
      <c r="F125" s="15"/>
      <c r="G125" s="26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8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1" t="s">
        <v>575</v>
      </c>
      <c r="C126" s="44" t="s">
        <v>990</v>
      </c>
      <c r="D126" s="80">
        <v>2614</v>
      </c>
      <c r="E126" s="49">
        <v>1</v>
      </c>
      <c r="F126" s="15"/>
      <c r="G126" s="26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8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1" t="s">
        <v>578</v>
      </c>
      <c r="C127" s="44" t="s">
        <v>69</v>
      </c>
      <c r="D127" s="80">
        <v>2360</v>
      </c>
      <c r="E127" s="49">
        <v>1</v>
      </c>
      <c r="F127" s="15"/>
      <c r="G127" s="26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 t="shared" si="8"/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1" t="s">
        <v>780</v>
      </c>
      <c r="C128" s="44" t="s">
        <v>411</v>
      </c>
      <c r="D128" s="80">
        <v>2617</v>
      </c>
      <c r="E128" s="49">
        <v>0.35</v>
      </c>
      <c r="F128" s="15"/>
      <c r="G128" s="26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 t="shared" si="8"/>
        <v>0.12249999999999998</v>
      </c>
      <c r="AD128" s="9"/>
      <c r="AE128" s="17" t="e">
        <f>AA128*#REF!</f>
        <v>#REF!</v>
      </c>
    </row>
    <row r="129" spans="2:31" ht="16.5" customHeight="1" outlineLevel="1" x14ac:dyDescent="0.25">
      <c r="B129" s="91" t="s">
        <v>781</v>
      </c>
      <c r="C129" s="44" t="s">
        <v>504</v>
      </c>
      <c r="D129" s="80">
        <v>2618</v>
      </c>
      <c r="E129" s="49">
        <v>0.4</v>
      </c>
      <c r="F129" s="15">
        <v>180</v>
      </c>
      <c r="G129" s="26">
        <f t="shared" si="6"/>
        <v>72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 t="shared" si="8"/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1" t="s">
        <v>782</v>
      </c>
      <c r="C130" s="44" t="s">
        <v>415</v>
      </c>
      <c r="D130" s="80">
        <v>0</v>
      </c>
      <c r="E130" s="49">
        <v>0.35</v>
      </c>
      <c r="F130" s="15"/>
      <c r="G130" s="26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 t="shared" si="8"/>
        <v>0.12249999999999998</v>
      </c>
      <c r="AD130" s="9"/>
      <c r="AE130" s="17" t="e">
        <f>AA130*#REF!</f>
        <v>#REF!</v>
      </c>
    </row>
    <row r="131" spans="2:31" ht="16.5" hidden="1" customHeight="1" outlineLevel="1" x14ac:dyDescent="0.25">
      <c r="B131" s="91" t="s">
        <v>783</v>
      </c>
      <c r="C131" s="44" t="s">
        <v>416</v>
      </c>
      <c r="D131" s="80">
        <v>2621</v>
      </c>
      <c r="E131" s="49">
        <v>0.4</v>
      </c>
      <c r="F131" s="15"/>
      <c r="G131" s="26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8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1" t="s">
        <v>784</v>
      </c>
      <c r="C132" s="44" t="s">
        <v>413</v>
      </c>
      <c r="D132" s="80">
        <v>2205</v>
      </c>
      <c r="E132" s="49">
        <v>0.4</v>
      </c>
      <c r="F132" s="15"/>
      <c r="G132" s="26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 t="shared" si="8"/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1" t="s">
        <v>785</v>
      </c>
      <c r="C133" s="44" t="s">
        <v>417</v>
      </c>
      <c r="D133" s="80">
        <v>2545</v>
      </c>
      <c r="E133" s="49">
        <v>0.35</v>
      </c>
      <c r="F133" s="15"/>
      <c r="G133" s="26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 t="shared" si="8"/>
        <v>0.12249999999999998</v>
      </c>
      <c r="AD133" s="9"/>
      <c r="AE133" s="17" t="e">
        <f>AA133*#REF!</f>
        <v>#REF!</v>
      </c>
    </row>
    <row r="134" spans="2:31" ht="16.5" customHeight="1" outlineLevel="1" x14ac:dyDescent="0.25">
      <c r="B134" s="91" t="s">
        <v>579</v>
      </c>
      <c r="C134" s="44" t="s">
        <v>387</v>
      </c>
      <c r="D134" s="80">
        <v>2725</v>
      </c>
      <c r="E134" s="49">
        <v>1</v>
      </c>
      <c r="F134" s="15">
        <v>30</v>
      </c>
      <c r="G134" s="26">
        <f t="shared" si="6"/>
        <v>30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 t="shared" si="8"/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1" t="s">
        <v>786</v>
      </c>
      <c r="C135" s="44" t="s">
        <v>418</v>
      </c>
      <c r="D135" s="80">
        <v>2361</v>
      </c>
      <c r="E135" s="49">
        <v>0.35</v>
      </c>
      <c r="F135" s="15"/>
      <c r="G135" s="26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 t="shared" si="8"/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1" t="s">
        <v>787</v>
      </c>
      <c r="C136" s="44" t="s">
        <v>414</v>
      </c>
      <c r="D136" s="80">
        <v>2462</v>
      </c>
      <c r="E136" s="49">
        <v>0.4</v>
      </c>
      <c r="F136" s="15"/>
      <c r="G136" s="26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 t="shared" si="8"/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1" t="s">
        <v>580</v>
      </c>
      <c r="C137" s="44" t="s">
        <v>385</v>
      </c>
      <c r="D137" s="80"/>
      <c r="E137" s="49">
        <v>1</v>
      </c>
      <c r="F137" s="15"/>
      <c r="G137" s="26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 t="shared" si="8"/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1" t="s">
        <v>788</v>
      </c>
      <c r="C138" s="44" t="s">
        <v>412</v>
      </c>
      <c r="D138" s="80">
        <v>0</v>
      </c>
      <c r="E138" s="49">
        <v>0.35</v>
      </c>
      <c r="F138" s="15"/>
      <c r="G138" s="26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8"/>
        <v>0.12249999999999998</v>
      </c>
      <c r="AD138" s="9"/>
      <c r="AE138" s="17" t="e">
        <f>AA138*#REF!</f>
        <v>#REF!</v>
      </c>
    </row>
    <row r="139" spans="2:31" ht="16.5" customHeight="1" outlineLevel="1" x14ac:dyDescent="0.25">
      <c r="B139" s="91" t="s">
        <v>581</v>
      </c>
      <c r="C139" s="44" t="s">
        <v>480</v>
      </c>
      <c r="D139" s="80">
        <v>2858</v>
      </c>
      <c r="E139" s="49">
        <v>1</v>
      </c>
      <c r="F139" s="15">
        <v>120</v>
      </c>
      <c r="G139" s="26">
        <f t="shared" si="6"/>
        <v>120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8"/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1" t="s">
        <v>789</v>
      </c>
      <c r="C140" s="44" t="s">
        <v>419</v>
      </c>
      <c r="D140" s="80">
        <v>2660</v>
      </c>
      <c r="E140" s="49">
        <v>0.35</v>
      </c>
      <c r="F140" s="15"/>
      <c r="G140" s="26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 t="shared" si="8"/>
        <v>0.12249999999999998</v>
      </c>
      <c r="AD140" s="9"/>
      <c r="AE140" s="17" t="e">
        <f>AA140*#REF!</f>
        <v>#REF!</v>
      </c>
    </row>
    <row r="141" spans="2:31" ht="16.5" customHeight="1" outlineLevel="1" x14ac:dyDescent="0.25">
      <c r="B141" s="91" t="s">
        <v>582</v>
      </c>
      <c r="C141" s="44" t="s">
        <v>389</v>
      </c>
      <c r="D141" s="80">
        <v>2756</v>
      </c>
      <c r="E141" s="49">
        <v>1</v>
      </c>
      <c r="F141" s="15">
        <v>120</v>
      </c>
      <c r="G141" s="26">
        <f t="shared" si="6"/>
        <v>120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 t="shared" si="8"/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1" t="s">
        <v>790</v>
      </c>
      <c r="C142" s="44" t="s">
        <v>421</v>
      </c>
      <c r="D142" s="80">
        <v>2801</v>
      </c>
      <c r="E142" s="49">
        <v>0.4</v>
      </c>
      <c r="F142" s="15"/>
      <c r="G142" s="26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8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1" t="s">
        <v>791</v>
      </c>
      <c r="C143" s="44" t="s">
        <v>422</v>
      </c>
      <c r="D143" s="80">
        <v>2799</v>
      </c>
      <c r="E143" s="49">
        <v>0.4</v>
      </c>
      <c r="F143" s="15"/>
      <c r="G143" s="26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8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1" t="s">
        <v>792</v>
      </c>
      <c r="C144" s="44" t="s">
        <v>423</v>
      </c>
      <c r="D144" s="80">
        <v>2826</v>
      </c>
      <c r="E144" s="49">
        <v>0.4</v>
      </c>
      <c r="F144" s="15"/>
      <c r="G144" s="26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 t="shared" si="8"/>
        <v>0.16000000000000003</v>
      </c>
      <c r="AD144" s="9"/>
      <c r="AE144" s="17" t="e">
        <f>AA144*#REF!</f>
        <v>#REF!</v>
      </c>
    </row>
    <row r="145" spans="2:31" ht="16.5" customHeight="1" outlineLevel="1" x14ac:dyDescent="0.25">
      <c r="B145" s="91" t="s">
        <v>583</v>
      </c>
      <c r="C145" s="44" t="s">
        <v>390</v>
      </c>
      <c r="D145" s="80">
        <v>2876</v>
      </c>
      <c r="E145" s="49">
        <v>1</v>
      </c>
      <c r="F145" s="15">
        <v>20</v>
      </c>
      <c r="G145" s="26">
        <f t="shared" si="6"/>
        <v>20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8"/>
        <v>1</v>
      </c>
      <c r="AD145" s="9"/>
      <c r="AE145" s="17" t="e">
        <f>AA145*#REF!</f>
        <v>#REF!</v>
      </c>
    </row>
    <row r="146" spans="2:31" ht="16.5" customHeight="1" outlineLevel="1" x14ac:dyDescent="0.25">
      <c r="B146" s="91" t="s">
        <v>584</v>
      </c>
      <c r="C146" s="44" t="s">
        <v>391</v>
      </c>
      <c r="D146" s="80">
        <v>2847</v>
      </c>
      <c r="E146" s="49">
        <v>1</v>
      </c>
      <c r="F146" s="15">
        <v>50</v>
      </c>
      <c r="G146" s="26">
        <f t="shared" si="6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 t="shared" si="8"/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1" t="s">
        <v>793</v>
      </c>
      <c r="C147" s="44" t="s">
        <v>424</v>
      </c>
      <c r="D147" s="80">
        <v>2877</v>
      </c>
      <c r="E147" s="49">
        <v>0.35</v>
      </c>
      <c r="F147" s="15"/>
      <c r="G147" s="26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8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1" t="s">
        <v>794</v>
      </c>
      <c r="C148" s="44" t="s">
        <v>420</v>
      </c>
      <c r="D148" s="80">
        <v>2848</v>
      </c>
      <c r="E148" s="49">
        <v>0.35</v>
      </c>
      <c r="F148" s="15"/>
      <c r="G148" s="26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 t="shared" si="8"/>
        <v>0.12249999999999998</v>
      </c>
      <c r="AD148" s="9"/>
      <c r="AE148" s="17" t="e">
        <f>AA148*#REF!</f>
        <v>#REF!</v>
      </c>
    </row>
    <row r="149" spans="2:31" ht="16.5" customHeight="1" outlineLevel="1" x14ac:dyDescent="0.25">
      <c r="B149" s="91" t="s">
        <v>795</v>
      </c>
      <c r="C149" s="44" t="s">
        <v>425</v>
      </c>
      <c r="D149" s="80">
        <v>2686</v>
      </c>
      <c r="E149" s="49">
        <v>0.4</v>
      </c>
      <c r="F149" s="15">
        <v>390</v>
      </c>
      <c r="G149" s="26">
        <f t="shared" si="6"/>
        <v>156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 t="shared" si="8"/>
        <v>0.16000000000000003</v>
      </c>
      <c r="AD149" s="9"/>
      <c r="AE149" s="17" t="e">
        <f>AA149*#REF!</f>
        <v>#REF!</v>
      </c>
    </row>
    <row r="150" spans="2:31" ht="16.5" hidden="1" customHeight="1" outlineLevel="1" x14ac:dyDescent="0.25">
      <c r="B150" s="91" t="s">
        <v>585</v>
      </c>
      <c r="C150" s="75" t="s">
        <v>366</v>
      </c>
      <c r="D150" s="80">
        <v>2828</v>
      </c>
      <c r="E150" s="49">
        <v>1</v>
      </c>
      <c r="F150" s="15"/>
      <c r="G150" s="26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8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1" t="s">
        <v>586</v>
      </c>
      <c r="C151" s="76" t="s">
        <v>367</v>
      </c>
      <c r="D151" s="80">
        <v>2830</v>
      </c>
      <c r="E151" s="49">
        <v>1</v>
      </c>
      <c r="F151" s="15"/>
      <c r="G151" s="26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8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1" t="s">
        <v>587</v>
      </c>
      <c r="C152" s="44" t="s">
        <v>392</v>
      </c>
      <c r="D152" s="80">
        <v>2808</v>
      </c>
      <c r="E152" s="49">
        <v>1</v>
      </c>
      <c r="F152" s="15"/>
      <c r="G152" s="26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8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1" t="s">
        <v>588</v>
      </c>
      <c r="C153" s="44" t="s">
        <v>368</v>
      </c>
      <c r="D153" s="80" t="s">
        <v>987</v>
      </c>
      <c r="E153" s="49">
        <v>1</v>
      </c>
      <c r="F153" s="15"/>
      <c r="G153" s="26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8"/>
        <v>1</v>
      </c>
      <c r="AD153" s="9"/>
      <c r="AE153" s="17" t="e">
        <f>AA153*#REF!</f>
        <v>#REF!</v>
      </c>
    </row>
    <row r="154" spans="2:31" ht="16.5" customHeight="1" outlineLevel="1" x14ac:dyDescent="0.25">
      <c r="B154" s="91" t="s">
        <v>589</v>
      </c>
      <c r="C154" s="44" t="s">
        <v>361</v>
      </c>
      <c r="D154" s="80" t="s">
        <v>988</v>
      </c>
      <c r="E154" s="49">
        <v>1</v>
      </c>
      <c r="F154" s="15">
        <v>300</v>
      </c>
      <c r="G154" s="26">
        <f t="shared" si="9"/>
        <v>300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 t="shared" si="8"/>
        <v>1</v>
      </c>
      <c r="AD154" s="9"/>
      <c r="AE154" s="17" t="e">
        <f>AA154*#REF!</f>
        <v>#REF!</v>
      </c>
    </row>
    <row r="155" spans="2:31" ht="16.5" hidden="1" customHeight="1" outlineLevel="1" x14ac:dyDescent="0.25">
      <c r="B155" s="91" t="s">
        <v>796</v>
      </c>
      <c r="C155" s="75" t="s">
        <v>375</v>
      </c>
      <c r="D155" s="80">
        <v>2815</v>
      </c>
      <c r="E155" s="49">
        <v>0.45</v>
      </c>
      <c r="F155" s="15"/>
      <c r="G155" s="26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 t="shared" si="8"/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1" t="s">
        <v>590</v>
      </c>
      <c r="C156" s="44" t="s">
        <v>393</v>
      </c>
      <c r="D156" s="80">
        <v>2811</v>
      </c>
      <c r="E156" s="49">
        <v>1</v>
      </c>
      <c r="F156" s="15"/>
      <c r="G156" s="26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8"/>
        <v>1</v>
      </c>
      <c r="AD156" s="9"/>
      <c r="AE156" s="17" t="e">
        <f>AA156*#REF!</f>
        <v>#REF!</v>
      </c>
    </row>
    <row r="157" spans="2:31" ht="16.5" customHeight="1" outlineLevel="1" x14ac:dyDescent="0.25">
      <c r="B157" s="91" t="s">
        <v>591</v>
      </c>
      <c r="C157" s="76" t="s">
        <v>394</v>
      </c>
      <c r="D157" s="80">
        <v>2805</v>
      </c>
      <c r="E157" s="49">
        <v>1</v>
      </c>
      <c r="F157" s="15">
        <v>100</v>
      </c>
      <c r="G157" s="26">
        <f t="shared" si="9"/>
        <v>100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 t="shared" si="8"/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1" t="s">
        <v>797</v>
      </c>
      <c r="C158" s="76" t="s">
        <v>513</v>
      </c>
      <c r="D158" s="80" t="s">
        <v>989</v>
      </c>
      <c r="E158" s="49">
        <v>0.45</v>
      </c>
      <c r="F158" s="15"/>
      <c r="G158" s="26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1" t="s">
        <v>798</v>
      </c>
      <c r="C159" s="44" t="s">
        <v>512</v>
      </c>
      <c r="D159" s="80">
        <v>2823</v>
      </c>
      <c r="E159" s="49">
        <v>0.45</v>
      </c>
      <c r="F159" s="15"/>
      <c r="G159" s="26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ref="AC159:AC167" si="10"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1" t="s">
        <v>799</v>
      </c>
      <c r="C160" s="75" t="s">
        <v>376</v>
      </c>
      <c r="D160" s="80">
        <v>2814</v>
      </c>
      <c r="E160" s="49">
        <v>0.45</v>
      </c>
      <c r="F160" s="15"/>
      <c r="G160" s="26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 t="shared" si="10"/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1" t="s">
        <v>581</v>
      </c>
      <c r="C161" s="44" t="s">
        <v>395</v>
      </c>
      <c r="D161" s="80">
        <v>2858</v>
      </c>
      <c r="E161" s="49">
        <v>1</v>
      </c>
      <c r="F161" s="15"/>
      <c r="G161" s="26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0"/>
        <v>1</v>
      </c>
      <c r="AD161" s="9"/>
      <c r="AE161" s="17" t="e">
        <f>AA161*#REF!</f>
        <v>#REF!</v>
      </c>
    </row>
    <row r="162" spans="2:31" ht="16.5" customHeight="1" outlineLevel="1" x14ac:dyDescent="0.25">
      <c r="B162" s="91" t="s">
        <v>592</v>
      </c>
      <c r="C162" s="44" t="s">
        <v>396</v>
      </c>
      <c r="D162" s="80">
        <v>2795</v>
      </c>
      <c r="E162" s="49">
        <v>1</v>
      </c>
      <c r="F162" s="15">
        <v>100</v>
      </c>
      <c r="G162" s="26">
        <f t="shared" si="9"/>
        <v>100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 t="shared" si="10"/>
        <v>1</v>
      </c>
      <c r="AD162" s="9"/>
      <c r="AE162" s="17" t="e">
        <f>AA162*#REF!</f>
        <v>#REF!</v>
      </c>
    </row>
    <row r="163" spans="2:31" ht="16.5" customHeight="1" outlineLevel="1" x14ac:dyDescent="0.25">
      <c r="B163" s="91" t="s">
        <v>800</v>
      </c>
      <c r="C163" s="44" t="s">
        <v>426</v>
      </c>
      <c r="D163" s="80">
        <v>2758</v>
      </c>
      <c r="E163" s="49">
        <v>0.4</v>
      </c>
      <c r="F163" s="15">
        <v>36</v>
      </c>
      <c r="G163" s="26">
        <f t="shared" si="9"/>
        <v>14.4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0"/>
        <v>0.16000000000000003</v>
      </c>
      <c r="AD163" s="9"/>
      <c r="AE163" s="17" t="e">
        <f>AA163*#REF!</f>
        <v>#REF!</v>
      </c>
    </row>
    <row r="164" spans="2:31" ht="16.5" customHeight="1" outlineLevel="1" x14ac:dyDescent="0.25">
      <c r="B164" s="91" t="s">
        <v>801</v>
      </c>
      <c r="C164" s="44" t="s">
        <v>427</v>
      </c>
      <c r="D164" s="80">
        <v>2759</v>
      </c>
      <c r="E164" s="49">
        <v>0.4</v>
      </c>
      <c r="F164" s="15">
        <v>36</v>
      </c>
      <c r="G164" s="26">
        <f t="shared" si="9"/>
        <v>14.4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 t="shared" si="10"/>
        <v>0.16000000000000003</v>
      </c>
      <c r="AD164" s="9"/>
      <c r="AE164" s="17" t="e">
        <f>AA164*#REF!</f>
        <v>#REF!</v>
      </c>
    </row>
    <row r="165" spans="2:31" ht="16.5" hidden="1" customHeight="1" outlineLevel="1" x14ac:dyDescent="0.25">
      <c r="B165" s="91" t="s">
        <v>593</v>
      </c>
      <c r="C165" s="75" t="s">
        <v>369</v>
      </c>
      <c r="D165" s="80">
        <v>2829</v>
      </c>
      <c r="E165" s="49">
        <v>1</v>
      </c>
      <c r="F165" s="15"/>
      <c r="G165" s="26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0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1" t="s">
        <v>594</v>
      </c>
      <c r="C166" s="44" t="s">
        <v>397</v>
      </c>
      <c r="D166" s="80">
        <v>2857</v>
      </c>
      <c r="E166" s="49">
        <v>1</v>
      </c>
      <c r="F166" s="15"/>
      <c r="G166" s="26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0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1" t="s">
        <v>595</v>
      </c>
      <c r="C167" s="44" t="s">
        <v>363</v>
      </c>
      <c r="D167" s="80">
        <v>64</v>
      </c>
      <c r="E167" s="49">
        <v>1</v>
      </c>
      <c r="F167" s="15"/>
      <c r="G167" s="26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 t="shared" si="10"/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1" t="s">
        <v>596</v>
      </c>
      <c r="C168" s="76" t="s">
        <v>507</v>
      </c>
      <c r="D168" s="80">
        <v>2833</v>
      </c>
      <c r="E168" s="49">
        <v>1</v>
      </c>
      <c r="F168" s="15"/>
      <c r="G168" s="26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1" t="s">
        <v>597</v>
      </c>
      <c r="C169" s="76" t="s">
        <v>509</v>
      </c>
      <c r="D169" s="80">
        <v>2947</v>
      </c>
      <c r="E169" s="49">
        <v>1</v>
      </c>
      <c r="F169" s="15"/>
      <c r="G169" s="26">
        <f t="shared" si="9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1" t="s">
        <v>598</v>
      </c>
      <c r="C170" s="44" t="s">
        <v>991</v>
      </c>
      <c r="D170" s="80"/>
      <c r="E170" s="49">
        <v>1</v>
      </c>
      <c r="F170" s="15"/>
      <c r="G170" s="26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 t="shared" ref="AC170:AC176" si="11">AA170*E170</f>
        <v>1</v>
      </c>
      <c r="AD170" s="9"/>
      <c r="AE170" s="17" t="e">
        <f>AA170*#REF!</f>
        <v>#REF!</v>
      </c>
    </row>
    <row r="171" spans="2:31" ht="16.5" customHeight="1" outlineLevel="1" x14ac:dyDescent="0.25">
      <c r="B171" s="91" t="s">
        <v>802</v>
      </c>
      <c r="C171" s="72" t="s">
        <v>992</v>
      </c>
      <c r="D171" s="80">
        <v>2844</v>
      </c>
      <c r="E171" s="49">
        <v>0.4</v>
      </c>
      <c r="F171" s="15">
        <v>420</v>
      </c>
      <c r="G171" s="26">
        <f t="shared" si="9"/>
        <v>168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 t="shared" si="11"/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1" t="s">
        <v>598</v>
      </c>
      <c r="C172" s="44" t="s">
        <v>388</v>
      </c>
      <c r="D172" s="80"/>
      <c r="E172" s="49">
        <v>1</v>
      </c>
      <c r="F172" s="15"/>
      <c r="G172" s="26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1"/>
        <v>1</v>
      </c>
      <c r="AD172" s="9"/>
      <c r="AE172" s="17" t="e">
        <f>AA172*#REF!</f>
        <v>#REF!</v>
      </c>
    </row>
    <row r="173" spans="2:31" ht="16.5" customHeight="1" outlineLevel="1" x14ac:dyDescent="0.25">
      <c r="B173" s="91" t="s">
        <v>803</v>
      </c>
      <c r="C173" s="72" t="s">
        <v>993</v>
      </c>
      <c r="D173" s="80">
        <v>2842</v>
      </c>
      <c r="E173" s="49">
        <v>0.4</v>
      </c>
      <c r="F173" s="15">
        <v>180</v>
      </c>
      <c r="G173" s="26">
        <f t="shared" si="9"/>
        <v>72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 t="shared" si="11"/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1" t="s">
        <v>804</v>
      </c>
      <c r="C174" s="44" t="s">
        <v>994</v>
      </c>
      <c r="D174" s="80">
        <v>665</v>
      </c>
      <c r="E174" s="49">
        <v>0.35</v>
      </c>
      <c r="F174" s="15"/>
      <c r="G174" s="26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1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1" t="s">
        <v>805</v>
      </c>
      <c r="C175" s="44" t="s">
        <v>995</v>
      </c>
      <c r="D175" s="80">
        <v>2848</v>
      </c>
      <c r="E175" s="49">
        <v>0.35</v>
      </c>
      <c r="F175" s="15"/>
      <c r="G175" s="26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1"/>
        <v>0.12249999999999998</v>
      </c>
      <c r="AD175" s="9"/>
      <c r="AE175" s="17" t="e">
        <f>AA175*#REF!</f>
        <v>#REF!</v>
      </c>
    </row>
    <row r="176" spans="2:31" ht="16.5" customHeight="1" outlineLevel="1" x14ac:dyDescent="0.25">
      <c r="B176" s="91" t="s">
        <v>806</v>
      </c>
      <c r="C176" s="44" t="s">
        <v>996</v>
      </c>
      <c r="D176" s="80">
        <v>2603</v>
      </c>
      <c r="E176" s="49">
        <v>0.35</v>
      </c>
      <c r="F176" s="15">
        <v>24</v>
      </c>
      <c r="G176" s="26">
        <f t="shared" si="9"/>
        <v>8.3999999999999986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 t="shared" si="11"/>
        <v>0.12249999999999998</v>
      </c>
      <c r="AD176" s="9"/>
      <c r="AE176" s="17" t="e">
        <f>AA176*#REF!</f>
        <v>#REF!</v>
      </c>
    </row>
    <row r="177" spans="2:31" ht="16.5" customHeight="1" outlineLevel="1" x14ac:dyDescent="0.25">
      <c r="B177" s="91" t="s">
        <v>599</v>
      </c>
      <c r="C177" s="76" t="s">
        <v>510</v>
      </c>
      <c r="D177" s="80">
        <v>2941</v>
      </c>
      <c r="E177" s="49">
        <v>1</v>
      </c>
      <c r="F177" s="15">
        <v>50</v>
      </c>
      <c r="G177" s="26">
        <f t="shared" si="9"/>
        <v>50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customHeight="1" outlineLevel="1" x14ac:dyDescent="0.25">
      <c r="B178" s="91" t="s">
        <v>598</v>
      </c>
      <c r="C178" s="44" t="s">
        <v>997</v>
      </c>
      <c r="D178" s="80">
        <v>2943</v>
      </c>
      <c r="E178" s="49">
        <v>1</v>
      </c>
      <c r="F178" s="15">
        <v>150</v>
      </c>
      <c r="G178" s="26">
        <f t="shared" si="9"/>
        <v>150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customHeight="1" outlineLevel="1" x14ac:dyDescent="0.25">
      <c r="B179" s="91" t="s">
        <v>598</v>
      </c>
      <c r="C179" s="44" t="s">
        <v>478</v>
      </c>
      <c r="D179" s="80"/>
      <c r="E179" s="49">
        <v>1</v>
      </c>
      <c r="F179" s="15">
        <v>50</v>
      </c>
      <c r="G179" s="26">
        <f t="shared" si="9"/>
        <v>50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customHeight="1" outlineLevel="1" thickBot="1" x14ac:dyDescent="0.3">
      <c r="B180" s="91" t="s">
        <v>600</v>
      </c>
      <c r="C180" s="77" t="s">
        <v>511</v>
      </c>
      <c r="D180" s="80">
        <v>2945</v>
      </c>
      <c r="E180" s="49">
        <v>1</v>
      </c>
      <c r="F180" s="15">
        <v>100</v>
      </c>
      <c r="G180" s="34">
        <f t="shared" si="9"/>
        <v>100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1" t="s">
        <v>601</v>
      </c>
      <c r="C181" s="42" t="s">
        <v>268</v>
      </c>
      <c r="D181" s="81"/>
      <c r="E181" s="48"/>
      <c r="F181" s="27">
        <f>SUM(F182:F265)</f>
        <v>0</v>
      </c>
      <c r="G181" s="59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1" t="s">
        <v>807</v>
      </c>
      <c r="C182" s="51" t="s">
        <v>99</v>
      </c>
      <c r="D182" s="51"/>
      <c r="E182" s="56">
        <v>0.3</v>
      </c>
      <c r="F182" s="60"/>
      <c r="G182" s="33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 t="shared" ref="AC182:AC213" si="12"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1" t="s">
        <v>602</v>
      </c>
      <c r="C183" s="44" t="s">
        <v>100</v>
      </c>
      <c r="D183" s="44"/>
      <c r="E183" s="57">
        <v>1</v>
      </c>
      <c r="F183" s="61"/>
      <c r="G183" s="26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2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1" t="s">
        <v>603</v>
      </c>
      <c r="C184" s="44" t="s">
        <v>101</v>
      </c>
      <c r="D184" s="44"/>
      <c r="E184" s="57">
        <v>1</v>
      </c>
      <c r="F184" s="61"/>
      <c r="G184" s="26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2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1" t="s">
        <v>604</v>
      </c>
      <c r="C185" s="44" t="s">
        <v>102</v>
      </c>
      <c r="D185" s="44"/>
      <c r="E185" s="57">
        <v>1</v>
      </c>
      <c r="F185" s="61"/>
      <c r="G185" s="26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 t="shared" si="12"/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1" t="s">
        <v>808</v>
      </c>
      <c r="C186" s="44" t="s">
        <v>103</v>
      </c>
      <c r="D186" s="44"/>
      <c r="E186" s="57">
        <v>0.35</v>
      </c>
      <c r="F186" s="61"/>
      <c r="G186" s="26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 t="shared" si="12"/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1" t="s">
        <v>809</v>
      </c>
      <c r="C187" s="44" t="s">
        <v>104</v>
      </c>
      <c r="D187" s="44"/>
      <c r="E187" s="57">
        <v>0.3</v>
      </c>
      <c r="F187" s="61"/>
      <c r="G187" s="26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 t="shared" si="12"/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1" t="s">
        <v>810</v>
      </c>
      <c r="C188" s="44" t="s">
        <v>105</v>
      </c>
      <c r="D188" s="44"/>
      <c r="E188" s="57">
        <v>0.35</v>
      </c>
      <c r="F188" s="61"/>
      <c r="G188" s="26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 t="shared" si="12"/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1" t="s">
        <v>605</v>
      </c>
      <c r="C189" s="44" t="s">
        <v>106</v>
      </c>
      <c r="D189" s="44"/>
      <c r="E189" s="57">
        <v>1</v>
      </c>
      <c r="F189" s="61"/>
      <c r="G189" s="26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 t="shared" si="12"/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1" t="s">
        <v>811</v>
      </c>
      <c r="C190" s="44" t="s">
        <v>275</v>
      </c>
      <c r="D190" s="44"/>
      <c r="E190" s="57">
        <v>0.35</v>
      </c>
      <c r="F190" s="61"/>
      <c r="G190" s="26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 t="shared" si="12"/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1" t="s">
        <v>812</v>
      </c>
      <c r="C191" s="44" t="s">
        <v>184</v>
      </c>
      <c r="D191" s="44"/>
      <c r="E191" s="57">
        <v>9.5000000000000001E-2</v>
      </c>
      <c r="F191" s="61"/>
      <c r="G191" s="26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2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1" t="s">
        <v>813</v>
      </c>
      <c r="C192" s="44" t="s">
        <v>185</v>
      </c>
      <c r="D192" s="44"/>
      <c r="E192" s="57">
        <v>9.5000000000000001E-2</v>
      </c>
      <c r="F192" s="61"/>
      <c r="G192" s="26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2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1" t="s">
        <v>814</v>
      </c>
      <c r="C193" s="44" t="s">
        <v>186</v>
      </c>
      <c r="D193" s="44"/>
      <c r="E193" s="57">
        <v>9.5000000000000001E-2</v>
      </c>
      <c r="F193" s="61"/>
      <c r="G193" s="26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 t="shared" si="12"/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1" t="s">
        <v>815</v>
      </c>
      <c r="C194" s="44" t="s">
        <v>276</v>
      </c>
      <c r="D194" s="44"/>
      <c r="E194" s="57">
        <v>0.2</v>
      </c>
      <c r="F194" s="61"/>
      <c r="G194" s="26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 t="shared" si="12"/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1" t="s">
        <v>606</v>
      </c>
      <c r="C195" s="44" t="s">
        <v>234</v>
      </c>
      <c r="D195" s="44"/>
      <c r="E195" s="57">
        <v>1</v>
      </c>
      <c r="F195" s="61"/>
      <c r="G195" s="26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2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1" t="s">
        <v>607</v>
      </c>
      <c r="C196" s="44" t="s">
        <v>235</v>
      </c>
      <c r="D196" s="44"/>
      <c r="E196" s="57">
        <v>1</v>
      </c>
      <c r="F196" s="61"/>
      <c r="G196" s="26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 t="shared" si="12"/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1" t="s">
        <v>816</v>
      </c>
      <c r="C197" s="44" t="s">
        <v>236</v>
      </c>
      <c r="D197" s="44"/>
      <c r="E197" s="57">
        <v>0.3</v>
      </c>
      <c r="F197" s="61"/>
      <c r="G197" s="26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 t="shared" si="12"/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1" t="s">
        <v>817</v>
      </c>
      <c r="C198" s="44" t="s">
        <v>237</v>
      </c>
      <c r="D198" s="44"/>
      <c r="E198" s="57">
        <v>0.2</v>
      </c>
      <c r="F198" s="61"/>
      <c r="G198" s="26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2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1" t="s">
        <v>818</v>
      </c>
      <c r="C199" s="44" t="s">
        <v>238</v>
      </c>
      <c r="D199" s="44"/>
      <c r="E199" s="57">
        <v>0.2</v>
      </c>
      <c r="F199" s="61"/>
      <c r="G199" s="26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2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1" t="s">
        <v>819</v>
      </c>
      <c r="C200" s="44" t="s">
        <v>239</v>
      </c>
      <c r="D200" s="44"/>
      <c r="E200" s="57">
        <v>0.2</v>
      </c>
      <c r="F200" s="61"/>
      <c r="G200" s="26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2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1" t="s">
        <v>820</v>
      </c>
      <c r="C201" s="44" t="s">
        <v>240</v>
      </c>
      <c r="D201" s="44"/>
      <c r="E201" s="57">
        <v>0.2</v>
      </c>
      <c r="F201" s="61"/>
      <c r="G201" s="26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 t="shared" si="12"/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1" t="s">
        <v>821</v>
      </c>
      <c r="C202" s="44" t="s">
        <v>241</v>
      </c>
      <c r="D202" s="44"/>
      <c r="E202" s="57">
        <v>0.25</v>
      </c>
      <c r="F202" s="61"/>
      <c r="G202" s="26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 t="shared" si="12"/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1" t="s">
        <v>608</v>
      </c>
      <c r="C203" s="44" t="s">
        <v>227</v>
      </c>
      <c r="D203" s="44"/>
      <c r="E203" s="57">
        <v>1</v>
      </c>
      <c r="F203" s="61"/>
      <c r="G203" s="26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 t="shared" si="12"/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1" t="s">
        <v>822</v>
      </c>
      <c r="C204" s="44" t="s">
        <v>228</v>
      </c>
      <c r="D204" s="44"/>
      <c r="E204" s="57">
        <v>0.3</v>
      </c>
      <c r="F204" s="61"/>
      <c r="G204" s="26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 t="shared" si="12"/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1" t="s">
        <v>609</v>
      </c>
      <c r="C205" s="44" t="s">
        <v>242</v>
      </c>
      <c r="D205" s="44"/>
      <c r="E205" s="57">
        <v>1</v>
      </c>
      <c r="F205" s="61"/>
      <c r="G205" s="26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2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1" t="s">
        <v>823</v>
      </c>
      <c r="C206" s="44" t="s">
        <v>229</v>
      </c>
      <c r="D206" s="44"/>
      <c r="E206" s="57">
        <v>1</v>
      </c>
      <c r="F206" s="61"/>
      <c r="G206" s="26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2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1" t="s">
        <v>610</v>
      </c>
      <c r="C207" s="44" t="s">
        <v>107</v>
      </c>
      <c r="D207" s="44"/>
      <c r="E207" s="57">
        <v>1</v>
      </c>
      <c r="F207" s="61"/>
      <c r="G207" s="26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 t="shared" si="12"/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1" t="s">
        <v>824</v>
      </c>
      <c r="C208" s="44" t="s">
        <v>108</v>
      </c>
      <c r="D208" s="44"/>
      <c r="E208" s="57">
        <v>0.15</v>
      </c>
      <c r="F208" s="61"/>
      <c r="G208" s="26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 t="shared" si="12"/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1" t="s">
        <v>825</v>
      </c>
      <c r="C209" s="44" t="s">
        <v>109</v>
      </c>
      <c r="D209" s="44"/>
      <c r="E209" s="57">
        <v>0.35</v>
      </c>
      <c r="F209" s="61"/>
      <c r="G209" s="26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 t="shared" si="12"/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1" t="s">
        <v>611</v>
      </c>
      <c r="C210" s="44" t="s">
        <v>110</v>
      </c>
      <c r="D210" s="44"/>
      <c r="E210" s="57">
        <v>1</v>
      </c>
      <c r="F210" s="61"/>
      <c r="G210" s="26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2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1" t="s">
        <v>612</v>
      </c>
      <c r="C211" s="44" t="s">
        <v>111</v>
      </c>
      <c r="D211" s="44"/>
      <c r="E211" s="57">
        <v>1</v>
      </c>
      <c r="F211" s="61"/>
      <c r="G211" s="26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 t="shared" si="12"/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1" t="s">
        <v>826</v>
      </c>
      <c r="C212" s="44" t="s">
        <v>112</v>
      </c>
      <c r="D212" s="44"/>
      <c r="E212" s="57">
        <v>0.35</v>
      </c>
      <c r="F212" s="61"/>
      <c r="G212" s="26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 t="shared" si="12"/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1" t="s">
        <v>613</v>
      </c>
      <c r="C213" s="44" t="s">
        <v>486</v>
      </c>
      <c r="D213" s="44"/>
      <c r="E213" s="57">
        <v>1</v>
      </c>
      <c r="F213" s="61"/>
      <c r="G213" s="26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si="12"/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1" t="s">
        <v>827</v>
      </c>
      <c r="C214" s="44" t="s">
        <v>113</v>
      </c>
      <c r="D214" s="44"/>
      <c r="E214" s="57">
        <v>1</v>
      </c>
      <c r="F214" s="61"/>
      <c r="G214" s="26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ref="AC214:AC245" si="13"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1" t="s">
        <v>613</v>
      </c>
      <c r="C215" s="44" t="s">
        <v>114</v>
      </c>
      <c r="D215" s="44"/>
      <c r="E215" s="57">
        <v>1</v>
      </c>
      <c r="F215" s="61"/>
      <c r="G215" s="26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3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1" t="s">
        <v>614</v>
      </c>
      <c r="C216" s="44" t="s">
        <v>115</v>
      </c>
      <c r="D216" s="44"/>
      <c r="E216" s="57">
        <v>1</v>
      </c>
      <c r="F216" s="61"/>
      <c r="G216" s="26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3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1" t="s">
        <v>615</v>
      </c>
      <c r="C217" s="44" t="s">
        <v>116</v>
      </c>
      <c r="D217" s="44"/>
      <c r="E217" s="57">
        <v>1</v>
      </c>
      <c r="F217" s="61"/>
      <c r="G217" s="26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 t="shared" si="13"/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1" t="s">
        <v>828</v>
      </c>
      <c r="C218" s="44" t="s">
        <v>117</v>
      </c>
      <c r="D218" s="44"/>
      <c r="E218" s="57">
        <v>0.35</v>
      </c>
      <c r="F218" s="61"/>
      <c r="G218" s="26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 t="shared" si="13"/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1" t="s">
        <v>616</v>
      </c>
      <c r="C219" s="44" t="s">
        <v>118</v>
      </c>
      <c r="D219" s="44"/>
      <c r="E219" s="57">
        <v>1</v>
      </c>
      <c r="F219" s="61"/>
      <c r="G219" s="26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3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1" t="s">
        <v>617</v>
      </c>
      <c r="C220" s="44" t="s">
        <v>119</v>
      </c>
      <c r="D220" s="44"/>
      <c r="E220" s="57">
        <v>1</v>
      </c>
      <c r="F220" s="61"/>
      <c r="G220" s="26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3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1" t="s">
        <v>829</v>
      </c>
      <c r="C221" s="44" t="s">
        <v>120</v>
      </c>
      <c r="D221" s="44"/>
      <c r="E221" s="57">
        <v>1</v>
      </c>
      <c r="F221" s="61"/>
      <c r="G221" s="26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3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1" t="s">
        <v>830</v>
      </c>
      <c r="C222" s="44" t="s">
        <v>121</v>
      </c>
      <c r="D222" s="44"/>
      <c r="E222" s="57">
        <v>1</v>
      </c>
      <c r="F222" s="61"/>
      <c r="G222" s="26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3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1" t="s">
        <v>831</v>
      </c>
      <c r="C223" s="44" t="s">
        <v>122</v>
      </c>
      <c r="D223" s="44"/>
      <c r="E223" s="57">
        <v>1</v>
      </c>
      <c r="F223" s="61"/>
      <c r="G223" s="26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3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1" t="s">
        <v>832</v>
      </c>
      <c r="C224" s="44" t="s">
        <v>123</v>
      </c>
      <c r="D224" s="44"/>
      <c r="E224" s="57">
        <v>1</v>
      </c>
      <c r="F224" s="61"/>
      <c r="G224" s="26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 t="shared" si="13"/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1" t="s">
        <v>833</v>
      </c>
      <c r="C225" s="44" t="s">
        <v>124</v>
      </c>
      <c r="D225" s="44"/>
      <c r="E225" s="57">
        <v>0.25</v>
      </c>
      <c r="F225" s="61"/>
      <c r="G225" s="26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 t="shared" si="13"/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1" t="s">
        <v>618</v>
      </c>
      <c r="C226" s="44" t="s">
        <v>125</v>
      </c>
      <c r="D226" s="44"/>
      <c r="E226" s="57">
        <v>1</v>
      </c>
      <c r="F226" s="61"/>
      <c r="G226" s="26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3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1" t="s">
        <v>619</v>
      </c>
      <c r="C227" s="44" t="s">
        <v>126</v>
      </c>
      <c r="D227" s="44"/>
      <c r="E227" s="57">
        <v>1</v>
      </c>
      <c r="F227" s="61"/>
      <c r="G227" s="26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3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1" t="s">
        <v>620</v>
      </c>
      <c r="C228" s="44" t="s">
        <v>127</v>
      </c>
      <c r="D228" s="44"/>
      <c r="E228" s="57">
        <v>1</v>
      </c>
      <c r="F228" s="61"/>
      <c r="G228" s="26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3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1" t="s">
        <v>621</v>
      </c>
      <c r="C229" s="44" t="s">
        <v>128</v>
      </c>
      <c r="D229" s="44"/>
      <c r="E229" s="57">
        <v>1</v>
      </c>
      <c r="F229" s="61"/>
      <c r="G229" s="26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3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1" t="s">
        <v>622</v>
      </c>
      <c r="C230" s="44" t="s">
        <v>129</v>
      </c>
      <c r="D230" s="44"/>
      <c r="E230" s="57">
        <v>1</v>
      </c>
      <c r="F230" s="61"/>
      <c r="G230" s="26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3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1" t="s">
        <v>623</v>
      </c>
      <c r="C231" s="44" t="s">
        <v>130</v>
      </c>
      <c r="D231" s="44"/>
      <c r="E231" s="57">
        <v>1</v>
      </c>
      <c r="F231" s="61"/>
      <c r="G231" s="26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3"/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1" t="s">
        <v>834</v>
      </c>
      <c r="C232" s="73" t="s">
        <v>484</v>
      </c>
      <c r="D232" s="73"/>
      <c r="E232" s="57">
        <v>0.1</v>
      </c>
      <c r="F232" s="61"/>
      <c r="G232" s="26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3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1" t="s">
        <v>835</v>
      </c>
      <c r="C233" s="73" t="s">
        <v>485</v>
      </c>
      <c r="D233" s="73"/>
      <c r="E233" s="57">
        <v>0.1</v>
      </c>
      <c r="F233" s="61"/>
      <c r="G233" s="26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3"/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1" t="s">
        <v>836</v>
      </c>
      <c r="C234" s="44" t="s">
        <v>264</v>
      </c>
      <c r="D234" s="44"/>
      <c r="E234" s="57">
        <v>1</v>
      </c>
      <c r="F234" s="61"/>
      <c r="G234" s="26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 t="shared" si="13"/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1" t="s">
        <v>624</v>
      </c>
      <c r="C235" s="44" t="s">
        <v>263</v>
      </c>
      <c r="D235" s="44"/>
      <c r="E235" s="57">
        <v>0.6</v>
      </c>
      <c r="F235" s="61"/>
      <c r="G235" s="26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3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1" t="s">
        <v>625</v>
      </c>
      <c r="C236" s="44" t="s">
        <v>265</v>
      </c>
      <c r="D236" s="44"/>
      <c r="E236" s="57">
        <v>0.6</v>
      </c>
      <c r="F236" s="61"/>
      <c r="G236" s="26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 t="shared" si="13"/>
        <v>0.36</v>
      </c>
      <c r="AD236" s="9"/>
      <c r="AE236" s="17" t="e">
        <f>AA236*#REF!</f>
        <v>#REF!</v>
      </c>
    </row>
    <row r="237" spans="2:31" ht="16.5" hidden="1" customHeight="1" outlineLevel="1" x14ac:dyDescent="0.25">
      <c r="B237" s="91" t="s">
        <v>626</v>
      </c>
      <c r="C237" s="44" t="s">
        <v>266</v>
      </c>
      <c r="D237" s="44"/>
      <c r="E237" s="57">
        <v>1</v>
      </c>
      <c r="F237" s="61"/>
      <c r="G237" s="26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3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1" t="s">
        <v>627</v>
      </c>
      <c r="C238" s="44" t="s">
        <v>262</v>
      </c>
      <c r="D238" s="44"/>
      <c r="E238" s="57">
        <v>1</v>
      </c>
      <c r="F238" s="61"/>
      <c r="G238" s="26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 t="shared" si="13"/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1" t="s">
        <v>837</v>
      </c>
      <c r="C239" s="44" t="s">
        <v>505</v>
      </c>
      <c r="D239" s="44"/>
      <c r="E239" s="57">
        <v>0.8</v>
      </c>
      <c r="F239" s="61"/>
      <c r="G239" s="26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3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1" t="s">
        <v>838</v>
      </c>
      <c r="C240" s="44" t="s">
        <v>506</v>
      </c>
      <c r="D240" s="44"/>
      <c r="E240" s="57">
        <v>0.8</v>
      </c>
      <c r="F240" s="61"/>
      <c r="G240" s="26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 t="shared" si="13"/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25">
      <c r="B241" s="91" t="s">
        <v>628</v>
      </c>
      <c r="C241" s="44" t="s">
        <v>307</v>
      </c>
      <c r="D241" s="44"/>
      <c r="E241" s="57">
        <v>0.4</v>
      </c>
      <c r="F241" s="61"/>
      <c r="G241" s="26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3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1" t="s">
        <v>629</v>
      </c>
      <c r="C242" s="44" t="s">
        <v>308</v>
      </c>
      <c r="D242" s="44"/>
      <c r="E242" s="57">
        <v>0.4</v>
      </c>
      <c r="F242" s="61"/>
      <c r="G242" s="26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 t="shared" si="13"/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25">
      <c r="B243" s="91" t="s">
        <v>630</v>
      </c>
      <c r="C243" s="44" t="s">
        <v>309</v>
      </c>
      <c r="D243" s="44"/>
      <c r="E243" s="57">
        <v>8.5000000000000006E-2</v>
      </c>
      <c r="F243" s="61"/>
      <c r="G243" s="26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 t="shared" si="13"/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25">
      <c r="B244" s="91" t="s">
        <v>631</v>
      </c>
      <c r="C244" s="44" t="s">
        <v>310</v>
      </c>
      <c r="D244" s="44"/>
      <c r="E244" s="57">
        <v>0.3</v>
      </c>
      <c r="F244" s="61"/>
      <c r="G244" s="26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3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1" t="s">
        <v>632</v>
      </c>
      <c r="C245" s="44" t="s">
        <v>311</v>
      </c>
      <c r="D245" s="44"/>
      <c r="E245" s="57">
        <v>0.3</v>
      </c>
      <c r="F245" s="61"/>
      <c r="G245" s="26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 t="shared" si="13"/>
        <v>0.09</v>
      </c>
      <c r="AD245" s="9"/>
      <c r="AE245" s="17" t="e">
        <f>AA245*#REF!</f>
        <v>#REF!</v>
      </c>
    </row>
    <row r="246" spans="2:31" ht="16.5" hidden="1" customHeight="1" outlineLevel="1" x14ac:dyDescent="0.25">
      <c r="B246" s="91" t="s">
        <v>633</v>
      </c>
      <c r="C246" s="44" t="s">
        <v>302</v>
      </c>
      <c r="D246" s="44"/>
      <c r="E246" s="57">
        <v>0.28000000000000003</v>
      </c>
      <c r="F246" s="61"/>
      <c r="G246" s="26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 t="shared" ref="AC246:AC265" si="15"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25">
      <c r="B247" s="91" t="s">
        <v>634</v>
      </c>
      <c r="C247" s="44" t="s">
        <v>303</v>
      </c>
      <c r="D247" s="44"/>
      <c r="E247" s="57">
        <v>0.3</v>
      </c>
      <c r="F247" s="61"/>
      <c r="G247" s="26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 t="shared" si="15"/>
        <v>0.09</v>
      </c>
      <c r="AD247" s="9"/>
      <c r="AE247" s="17" t="e">
        <f>AA247*#REF!</f>
        <v>#REF!</v>
      </c>
    </row>
    <row r="248" spans="2:31" ht="16.5" hidden="1" customHeight="1" outlineLevel="1" x14ac:dyDescent="0.25">
      <c r="B248" s="91" t="s">
        <v>635</v>
      </c>
      <c r="C248" s="44" t="s">
        <v>304</v>
      </c>
      <c r="D248" s="44"/>
      <c r="E248" s="57">
        <v>0.21</v>
      </c>
      <c r="F248" s="61"/>
      <c r="G248" s="26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 t="shared" si="15"/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25">
      <c r="B249" s="91" t="s">
        <v>636</v>
      </c>
      <c r="C249" s="44" t="s">
        <v>312</v>
      </c>
      <c r="D249" s="44"/>
      <c r="E249" s="57">
        <v>0.4</v>
      </c>
      <c r="F249" s="61"/>
      <c r="G249" s="26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 t="shared" si="15"/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25">
      <c r="B250" s="91" t="s">
        <v>637</v>
      </c>
      <c r="C250" s="44" t="s">
        <v>313</v>
      </c>
      <c r="D250" s="44"/>
      <c r="E250" s="57">
        <v>1</v>
      </c>
      <c r="F250" s="61"/>
      <c r="G250" s="26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 t="shared" si="15"/>
        <v>1</v>
      </c>
      <c r="AD250" s="9"/>
      <c r="AE250" s="17" t="e">
        <f>AA250*#REF!</f>
        <v>#REF!</v>
      </c>
    </row>
    <row r="251" spans="2:31" ht="16.5" hidden="1" customHeight="1" outlineLevel="1" x14ac:dyDescent="0.25">
      <c r="B251" s="91" t="s">
        <v>638</v>
      </c>
      <c r="C251" s="44" t="s">
        <v>314</v>
      </c>
      <c r="D251" s="44"/>
      <c r="E251" s="57">
        <v>0.3</v>
      </c>
      <c r="F251" s="61"/>
      <c r="G251" s="26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 t="shared" si="15"/>
        <v>0.09</v>
      </c>
      <c r="AD251" s="9"/>
      <c r="AE251" s="17" t="e">
        <f>AA251*#REF!</f>
        <v>#REF!</v>
      </c>
    </row>
    <row r="252" spans="2:31" ht="16.5" hidden="1" customHeight="1" outlineLevel="1" x14ac:dyDescent="0.25">
      <c r="B252" s="91" t="s">
        <v>639</v>
      </c>
      <c r="C252" s="44" t="s">
        <v>315</v>
      </c>
      <c r="D252" s="44"/>
      <c r="E252" s="57">
        <v>8.5000000000000006E-2</v>
      </c>
      <c r="F252" s="61"/>
      <c r="G252" s="26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 t="shared" si="15"/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25">
      <c r="B253" s="91" t="s">
        <v>640</v>
      </c>
      <c r="C253" s="44" t="s">
        <v>316</v>
      </c>
      <c r="D253" s="44"/>
      <c r="E253" s="57">
        <v>0.28000000000000003</v>
      </c>
      <c r="F253" s="61"/>
      <c r="G253" s="26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 t="shared" si="15"/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25">
      <c r="B254" s="91" t="s">
        <v>641</v>
      </c>
      <c r="C254" s="44" t="s">
        <v>317</v>
      </c>
      <c r="D254" s="44"/>
      <c r="E254" s="57">
        <v>0.3</v>
      </c>
      <c r="F254" s="61"/>
      <c r="G254" s="26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 t="shared" si="15"/>
        <v>0.09</v>
      </c>
      <c r="AD254" s="9"/>
      <c r="AE254" s="17" t="e">
        <f>AA254*#REF!</f>
        <v>#REF!</v>
      </c>
    </row>
    <row r="255" spans="2:31" ht="16.5" hidden="1" customHeight="1" outlineLevel="1" x14ac:dyDescent="0.25">
      <c r="B255" s="91" t="s">
        <v>642</v>
      </c>
      <c r="C255" s="44" t="s">
        <v>305</v>
      </c>
      <c r="D255" s="44"/>
      <c r="E255" s="57">
        <v>0.21</v>
      </c>
      <c r="F255" s="61"/>
      <c r="G255" s="26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 t="shared" si="15"/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25">
      <c r="B256" s="91" t="s">
        <v>637</v>
      </c>
      <c r="C256" s="44" t="s">
        <v>318</v>
      </c>
      <c r="D256" s="44"/>
      <c r="E256" s="57">
        <v>1</v>
      </c>
      <c r="F256" s="61"/>
      <c r="G256" s="26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 t="shared" si="15"/>
        <v>1</v>
      </c>
      <c r="AD256" s="9"/>
      <c r="AE256" s="17" t="e">
        <f>AA256*#REF!</f>
        <v>#REF!</v>
      </c>
    </row>
    <row r="257" spans="2:31" ht="16.5" hidden="1" customHeight="1" outlineLevel="1" x14ac:dyDescent="0.25">
      <c r="B257" s="91" t="s">
        <v>643</v>
      </c>
      <c r="C257" s="38" t="s">
        <v>306</v>
      </c>
      <c r="D257" s="38"/>
      <c r="E257" s="57">
        <v>0.28000000000000003</v>
      </c>
      <c r="F257" s="61"/>
      <c r="G257" s="26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 t="shared" si="15"/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25">
      <c r="B258" s="91" t="s">
        <v>644</v>
      </c>
      <c r="C258" s="38" t="s">
        <v>301</v>
      </c>
      <c r="D258" s="38"/>
      <c r="E258" s="57">
        <v>0.3</v>
      </c>
      <c r="F258" s="61"/>
      <c r="G258" s="26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 t="shared" si="15"/>
        <v>0.09</v>
      </c>
      <c r="AD258" s="9"/>
      <c r="AE258" s="17" t="e">
        <f>AA258*#REF!</f>
        <v>#REF!</v>
      </c>
    </row>
    <row r="259" spans="2:31" ht="16.5" hidden="1" customHeight="1" outlineLevel="1" x14ac:dyDescent="0.25">
      <c r="B259" s="91" t="s">
        <v>645</v>
      </c>
      <c r="C259" s="38" t="s">
        <v>319</v>
      </c>
      <c r="D259" s="38"/>
      <c r="E259" s="57">
        <v>8.5000000000000006E-2</v>
      </c>
      <c r="F259" s="61"/>
      <c r="G259" s="26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5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1" t="s">
        <v>646</v>
      </c>
      <c r="C260" s="38" t="s">
        <v>320</v>
      </c>
      <c r="D260" s="38"/>
      <c r="E260" s="57">
        <v>8.5000000000000006E-2</v>
      </c>
      <c r="F260" s="61"/>
      <c r="G260" s="26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 t="shared" si="15"/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1" t="s">
        <v>647</v>
      </c>
      <c r="C261" s="38" t="s">
        <v>321</v>
      </c>
      <c r="D261" s="38"/>
      <c r="E261" s="57">
        <v>9.5000000000000001E-2</v>
      </c>
      <c r="F261" s="61"/>
      <c r="G261" s="26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 t="shared" si="15"/>
        <v>9.025E-3</v>
      </c>
      <c r="AD261" s="9"/>
      <c r="AE261" s="17" t="e">
        <f>AA261*#REF!</f>
        <v>#REF!</v>
      </c>
    </row>
    <row r="262" spans="2:31" ht="16.5" hidden="1" customHeight="1" outlineLevel="1" x14ac:dyDescent="0.25">
      <c r="B262" s="91" t="s">
        <v>648</v>
      </c>
      <c r="C262" s="38" t="s">
        <v>322</v>
      </c>
      <c r="D262" s="38"/>
      <c r="E262" s="57">
        <v>0.25</v>
      </c>
      <c r="F262" s="61"/>
      <c r="G262" s="26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 t="shared" si="15"/>
        <v>6.25E-2</v>
      </c>
      <c r="AD262" s="9"/>
      <c r="AE262" s="17" t="e">
        <f>AA262*#REF!</f>
        <v>#REF!</v>
      </c>
    </row>
    <row r="263" spans="2:31" ht="16.5" hidden="1" customHeight="1" outlineLevel="1" x14ac:dyDescent="0.25">
      <c r="B263" s="91" t="s">
        <v>649</v>
      </c>
      <c r="C263" s="38" t="s">
        <v>323</v>
      </c>
      <c r="D263" s="38"/>
      <c r="E263" s="57">
        <v>0.47</v>
      </c>
      <c r="F263" s="61"/>
      <c r="G263" s="26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 t="shared" si="15"/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25">
      <c r="B264" s="91" t="s">
        <v>650</v>
      </c>
      <c r="C264" s="38" t="s">
        <v>324</v>
      </c>
      <c r="D264" s="38"/>
      <c r="E264" s="57">
        <v>0.25</v>
      </c>
      <c r="F264" s="61"/>
      <c r="G264" s="26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 t="shared" si="15"/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1" t="s">
        <v>651</v>
      </c>
      <c r="C265" s="40" t="s">
        <v>325</v>
      </c>
      <c r="D265" s="82"/>
      <c r="E265" s="58">
        <v>9.5000000000000001E-2</v>
      </c>
      <c r="F265" s="62"/>
      <c r="G265" s="34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 t="shared" si="15"/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1" t="s">
        <v>70</v>
      </c>
      <c r="C266" s="42" t="s">
        <v>70</v>
      </c>
      <c r="D266" s="42"/>
      <c r="E266" s="27"/>
      <c r="F266" s="27">
        <f>SUM(F267:F320)</f>
        <v>0</v>
      </c>
      <c r="G266" s="59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25">
      <c r="B267" s="91" t="s">
        <v>839</v>
      </c>
      <c r="C267" s="51" t="s">
        <v>277</v>
      </c>
      <c r="D267" s="83"/>
      <c r="E267" s="63">
        <v>1</v>
      </c>
      <c r="F267" s="66"/>
      <c r="G267" s="65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 t="shared" ref="AC267:AC298" si="16">AA267*E267</f>
        <v>1</v>
      </c>
      <c r="AD267" s="9"/>
      <c r="AE267" s="13" t="e">
        <f>AA267*#REF!</f>
        <v>#REF!</v>
      </c>
    </row>
    <row r="268" spans="2:31" ht="16.5" hidden="1" customHeight="1" outlineLevel="1" x14ac:dyDescent="0.25">
      <c r="B268" s="91" t="s">
        <v>840</v>
      </c>
      <c r="C268" s="44" t="s">
        <v>278</v>
      </c>
      <c r="D268" s="83"/>
      <c r="E268" s="63">
        <v>0.4</v>
      </c>
      <c r="F268" s="11"/>
      <c r="G268" s="64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 t="shared" si="16"/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25">
      <c r="B269" s="91" t="s">
        <v>652</v>
      </c>
      <c r="C269" s="44" t="s">
        <v>71</v>
      </c>
      <c r="D269" s="83"/>
      <c r="E269" s="63">
        <v>1</v>
      </c>
      <c r="F269" s="11"/>
      <c r="G269" s="64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6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1" t="s">
        <v>653</v>
      </c>
      <c r="C270" s="44" t="s">
        <v>279</v>
      </c>
      <c r="D270" s="83"/>
      <c r="E270" s="63">
        <v>1</v>
      </c>
      <c r="F270" s="11"/>
      <c r="G270" s="64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6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1" t="s">
        <v>841</v>
      </c>
      <c r="C271" s="44" t="s">
        <v>72</v>
      </c>
      <c r="D271" s="83"/>
      <c r="E271" s="63">
        <v>1</v>
      </c>
      <c r="F271" s="11"/>
      <c r="G271" s="64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6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1" t="s">
        <v>842</v>
      </c>
      <c r="C272" s="44" t="s">
        <v>73</v>
      </c>
      <c r="D272" s="83"/>
      <c r="E272" s="63">
        <v>1</v>
      </c>
      <c r="F272" s="11"/>
      <c r="G272" s="64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6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1" t="s">
        <v>654</v>
      </c>
      <c r="C273" s="44" t="s">
        <v>74</v>
      </c>
      <c r="D273" s="83"/>
      <c r="E273" s="63">
        <v>1</v>
      </c>
      <c r="F273" s="11"/>
      <c r="G273" s="64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6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1" t="s">
        <v>655</v>
      </c>
      <c r="C274" s="44" t="s">
        <v>75</v>
      </c>
      <c r="D274" s="83"/>
      <c r="E274" s="63">
        <v>1</v>
      </c>
      <c r="F274" s="11"/>
      <c r="G274" s="64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6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1" t="s">
        <v>656</v>
      </c>
      <c r="C275" s="44" t="s">
        <v>76</v>
      </c>
      <c r="D275" s="83"/>
      <c r="E275" s="63">
        <v>1</v>
      </c>
      <c r="F275" s="11"/>
      <c r="G275" s="64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6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1" t="s">
        <v>657</v>
      </c>
      <c r="C276" s="44" t="s">
        <v>77</v>
      </c>
      <c r="D276" s="83"/>
      <c r="E276" s="63">
        <v>1</v>
      </c>
      <c r="F276" s="11"/>
      <c r="G276" s="64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 t="shared" si="16"/>
        <v>1</v>
      </c>
      <c r="AD276" s="9"/>
      <c r="AE276" s="17" t="e">
        <f>AA276*#REF!</f>
        <v>#REF!</v>
      </c>
    </row>
    <row r="277" spans="2:31" ht="16.5" hidden="1" customHeight="1" outlineLevel="1" x14ac:dyDescent="0.25">
      <c r="B277" s="91" t="s">
        <v>843</v>
      </c>
      <c r="C277" s="44" t="s">
        <v>280</v>
      </c>
      <c r="D277" s="83"/>
      <c r="E277" s="63">
        <v>0.25</v>
      </c>
      <c r="F277" s="11"/>
      <c r="G277" s="64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 t="shared" si="16"/>
        <v>6.25E-2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1" t="s">
        <v>844</v>
      </c>
      <c r="C278" s="44" t="s">
        <v>78</v>
      </c>
      <c r="D278" s="83"/>
      <c r="E278" s="63">
        <v>0.15</v>
      </c>
      <c r="F278" s="11"/>
      <c r="G278" s="64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 t="shared" si="16"/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25">
      <c r="B279" s="91" t="s">
        <v>845</v>
      </c>
      <c r="C279" s="44" t="s">
        <v>281</v>
      </c>
      <c r="D279" s="83"/>
      <c r="E279" s="63">
        <v>1</v>
      </c>
      <c r="F279" s="11"/>
      <c r="G279" s="64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6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1" t="s">
        <v>658</v>
      </c>
      <c r="C280" s="44" t="s">
        <v>79</v>
      </c>
      <c r="D280" s="83"/>
      <c r="E280" s="63">
        <v>1</v>
      </c>
      <c r="F280" s="11"/>
      <c r="G280" s="64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6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1" t="s">
        <v>659</v>
      </c>
      <c r="C281" s="44" t="s">
        <v>232</v>
      </c>
      <c r="D281" s="83"/>
      <c r="E281" s="63">
        <v>1</v>
      </c>
      <c r="F281" s="11"/>
      <c r="G281" s="64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 t="shared" si="16"/>
        <v>1</v>
      </c>
      <c r="AD281" s="9"/>
      <c r="AE281" s="17" t="e">
        <f>AA281*#REF!</f>
        <v>#REF!</v>
      </c>
    </row>
    <row r="282" spans="2:31" ht="16.5" hidden="1" customHeight="1" outlineLevel="1" x14ac:dyDescent="0.25">
      <c r="B282" s="91" t="s">
        <v>846</v>
      </c>
      <c r="C282" s="44" t="s">
        <v>80</v>
      </c>
      <c r="D282" s="83"/>
      <c r="E282" s="63">
        <v>0.45</v>
      </c>
      <c r="F282" s="11"/>
      <c r="G282" s="64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 t="shared" si="16"/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25">
      <c r="B283" s="91" t="s">
        <v>660</v>
      </c>
      <c r="C283" s="44" t="s">
        <v>81</v>
      </c>
      <c r="D283" s="83"/>
      <c r="E283" s="63">
        <v>1</v>
      </c>
      <c r="F283" s="11"/>
      <c r="G283" s="64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 t="shared" si="16"/>
        <v>1</v>
      </c>
      <c r="AD283" s="9"/>
      <c r="AE283" s="17" t="e">
        <f>AA283*#REF!</f>
        <v>#REF!</v>
      </c>
    </row>
    <row r="284" spans="2:31" ht="16.5" hidden="1" customHeight="1" outlineLevel="1" x14ac:dyDescent="0.25">
      <c r="B284" s="91" t="s">
        <v>847</v>
      </c>
      <c r="C284" s="44" t="s">
        <v>82</v>
      </c>
      <c r="D284" s="83"/>
      <c r="E284" s="63">
        <v>0.25</v>
      </c>
      <c r="F284" s="11"/>
      <c r="G284" s="64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 t="shared" si="16"/>
        <v>6.25E-2</v>
      </c>
      <c r="AD284" s="9"/>
      <c r="AE284" s="17" t="e">
        <f>AA284*#REF!</f>
        <v>#REF!</v>
      </c>
    </row>
    <row r="285" spans="2:31" ht="16.5" hidden="1" customHeight="1" outlineLevel="1" x14ac:dyDescent="0.25">
      <c r="B285" s="91" t="s">
        <v>848</v>
      </c>
      <c r="C285" s="44" t="s">
        <v>282</v>
      </c>
      <c r="D285" s="83"/>
      <c r="E285" s="63">
        <v>0.45</v>
      </c>
      <c r="F285" s="11"/>
      <c r="G285" s="64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 t="shared" si="16"/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25">
      <c r="B286" s="91" t="s">
        <v>849</v>
      </c>
      <c r="C286" s="44" t="s">
        <v>83</v>
      </c>
      <c r="D286" s="83"/>
      <c r="E286" s="63">
        <v>1</v>
      </c>
      <c r="F286" s="11"/>
      <c r="G286" s="64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 t="shared" si="16"/>
        <v>1</v>
      </c>
      <c r="AD286" s="9"/>
      <c r="AE286" s="17" t="e">
        <f>AA286*#REF!</f>
        <v>#REF!</v>
      </c>
    </row>
    <row r="287" spans="2:31" ht="16.5" hidden="1" customHeight="1" outlineLevel="1" x14ac:dyDescent="0.25">
      <c r="B287" s="91" t="s">
        <v>850</v>
      </c>
      <c r="C287" s="44" t="s">
        <v>283</v>
      </c>
      <c r="D287" s="83"/>
      <c r="E287" s="63">
        <v>0.12</v>
      </c>
      <c r="F287" s="11"/>
      <c r="G287" s="64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 t="shared" si="16"/>
        <v>1.44E-2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1" t="s">
        <v>851</v>
      </c>
      <c r="C288" s="44" t="s">
        <v>84</v>
      </c>
      <c r="D288" s="83"/>
      <c r="E288" s="63">
        <v>0.25</v>
      </c>
      <c r="F288" s="11"/>
      <c r="G288" s="64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 t="shared" si="16"/>
        <v>6.25E-2</v>
      </c>
      <c r="AD288" s="9"/>
      <c r="AE288" s="17" t="e">
        <f>AA288*#REF!</f>
        <v>#REF!</v>
      </c>
    </row>
    <row r="289" spans="2:31" ht="16.5" hidden="1" customHeight="1" outlineLevel="1" x14ac:dyDescent="0.25">
      <c r="B289" s="91" t="s">
        <v>661</v>
      </c>
      <c r="C289" s="44" t="s">
        <v>284</v>
      </c>
      <c r="D289" s="83"/>
      <c r="E289" s="63">
        <v>1</v>
      </c>
      <c r="F289" s="11"/>
      <c r="G289" s="64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 t="shared" si="16"/>
        <v>1</v>
      </c>
      <c r="AD289" s="9"/>
      <c r="AE289" s="17" t="e">
        <f>AA289*#REF!</f>
        <v>#REF!</v>
      </c>
    </row>
    <row r="290" spans="2:31" ht="16.5" hidden="1" customHeight="1" outlineLevel="1" x14ac:dyDescent="0.25">
      <c r="B290" s="91" t="s">
        <v>852</v>
      </c>
      <c r="C290" s="44" t="s">
        <v>85</v>
      </c>
      <c r="D290" s="83"/>
      <c r="E290" s="63">
        <v>0.1</v>
      </c>
      <c r="F290" s="11"/>
      <c r="G290" s="64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 t="shared" si="16"/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25">
      <c r="B291" s="91" t="s">
        <v>853</v>
      </c>
      <c r="C291" s="44" t="s">
        <v>86</v>
      </c>
      <c r="D291" s="83"/>
      <c r="E291" s="63">
        <v>1</v>
      </c>
      <c r="F291" s="11"/>
      <c r="G291" s="64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 t="shared" si="16"/>
        <v>1</v>
      </c>
      <c r="AD291" s="9"/>
      <c r="AE291" s="17" t="e">
        <f>AA291*#REF!</f>
        <v>#REF!</v>
      </c>
    </row>
    <row r="292" spans="2:31" ht="16.5" hidden="1" customHeight="1" outlineLevel="1" x14ac:dyDescent="0.25">
      <c r="B292" s="91" t="s">
        <v>854</v>
      </c>
      <c r="C292" s="44" t="s">
        <v>285</v>
      </c>
      <c r="D292" s="83"/>
      <c r="E292" s="63">
        <v>0.45</v>
      </c>
      <c r="F292" s="11"/>
      <c r="G292" s="64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 t="shared" si="16"/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25">
      <c r="B293" s="91" t="s">
        <v>662</v>
      </c>
      <c r="C293" s="44" t="s">
        <v>87</v>
      </c>
      <c r="D293" s="83"/>
      <c r="E293" s="63">
        <v>1</v>
      </c>
      <c r="F293" s="11"/>
      <c r="G293" s="64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 t="shared" si="16"/>
        <v>1</v>
      </c>
      <c r="AD293" s="9"/>
      <c r="AE293" s="17" t="e">
        <f>AA293*#REF!</f>
        <v>#REF!</v>
      </c>
    </row>
    <row r="294" spans="2:31" ht="16.5" hidden="1" customHeight="1" outlineLevel="1" x14ac:dyDescent="0.25">
      <c r="B294" s="91" t="s">
        <v>855</v>
      </c>
      <c r="C294" s="44" t="s">
        <v>286</v>
      </c>
      <c r="D294" s="83"/>
      <c r="E294" s="63">
        <v>0.1</v>
      </c>
      <c r="F294" s="11"/>
      <c r="G294" s="64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 t="shared" si="16"/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25">
      <c r="B295" s="91" t="s">
        <v>856</v>
      </c>
      <c r="C295" s="44" t="s">
        <v>247</v>
      </c>
      <c r="D295" s="83"/>
      <c r="E295" s="63">
        <v>1</v>
      </c>
      <c r="F295" s="11"/>
      <c r="G295" s="64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6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1" t="s">
        <v>663</v>
      </c>
      <c r="C296" s="44" t="s">
        <v>287</v>
      </c>
      <c r="D296" s="83"/>
      <c r="E296" s="63">
        <v>1</v>
      </c>
      <c r="F296" s="11"/>
      <c r="G296" s="64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6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1" t="s">
        <v>664</v>
      </c>
      <c r="C297" s="44" t="s">
        <v>288</v>
      </c>
      <c r="D297" s="83"/>
      <c r="E297" s="63">
        <v>1</v>
      </c>
      <c r="F297" s="11"/>
      <c r="G297" s="64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 t="shared" si="16"/>
        <v>1</v>
      </c>
      <c r="AD297" s="9"/>
      <c r="AE297" s="17" t="e">
        <f>AA297*#REF!</f>
        <v>#REF!</v>
      </c>
    </row>
    <row r="298" spans="2:31" ht="16.5" hidden="1" customHeight="1" outlineLevel="1" x14ac:dyDescent="0.25">
      <c r="B298" s="91" t="s">
        <v>857</v>
      </c>
      <c r="C298" s="44" t="s">
        <v>289</v>
      </c>
      <c r="D298" s="83"/>
      <c r="E298" s="63">
        <v>0.4</v>
      </c>
      <c r="F298" s="11"/>
      <c r="G298" s="64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 t="shared" si="16"/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25">
      <c r="B299" s="91" t="s">
        <v>858</v>
      </c>
      <c r="C299" s="44" t="s">
        <v>88</v>
      </c>
      <c r="D299" s="83"/>
      <c r="E299" s="63">
        <v>1</v>
      </c>
      <c r="F299" s="11"/>
      <c r="G299" s="64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ref="AC299:AC316" si="18">AA299*E299</f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1" t="s">
        <v>859</v>
      </c>
      <c r="C300" s="44" t="s">
        <v>89</v>
      </c>
      <c r="D300" s="83"/>
      <c r="E300" s="63">
        <v>1</v>
      </c>
      <c r="F300" s="11"/>
      <c r="G300" s="64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 t="shared" si="18"/>
        <v>1</v>
      </c>
      <c r="AD300" s="9"/>
      <c r="AE300" s="17" t="e">
        <f>AA300*#REF!</f>
        <v>#REF!</v>
      </c>
    </row>
    <row r="301" spans="2:31" ht="16.5" hidden="1" customHeight="1" outlineLevel="1" x14ac:dyDescent="0.25">
      <c r="B301" s="91" t="s">
        <v>860</v>
      </c>
      <c r="C301" s="44" t="s">
        <v>90</v>
      </c>
      <c r="D301" s="83"/>
      <c r="E301" s="63">
        <v>0.3</v>
      </c>
      <c r="F301" s="11"/>
      <c r="G301" s="64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 t="shared" si="18"/>
        <v>0.09</v>
      </c>
      <c r="AD301" s="9"/>
      <c r="AE301" s="17" t="e">
        <f>AA301*#REF!</f>
        <v>#REF!</v>
      </c>
    </row>
    <row r="302" spans="2:31" ht="16.5" hidden="1" customHeight="1" outlineLevel="1" x14ac:dyDescent="0.25">
      <c r="B302" s="91" t="s">
        <v>861</v>
      </c>
      <c r="C302" s="44" t="s">
        <v>91</v>
      </c>
      <c r="D302" s="83"/>
      <c r="E302" s="63">
        <v>0.4</v>
      </c>
      <c r="F302" s="11"/>
      <c r="G302" s="64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8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1" t="s">
        <v>862</v>
      </c>
      <c r="C303" s="44" t="s">
        <v>92</v>
      </c>
      <c r="D303" s="83"/>
      <c r="E303" s="63">
        <v>0.4</v>
      </c>
      <c r="F303" s="11"/>
      <c r="G303" s="64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8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1" t="s">
        <v>863</v>
      </c>
      <c r="C304" s="44" t="s">
        <v>93</v>
      </c>
      <c r="D304" s="83"/>
      <c r="E304" s="63">
        <v>0.4</v>
      </c>
      <c r="F304" s="11"/>
      <c r="G304" s="64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 t="shared" si="18"/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25">
      <c r="B305" s="91" t="s">
        <v>864</v>
      </c>
      <c r="C305" s="44" t="s">
        <v>94</v>
      </c>
      <c r="D305" s="83"/>
      <c r="E305" s="63">
        <v>0.31</v>
      </c>
      <c r="F305" s="11"/>
      <c r="G305" s="64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 t="shared" si="18"/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25">
      <c r="B306" s="91" t="s">
        <v>865</v>
      </c>
      <c r="C306" s="44" t="s">
        <v>95</v>
      </c>
      <c r="D306" s="83"/>
      <c r="E306" s="63">
        <v>0.35</v>
      </c>
      <c r="F306" s="11"/>
      <c r="G306" s="64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 t="shared" si="18"/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25">
      <c r="B307" s="91" t="s">
        <v>866</v>
      </c>
      <c r="C307" s="44" t="s">
        <v>96</v>
      </c>
      <c r="D307" s="83"/>
      <c r="E307" s="63">
        <v>0.28000000000000003</v>
      </c>
      <c r="F307" s="11"/>
      <c r="G307" s="64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 t="shared" si="18"/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25">
      <c r="B308" s="91" t="s">
        <v>867</v>
      </c>
      <c r="C308" s="44" t="s">
        <v>97</v>
      </c>
      <c r="D308" s="83"/>
      <c r="E308" s="63">
        <v>0.35</v>
      </c>
      <c r="F308" s="11"/>
      <c r="G308" s="64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 t="shared" si="18"/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25">
      <c r="B309" s="91" t="s">
        <v>868</v>
      </c>
      <c r="C309" s="44" t="s">
        <v>98</v>
      </c>
      <c r="D309" s="83"/>
      <c r="E309" s="63">
        <v>0.28000000000000003</v>
      </c>
      <c r="F309" s="11"/>
      <c r="G309" s="64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 t="shared" si="18"/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25">
      <c r="B310" s="91" t="s">
        <v>869</v>
      </c>
      <c r="C310" s="44" t="s">
        <v>357</v>
      </c>
      <c r="D310" s="83"/>
      <c r="E310" s="63">
        <v>0.35</v>
      </c>
      <c r="F310" s="11"/>
      <c r="G310" s="64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 t="shared" si="18"/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25">
      <c r="B311" s="91" t="s">
        <v>665</v>
      </c>
      <c r="C311" s="44" t="s">
        <v>290</v>
      </c>
      <c r="D311" s="83"/>
      <c r="E311" s="63">
        <v>1</v>
      </c>
      <c r="F311" s="11"/>
      <c r="G311" s="64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 t="shared" si="18"/>
        <v>1</v>
      </c>
      <c r="AD311" s="9"/>
      <c r="AE311" s="17" t="e">
        <f>AA311*#REF!</f>
        <v>#REF!</v>
      </c>
    </row>
    <row r="312" spans="2:31" ht="16.5" hidden="1" customHeight="1" outlineLevel="1" x14ac:dyDescent="0.25">
      <c r="B312" s="91" t="s">
        <v>870</v>
      </c>
      <c r="C312" s="44" t="s">
        <v>230</v>
      </c>
      <c r="D312" s="83"/>
      <c r="E312" s="63">
        <v>0.28000000000000003</v>
      </c>
      <c r="F312" s="11"/>
      <c r="G312" s="64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8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1" t="s">
        <v>871</v>
      </c>
      <c r="C313" s="44" t="s">
        <v>231</v>
      </c>
      <c r="D313" s="83"/>
      <c r="E313" s="63">
        <v>0.28000000000000003</v>
      </c>
      <c r="F313" s="11"/>
      <c r="G313" s="64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 t="shared" si="18"/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25">
      <c r="B314" s="91" t="s">
        <v>872</v>
      </c>
      <c r="C314" s="44" t="s">
        <v>475</v>
      </c>
      <c r="D314" s="83"/>
      <c r="E314" s="63">
        <v>0.28000000000000003</v>
      </c>
      <c r="F314" s="11"/>
      <c r="G314" s="64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8"/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25">
      <c r="B315" s="91" t="s">
        <v>873</v>
      </c>
      <c r="C315" s="44" t="s">
        <v>474</v>
      </c>
      <c r="D315" s="83"/>
      <c r="E315" s="63">
        <v>0.25</v>
      </c>
      <c r="F315" s="15"/>
      <c r="G315" s="64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8"/>
        <v>0.25</v>
      </c>
      <c r="AD315" s="9"/>
      <c r="AE315" s="17" t="e">
        <f>AA315*#REF!</f>
        <v>#REF!</v>
      </c>
    </row>
    <row r="316" spans="2:31" ht="16.5" hidden="1" customHeight="1" outlineLevel="1" x14ac:dyDescent="0.25">
      <c r="B316" s="91" t="s">
        <v>874</v>
      </c>
      <c r="C316" s="44" t="s">
        <v>360</v>
      </c>
      <c r="D316" s="83"/>
      <c r="E316" s="63">
        <v>1</v>
      </c>
      <c r="F316" s="15"/>
      <c r="G316" s="64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 t="shared" si="18"/>
        <v>1</v>
      </c>
      <c r="AD316" s="9"/>
      <c r="AE316" s="17" t="e">
        <f>AA316*#REF!</f>
        <v>#REF!</v>
      </c>
    </row>
    <row r="317" spans="2:31" ht="16.5" hidden="1" customHeight="1" outlineLevel="1" x14ac:dyDescent="0.25">
      <c r="B317" s="91" t="s">
        <v>875</v>
      </c>
      <c r="C317" s="52" t="s">
        <v>469</v>
      </c>
      <c r="D317" s="84"/>
      <c r="E317" s="63">
        <v>1</v>
      </c>
      <c r="F317" s="15"/>
      <c r="G317" s="64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1" t="s">
        <v>876</v>
      </c>
      <c r="C318" s="52" t="s">
        <v>470</v>
      </c>
      <c r="D318" s="84"/>
      <c r="E318" s="63">
        <v>1</v>
      </c>
      <c r="F318" s="15"/>
      <c r="G318" s="64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25">
      <c r="B319" s="91" t="s">
        <v>877</v>
      </c>
      <c r="C319" s="52" t="s">
        <v>471</v>
      </c>
      <c r="D319" s="84"/>
      <c r="E319" s="63">
        <v>1</v>
      </c>
      <c r="F319" s="15"/>
      <c r="G319" s="64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1" t="s">
        <v>666</v>
      </c>
      <c r="C320" s="53" t="s">
        <v>466</v>
      </c>
      <c r="D320" s="85"/>
      <c r="E320" s="45">
        <v>1</v>
      </c>
      <c r="F320" s="67"/>
      <c r="G320" s="6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1" t="s">
        <v>131</v>
      </c>
      <c r="C321" s="42" t="s">
        <v>131</v>
      </c>
      <c r="D321" s="42"/>
      <c r="E321" s="27"/>
      <c r="F321" s="27">
        <f>SUM(F322:F342)</f>
        <v>0</v>
      </c>
      <c r="G321" s="59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25">
      <c r="B322" s="91" t="s">
        <v>878</v>
      </c>
      <c r="C322" s="39" t="s">
        <v>132</v>
      </c>
      <c r="D322" s="80"/>
      <c r="E322" s="11">
        <v>0.75</v>
      </c>
      <c r="F322" s="11"/>
      <c r="G322" s="33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 t="shared" ref="AC322:AC339" si="19"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25">
      <c r="B323" s="91" t="s">
        <v>879</v>
      </c>
      <c r="C323" s="38" t="s">
        <v>133</v>
      </c>
      <c r="D323" s="38"/>
      <c r="E323" s="15">
        <v>0.1</v>
      </c>
      <c r="F323" s="15"/>
      <c r="G323" s="26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 t="shared" si="19"/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25">
      <c r="B324" s="91" t="s">
        <v>880</v>
      </c>
      <c r="C324" s="44" t="s">
        <v>134</v>
      </c>
      <c r="D324" s="44"/>
      <c r="E324" s="15">
        <v>1</v>
      </c>
      <c r="F324" s="15"/>
      <c r="G324" s="26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9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1" t="s">
        <v>667</v>
      </c>
      <c r="C325" s="44" t="s">
        <v>135</v>
      </c>
      <c r="D325" s="44"/>
      <c r="E325" s="15">
        <v>1</v>
      </c>
      <c r="F325" s="15"/>
      <c r="G325" s="26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 t="shared" si="19"/>
        <v>1</v>
      </c>
      <c r="AD325" s="9"/>
      <c r="AE325" s="17" t="e">
        <f>AA325*#REF!</f>
        <v>#REF!</v>
      </c>
    </row>
    <row r="326" spans="2:31" ht="16.5" hidden="1" customHeight="1" outlineLevel="1" x14ac:dyDescent="0.25">
      <c r="B326" s="91" t="s">
        <v>668</v>
      </c>
      <c r="C326" s="44" t="s">
        <v>136</v>
      </c>
      <c r="D326" s="44"/>
      <c r="E326" s="15">
        <v>0.56000000000000005</v>
      </c>
      <c r="F326" s="15"/>
      <c r="G326" s="26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9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1" t="s">
        <v>669</v>
      </c>
      <c r="C327" s="44" t="s">
        <v>140</v>
      </c>
      <c r="D327" s="44"/>
      <c r="E327" s="15">
        <v>0.56000000000000005</v>
      </c>
      <c r="F327" s="15"/>
      <c r="G327" s="26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 t="shared" si="19"/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25">
      <c r="B328" s="91" t="s">
        <v>670</v>
      </c>
      <c r="C328" s="44" t="s">
        <v>137</v>
      </c>
      <c r="D328" s="44"/>
      <c r="E328" s="15">
        <v>1</v>
      </c>
      <c r="F328" s="15"/>
      <c r="G328" s="26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9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1" t="s">
        <v>671</v>
      </c>
      <c r="C329" s="44" t="s">
        <v>138</v>
      </c>
      <c r="D329" s="44"/>
      <c r="E329" s="15">
        <v>1</v>
      </c>
      <c r="F329" s="15"/>
      <c r="G329" s="26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 t="shared" si="19"/>
        <v>1</v>
      </c>
      <c r="AD329" s="9"/>
      <c r="AE329" s="17" t="e">
        <f>AA329*#REF!</f>
        <v>#REF!</v>
      </c>
    </row>
    <row r="330" spans="2:31" ht="16.5" hidden="1" customHeight="1" outlineLevel="1" x14ac:dyDescent="0.25">
      <c r="B330" s="91" t="s">
        <v>672</v>
      </c>
      <c r="C330" s="44" t="s">
        <v>139</v>
      </c>
      <c r="D330" s="44"/>
      <c r="E330" s="15">
        <v>0.56000000000000005</v>
      </c>
      <c r="F330" s="15"/>
      <c r="G330" s="26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 t="shared" si="19"/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25">
      <c r="B331" s="91" t="s">
        <v>881</v>
      </c>
      <c r="C331" s="44" t="s">
        <v>141</v>
      </c>
      <c r="D331" s="44"/>
      <c r="E331" s="15">
        <v>1</v>
      </c>
      <c r="F331" s="15"/>
      <c r="G331" s="26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9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1" t="s">
        <v>626</v>
      </c>
      <c r="C332" s="44" t="s">
        <v>142</v>
      </c>
      <c r="D332" s="44"/>
      <c r="E332" s="15">
        <v>1</v>
      </c>
      <c r="F332" s="15"/>
      <c r="G332" s="26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9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1" t="s">
        <v>882</v>
      </c>
      <c r="C333" s="52" t="s">
        <v>477</v>
      </c>
      <c r="D333" s="86"/>
      <c r="E333" s="15">
        <v>1</v>
      </c>
      <c r="F333" s="15"/>
      <c r="G333" s="26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 t="shared" si="19"/>
        <v>1</v>
      </c>
      <c r="AD333" s="9"/>
      <c r="AE333" s="17" t="e">
        <f>AA333*#REF!</f>
        <v>#REF!</v>
      </c>
    </row>
    <row r="334" spans="2:31" ht="16.5" hidden="1" customHeight="1" outlineLevel="1" x14ac:dyDescent="0.25">
      <c r="B334" s="91" t="s">
        <v>883</v>
      </c>
      <c r="C334" s="44" t="s">
        <v>143</v>
      </c>
      <c r="D334" s="44"/>
      <c r="E334" s="15">
        <v>0.1</v>
      </c>
      <c r="F334" s="15"/>
      <c r="G334" s="26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 t="shared" si="19"/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1" t="s">
        <v>883</v>
      </c>
      <c r="C335" s="44" t="s">
        <v>291</v>
      </c>
      <c r="D335" s="44"/>
      <c r="E335" s="15">
        <v>0.23499999999999999</v>
      </c>
      <c r="F335" s="15"/>
      <c r="G335" s="26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 t="shared" si="19"/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25">
      <c r="B336" s="91" t="s">
        <v>627</v>
      </c>
      <c r="C336" s="44" t="s">
        <v>144</v>
      </c>
      <c r="D336" s="44"/>
      <c r="E336" s="15">
        <v>1</v>
      </c>
      <c r="F336" s="15"/>
      <c r="G336" s="26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9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1" t="s">
        <v>627</v>
      </c>
      <c r="C337" s="44" t="s">
        <v>145</v>
      </c>
      <c r="D337" s="44"/>
      <c r="E337" s="15">
        <v>1</v>
      </c>
      <c r="F337" s="15"/>
      <c r="G337" s="26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 t="shared" si="19"/>
        <v>1</v>
      </c>
      <c r="AD337" s="9"/>
      <c r="AE337" s="17" t="e">
        <f>AA337*#REF!</f>
        <v>#REF!</v>
      </c>
    </row>
    <row r="338" spans="2:31" ht="16.5" hidden="1" customHeight="1" outlineLevel="1" x14ac:dyDescent="0.25">
      <c r="B338" s="91" t="s">
        <v>884</v>
      </c>
      <c r="C338" s="44" t="s">
        <v>146</v>
      </c>
      <c r="D338" s="44"/>
      <c r="E338" s="15">
        <v>0.15</v>
      </c>
      <c r="F338" s="15"/>
      <c r="G338" s="26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 t="shared" si="19"/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1" t="s">
        <v>885</v>
      </c>
      <c r="C339" s="44" t="s">
        <v>147</v>
      </c>
      <c r="D339" s="44"/>
      <c r="E339" s="15">
        <v>0.1</v>
      </c>
      <c r="F339" s="15"/>
      <c r="G339" s="26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 t="shared" si="19"/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25">
      <c r="B340" s="91" t="s">
        <v>673</v>
      </c>
      <c r="C340" s="52" t="s">
        <v>467</v>
      </c>
      <c r="D340" s="86"/>
      <c r="E340" s="15">
        <v>0.14000000000000001</v>
      </c>
      <c r="F340" s="18"/>
      <c r="G340" s="26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25">
      <c r="B341" s="91" t="s">
        <v>674</v>
      </c>
      <c r="C341" s="55" t="s">
        <v>468</v>
      </c>
      <c r="D341" s="55"/>
      <c r="E341" s="15">
        <v>0.14000000000000001</v>
      </c>
      <c r="F341" s="18"/>
      <c r="G341" s="26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1" t="s">
        <v>885</v>
      </c>
      <c r="C342" s="40" t="s">
        <v>148</v>
      </c>
      <c r="D342" s="82"/>
      <c r="E342" s="18">
        <v>0.23499999999999999</v>
      </c>
      <c r="F342" s="18"/>
      <c r="G342" s="34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1" t="s">
        <v>158</v>
      </c>
      <c r="C343" s="42" t="s">
        <v>158</v>
      </c>
      <c r="D343" s="42"/>
      <c r="E343" s="27"/>
      <c r="F343" s="27">
        <f>SUM(F344:F349)</f>
        <v>0</v>
      </c>
      <c r="G343" s="59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25">
      <c r="B344" s="91" t="s">
        <v>675</v>
      </c>
      <c r="C344" s="39" t="s">
        <v>159</v>
      </c>
      <c r="D344" s="80"/>
      <c r="E344" s="11">
        <v>7.0000000000000007E-2</v>
      </c>
      <c r="F344" s="11"/>
      <c r="G344" s="33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 t="shared" ref="AC344:AC349" si="20"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25">
      <c r="B345" s="91" t="s">
        <v>676</v>
      </c>
      <c r="C345" s="38" t="s">
        <v>160</v>
      </c>
      <c r="D345" s="38"/>
      <c r="E345" s="15">
        <v>7.0000000000000007E-2</v>
      </c>
      <c r="F345" s="15"/>
      <c r="G345" s="26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0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1" t="s">
        <v>677</v>
      </c>
      <c r="C346" s="38" t="s">
        <v>161</v>
      </c>
      <c r="D346" s="38"/>
      <c r="E346" s="15">
        <v>7.0000000000000007E-2</v>
      </c>
      <c r="F346" s="15"/>
      <c r="G346" s="26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0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1" t="s">
        <v>678</v>
      </c>
      <c r="C347" s="38" t="s">
        <v>163</v>
      </c>
      <c r="D347" s="38"/>
      <c r="E347" s="15">
        <v>7.0000000000000007E-2</v>
      </c>
      <c r="F347" s="15"/>
      <c r="G347" s="26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25">
      <c r="B348" s="91" t="s">
        <v>679</v>
      </c>
      <c r="C348" s="38" t="s">
        <v>162</v>
      </c>
      <c r="D348" s="38"/>
      <c r="E348" s="15">
        <v>7.0000000000000007E-2</v>
      </c>
      <c r="F348" s="15"/>
      <c r="G348" s="26">
        <f t="shared" ref="G348:G409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 t="shared" si="20"/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1" t="s">
        <v>680</v>
      </c>
      <c r="C349" s="40" t="s">
        <v>164</v>
      </c>
      <c r="D349" s="82"/>
      <c r="E349" s="15">
        <v>7.0000000000000007E-2</v>
      </c>
      <c r="F349" s="18"/>
      <c r="G349" s="34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 t="shared" si="20"/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1" t="s">
        <v>149</v>
      </c>
      <c r="C350" s="42" t="s">
        <v>149</v>
      </c>
      <c r="D350" s="42"/>
      <c r="E350" s="27"/>
      <c r="F350" s="27">
        <f>SUM(F351:F355)</f>
        <v>0</v>
      </c>
      <c r="G350" s="59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25">
      <c r="B351" s="91" t="s">
        <v>681</v>
      </c>
      <c r="C351" s="39" t="s">
        <v>150</v>
      </c>
      <c r="D351" s="80"/>
      <c r="E351" s="11">
        <v>0.5</v>
      </c>
      <c r="F351" s="11"/>
      <c r="G351" s="33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25">
      <c r="B352" s="91" t="s">
        <v>681</v>
      </c>
      <c r="C352" s="38" t="s">
        <v>151</v>
      </c>
      <c r="D352" s="38"/>
      <c r="E352" s="15">
        <v>1</v>
      </c>
      <c r="F352" s="15"/>
      <c r="G352" s="26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1" t="s">
        <v>682</v>
      </c>
      <c r="C353" s="38" t="s">
        <v>152</v>
      </c>
      <c r="D353" s="38"/>
      <c r="E353" s="15">
        <v>1</v>
      </c>
      <c r="F353" s="15"/>
      <c r="G353" s="26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25">
      <c r="B354" s="91" t="s">
        <v>682</v>
      </c>
      <c r="C354" s="38" t="s">
        <v>153</v>
      </c>
      <c r="D354" s="38"/>
      <c r="E354" s="15">
        <v>1</v>
      </c>
      <c r="F354" s="15"/>
      <c r="G354" s="26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1" t="s">
        <v>886</v>
      </c>
      <c r="C355" s="40" t="s">
        <v>154</v>
      </c>
      <c r="D355" s="82"/>
      <c r="E355" s="18">
        <v>1</v>
      </c>
      <c r="F355" s="18"/>
      <c r="G355" s="34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1" t="s">
        <v>683</v>
      </c>
      <c r="C356" s="42" t="s">
        <v>155</v>
      </c>
      <c r="D356" s="42"/>
      <c r="E356" s="27"/>
      <c r="F356" s="27">
        <f>SUM(F357:F359)</f>
        <v>0</v>
      </c>
      <c r="G356" s="59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1" t="s">
        <v>887</v>
      </c>
      <c r="C357" s="39" t="s">
        <v>156</v>
      </c>
      <c r="D357" s="80"/>
      <c r="E357" s="11">
        <v>0.38</v>
      </c>
      <c r="F357" s="66"/>
      <c r="G357" s="33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x14ac:dyDescent="0.25">
      <c r="B358" s="91" t="s">
        <v>684</v>
      </c>
      <c r="C358" s="38" t="s">
        <v>157</v>
      </c>
      <c r="D358" s="80"/>
      <c r="E358" s="11">
        <v>1</v>
      </c>
      <c r="F358" s="11"/>
      <c r="G358" s="26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1" t="s">
        <v>888</v>
      </c>
      <c r="C359" s="74" t="s">
        <v>473</v>
      </c>
      <c r="D359" s="87"/>
      <c r="E359" s="17">
        <v>0.95</v>
      </c>
      <c r="F359" s="17"/>
      <c r="G359" s="34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1" t="s">
        <v>267</v>
      </c>
      <c r="C360" s="42" t="s">
        <v>267</v>
      </c>
      <c r="D360" s="42"/>
      <c r="E360" s="27"/>
      <c r="F360" s="27">
        <f>SUM(F361:F387)</f>
        <v>0</v>
      </c>
      <c r="G360" s="59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25">
      <c r="B361" s="91" t="s">
        <v>685</v>
      </c>
      <c r="C361" s="39" t="s">
        <v>292</v>
      </c>
      <c r="D361" s="80"/>
      <c r="E361" s="11">
        <v>0.15</v>
      </c>
      <c r="F361" s="11"/>
      <c r="G361" s="33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ref="AC361:AC387" si="22"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1" t="s">
        <v>686</v>
      </c>
      <c r="C362" s="38" t="s">
        <v>293</v>
      </c>
      <c r="D362" s="38"/>
      <c r="E362" s="15">
        <v>0.15</v>
      </c>
      <c r="F362" s="15"/>
      <c r="G362" s="26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 t="shared" si="22"/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1" t="s">
        <v>687</v>
      </c>
      <c r="C363" s="38" t="s">
        <v>294</v>
      </c>
      <c r="D363" s="38"/>
      <c r="E363" s="15">
        <v>0.1</v>
      </c>
      <c r="F363" s="15"/>
      <c r="G363" s="26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 t="shared" si="22"/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1" t="s">
        <v>688</v>
      </c>
      <c r="C364" s="38" t="s">
        <v>295</v>
      </c>
      <c r="D364" s="38"/>
      <c r="E364" s="15">
        <v>0.14000000000000001</v>
      </c>
      <c r="F364" s="15"/>
      <c r="G364" s="26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 t="shared" si="22"/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1" t="s">
        <v>689</v>
      </c>
      <c r="C365" s="38" t="s">
        <v>296</v>
      </c>
      <c r="D365" s="38"/>
      <c r="E365" s="15">
        <v>0.2</v>
      </c>
      <c r="F365" s="15"/>
      <c r="G365" s="26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 t="shared" si="22"/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25">
      <c r="B366" s="91" t="s">
        <v>690</v>
      </c>
      <c r="C366" s="38" t="s">
        <v>297</v>
      </c>
      <c r="D366" s="38"/>
      <c r="E366" s="15">
        <v>0.4</v>
      </c>
      <c r="F366" s="15"/>
      <c r="G366" s="26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 t="shared" si="22"/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25">
      <c r="B367" s="91" t="s">
        <v>691</v>
      </c>
      <c r="C367" s="38" t="s">
        <v>298</v>
      </c>
      <c r="D367" s="38"/>
      <c r="E367" s="15">
        <v>0.05</v>
      </c>
      <c r="F367" s="15"/>
      <c r="G367" s="26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 t="shared" si="22"/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25">
      <c r="B368" s="91" t="s">
        <v>692</v>
      </c>
      <c r="C368" s="38" t="s">
        <v>248</v>
      </c>
      <c r="D368" s="38"/>
      <c r="E368" s="15">
        <v>0.2</v>
      </c>
      <c r="F368" s="15"/>
      <c r="G368" s="26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 t="shared" si="22"/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25">
      <c r="B369" s="91" t="s">
        <v>692</v>
      </c>
      <c r="C369" s="38" t="s">
        <v>243</v>
      </c>
      <c r="D369" s="38"/>
      <c r="E369" s="15">
        <v>1</v>
      </c>
      <c r="F369" s="15"/>
      <c r="G369" s="26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 t="shared" si="22"/>
        <v>1</v>
      </c>
      <c r="AD369" s="9"/>
      <c r="AE369" s="17" t="e">
        <f>AA369*#REF!</f>
        <v>#REF!</v>
      </c>
    </row>
    <row r="370" spans="2:31" ht="16.5" hidden="1" customHeight="1" outlineLevel="1" x14ac:dyDescent="0.25">
      <c r="B370" s="91" t="s">
        <v>889</v>
      </c>
      <c r="C370" s="38" t="s">
        <v>249</v>
      </c>
      <c r="D370" s="38"/>
      <c r="E370" s="15">
        <v>0.125</v>
      </c>
      <c r="F370" s="15"/>
      <c r="G370" s="26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 t="shared" si="22"/>
        <v>1.5625E-2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1" t="s">
        <v>693</v>
      </c>
      <c r="C371" s="38" t="s">
        <v>250</v>
      </c>
      <c r="D371" s="38"/>
      <c r="E371" s="15">
        <v>0.2</v>
      </c>
      <c r="F371" s="15"/>
      <c r="G371" s="26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 t="shared" si="22"/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25">
      <c r="B372" s="91" t="s">
        <v>693</v>
      </c>
      <c r="C372" s="38" t="s">
        <v>244</v>
      </c>
      <c r="D372" s="38"/>
      <c r="E372" s="15">
        <v>1</v>
      </c>
      <c r="F372" s="15"/>
      <c r="G372" s="26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 t="shared" si="22"/>
        <v>1</v>
      </c>
      <c r="AD372" s="9"/>
      <c r="AE372" s="17" t="e">
        <f>AA372*#REF!</f>
        <v>#REF!</v>
      </c>
    </row>
    <row r="373" spans="2:31" ht="16.5" hidden="1" customHeight="1" outlineLevel="1" x14ac:dyDescent="0.25">
      <c r="B373" s="91" t="s">
        <v>890</v>
      </c>
      <c r="C373" s="38" t="s">
        <v>251</v>
      </c>
      <c r="D373" s="38"/>
      <c r="E373" s="15">
        <v>0.125</v>
      </c>
      <c r="F373" s="15"/>
      <c r="G373" s="26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 t="shared" si="22"/>
        <v>1.5625E-2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1" t="s">
        <v>891</v>
      </c>
      <c r="C374" s="38" t="s">
        <v>252</v>
      </c>
      <c r="D374" s="38"/>
      <c r="E374" s="15">
        <v>0.2</v>
      </c>
      <c r="F374" s="15"/>
      <c r="G374" s="26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2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1" t="s">
        <v>892</v>
      </c>
      <c r="C375" s="38" t="s">
        <v>253</v>
      </c>
      <c r="D375" s="38"/>
      <c r="E375" s="15">
        <v>0.2</v>
      </c>
      <c r="F375" s="15"/>
      <c r="G375" s="26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 t="shared" si="22"/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1" t="s">
        <v>893</v>
      </c>
      <c r="C376" s="38" t="s">
        <v>254</v>
      </c>
      <c r="D376" s="38"/>
      <c r="E376" s="15">
        <v>0.125</v>
      </c>
      <c r="F376" s="15"/>
      <c r="G376" s="26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2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1" t="s">
        <v>894</v>
      </c>
      <c r="C377" s="38" t="s">
        <v>255</v>
      </c>
      <c r="D377" s="38"/>
      <c r="E377" s="15">
        <v>0.125</v>
      </c>
      <c r="F377" s="15"/>
      <c r="G377" s="26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 t="shared" si="22"/>
        <v>1.5625E-2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1" t="s">
        <v>895</v>
      </c>
      <c r="C378" s="38" t="s">
        <v>256</v>
      </c>
      <c r="D378" s="38"/>
      <c r="E378" s="15">
        <v>0.2</v>
      </c>
      <c r="F378" s="15"/>
      <c r="G378" s="26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2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1" t="s">
        <v>694</v>
      </c>
      <c r="C379" s="38" t="s">
        <v>257</v>
      </c>
      <c r="D379" s="38"/>
      <c r="E379" s="15">
        <v>0.2</v>
      </c>
      <c r="F379" s="15"/>
      <c r="G379" s="26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 t="shared" si="22"/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25">
      <c r="B380" s="91" t="s">
        <v>694</v>
      </c>
      <c r="C380" s="38" t="s">
        <v>245</v>
      </c>
      <c r="D380" s="38"/>
      <c r="E380" s="15">
        <v>1</v>
      </c>
      <c r="F380" s="15"/>
      <c r="G380" s="26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 t="shared" si="22"/>
        <v>1</v>
      </c>
      <c r="AD380" s="9"/>
      <c r="AE380" s="17" t="e">
        <f>AA380*#REF!</f>
        <v>#REF!</v>
      </c>
    </row>
    <row r="381" spans="2:31" ht="16.5" hidden="1" customHeight="1" outlineLevel="1" x14ac:dyDescent="0.25">
      <c r="B381" s="91" t="s">
        <v>896</v>
      </c>
      <c r="C381" s="38" t="s">
        <v>258</v>
      </c>
      <c r="D381" s="38"/>
      <c r="E381" s="15">
        <v>0.125</v>
      </c>
      <c r="F381" s="15"/>
      <c r="G381" s="26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 t="shared" si="22"/>
        <v>1.5625E-2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1" t="s">
        <v>695</v>
      </c>
      <c r="C382" s="38" t="s">
        <v>260</v>
      </c>
      <c r="D382" s="38"/>
      <c r="E382" s="15">
        <v>0.2</v>
      </c>
      <c r="F382" s="15"/>
      <c r="G382" s="26">
        <f t="shared" si="21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 t="shared" si="22"/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25">
      <c r="B383" s="91" t="s">
        <v>695</v>
      </c>
      <c r="C383" s="38" t="s">
        <v>246</v>
      </c>
      <c r="D383" s="38"/>
      <c r="E383" s="15">
        <v>1</v>
      </c>
      <c r="F383" s="15"/>
      <c r="G383" s="26">
        <f t="shared" si="21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2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1" t="s">
        <v>897</v>
      </c>
      <c r="C384" s="38" t="s">
        <v>261</v>
      </c>
      <c r="D384" s="38"/>
      <c r="E384" s="15">
        <v>1</v>
      </c>
      <c r="F384" s="15"/>
      <c r="G384" s="26">
        <f t="shared" si="21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2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1" t="s">
        <v>898</v>
      </c>
      <c r="C385" s="38" t="s">
        <v>259</v>
      </c>
      <c r="D385" s="38"/>
      <c r="E385" s="15">
        <v>1</v>
      </c>
      <c r="F385" s="15"/>
      <c r="G385" s="26">
        <f t="shared" si="21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 t="shared" si="22"/>
        <v>1</v>
      </c>
      <c r="AD385" s="9"/>
      <c r="AE385" s="17" t="e">
        <f>AA385*#REF!</f>
        <v>#REF!</v>
      </c>
    </row>
    <row r="386" spans="2:31" ht="16.5" hidden="1" customHeight="1" outlineLevel="1" x14ac:dyDescent="0.25">
      <c r="B386" s="91" t="s">
        <v>696</v>
      </c>
      <c r="C386" s="38" t="s">
        <v>299</v>
      </c>
      <c r="D386" s="38"/>
      <c r="E386" s="15">
        <v>0.14000000000000001</v>
      </c>
      <c r="F386" s="15"/>
      <c r="G386" s="26">
        <f t="shared" si="21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 t="shared" si="22"/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1" t="s">
        <v>697</v>
      </c>
      <c r="C387" s="38" t="s">
        <v>300</v>
      </c>
      <c r="D387" s="38"/>
      <c r="E387" s="15">
        <v>0.22</v>
      </c>
      <c r="F387" s="15"/>
      <c r="G387" s="34">
        <f t="shared" si="21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 t="shared" si="22"/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1" t="s">
        <v>698</v>
      </c>
      <c r="C388" s="42" t="s">
        <v>165</v>
      </c>
      <c r="D388" s="42"/>
      <c r="E388" s="27"/>
      <c r="F388" s="27">
        <f>SUM(F389:F483)</f>
        <v>0</v>
      </c>
      <c r="G388" s="59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1" t="s">
        <v>899</v>
      </c>
      <c r="C389" s="51" t="s">
        <v>166</v>
      </c>
      <c r="D389" s="88"/>
      <c r="E389" s="15">
        <v>1</v>
      </c>
      <c r="F389" s="11"/>
      <c r="G389" s="33">
        <f t="shared" si="21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25">
      <c r="B390" s="91" t="s">
        <v>900</v>
      </c>
      <c r="C390" s="51" t="s">
        <v>472</v>
      </c>
      <c r="D390" s="88"/>
      <c r="E390" s="15">
        <v>0.5</v>
      </c>
      <c r="F390" s="11"/>
      <c r="G390" s="26">
        <f t="shared" si="21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25">
      <c r="B391" s="91" t="s">
        <v>900</v>
      </c>
      <c r="C391" s="44" t="s">
        <v>167</v>
      </c>
      <c r="D391" s="44"/>
      <c r="E391" s="15">
        <v>1</v>
      </c>
      <c r="F391" s="15"/>
      <c r="G391" s="26">
        <f t="shared" si="21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ref="AC391:AC422" si="23">AA391*E391</f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1" t="s">
        <v>901</v>
      </c>
      <c r="C392" s="44" t="s">
        <v>168</v>
      </c>
      <c r="D392" s="44"/>
      <c r="E392" s="15">
        <v>1</v>
      </c>
      <c r="F392" s="15"/>
      <c r="G392" s="26">
        <f t="shared" si="21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3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1" t="s">
        <v>902</v>
      </c>
      <c r="C393" s="44" t="s">
        <v>169</v>
      </c>
      <c r="D393" s="44"/>
      <c r="E393" s="15">
        <v>1</v>
      </c>
      <c r="F393" s="15"/>
      <c r="G393" s="26">
        <f t="shared" si="21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3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1" t="s">
        <v>903</v>
      </c>
      <c r="C394" s="44" t="s">
        <v>170</v>
      </c>
      <c r="D394" s="44"/>
      <c r="E394" s="15">
        <v>1</v>
      </c>
      <c r="F394" s="15"/>
      <c r="G394" s="26">
        <f t="shared" si="21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3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1" t="s">
        <v>904</v>
      </c>
      <c r="C395" s="44" t="s">
        <v>171</v>
      </c>
      <c r="D395" s="44"/>
      <c r="E395" s="15">
        <v>1</v>
      </c>
      <c r="F395" s="15"/>
      <c r="G395" s="26">
        <f t="shared" si="21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3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1" t="s">
        <v>905</v>
      </c>
      <c r="C396" s="44" t="s">
        <v>172</v>
      </c>
      <c r="D396" s="44"/>
      <c r="E396" s="15">
        <v>1</v>
      </c>
      <c r="F396" s="15"/>
      <c r="G396" s="26">
        <f t="shared" si="21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3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1" t="s">
        <v>906</v>
      </c>
      <c r="C397" s="44" t="s">
        <v>173</v>
      </c>
      <c r="D397" s="44"/>
      <c r="E397" s="15">
        <v>1</v>
      </c>
      <c r="F397" s="15"/>
      <c r="G397" s="26">
        <f t="shared" si="21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3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1" t="s">
        <v>907</v>
      </c>
      <c r="C398" s="44" t="s">
        <v>174</v>
      </c>
      <c r="D398" s="44"/>
      <c r="E398" s="15">
        <v>1</v>
      </c>
      <c r="F398" s="15"/>
      <c r="G398" s="26">
        <f t="shared" si="21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 t="shared" si="23"/>
        <v>1</v>
      </c>
      <c r="AD398" s="9"/>
      <c r="AE398" s="17" t="e">
        <f>AA398*#REF!</f>
        <v>#REF!</v>
      </c>
    </row>
    <row r="399" spans="2:31" ht="16.5" hidden="1" customHeight="1" outlineLevel="1" x14ac:dyDescent="0.25">
      <c r="B399" s="91" t="s">
        <v>908</v>
      </c>
      <c r="C399" s="44" t="s">
        <v>175</v>
      </c>
      <c r="D399" s="44"/>
      <c r="E399" s="15">
        <v>2.9000000000000001E-2</v>
      </c>
      <c r="F399" s="15"/>
      <c r="G399" s="26">
        <f t="shared" si="21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 t="shared" si="23"/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25">
      <c r="B400" s="91" t="s">
        <v>909</v>
      </c>
      <c r="C400" s="44" t="s">
        <v>176</v>
      </c>
      <c r="D400" s="44"/>
      <c r="E400" s="15">
        <v>0.05</v>
      </c>
      <c r="F400" s="15"/>
      <c r="G400" s="26">
        <f t="shared" si="21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 t="shared" si="23"/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25">
      <c r="B401" s="91" t="s">
        <v>910</v>
      </c>
      <c r="C401" s="44" t="s">
        <v>177</v>
      </c>
      <c r="D401" s="44"/>
      <c r="E401" s="15">
        <v>0.03</v>
      </c>
      <c r="F401" s="15"/>
      <c r="G401" s="26">
        <f t="shared" si="21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 t="shared" si="23"/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25">
      <c r="B402" s="91" t="s">
        <v>911</v>
      </c>
      <c r="C402" s="44" t="s">
        <v>178</v>
      </c>
      <c r="D402" s="44"/>
      <c r="E402" s="15">
        <v>1</v>
      </c>
      <c r="F402" s="15"/>
      <c r="G402" s="26">
        <f t="shared" si="21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3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1" t="s">
        <v>912</v>
      </c>
      <c r="C403" s="44" t="s">
        <v>346</v>
      </c>
      <c r="D403" s="44"/>
      <c r="E403" s="15">
        <v>1</v>
      </c>
      <c r="F403" s="15"/>
      <c r="G403" s="26">
        <f t="shared" si="21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 t="shared" si="23"/>
        <v>1</v>
      </c>
      <c r="AD403" s="9"/>
      <c r="AE403" s="17" t="e">
        <f>AA403*#REF!</f>
        <v>#REF!</v>
      </c>
    </row>
    <row r="404" spans="2:31" ht="16.5" hidden="1" customHeight="1" outlineLevel="1" x14ac:dyDescent="0.25">
      <c r="B404" s="91" t="s">
        <v>913</v>
      </c>
      <c r="C404" s="44" t="s">
        <v>345</v>
      </c>
      <c r="D404" s="44"/>
      <c r="E404" s="15">
        <v>0.23499999999999999</v>
      </c>
      <c r="F404" s="15"/>
      <c r="G404" s="26">
        <f t="shared" si="21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 t="shared" si="23"/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1" t="s">
        <v>914</v>
      </c>
      <c r="C405" s="44" t="s">
        <v>344</v>
      </c>
      <c r="D405" s="44"/>
      <c r="E405" s="15">
        <v>0.23200000000000001</v>
      </c>
      <c r="F405" s="15"/>
      <c r="G405" s="26">
        <f t="shared" si="21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 t="shared" si="23"/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25">
      <c r="B406" s="91" t="s">
        <v>915</v>
      </c>
      <c r="C406" s="44" t="s">
        <v>326</v>
      </c>
      <c r="D406" s="44"/>
      <c r="E406" s="15">
        <v>1</v>
      </c>
      <c r="F406" s="15"/>
      <c r="G406" s="26">
        <f t="shared" si="21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3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1" t="s">
        <v>916</v>
      </c>
      <c r="C407" s="44" t="s">
        <v>343</v>
      </c>
      <c r="D407" s="44"/>
      <c r="E407" s="15">
        <v>1</v>
      </c>
      <c r="F407" s="15"/>
      <c r="G407" s="26">
        <f t="shared" si="21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3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1" t="s">
        <v>917</v>
      </c>
      <c r="C408" s="44" t="s">
        <v>342</v>
      </c>
      <c r="D408" s="44"/>
      <c r="E408" s="15">
        <v>1</v>
      </c>
      <c r="F408" s="15"/>
      <c r="G408" s="26">
        <f t="shared" si="21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3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1" t="s">
        <v>918</v>
      </c>
      <c r="C409" s="44" t="s">
        <v>341</v>
      </c>
      <c r="D409" s="44"/>
      <c r="E409" s="15">
        <v>1</v>
      </c>
      <c r="F409" s="15"/>
      <c r="G409" s="26">
        <f t="shared" si="21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3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1" t="s">
        <v>919</v>
      </c>
      <c r="C410" s="44" t="s">
        <v>340</v>
      </c>
      <c r="D410" s="44"/>
      <c r="E410" s="15">
        <v>1</v>
      </c>
      <c r="F410" s="15"/>
      <c r="G410" s="26">
        <f t="shared" ref="G410:G473" si="24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3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1" t="s">
        <v>920</v>
      </c>
      <c r="C411" s="44" t="s">
        <v>339</v>
      </c>
      <c r="D411" s="44"/>
      <c r="E411" s="15">
        <v>1</v>
      </c>
      <c r="F411" s="15"/>
      <c r="G411" s="26">
        <f t="shared" si="24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3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1" t="s">
        <v>921</v>
      </c>
      <c r="C412" s="44" t="s">
        <v>338</v>
      </c>
      <c r="D412" s="44"/>
      <c r="E412" s="15">
        <v>1</v>
      </c>
      <c r="F412" s="15"/>
      <c r="G412" s="26">
        <f t="shared" si="24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 t="shared" si="23"/>
        <v>1</v>
      </c>
      <c r="AD412" s="9"/>
      <c r="AE412" s="17" t="e">
        <f>AA412*#REF!</f>
        <v>#REF!</v>
      </c>
    </row>
    <row r="413" spans="2:31" ht="16.5" hidden="1" customHeight="1" outlineLevel="1" x14ac:dyDescent="0.25">
      <c r="B413" s="91" t="s">
        <v>922</v>
      </c>
      <c r="C413" s="44" t="s">
        <v>337</v>
      </c>
      <c r="D413" s="44"/>
      <c r="E413" s="15">
        <v>0.4</v>
      </c>
      <c r="F413" s="15"/>
      <c r="G413" s="26">
        <f t="shared" si="24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 t="shared" si="23"/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25">
      <c r="B414" s="91" t="s">
        <v>923</v>
      </c>
      <c r="C414" s="44" t="s">
        <v>336</v>
      </c>
      <c r="D414" s="44"/>
      <c r="E414" s="15">
        <v>0.7</v>
      </c>
      <c r="F414" s="15"/>
      <c r="G414" s="26">
        <f t="shared" si="24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3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1" t="s">
        <v>924</v>
      </c>
      <c r="C415" s="44" t="s">
        <v>335</v>
      </c>
      <c r="D415" s="44"/>
      <c r="E415" s="15">
        <v>0.7</v>
      </c>
      <c r="F415" s="15"/>
      <c r="G415" s="26">
        <f t="shared" si="24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 t="shared" si="23"/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25">
      <c r="B416" s="91" t="s">
        <v>925</v>
      </c>
      <c r="C416" s="44" t="s">
        <v>428</v>
      </c>
      <c r="D416" s="44"/>
      <c r="E416" s="15">
        <v>0.5</v>
      </c>
      <c r="F416" s="15"/>
      <c r="G416" s="26">
        <f t="shared" si="24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3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1" t="s">
        <v>926</v>
      </c>
      <c r="C417" s="44" t="s">
        <v>334</v>
      </c>
      <c r="D417" s="44"/>
      <c r="E417" s="15">
        <v>0.5</v>
      </c>
      <c r="F417" s="15"/>
      <c r="G417" s="26">
        <f t="shared" si="24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3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1" t="s">
        <v>927</v>
      </c>
      <c r="C418" s="44" t="s">
        <v>333</v>
      </c>
      <c r="D418" s="44"/>
      <c r="E418" s="15">
        <v>0.5</v>
      </c>
      <c r="F418" s="15"/>
      <c r="G418" s="26">
        <f t="shared" si="24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3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1" t="s">
        <v>928</v>
      </c>
      <c r="C419" s="44" t="s">
        <v>332</v>
      </c>
      <c r="D419" s="44"/>
      <c r="E419" s="15">
        <v>0.5</v>
      </c>
      <c r="F419" s="15"/>
      <c r="G419" s="26">
        <f t="shared" si="24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 t="shared" si="23"/>
        <v>0.25</v>
      </c>
      <c r="AD419" s="9"/>
      <c r="AE419" s="17" t="e">
        <f>AA419*#REF!</f>
        <v>#REF!</v>
      </c>
    </row>
    <row r="420" spans="2:31" ht="16.5" hidden="1" customHeight="1" outlineLevel="1" x14ac:dyDescent="0.25">
      <c r="B420" s="91" t="s">
        <v>929</v>
      </c>
      <c r="C420" s="44" t="s">
        <v>331</v>
      </c>
      <c r="D420" s="44"/>
      <c r="E420" s="15">
        <v>1</v>
      </c>
      <c r="F420" s="15"/>
      <c r="G420" s="26">
        <f t="shared" si="24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3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1" t="s">
        <v>930</v>
      </c>
      <c r="C421" s="44" t="s">
        <v>429</v>
      </c>
      <c r="D421" s="44"/>
      <c r="E421" s="15">
        <v>1</v>
      </c>
      <c r="F421" s="15"/>
      <c r="G421" s="26">
        <f t="shared" si="24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 t="shared" si="23"/>
        <v>1</v>
      </c>
      <c r="AD421" s="9"/>
      <c r="AE421" s="17" t="e">
        <f>AA421*#REF!</f>
        <v>#REF!</v>
      </c>
    </row>
    <row r="422" spans="2:31" ht="16.5" hidden="1" customHeight="1" outlineLevel="1" x14ac:dyDescent="0.25">
      <c r="B422" s="91" t="s">
        <v>931</v>
      </c>
      <c r="C422" s="44" t="s">
        <v>330</v>
      </c>
      <c r="D422" s="44"/>
      <c r="E422" s="15">
        <v>0.05</v>
      </c>
      <c r="F422" s="15"/>
      <c r="G422" s="26">
        <f t="shared" si="24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 t="shared" si="23"/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25">
      <c r="B423" s="91" t="s">
        <v>932</v>
      </c>
      <c r="C423" s="44" t="s">
        <v>329</v>
      </c>
      <c r="D423" s="44"/>
      <c r="E423" s="15">
        <v>0.23499999999999999</v>
      </c>
      <c r="F423" s="15"/>
      <c r="G423" s="26">
        <f t="shared" si="24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 t="shared" ref="AC423:AC454" si="25"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25">
      <c r="B424" s="91" t="s">
        <v>933</v>
      </c>
      <c r="C424" s="44" t="s">
        <v>328</v>
      </c>
      <c r="D424" s="44"/>
      <c r="E424" s="15">
        <v>1</v>
      </c>
      <c r="F424" s="15"/>
      <c r="G424" s="26">
        <f t="shared" si="24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5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1" t="s">
        <v>934</v>
      </c>
      <c r="C425" s="44" t="s">
        <v>327</v>
      </c>
      <c r="D425" s="44"/>
      <c r="E425" s="15">
        <v>1</v>
      </c>
      <c r="F425" s="15"/>
      <c r="G425" s="26">
        <f t="shared" si="24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 t="shared" si="25"/>
        <v>1</v>
      </c>
      <c r="AD425" s="9"/>
      <c r="AE425" s="17" t="e">
        <f>AA425*#REF!</f>
        <v>#REF!</v>
      </c>
    </row>
    <row r="426" spans="2:31" ht="16.5" hidden="1" customHeight="1" outlineLevel="1" x14ac:dyDescent="0.25">
      <c r="B426" s="91" t="s">
        <v>935</v>
      </c>
      <c r="C426" s="44" t="s">
        <v>430</v>
      </c>
      <c r="D426" s="44"/>
      <c r="E426" s="15">
        <v>0.182</v>
      </c>
      <c r="F426" s="15"/>
      <c r="G426" s="26">
        <f t="shared" si="24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 t="shared" si="25"/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25">
      <c r="B427" s="91" t="s">
        <v>936</v>
      </c>
      <c r="C427" s="44" t="s">
        <v>431</v>
      </c>
      <c r="D427" s="44"/>
      <c r="E427" s="15">
        <v>1</v>
      </c>
      <c r="F427" s="15"/>
      <c r="G427" s="26">
        <f t="shared" si="24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5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1" t="s">
        <v>937</v>
      </c>
      <c r="C428" s="44" t="s">
        <v>432</v>
      </c>
      <c r="D428" s="44"/>
      <c r="E428" s="15">
        <v>1</v>
      </c>
      <c r="F428" s="15"/>
      <c r="G428" s="26">
        <f t="shared" si="24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 t="shared" si="25"/>
        <v>1</v>
      </c>
      <c r="AD428" s="9"/>
      <c r="AE428" s="17" t="e">
        <f>AA428*#REF!</f>
        <v>#REF!</v>
      </c>
    </row>
    <row r="429" spans="2:31" ht="16.5" hidden="1" customHeight="1" outlineLevel="1" x14ac:dyDescent="0.25">
      <c r="B429" s="91" t="s">
        <v>938</v>
      </c>
      <c r="C429" s="44" t="s">
        <v>433</v>
      </c>
      <c r="D429" s="44"/>
      <c r="E429" s="15">
        <v>0.1</v>
      </c>
      <c r="F429" s="15"/>
      <c r="G429" s="26">
        <f t="shared" si="24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5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1" t="s">
        <v>939</v>
      </c>
      <c r="C430" s="44" t="s">
        <v>434</v>
      </c>
      <c r="D430" s="44"/>
      <c r="E430" s="15">
        <v>0.1</v>
      </c>
      <c r="F430" s="15"/>
      <c r="G430" s="26">
        <f t="shared" si="24"/>
        <v>0</v>
      </c>
      <c r="H430" s="9" t="s">
        <v>465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 t="shared" si="25"/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1" t="s">
        <v>940</v>
      </c>
      <c r="C431" s="44" t="s">
        <v>224</v>
      </c>
      <c r="D431" s="44"/>
      <c r="E431" s="15">
        <v>0.125</v>
      </c>
      <c r="F431" s="15"/>
      <c r="G431" s="26">
        <f t="shared" si="24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 t="shared" si="25"/>
        <v>1.5625E-2</v>
      </c>
      <c r="AD431" s="9"/>
      <c r="AE431" s="17" t="e">
        <f>AA431*#REF!</f>
        <v>#REF!</v>
      </c>
    </row>
    <row r="432" spans="2:31" ht="16.5" hidden="1" customHeight="1" outlineLevel="1" x14ac:dyDescent="0.25">
      <c r="B432" s="91" t="s">
        <v>941</v>
      </c>
      <c r="C432" s="44" t="s">
        <v>208</v>
      </c>
      <c r="D432" s="44"/>
      <c r="E432" s="15">
        <v>3.9E-2</v>
      </c>
      <c r="F432" s="15"/>
      <c r="G432" s="26">
        <f t="shared" si="24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 t="shared" si="25"/>
        <v>1.521E-3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1" t="s">
        <v>942</v>
      </c>
      <c r="C433" s="44" t="s">
        <v>209</v>
      </c>
      <c r="D433" s="44"/>
      <c r="E433" s="15">
        <v>4.2999999999999997E-2</v>
      </c>
      <c r="F433" s="15"/>
      <c r="G433" s="26">
        <f t="shared" si="24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 t="shared" si="25"/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25">
      <c r="B434" s="91" t="s">
        <v>943</v>
      </c>
      <c r="C434" s="44" t="s">
        <v>210</v>
      </c>
      <c r="D434" s="44"/>
      <c r="E434" s="15">
        <v>0.02</v>
      </c>
      <c r="F434" s="15"/>
      <c r="G434" s="26">
        <f t="shared" si="24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5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1" t="s">
        <v>943</v>
      </c>
      <c r="C435" s="44" t="s">
        <v>211</v>
      </c>
      <c r="D435" s="44"/>
      <c r="E435" s="15">
        <v>0.02</v>
      </c>
      <c r="F435" s="15"/>
      <c r="G435" s="26">
        <f t="shared" si="24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5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1" t="s">
        <v>944</v>
      </c>
      <c r="C436" s="44" t="s">
        <v>212</v>
      </c>
      <c r="D436" s="44"/>
      <c r="E436" s="15">
        <v>0.02</v>
      </c>
      <c r="F436" s="15"/>
      <c r="G436" s="26">
        <f t="shared" si="24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5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1" t="s">
        <v>945</v>
      </c>
      <c r="C437" s="44" t="s">
        <v>213</v>
      </c>
      <c r="D437" s="44"/>
      <c r="E437" s="15">
        <v>0.02</v>
      </c>
      <c r="F437" s="15"/>
      <c r="G437" s="26">
        <f t="shared" si="24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5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1" t="s">
        <v>945</v>
      </c>
      <c r="C438" s="44" t="s">
        <v>214</v>
      </c>
      <c r="D438" s="44"/>
      <c r="E438" s="15">
        <v>0.02</v>
      </c>
      <c r="F438" s="15"/>
      <c r="G438" s="26">
        <f t="shared" si="24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 t="shared" si="25"/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1" t="s">
        <v>946</v>
      </c>
      <c r="C439" s="44" t="s">
        <v>215</v>
      </c>
      <c r="D439" s="44"/>
      <c r="E439" s="15">
        <v>2.1000000000000001E-2</v>
      </c>
      <c r="F439" s="15"/>
      <c r="G439" s="26">
        <f t="shared" si="24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 t="shared" si="25"/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25">
      <c r="B440" s="91" t="s">
        <v>947</v>
      </c>
      <c r="C440" s="44" t="s">
        <v>216</v>
      </c>
      <c r="D440" s="44"/>
      <c r="E440" s="15">
        <v>0.1</v>
      </c>
      <c r="F440" s="15"/>
      <c r="G440" s="26">
        <f t="shared" si="24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 t="shared" si="25"/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25">
      <c r="B441" s="91" t="s">
        <v>948</v>
      </c>
      <c r="C441" s="44" t="s">
        <v>217</v>
      </c>
      <c r="D441" s="44"/>
      <c r="E441" s="15">
        <v>0.05</v>
      </c>
      <c r="F441" s="15"/>
      <c r="G441" s="26">
        <f t="shared" si="24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 t="shared" si="25"/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25">
      <c r="B442" s="91" t="s">
        <v>949</v>
      </c>
      <c r="C442" s="44" t="s">
        <v>207</v>
      </c>
      <c r="D442" s="44"/>
      <c r="E442" s="15">
        <v>0.01</v>
      </c>
      <c r="F442" s="15"/>
      <c r="G442" s="26">
        <f t="shared" si="24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 t="shared" si="25"/>
        <v>0.01</v>
      </c>
      <c r="AD442" s="9"/>
      <c r="AE442" s="17" t="e">
        <f>AA442*#REF!</f>
        <v>#REF!</v>
      </c>
    </row>
    <row r="443" spans="2:31" ht="16.5" hidden="1" customHeight="1" outlineLevel="1" x14ac:dyDescent="0.25">
      <c r="B443" s="91" t="s">
        <v>699</v>
      </c>
      <c r="C443" s="44" t="s">
        <v>218</v>
      </c>
      <c r="D443" s="44"/>
      <c r="E443" s="15">
        <v>0.18</v>
      </c>
      <c r="F443" s="15"/>
      <c r="G443" s="26">
        <f t="shared" si="24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 t="shared" si="25"/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25">
      <c r="B444" s="91" t="s">
        <v>700</v>
      </c>
      <c r="C444" s="44" t="s">
        <v>435</v>
      </c>
      <c r="D444" s="44"/>
      <c r="E444" s="15">
        <v>0.35</v>
      </c>
      <c r="F444" s="15"/>
      <c r="G444" s="26">
        <f t="shared" si="24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 t="shared" si="25"/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25">
      <c r="B445" s="91" t="s">
        <v>950</v>
      </c>
      <c r="C445" s="44" t="s">
        <v>221</v>
      </c>
      <c r="D445" s="44"/>
      <c r="E445" s="15">
        <v>0.09</v>
      </c>
      <c r="F445" s="15"/>
      <c r="G445" s="26">
        <f t="shared" si="24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 t="shared" si="25"/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25">
      <c r="B446" s="91" t="s">
        <v>951</v>
      </c>
      <c r="C446" s="44" t="s">
        <v>219</v>
      </c>
      <c r="D446" s="44"/>
      <c r="E446" s="15">
        <v>0.15</v>
      </c>
      <c r="F446" s="15"/>
      <c r="G446" s="26">
        <f t="shared" si="24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5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1" t="s">
        <v>951</v>
      </c>
      <c r="C447" s="44" t="s">
        <v>436</v>
      </c>
      <c r="D447" s="44"/>
      <c r="E447" s="15">
        <v>0.15</v>
      </c>
      <c r="F447" s="15"/>
      <c r="G447" s="26">
        <f t="shared" si="24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 t="shared" si="25"/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25">
      <c r="B448" s="91" t="s">
        <v>952</v>
      </c>
      <c r="C448" s="44" t="s">
        <v>220</v>
      </c>
      <c r="D448" s="44"/>
      <c r="E448" s="15">
        <v>7.0000000000000007E-2</v>
      </c>
      <c r="F448" s="15"/>
      <c r="G448" s="26">
        <f t="shared" si="24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 t="shared" si="25"/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25">
      <c r="B449" s="91" t="s">
        <v>953</v>
      </c>
      <c r="C449" s="44" t="s">
        <v>222</v>
      </c>
      <c r="D449" s="44"/>
      <c r="E449" s="15">
        <v>1.6E-2</v>
      </c>
      <c r="F449" s="15"/>
      <c r="G449" s="26">
        <f t="shared" si="24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 t="shared" si="25"/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25">
      <c r="B450" s="91" t="s">
        <v>954</v>
      </c>
      <c r="C450" s="44" t="s">
        <v>223</v>
      </c>
      <c r="D450" s="44"/>
      <c r="E450" s="15">
        <v>2.4E-2</v>
      </c>
      <c r="F450" s="15"/>
      <c r="G450" s="26">
        <f t="shared" si="24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 t="shared" si="25"/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25">
      <c r="B451" s="91" t="s">
        <v>943</v>
      </c>
      <c r="C451" s="44" t="s">
        <v>437</v>
      </c>
      <c r="D451" s="44"/>
      <c r="E451" s="15">
        <v>0.02</v>
      </c>
      <c r="F451" s="15"/>
      <c r="G451" s="26">
        <f t="shared" si="24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5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1" t="s">
        <v>943</v>
      </c>
      <c r="C452" s="44" t="s">
        <v>438</v>
      </c>
      <c r="D452" s="44"/>
      <c r="E452" s="15">
        <v>0.02</v>
      </c>
      <c r="F452" s="15"/>
      <c r="G452" s="26">
        <f t="shared" si="24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 t="shared" si="25"/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25">
      <c r="B453" s="91" t="s">
        <v>698</v>
      </c>
      <c r="C453" s="44" t="s">
        <v>439</v>
      </c>
      <c r="D453" s="44"/>
      <c r="E453" s="15">
        <v>1</v>
      </c>
      <c r="F453" s="15"/>
      <c r="G453" s="26">
        <f t="shared" si="24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5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1" t="s">
        <v>698</v>
      </c>
      <c r="C454" s="44" t="s">
        <v>440</v>
      </c>
      <c r="D454" s="44"/>
      <c r="E454" s="15">
        <v>1</v>
      </c>
      <c r="F454" s="15"/>
      <c r="G454" s="26">
        <f t="shared" si="24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si="25"/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1" t="s">
        <v>698</v>
      </c>
      <c r="C455" s="44" t="s">
        <v>441</v>
      </c>
      <c r="D455" s="44"/>
      <c r="E455" s="15">
        <v>1</v>
      </c>
      <c r="F455" s="15"/>
      <c r="G455" s="26">
        <f t="shared" si="24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ref="AC455:AC483" si="26">AA455*E455</f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1" t="s">
        <v>698</v>
      </c>
      <c r="C456" s="44" t="s">
        <v>442</v>
      </c>
      <c r="D456" s="44"/>
      <c r="E456" s="15">
        <v>1</v>
      </c>
      <c r="F456" s="15"/>
      <c r="G456" s="26">
        <f t="shared" si="24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6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1" t="s">
        <v>698</v>
      </c>
      <c r="C457" s="44" t="s">
        <v>443</v>
      </c>
      <c r="D457" s="44"/>
      <c r="E457" s="15">
        <v>1</v>
      </c>
      <c r="F457" s="15"/>
      <c r="G457" s="26">
        <f t="shared" si="24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6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1" t="s">
        <v>698</v>
      </c>
      <c r="C458" s="44" t="s">
        <v>444</v>
      </c>
      <c r="D458" s="44"/>
      <c r="E458" s="15">
        <v>1</v>
      </c>
      <c r="F458" s="15"/>
      <c r="G458" s="26">
        <f t="shared" si="24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6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1" t="s">
        <v>698</v>
      </c>
      <c r="C459" s="44" t="s">
        <v>445</v>
      </c>
      <c r="D459" s="44"/>
      <c r="E459" s="15">
        <v>1</v>
      </c>
      <c r="F459" s="15"/>
      <c r="G459" s="26">
        <f t="shared" si="24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6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1" t="s">
        <v>955</v>
      </c>
      <c r="C460" s="44" t="s">
        <v>446</v>
      </c>
      <c r="D460" s="44"/>
      <c r="E460" s="15">
        <v>1</v>
      </c>
      <c r="F460" s="15"/>
      <c r="G460" s="26">
        <f t="shared" si="24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6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1" t="s">
        <v>956</v>
      </c>
      <c r="C461" s="44" t="s">
        <v>447</v>
      </c>
      <c r="D461" s="44"/>
      <c r="E461" s="15">
        <v>1</v>
      </c>
      <c r="F461" s="15"/>
      <c r="G461" s="26">
        <f t="shared" si="24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6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1" t="s">
        <v>957</v>
      </c>
      <c r="C462" s="44" t="s">
        <v>448</v>
      </c>
      <c r="D462" s="44"/>
      <c r="E462" s="15">
        <v>1</v>
      </c>
      <c r="F462" s="15"/>
      <c r="G462" s="26">
        <f t="shared" si="24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6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1" t="s">
        <v>957</v>
      </c>
      <c r="C463" s="44" t="s">
        <v>449</v>
      </c>
      <c r="D463" s="44"/>
      <c r="E463" s="15">
        <v>1</v>
      </c>
      <c r="F463" s="15"/>
      <c r="G463" s="26">
        <f t="shared" si="24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 t="shared" si="26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1" t="s">
        <v>958</v>
      </c>
      <c r="C464" s="44" t="s">
        <v>450</v>
      </c>
      <c r="D464" s="44"/>
      <c r="E464" s="15">
        <v>1</v>
      </c>
      <c r="F464" s="15"/>
      <c r="G464" s="26">
        <f t="shared" si="24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6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1" t="s">
        <v>701</v>
      </c>
      <c r="C465" s="44" t="s">
        <v>451</v>
      </c>
      <c r="D465" s="44"/>
      <c r="E465" s="15">
        <v>1</v>
      </c>
      <c r="F465" s="15"/>
      <c r="G465" s="26">
        <f t="shared" si="24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 t="shared" si="26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1" t="s">
        <v>702</v>
      </c>
      <c r="C466" s="44" t="s">
        <v>452</v>
      </c>
      <c r="D466" s="44"/>
      <c r="E466" s="15">
        <v>1</v>
      </c>
      <c r="F466" s="15"/>
      <c r="G466" s="26">
        <f t="shared" si="24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6"/>
        <v>1</v>
      </c>
      <c r="AD466" s="9"/>
      <c r="AE466" s="17" t="e">
        <f>AA466*#REF!</f>
        <v>#REF!</v>
      </c>
    </row>
    <row r="467" spans="2:31" ht="16.5" hidden="1" customHeight="1" outlineLevel="1" x14ac:dyDescent="0.25">
      <c r="B467" s="91" t="s">
        <v>959</v>
      </c>
      <c r="C467" s="44" t="s">
        <v>490</v>
      </c>
      <c r="D467" s="44"/>
      <c r="E467" s="15">
        <v>0.5</v>
      </c>
      <c r="F467" s="15"/>
      <c r="G467" s="26">
        <f t="shared" si="24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6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1" t="s">
        <v>960</v>
      </c>
      <c r="C468" s="44" t="s">
        <v>491</v>
      </c>
      <c r="D468" s="44"/>
      <c r="E468" s="15">
        <v>0.5</v>
      </c>
      <c r="F468" s="15"/>
      <c r="G468" s="26">
        <f t="shared" si="24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6"/>
        <v>0.5</v>
      </c>
      <c r="AD468" s="9"/>
      <c r="AE468" s="17" t="e">
        <f>AA468*#REF!</f>
        <v>#REF!</v>
      </c>
    </row>
    <row r="469" spans="2:31" ht="16.5" hidden="1" customHeight="1" outlineLevel="1" x14ac:dyDescent="0.25">
      <c r="B469" s="91" t="s">
        <v>961</v>
      </c>
      <c r="C469" s="44" t="s">
        <v>453</v>
      </c>
      <c r="D469" s="44"/>
      <c r="E469" s="15">
        <v>1</v>
      </c>
      <c r="F469" s="15"/>
      <c r="G469" s="26">
        <f t="shared" si="24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6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1" t="s">
        <v>962</v>
      </c>
      <c r="C470" s="44" t="s">
        <v>454</v>
      </c>
      <c r="D470" s="44"/>
      <c r="E470" s="15">
        <v>1</v>
      </c>
      <c r="F470" s="15"/>
      <c r="G470" s="26">
        <f t="shared" si="24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6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1" t="s">
        <v>957</v>
      </c>
      <c r="C471" s="44" t="s">
        <v>455</v>
      </c>
      <c r="D471" s="44"/>
      <c r="E471" s="15">
        <v>1</v>
      </c>
      <c r="F471" s="15"/>
      <c r="G471" s="26">
        <f t="shared" si="24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6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1" t="s">
        <v>957</v>
      </c>
      <c r="C472" s="44" t="s">
        <v>456</v>
      </c>
      <c r="D472" s="44"/>
      <c r="E472" s="15">
        <v>1</v>
      </c>
      <c r="F472" s="15"/>
      <c r="G472" s="26">
        <f t="shared" si="24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 t="shared" si="26"/>
        <v>1</v>
      </c>
      <c r="AD472" s="9"/>
      <c r="AE472" s="17" t="e">
        <f>AA472*#REF!</f>
        <v>#REF!</v>
      </c>
    </row>
    <row r="473" spans="2:31" ht="16.5" hidden="1" customHeight="1" outlineLevel="1" x14ac:dyDescent="0.25">
      <c r="B473" s="91" t="s">
        <v>963</v>
      </c>
      <c r="C473" s="44" t="s">
        <v>457</v>
      </c>
      <c r="D473" s="44"/>
      <c r="E473" s="15">
        <v>0.4</v>
      </c>
      <c r="F473" s="15"/>
      <c r="G473" s="26">
        <f t="shared" si="24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6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1" t="s">
        <v>964</v>
      </c>
      <c r="C474" s="44" t="s">
        <v>458</v>
      </c>
      <c r="D474" s="44"/>
      <c r="E474" s="15">
        <v>0.4</v>
      </c>
      <c r="F474" s="15"/>
      <c r="G474" s="26">
        <f t="shared" ref="G474:G526" si="27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 t="shared" si="26"/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25">
      <c r="B475" s="91" t="s">
        <v>703</v>
      </c>
      <c r="C475" s="44" t="s">
        <v>182</v>
      </c>
      <c r="D475" s="44"/>
      <c r="E475" s="15">
        <v>1</v>
      </c>
      <c r="F475" s="15"/>
      <c r="G475" s="26">
        <f t="shared" si="27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6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1" t="s">
        <v>965</v>
      </c>
      <c r="C476" s="44" t="s">
        <v>181</v>
      </c>
      <c r="D476" s="44"/>
      <c r="E476" s="15">
        <v>1</v>
      </c>
      <c r="F476" s="15"/>
      <c r="G476" s="26">
        <f t="shared" si="27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 t="shared" si="26"/>
        <v>1</v>
      </c>
      <c r="AD476" s="9"/>
      <c r="AE476" s="17" t="e">
        <f>AA476*#REF!</f>
        <v>#REF!</v>
      </c>
    </row>
    <row r="477" spans="2:31" ht="16.5" hidden="1" customHeight="1" outlineLevel="1" x14ac:dyDescent="0.25">
      <c r="B477" s="91" t="s">
        <v>966</v>
      </c>
      <c r="C477" s="44" t="s">
        <v>459</v>
      </c>
      <c r="D477" s="44"/>
      <c r="E477" s="15">
        <v>0.4</v>
      </c>
      <c r="F477" s="15"/>
      <c r="G477" s="26">
        <f t="shared" si="27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6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1" t="s">
        <v>704</v>
      </c>
      <c r="C478" s="44" t="s">
        <v>179</v>
      </c>
      <c r="D478" s="44"/>
      <c r="E478" s="15">
        <v>0.4</v>
      </c>
      <c r="F478" s="15"/>
      <c r="G478" s="26">
        <f t="shared" si="27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6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1" t="s">
        <v>705</v>
      </c>
      <c r="C479" s="44" t="s">
        <v>180</v>
      </c>
      <c r="D479" s="44"/>
      <c r="E479" s="15">
        <v>0.4</v>
      </c>
      <c r="F479" s="15"/>
      <c r="G479" s="26">
        <f t="shared" si="27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 t="shared" si="26"/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25">
      <c r="B480" s="91" t="s">
        <v>706</v>
      </c>
      <c r="C480" s="38" t="s">
        <v>460</v>
      </c>
      <c r="D480" s="38"/>
      <c r="E480" s="15">
        <v>1</v>
      </c>
      <c r="F480" s="15"/>
      <c r="G480" s="26">
        <f t="shared" si="27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 t="shared" si="26"/>
        <v>1</v>
      </c>
      <c r="AD480" s="9"/>
      <c r="AE480" s="17" t="e">
        <f>AA480*#REF!</f>
        <v>#REF!</v>
      </c>
    </row>
    <row r="481" spans="2:31" ht="16.5" hidden="1" customHeight="1" outlineLevel="1" x14ac:dyDescent="0.25">
      <c r="B481" s="91" t="s">
        <v>707</v>
      </c>
      <c r="C481" s="38" t="s">
        <v>461</v>
      </c>
      <c r="D481" s="38"/>
      <c r="E481" s="15">
        <v>0.25</v>
      </c>
      <c r="F481" s="15"/>
      <c r="G481" s="26">
        <f t="shared" si="27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6"/>
        <v>6.25E-2</v>
      </c>
      <c r="AD481" s="9"/>
      <c r="AE481" s="17" t="e">
        <f>AA481*#REF!</f>
        <v>#REF!</v>
      </c>
    </row>
    <row r="482" spans="2:31" ht="16.5" hidden="1" customHeight="1" outlineLevel="1" x14ac:dyDescent="0.25">
      <c r="B482" s="91" t="s">
        <v>708</v>
      </c>
      <c r="C482" s="38" t="s">
        <v>462</v>
      </c>
      <c r="D482" s="38"/>
      <c r="E482" s="15">
        <v>0.25</v>
      </c>
      <c r="F482" s="15"/>
      <c r="G482" s="26">
        <f t="shared" si="27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 t="shared" si="26"/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1" t="s">
        <v>709</v>
      </c>
      <c r="C483" s="38" t="s">
        <v>463</v>
      </c>
      <c r="D483" s="38"/>
      <c r="E483" s="15">
        <v>0.21</v>
      </c>
      <c r="F483" s="15"/>
      <c r="G483" s="34">
        <f t="shared" si="27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 t="shared" si="26"/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1" t="s">
        <v>183</v>
      </c>
      <c r="C484" s="42" t="s">
        <v>183</v>
      </c>
      <c r="D484" s="42"/>
      <c r="E484" s="27"/>
      <c r="F484" s="27">
        <f>SUM(F485:F487)</f>
        <v>0</v>
      </c>
      <c r="G484" s="59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25">
      <c r="B485" s="91" t="s">
        <v>967</v>
      </c>
      <c r="C485" s="39" t="s">
        <v>225</v>
      </c>
      <c r="D485" s="78"/>
      <c r="E485" s="18">
        <v>0.2</v>
      </c>
      <c r="F485" s="17"/>
      <c r="G485" s="33">
        <f t="shared" si="27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25">
      <c r="B486" s="91" t="s">
        <v>968</v>
      </c>
      <c r="C486" s="38" t="s">
        <v>226</v>
      </c>
      <c r="D486" s="82"/>
      <c r="E486" s="18">
        <v>0.4</v>
      </c>
      <c r="F486" s="18"/>
      <c r="G486" s="26">
        <f t="shared" si="27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1" t="s">
        <v>969</v>
      </c>
      <c r="C487" s="40" t="s">
        <v>233</v>
      </c>
      <c r="D487" s="82"/>
      <c r="E487" s="18">
        <v>0.4</v>
      </c>
      <c r="F487" s="18"/>
      <c r="G487" s="34">
        <f t="shared" si="27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1" t="s">
        <v>269</v>
      </c>
      <c r="C488" s="42" t="s">
        <v>269</v>
      </c>
      <c r="D488" s="42"/>
      <c r="E488" s="27"/>
      <c r="F488" s="27">
        <f>SUM(F489:F526)</f>
        <v>0</v>
      </c>
      <c r="G488" s="59">
        <f>SUM(G489:G526)</f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SUM(AC489:AC526)</f>
        <v>38.102899999999984</v>
      </c>
      <c r="AD488" s="25"/>
      <c r="AE488" s="37" t="e">
        <f>SUM(AE489:AE526)</f>
        <v>#REF!</v>
      </c>
    </row>
    <row r="489" spans="2:31" ht="16.5" hidden="1" customHeight="1" outlineLevel="1" x14ac:dyDescent="0.25">
      <c r="B489" s="91" t="s">
        <v>710</v>
      </c>
      <c r="C489" s="54" t="s">
        <v>187</v>
      </c>
      <c r="D489" s="54"/>
      <c r="E489" s="66">
        <v>0.14000000000000001</v>
      </c>
      <c r="F489" s="12"/>
      <c r="G489" s="33">
        <f t="shared" si="27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 t="shared" ref="AC489:AC526" si="28">AA489*E489</f>
        <v>1.9600000000000003E-2</v>
      </c>
      <c r="AD489" s="9"/>
      <c r="AE489" s="13" t="e">
        <f>AA489*#REF!</f>
        <v>#REF!</v>
      </c>
    </row>
    <row r="490" spans="2:31" ht="16.5" hidden="1" customHeight="1" outlineLevel="1" x14ac:dyDescent="0.25">
      <c r="B490" s="91" t="s">
        <v>711</v>
      </c>
      <c r="C490" s="50" t="s">
        <v>188</v>
      </c>
      <c r="D490" s="50"/>
      <c r="E490" s="15">
        <v>0.19</v>
      </c>
      <c r="F490" s="16"/>
      <c r="G490" s="26">
        <f t="shared" si="27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 t="shared" si="28"/>
        <v>3.61E-2</v>
      </c>
      <c r="AD490" s="9"/>
      <c r="AE490" s="17" t="e">
        <f>AA490*#REF!</f>
        <v>#REF!</v>
      </c>
    </row>
    <row r="491" spans="2:31" ht="16.5" hidden="1" customHeight="1" outlineLevel="1" x14ac:dyDescent="0.25">
      <c r="B491" s="91" t="s">
        <v>712</v>
      </c>
      <c r="C491" s="50" t="s">
        <v>189</v>
      </c>
      <c r="D491" s="50"/>
      <c r="E491" s="15">
        <v>0.14000000000000001</v>
      </c>
      <c r="F491" s="16"/>
      <c r="G491" s="26">
        <f t="shared" si="27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 t="shared" si="28"/>
        <v>1.9600000000000003E-2</v>
      </c>
      <c r="AD491" s="9"/>
      <c r="AE491" s="17" t="e">
        <f>AA491*#REF!</f>
        <v>#REF!</v>
      </c>
    </row>
    <row r="492" spans="2:31" ht="16.5" hidden="1" customHeight="1" outlineLevel="1" x14ac:dyDescent="0.25">
      <c r="B492" s="91" t="s">
        <v>713</v>
      </c>
      <c r="C492" s="50" t="s">
        <v>190</v>
      </c>
      <c r="D492" s="50"/>
      <c r="E492" s="15">
        <v>0.19</v>
      </c>
      <c r="F492" s="16"/>
      <c r="G492" s="26">
        <f t="shared" si="27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0.19</v>
      </c>
      <c r="AB492" s="9"/>
      <c r="AC492" s="17">
        <f t="shared" si="28"/>
        <v>3.61E-2</v>
      </c>
      <c r="AD492" s="9"/>
      <c r="AE492" s="17" t="e">
        <f>AA492*#REF!</f>
        <v>#REF!</v>
      </c>
    </row>
    <row r="493" spans="2:31" ht="16.5" hidden="1" customHeight="1" outlineLevel="1" x14ac:dyDescent="0.25">
      <c r="B493" s="91" t="s">
        <v>714</v>
      </c>
      <c r="C493" s="50" t="s">
        <v>191</v>
      </c>
      <c r="D493" s="50"/>
      <c r="E493" s="15">
        <v>0.1</v>
      </c>
      <c r="F493" s="16"/>
      <c r="G493" s="26">
        <f t="shared" si="27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0.1</v>
      </c>
      <c r="AB493" s="9"/>
      <c r="AC493" s="17">
        <f t="shared" si="28"/>
        <v>1.0000000000000002E-2</v>
      </c>
      <c r="AD493" s="9"/>
      <c r="AE493" s="17" t="e">
        <f>AA493*#REF!</f>
        <v>#REF!</v>
      </c>
    </row>
    <row r="494" spans="2:31" ht="16.5" hidden="1" customHeight="1" outlineLevel="1" x14ac:dyDescent="0.25">
      <c r="B494" s="91" t="s">
        <v>715</v>
      </c>
      <c r="C494" s="50" t="s">
        <v>352</v>
      </c>
      <c r="D494" s="83"/>
      <c r="E494" s="11">
        <v>1</v>
      </c>
      <c r="F494" s="12"/>
      <c r="G494" s="26">
        <f t="shared" si="27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1</v>
      </c>
      <c r="AB494" s="9"/>
      <c r="AC494" s="17">
        <f t="shared" si="28"/>
        <v>1</v>
      </c>
      <c r="AD494" s="9"/>
      <c r="AE494" s="17" t="e">
        <f>AA494*#REF!</f>
        <v>#REF!</v>
      </c>
    </row>
    <row r="495" spans="2:31" ht="16.5" hidden="1" customHeight="1" outlineLevel="1" x14ac:dyDescent="0.25">
      <c r="B495" s="91" t="s">
        <v>970</v>
      </c>
      <c r="C495" s="50" t="s">
        <v>353</v>
      </c>
      <c r="D495" s="50"/>
      <c r="E495" s="15">
        <v>2.7</v>
      </c>
      <c r="F495" s="16"/>
      <c r="G495" s="26">
        <f t="shared" si="27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2.7</v>
      </c>
      <c r="AB495" s="9"/>
      <c r="AC495" s="17">
        <f t="shared" si="28"/>
        <v>7.2900000000000009</v>
      </c>
      <c r="AD495" s="9"/>
      <c r="AE495" s="17" t="e">
        <f>AA495*#REF!</f>
        <v>#REF!</v>
      </c>
    </row>
    <row r="496" spans="2:31" ht="16.5" hidden="1" customHeight="1" outlineLevel="1" x14ac:dyDescent="0.25">
      <c r="B496" s="91" t="s">
        <v>716</v>
      </c>
      <c r="C496" s="50" t="s">
        <v>354</v>
      </c>
      <c r="D496" s="50"/>
      <c r="E496" s="15">
        <v>5</v>
      </c>
      <c r="F496" s="16"/>
      <c r="G496" s="26">
        <f t="shared" si="27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5</v>
      </c>
      <c r="AB496" s="9"/>
      <c r="AC496" s="17">
        <f t="shared" si="28"/>
        <v>25</v>
      </c>
      <c r="AD496" s="9"/>
      <c r="AE496" s="17" t="e">
        <f>AA496*#REF!</f>
        <v>#REF!</v>
      </c>
    </row>
    <row r="497" spans="2:31" ht="16.5" hidden="1" customHeight="1" outlineLevel="1" x14ac:dyDescent="0.25">
      <c r="B497" s="91" t="s">
        <v>971</v>
      </c>
      <c r="C497" s="50" t="s">
        <v>355</v>
      </c>
      <c r="D497" s="50"/>
      <c r="E497" s="15">
        <v>0.22</v>
      </c>
      <c r="F497" s="16"/>
      <c r="G497" s="26">
        <f t="shared" si="27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8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25">
      <c r="B498" s="91" t="s">
        <v>972</v>
      </c>
      <c r="C498" s="50" t="s">
        <v>356</v>
      </c>
      <c r="D498" s="89"/>
      <c r="E498" s="18">
        <v>0.22</v>
      </c>
      <c r="F498" s="19"/>
      <c r="G498" s="26">
        <f t="shared" si="27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0.22</v>
      </c>
      <c r="AB498" s="9"/>
      <c r="AC498" s="17">
        <f t="shared" si="28"/>
        <v>4.8399999999999999E-2</v>
      </c>
      <c r="AD498" s="9"/>
      <c r="AE498" s="17" t="e">
        <f>AA498*#REF!</f>
        <v>#REF!</v>
      </c>
    </row>
    <row r="499" spans="2:31" ht="16.5" hidden="1" customHeight="1" outlineLevel="1" x14ac:dyDescent="0.25">
      <c r="B499" s="91" t="s">
        <v>717</v>
      </c>
      <c r="C499" s="50" t="s">
        <v>347</v>
      </c>
      <c r="D499" s="50"/>
      <c r="E499" s="15">
        <v>0.2</v>
      </c>
      <c r="F499" s="16"/>
      <c r="G499" s="26">
        <f t="shared" si="27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0.2</v>
      </c>
      <c r="AB499" s="9"/>
      <c r="AC499" s="17">
        <f t="shared" si="28"/>
        <v>4.0000000000000008E-2</v>
      </c>
      <c r="AD499" s="9"/>
      <c r="AE499" s="17" t="e">
        <f>AA499*#REF!</f>
        <v>#REF!</v>
      </c>
    </row>
    <row r="500" spans="2:31" ht="16.5" hidden="1" customHeight="1" outlineLevel="1" x14ac:dyDescent="0.25">
      <c r="B500" s="91" t="s">
        <v>718</v>
      </c>
      <c r="C500" s="50" t="s">
        <v>348</v>
      </c>
      <c r="D500" s="50"/>
      <c r="E500" s="15">
        <v>0.35</v>
      </c>
      <c r="F500" s="16"/>
      <c r="G500" s="26">
        <f t="shared" si="27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0.35</v>
      </c>
      <c r="AB500" s="9"/>
      <c r="AC500" s="17">
        <f t="shared" si="28"/>
        <v>0.12249999999999998</v>
      </c>
      <c r="AD500" s="9"/>
      <c r="AE500" s="17" t="e">
        <f>AA500*#REF!</f>
        <v>#REF!</v>
      </c>
    </row>
    <row r="501" spans="2:31" ht="16.5" hidden="1" customHeight="1" outlineLevel="1" x14ac:dyDescent="0.25">
      <c r="B501" s="91" t="s">
        <v>719</v>
      </c>
      <c r="C501" s="50" t="s">
        <v>487</v>
      </c>
      <c r="D501" s="50"/>
      <c r="E501" s="15">
        <v>0.3</v>
      </c>
      <c r="F501" s="16"/>
      <c r="G501" s="26">
        <f t="shared" si="27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0.3</v>
      </c>
      <c r="AB501" s="9"/>
      <c r="AC501" s="17">
        <f t="shared" si="28"/>
        <v>0.09</v>
      </c>
      <c r="AD501" s="9"/>
      <c r="AE501" s="17" t="e">
        <f>AA501*#REF!</f>
        <v>#REF!</v>
      </c>
    </row>
    <row r="502" spans="2:31" ht="16.5" hidden="1" customHeight="1" outlineLevel="1" x14ac:dyDescent="0.25">
      <c r="B502" s="91" t="s">
        <v>720</v>
      </c>
      <c r="C502" s="50" t="s">
        <v>192</v>
      </c>
      <c r="D502" s="50"/>
      <c r="E502" s="15">
        <v>0.5</v>
      </c>
      <c r="F502" s="16"/>
      <c r="G502" s="26">
        <f t="shared" si="27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0.5</v>
      </c>
      <c r="AB502" s="9"/>
      <c r="AC502" s="17">
        <f t="shared" si="28"/>
        <v>0.25</v>
      </c>
      <c r="AD502" s="9"/>
      <c r="AE502" s="17" t="e">
        <f>AA502*#REF!</f>
        <v>#REF!</v>
      </c>
    </row>
    <row r="503" spans="2:31" ht="16.5" hidden="1" customHeight="1" outlineLevel="1" x14ac:dyDescent="0.25">
      <c r="B503" s="91" t="s">
        <v>721</v>
      </c>
      <c r="C503" s="50" t="s">
        <v>488</v>
      </c>
      <c r="D503" s="50"/>
      <c r="E503" s="15">
        <v>0.3</v>
      </c>
      <c r="F503" s="16"/>
      <c r="G503" s="26">
        <f t="shared" si="27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8"/>
        <v>0.09</v>
      </c>
      <c r="AD503" s="9"/>
      <c r="AE503" s="17" t="e">
        <f>AA503*#REF!</f>
        <v>#REF!</v>
      </c>
    </row>
    <row r="504" spans="2:31" ht="16.5" hidden="1" customHeight="1" outlineLevel="1" x14ac:dyDescent="0.25">
      <c r="B504" s="91" t="s">
        <v>722</v>
      </c>
      <c r="C504" s="50" t="s">
        <v>489</v>
      </c>
      <c r="D504" s="50"/>
      <c r="E504" s="15">
        <v>0.3</v>
      </c>
      <c r="F504" s="16"/>
      <c r="G504" s="26">
        <f t="shared" si="27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0.3</v>
      </c>
      <c r="AB504" s="9"/>
      <c r="AC504" s="17">
        <f t="shared" si="28"/>
        <v>0.09</v>
      </c>
      <c r="AD504" s="9"/>
      <c r="AE504" s="17" t="e">
        <f>AA504*#REF!</f>
        <v>#REF!</v>
      </c>
    </row>
    <row r="505" spans="2:31" ht="16.5" hidden="1" customHeight="1" outlineLevel="1" x14ac:dyDescent="0.25">
      <c r="B505" s="91" t="s">
        <v>723</v>
      </c>
      <c r="C505" s="50" t="s">
        <v>193</v>
      </c>
      <c r="D505" s="50"/>
      <c r="E505" s="15">
        <v>0.5</v>
      </c>
      <c r="F505" s="16"/>
      <c r="G505" s="26">
        <f t="shared" si="27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0.5</v>
      </c>
      <c r="AB505" s="9"/>
      <c r="AC505" s="17">
        <f t="shared" si="28"/>
        <v>0.25</v>
      </c>
      <c r="AD505" s="9"/>
      <c r="AE505" s="17" t="e">
        <f>AA505*#REF!</f>
        <v>#REF!</v>
      </c>
    </row>
    <row r="506" spans="2:31" ht="16.5" hidden="1" customHeight="1" outlineLevel="1" x14ac:dyDescent="0.25">
      <c r="B506" s="91" t="s">
        <v>973</v>
      </c>
      <c r="C506" s="52" t="s">
        <v>482</v>
      </c>
      <c r="D506" s="86"/>
      <c r="E506" s="15">
        <v>0.82</v>
      </c>
      <c r="F506" s="16"/>
      <c r="G506" s="26">
        <f t="shared" si="27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0.35</v>
      </c>
      <c r="AB506" s="9"/>
      <c r="AC506" s="17">
        <f t="shared" si="28"/>
        <v>0.28699999999999998</v>
      </c>
      <c r="AD506" s="9"/>
      <c r="AE506" s="17" t="e">
        <f>AA506*#REF!</f>
        <v>#REF!</v>
      </c>
    </row>
    <row r="507" spans="2:31" ht="16.5" hidden="1" customHeight="1" outlineLevel="1" x14ac:dyDescent="0.25">
      <c r="B507" s="91" t="s">
        <v>974</v>
      </c>
      <c r="C507" s="50" t="s">
        <v>194</v>
      </c>
      <c r="D507" s="50"/>
      <c r="E507" s="15">
        <v>0.77</v>
      </c>
      <c r="F507" s="16"/>
      <c r="G507" s="26">
        <f t="shared" si="27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0.77</v>
      </c>
      <c r="AB507" s="9"/>
      <c r="AC507" s="17">
        <f t="shared" si="28"/>
        <v>0.59289999999999998</v>
      </c>
      <c r="AD507" s="9"/>
      <c r="AE507" s="17" t="e">
        <f>AA507*#REF!</f>
        <v>#REF!</v>
      </c>
    </row>
    <row r="508" spans="2:31" ht="16.5" hidden="1" customHeight="1" outlineLevel="1" x14ac:dyDescent="0.25">
      <c r="B508" s="91" t="s">
        <v>975</v>
      </c>
      <c r="C508" s="50" t="s">
        <v>195</v>
      </c>
      <c r="D508" s="50"/>
      <c r="E508" s="15">
        <v>0.38</v>
      </c>
      <c r="F508" s="16"/>
      <c r="G508" s="26">
        <f t="shared" si="27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0.38</v>
      </c>
      <c r="AB508" s="9"/>
      <c r="AC508" s="17">
        <f t="shared" si="28"/>
        <v>0.1444</v>
      </c>
      <c r="AD508" s="9"/>
      <c r="AE508" s="17" t="e">
        <f>AA508*#REF!</f>
        <v>#REF!</v>
      </c>
    </row>
    <row r="509" spans="2:31" ht="16.5" hidden="1" customHeight="1" outlineLevel="1" x14ac:dyDescent="0.25">
      <c r="B509" s="91" t="s">
        <v>976</v>
      </c>
      <c r="C509" s="50" t="s">
        <v>196</v>
      </c>
      <c r="D509" s="50"/>
      <c r="E509" s="15">
        <v>0.19</v>
      </c>
      <c r="F509" s="16"/>
      <c r="G509" s="26">
        <f t="shared" si="27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8"/>
        <v>3.61E-2</v>
      </c>
      <c r="AD509" s="9"/>
      <c r="AE509" s="17" t="e">
        <f>AA509*#REF!</f>
        <v>#REF!</v>
      </c>
    </row>
    <row r="510" spans="2:31" ht="16.5" hidden="1" customHeight="1" outlineLevel="1" x14ac:dyDescent="0.25">
      <c r="B510" s="91" t="s">
        <v>977</v>
      </c>
      <c r="C510" s="50" t="s">
        <v>197</v>
      </c>
      <c r="D510" s="50"/>
      <c r="E510" s="15">
        <v>0.19</v>
      </c>
      <c r="F510" s="16"/>
      <c r="G510" s="26">
        <f t="shared" si="27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0.19</v>
      </c>
      <c r="AB510" s="9"/>
      <c r="AC510" s="17">
        <f t="shared" si="28"/>
        <v>3.61E-2</v>
      </c>
      <c r="AD510" s="9"/>
      <c r="AE510" s="17" t="e">
        <f>AA510*#REF!</f>
        <v>#REF!</v>
      </c>
    </row>
    <row r="511" spans="2:31" ht="16.5" hidden="1" customHeight="1" outlineLevel="1" x14ac:dyDescent="0.25">
      <c r="B511" s="91" t="s">
        <v>977</v>
      </c>
      <c r="C511" s="50" t="s">
        <v>198</v>
      </c>
      <c r="D511" s="50"/>
      <c r="E511" s="15">
        <v>0.38</v>
      </c>
      <c r="F511" s="16"/>
      <c r="G511" s="26">
        <f t="shared" si="27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0.38</v>
      </c>
      <c r="AB511" s="9"/>
      <c r="AC511" s="17">
        <f t="shared" si="28"/>
        <v>0.1444</v>
      </c>
      <c r="AD511" s="9"/>
      <c r="AE511" s="17" t="e">
        <f>AA511*#REF!</f>
        <v>#REF!</v>
      </c>
    </row>
    <row r="512" spans="2:31" ht="16.5" hidden="1" customHeight="1" outlineLevel="1" x14ac:dyDescent="0.25">
      <c r="B512" s="91" t="s">
        <v>977</v>
      </c>
      <c r="C512" s="50" t="s">
        <v>199</v>
      </c>
      <c r="D512" s="50"/>
      <c r="E512" s="15">
        <v>0.77</v>
      </c>
      <c r="F512" s="16"/>
      <c r="G512" s="26">
        <f t="shared" si="27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0.77</v>
      </c>
      <c r="AB512" s="9"/>
      <c r="AC512" s="17">
        <f t="shared" si="28"/>
        <v>0.59289999999999998</v>
      </c>
      <c r="AD512" s="9"/>
      <c r="AE512" s="17" t="e">
        <f>AA512*#REF!</f>
        <v>#REF!</v>
      </c>
    </row>
    <row r="513" spans="2:31" ht="16.5" hidden="1" customHeight="1" outlineLevel="1" x14ac:dyDescent="0.25">
      <c r="B513" s="91" t="s">
        <v>978</v>
      </c>
      <c r="C513" s="50" t="s">
        <v>200</v>
      </c>
      <c r="D513" s="50"/>
      <c r="E513" s="15">
        <v>0.19</v>
      </c>
      <c r="F513" s="16"/>
      <c r="G513" s="26">
        <f t="shared" si="27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0.19</v>
      </c>
      <c r="AB513" s="9"/>
      <c r="AC513" s="17">
        <f t="shared" si="28"/>
        <v>3.61E-2</v>
      </c>
      <c r="AD513" s="9"/>
      <c r="AE513" s="17" t="e">
        <f>AA513*#REF!</f>
        <v>#REF!</v>
      </c>
    </row>
    <row r="514" spans="2:31" ht="16.5" hidden="1" customHeight="1" outlineLevel="1" x14ac:dyDescent="0.25">
      <c r="B514" s="91" t="s">
        <v>978</v>
      </c>
      <c r="C514" s="50" t="s">
        <v>358</v>
      </c>
      <c r="D514" s="50"/>
      <c r="E514" s="15">
        <v>0.38</v>
      </c>
      <c r="F514" s="16"/>
      <c r="G514" s="26">
        <f t="shared" si="27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0.38</v>
      </c>
      <c r="AB514" s="9"/>
      <c r="AC514" s="17">
        <f t="shared" si="28"/>
        <v>0.1444</v>
      </c>
      <c r="AD514" s="9"/>
      <c r="AE514" s="17" t="e">
        <f>AA514*#REF!</f>
        <v>#REF!</v>
      </c>
    </row>
    <row r="515" spans="2:31" ht="16.5" hidden="1" customHeight="1" outlineLevel="1" x14ac:dyDescent="0.25">
      <c r="B515" s="91" t="s">
        <v>978</v>
      </c>
      <c r="C515" s="50" t="s">
        <v>359</v>
      </c>
      <c r="D515" s="50"/>
      <c r="E515" s="15">
        <v>0.77</v>
      </c>
      <c r="F515" s="16"/>
      <c r="G515" s="26">
        <f t="shared" si="27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8"/>
        <v>0.59289999999999998</v>
      </c>
      <c r="AD515" s="9"/>
      <c r="AE515" s="17" t="e">
        <f>AA515*#REF!</f>
        <v>#REF!</v>
      </c>
    </row>
    <row r="516" spans="2:31" ht="16.5" hidden="1" customHeight="1" outlineLevel="1" x14ac:dyDescent="0.25">
      <c r="B516" s="91" t="s">
        <v>976</v>
      </c>
      <c r="C516" s="69" t="s">
        <v>483</v>
      </c>
      <c r="D516" s="90"/>
      <c r="E516" s="15">
        <v>0.38</v>
      </c>
      <c r="F516" s="16"/>
      <c r="G516" s="26">
        <f t="shared" si="27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0.77</v>
      </c>
      <c r="AB516" s="9"/>
      <c r="AC516" s="17">
        <f t="shared" si="28"/>
        <v>0.29260000000000003</v>
      </c>
      <c r="AD516" s="9"/>
      <c r="AE516" s="17" t="e">
        <f>AA516*#REF!</f>
        <v>#REF!</v>
      </c>
    </row>
    <row r="517" spans="2:31" ht="16.5" hidden="1" customHeight="1" outlineLevel="1" x14ac:dyDescent="0.25">
      <c r="B517" s="91" t="s">
        <v>979</v>
      </c>
      <c r="C517" s="50" t="s">
        <v>201</v>
      </c>
      <c r="D517" s="50"/>
      <c r="E517" s="15">
        <v>0.19</v>
      </c>
      <c r="F517" s="16"/>
      <c r="G517" s="26">
        <f t="shared" si="27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0.19</v>
      </c>
      <c r="AB517" s="9"/>
      <c r="AC517" s="17">
        <f t="shared" si="28"/>
        <v>3.61E-2</v>
      </c>
      <c r="AD517" s="9"/>
      <c r="AE517" s="17" t="e">
        <f>AA517*#REF!</f>
        <v>#REF!</v>
      </c>
    </row>
    <row r="518" spans="2:31" ht="16.5" hidden="1" customHeight="1" outlineLevel="1" x14ac:dyDescent="0.25">
      <c r="B518" s="91" t="s">
        <v>979</v>
      </c>
      <c r="C518" s="50" t="s">
        <v>202</v>
      </c>
      <c r="D518" s="50"/>
      <c r="E518" s="15">
        <v>0.38</v>
      </c>
      <c r="F518" s="16"/>
      <c r="G518" s="26">
        <f t="shared" si="27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0.38</v>
      </c>
      <c r="AB518" s="9"/>
      <c r="AC518" s="17">
        <f t="shared" si="28"/>
        <v>0.1444</v>
      </c>
      <c r="AD518" s="9"/>
      <c r="AE518" s="17" t="e">
        <f>AA518*#REF!</f>
        <v>#REF!</v>
      </c>
    </row>
    <row r="519" spans="2:31" ht="16.5" hidden="1" customHeight="1" outlineLevel="1" x14ac:dyDescent="0.25">
      <c r="B519" s="91" t="s">
        <v>980</v>
      </c>
      <c r="C519" s="50" t="s">
        <v>350</v>
      </c>
      <c r="D519" s="50"/>
      <c r="E519" s="15">
        <v>0.23</v>
      </c>
      <c r="F519" s="16"/>
      <c r="G519" s="26">
        <f t="shared" si="27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0.23</v>
      </c>
      <c r="AB519" s="9"/>
      <c r="AC519" s="17">
        <f t="shared" si="28"/>
        <v>5.2900000000000003E-2</v>
      </c>
      <c r="AD519" s="9"/>
      <c r="AE519" s="17" t="e">
        <f>AA519*#REF!</f>
        <v>#REF!</v>
      </c>
    </row>
    <row r="520" spans="2:31" ht="16.5" hidden="1" customHeight="1" outlineLevel="1" x14ac:dyDescent="0.25">
      <c r="B520" s="91" t="s">
        <v>981</v>
      </c>
      <c r="C520" s="50" t="s">
        <v>349</v>
      </c>
      <c r="D520" s="50"/>
      <c r="E520" s="15">
        <v>0.4</v>
      </c>
      <c r="F520" s="16"/>
      <c r="G520" s="26">
        <f t="shared" si="27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0.4</v>
      </c>
      <c r="AB520" s="9"/>
      <c r="AC520" s="17">
        <f t="shared" si="28"/>
        <v>0.16000000000000003</v>
      </c>
      <c r="AD520" s="9"/>
      <c r="AE520" s="17" t="e">
        <f>AA520*#REF!</f>
        <v>#REF!</v>
      </c>
    </row>
    <row r="521" spans="2:31" ht="16.5" hidden="1" customHeight="1" outlineLevel="1" x14ac:dyDescent="0.25">
      <c r="B521" s="91" t="s">
        <v>982</v>
      </c>
      <c r="C521" s="50" t="s">
        <v>351</v>
      </c>
      <c r="D521" s="50"/>
      <c r="E521" s="15">
        <v>0.23</v>
      </c>
      <c r="F521" s="16"/>
      <c r="G521" s="26">
        <f t="shared" si="27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0.23</v>
      </c>
      <c r="AB521" s="9"/>
      <c r="AC521" s="17">
        <f t="shared" si="28"/>
        <v>5.2900000000000003E-2</v>
      </c>
      <c r="AD521" s="9"/>
      <c r="AE521" s="17" t="e">
        <f>AA521*#REF!</f>
        <v>#REF!</v>
      </c>
    </row>
    <row r="522" spans="2:31" ht="16.5" hidden="1" customHeight="1" outlineLevel="1" x14ac:dyDescent="0.25">
      <c r="B522" s="91" t="s">
        <v>724</v>
      </c>
      <c r="C522" s="50" t="s">
        <v>464</v>
      </c>
      <c r="D522" s="50"/>
      <c r="E522" s="15">
        <v>0.4</v>
      </c>
      <c r="F522" s="16"/>
      <c r="G522" s="26">
        <f t="shared" si="27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0.4</v>
      </c>
      <c r="AB522" s="9"/>
      <c r="AC522" s="17">
        <f t="shared" si="28"/>
        <v>0.16000000000000003</v>
      </c>
      <c r="AD522" s="9"/>
      <c r="AE522" s="17" t="e">
        <f>AA522*#REF!</f>
        <v>#REF!</v>
      </c>
    </row>
    <row r="523" spans="2:31" ht="16.5" hidden="1" customHeight="1" outlineLevel="1" x14ac:dyDescent="0.25">
      <c r="B523" s="91" t="s">
        <v>983</v>
      </c>
      <c r="C523" s="50" t="s">
        <v>203</v>
      </c>
      <c r="D523" s="50"/>
      <c r="E523" s="15">
        <v>0.2</v>
      </c>
      <c r="F523" s="16"/>
      <c r="G523" s="26">
        <f t="shared" si="27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8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1" t="s">
        <v>984</v>
      </c>
      <c r="C524" s="50" t="s">
        <v>204</v>
      </c>
      <c r="D524" s="50"/>
      <c r="E524" s="15">
        <v>0.2</v>
      </c>
      <c r="F524" s="16"/>
      <c r="G524" s="26">
        <f t="shared" si="27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8"/>
        <v>4.0000000000000008E-2</v>
      </c>
      <c r="AD524" s="9"/>
      <c r="AE524" s="17" t="e">
        <f>AA524*#REF!</f>
        <v>#REF!</v>
      </c>
    </row>
    <row r="525" spans="2:31" ht="16.5" hidden="1" customHeight="1" outlineLevel="1" x14ac:dyDescent="0.25">
      <c r="B525" s="91" t="s">
        <v>985</v>
      </c>
      <c r="C525" s="50" t="s">
        <v>205</v>
      </c>
      <c r="D525" s="50"/>
      <c r="E525" s="15">
        <v>0.2</v>
      </c>
      <c r="F525" s="16"/>
      <c r="G525" s="26">
        <f t="shared" si="27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17">
        <v>0.2</v>
      </c>
      <c r="AB525" s="9"/>
      <c r="AC525" s="17">
        <f t="shared" si="28"/>
        <v>4.0000000000000008E-2</v>
      </c>
      <c r="AD525" s="9"/>
      <c r="AE525" s="17" t="e">
        <f>AA525*#REF!</f>
        <v>#REF!</v>
      </c>
    </row>
    <row r="526" spans="2:31" ht="16.5" hidden="1" customHeight="1" outlineLevel="1" thickBot="1" x14ac:dyDescent="0.3">
      <c r="B526" s="91" t="s">
        <v>725</v>
      </c>
      <c r="C526" s="70" t="s">
        <v>206</v>
      </c>
      <c r="D526" s="70"/>
      <c r="E526" s="67">
        <v>0.19</v>
      </c>
      <c r="F526" s="19"/>
      <c r="G526" s="34">
        <f t="shared" si="27"/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10"/>
      <c r="Z526" s="9"/>
      <c r="AA526" s="20">
        <v>0.19</v>
      </c>
      <c r="AB526" s="9"/>
      <c r="AC526" s="20">
        <f t="shared" si="28"/>
        <v>3.61E-2</v>
      </c>
      <c r="AD526" s="9"/>
      <c r="AE526" s="20" t="e">
        <f>AA526*#REF!</f>
        <v>#REF!</v>
      </c>
    </row>
    <row r="527" spans="2:31" ht="19.5" thickBot="1" x14ac:dyDescent="0.3">
      <c r="C527" s="41"/>
      <c r="D527" s="41"/>
      <c r="E527" s="35"/>
      <c r="F527" s="28">
        <f>F356+F343+F321+F266+F181+F3</f>
        <v>6166</v>
      </c>
      <c r="G527" s="28">
        <f>G356+G343+G321+G266+G181+G3</f>
        <v>5405.1999999999989</v>
      </c>
      <c r="AA527" s="29"/>
      <c r="AB527" s="29"/>
      <c r="AC527" s="29"/>
      <c r="AD527" s="29"/>
      <c r="AE527" s="29"/>
    </row>
  </sheetData>
  <autoFilter ref="F1:F527" xr:uid="{81AF0473-90D5-4A35-807A-67E14D221AD3}">
    <filterColumn colId="0">
      <filters>
        <filter val="100"/>
        <filter val="1000"/>
        <filter val="120"/>
        <filter val="150"/>
        <filter val="180"/>
        <filter val="20"/>
        <filter val="24"/>
        <filter val="250"/>
        <filter val="30"/>
        <filter val="300"/>
        <filter val="36"/>
        <filter val="390"/>
        <filter val="40"/>
        <filter val="420"/>
        <filter val="50"/>
        <filter val="500"/>
        <filter val="6166"/>
        <filter val="8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2025-05-01T06:35:33Z</dcterms:modified>
</cp:coreProperties>
</file>