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FD73BF9A-F7E8-4B38-A049-AF0FD470E3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P143" i="1"/>
  <c r="BP142" i="1"/>
  <c r="BO142" i="1"/>
  <c r="BN142" i="1"/>
  <c r="BM142" i="1"/>
  <c r="Z142" i="1"/>
  <c r="Z144" i="1" s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Z128" i="1" s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Y119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Z110" i="1" s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Z99" i="1" s="1"/>
  <c r="Y94" i="1"/>
  <c r="P94" i="1"/>
  <c r="X91" i="1"/>
  <c r="Z90" i="1"/>
  <c r="X90" i="1"/>
  <c r="BO89" i="1"/>
  <c r="BM89" i="1"/>
  <c r="Z89" i="1"/>
  <c r="Y89" i="1"/>
  <c r="BO88" i="1"/>
  <c r="BM88" i="1"/>
  <c r="Z88" i="1"/>
  <c r="Y88" i="1"/>
  <c r="P88" i="1"/>
  <c r="Y85" i="1"/>
  <c r="X85" i="1"/>
  <c r="Z84" i="1"/>
  <c r="X84" i="1"/>
  <c r="BO83" i="1"/>
  <c r="BM83" i="1"/>
  <c r="Z83" i="1"/>
  <c r="Y83" i="1"/>
  <c r="P83" i="1"/>
  <c r="BP82" i="1"/>
  <c r="BO82" i="1"/>
  <c r="BN82" i="1"/>
  <c r="BM82" i="1"/>
  <c r="Z82" i="1"/>
  <c r="Y82" i="1"/>
  <c r="Y84" i="1" s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Z72" i="1"/>
  <c r="X72" i="1"/>
  <c r="BO71" i="1"/>
  <c r="BM71" i="1"/>
  <c r="Z71" i="1"/>
  <c r="Y71" i="1"/>
  <c r="P71" i="1"/>
  <c r="Y69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Y43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X336" i="1" s="1"/>
  <c r="X35" i="1"/>
  <c r="BP34" i="1"/>
  <c r="BO34" i="1"/>
  <c r="BN34" i="1"/>
  <c r="BM34" i="1"/>
  <c r="Z34" i="1"/>
  <c r="Y34" i="1"/>
  <c r="BO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X24" i="1"/>
  <c r="Z23" i="1"/>
  <c r="X23" i="1"/>
  <c r="BO22" i="1"/>
  <c r="BM22" i="1"/>
  <c r="Z22" i="1"/>
  <c r="Y22" i="1"/>
  <c r="P22" i="1"/>
  <c r="H10" i="1"/>
  <c r="H9" i="1"/>
  <c r="A9" i="1"/>
  <c r="D7" i="1"/>
  <c r="Q6" i="1"/>
  <c r="P2" i="1"/>
  <c r="Y35" i="1" l="1"/>
  <c r="X337" i="1"/>
  <c r="X340" i="1"/>
  <c r="BN33" i="1"/>
  <c r="BP33" i="1"/>
  <c r="Y23" i="1"/>
  <c r="BP22" i="1"/>
  <c r="BN22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72" i="1"/>
  <c r="BP71" i="1"/>
  <c r="BN71" i="1"/>
  <c r="Y90" i="1"/>
  <c r="BP88" i="1"/>
  <c r="BN88" i="1"/>
  <c r="BP89" i="1"/>
  <c r="BN89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F10" i="1"/>
  <c r="J9" i="1"/>
  <c r="F9" i="1"/>
  <c r="A10" i="1"/>
  <c r="X338" i="1"/>
  <c r="X339" i="1" s="1"/>
  <c r="Y24" i="1"/>
  <c r="Y42" i="1"/>
  <c r="BP39" i="1"/>
  <c r="BN39" i="1"/>
  <c r="BP40" i="1"/>
  <c r="BN40" i="1"/>
  <c r="BP41" i="1"/>
  <c r="BN41" i="1"/>
  <c r="Z54" i="1"/>
  <c r="Z341" i="1" s="1"/>
  <c r="Y60" i="1"/>
  <c r="Y68" i="1"/>
  <c r="BP67" i="1"/>
  <c r="BN67" i="1"/>
  <c r="Y73" i="1"/>
  <c r="BP83" i="1"/>
  <c r="BN83" i="1"/>
  <c r="Y91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44" i="1"/>
  <c r="Y145" i="1"/>
  <c r="Y151" i="1"/>
  <c r="BP148" i="1"/>
  <c r="BN148" i="1"/>
  <c r="Y150" i="1"/>
  <c r="BP166" i="1"/>
  <c r="BN166" i="1"/>
  <c r="Y173" i="1"/>
  <c r="Y186" i="1"/>
  <c r="BP182" i="1"/>
  <c r="BN182" i="1"/>
  <c r="BP183" i="1"/>
  <c r="BN183" i="1"/>
  <c r="BP185" i="1"/>
  <c r="BN185" i="1"/>
  <c r="Z191" i="1"/>
  <c r="Y200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7" i="1" l="1"/>
  <c r="Y340" i="1"/>
  <c r="Y336" i="1"/>
  <c r="Y338" i="1"/>
  <c r="Y339" i="1" l="1"/>
  <c r="A349" i="1" s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<sst xmlns="http://schemas.openxmlformats.org/spreadsheetml/2006/main" count="1706" uniqueCount="557">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</sst>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0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280</v>
      </c>
      <c r="Y29" s="355">
        <f t="shared" si="0"/>
        <v>280</v>
      </c>
      <c r="Z29" s="36">
        <f t="shared" si="1"/>
        <v>2.6347999999999998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538.10400000000004</v>
      </c>
      <c r="BN29" s="67">
        <f t="shared" si="3"/>
        <v>538.10400000000004</v>
      </c>
      <c r="BO29" s="67">
        <f t="shared" si="4"/>
        <v>2</v>
      </c>
      <c r="BP29" s="67">
        <f t="shared" si="5"/>
        <v>2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140</v>
      </c>
      <c r="Y31" s="355">
        <f t="shared" si="0"/>
        <v>140</v>
      </c>
      <c r="Z31" s="36">
        <f t="shared" si="1"/>
        <v>1.3173999999999999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269.05200000000002</v>
      </c>
      <c r="BN31" s="67">
        <f t="shared" si="3"/>
        <v>269.05200000000002</v>
      </c>
      <c r="BO31" s="67">
        <f t="shared" si="4"/>
        <v>1</v>
      </c>
      <c r="BP31" s="67">
        <f t="shared" si="5"/>
        <v>1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140</v>
      </c>
      <c r="Y33" s="355">
        <f t="shared" si="0"/>
        <v>140</v>
      </c>
      <c r="Z33" s="36">
        <f t="shared" si="1"/>
        <v>1.3173999999999999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269.05200000000002</v>
      </c>
      <c r="BN33" s="67">
        <f t="shared" si="3"/>
        <v>269.05200000000002</v>
      </c>
      <c r="BO33" s="67">
        <f t="shared" si="4"/>
        <v>1</v>
      </c>
      <c r="BP33" s="67">
        <f t="shared" si="5"/>
        <v>1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700</v>
      </c>
      <c r="Y35" s="356">
        <f>IFERROR(SUM(Y28:Y34),"0")</f>
        <v>700</v>
      </c>
      <c r="Z35" s="356">
        <f>IFERROR(IF(Z28="",0,Z28),"0")+IFERROR(IF(Z29="",0,Z29),"0")+IFERROR(IF(Z30="",0,Z30),"0")+IFERROR(IF(Z31="",0,Z31),"0")+IFERROR(IF(Z32="",0,Z32),"0")+IFERROR(IF(Z33="",0,Z33),"0")+IFERROR(IF(Z34="",0,Z34),"0")</f>
        <v>6.5869999999999997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1050</v>
      </c>
      <c r="Y36" s="356">
        <f>IFERROR(SUMPRODUCT(Y28:Y34*H28:H34),"0")</f>
        <v>1050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84</v>
      </c>
      <c r="Y52" s="355">
        <f t="shared" si="6"/>
        <v>84</v>
      </c>
      <c r="Z52" s="36">
        <f t="shared" si="7"/>
        <v>1.302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628.82399999999996</v>
      </c>
      <c r="BN52" s="67">
        <f t="shared" si="9"/>
        <v>628.82399999999996</v>
      </c>
      <c r="BO52" s="67">
        <f t="shared" si="10"/>
        <v>1</v>
      </c>
      <c r="BP52" s="67">
        <f t="shared" si="11"/>
        <v>1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84</v>
      </c>
      <c r="Y54" s="356">
        <f>IFERROR(SUM(Y46:Y53),"0")</f>
        <v>84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1.302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604.80000000000007</v>
      </c>
      <c r="Y55" s="356">
        <f>IFERROR(SUMPRODUCT(Y46:Y53*H46:H53),"0")</f>
        <v>604.80000000000007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140</v>
      </c>
      <c r="Y99" s="356">
        <f>IFERROR(SUM(Y94:Y98),"0")</f>
        <v>140</v>
      </c>
      <c r="Z99" s="356">
        <f>IFERROR(IF(Z94="",0,Z94),"0")+IFERROR(IF(Z95="",0,Z95),"0")+IFERROR(IF(Z96="",0,Z96),"0")+IFERROR(IF(Z97="",0,Z97),"0")+IFERROR(IF(Z98="",0,Z98),"0")</f>
        <v>2.5032000000000001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504</v>
      </c>
      <c r="Y100" s="356">
        <f>IFERROR(SUMPRODUCT(Y94:Y98*H94:H98),"0")</f>
        <v>504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210</v>
      </c>
      <c r="Y103" s="355">
        <f t="shared" ref="Y103:Y109" si="12">IFERROR(IF(X103="","",X103),"")</f>
        <v>210</v>
      </c>
      <c r="Z103" s="36">
        <f t="shared" ref="Z103:Z109" si="13">IFERROR(IF(X103="","",X103*0.01788),"")</f>
        <v>3.7547999999999999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903.75600000000009</v>
      </c>
      <c r="BN103" s="67">
        <f t="shared" ref="BN103:BN109" si="15">IFERROR(Y103*I103,"0")</f>
        <v>903.75600000000009</v>
      </c>
      <c r="BO103" s="67">
        <f t="shared" ref="BO103:BO109" si="16">IFERROR(X103/J103,"0")</f>
        <v>3</v>
      </c>
      <c r="BP103" s="67">
        <f t="shared" ref="BP103:BP109" si="17">IFERROR(Y103/J103,"0")</f>
        <v>3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210</v>
      </c>
      <c r="Y104" s="355">
        <f t="shared" si="12"/>
        <v>210</v>
      </c>
      <c r="Z104" s="36">
        <f t="shared" si="13"/>
        <v>3.7547999999999999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903.75600000000009</v>
      </c>
      <c r="BN104" s="67">
        <f t="shared" si="15"/>
        <v>903.75600000000009</v>
      </c>
      <c r="BO104" s="67">
        <f t="shared" si="16"/>
        <v>3</v>
      </c>
      <c r="BP104" s="67">
        <f t="shared" si="17"/>
        <v>3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210</v>
      </c>
      <c r="Y105" s="355">
        <f t="shared" si="12"/>
        <v>210</v>
      </c>
      <c r="Z105" s="36">
        <f t="shared" si="13"/>
        <v>3.7547999999999999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903.75600000000009</v>
      </c>
      <c r="BN105" s="67">
        <f t="shared" si="15"/>
        <v>903.75600000000009</v>
      </c>
      <c r="BO105" s="67">
        <f t="shared" si="16"/>
        <v>3</v>
      </c>
      <c r="BP105" s="67">
        <f t="shared" si="17"/>
        <v>3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210</v>
      </c>
      <c r="Y107" s="355">
        <f t="shared" si="12"/>
        <v>210</v>
      </c>
      <c r="Z107" s="36">
        <f t="shared" si="13"/>
        <v>3.7547999999999999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903.75600000000009</v>
      </c>
      <c r="BN107" s="67">
        <f t="shared" si="15"/>
        <v>903.75600000000009</v>
      </c>
      <c r="BO107" s="67">
        <f t="shared" si="16"/>
        <v>3</v>
      </c>
      <c r="BP107" s="67">
        <f t="shared" si="17"/>
        <v>3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210</v>
      </c>
      <c r="Y109" s="355">
        <f t="shared" si="12"/>
        <v>210</v>
      </c>
      <c r="Z109" s="36">
        <f t="shared" si="13"/>
        <v>3.7547999999999999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951.13200000000006</v>
      </c>
      <c r="BN109" s="67">
        <f t="shared" si="15"/>
        <v>951.13200000000006</v>
      </c>
      <c r="BO109" s="67">
        <f t="shared" si="16"/>
        <v>3</v>
      </c>
      <c r="BP109" s="67">
        <f t="shared" si="17"/>
        <v>3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1050</v>
      </c>
      <c r="Y110" s="356">
        <f>IFERROR(SUM(Y103:Y109),"0")</f>
        <v>1050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18.774000000000001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3906</v>
      </c>
      <c r="Y111" s="356">
        <f>IFERROR(SUMPRODUCT(Y103:Y109*H103:H109),"0")</f>
        <v>3906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70</v>
      </c>
      <c r="Y137" s="355">
        <f>IFERROR(IF(X137="","",X137),"")</f>
        <v>70</v>
      </c>
      <c r="Z137" s="36">
        <f>IFERROR(IF(X137="","",X137*0.01788),"")</f>
        <v>1.2516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259.25200000000001</v>
      </c>
      <c r="BN137" s="67">
        <f>IFERROR(Y137*I137,"0")</f>
        <v>259.25200000000001</v>
      </c>
      <c r="BO137" s="67">
        <f>IFERROR(X137/J137,"0")</f>
        <v>1</v>
      </c>
      <c r="BP137" s="67">
        <f>IFERROR(Y137/J137,"0")</f>
        <v>1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140</v>
      </c>
      <c r="Y138" s="356">
        <f>IFERROR(SUM(Y136:Y137),"0")</f>
        <v>140</v>
      </c>
      <c r="Z138" s="356">
        <f>IFERROR(IF(Z136="",0,Z136),"0")+IFERROR(IF(Z137="",0,Z137),"0")</f>
        <v>2.5032000000000001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420</v>
      </c>
      <c r="Y139" s="356">
        <f>IFERROR(SUMPRODUCT(Y136:Y137*H136:H137),"0")</f>
        <v>420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140</v>
      </c>
      <c r="Y142" s="355">
        <f>IFERROR(IF(X142="","",X142),"")</f>
        <v>140</v>
      </c>
      <c r="Z142" s="36">
        <f>IFERROR(IF(X142="","",X142*0.01788),"")</f>
        <v>2.5032000000000001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524.72</v>
      </c>
      <c r="BN142" s="67">
        <f>IFERROR(Y142*I142,"0")</f>
        <v>524.72</v>
      </c>
      <c r="BO142" s="67">
        <f>IFERROR(X142/J142,"0")</f>
        <v>2</v>
      </c>
      <c r="BP142" s="67">
        <f>IFERROR(Y142/J142,"0")</f>
        <v>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210</v>
      </c>
      <c r="Y144" s="356">
        <f>IFERROR(SUM(Y142:Y143),"0")</f>
        <v>210</v>
      </c>
      <c r="Z144" s="356">
        <f>IFERROR(IF(Z142="",0,Z142),"0")+IFERROR(IF(Z143="",0,Z143),"0")</f>
        <v>3.7548000000000004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630</v>
      </c>
      <c r="Y145" s="356">
        <f>IFERROR(SUMPRODUCT(Y142:Y143*H142:H143),"0")</f>
        <v>630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140</v>
      </c>
      <c r="Y148" s="355">
        <f>IFERROR(IF(X148="","",X148),"")</f>
        <v>140</v>
      </c>
      <c r="Z148" s="36">
        <f>IFERROR(IF(X148="","",X148*0.01788),"")</f>
        <v>2.5032000000000001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459.2</v>
      </c>
      <c r="BN148" s="67">
        <f>IFERROR(Y148*I148,"0")</f>
        <v>459.2</v>
      </c>
      <c r="BO148" s="67">
        <f>IFERROR(X148/J148,"0")</f>
        <v>2</v>
      </c>
      <c r="BP148" s="67">
        <f>IFERROR(Y148/J148,"0")</f>
        <v>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140</v>
      </c>
      <c r="Y150" s="356">
        <f>IFERROR(SUM(Y148:Y149),"0")</f>
        <v>140</v>
      </c>
      <c r="Z150" s="356">
        <f>IFERROR(IF(Z148="",0,Z148),"0")+IFERROR(IF(Z149="",0,Z149),"0")</f>
        <v>2.5032000000000001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420</v>
      </c>
      <c r="Y151" s="356">
        <f>IFERROR(SUMPRODUCT(Y148:Y149*H148:H149),"0")</f>
        <v>420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280</v>
      </c>
      <c r="Y171" s="355">
        <f>IFERROR(IF(X171="","",X171),"")</f>
        <v>280</v>
      </c>
      <c r="Z171" s="36">
        <f>IFERROR(IF(X171="","",X171*0.00941),"")</f>
        <v>2.6347999999999998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588.50400000000002</v>
      </c>
      <c r="BN171" s="67">
        <f>IFERROR(Y171*I171,"0")</f>
        <v>588.50400000000002</v>
      </c>
      <c r="BO171" s="67">
        <f>IFERROR(X171/J171,"0")</f>
        <v>2</v>
      </c>
      <c r="BP171" s="67">
        <f>IFERROR(Y171/J171,"0")</f>
        <v>2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280</v>
      </c>
      <c r="Y172" s="356">
        <f>IFERROR(SUM(Y171:Y171),"0")</f>
        <v>280</v>
      </c>
      <c r="Z172" s="356">
        <f>IFERROR(IF(Z171="",0,Z171),"0")</f>
        <v>2.6347999999999998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470.4</v>
      </c>
      <c r="Y173" s="356">
        <f>IFERROR(SUMPRODUCT(Y171:Y171*H171:H171),"0")</f>
        <v>470.4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0</v>
      </c>
      <c r="Y199" s="356">
        <f>IFERROR(SUM(Y196:Y198),"0")</f>
        <v>0</v>
      </c>
      <c r="Z199" s="356">
        <f>IFERROR(IF(Z196="",0,Z196),"0")+IFERROR(IF(Z197="",0,Z197),"0")+IFERROR(IF(Z198="",0,Z198),"0")</f>
        <v>0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0</v>
      </c>
      <c r="Y200" s="356">
        <f>IFERROR(SUMPRODUCT(Y196:Y198*H196:H198),"0")</f>
        <v>0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0</v>
      </c>
      <c r="Y329" s="356">
        <f>IFERROR(SUM(Y308:Y328),"0")</f>
        <v>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0</v>
      </c>
      <c r="Y330" s="356">
        <f>IFERROR(SUMPRODUCT(Y308:Y328*H308:H328),"0")</f>
        <v>0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8005.2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8005.2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9492.9240000000027</v>
      </c>
      <c r="Y337" s="356">
        <f>IFERROR(SUM(BN22:BN333),"0")</f>
        <v>9492.9240000000027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32</v>
      </c>
      <c r="Y338" s="38">
        <f>ROUNDUP(SUM(BP22:BP333),0)</f>
        <v>32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10292.924000000003</v>
      </c>
      <c r="Y339" s="356">
        <f>GrossWeightTotalR+PalletQtyTotalR*25</f>
        <v>10292.924000000003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2744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2744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40.562199999999997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1050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604.80000000000007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504</v>
      </c>
      <c r="J346" s="46">
        <f>IFERROR(X103*H103,"0")+IFERROR(X104*H104,"0")+IFERROR(X105*H105,"0")+IFERROR(X106*H106,"0")+IFERROR(X107*H107,"0")+IFERROR(X108*H108,"0")+IFERROR(X109*H109,"0")</f>
        <v>3906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420</v>
      </c>
      <c r="N346" s="352"/>
      <c r="O346" s="46">
        <f>IFERROR(X142*H142,"0")+IFERROR(X143*H143,"0")</f>
        <v>630</v>
      </c>
      <c r="P346" s="46">
        <f>IFERROR(X148*H148,"0")+IFERROR(X149*H149,"0")</f>
        <v>420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470.4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0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604.80000000000007</v>
      </c>
      <c r="B349" s="60">
        <f>SUMPRODUCT(--(BB:BB="ПГП"),--(W:W="кор"),H:H,Y:Y)+SUMPRODUCT(--(BB:BB="ПГП"),--(W:W="кг"),Y:Y)</f>
        <v>7400.4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2025-04-18T07:52:12Z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