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FBA3D186-AFF4-4555-978D-FA6E5E63DB7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Y590" i="1" s="1"/>
  <c r="X586" i="1"/>
  <c r="Y585" i="1"/>
  <c r="X585" i="1"/>
  <c r="BP584" i="1"/>
  <c r="BO584" i="1"/>
  <c r="BN584" i="1"/>
  <c r="BM584" i="1"/>
  <c r="Z584" i="1"/>
  <c r="Z585" i="1" s="1"/>
  <c r="Y584" i="1"/>
  <c r="Y586" i="1" s="1"/>
  <c r="X582" i="1"/>
  <c r="X581" i="1"/>
  <c r="BO580" i="1"/>
  <c r="BM580" i="1"/>
  <c r="Y580" i="1"/>
  <c r="X578" i="1"/>
  <c r="Y577" i="1"/>
  <c r="X577" i="1"/>
  <c r="BP576" i="1"/>
  <c r="BO576" i="1"/>
  <c r="BN576" i="1"/>
  <c r="BM576" i="1"/>
  <c r="Z576" i="1"/>
  <c r="Z577" i="1" s="1"/>
  <c r="Y576" i="1"/>
  <c r="AE601" i="1" s="1"/>
  <c r="X573" i="1"/>
  <c r="X572" i="1"/>
  <c r="BO571" i="1"/>
  <c r="BM571" i="1"/>
  <c r="Y571" i="1"/>
  <c r="BO570" i="1"/>
  <c r="BM570" i="1"/>
  <c r="Y570" i="1"/>
  <c r="BO569" i="1"/>
  <c r="BM569" i="1"/>
  <c r="Y569" i="1"/>
  <c r="BO568" i="1"/>
  <c r="BM568" i="1"/>
  <c r="Y568" i="1"/>
  <c r="X566" i="1"/>
  <c r="Y565" i="1"/>
  <c r="X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Y561" i="1"/>
  <c r="BP560" i="1"/>
  <c r="BO560" i="1"/>
  <c r="BN560" i="1"/>
  <c r="BM560" i="1"/>
  <c r="Z560" i="1"/>
  <c r="Z565" i="1" s="1"/>
  <c r="Y560" i="1"/>
  <c r="Y566" i="1" s="1"/>
  <c r="X558" i="1"/>
  <c r="X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P534" i="1" s="1"/>
  <c r="BO533" i="1"/>
  <c r="BM533" i="1"/>
  <c r="Y533" i="1"/>
  <c r="X529" i="1"/>
  <c r="Y528" i="1"/>
  <c r="X528" i="1"/>
  <c r="BP527" i="1"/>
  <c r="BO527" i="1"/>
  <c r="BN527" i="1"/>
  <c r="BM527" i="1"/>
  <c r="Z527" i="1"/>
  <c r="Y527" i="1"/>
  <c r="BP526" i="1"/>
  <c r="BO526" i="1"/>
  <c r="BN526" i="1"/>
  <c r="BM526" i="1"/>
  <c r="Z526" i="1"/>
  <c r="Z528" i="1" s="1"/>
  <c r="Y526" i="1"/>
  <c r="Y529" i="1" s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P521" i="1" s="1"/>
  <c r="P521" i="1"/>
  <c r="BP520" i="1"/>
  <c r="BO520" i="1"/>
  <c r="BN520" i="1"/>
  <c r="BM520" i="1"/>
  <c r="Z520" i="1"/>
  <c r="Y520" i="1"/>
  <c r="Y524" i="1" s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BP515" i="1" s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Y518" i="1" s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Y467" i="1" s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N456" i="1"/>
  <c r="BM456" i="1"/>
  <c r="Z456" i="1"/>
  <c r="Y456" i="1"/>
  <c r="X454" i="1"/>
  <c r="X453" i="1"/>
  <c r="BO452" i="1"/>
  <c r="BM452" i="1"/>
  <c r="Y452" i="1"/>
  <c r="Y454" i="1" s="1"/>
  <c r="P452" i="1"/>
  <c r="BP451" i="1"/>
  <c r="BO451" i="1"/>
  <c r="BN451" i="1"/>
  <c r="BM451" i="1"/>
  <c r="Z451" i="1"/>
  <c r="Y451" i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Y601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Y422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X601" i="1" s="1"/>
  <c r="P403" i="1"/>
  <c r="X400" i="1"/>
  <c r="X399" i="1"/>
  <c r="BO398" i="1"/>
  <c r="BM398" i="1"/>
  <c r="Y398" i="1"/>
  <c r="Y400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Y391" i="1" s="1"/>
  <c r="P389" i="1"/>
  <c r="BP388" i="1"/>
  <c r="BO388" i="1"/>
  <c r="BN388" i="1"/>
  <c r="BM388" i="1"/>
  <c r="Z388" i="1"/>
  <c r="Y388" i="1"/>
  <c r="Y390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W601" i="1" s="1"/>
  <c r="P375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V601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4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Y340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BN299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1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1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Y128" i="1" s="1"/>
  <c r="P120" i="1"/>
  <c r="BP119" i="1"/>
  <c r="BO119" i="1"/>
  <c r="BN119" i="1"/>
  <c r="BM119" i="1"/>
  <c r="Z119" i="1"/>
  <c r="Y119" i="1"/>
  <c r="Y129" i="1" s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102" i="1" s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A10" i="1" s="1"/>
  <c r="D7" i="1"/>
  <c r="Q6" i="1"/>
  <c r="P2" i="1"/>
  <c r="Z144" i="1" l="1"/>
  <c r="Z226" i="1"/>
  <c r="F9" i="1"/>
  <c r="J9" i="1"/>
  <c r="F10" i="1"/>
  <c r="Z22" i="1"/>
  <c r="BN22" i="1"/>
  <c r="BP22" i="1"/>
  <c r="Z26" i="1"/>
  <c r="BN26" i="1"/>
  <c r="X595" i="1"/>
  <c r="Y29" i="1"/>
  <c r="C601" i="1"/>
  <c r="Z38" i="1"/>
  <c r="BN38" i="1"/>
  <c r="BP38" i="1"/>
  <c r="Z40" i="1"/>
  <c r="Z41" i="1" s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Z62" i="1" s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3" i="1"/>
  <c r="Z102" i="1" s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Z110" i="1" s="1"/>
  <c r="BN107" i="1"/>
  <c r="BP107" i="1"/>
  <c r="Z109" i="1"/>
  <c r="BN109" i="1"/>
  <c r="Y110" i="1"/>
  <c r="Z113" i="1"/>
  <c r="BN113" i="1"/>
  <c r="BP113" i="1"/>
  <c r="Z115" i="1"/>
  <c r="BN115" i="1"/>
  <c r="Y116" i="1"/>
  <c r="Z120" i="1"/>
  <c r="BN120" i="1"/>
  <c r="BP120" i="1"/>
  <c r="Z123" i="1"/>
  <c r="Z128" i="1" s="1"/>
  <c r="BN123" i="1"/>
  <c r="Z124" i="1"/>
  <c r="BN124" i="1"/>
  <c r="Z126" i="1"/>
  <c r="BN126" i="1"/>
  <c r="Z132" i="1"/>
  <c r="Z133" i="1" s="1"/>
  <c r="BN132" i="1"/>
  <c r="BP132" i="1"/>
  <c r="Z137" i="1"/>
  <c r="Z139" i="1" s="1"/>
  <c r="BN137" i="1"/>
  <c r="BP137" i="1"/>
  <c r="Y140" i="1"/>
  <c r="Z143" i="1"/>
  <c r="BN143" i="1"/>
  <c r="BP143" i="1"/>
  <c r="Z147" i="1"/>
  <c r="Z149" i="1" s="1"/>
  <c r="BN147" i="1"/>
  <c r="BP147" i="1"/>
  <c r="Y150" i="1"/>
  <c r="H601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Z215" i="1"/>
  <c r="BN215" i="1"/>
  <c r="Z217" i="1"/>
  <c r="BN217" i="1"/>
  <c r="Z219" i="1"/>
  <c r="BN219" i="1"/>
  <c r="Y222" i="1"/>
  <c r="Z225" i="1"/>
  <c r="BN225" i="1"/>
  <c r="BP225" i="1"/>
  <c r="Z230" i="1"/>
  <c r="Z238" i="1" s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H9" i="1"/>
  <c r="Y28" i="1"/>
  <c r="Y55" i="1"/>
  <c r="Y139" i="1"/>
  <c r="Y172" i="1"/>
  <c r="Y193" i="1"/>
  <c r="Y238" i="1"/>
  <c r="Y262" i="1"/>
  <c r="Y267" i="1"/>
  <c r="Y274" i="1"/>
  <c r="Y283" i="1"/>
  <c r="Y288" i="1"/>
  <c r="R601" i="1"/>
  <c r="Y300" i="1"/>
  <c r="BP299" i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Z346" i="1"/>
  <c r="Z460" i="1"/>
  <c r="Y316" i="1"/>
  <c r="U601" i="1"/>
  <c r="Y325" i="1"/>
  <c r="Z336" i="1"/>
  <c r="Z340" i="1" s="1"/>
  <c r="BN336" i="1"/>
  <c r="BP336" i="1"/>
  <c r="Z338" i="1"/>
  <c r="BN338" i="1"/>
  <c r="Z344" i="1"/>
  <c r="BN344" i="1"/>
  <c r="BP344" i="1"/>
  <c r="Z349" i="1"/>
  <c r="Z353" i="1" s="1"/>
  <c r="BN349" i="1"/>
  <c r="BP349" i="1"/>
  <c r="Z350" i="1"/>
  <c r="BN350" i="1"/>
  <c r="Z352" i="1"/>
  <c r="BN352" i="1"/>
  <c r="Y353" i="1"/>
  <c r="Z356" i="1"/>
  <c r="Z359" i="1" s="1"/>
  <c r="BN356" i="1"/>
  <c r="BP356" i="1"/>
  <c r="Z358" i="1"/>
  <c r="BN358" i="1"/>
  <c r="Y359" i="1"/>
  <c r="Z363" i="1"/>
  <c r="Z364" i="1" s="1"/>
  <c r="BN363" i="1"/>
  <c r="BP363" i="1"/>
  <c r="Y364" i="1"/>
  <c r="Z367" i="1"/>
  <c r="Z370" i="1" s="1"/>
  <c r="BN367" i="1"/>
  <c r="BP367" i="1"/>
  <c r="Z369" i="1"/>
  <c r="BN369" i="1"/>
  <c r="Y370" i="1"/>
  <c r="Z375" i="1"/>
  <c r="Z385" i="1" s="1"/>
  <c r="BN375" i="1"/>
  <c r="BP375" i="1"/>
  <c r="Z377" i="1"/>
  <c r="BN377" i="1"/>
  <c r="Z379" i="1"/>
  <c r="BN379" i="1"/>
  <c r="Z381" i="1"/>
  <c r="BN381" i="1"/>
  <c r="Z383" i="1"/>
  <c r="BN383" i="1"/>
  <c r="Y386" i="1"/>
  <c r="Z389" i="1"/>
  <c r="Z390" i="1" s="1"/>
  <c r="BN389" i="1"/>
  <c r="BP389" i="1"/>
  <c r="Z398" i="1"/>
  <c r="Z399" i="1" s="1"/>
  <c r="BN398" i="1"/>
  <c r="BP398" i="1"/>
  <c r="Y399" i="1"/>
  <c r="Z403" i="1"/>
  <c r="BN403" i="1"/>
  <c r="BP403" i="1"/>
  <c r="Z405" i="1"/>
  <c r="BN405" i="1"/>
  <c r="Z407" i="1"/>
  <c r="BN407" i="1"/>
  <c r="Y408" i="1"/>
  <c r="Z411" i="1"/>
  <c r="Z413" i="1" s="1"/>
  <c r="BN411" i="1"/>
  <c r="BP411" i="1"/>
  <c r="Y414" i="1"/>
  <c r="Z418" i="1"/>
  <c r="BN418" i="1"/>
  <c r="BP418" i="1"/>
  <c r="Z420" i="1"/>
  <c r="Z421" i="1" s="1"/>
  <c r="BN420" i="1"/>
  <c r="Z430" i="1"/>
  <c r="Z442" i="1" s="1"/>
  <c r="BN430" i="1"/>
  <c r="BP430" i="1"/>
  <c r="Z431" i="1"/>
  <c r="BN431" i="1"/>
  <c r="Z432" i="1"/>
  <c r="BN432" i="1"/>
  <c r="Z433" i="1"/>
  <c r="BN433" i="1"/>
  <c r="Z436" i="1"/>
  <c r="BN436" i="1"/>
  <c r="Z438" i="1"/>
  <c r="BN438" i="1"/>
  <c r="Z439" i="1"/>
  <c r="BN439" i="1"/>
  <c r="Z441" i="1"/>
  <c r="BN441" i="1"/>
  <c r="Y442" i="1"/>
  <c r="Z445" i="1"/>
  <c r="Z447" i="1" s="1"/>
  <c r="BN445" i="1"/>
  <c r="BP445" i="1"/>
  <c r="Y448" i="1"/>
  <c r="Z601" i="1"/>
  <c r="Z452" i="1"/>
  <c r="Z453" i="1" s="1"/>
  <c r="BN452" i="1"/>
  <c r="BP452" i="1"/>
  <c r="Y453" i="1"/>
  <c r="Y460" i="1"/>
  <c r="BP456" i="1"/>
  <c r="BP465" i="1"/>
  <c r="BN465" i="1"/>
  <c r="Z465" i="1"/>
  <c r="AB601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Y365" i="1"/>
  <c r="Y385" i="1"/>
  <c r="Y409" i="1"/>
  <c r="Y443" i="1"/>
  <c r="BP459" i="1"/>
  <c r="BN459" i="1"/>
  <c r="Z459" i="1"/>
  <c r="Y461" i="1"/>
  <c r="AA601" i="1"/>
  <c r="Y466" i="1"/>
  <c r="BP464" i="1"/>
  <c r="BN464" i="1"/>
  <c r="Z464" i="1"/>
  <c r="Z466" i="1" s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Y517" i="1"/>
  <c r="Y523" i="1"/>
  <c r="AD601" i="1"/>
  <c r="Y539" i="1"/>
  <c r="BP536" i="1"/>
  <c r="BN536" i="1"/>
  <c r="Z536" i="1"/>
  <c r="BP538" i="1"/>
  <c r="BN538" i="1"/>
  <c r="Z538" i="1"/>
  <c r="Y540" i="1"/>
  <c r="Y557" i="1"/>
  <c r="BP550" i="1"/>
  <c r="BN550" i="1"/>
  <c r="Z550" i="1"/>
  <c r="BP552" i="1"/>
  <c r="BN552" i="1"/>
  <c r="Z552" i="1"/>
  <c r="BP554" i="1"/>
  <c r="BN554" i="1"/>
  <c r="Z554" i="1"/>
  <c r="BP556" i="1"/>
  <c r="BN556" i="1"/>
  <c r="Z556" i="1"/>
  <c r="Y558" i="1"/>
  <c r="Y572" i="1"/>
  <c r="BP568" i="1"/>
  <c r="BN568" i="1"/>
  <c r="Z568" i="1"/>
  <c r="BP570" i="1"/>
  <c r="BN570" i="1"/>
  <c r="Z570" i="1"/>
  <c r="Z511" i="1"/>
  <c r="Z517" i="1" s="1"/>
  <c r="BN511" i="1"/>
  <c r="Z512" i="1"/>
  <c r="BN512" i="1"/>
  <c r="Z515" i="1"/>
  <c r="BN515" i="1"/>
  <c r="Z521" i="1"/>
  <c r="Z523" i="1" s="1"/>
  <c r="BN521" i="1"/>
  <c r="Z533" i="1"/>
  <c r="BN533" i="1"/>
  <c r="BP533" i="1"/>
  <c r="Z534" i="1"/>
  <c r="BN534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BP555" i="1"/>
  <c r="BN555" i="1"/>
  <c r="Z555" i="1"/>
  <c r="BP569" i="1"/>
  <c r="BN569" i="1"/>
  <c r="Z569" i="1"/>
  <c r="BP571" i="1"/>
  <c r="BN571" i="1"/>
  <c r="Z571" i="1"/>
  <c r="Y573" i="1"/>
  <c r="Y581" i="1"/>
  <c r="BP580" i="1"/>
  <c r="BN580" i="1"/>
  <c r="Z580" i="1"/>
  <c r="Z581" i="1" s="1"/>
  <c r="Y582" i="1"/>
  <c r="Y578" i="1"/>
  <c r="Z588" i="1"/>
  <c r="Z589" i="1" s="1"/>
  <c r="BN588" i="1"/>
  <c r="BP588" i="1"/>
  <c r="Y589" i="1"/>
  <c r="Z539" i="1" l="1"/>
  <c r="Z572" i="1"/>
  <c r="Z557" i="1"/>
  <c r="Y592" i="1"/>
  <c r="Z502" i="1"/>
  <c r="Z495" i="1"/>
  <c r="Z408" i="1"/>
  <c r="Y595" i="1"/>
  <c r="Z332" i="1"/>
  <c r="Z183" i="1"/>
  <c r="Z116" i="1"/>
  <c r="Z55" i="1"/>
  <c r="Y591" i="1"/>
  <c r="Y593" i="1"/>
  <c r="Z28" i="1"/>
  <c r="Y594" i="1" l="1"/>
  <c r="Z596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<sst xmlns="http://schemas.openxmlformats.org/spreadsheetml/2006/main" count="2720" uniqueCount="975">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</sst>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7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50</v>
      </c>
      <c r="Y174" s="664">
        <f t="shared" ref="Y174:Y182" si="27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53.214285714285715</v>
      </c>
      <c r="BN174" s="64">
        <f t="shared" ref="BN174:BN182" si="29">IFERROR(Y174*I174/H174,"0")</f>
        <v>53.64</v>
      </c>
      <c r="BO174" s="64">
        <f t="shared" ref="BO174:BO182" si="30">IFERROR(1/J174*(X174/H174),"0")</f>
        <v>9.0187590187590191E-2</v>
      </c>
      <c r="BP174" s="64">
        <f t="shared" ref="BP174:BP182" si="31">IFERROR(1/J174*(Y174/H174),"0")</f>
        <v>9.0909090909090912E-2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50</v>
      </c>
      <c r="Y176" s="664">
        <f t="shared" si="27"/>
        <v>50.400000000000006</v>
      </c>
      <c r="Z176" s="36">
        <f>IFERROR(IF(Y176=0,"",ROUNDUP(Y176/H176,0)*0.00902),"")</f>
        <v>0.10824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52.5</v>
      </c>
      <c r="BN176" s="64">
        <f t="shared" si="29"/>
        <v>52.920000000000009</v>
      </c>
      <c r="BO176" s="64">
        <f t="shared" si="30"/>
        <v>9.0187590187590191E-2</v>
      </c>
      <c r="BP176" s="64">
        <f t="shared" si="31"/>
        <v>9.0909090909090912E-2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23.80952380952381</v>
      </c>
      <c r="Y183" s="665">
        <f>IFERROR(Y174/H174,"0")+IFERROR(Y175/H175,"0")+IFERROR(Y176/H176,"0")+IFERROR(Y177/H177,"0")+IFERROR(Y178/H178,"0")+IFERROR(Y179/H179,"0")+IFERROR(Y180/H180,"0")+IFERROR(Y181/H181,"0")+IFERROR(Y182/H182,"0")</f>
        <v>24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0.21648000000000001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100</v>
      </c>
      <c r="Y184" s="665">
        <f>IFERROR(SUM(Y174:Y182),"0")</f>
        <v>100.80000000000001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100</v>
      </c>
      <c r="Y201" s="664">
        <f t="shared" ref="Y201:Y208" si="32">IFERROR(IF(X201="",0,CEILING((X201/$H201),1)*$H201),"")</f>
        <v>102.60000000000001</v>
      </c>
      <c r="Z201" s="36">
        <f>IFERROR(IF(Y201=0,"",ROUNDUP(Y201/H201,0)*0.00902),"")</f>
        <v>0.17138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103.88888888888889</v>
      </c>
      <c r="BN201" s="64">
        <f t="shared" ref="BN201:BN208" si="34">IFERROR(Y201*I201/H201,"0")</f>
        <v>106.59000000000002</v>
      </c>
      <c r="BO201" s="64">
        <f t="shared" ref="BO201:BO208" si="35">IFERROR(1/J201*(X201/H201),"0")</f>
        <v>0.14029180695847362</v>
      </c>
      <c r="BP201" s="64">
        <f t="shared" ref="BP201:BP208" si="36">IFERROR(1/J201*(Y201/H201),"0")</f>
        <v>0.14393939393939395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60</v>
      </c>
      <c r="Y202" s="664">
        <f t="shared" si="32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62.333333333333336</v>
      </c>
      <c r="BN202" s="64">
        <f t="shared" si="34"/>
        <v>67.320000000000007</v>
      </c>
      <c r="BO202" s="64">
        <f t="shared" si="35"/>
        <v>8.4175084175084181E-2</v>
      </c>
      <c r="BP202" s="64">
        <f t="shared" si="36"/>
        <v>9.0909090909090925E-2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60</v>
      </c>
      <c r="Y203" s="664">
        <f t="shared" si="32"/>
        <v>64.800000000000011</v>
      </c>
      <c r="Z203" s="36">
        <f>IFERROR(IF(Y203=0,"",ROUNDUP(Y203/H203,0)*0.00902),"")</f>
        <v>0.10824</v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62.333333333333336</v>
      </c>
      <c r="BN203" s="64">
        <f t="shared" si="34"/>
        <v>67.320000000000007</v>
      </c>
      <c r="BO203" s="64">
        <f t="shared" si="35"/>
        <v>8.4175084175084181E-2</v>
      </c>
      <c r="BP203" s="64">
        <f t="shared" si="36"/>
        <v>9.0909090909090925E-2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60</v>
      </c>
      <c r="Y204" s="664">
        <f t="shared" si="32"/>
        <v>64.800000000000011</v>
      </c>
      <c r="Z204" s="36">
        <f>IFERROR(IF(Y204=0,"",ROUNDUP(Y204/H204,0)*0.00902),"")</f>
        <v>0.10824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62.333333333333336</v>
      </c>
      <c r="BN204" s="64">
        <f t="shared" si="34"/>
        <v>67.320000000000007</v>
      </c>
      <c r="BO204" s="64">
        <f t="shared" si="35"/>
        <v>8.4175084175084181E-2</v>
      </c>
      <c r="BP204" s="64">
        <f t="shared" si="36"/>
        <v>9.0909090909090925E-2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51.851851851851848</v>
      </c>
      <c r="Y209" s="665">
        <f>IFERROR(Y201/H201,"0")+IFERROR(Y202/H202,"0")+IFERROR(Y203/H203,"0")+IFERROR(Y204/H204,"0")+IFERROR(Y205/H205,"0")+IFERROR(Y206/H206,"0")+IFERROR(Y207/H207,"0")+IFERROR(Y208/H208,"0")</f>
        <v>55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0.49609999999999999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280</v>
      </c>
      <c r="Y210" s="665">
        <f>IFERROR(SUM(Y201:Y208),"0")</f>
        <v>297.00000000000006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120</v>
      </c>
      <c r="Y212" s="664">
        <f t="shared" ref="Y212:Y220" si="37">IFERROR(IF(X212="",0,CEILING((X212/$H212),1)*$H212),"")</f>
        <v>121.5</v>
      </c>
      <c r="Z212" s="36">
        <f>IFERROR(IF(Y212=0,"",ROUNDUP(Y212/H212,0)*0.01898),"")</f>
        <v>0.28470000000000001</v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127.6888888888889</v>
      </c>
      <c r="BN212" s="64">
        <f t="shared" ref="BN212:BN220" si="39">IFERROR(Y212*I212/H212,"0")</f>
        <v>129.285</v>
      </c>
      <c r="BO212" s="64">
        <f t="shared" ref="BO212:BO220" si="40">IFERROR(1/J212*(X212/H212),"0")</f>
        <v>0.23148148148148148</v>
      </c>
      <c r="BP212" s="64">
        <f t="shared" ref="BP212:BP220" si="41">IFERROR(1/J212*(Y212/H212),"0")</f>
        <v>0.234375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130</v>
      </c>
      <c r="Y214" s="664">
        <f t="shared" si="37"/>
        <v>130.5</v>
      </c>
      <c r="Z214" s="36">
        <f>IFERROR(IF(Y214=0,"",ROUNDUP(Y214/H214,0)*0.01898),"")</f>
        <v>0.28470000000000001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137.7551724137931</v>
      </c>
      <c r="BN214" s="64">
        <f t="shared" si="39"/>
        <v>138.285</v>
      </c>
      <c r="BO214" s="64">
        <f t="shared" si="40"/>
        <v>0.2334770114942529</v>
      </c>
      <c r="BP214" s="64">
        <f t="shared" si="41"/>
        <v>0.23437500000000003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288</v>
      </c>
      <c r="Y215" s="664">
        <f t="shared" si="37"/>
        <v>288</v>
      </c>
      <c r="Z215" s="36">
        <f t="shared" ref="Z215:Z220" si="42">IFERROR(IF(Y215=0,"",ROUNDUP(Y215/H215,0)*0.00651),"")</f>
        <v>0.78120000000000001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320.40000000000003</v>
      </c>
      <c r="BN215" s="64">
        <f t="shared" si="39"/>
        <v>320.40000000000003</v>
      </c>
      <c r="BO215" s="64">
        <f t="shared" si="40"/>
        <v>0.65934065934065944</v>
      </c>
      <c r="BP215" s="64">
        <f t="shared" si="41"/>
        <v>0.65934065934065944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240</v>
      </c>
      <c r="Y217" s="664">
        <f t="shared" si="37"/>
        <v>240</v>
      </c>
      <c r="Z217" s="36">
        <f t="shared" si="42"/>
        <v>0.65100000000000002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265.20000000000005</v>
      </c>
      <c r="BN217" s="64">
        <f t="shared" si="39"/>
        <v>265.20000000000005</v>
      </c>
      <c r="BO217" s="64">
        <f t="shared" si="40"/>
        <v>0.5494505494505495</v>
      </c>
      <c r="BP217" s="64">
        <f t="shared" si="41"/>
        <v>0.5494505494505495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240</v>
      </c>
      <c r="Y218" s="664">
        <f t="shared" si="37"/>
        <v>240</v>
      </c>
      <c r="Z218" s="36">
        <f t="shared" si="42"/>
        <v>0.65100000000000002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265.20000000000005</v>
      </c>
      <c r="BN218" s="64">
        <f t="shared" si="39"/>
        <v>265.20000000000005</v>
      </c>
      <c r="BO218" s="64">
        <f t="shared" si="40"/>
        <v>0.5494505494505495</v>
      </c>
      <c r="BP218" s="64">
        <f t="shared" si="41"/>
        <v>0.5494505494505495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216</v>
      </c>
      <c r="Y219" s="664">
        <f t="shared" si="37"/>
        <v>216</v>
      </c>
      <c r="Z219" s="36">
        <f t="shared" si="42"/>
        <v>0.58589999999999998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238.68</v>
      </c>
      <c r="BN219" s="64">
        <f t="shared" si="39"/>
        <v>238.68</v>
      </c>
      <c r="BO219" s="64">
        <f t="shared" si="40"/>
        <v>0.49450549450549453</v>
      </c>
      <c r="BP219" s="64">
        <f t="shared" si="41"/>
        <v>0.49450549450549453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240</v>
      </c>
      <c r="Y220" s="664">
        <f t="shared" si="37"/>
        <v>240</v>
      </c>
      <c r="Z220" s="36">
        <f t="shared" si="42"/>
        <v>0.65100000000000002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265.8</v>
      </c>
      <c r="BN220" s="64">
        <f t="shared" si="39"/>
        <v>265.8</v>
      </c>
      <c r="BO220" s="64">
        <f t="shared" si="40"/>
        <v>0.5494505494505495</v>
      </c>
      <c r="BP220" s="64">
        <f t="shared" si="41"/>
        <v>0.5494505494505495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539.75734355044699</v>
      </c>
      <c r="Y221" s="665">
        <f>IFERROR(Y212/H212,"0")+IFERROR(Y213/H213,"0")+IFERROR(Y214/H214,"0")+IFERROR(Y215/H215,"0")+IFERROR(Y216/H216,"0")+IFERROR(Y217/H217,"0")+IFERROR(Y218/H218,"0")+IFERROR(Y219/H219,"0")+IFERROR(Y220/H220,"0")</f>
        <v>540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3.8895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1474</v>
      </c>
      <c r="Y222" s="665">
        <f>IFERROR(SUM(Y212:Y220),"0")</f>
        <v>1476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19.2</v>
      </c>
      <c r="Y224" s="664">
        <f>IFERROR(IF(X224="",0,CEILING((X224/$H224),1)*$H224),"")</f>
        <v>19.2</v>
      </c>
      <c r="Z224" s="36">
        <f>IFERROR(IF(Y224=0,"",ROUNDUP(Y224/H224,0)*0.00651),"")</f>
        <v>5.2080000000000001E-2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21.216000000000001</v>
      </c>
      <c r="BN224" s="64">
        <f>IFERROR(Y224*I224/H224,"0")</f>
        <v>21.216000000000001</v>
      </c>
      <c r="BO224" s="64">
        <f>IFERROR(1/J224*(X224/H224),"0")</f>
        <v>4.3956043956043959E-2</v>
      </c>
      <c r="BP224" s="64">
        <f>IFERROR(1/J224*(Y224/H224),"0")</f>
        <v>4.3956043956043959E-2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19.2</v>
      </c>
      <c r="Y225" s="664">
        <f>IFERROR(IF(X225="",0,CEILING((X225/$H225),1)*$H225),"")</f>
        <v>19.2</v>
      </c>
      <c r="Z225" s="36">
        <f>IFERROR(IF(Y225=0,"",ROUNDUP(Y225/H225,0)*0.00651),"")</f>
        <v>5.2080000000000001E-2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21.216000000000001</v>
      </c>
      <c r="BN225" s="64">
        <f>IFERROR(Y225*I225/H225,"0")</f>
        <v>21.216000000000001</v>
      </c>
      <c r="BO225" s="64">
        <f>IFERROR(1/J225*(X225/H225),"0")</f>
        <v>4.3956043956043959E-2</v>
      </c>
      <c r="BP225" s="64">
        <f>IFERROR(1/J225*(Y225/H225),"0")</f>
        <v>4.3956043956043959E-2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16</v>
      </c>
      <c r="Y226" s="665">
        <f>IFERROR(Y224/H224,"0")+IFERROR(Y225/H225,"0")</f>
        <v>16</v>
      </c>
      <c r="Z226" s="665">
        <f>IFERROR(IF(Z224="",0,Z224),"0")+IFERROR(IF(Z225="",0,Z225),"0")</f>
        <v>0.10416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38.4</v>
      </c>
      <c r="Y227" s="665">
        <f>IFERROR(SUM(Y224:Y225),"0")</f>
        <v>38.4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50</v>
      </c>
      <c r="Y328" s="664">
        <f>IFERROR(IF(X328="",0,CEILING((X328/$H328),1)*$H328),"")</f>
        <v>50.400000000000006</v>
      </c>
      <c r="Z328" s="36">
        <f>IFERROR(IF(Y328=0,"",ROUNDUP(Y328/H328,0)*0.00902),"")</f>
        <v>0.10824</v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53.214285714285715</v>
      </c>
      <c r="BN328" s="64">
        <f>IFERROR(Y328*I328/H328,"0")</f>
        <v>53.64</v>
      </c>
      <c r="BO328" s="64">
        <f>IFERROR(1/J328*(X328/H328),"0")</f>
        <v>9.0187590187590191E-2</v>
      </c>
      <c r="BP328" s="64">
        <f>IFERROR(1/J328*(Y328/H328),"0")</f>
        <v>9.0909090909090912E-2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11.904761904761905</v>
      </c>
      <c r="Y332" s="665">
        <f>IFERROR(Y328/H328,"0")+IFERROR(Y329/H329,"0")+IFERROR(Y330/H330,"0")+IFERROR(Y331/H331,"0")</f>
        <v>12</v>
      </c>
      <c r="Z332" s="665">
        <f>IFERROR(IF(Z328="",0,Z328),"0")+IFERROR(IF(Z329="",0,Z329),"0")+IFERROR(IF(Z330="",0,Z330),"0")+IFERROR(IF(Z331="",0,Z331),"0")</f>
        <v>0.10824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50</v>
      </c>
      <c r="Y333" s="665">
        <f>IFERROR(SUM(Y328:Y331),"0")</f>
        <v>50.400000000000006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120</v>
      </c>
      <c r="Y343" s="664">
        <f>IFERROR(IF(X343="",0,CEILING((X343/$H343),1)*$H343),"")</f>
        <v>126</v>
      </c>
      <c r="Z343" s="36">
        <f>IFERROR(IF(Y343=0,"",ROUNDUP(Y343/H343,0)*0.01898),"")</f>
        <v>0.28470000000000001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127.41428571428571</v>
      </c>
      <c r="BN343" s="64">
        <f>IFERROR(Y343*I343/H343,"0")</f>
        <v>133.785</v>
      </c>
      <c r="BO343" s="64">
        <f>IFERROR(1/J343*(X343/H343),"0")</f>
        <v>0.2232142857142857</v>
      </c>
      <c r="BP343" s="64">
        <f>IFERROR(1/J343*(Y343/H343),"0")</f>
        <v>0.234375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80</v>
      </c>
      <c r="Y344" s="664">
        <f>IFERROR(IF(X344="",0,CEILING((X344/$H344),1)*$H344),"")</f>
        <v>85.8</v>
      </c>
      <c r="Z344" s="36">
        <f>IFERROR(IF(Y344=0,"",ROUNDUP(Y344/H344,0)*0.01898),"")</f>
        <v>0.20877999999999999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85.32307692307694</v>
      </c>
      <c r="BN344" s="64">
        <f>IFERROR(Y344*I344/H344,"0")</f>
        <v>91.509000000000015</v>
      </c>
      <c r="BO344" s="64">
        <f>IFERROR(1/J344*(X344/H344),"0")</f>
        <v>0.16025641025641027</v>
      </c>
      <c r="BP344" s="64">
        <f>IFERROR(1/J344*(Y344/H344),"0")</f>
        <v>0.171875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24.54212454212454</v>
      </c>
      <c r="Y346" s="665">
        <f>IFERROR(Y343/H343,"0")+IFERROR(Y344/H344,"0")+IFERROR(Y345/H345,"0")</f>
        <v>26</v>
      </c>
      <c r="Z346" s="665">
        <f>IFERROR(IF(Z343="",0,Z343),"0")+IFERROR(IF(Z344="",0,Z344),"0")+IFERROR(IF(Z345="",0,Z345),"0")</f>
        <v>0.49348000000000003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200</v>
      </c>
      <c r="Y347" s="665">
        <f>IFERROR(SUM(Y343:Y345),"0")</f>
        <v>211.8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2430</v>
      </c>
      <c r="Y375" s="664">
        <f t="shared" ref="Y375:Y384" si="58">IFERROR(IF(X375="",0,CEILING((X375/$H375),1)*$H375),"")</f>
        <v>2430</v>
      </c>
      <c r="Z375" s="36">
        <f>IFERROR(IF(Y375=0,"",ROUNDUP(Y375/H375,0)*0.02175),"")</f>
        <v>3.5234999999999999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2507.7600000000002</v>
      </c>
      <c r="BN375" s="64">
        <f t="shared" ref="BN375:BN384" si="60">IFERROR(Y375*I375/H375,"0")</f>
        <v>2507.7600000000002</v>
      </c>
      <c r="BO375" s="64">
        <f t="shared" ref="BO375:BO384" si="61">IFERROR(1/J375*(X375/H375),"0")</f>
        <v>3.375</v>
      </c>
      <c r="BP375" s="64">
        <f t="shared" ref="BP375:BP384" si="62">IFERROR(1/J375*(Y375/H375),"0")</f>
        <v>3.375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2500</v>
      </c>
      <c r="Y377" s="664">
        <f t="shared" si="58"/>
        <v>2505</v>
      </c>
      <c r="Z377" s="36">
        <f>IFERROR(IF(Y377=0,"",ROUNDUP(Y377/H377,0)*0.02175),"")</f>
        <v>3.6322499999999995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2580</v>
      </c>
      <c r="BN377" s="64">
        <f t="shared" si="60"/>
        <v>2585.1600000000003</v>
      </c>
      <c r="BO377" s="64">
        <f t="shared" si="61"/>
        <v>3.4722222222222219</v>
      </c>
      <c r="BP377" s="64">
        <f t="shared" si="62"/>
        <v>3.4791666666666665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4500</v>
      </c>
      <c r="Y379" s="664">
        <f t="shared" si="58"/>
        <v>4500</v>
      </c>
      <c r="Z379" s="36">
        <f>IFERROR(IF(Y379=0,"",ROUNDUP(Y379/H379,0)*0.02175),"")</f>
        <v>6.5249999999999995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4644</v>
      </c>
      <c r="BN379" s="64">
        <f t="shared" si="60"/>
        <v>4644</v>
      </c>
      <c r="BO379" s="64">
        <f t="shared" si="61"/>
        <v>6.25</v>
      </c>
      <c r="BP379" s="64">
        <f t="shared" si="62"/>
        <v>6.25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628.66666666666663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629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13.68075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9430</v>
      </c>
      <c r="Y386" s="665">
        <f>IFERROR(SUM(Y375:Y384),"0")</f>
        <v>9435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4000</v>
      </c>
      <c r="Y388" s="664">
        <f>IFERROR(IF(X388="",0,CEILING((X388/$H388),1)*$H388),"")</f>
        <v>4005</v>
      </c>
      <c r="Z388" s="36">
        <f>IFERROR(IF(Y388=0,"",ROUNDUP(Y388/H388,0)*0.02175),"")</f>
        <v>5.8072499999999998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4128</v>
      </c>
      <c r="BN388" s="64">
        <f>IFERROR(Y388*I388/H388,"0")</f>
        <v>4133.16</v>
      </c>
      <c r="BO388" s="64">
        <f>IFERROR(1/J388*(X388/H388),"0")</f>
        <v>5.5555555555555554</v>
      </c>
      <c r="BP388" s="64">
        <f>IFERROR(1/J388*(Y388/H388),"0")</f>
        <v>5.5625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266.66666666666669</v>
      </c>
      <c r="Y390" s="665">
        <f>IFERROR(Y388/H388,"0")+IFERROR(Y389/H389,"0")</f>
        <v>267</v>
      </c>
      <c r="Z390" s="665">
        <f>IFERROR(IF(Z388="",0,Z388),"0")+IFERROR(IF(Z389="",0,Z389),"0")</f>
        <v>5.8072499999999998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4000</v>
      </c>
      <c r="Y391" s="665">
        <f>IFERROR(SUM(Y388:Y389),"0")</f>
        <v>4005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130</v>
      </c>
      <c r="Y394" s="664">
        <f>IFERROR(IF(X394="",0,CEILING((X394/$H394),1)*$H394),"")</f>
        <v>135</v>
      </c>
      <c r="Z394" s="36">
        <f>IFERROR(IF(Y394=0,"",ROUNDUP(Y394/H394,0)*0.01898),"")</f>
        <v>0.28470000000000001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137.49666666666667</v>
      </c>
      <c r="BN394" s="64">
        <f>IFERROR(Y394*I394/H394,"0")</f>
        <v>142.785</v>
      </c>
      <c r="BO394" s="64">
        <f>IFERROR(1/J394*(X394/H394),"0")</f>
        <v>0.22569444444444445</v>
      </c>
      <c r="BP394" s="64">
        <f>IFERROR(1/J394*(Y394/H394),"0")</f>
        <v>0.234375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14.444444444444445</v>
      </c>
      <c r="Y395" s="665">
        <f>IFERROR(Y393/H393,"0")+IFERROR(Y394/H394,"0")</f>
        <v>15</v>
      </c>
      <c r="Z395" s="665">
        <f>IFERROR(IF(Z393="",0,Z393),"0")+IFERROR(IF(Z394="",0,Z394),"0")</f>
        <v>0.28470000000000001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130</v>
      </c>
      <c r="Y396" s="665">
        <f>IFERROR(SUM(Y393:Y394),"0")</f>
        <v>135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600</v>
      </c>
      <c r="Y398" s="664">
        <f>IFERROR(IF(X398="",0,CEILING((X398/$H398),1)*$H398),"")</f>
        <v>603</v>
      </c>
      <c r="Z398" s="36">
        <f>IFERROR(IF(Y398=0,"",ROUNDUP(Y398/H398,0)*0.01898),"")</f>
        <v>1.27166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634.59999999999991</v>
      </c>
      <c r="BN398" s="64">
        <f>IFERROR(Y398*I398/H398,"0")</f>
        <v>637.77300000000002</v>
      </c>
      <c r="BO398" s="64">
        <f>IFERROR(1/J398*(X398/H398),"0")</f>
        <v>1.0416666666666667</v>
      </c>
      <c r="BP398" s="64">
        <f>IFERROR(1/J398*(Y398/H398),"0")</f>
        <v>1.046875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66.666666666666671</v>
      </c>
      <c r="Y399" s="665">
        <f>IFERROR(Y398/H398,"0")</f>
        <v>67</v>
      </c>
      <c r="Z399" s="665">
        <f>IFERROR(IF(Z398="",0,Z398),"0")</f>
        <v>1.27166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600</v>
      </c>
      <c r="Y400" s="665">
        <f>IFERROR(SUM(Y398:Y398),"0")</f>
        <v>603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300</v>
      </c>
      <c r="Y483" s="664">
        <f t="shared" si="69"/>
        <v>300.96000000000004</v>
      </c>
      <c r="Z483" s="36">
        <f>IFERROR(IF(Y483=0,"",ROUNDUP(Y483/H483,0)*0.01196),"")</f>
        <v>0.68171999999999999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320.45454545454544</v>
      </c>
      <c r="BN483" s="64">
        <f t="shared" si="71"/>
        <v>321.48</v>
      </c>
      <c r="BO483" s="64">
        <f t="shared" si="72"/>
        <v>0.54632867132867136</v>
      </c>
      <c r="BP483" s="64">
        <f t="shared" si="73"/>
        <v>0.54807692307692313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56.818181818181813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57.000000000000007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0.68171999999999999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300</v>
      </c>
      <c r="Y496" s="665">
        <f>IFERROR(SUM(Y480:Y494),"0")</f>
        <v>300.96000000000004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200</v>
      </c>
      <c r="Y498" s="664">
        <f>IFERROR(IF(X498="",0,CEILING((X498/$H498),1)*$H498),"")</f>
        <v>200.64000000000001</v>
      </c>
      <c r="Z498" s="36">
        <f>IFERROR(IF(Y498=0,"",ROUNDUP(Y498/H498,0)*0.01196),"")</f>
        <v>0.45448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213.63636363636363</v>
      </c>
      <c r="BN498" s="64">
        <f>IFERROR(Y498*I498/H498,"0")</f>
        <v>214.32</v>
      </c>
      <c r="BO498" s="64">
        <f>IFERROR(1/J498*(X498/H498),"0")</f>
        <v>0.36421911421911418</v>
      </c>
      <c r="BP498" s="64">
        <f>IFERROR(1/J498*(Y498/H498),"0")</f>
        <v>0.36538461538461542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37.878787878787875</v>
      </c>
      <c r="Y502" s="665">
        <f>IFERROR(Y498/H498,"0")+IFERROR(Y499/H499,"0")+IFERROR(Y500/H500,"0")+IFERROR(Y501/H501,"0")</f>
        <v>38</v>
      </c>
      <c r="Z502" s="665">
        <f>IFERROR(IF(Z498="",0,Z498),"0")+IFERROR(IF(Z499="",0,Z499),"0")+IFERROR(IF(Z500="",0,Z500),"0")+IFERROR(IF(Z501="",0,Z501),"0")</f>
        <v>0.45448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200</v>
      </c>
      <c r="Y503" s="665">
        <f>IFERROR(SUM(Y498:Y501),"0")</f>
        <v>200.64000000000001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150</v>
      </c>
      <c r="Y505" s="664">
        <f t="shared" ref="Y505:Y516" si="74">IFERROR(IF(X505="",0,CEILING((X505/$H505),1)*$H505),"")</f>
        <v>153.12</v>
      </c>
      <c r="Z505" s="36">
        <f>IFERROR(IF(Y505=0,"",ROUNDUP(Y505/H505,0)*0.01196),"")</f>
        <v>0.34683999999999998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160.22727272727272</v>
      </c>
      <c r="BN505" s="64">
        <f t="shared" ref="BN505:BN516" si="76">IFERROR(Y505*I505/H505,"0")</f>
        <v>163.56</v>
      </c>
      <c r="BO505" s="64">
        <f t="shared" ref="BO505:BO516" si="77">IFERROR(1/J505*(X505/H505),"0")</f>
        <v>0.27316433566433568</v>
      </c>
      <c r="BP505" s="64">
        <f t="shared" ref="BP505:BP516" si="78">IFERROR(1/J505*(Y505/H505),"0")</f>
        <v>0.27884615384615385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50</v>
      </c>
      <c r="Y506" s="664">
        <f t="shared" si="74"/>
        <v>52.800000000000004</v>
      </c>
      <c r="Z506" s="36">
        <f>IFERROR(IF(Y506=0,"",ROUNDUP(Y506/H506,0)*0.01196),"")</f>
        <v>0.1196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53.409090909090907</v>
      </c>
      <c r="BN506" s="64">
        <f t="shared" si="76"/>
        <v>56.400000000000006</v>
      </c>
      <c r="BO506" s="64">
        <f t="shared" si="77"/>
        <v>9.1054778554778545E-2</v>
      </c>
      <c r="BP506" s="64">
        <f t="shared" si="78"/>
        <v>9.6153846153846159E-2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150</v>
      </c>
      <c r="Y507" s="664">
        <f t="shared" si="74"/>
        <v>153.12</v>
      </c>
      <c r="Z507" s="36">
        <f>IFERROR(IF(Y507=0,"",ROUNDUP(Y507/H507,0)*0.01196),"")</f>
        <v>0.34683999999999998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160.22727272727272</v>
      </c>
      <c r="BN507" s="64">
        <f t="shared" si="76"/>
        <v>163.56</v>
      </c>
      <c r="BO507" s="64">
        <f t="shared" si="77"/>
        <v>0.27316433566433568</v>
      </c>
      <c r="BP507" s="64">
        <f t="shared" si="78"/>
        <v>0.27884615384615385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66.287878787878782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68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0.81328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350</v>
      </c>
      <c r="Y518" s="665">
        <f>IFERROR(SUM(Y505:Y516),"0")</f>
        <v>359.04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50</v>
      </c>
      <c r="Y550" s="664">
        <f t="shared" ref="Y550:Y556" si="84">IFERROR(IF(X550="",0,CEILING((X550/$H550),1)*$H550),"")</f>
        <v>50.400000000000006</v>
      </c>
      <c r="Z550" s="36">
        <f>IFERROR(IF(Y550=0,"",ROUNDUP(Y550/H550,0)*0.00902),"")</f>
        <v>0.10824</v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53.214285714285715</v>
      </c>
      <c r="BN550" s="64">
        <f t="shared" ref="BN550:BN556" si="86">IFERROR(Y550*I550/H550,"0")</f>
        <v>53.64</v>
      </c>
      <c r="BO550" s="64">
        <f t="shared" ref="BO550:BO556" si="87">IFERROR(1/J550*(X550/H550),"0")</f>
        <v>9.0187590187590191E-2</v>
      </c>
      <c r="BP550" s="64">
        <f t="shared" ref="BP550:BP556" si="88">IFERROR(1/J550*(Y550/H550),"0")</f>
        <v>9.0909090909090912E-2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50</v>
      </c>
      <c r="Y551" s="664">
        <f t="shared" si="84"/>
        <v>50.400000000000006</v>
      </c>
      <c r="Z551" s="36">
        <f>IFERROR(IF(Y551=0,"",ROUNDUP(Y551/H551,0)*0.00902),"")</f>
        <v>0.10824</v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53.214285714285715</v>
      </c>
      <c r="BN551" s="64">
        <f t="shared" si="86"/>
        <v>53.64</v>
      </c>
      <c r="BO551" s="64">
        <f t="shared" si="87"/>
        <v>9.0187590187590191E-2</v>
      </c>
      <c r="BP551" s="64">
        <f t="shared" si="88"/>
        <v>9.0909090909090912E-2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23.80952380952381</v>
      </c>
      <c r="Y557" s="665">
        <f>IFERROR(Y550/H550,"0")+IFERROR(Y551/H551,"0")+IFERROR(Y552/H552,"0")+IFERROR(Y553/H553,"0")+IFERROR(Y554/H554,"0")+IFERROR(Y555/H555,"0")+IFERROR(Y556/H556,"0")</f>
        <v>24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0.21648000000000001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100</v>
      </c>
      <c r="Y558" s="665">
        <f>IFERROR(SUM(Y550:Y556),"0")</f>
        <v>100.80000000000001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17252.400000000001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17313.84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17971.950667807287</v>
      </c>
      <c r="Y592" s="665">
        <f>IFERROR(SUM(BN22:BN588),"0")</f>
        <v>18036.564000000002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27</v>
      </c>
      <c r="Y593" s="38">
        <f>ROUNDUP(SUM(BP22:BP588),0)</f>
        <v>27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18646.950667807287</v>
      </c>
      <c r="Y594" s="665">
        <f>GrossWeightTotalR+PalletQtyTotalR*25</f>
        <v>18711.564000000002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1829.1044223975257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1838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28.518280000000001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100.80000000000001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1811.4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262.2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14178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860.64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100.80000000000001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2025-04-17T08:10:46Z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