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0CE4B48F-1425-4565-B01E-1A255DAC63A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BP498" i="1"/>
  <c r="BO498" i="1"/>
  <c r="BN498" i="1"/>
  <c r="BM498" i="1"/>
  <c r="Z498" i="1"/>
  <c r="Z502" i="1" s="1"/>
  <c r="Y498" i="1"/>
  <c r="Y503" i="1" s="1"/>
  <c r="P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1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1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Y243" i="1" s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Y128" i="1" s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1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Y102" i="1" s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1" i="1" s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2" i="1" s="1"/>
  <c r="Z22" i="1"/>
  <c r="Y22" i="1"/>
  <c r="P22" i="1"/>
  <c r="H10" i="1"/>
  <c r="F10" i="1"/>
  <c r="J9" i="1"/>
  <c r="F9" i="1"/>
  <c r="A9" i="1"/>
  <c r="A10" i="1" s="1"/>
  <c r="D7" i="1"/>
  <c r="Q6" i="1"/>
  <c r="P2" i="1"/>
  <c r="Y29" i="1" l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Y161" i="1"/>
  <c r="BP175" i="1"/>
  <c r="BN175" i="1"/>
  <c r="Z175" i="1"/>
  <c r="Z183" i="1" s="1"/>
  <c r="BP180" i="1"/>
  <c r="BN180" i="1"/>
  <c r="Z180" i="1"/>
  <c r="BP202" i="1"/>
  <c r="BN202" i="1"/>
  <c r="Z202" i="1"/>
  <c r="Z209" i="1" s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8" i="1" s="1"/>
  <c r="BP235" i="1"/>
  <c r="BN235" i="1"/>
  <c r="Z235" i="1"/>
  <c r="BP257" i="1"/>
  <c r="BN257" i="1"/>
  <c r="Z257" i="1"/>
  <c r="Y261" i="1"/>
  <c r="BP271" i="1"/>
  <c r="BN271" i="1"/>
  <c r="Z271" i="1"/>
  <c r="Z273" i="1" s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B601" i="1"/>
  <c r="X593" i="1"/>
  <c r="X594" i="1" s="1"/>
  <c r="Z23" i="1"/>
  <c r="Z28" i="1" s="1"/>
  <c r="BN23" i="1"/>
  <c r="Y592" i="1" s="1"/>
  <c r="Z24" i="1"/>
  <c r="BN24" i="1"/>
  <c r="Z25" i="1"/>
  <c r="BN25" i="1"/>
  <c r="Z27" i="1"/>
  <c r="BN27" i="1"/>
  <c r="Y28" i="1"/>
  <c r="X591" i="1"/>
  <c r="Z31" i="1"/>
  <c r="Z32" i="1" s="1"/>
  <c r="BN31" i="1"/>
  <c r="BP31" i="1"/>
  <c r="Y593" i="1" s="1"/>
  <c r="Z37" i="1"/>
  <c r="Z41" i="1" s="1"/>
  <c r="BN37" i="1"/>
  <c r="BP37" i="1"/>
  <c r="Z39" i="1"/>
  <c r="BN39" i="1"/>
  <c r="Y42" i="1"/>
  <c r="D601" i="1"/>
  <c r="Z50" i="1"/>
  <c r="Z55" i="1" s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Z68" i="1" s="1"/>
  <c r="BN66" i="1"/>
  <c r="Z72" i="1"/>
  <c r="Z77" i="1" s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4" i="1"/>
  <c r="Z102" i="1" s="1"/>
  <c r="BN94" i="1"/>
  <c r="Z99" i="1"/>
  <c r="BN99" i="1"/>
  <c r="Z101" i="1"/>
  <c r="BN101" i="1"/>
  <c r="Z106" i="1"/>
  <c r="Z110" i="1" s="1"/>
  <c r="BN106" i="1"/>
  <c r="BP106" i="1"/>
  <c r="Z108" i="1"/>
  <c r="BN108" i="1"/>
  <c r="Y111" i="1"/>
  <c r="Z114" i="1"/>
  <c r="Z116" i="1" s="1"/>
  <c r="BN114" i="1"/>
  <c r="Z119" i="1"/>
  <c r="Z128" i="1" s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Z139" i="1" s="1"/>
  <c r="BN138" i="1"/>
  <c r="Y139" i="1"/>
  <c r="Z142" i="1"/>
  <c r="Z144" i="1" s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Z261" i="1" s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Z340" i="1" s="1"/>
  <c r="Y340" i="1"/>
  <c r="Z346" i="1"/>
  <c r="BP344" i="1"/>
  <c r="BN344" i="1"/>
  <c r="Z344" i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Z495" i="1" s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Z353" i="1" s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Z528" i="1" s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Z523" i="1" s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Y594" i="1" l="1"/>
  <c r="Z385" i="1"/>
  <c r="Z221" i="1"/>
  <c r="Z161" i="1"/>
  <c r="Z565" i="1"/>
  <c r="Z547" i="1"/>
  <c r="Z517" i="1"/>
  <c r="Z442" i="1"/>
  <c r="Z332" i="1"/>
  <c r="Z83" i="1"/>
  <c r="Z596" i="1" s="1"/>
  <c r="Y595" i="1"/>
  <c r="Z408" i="1"/>
  <c r="Z370" i="1"/>
  <c r="Y591" i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<sst xmlns="http://schemas.openxmlformats.org/spreadsheetml/2006/main" count="2720" uniqueCount="975">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</sst>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85" zoomScaleNormal="100" zoomScaleSheetLayoutView="100" workbookViewId="0">
      <selection activeCell="Z603" sqref="Z603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45759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4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19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21</v>
      </c>
      <c r="Q10" s="855"/>
      <c r="R10" s="856"/>
      <c r="U10" s="24" t="s">
        <v>22</v>
      </c>
      <c r="V10" s="706" t="s">
        <v>23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98"/>
      <c r="R11" s="799"/>
      <c r="U11" s="24" t="s">
        <v>26</v>
      </c>
      <c r="V11" s="965" t="s">
        <v>27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28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29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30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31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32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33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35</v>
      </c>
      <c r="B17" s="702" t="s">
        <v>36</v>
      </c>
      <c r="C17" s="819" t="s">
        <v>37</v>
      </c>
      <c r="D17" s="702" t="s">
        <v>38</v>
      </c>
      <c r="E17" s="771"/>
      <c r="F17" s="702" t="s">
        <v>39</v>
      </c>
      <c r="G17" s="702" t="s">
        <v>40</v>
      </c>
      <c r="H17" s="702" t="s">
        <v>41</v>
      </c>
      <c r="I17" s="702" t="s">
        <v>42</v>
      </c>
      <c r="J17" s="702" t="s">
        <v>43</v>
      </c>
      <c r="K17" s="702" t="s">
        <v>44</v>
      </c>
      <c r="L17" s="702" t="s">
        <v>45</v>
      </c>
      <c r="M17" s="702" t="s">
        <v>46</v>
      </c>
      <c r="N17" s="702" t="s">
        <v>47</v>
      </c>
      <c r="O17" s="702" t="s">
        <v>48</v>
      </c>
      <c r="P17" s="702" t="s">
        <v>49</v>
      </c>
      <c r="Q17" s="770"/>
      <c r="R17" s="770"/>
      <c r="S17" s="770"/>
      <c r="T17" s="771"/>
      <c r="U17" s="1036" t="s">
        <v>50</v>
      </c>
      <c r="V17" s="802"/>
      <c r="W17" s="702" t="s">
        <v>51</v>
      </c>
      <c r="X17" s="702" t="s">
        <v>52</v>
      </c>
      <c r="Y17" s="1037" t="s">
        <v>53</v>
      </c>
      <c r="Z17" s="940" t="s">
        <v>54</v>
      </c>
      <c r="AA17" s="915" t="s">
        <v>55</v>
      </c>
      <c r="AB17" s="915" t="s">
        <v>56</v>
      </c>
      <c r="AC17" s="915" t="s">
        <v>57</v>
      </c>
      <c r="AD17" s="915" t="s">
        <v>58</v>
      </c>
      <c r="AE17" s="996"/>
      <c r="AF17" s="997"/>
      <c r="AG17" s="66"/>
      <c r="BD17" s="65" t="s">
        <v>59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60</v>
      </c>
      <c r="V18" s="67" t="s">
        <v>61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62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63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0"/>
      <c r="R24" s="670"/>
      <c r="S24" s="670"/>
      <c r="T24" s="671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2" t="s">
        <v>79</v>
      </c>
      <c r="Q25" s="670"/>
      <c r="R25" s="670"/>
      <c r="S25" s="670"/>
      <c r="T25" s="671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89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96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97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68</v>
      </c>
      <c r="X37" s="663">
        <v>172.8</v>
      </c>
      <c r="Y37" s="664">
        <f>IFERROR(IF(X37="",0,CEILING((X37/$H37),1)*$H37),"")</f>
        <v>172.8</v>
      </c>
      <c r="Z37" s="36">
        <f>IFERROR(IF(Y37=0,"",ROUNDUP(Y37/H37,0)*0.01898),"")</f>
        <v>0.30368000000000001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179.76</v>
      </c>
      <c r="BN37" s="64">
        <f>IFERROR(Y37*I37/H37,"0")</f>
        <v>179.76</v>
      </c>
      <c r="BO37" s="64">
        <f>IFERROR(1/J37*(X37/H37),"0")</f>
        <v>0.25</v>
      </c>
      <c r="BP37" s="64">
        <f>IFERROR(1/J37*(Y37/H37),"0")</f>
        <v>0.25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16</v>
      </c>
      <c r="Y41" s="665">
        <f>IFERROR(Y37/H37,"0")+IFERROR(Y38/H38,"0")+IFERROR(Y39/H39,"0")+IFERROR(Y40/H40,"0")</f>
        <v>16</v>
      </c>
      <c r="Z41" s="665">
        <f>IFERROR(IF(Z37="",0,Z37),"0")+IFERROR(IF(Z38="",0,Z38),"0")+IFERROR(IF(Z39="",0,Z39),"0")+IFERROR(IF(Z40="",0,Z40),"0")</f>
        <v>0.30368000000000001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172.8</v>
      </c>
      <c r="Y42" s="665">
        <f>IFERROR(SUM(Y37:Y40),"0")</f>
        <v>172.8</v>
      </c>
      <c r="Z42" s="37"/>
      <c r="AA42" s="666"/>
      <c r="AB42" s="666"/>
      <c r="AC42" s="666"/>
    </row>
    <row r="43" spans="1:68" ht="14.25" customHeight="1" x14ac:dyDescent="0.25">
      <c r="A43" s="679" t="s">
        <v>63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115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customHeight="1" x14ac:dyDescent="0.25">
      <c r="A57" s="679" t="s">
        <v>133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customHeight="1" x14ac:dyDescent="0.25">
      <c r="A64" s="679" t="s">
        <v>144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63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170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68</v>
      </c>
      <c r="X81" s="663">
        <v>62.4</v>
      </c>
      <c r="Y81" s="664">
        <f>IFERROR(IF(X81="",0,CEILING((X81/$H81),1)*$H81),"")</f>
        <v>62.4</v>
      </c>
      <c r="Z81" s="36">
        <f>IFERROR(IF(Y81=0,"",ROUNDUP(Y81/H81,0)*0.01898),"")</f>
        <v>0.15184</v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65.88</v>
      </c>
      <c r="BN81" s="64">
        <f>IFERROR(Y81*I81/H81,"0")</f>
        <v>65.88</v>
      </c>
      <c r="BO81" s="64">
        <f>IFERROR(1/J81*(X81/H81),"0")</f>
        <v>0.125</v>
      </c>
      <c r="BP81" s="64">
        <f>IFERROR(1/J81*(Y81/H81),"0")</f>
        <v>0.125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8</v>
      </c>
      <c r="Y83" s="665">
        <f>IFERROR(Y80/H80,"0")+IFERROR(Y81/H81,"0")+IFERROR(Y82/H82,"0")</f>
        <v>8</v>
      </c>
      <c r="Z83" s="665">
        <f>IFERROR(IF(Z80="",0,Z80),"0")+IFERROR(IF(Z81="",0,Z81),"0")+IFERROR(IF(Z82="",0,Z82),"0")</f>
        <v>0.15184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62.4</v>
      </c>
      <c r="Y84" s="665">
        <f>IFERROR(SUM(Y80:Y82),"0")</f>
        <v>62.4</v>
      </c>
      <c r="Z84" s="37"/>
      <c r="AA84" s="666"/>
      <c r="AB84" s="666"/>
      <c r="AC84" s="666"/>
    </row>
    <row r="85" spans="1:68" ht="16.5" customHeight="1" x14ac:dyDescent="0.25">
      <c r="A85" s="716" t="s">
        <v>178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97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customHeight="1" x14ac:dyDescent="0.25">
      <c r="A92" s="679" t="s">
        <v>63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17" t="s">
        <v>189</v>
      </c>
      <c r="Q93" s="670"/>
      <c r="R93" s="670"/>
      <c r="S93" s="670"/>
      <c r="T93" s="671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6" t="s">
        <v>196</v>
      </c>
      <c r="Q96" s="670"/>
      <c r="R96" s="670"/>
      <c r="S96" s="670"/>
      <c r="T96" s="671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6" t="s">
        <v>200</v>
      </c>
      <c r="Q97" s="670"/>
      <c r="R97" s="670"/>
      <c r="S97" s="670"/>
      <c r="T97" s="671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3" t="s">
        <v>202</v>
      </c>
      <c r="Q98" s="670"/>
      <c r="R98" s="670"/>
      <c r="S98" s="670"/>
      <c r="T98" s="671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6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customHeight="1" x14ac:dyDescent="0.25">
      <c r="A104" s="716" t="s">
        <v>209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97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68</v>
      </c>
      <c r="X106" s="663">
        <v>86.4</v>
      </c>
      <c r="Y106" s="664">
        <f>IFERROR(IF(X106="",0,CEILING((X106/$H106),1)*$H106),"")</f>
        <v>86.4</v>
      </c>
      <c r="Z106" s="36">
        <f>IFERROR(IF(Y106=0,"",ROUNDUP(Y106/H106,0)*0.01898),"")</f>
        <v>0.15184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89.88</v>
      </c>
      <c r="BN106" s="64">
        <f>IFERROR(Y106*I106/H106,"0")</f>
        <v>89.88</v>
      </c>
      <c r="BO106" s="64">
        <f>IFERROR(1/J106*(X106/H106),"0")</f>
        <v>0.125</v>
      </c>
      <c r="BP106" s="64">
        <f>IFERROR(1/J106*(Y106/H106),"0")</f>
        <v>0.125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8</v>
      </c>
      <c r="Y110" s="665">
        <f>IFERROR(Y106/H106,"0")+IFERROR(Y107/H107,"0")+IFERROR(Y108/H108,"0")+IFERROR(Y109/H109,"0")</f>
        <v>8</v>
      </c>
      <c r="Z110" s="665">
        <f>IFERROR(IF(Z106="",0,Z106),"0")+IFERROR(IF(Z107="",0,Z107),"0")+IFERROR(IF(Z108="",0,Z108),"0")+IFERROR(IF(Z109="",0,Z109),"0")</f>
        <v>0.15184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86.4</v>
      </c>
      <c r="Y111" s="665">
        <f>IFERROR(SUM(Y106:Y109),"0")</f>
        <v>86.4</v>
      </c>
      <c r="Z111" s="37"/>
      <c r="AA111" s="666"/>
      <c r="AB111" s="666"/>
      <c r="AC111" s="666"/>
    </row>
    <row r="112" spans="1:68" ht="14.25" customHeight="1" x14ac:dyDescent="0.25">
      <c r="A112" s="679" t="s">
        <v>133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63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3" t="s">
        <v>228</v>
      </c>
      <c r="Q119" s="670"/>
      <c r="R119" s="670"/>
      <c r="S119" s="670"/>
      <c r="T119" s="671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7">
        <v>4607091385168</v>
      </c>
      <c r="E120" s="668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0"/>
      <c r="R120" s="670"/>
      <c r="S120" s="670"/>
      <c r="T120" s="671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7">
        <v>4607091385168</v>
      </c>
      <c r="E121" s="668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0"/>
      <c r="R121" s="670"/>
      <c r="S121" s="670"/>
      <c r="T121" s="671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2" t="s">
        <v>236</v>
      </c>
      <c r="Q122" s="670"/>
      <c r="R122" s="670"/>
      <c r="S122" s="670"/>
      <c r="T122" s="671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9" t="s">
        <v>240</v>
      </c>
      <c r="Q124" s="670"/>
      <c r="R124" s="670"/>
      <c r="S124" s="670"/>
      <c r="T124" s="671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0</v>
      </c>
      <c r="Y128" s="665">
        <f>IFERROR(Y119/H119,"0")+IFERROR(Y120/H120,"0")+IFERROR(Y121/H121,"0")+IFERROR(Y122/H122,"0")+IFERROR(Y123/H123,"0")+IFERROR(Y124/H124,"0")+IFERROR(Y125/H125,"0")+IFERROR(Y126/H126,"0")+IFERROR(Y127/H127,"0")</f>
        <v>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0</v>
      </c>
      <c r="Y129" s="665">
        <f>IFERROR(SUM(Y119:Y127),"0")</f>
        <v>0</v>
      </c>
      <c r="Z129" s="37"/>
      <c r="AA129" s="666"/>
      <c r="AB129" s="666"/>
      <c r="AC129" s="666"/>
    </row>
    <row r="130" spans="1:68" ht="14.25" customHeight="1" x14ac:dyDescent="0.25">
      <c r="A130" s="679" t="s">
        <v>170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254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97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0"/>
      <c r="R137" s="670"/>
      <c r="S137" s="670"/>
      <c r="T137" s="671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0"/>
      <c r="R138" s="670"/>
      <c r="S138" s="670"/>
      <c r="T138" s="671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144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63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95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97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144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63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284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133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144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68</v>
      </c>
      <c r="X176" s="663">
        <v>50.400000000000013</v>
      </c>
      <c r="Y176" s="664">
        <f t="shared" si="27"/>
        <v>50.400000000000006</v>
      </c>
      <c r="Z176" s="36">
        <f>IFERROR(IF(Y176=0,"",ROUNDUP(Y176/H176,0)*0.00902),"")</f>
        <v>0.10824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52.920000000000016</v>
      </c>
      <c r="BN176" s="64">
        <f t="shared" si="29"/>
        <v>52.920000000000009</v>
      </c>
      <c r="BO176" s="64">
        <f t="shared" si="30"/>
        <v>9.0909090909090925E-2</v>
      </c>
      <c r="BP176" s="64">
        <f t="shared" si="31"/>
        <v>9.0909090909090912E-2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68</v>
      </c>
      <c r="X177" s="663">
        <v>37.799999999999997</v>
      </c>
      <c r="Y177" s="664">
        <f t="shared" si="27"/>
        <v>37.800000000000004</v>
      </c>
      <c r="Z177" s="36">
        <f>IFERROR(IF(Y177=0,"",ROUNDUP(Y177/H177,0)*0.00502),"")</f>
        <v>9.0359999999999996E-2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40.139999999999993</v>
      </c>
      <c r="BN177" s="64">
        <f t="shared" si="29"/>
        <v>40.14</v>
      </c>
      <c r="BO177" s="64">
        <f t="shared" si="30"/>
        <v>7.6923076923076913E-2</v>
      </c>
      <c r="BP177" s="64">
        <f t="shared" si="31"/>
        <v>7.6923076923076927E-2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5" t="s">
        <v>303</v>
      </c>
      <c r="Q179" s="670"/>
      <c r="R179" s="670"/>
      <c r="S179" s="670"/>
      <c r="T179" s="671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30</v>
      </c>
      <c r="Y183" s="665">
        <f>IFERROR(Y174/H174,"0")+IFERROR(Y175/H175,"0")+IFERROR(Y176/H176,"0")+IFERROR(Y177/H177,"0")+IFERROR(Y178/H178,"0")+IFERROR(Y179/H179,"0")+IFERROR(Y180/H180,"0")+IFERROR(Y181/H181,"0")+IFERROR(Y182/H182,"0")</f>
        <v>30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0.1986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88.200000000000017</v>
      </c>
      <c r="Y184" s="665">
        <f>IFERROR(SUM(Y174:Y182),"0")</f>
        <v>88.200000000000017</v>
      </c>
      <c r="Z184" s="37"/>
      <c r="AA184" s="666"/>
      <c r="AB184" s="666"/>
      <c r="AC184" s="666"/>
    </row>
    <row r="185" spans="1:68" ht="14.25" customHeight="1" x14ac:dyDescent="0.25">
      <c r="A185" s="679" t="s">
        <v>89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4" t="s">
        <v>316</v>
      </c>
      <c r="Q186" s="670"/>
      <c r="R186" s="670"/>
      <c r="S186" s="670"/>
      <c r="T186" s="671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319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97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133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144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68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customHeight="1" x14ac:dyDescent="0.25">
      <c r="A211" s="679" t="s">
        <v>63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68</v>
      </c>
      <c r="X214" s="663">
        <v>69.599999999999994</v>
      </c>
      <c r="Y214" s="664">
        <f t="shared" si="37"/>
        <v>69.599999999999994</v>
      </c>
      <c r="Z214" s="36">
        <f>IFERROR(IF(Y214=0,"",ROUNDUP(Y214/H214,0)*0.01898),"")</f>
        <v>0.15184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73.751999999999995</v>
      </c>
      <c r="BN214" s="64">
        <f t="shared" si="39"/>
        <v>73.751999999999995</v>
      </c>
      <c r="BO214" s="64">
        <f t="shared" si="40"/>
        <v>0.125</v>
      </c>
      <c r="BP214" s="64">
        <f t="shared" si="41"/>
        <v>0.125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68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68</v>
      </c>
      <c r="X217" s="663">
        <v>0</v>
      </c>
      <c r="Y217" s="664">
        <f t="shared" si="37"/>
        <v>0</v>
      </c>
      <c r="Z217" s="36" t="str">
        <f t="shared" si="42"/>
        <v/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68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8</v>
      </c>
      <c r="Y221" s="665">
        <f>IFERROR(Y212/H212,"0")+IFERROR(Y213/H213,"0")+IFERROR(Y214/H214,"0")+IFERROR(Y215/H215,"0")+IFERROR(Y216/H216,"0")+IFERROR(Y217/H217,"0")+IFERROR(Y218/H218,"0")+IFERROR(Y219/H219,"0")+IFERROR(Y220/H220,"0")</f>
        <v>8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0.15184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69.599999999999994</v>
      </c>
      <c r="Y222" s="665">
        <f>IFERROR(SUM(Y212:Y220),"0")</f>
        <v>69.599999999999994</v>
      </c>
      <c r="Z222" s="37"/>
      <c r="AA222" s="666"/>
      <c r="AB222" s="666"/>
      <c r="AC222" s="666"/>
    </row>
    <row r="223" spans="1:68" ht="14.25" customHeight="1" x14ac:dyDescent="0.25">
      <c r="A223" s="679" t="s">
        <v>170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customHeight="1" x14ac:dyDescent="0.25">
      <c r="A228" s="716" t="s">
        <v>380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97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133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402</v>
      </c>
      <c r="Q241" s="670"/>
      <c r="R241" s="670"/>
      <c r="S241" s="670"/>
      <c r="T241" s="671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405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4" t="s">
        <v>408</v>
      </c>
      <c r="Q246" s="670"/>
      <c r="R246" s="670"/>
      <c r="S246" s="670"/>
      <c r="T246" s="671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410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75" t="s">
        <v>413</v>
      </c>
      <c r="Q250" s="670"/>
      <c r="R250" s="670"/>
      <c r="S250" s="670"/>
      <c r="T250" s="671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415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97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433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97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437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97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446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63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customHeight="1" x14ac:dyDescent="0.25">
      <c r="A284" s="716" t="s">
        <v>460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97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144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63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470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63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474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97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144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482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97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487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97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144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63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170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68</v>
      </c>
      <c r="X343" s="663">
        <v>67.2</v>
      </c>
      <c r="Y343" s="664">
        <f>IFERROR(IF(X343="",0,CEILING((X343/$H343),1)*$H343),"")</f>
        <v>67.2</v>
      </c>
      <c r="Z343" s="36">
        <f>IFERROR(IF(Y343=0,"",ROUNDUP(Y343/H343,0)*0.01898),"")</f>
        <v>0.15184</v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71.352000000000004</v>
      </c>
      <c r="BN343" s="64">
        <f>IFERROR(Y343*I343/H343,"0")</f>
        <v>71.352000000000004</v>
      </c>
      <c r="BO343" s="64">
        <f>IFERROR(1/J343*(X343/H343),"0")</f>
        <v>0.125</v>
      </c>
      <c r="BP343" s="64">
        <f>IFERROR(1/J343*(Y343/H343),"0")</f>
        <v>0.125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68</v>
      </c>
      <c r="X344" s="663">
        <v>62.4</v>
      </c>
      <c r="Y344" s="664">
        <f>IFERROR(IF(X344="",0,CEILING((X344/$H344),1)*$H344),"")</f>
        <v>62.4</v>
      </c>
      <c r="Z344" s="36">
        <f>IFERROR(IF(Y344=0,"",ROUNDUP(Y344/H344,0)*0.01898),"")</f>
        <v>0.15184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66.552000000000007</v>
      </c>
      <c r="BN344" s="64">
        <f>IFERROR(Y344*I344/H344,"0")</f>
        <v>66.552000000000007</v>
      </c>
      <c r="BO344" s="64">
        <f>IFERROR(1/J344*(X344/H344),"0")</f>
        <v>0.125</v>
      </c>
      <c r="BP344" s="64">
        <f>IFERROR(1/J344*(Y344/H344),"0")</f>
        <v>0.125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16</v>
      </c>
      <c r="Y346" s="665">
        <f>IFERROR(Y343/H343,"0")+IFERROR(Y344/H344,"0")+IFERROR(Y345/H345,"0")</f>
        <v>16</v>
      </c>
      <c r="Z346" s="665">
        <f>IFERROR(IF(Z343="",0,Z343),"0")+IFERROR(IF(Z344="",0,Z344),"0")+IFERROR(IF(Z345="",0,Z345),"0")</f>
        <v>0.30368000000000001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129.6</v>
      </c>
      <c r="Y347" s="665">
        <f>IFERROR(SUM(Y343:Y345),"0")</f>
        <v>129.6</v>
      </c>
      <c r="Z347" s="37"/>
      <c r="AA347" s="666"/>
      <c r="AB347" s="666"/>
      <c r="AC347" s="666"/>
    </row>
    <row r="348" spans="1:68" ht="14.25" customHeight="1" x14ac:dyDescent="0.25">
      <c r="A348" s="679" t="s">
        <v>89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87" t="s">
        <v>545</v>
      </c>
      <c r="Q350" s="670"/>
      <c r="R350" s="670"/>
      <c r="S350" s="670"/>
      <c r="T350" s="671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552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561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144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63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575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97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68</v>
      </c>
      <c r="X375" s="663">
        <v>120</v>
      </c>
      <c r="Y375" s="664">
        <f t="shared" ref="Y375:Y384" si="58">IFERROR(IF(X375="",0,CEILING((X375/$H375),1)*$H375),"")</f>
        <v>120</v>
      </c>
      <c r="Z375" s="36">
        <f>IFERROR(IF(Y375=0,"",ROUNDUP(Y375/H375,0)*0.02175),"")</f>
        <v>0.17399999999999999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123.84</v>
      </c>
      <c r="BN375" s="64">
        <f t="shared" ref="BN375:BN384" si="60">IFERROR(Y375*I375/H375,"0")</f>
        <v>123.84</v>
      </c>
      <c r="BO375" s="64">
        <f t="shared" ref="BO375:BO384" si="61">IFERROR(1/J375*(X375/H375),"0")</f>
        <v>0.16666666666666666</v>
      </c>
      <c r="BP375" s="64">
        <f t="shared" ref="BP375:BP384" si="62">IFERROR(1/J375*(Y375/H375),"0")</f>
        <v>0.16666666666666666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68</v>
      </c>
      <c r="X379" s="663">
        <v>240</v>
      </c>
      <c r="Y379" s="664">
        <f t="shared" si="58"/>
        <v>240</v>
      </c>
      <c r="Z379" s="36">
        <f>IFERROR(IF(Y379=0,"",ROUNDUP(Y379/H379,0)*0.02175),"")</f>
        <v>0.34799999999999998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247.68</v>
      </c>
      <c r="BN379" s="64">
        <f t="shared" si="60"/>
        <v>247.68</v>
      </c>
      <c r="BO379" s="64">
        <f t="shared" si="61"/>
        <v>0.33333333333333331</v>
      </c>
      <c r="BP379" s="64">
        <f t="shared" si="62"/>
        <v>0.33333333333333331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24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24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0.52200000000000002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360</v>
      </c>
      <c r="Y386" s="665">
        <f>IFERROR(SUM(Y375:Y384),"0")</f>
        <v>360</v>
      </c>
      <c r="Z386" s="37"/>
      <c r="AA386" s="666"/>
      <c r="AB386" s="666"/>
      <c r="AC386" s="666"/>
    </row>
    <row r="387" spans="1:68" ht="14.25" customHeight="1" x14ac:dyDescent="0.25">
      <c r="A387" s="679" t="s">
        <v>133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68</v>
      </c>
      <c r="X388" s="663">
        <v>360</v>
      </c>
      <c r="Y388" s="664">
        <f>IFERROR(IF(X388="",0,CEILING((X388/$H388),1)*$H388),"")</f>
        <v>360</v>
      </c>
      <c r="Z388" s="36">
        <f>IFERROR(IF(Y388=0,"",ROUNDUP(Y388/H388,0)*0.02175),"")</f>
        <v>0.52200000000000002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371.52000000000004</v>
      </c>
      <c r="BN388" s="64">
        <f>IFERROR(Y388*I388/H388,"0")</f>
        <v>371.52000000000004</v>
      </c>
      <c r="BO388" s="64">
        <f>IFERROR(1/J388*(X388/H388),"0")</f>
        <v>0.5</v>
      </c>
      <c r="BP388" s="64">
        <f>IFERROR(1/J388*(Y388/H388),"0")</f>
        <v>0.5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24</v>
      </c>
      <c r="Y390" s="665">
        <f>IFERROR(Y388/H388,"0")+IFERROR(Y389/H389,"0")</f>
        <v>24</v>
      </c>
      <c r="Z390" s="665">
        <f>IFERROR(IF(Z388="",0,Z388),"0")+IFERROR(IF(Z389="",0,Z389),"0")</f>
        <v>0.52200000000000002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360</v>
      </c>
      <c r="Y391" s="665">
        <f>IFERROR(SUM(Y388:Y389),"0")</f>
        <v>360</v>
      </c>
      <c r="Z391" s="37"/>
      <c r="AA391" s="666"/>
      <c r="AB391" s="666"/>
      <c r="AC391" s="666"/>
    </row>
    <row r="392" spans="1:68" ht="14.25" customHeight="1" x14ac:dyDescent="0.25">
      <c r="A392" s="679" t="s">
        <v>63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606</v>
      </c>
      <c r="Q393" s="670"/>
      <c r="R393" s="670"/>
      <c r="S393" s="670"/>
      <c r="T393" s="671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2" t="s">
        <v>610</v>
      </c>
      <c r="Q394" s="670"/>
      <c r="R394" s="670"/>
      <c r="S394" s="670"/>
      <c r="T394" s="671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170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49" t="s">
        <v>614</v>
      </c>
      <c r="Q398" s="670"/>
      <c r="R398" s="670"/>
      <c r="S398" s="670"/>
      <c r="T398" s="671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customHeight="1" x14ac:dyDescent="0.25">
      <c r="A401" s="716" t="s">
        <v>616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97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68</v>
      </c>
      <c r="X405" s="663">
        <v>259.2</v>
      </c>
      <c r="Y405" s="664">
        <f>IFERROR(IF(X405="",0,CEILING((X405/$H405),1)*$H405),"")</f>
        <v>259.20000000000005</v>
      </c>
      <c r="Z405" s="36">
        <f>IFERROR(IF(Y405=0,"",ROUNDUP(Y405/H405,0)*0.01898),"")</f>
        <v>0.45552000000000004</v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269.63999999999993</v>
      </c>
      <c r="BN405" s="64">
        <f>IFERROR(Y405*I405/H405,"0")</f>
        <v>269.64000000000004</v>
      </c>
      <c r="BO405" s="64">
        <f>IFERROR(1/J405*(X405/H405),"0")</f>
        <v>0.37499999999999994</v>
      </c>
      <c r="BP405" s="64">
        <f>IFERROR(1/J405*(Y405/H405),"0")</f>
        <v>0.37500000000000006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23.999999999999996</v>
      </c>
      <c r="Y408" s="665">
        <f>IFERROR(Y403/H403,"0")+IFERROR(Y404/H404,"0")+IFERROR(Y405/H405,"0")+IFERROR(Y406/H406,"0")+IFERROR(Y407/H407,"0")</f>
        <v>24.000000000000004</v>
      </c>
      <c r="Z408" s="665">
        <f>IFERROR(IF(Z403="",0,Z403),"0")+IFERROR(IF(Z404="",0,Z404),"0")+IFERROR(IF(Z405="",0,Z405),"0")+IFERROR(IF(Z406="",0,Z406),"0")+IFERROR(IF(Z407="",0,Z407),"0")</f>
        <v>0.45552000000000004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259.2</v>
      </c>
      <c r="Y409" s="665">
        <f>IFERROR(SUM(Y403:Y407),"0")</f>
        <v>259.20000000000005</v>
      </c>
      <c r="Z409" s="37"/>
      <c r="AA409" s="666"/>
      <c r="AB409" s="666"/>
      <c r="AC409" s="666"/>
    </row>
    <row r="410" spans="1:68" ht="14.25" customHeight="1" x14ac:dyDescent="0.25">
      <c r="A410" s="679" t="s">
        <v>144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63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68</v>
      </c>
      <c r="X416" s="663">
        <v>144</v>
      </c>
      <c r="Y416" s="664">
        <f>IFERROR(IF(X416="",0,CEILING((X416/$H416),1)*$H416),"")</f>
        <v>144</v>
      </c>
      <c r="Z416" s="36">
        <f>IFERROR(IF(Y416=0,"",ROUNDUP(Y416/H416,0)*0.01898),"")</f>
        <v>0.30368000000000001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152.304</v>
      </c>
      <c r="BN416" s="64">
        <f>IFERROR(Y416*I416/H416,"0")</f>
        <v>152.304</v>
      </c>
      <c r="BO416" s="64">
        <f>IFERROR(1/J416*(X416/H416),"0")</f>
        <v>0.25</v>
      </c>
      <c r="BP416" s="64">
        <f>IFERROR(1/J416*(Y416/H416),"0")</f>
        <v>0.25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5" t="s">
        <v>639</v>
      </c>
      <c r="Q417" s="670"/>
      <c r="R417" s="670"/>
      <c r="S417" s="670"/>
      <c r="T417" s="671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68</v>
      </c>
      <c r="X419" s="663">
        <v>33.6</v>
      </c>
      <c r="Y419" s="664">
        <f>IFERROR(IF(X419="",0,CEILING((X419/$H419),1)*$H419),"")</f>
        <v>33.6</v>
      </c>
      <c r="Z419" s="36">
        <f>IFERROR(IF(Y419=0,"",ROUNDUP(Y419/H419,0)*0.00651),"")</f>
        <v>9.1139999999999999E-2</v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37.296000000000006</v>
      </c>
      <c r="BN419" s="64">
        <f>IFERROR(Y419*I419/H419,"0")</f>
        <v>37.296000000000006</v>
      </c>
      <c r="BO419" s="64">
        <f>IFERROR(1/J419*(X419/H419),"0")</f>
        <v>7.6923076923076941E-2</v>
      </c>
      <c r="BP419" s="64">
        <f>IFERROR(1/J419*(Y419/H419),"0")</f>
        <v>7.6923076923076941E-2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30</v>
      </c>
      <c r="Y421" s="665">
        <f>IFERROR(Y416/H416,"0")+IFERROR(Y417/H417,"0")+IFERROR(Y418/H418,"0")+IFERROR(Y419/H419,"0")+IFERROR(Y420/H420,"0")</f>
        <v>30</v>
      </c>
      <c r="Z421" s="665">
        <f>IFERROR(IF(Z416="",0,Z416),"0")+IFERROR(IF(Z417="",0,Z417),"0")+IFERROR(IF(Z418="",0,Z418),"0")+IFERROR(IF(Z419="",0,Z419),"0")+IFERROR(IF(Z420="",0,Z420),"0")</f>
        <v>0.39482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177.6</v>
      </c>
      <c r="Y422" s="665">
        <f>IFERROR(SUM(Y416:Y420),"0")</f>
        <v>177.6</v>
      </c>
      <c r="Z422" s="37"/>
      <c r="AA422" s="666"/>
      <c r="AB422" s="666"/>
      <c r="AC422" s="666"/>
    </row>
    <row r="423" spans="1:68" ht="14.25" customHeight="1" x14ac:dyDescent="0.25">
      <c r="A423" s="679" t="s">
        <v>170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6" t="s">
        <v>650</v>
      </c>
      <c r="Q424" s="670"/>
      <c r="R424" s="670"/>
      <c r="S424" s="670"/>
      <c r="T424" s="671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653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144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3" t="s">
        <v>656</v>
      </c>
      <c r="Q430" s="670"/>
      <c r="R430" s="670"/>
      <c r="S430" s="670"/>
      <c r="T430" s="671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18" t="s">
        <v>660</v>
      </c>
      <c r="Q431" s="670"/>
      <c r="R431" s="670"/>
      <c r="S431" s="670"/>
      <c r="T431" s="671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699" t="s">
        <v>660</v>
      </c>
      <c r="Q432" s="670"/>
      <c r="R432" s="670"/>
      <c r="S432" s="670"/>
      <c r="T432" s="671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6" t="s">
        <v>665</v>
      </c>
      <c r="Q433" s="670"/>
      <c r="R433" s="670"/>
      <c r="S433" s="670"/>
      <c r="T433" s="671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1" t="s">
        <v>670</v>
      </c>
      <c r="Q435" s="670"/>
      <c r="R435" s="670"/>
      <c r="S435" s="670"/>
      <c r="T435" s="671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5" t="s">
        <v>680</v>
      </c>
      <c r="Q439" s="670"/>
      <c r="R439" s="670"/>
      <c r="S439" s="670"/>
      <c r="T439" s="671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79" t="s">
        <v>63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692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133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144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0" t="s">
        <v>701</v>
      </c>
      <c r="Q456" s="670"/>
      <c r="R456" s="670"/>
      <c r="S456" s="670"/>
      <c r="T456" s="671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28" t="s">
        <v>708</v>
      </c>
      <c r="Q458" s="670"/>
      <c r="R458" s="670"/>
      <c r="S458" s="670"/>
      <c r="T458" s="671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6" t="s">
        <v>712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144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0" t="s">
        <v>718</v>
      </c>
      <c r="Q465" s="670"/>
      <c r="R465" s="670"/>
      <c r="S465" s="670"/>
      <c r="T465" s="671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720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144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170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727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97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68</v>
      </c>
      <c r="X482" s="663">
        <v>84.48</v>
      </c>
      <c r="Y482" s="664">
        <f t="shared" si="69"/>
        <v>84.48</v>
      </c>
      <c r="Z482" s="36">
        <f>IFERROR(IF(Y482=0,"",ROUNDUP(Y482/H482,0)*0.01196),"")</f>
        <v>0.19136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90.24</v>
      </c>
      <c r="BN482" s="64">
        <f t="shared" si="71"/>
        <v>90.24</v>
      </c>
      <c r="BO482" s="64">
        <f t="shared" si="72"/>
        <v>0.15384615384615385</v>
      </c>
      <c r="BP482" s="64">
        <f t="shared" si="73"/>
        <v>0.15384615384615385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68</v>
      </c>
      <c r="X483" s="663">
        <v>84.48</v>
      </c>
      <c r="Y483" s="664">
        <f t="shared" si="69"/>
        <v>84.48</v>
      </c>
      <c r="Z483" s="36">
        <f>IFERROR(IF(Y483=0,"",ROUNDUP(Y483/H483,0)*0.01196),"")</f>
        <v>0.19136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90.24</v>
      </c>
      <c r="BN483" s="64">
        <f t="shared" si="71"/>
        <v>90.24</v>
      </c>
      <c r="BO483" s="64">
        <f t="shared" si="72"/>
        <v>0.15384615384615385</v>
      </c>
      <c r="BP483" s="64">
        <f t="shared" si="73"/>
        <v>0.15384615384615385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17" t="s">
        <v>745</v>
      </c>
      <c r="Q485" s="670"/>
      <c r="R485" s="670"/>
      <c r="S485" s="670"/>
      <c r="T485" s="671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60" t="s">
        <v>753</v>
      </c>
      <c r="Q489" s="670"/>
      <c r="R489" s="670"/>
      <c r="S489" s="670"/>
      <c r="T489" s="671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0"/>
      <c r="R490" s="670"/>
      <c r="S490" s="670"/>
      <c r="T490" s="671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6" t="s">
        <v>760</v>
      </c>
      <c r="Q491" s="670"/>
      <c r="R491" s="670"/>
      <c r="S491" s="670"/>
      <c r="T491" s="671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32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32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0.38272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168.96</v>
      </c>
      <c r="Y496" s="665">
        <f>IFERROR(SUM(Y480:Y494),"0")</f>
        <v>168.96</v>
      </c>
      <c r="Z496" s="37"/>
      <c r="AA496" s="666"/>
      <c r="AB496" s="666"/>
      <c r="AC496" s="666"/>
    </row>
    <row r="497" spans="1:68" ht="14.25" customHeight="1" x14ac:dyDescent="0.25">
      <c r="A497" s="679" t="s">
        <v>133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68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25" t="s">
        <v>770</v>
      </c>
      <c r="Q499" s="670"/>
      <c r="R499" s="670"/>
      <c r="S499" s="670"/>
      <c r="T499" s="671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2" t="s">
        <v>774</v>
      </c>
      <c r="Q500" s="670"/>
      <c r="R500" s="670"/>
      <c r="S500" s="670"/>
      <c r="T500" s="671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43" t="s">
        <v>777</v>
      </c>
      <c r="Q501" s="670"/>
      <c r="R501" s="670"/>
      <c r="S501" s="670"/>
      <c r="T501" s="671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customHeight="1" x14ac:dyDescent="0.25">
      <c r="A504" s="679" t="s">
        <v>144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3" t="s">
        <v>780</v>
      </c>
      <c r="Q505" s="670"/>
      <c r="R505" s="670"/>
      <c r="S505" s="670"/>
      <c r="T505" s="671"/>
      <c r="U505" s="34"/>
      <c r="V505" s="34"/>
      <c r="W505" s="35" t="s">
        <v>68</v>
      </c>
      <c r="X505" s="663">
        <v>42.24</v>
      </c>
      <c r="Y505" s="664">
        <f t="shared" ref="Y505:Y516" si="74">IFERROR(IF(X505="",0,CEILING((X505/$H505),1)*$H505),"")</f>
        <v>42.24</v>
      </c>
      <c r="Z505" s="36">
        <f>IFERROR(IF(Y505=0,"",ROUNDUP(Y505/H505,0)*0.01196),"")</f>
        <v>9.5680000000000001E-2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45.12</v>
      </c>
      <c r="BN505" s="64">
        <f t="shared" ref="BN505:BN516" si="76">IFERROR(Y505*I505/H505,"0")</f>
        <v>45.12</v>
      </c>
      <c r="BO505" s="64">
        <f t="shared" ref="BO505:BO516" si="77">IFERROR(1/J505*(X505/H505),"0")</f>
        <v>7.6923076923076927E-2</v>
      </c>
      <c r="BP505" s="64">
        <f t="shared" ref="BP505:BP516" si="78">IFERROR(1/J505*(Y505/H505),"0")</f>
        <v>7.6923076923076927E-2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96" t="s">
        <v>784</v>
      </c>
      <c r="Q506" s="670"/>
      <c r="R506" s="670"/>
      <c r="S506" s="670"/>
      <c r="T506" s="671"/>
      <c r="U506" s="34"/>
      <c r="V506" s="34"/>
      <c r="W506" s="35" t="s">
        <v>68</v>
      </c>
      <c r="X506" s="663">
        <v>42.24</v>
      </c>
      <c r="Y506" s="664">
        <f t="shared" si="74"/>
        <v>42.24</v>
      </c>
      <c r="Z506" s="36">
        <f>IFERROR(IF(Y506=0,"",ROUNDUP(Y506/H506,0)*0.01196),"")</f>
        <v>9.5680000000000001E-2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45.12</v>
      </c>
      <c r="BN506" s="64">
        <f t="shared" si="76"/>
        <v>45.12</v>
      </c>
      <c r="BO506" s="64">
        <f t="shared" si="77"/>
        <v>7.6923076923076927E-2</v>
      </c>
      <c r="BP506" s="64">
        <f t="shared" si="78"/>
        <v>7.6923076923076927E-2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4" t="s">
        <v>788</v>
      </c>
      <c r="Q507" s="670"/>
      <c r="R507" s="670"/>
      <c r="S507" s="670"/>
      <c r="T507" s="671"/>
      <c r="U507" s="34"/>
      <c r="V507" s="34"/>
      <c r="W507" s="35" t="s">
        <v>68</v>
      </c>
      <c r="X507" s="663">
        <v>42.24</v>
      </c>
      <c r="Y507" s="664">
        <f t="shared" si="74"/>
        <v>42.24</v>
      </c>
      <c r="Z507" s="36">
        <f>IFERROR(IF(Y507=0,"",ROUNDUP(Y507/H507,0)*0.01196),"")</f>
        <v>9.5680000000000001E-2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45.12</v>
      </c>
      <c r="BN507" s="64">
        <f t="shared" si="76"/>
        <v>45.12</v>
      </c>
      <c r="BO507" s="64">
        <f t="shared" si="77"/>
        <v>7.6923076923076927E-2</v>
      </c>
      <c r="BP507" s="64">
        <f t="shared" si="78"/>
        <v>7.6923076923076927E-2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0" t="s">
        <v>792</v>
      </c>
      <c r="Q508" s="670"/>
      <c r="R508" s="670"/>
      <c r="S508" s="670"/>
      <c r="T508" s="671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29" t="s">
        <v>797</v>
      </c>
      <c r="Q510" s="670"/>
      <c r="R510" s="670"/>
      <c r="S510" s="670"/>
      <c r="T510" s="671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67">
        <v>4680115882102</v>
      </c>
      <c r="E512" s="668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1" t="s">
        <v>802</v>
      </c>
      <c r="Q512" s="670"/>
      <c r="R512" s="670"/>
      <c r="S512" s="670"/>
      <c r="T512" s="671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67">
        <v>4680115882102</v>
      </c>
      <c r="E513" s="668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0"/>
      <c r="R513" s="670"/>
      <c r="S513" s="670"/>
      <c r="T513" s="671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9" t="s">
        <v>807</v>
      </c>
      <c r="Q514" s="670"/>
      <c r="R514" s="670"/>
      <c r="S514" s="670"/>
      <c r="T514" s="671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0"/>
      <c r="R515" s="670"/>
      <c r="S515" s="670"/>
      <c r="T515" s="671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24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24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0.28704000000000002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126.72</v>
      </c>
      <c r="Y518" s="665">
        <f>IFERROR(SUM(Y505:Y516),"0")</f>
        <v>126.72</v>
      </c>
      <c r="Z518" s="37"/>
      <c r="AA518" s="666"/>
      <c r="AB518" s="666"/>
      <c r="AC518" s="666"/>
    </row>
    <row r="519" spans="1:68" ht="14.25" customHeight="1" x14ac:dyDescent="0.25">
      <c r="A519" s="679" t="s">
        <v>63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170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42" t="s">
        <v>825</v>
      </c>
      <c r="Q527" s="670"/>
      <c r="R527" s="670"/>
      <c r="S527" s="670"/>
      <c r="T527" s="671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826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97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97" t="s">
        <v>829</v>
      </c>
      <c r="Q533" s="670"/>
      <c r="R533" s="670"/>
      <c r="S533" s="670"/>
      <c r="T533" s="671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5" t="s">
        <v>833</v>
      </c>
      <c r="Q534" s="670"/>
      <c r="R534" s="670"/>
      <c r="S534" s="670"/>
      <c r="T534" s="671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3" t="s">
        <v>837</v>
      </c>
      <c r="Q535" s="670"/>
      <c r="R535" s="670"/>
      <c r="S535" s="670"/>
      <c r="T535" s="671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49" t="s">
        <v>841</v>
      </c>
      <c r="Q536" s="670"/>
      <c r="R536" s="670"/>
      <c r="S536" s="670"/>
      <c r="T536" s="671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59" t="s">
        <v>845</v>
      </c>
      <c r="Q537" s="670"/>
      <c r="R537" s="670"/>
      <c r="S537" s="670"/>
      <c r="T537" s="671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87" t="s">
        <v>848</v>
      </c>
      <c r="Q538" s="670"/>
      <c r="R538" s="670"/>
      <c r="S538" s="670"/>
      <c r="T538" s="671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133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6" t="s">
        <v>851</v>
      </c>
      <c r="Q542" s="670"/>
      <c r="R542" s="670"/>
      <c r="S542" s="670"/>
      <c r="T542" s="671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64" t="s">
        <v>854</v>
      </c>
      <c r="Q543" s="670"/>
      <c r="R543" s="670"/>
      <c r="S543" s="670"/>
      <c r="T543" s="671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0" t="s">
        <v>858</v>
      </c>
      <c r="Q544" s="670"/>
      <c r="R544" s="670"/>
      <c r="S544" s="670"/>
      <c r="T544" s="671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2" t="s">
        <v>861</v>
      </c>
      <c r="Q545" s="670"/>
      <c r="R545" s="670"/>
      <c r="S545" s="670"/>
      <c r="T545" s="671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786" t="s">
        <v>865</v>
      </c>
      <c r="Q546" s="670"/>
      <c r="R546" s="670"/>
      <c r="S546" s="670"/>
      <c r="T546" s="671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144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4" t="s">
        <v>868</v>
      </c>
      <c r="Q550" s="670"/>
      <c r="R550" s="670"/>
      <c r="S550" s="670"/>
      <c r="T550" s="671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5" t="s">
        <v>872</v>
      </c>
      <c r="Q551" s="670"/>
      <c r="R551" s="670"/>
      <c r="S551" s="670"/>
      <c r="T551" s="671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711" t="s">
        <v>876</v>
      </c>
      <c r="Q552" s="670"/>
      <c r="R552" s="670"/>
      <c r="S552" s="670"/>
      <c r="T552" s="671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70"/>
      <c r="R553" s="670"/>
      <c r="S553" s="670"/>
      <c r="T553" s="671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0" t="s">
        <v>884</v>
      </c>
      <c r="Q554" s="670"/>
      <c r="R554" s="670"/>
      <c r="S554" s="670"/>
      <c r="T554" s="671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0" t="s">
        <v>888</v>
      </c>
      <c r="Q555" s="670"/>
      <c r="R555" s="670"/>
      <c r="S555" s="670"/>
      <c r="T555" s="671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4" t="s">
        <v>891</v>
      </c>
      <c r="Q556" s="670"/>
      <c r="R556" s="670"/>
      <c r="S556" s="670"/>
      <c r="T556" s="671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63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67" t="s">
        <v>894</v>
      </c>
      <c r="Q560" s="670"/>
      <c r="R560" s="670"/>
      <c r="S560" s="670"/>
      <c r="T560" s="671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1" t="s">
        <v>894</v>
      </c>
      <c r="Q561" s="670"/>
      <c r="R561" s="670"/>
      <c r="S561" s="670"/>
      <c r="T561" s="671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88" t="s">
        <v>899</v>
      </c>
      <c r="Q562" s="670"/>
      <c r="R562" s="670"/>
      <c r="S562" s="670"/>
      <c r="T562" s="671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29" t="s">
        <v>903</v>
      </c>
      <c r="Q563" s="670"/>
      <c r="R563" s="670"/>
      <c r="S563" s="670"/>
      <c r="T563" s="671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906</v>
      </c>
      <c r="Q564" s="670"/>
      <c r="R564" s="670"/>
      <c r="S564" s="670"/>
      <c r="T564" s="671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170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0" t="s">
        <v>909</v>
      </c>
      <c r="Q568" s="670"/>
      <c r="R568" s="670"/>
      <c r="S568" s="670"/>
      <c r="T568" s="671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48" t="s">
        <v>912</v>
      </c>
      <c r="Q569" s="670"/>
      <c r="R569" s="670"/>
      <c r="S569" s="670"/>
      <c r="T569" s="671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3" t="s">
        <v>915</v>
      </c>
      <c r="Q570" s="670"/>
      <c r="R570" s="670"/>
      <c r="S570" s="670"/>
      <c r="T570" s="671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7" t="s">
        <v>918</v>
      </c>
      <c r="Q571" s="670"/>
      <c r="R571" s="670"/>
      <c r="S571" s="670"/>
      <c r="T571" s="671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919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97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79" t="s">
        <v>922</v>
      </c>
      <c r="Q576" s="670"/>
      <c r="R576" s="670"/>
      <c r="S576" s="670"/>
      <c r="T576" s="671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133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58" t="s">
        <v>926</v>
      </c>
      <c r="Q580" s="670"/>
      <c r="R580" s="670"/>
      <c r="S580" s="670"/>
      <c r="T580" s="671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144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781" t="s">
        <v>930</v>
      </c>
      <c r="Q584" s="670"/>
      <c r="R584" s="670"/>
      <c r="S584" s="670"/>
      <c r="T584" s="671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63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84" t="s">
        <v>934</v>
      </c>
      <c r="Q588" s="670"/>
      <c r="R588" s="670"/>
      <c r="S588" s="670"/>
      <c r="T588" s="671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936</v>
      </c>
      <c r="Q591" s="801"/>
      <c r="R591" s="801"/>
      <c r="S591" s="801"/>
      <c r="T591" s="801"/>
      <c r="U591" s="801"/>
      <c r="V591" s="802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2061.48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2061.48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937</v>
      </c>
      <c r="Q592" s="801"/>
      <c r="R592" s="801"/>
      <c r="S592" s="801"/>
      <c r="T592" s="801"/>
      <c r="U592" s="801"/>
      <c r="V592" s="802"/>
      <c r="W592" s="37" t="s">
        <v>68</v>
      </c>
      <c r="X592" s="665">
        <f>IFERROR(SUM(BM22:BM588),"0")</f>
        <v>2158.3559999999998</v>
      </c>
      <c r="Y592" s="665">
        <f>IFERROR(SUM(BN22:BN588),"0")</f>
        <v>2158.3560000000002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938</v>
      </c>
      <c r="Q593" s="801"/>
      <c r="R593" s="801"/>
      <c r="S593" s="801"/>
      <c r="T593" s="801"/>
      <c r="U593" s="801"/>
      <c r="V593" s="802"/>
      <c r="W593" s="37" t="s">
        <v>939</v>
      </c>
      <c r="X593" s="38">
        <f>ROUNDUP(SUM(BO22:BO588),0)</f>
        <v>4</v>
      </c>
      <c r="Y593" s="38">
        <f>ROUNDUP(SUM(BP22:BP588),0)</f>
        <v>4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940</v>
      </c>
      <c r="Q594" s="801"/>
      <c r="R594" s="801"/>
      <c r="S594" s="801"/>
      <c r="T594" s="801"/>
      <c r="U594" s="801"/>
      <c r="V594" s="802"/>
      <c r="W594" s="37" t="s">
        <v>68</v>
      </c>
      <c r="X594" s="665">
        <f>GrossWeightTotal+PalletQtyTotal*25</f>
        <v>2258.3559999999998</v>
      </c>
      <c r="Y594" s="665">
        <f>GrossWeightTotalR+PalletQtyTotalR*25</f>
        <v>2258.3560000000002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941</v>
      </c>
      <c r="Q595" s="801"/>
      <c r="R595" s="801"/>
      <c r="S595" s="801"/>
      <c r="T595" s="801"/>
      <c r="U595" s="801"/>
      <c r="V595" s="802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244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244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942</v>
      </c>
      <c r="Q596" s="801"/>
      <c r="R596" s="801"/>
      <c r="S596" s="801"/>
      <c r="T596" s="801"/>
      <c r="U596" s="801"/>
      <c r="V596" s="802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3.8255800000000004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86" t="s">
        <v>95</v>
      </c>
      <c r="D598" s="779"/>
      <c r="E598" s="779"/>
      <c r="F598" s="779"/>
      <c r="G598" s="779"/>
      <c r="H598" s="780"/>
      <c r="I598" s="686" t="s">
        <v>283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574</v>
      </c>
      <c r="X598" s="780"/>
      <c r="Y598" s="686" t="s">
        <v>652</v>
      </c>
      <c r="Z598" s="779"/>
      <c r="AA598" s="779"/>
      <c r="AB598" s="780"/>
      <c r="AC598" s="660" t="s">
        <v>727</v>
      </c>
      <c r="AD598" s="686" t="s">
        <v>826</v>
      </c>
      <c r="AE598" s="780"/>
      <c r="AF598" s="661"/>
    </row>
    <row r="599" spans="1:32" ht="14.25" customHeight="1" thickTop="1" x14ac:dyDescent="0.2">
      <c r="A599" s="828" t="s">
        <v>945</v>
      </c>
      <c r="B599" s="686" t="s">
        <v>62</v>
      </c>
      <c r="C599" s="686" t="s">
        <v>96</v>
      </c>
      <c r="D599" s="686" t="s">
        <v>115</v>
      </c>
      <c r="E599" s="686" t="s">
        <v>178</v>
      </c>
      <c r="F599" s="686" t="s">
        <v>209</v>
      </c>
      <c r="G599" s="686" t="s">
        <v>254</v>
      </c>
      <c r="H599" s="686" t="s">
        <v>95</v>
      </c>
      <c r="I599" s="686" t="s">
        <v>284</v>
      </c>
      <c r="J599" s="686" t="s">
        <v>319</v>
      </c>
      <c r="K599" s="686" t="s">
        <v>380</v>
      </c>
      <c r="L599" s="686" t="s">
        <v>415</v>
      </c>
      <c r="M599" s="686" t="s">
        <v>433</v>
      </c>
      <c r="N599" s="661"/>
      <c r="O599" s="686" t="s">
        <v>437</v>
      </c>
      <c r="P599" s="686" t="s">
        <v>446</v>
      </c>
      <c r="Q599" s="686" t="s">
        <v>460</v>
      </c>
      <c r="R599" s="686" t="s">
        <v>470</v>
      </c>
      <c r="S599" s="686" t="s">
        <v>474</v>
      </c>
      <c r="T599" s="686" t="s">
        <v>482</v>
      </c>
      <c r="U599" s="686" t="s">
        <v>487</v>
      </c>
      <c r="V599" s="686" t="s">
        <v>561</v>
      </c>
      <c r="W599" s="686" t="s">
        <v>575</v>
      </c>
      <c r="X599" s="686" t="s">
        <v>616</v>
      </c>
      <c r="Y599" s="686" t="s">
        <v>653</v>
      </c>
      <c r="Z599" s="686" t="s">
        <v>692</v>
      </c>
      <c r="AA599" s="686" t="s">
        <v>712</v>
      </c>
      <c r="AB599" s="686" t="s">
        <v>720</v>
      </c>
      <c r="AC599" s="686" t="s">
        <v>727</v>
      </c>
      <c r="AD599" s="686" t="s">
        <v>826</v>
      </c>
      <c r="AE599" s="686" t="s">
        <v>919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172.8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62.4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86.4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88.200000000000017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69.599999999999994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129.6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720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436.80000000000007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295.68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2025-04-10T07:16:38Z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