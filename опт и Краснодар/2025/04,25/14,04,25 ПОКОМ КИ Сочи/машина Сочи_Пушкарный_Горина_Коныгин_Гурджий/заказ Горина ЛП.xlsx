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02D9E3A3-DF17-4C7A-8EB9-BB25A858EF8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P514" i="1"/>
  <c r="BO513" i="1"/>
  <c r="BM513" i="1"/>
  <c r="Y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Y443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Y300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4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Y187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4" i="1" s="1"/>
  <c r="P174" i="1"/>
  <c r="X172" i="1"/>
  <c r="X171" i="1"/>
  <c r="BO170" i="1"/>
  <c r="BM170" i="1"/>
  <c r="Y170" i="1"/>
  <c r="I601" i="1" s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3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X592" i="1" s="1"/>
  <c r="Z22" i="1"/>
  <c r="Y22" i="1"/>
  <c r="P22" i="1"/>
  <c r="H10" i="1"/>
  <c r="A9" i="1"/>
  <c r="F10" i="1" s="1"/>
  <c r="D7" i="1"/>
  <c r="Q6" i="1"/>
  <c r="P2" i="1"/>
  <c r="H9" i="1" l="1"/>
  <c r="A10" i="1"/>
  <c r="B601" i="1"/>
  <c r="X593" i="1"/>
  <c r="X594" i="1" s="1"/>
  <c r="Z23" i="1"/>
  <c r="Z28" i="1" s="1"/>
  <c r="BN23" i="1"/>
  <c r="BP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32" i="1"/>
  <c r="Z37" i="1"/>
  <c r="Z41" i="1" s="1"/>
  <c r="BN37" i="1"/>
  <c r="BP37" i="1"/>
  <c r="Z39" i="1"/>
  <c r="BN39" i="1"/>
  <c r="Y42" i="1"/>
  <c r="Y591" i="1" s="1"/>
  <c r="D601" i="1"/>
  <c r="Z50" i="1"/>
  <c r="Z55" i="1" s="1"/>
  <c r="BN50" i="1"/>
  <c r="Z52" i="1"/>
  <c r="BN52" i="1"/>
  <c r="Y55" i="1"/>
  <c r="Y63" i="1"/>
  <c r="Y69" i="1"/>
  <c r="Y77" i="1"/>
  <c r="Y83" i="1"/>
  <c r="Y90" i="1"/>
  <c r="Y102" i="1"/>
  <c r="Y111" i="1"/>
  <c r="Y117" i="1"/>
  <c r="Y128" i="1"/>
  <c r="Y134" i="1"/>
  <c r="Y139" i="1"/>
  <c r="Y145" i="1"/>
  <c r="Y149" i="1"/>
  <c r="Y162" i="1"/>
  <c r="Y166" i="1"/>
  <c r="Y172" i="1"/>
  <c r="Y183" i="1"/>
  <c r="Y188" i="1"/>
  <c r="Y193" i="1"/>
  <c r="Y199" i="1"/>
  <c r="Y209" i="1"/>
  <c r="Y221" i="1"/>
  <c r="Y227" i="1"/>
  <c r="Y238" i="1"/>
  <c r="Y243" i="1"/>
  <c r="Y248" i="1"/>
  <c r="Y262" i="1"/>
  <c r="Y267" i="1"/>
  <c r="Y274" i="1"/>
  <c r="Y283" i="1"/>
  <c r="Y288" i="1"/>
  <c r="Y292" i="1"/>
  <c r="Y296" i="1"/>
  <c r="Y301" i="1"/>
  <c r="Y306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R601" i="1"/>
  <c r="F9" i="1"/>
  <c r="J9" i="1"/>
  <c r="Y41" i="1"/>
  <c r="Z53" i="1"/>
  <c r="BN53" i="1"/>
  <c r="Y592" i="1" s="1"/>
  <c r="Y56" i="1"/>
  <c r="Z59" i="1"/>
  <c r="Z62" i="1" s="1"/>
  <c r="BN59" i="1"/>
  <c r="Z61" i="1"/>
  <c r="BN61" i="1"/>
  <c r="Z65" i="1"/>
  <c r="Z68" i="1" s="1"/>
  <c r="BN65" i="1"/>
  <c r="BP65" i="1"/>
  <c r="Y593" i="1" s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1" i="1"/>
  <c r="Z88" i="1"/>
  <c r="Z90" i="1" s="1"/>
  <c r="BN88" i="1"/>
  <c r="Y91" i="1"/>
  <c r="Z94" i="1"/>
  <c r="Z102" i="1" s="1"/>
  <c r="BN94" i="1"/>
  <c r="Z95" i="1"/>
  <c r="BN95" i="1"/>
  <c r="Z96" i="1"/>
  <c r="BN96" i="1"/>
  <c r="Z97" i="1"/>
  <c r="BN97" i="1"/>
  <c r="Z98" i="1"/>
  <c r="BN98" i="1"/>
  <c r="Z100" i="1"/>
  <c r="BN100" i="1"/>
  <c r="F601" i="1"/>
  <c r="Z107" i="1"/>
  <c r="Z110" i="1" s="1"/>
  <c r="BN107" i="1"/>
  <c r="Z109" i="1"/>
  <c r="BN109" i="1"/>
  <c r="Y110" i="1"/>
  <c r="Z113" i="1"/>
  <c r="Z116" i="1" s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Z133" i="1" s="1"/>
  <c r="BN132" i="1"/>
  <c r="Z137" i="1"/>
  <c r="Z139" i="1" s="1"/>
  <c r="BN137" i="1"/>
  <c r="BP137" i="1"/>
  <c r="Y140" i="1"/>
  <c r="Z143" i="1"/>
  <c r="Z144" i="1" s="1"/>
  <c r="BN143" i="1"/>
  <c r="Z147" i="1"/>
  <c r="Z149" i="1" s="1"/>
  <c r="BN147" i="1"/>
  <c r="BP147" i="1"/>
  <c r="H601" i="1"/>
  <c r="Y155" i="1"/>
  <c r="Z158" i="1"/>
  <c r="Z161" i="1" s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Z174" i="1"/>
  <c r="Z183" i="1" s="1"/>
  <c r="BN174" i="1"/>
  <c r="BP174" i="1"/>
  <c r="Z176" i="1"/>
  <c r="BN176" i="1"/>
  <c r="Z178" i="1"/>
  <c r="BN178" i="1"/>
  <c r="Z179" i="1"/>
  <c r="BN179" i="1"/>
  <c r="Z181" i="1"/>
  <c r="BN181" i="1"/>
  <c r="Z186" i="1"/>
  <c r="Z187" i="1" s="1"/>
  <c r="BN186" i="1"/>
  <c r="BP186" i="1"/>
  <c r="Z191" i="1"/>
  <c r="Z193" i="1" s="1"/>
  <c r="BN191" i="1"/>
  <c r="BP191" i="1"/>
  <c r="Y194" i="1"/>
  <c r="Z197" i="1"/>
  <c r="Z198" i="1" s="1"/>
  <c r="BN197" i="1"/>
  <c r="Z201" i="1"/>
  <c r="Z209" i="1" s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1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Z304" i="1"/>
  <c r="Z305" i="1" s="1"/>
  <c r="BN304" i="1"/>
  <c r="BP304" i="1"/>
  <c r="Y305" i="1"/>
  <c r="Z308" i="1"/>
  <c r="Z310" i="1" s="1"/>
  <c r="BN308" i="1"/>
  <c r="BP308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BP336" i="1"/>
  <c r="BN336" i="1"/>
  <c r="Z336" i="1"/>
  <c r="Z340" i="1" s="1"/>
  <c r="Y340" i="1"/>
  <c r="Z346" i="1"/>
  <c r="BP344" i="1"/>
  <c r="BN344" i="1"/>
  <c r="Z344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Z460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2" i="1"/>
  <c r="BN512" i="1"/>
  <c r="Z512" i="1"/>
  <c r="BP516" i="1"/>
  <c r="BN516" i="1"/>
  <c r="Z516" i="1"/>
  <c r="Z601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547" i="1"/>
  <c r="Z517" i="1"/>
  <c r="Z408" i="1"/>
  <c r="Z282" i="1"/>
  <c r="Z273" i="1"/>
  <c r="Z238" i="1"/>
  <c r="Z128" i="1"/>
  <c r="Z77" i="1"/>
  <c r="Z596" i="1" s="1"/>
  <c r="Z421" i="1"/>
  <c r="Z565" i="1"/>
  <c r="Z442" i="1"/>
  <c r="Z385" i="1"/>
  <c r="Z359" i="1"/>
  <c r="Z353" i="1"/>
  <c r="Y595" i="1"/>
</calcChain>
</file>

<file path=xl/sharedStrings.xml><?xml version="1.0" encoding="utf-8"?>
<sst xmlns="http://schemas.openxmlformats.org/spreadsheetml/2006/main" count="2732" uniqueCount="967">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</sst>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1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30</v>
      </c>
      <c r="Y37" s="664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31.208333333333329</v>
      </c>
      <c r="BN37" s="64">
        <f>IFERROR(Y37*I37/H37,"0")</f>
        <v>33.705000000000005</v>
      </c>
      <c r="BO37" s="64">
        <f>IFERROR(1/J37*(X37/H37),"0")</f>
        <v>4.3402777777777776E-2</v>
      </c>
      <c r="BP37" s="64">
        <f>IFERROR(1/J37*(Y37/H37),"0")</f>
        <v>4.6875000000000007E-2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2.7777777777777777</v>
      </c>
      <c r="Y41" s="665">
        <f>IFERROR(Y37/H37,"0")+IFERROR(Y38/H38,"0")+IFERROR(Y39/H39,"0")+IFERROR(Y40/H40,"0")</f>
        <v>3.0000000000000004</v>
      </c>
      <c r="Z41" s="665">
        <f>IFERROR(IF(Z37="",0,Z37),"0")+IFERROR(IF(Z38="",0,Z38),"0")+IFERROR(IF(Z39="",0,Z39),"0")+IFERROR(IF(Z40="",0,Z40),"0")</f>
        <v>5.6940000000000004E-2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30</v>
      </c>
      <c r="Y42" s="665">
        <f>IFERROR(SUM(Y37:Y40),"0")</f>
        <v>32.400000000000006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200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13.5</v>
      </c>
      <c r="Y54" s="664">
        <f t="shared" si="6"/>
        <v>13.5</v>
      </c>
      <c r="Z54" s="36">
        <f>IFERROR(IF(Y54=0,"",ROUNDUP(Y54/H54,0)*0.00902),"")</f>
        <v>2.7060000000000001E-2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14.13</v>
      </c>
      <c r="BN54" s="64">
        <f t="shared" si="8"/>
        <v>14.13</v>
      </c>
      <c r="BO54" s="64">
        <f t="shared" si="9"/>
        <v>2.2727272727272728E-2</v>
      </c>
      <c r="BP54" s="64">
        <f t="shared" si="10"/>
        <v>2.2727272727272728E-2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21.518518518518519</v>
      </c>
      <c r="Y55" s="665">
        <f>IFERROR(Y49/H49,"0")+IFERROR(Y50/H50,"0")+IFERROR(Y51/H51,"0")+IFERROR(Y52/H52,"0")+IFERROR(Y53/H53,"0")+IFERROR(Y54/H54,"0")</f>
        <v>22</v>
      </c>
      <c r="Z55" s="665">
        <f>IFERROR(IF(Z49="",0,Z49),"0")+IFERROR(IF(Z50="",0,Z50),"0")+IFERROR(IF(Z51="",0,Z51),"0")+IFERROR(IF(Z52="",0,Z52),"0")+IFERROR(IF(Z53="",0,Z53),"0")+IFERROR(IF(Z54="",0,Z54),"0")</f>
        <v>0.38768000000000002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213.5</v>
      </c>
      <c r="Y56" s="665">
        <f>IFERROR(SUM(Y49:Y54),"0")</f>
        <v>218.70000000000002</v>
      </c>
      <c r="Z56" s="37"/>
      <c r="AA56" s="666"/>
      <c r="AB56" s="666"/>
      <c r="AC56" s="666"/>
    </row>
    <row r="57" spans="1:68" ht="14.25" customHeight="1" x14ac:dyDescent="0.25">
      <c r="A57" s="679" t="s">
        <v>138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20</v>
      </c>
      <c r="Y58" s="664">
        <f>IFERROR(IF(X58="",0,CEILING((X58/$H58),1)*$H58),"")</f>
        <v>21.6</v>
      </c>
      <c r="Z58" s="36">
        <f>IFERROR(IF(Y58=0,"",ROUNDUP(Y58/H58,0)*0.01898),"")</f>
        <v>3.7960000000000001E-2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20.805555555555554</v>
      </c>
      <c r="BN58" s="64">
        <f>IFERROR(Y58*I58/H58,"0")</f>
        <v>22.47</v>
      </c>
      <c r="BO58" s="64">
        <f>IFERROR(1/J58*(X58/H58),"0")</f>
        <v>2.8935185185185182E-2</v>
      </c>
      <c r="BP58" s="64">
        <f>IFERROR(1/J58*(Y58/H58),"0")</f>
        <v>3.125E-2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1.8518518518518516</v>
      </c>
      <c r="Y62" s="665">
        <f>IFERROR(Y58/H58,"0")+IFERROR(Y59/H59,"0")+IFERROR(Y60/H60,"0")+IFERROR(Y61/H61,"0")</f>
        <v>2</v>
      </c>
      <c r="Z62" s="665">
        <f>IFERROR(IF(Z58="",0,Z58),"0")+IFERROR(IF(Z59="",0,Z59),"0")+IFERROR(IF(Z60="",0,Z60),"0")+IFERROR(IF(Z61="",0,Z61),"0")</f>
        <v>3.7960000000000001E-2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20</v>
      </c>
      <c r="Y63" s="665">
        <f>IFERROR(SUM(Y58:Y61),"0")</f>
        <v>21.6</v>
      </c>
      <c r="Z63" s="37"/>
      <c r="AA63" s="666"/>
      <c r="AB63" s="666"/>
      <c r="AC63" s="666"/>
    </row>
    <row r="64" spans="1:68" ht="14.25" customHeight="1" x14ac:dyDescent="0.25">
      <c r="A64" s="679" t="s">
        <v>149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175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183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1" t="s">
        <v>197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201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205</v>
      </c>
      <c r="Q97" s="670"/>
      <c r="R97" s="670"/>
      <c r="S97" s="670"/>
      <c r="T97" s="671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3" t="s">
        <v>207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214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138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15</v>
      </c>
      <c r="Y121" s="664">
        <f t="shared" si="21"/>
        <v>16.8</v>
      </c>
      <c r="Z121" s="36">
        <f>IFERROR(IF(Y121=0,"",ROUNDUP(Y121/H121,0)*0.01898),"")</f>
        <v>3.7960000000000001E-2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15.916071428571428</v>
      </c>
      <c r="BN121" s="64">
        <f t="shared" si="23"/>
        <v>17.826000000000001</v>
      </c>
      <c r="BO121" s="64">
        <f t="shared" si="24"/>
        <v>2.7901785714285712E-2</v>
      </c>
      <c r="BP121" s="64">
        <f t="shared" si="25"/>
        <v>3.125E-2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242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1.7857142857142856</v>
      </c>
      <c r="Y128" s="665">
        <f>IFERROR(Y119/H119,"0")+IFERROR(Y120/H120,"0")+IFERROR(Y121/H121,"0")+IFERROR(Y122/H122,"0")+IFERROR(Y123/H123,"0")+IFERROR(Y124/H124,"0")+IFERROR(Y125/H125,"0")+IFERROR(Y126/H126,"0")+IFERROR(Y127/H127,"0")</f>
        <v>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3.7960000000000001E-2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15</v>
      </c>
      <c r="Y129" s="665">
        <f>IFERROR(SUM(Y119:Y127),"0")</f>
        <v>16.8</v>
      </c>
      <c r="Z129" s="37"/>
      <c r="AA129" s="666"/>
      <c r="AB129" s="666"/>
      <c r="AC129" s="666"/>
    </row>
    <row r="130" spans="1:68" ht="14.25" customHeight="1" x14ac:dyDescent="0.25">
      <c r="A130" s="679" t="s">
        <v>175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259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260</v>
      </c>
      <c r="B137" s="54" t="s">
        <v>261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149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264</v>
      </c>
      <c r="B142" s="54" t="s">
        <v>265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149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289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138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149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5" t="s">
        <v>308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4" t="s">
        <v>321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324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325</v>
      </c>
      <c r="B191" s="54" t="s">
        <v>326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328</v>
      </c>
      <c r="B192" s="54" t="s">
        <v>329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138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330</v>
      </c>
      <c r="B196" s="54" t="s">
        <v>331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333</v>
      </c>
      <c r="B197" s="54" t="s">
        <v>334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149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335</v>
      </c>
      <c r="B201" s="54" t="s">
        <v>336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338</v>
      </c>
      <c r="B202" s="54" t="s">
        <v>339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349</v>
      </c>
      <c r="B206" s="54" t="s">
        <v>350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353</v>
      </c>
      <c r="B208" s="54" t="s">
        <v>354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355</v>
      </c>
      <c r="B212" s="54" t="s">
        <v>356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361</v>
      </c>
      <c r="B214" s="54" t="s">
        <v>362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366</v>
      </c>
      <c r="B216" s="54" t="s">
        <v>367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175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379</v>
      </c>
      <c r="B224" s="54" t="s">
        <v>380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382</v>
      </c>
      <c r="B225" s="54" t="s">
        <v>383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385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386</v>
      </c>
      <c r="B230" s="54" t="s">
        <v>387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386</v>
      </c>
      <c r="B231" s="54" t="s">
        <v>389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20</v>
      </c>
      <c r="Y232" s="664">
        <f t="shared" si="43"/>
        <v>23.2</v>
      </c>
      <c r="Z232" s="36">
        <f>IFERROR(IF(Y232=0,"",ROUNDUP(Y232/H232,0)*0.01898),"")</f>
        <v>3.7960000000000001E-2</v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20.75</v>
      </c>
      <c r="BN232" s="64">
        <f t="shared" si="45"/>
        <v>24.07</v>
      </c>
      <c r="BO232" s="64">
        <f t="shared" si="46"/>
        <v>2.6939655172413795E-2</v>
      </c>
      <c r="BP232" s="64">
        <f t="shared" si="47"/>
        <v>3.125E-2</v>
      </c>
    </row>
    <row r="233" spans="1:68" ht="27" customHeight="1" x14ac:dyDescent="0.25">
      <c r="A233" s="54" t="s">
        <v>395</v>
      </c>
      <c r="B233" s="54" t="s">
        <v>396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395</v>
      </c>
      <c r="B234" s="54" t="s">
        <v>398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401</v>
      </c>
      <c r="B236" s="54" t="s">
        <v>402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403</v>
      </c>
      <c r="B237" s="54" t="s">
        <v>404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1.7241379310344829</v>
      </c>
      <c r="Y238" s="665">
        <f>IFERROR(Y230/H230,"0")+IFERROR(Y231/H231,"0")+IFERROR(Y232/H232,"0")+IFERROR(Y233/H233,"0")+IFERROR(Y234/H234,"0")+IFERROR(Y235/H235,"0")+IFERROR(Y236/H236,"0")+IFERROR(Y237/H237,"0")</f>
        <v>2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3.7960000000000001E-2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20</v>
      </c>
      <c r="Y239" s="665">
        <f>IFERROR(SUM(Y230:Y237),"0")</f>
        <v>23.2</v>
      </c>
      <c r="Z239" s="37"/>
      <c r="AA239" s="666"/>
      <c r="AB239" s="666"/>
      <c r="AC239" s="666"/>
    </row>
    <row r="240" spans="1:68" ht="14.25" customHeight="1" x14ac:dyDescent="0.25">
      <c r="A240" s="679" t="s">
        <v>138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405</v>
      </c>
      <c r="B241" s="54" t="s">
        <v>406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407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405</v>
      </c>
      <c r="B242" s="54" t="s">
        <v>409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410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411</v>
      </c>
      <c r="B246" s="54" t="s">
        <v>412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4" t="s">
        <v>413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415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416</v>
      </c>
      <c r="B250" s="54" t="s">
        <v>417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75" t="s">
        <v>418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420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421</v>
      </c>
      <c r="B255" s="54" t="s">
        <v>422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424</v>
      </c>
      <c r="B256" s="54" t="s">
        <v>425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424</v>
      </c>
      <c r="B257" s="54" t="s">
        <v>427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429</v>
      </c>
      <c r="B258" s="54" t="s">
        <v>430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432</v>
      </c>
      <c r="B259" s="54" t="s">
        <v>433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435</v>
      </c>
      <c r="B260" s="54" t="s">
        <v>436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438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439</v>
      </c>
      <c r="B265" s="54" t="s">
        <v>440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442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443</v>
      </c>
      <c r="B270" s="54" t="s">
        <v>444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445</v>
      </c>
      <c r="B271" s="54" t="s">
        <v>446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448</v>
      </c>
      <c r="B272" s="54" t="s">
        <v>449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451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452</v>
      </c>
      <c r="B277" s="54" t="s">
        <v>453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455</v>
      </c>
      <c r="B278" s="54" t="s">
        <v>456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458</v>
      </c>
      <c r="B279" s="54" t="s">
        <v>459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465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466</v>
      </c>
      <c r="B286" s="54" t="s">
        <v>467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149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469</v>
      </c>
      <c r="B290" s="54" t="s">
        <v>470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472</v>
      </c>
      <c r="B294" s="54" t="s">
        <v>473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7.1999999999999993</v>
      </c>
      <c r="Y294" s="664">
        <f>IFERROR(IF(X294="",0,CEILING((X294/$H294),1)*$H294),"")</f>
        <v>7.2</v>
      </c>
      <c r="Z294" s="36">
        <f>IFERROR(IF(Y294=0,"",ROUNDUP(Y294/H294,0)*0.00902),"")</f>
        <v>1.804E-2</v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7.6199999999999992</v>
      </c>
      <c r="BN294" s="64">
        <f>IFERROR(Y294*I294/H294,"0")</f>
        <v>7.62</v>
      </c>
      <c r="BO294" s="64">
        <f>IFERROR(1/J294*(X294/H294),"0")</f>
        <v>1.515151515151515E-2</v>
      </c>
      <c r="BP294" s="64">
        <f>IFERROR(1/J294*(Y294/H294),"0")</f>
        <v>1.5151515151515152E-2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1.9999999999999998</v>
      </c>
      <c r="Y295" s="665">
        <f>IFERROR(Y294/H294,"0")</f>
        <v>2</v>
      </c>
      <c r="Z295" s="665">
        <f>IFERROR(IF(Z294="",0,Z294),"0")</f>
        <v>1.804E-2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7.1999999999999993</v>
      </c>
      <c r="Y296" s="665">
        <f>IFERROR(SUM(Y294:Y294),"0")</f>
        <v>7.2</v>
      </c>
      <c r="Z296" s="37"/>
      <c r="AA296" s="666"/>
      <c r="AB296" s="666"/>
      <c r="AC296" s="666"/>
    </row>
    <row r="297" spans="1:68" ht="16.5" customHeight="1" x14ac:dyDescent="0.25">
      <c r="A297" s="716" t="s">
        <v>475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476</v>
      </c>
      <c r="B299" s="54" t="s">
        <v>477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479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480</v>
      </c>
      <c r="B304" s="54" t="s">
        <v>481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149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482</v>
      </c>
      <c r="B308" s="54" t="s">
        <v>483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485</v>
      </c>
      <c r="B309" s="54" t="s">
        <v>486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487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488</v>
      </c>
      <c r="B314" s="54" t="s">
        <v>489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492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493</v>
      </c>
      <c r="B319" s="54" t="s">
        <v>494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200</v>
      </c>
      <c r="Y320" s="664">
        <f t="shared" si="53"/>
        <v>205.20000000000002</v>
      </c>
      <c r="Z320" s="36">
        <f>IFERROR(IF(Y320=0,"",ROUNDUP(Y320/H320,0)*0.01898),"")</f>
        <v>0.36062</v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208.05555555555554</v>
      </c>
      <c r="BN320" s="64">
        <f t="shared" si="55"/>
        <v>213.46499999999997</v>
      </c>
      <c r="BO320" s="64">
        <f t="shared" si="56"/>
        <v>0.28935185185185186</v>
      </c>
      <c r="BP320" s="64">
        <f t="shared" si="57"/>
        <v>0.296875</v>
      </c>
    </row>
    <row r="321" spans="1:68" ht="27" customHeight="1" x14ac:dyDescent="0.25">
      <c r="A321" s="54" t="s">
        <v>496</v>
      </c>
      <c r="B321" s="54" t="s">
        <v>499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4</v>
      </c>
      <c r="Y324" s="664">
        <f t="shared" si="53"/>
        <v>4</v>
      </c>
      <c r="Z324" s="36">
        <f>IFERROR(IF(Y324=0,"",ROUNDUP(Y324/H324,0)*0.00902),"")</f>
        <v>9.0200000000000002E-3</v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4.21</v>
      </c>
      <c r="BN324" s="64">
        <f t="shared" si="55"/>
        <v>4.21</v>
      </c>
      <c r="BO324" s="64">
        <f t="shared" si="56"/>
        <v>7.575757575757576E-3</v>
      </c>
      <c r="BP324" s="64">
        <f t="shared" si="57"/>
        <v>7.575757575757576E-3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19.518518518518519</v>
      </c>
      <c r="Y325" s="665">
        <f>IFERROR(Y319/H319,"0")+IFERROR(Y320/H320,"0")+IFERROR(Y321/H321,"0")+IFERROR(Y322/H322,"0")+IFERROR(Y323/H323,"0")+IFERROR(Y324/H324,"0")</f>
        <v>20</v>
      </c>
      <c r="Z325" s="665">
        <f>IFERROR(IF(Z319="",0,Z319),"0")+IFERROR(IF(Z320="",0,Z320),"0")+IFERROR(IF(Z321="",0,Z321),"0")+IFERROR(IF(Z322="",0,Z322),"0")+IFERROR(IF(Z323="",0,Z323),"0")+IFERROR(IF(Z324="",0,Z324),"0")</f>
        <v>0.36963999999999997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204</v>
      </c>
      <c r="Y326" s="665">
        <f>IFERROR(SUM(Y319:Y324),"0")</f>
        <v>209.20000000000002</v>
      </c>
      <c r="Z326" s="37"/>
      <c r="AA326" s="666"/>
      <c r="AB326" s="666"/>
      <c r="AC326" s="666"/>
    </row>
    <row r="327" spans="1:68" ht="14.25" customHeight="1" x14ac:dyDescent="0.25">
      <c r="A327" s="679" t="s">
        <v>149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50</v>
      </c>
      <c r="Y328" s="664">
        <f>IFERROR(IF(X328="",0,CEILING((X328/$H328),1)*$H328),"")</f>
        <v>50.400000000000006</v>
      </c>
      <c r="Z328" s="36">
        <f>IFERROR(IF(Y328=0,"",ROUNDUP(Y328/H328,0)*0.00902),"")</f>
        <v>0.10824</v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53.214285714285715</v>
      </c>
      <c r="BN328" s="64">
        <f>IFERROR(Y328*I328/H328,"0")</f>
        <v>53.64</v>
      </c>
      <c r="BO328" s="64">
        <f>IFERROR(1/J328*(X328/H328),"0")</f>
        <v>9.0187590187590191E-2</v>
      </c>
      <c r="BP328" s="64">
        <f>IFERROR(1/J328*(Y328/H328),"0")</f>
        <v>9.0909090909090912E-2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15</v>
      </c>
      <c r="Y329" s="664">
        <f>IFERROR(IF(X329="",0,CEILING((X329/$H329),1)*$H329),"")</f>
        <v>16.8</v>
      </c>
      <c r="Z329" s="36">
        <f>IFERROR(IF(Y329=0,"",ROUNDUP(Y329/H329,0)*0.00902),"")</f>
        <v>3.6080000000000001E-2</v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15.964285714285714</v>
      </c>
      <c r="BN329" s="64">
        <f>IFERROR(Y329*I329/H329,"0")</f>
        <v>17.88</v>
      </c>
      <c r="BO329" s="64">
        <f>IFERROR(1/J329*(X329/H329),"0")</f>
        <v>2.7056277056277056E-2</v>
      </c>
      <c r="BP329" s="64">
        <f>IFERROR(1/J329*(Y329/H329),"0")</f>
        <v>3.0303030303030304E-2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15.476190476190476</v>
      </c>
      <c r="Y332" s="665">
        <f>IFERROR(Y328/H328,"0")+IFERROR(Y329/H329,"0")+IFERROR(Y330/H330,"0")+IFERROR(Y331/H331,"0")</f>
        <v>16</v>
      </c>
      <c r="Z332" s="665">
        <f>IFERROR(IF(Z328="",0,Z328),"0")+IFERROR(IF(Z329="",0,Z329),"0")+IFERROR(IF(Z330="",0,Z330),"0")+IFERROR(IF(Z331="",0,Z331),"0")</f>
        <v>0.14432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65</v>
      </c>
      <c r="Y333" s="665">
        <f>IFERROR(SUM(Y328:Y331),"0")</f>
        <v>67.2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250</v>
      </c>
      <c r="Y335" s="664">
        <f>IFERROR(IF(X335="",0,CEILING((X335/$H335),1)*$H335),"")</f>
        <v>257.39999999999998</v>
      </c>
      <c r="Z335" s="36">
        <f>IFERROR(IF(Y335=0,"",ROUNDUP(Y335/H335,0)*0.01898),"")</f>
        <v>0.62634000000000001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266.44230769230768</v>
      </c>
      <c r="BN335" s="64">
        <f>IFERROR(Y335*I335/H335,"0")</f>
        <v>274.32900000000001</v>
      </c>
      <c r="BO335" s="64">
        <f>IFERROR(1/J335*(X335/H335),"0")</f>
        <v>0.50080128205128205</v>
      </c>
      <c r="BP335" s="64">
        <f>IFERROR(1/J335*(Y335/H335),"0")</f>
        <v>0.515625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32.051282051282051</v>
      </c>
      <c r="Y340" s="665">
        <f>IFERROR(Y335/H335,"0")+IFERROR(Y336/H336,"0")+IFERROR(Y337/H337,"0")+IFERROR(Y338/H338,"0")+IFERROR(Y339/H339,"0")</f>
        <v>33</v>
      </c>
      <c r="Z340" s="665">
        <f>IFERROR(IF(Z335="",0,Z335),"0")+IFERROR(IF(Z336="",0,Z336),"0")+IFERROR(IF(Z337="",0,Z337),"0")+IFERROR(IF(Z338="",0,Z338),"0")+IFERROR(IF(Z339="",0,Z339),"0")</f>
        <v>0.62634000000000001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250</v>
      </c>
      <c r="Y341" s="665">
        <f>IFERROR(SUM(Y335:Y339),"0")</f>
        <v>257.39999999999998</v>
      </c>
      <c r="Z341" s="37"/>
      <c r="AA341" s="666"/>
      <c r="AB341" s="666"/>
      <c r="AC341" s="666"/>
    </row>
    <row r="342" spans="1:68" ht="14.25" customHeight="1" x14ac:dyDescent="0.25">
      <c r="A342" s="679" t="s">
        <v>175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100</v>
      </c>
      <c r="Y344" s="664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106.65384615384617</v>
      </c>
      <c r="BN344" s="64">
        <f>IFERROR(Y344*I344/H344,"0")</f>
        <v>108.14700000000001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12.820512820512821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0.24674000000000001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100</v>
      </c>
      <c r="Y347" s="665">
        <f>IFERROR(SUM(Y343:Y345),"0")</f>
        <v>101.39999999999999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149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10</v>
      </c>
      <c r="Y367" s="664">
        <f>IFERROR(IF(X367="",0,CEILING((X367/$H367),1)*$H367),"")</f>
        <v>16.2</v>
      </c>
      <c r="Z367" s="36">
        <f>IFERROR(IF(Y367=0,"",ROUNDUP(Y367/H367,0)*0.01898),"")</f>
        <v>3.7960000000000001E-2</v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10.640740740740741</v>
      </c>
      <c r="BN367" s="64">
        <f>IFERROR(Y367*I367/H367,"0")</f>
        <v>17.238</v>
      </c>
      <c r="BO367" s="64">
        <f>IFERROR(1/J367*(X367/H367),"0")</f>
        <v>1.9290123456790126E-2</v>
      </c>
      <c r="BP367" s="64">
        <f>IFERROR(1/J367*(Y367/H367),"0")</f>
        <v>3.125E-2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1.2345679012345681</v>
      </c>
      <c r="Y370" s="665">
        <f>IFERROR(Y367/H367,"0")+IFERROR(Y368/H368,"0")+IFERROR(Y369/H369,"0")</f>
        <v>2</v>
      </c>
      <c r="Z370" s="665">
        <f>IFERROR(IF(Z367="",0,Z367),"0")+IFERROR(IF(Z368="",0,Z368),"0")+IFERROR(IF(Z369="",0,Z369),"0")</f>
        <v>3.7960000000000001E-2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10</v>
      </c>
      <c r="Y371" s="665">
        <f>IFERROR(SUM(Y367:Y369),"0")</f>
        <v>16.2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581</v>
      </c>
      <c r="B375" s="54" t="s">
        <v>582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581</v>
      </c>
      <c r="B376" s="54" t="s">
        <v>584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589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67">
        <v>4607091383997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15</v>
      </c>
      <c r="Y379" s="664">
        <f t="shared" si="58"/>
        <v>15</v>
      </c>
      <c r="Z379" s="36">
        <f>IFERROR(IF(Y379=0,"",ROUNDUP(Y379/H379,0)*0.02175),"")</f>
        <v>2.1749999999999999E-2</v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15.48</v>
      </c>
      <c r="BN379" s="64">
        <f t="shared" si="60"/>
        <v>15.48</v>
      </c>
      <c r="BO379" s="64">
        <f t="shared" si="61"/>
        <v>2.0833333333333332E-2</v>
      </c>
      <c r="BP379" s="64">
        <f t="shared" si="62"/>
        <v>2.0833333333333332E-2</v>
      </c>
    </row>
    <row r="380" spans="1:68" ht="37.5" customHeight="1" x14ac:dyDescent="0.25">
      <c r="A380" s="54" t="s">
        <v>593</v>
      </c>
      <c r="B380" s="54" t="s">
        <v>594</v>
      </c>
      <c r="C380" s="31">
        <v>4301011867</v>
      </c>
      <c r="D380" s="667">
        <v>4680115884830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7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593</v>
      </c>
      <c r="B381" s="54" t="s">
        <v>596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2.1749999999999999E-2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15</v>
      </c>
      <c r="Y386" s="665">
        <f>IFERROR(SUM(Y375:Y384),"0")</f>
        <v>15</v>
      </c>
      <c r="Z386" s="37"/>
      <c r="AA386" s="666"/>
      <c r="AB386" s="666"/>
      <c r="AC386" s="666"/>
    </row>
    <row r="387" spans="1:68" ht="14.25" customHeight="1" x14ac:dyDescent="0.25">
      <c r="A387" s="679" t="s">
        <v>138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170</v>
      </c>
      <c r="Y388" s="664">
        <f>IFERROR(IF(X388="",0,CEILING((X388/$H388),1)*$H388),"")</f>
        <v>180</v>
      </c>
      <c r="Z388" s="36">
        <f>IFERROR(IF(Y388=0,"",ROUNDUP(Y388/H388,0)*0.02175),"")</f>
        <v>0.26100000000000001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175.44</v>
      </c>
      <c r="BN388" s="64">
        <f>IFERROR(Y388*I388/H388,"0")</f>
        <v>185.76000000000002</v>
      </c>
      <c r="BO388" s="64">
        <f>IFERROR(1/J388*(X388/H388),"0")</f>
        <v>0.2361111111111111</v>
      </c>
      <c r="BP388" s="64">
        <f>IFERROR(1/J388*(Y388/H388),"0")</f>
        <v>0.25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11.333333333333334</v>
      </c>
      <c r="Y390" s="665">
        <f>IFERROR(Y388/H388,"0")+IFERROR(Y389/H389,"0")</f>
        <v>12</v>
      </c>
      <c r="Z390" s="665">
        <f>IFERROR(IF(Z388="",0,Z388),"0")+IFERROR(IF(Z389="",0,Z389),"0")</f>
        <v>0.26100000000000001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170</v>
      </c>
      <c r="Y391" s="665">
        <f>IFERROR(SUM(Y388:Y389),"0")</f>
        <v>180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175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149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175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149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138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149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149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149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175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customHeight="1" x14ac:dyDescent="0.25">
      <c r="A497" s="679" t="s">
        <v>138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774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25" t="s">
        <v>775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149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20</v>
      </c>
      <c r="Y507" s="664">
        <f t="shared" si="74"/>
        <v>21.12</v>
      </c>
      <c r="Z507" s="36">
        <f>IFERROR(IF(Y507=0,"",ROUNDUP(Y507/H507,0)*0.01196),"")</f>
        <v>4.7840000000000001E-2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21.363636363636363</v>
      </c>
      <c r="BN507" s="64">
        <f t="shared" si="76"/>
        <v>22.56</v>
      </c>
      <c r="BO507" s="64">
        <f t="shared" si="77"/>
        <v>3.6421911421911424E-2</v>
      </c>
      <c r="BP507" s="64">
        <f t="shared" si="78"/>
        <v>3.8461538461538464E-2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29" t="s">
        <v>802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4301031253</v>
      </c>
      <c r="D514" s="667">
        <v>4680115882096</v>
      </c>
      <c r="E514" s="668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813</v>
      </c>
      <c r="C515" s="31">
        <v>4301031417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2" t="s">
        <v>814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815</v>
      </c>
      <c r="C516" s="31">
        <v>4301031384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6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3.7878787878787876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4.7840000000000001E-2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20</v>
      </c>
      <c r="Y518" s="665">
        <f>IFERROR(SUM(Y505:Y516),"0")</f>
        <v>21.12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175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138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149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10</v>
      </c>
      <c r="Y551" s="664">
        <f t="shared" si="84"/>
        <v>12.600000000000001</v>
      </c>
      <c r="Z551" s="36">
        <f>IFERROR(IF(Y551=0,"",ROUNDUP(Y551/H551,0)*0.00902),"")</f>
        <v>2.7060000000000001E-2</v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10.642857142857141</v>
      </c>
      <c r="BN551" s="64">
        <f t="shared" si="86"/>
        <v>13.41</v>
      </c>
      <c r="BO551" s="64">
        <f t="shared" si="87"/>
        <v>1.8037518037518036E-2</v>
      </c>
      <c r="BP551" s="64">
        <f t="shared" si="88"/>
        <v>2.2727272727272728E-2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2.3809523809523809</v>
      </c>
      <c r="Y557" s="665">
        <f>IFERROR(Y550/H550,"0")+IFERROR(Y551/H551,"0")+IFERROR(Y552/H552,"0")+IFERROR(Y553/H553,"0")+IFERROR(Y554/H554,"0")+IFERROR(Y555/H555,"0")+IFERROR(Y556/H556,"0")</f>
        <v>3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2.7060000000000001E-2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10</v>
      </c>
      <c r="Y558" s="665">
        <f>IFERROR(SUM(Y550:Y556),"0")</f>
        <v>12.600000000000001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175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138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149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1149.7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1200.02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1206.5930309505309</v>
      </c>
      <c r="Y592" s="665">
        <f>IFERROR(SUM(BN22:BN588),"0")</f>
        <v>1259.405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2</v>
      </c>
      <c r="Y593" s="38">
        <f>ROUNDUP(SUM(BP22:BP588),0)</f>
        <v>2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1256.5930309505309</v>
      </c>
      <c r="Y594" s="665">
        <f>GrossWeightTotalR+PalletQtyTotalR*25</f>
        <v>1309.405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131.26123663479984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137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2.3591899999999999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288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183</v>
      </c>
      <c r="F599" s="686" t="s">
        <v>214</v>
      </c>
      <c r="G599" s="686" t="s">
        <v>259</v>
      </c>
      <c r="H599" s="686" t="s">
        <v>96</v>
      </c>
      <c r="I599" s="686" t="s">
        <v>289</v>
      </c>
      <c r="J599" s="686" t="s">
        <v>324</v>
      </c>
      <c r="K599" s="686" t="s">
        <v>385</v>
      </c>
      <c r="L599" s="686" t="s">
        <v>420</v>
      </c>
      <c r="M599" s="686" t="s">
        <v>438</v>
      </c>
      <c r="N599" s="661"/>
      <c r="O599" s="686" t="s">
        <v>442</v>
      </c>
      <c r="P599" s="686" t="s">
        <v>451</v>
      </c>
      <c r="Q599" s="686" t="s">
        <v>465</v>
      </c>
      <c r="R599" s="686" t="s">
        <v>475</v>
      </c>
      <c r="S599" s="686" t="s">
        <v>479</v>
      </c>
      <c r="T599" s="686" t="s">
        <v>487</v>
      </c>
      <c r="U599" s="686" t="s">
        <v>492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32.400000000000006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240.3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16.8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23.2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7.2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635.19999999999993</v>
      </c>
      <c r="V601" s="46">
        <f>IFERROR(Y363*1,"0")+IFERROR(Y367*1,"0")+IFERROR(Y368*1,"0")+IFERROR(Y369*1,"0")</f>
        <v>16.2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195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21.12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12.600000000000001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2025-04-15T08:56:54Z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