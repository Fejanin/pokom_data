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4,04,25 ПОКОМ КИ Сочи\"/>
    </mc:Choice>
  </mc:AlternateContent>
  <xr:revisionPtr revIDLastSave="0" documentId="13_ncr:1_{2BA16995-12E9-4C47-94D8-99A5698F3DF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4" i="1" l="1"/>
  <c r="AF72" i="1"/>
  <c r="AF22" i="1"/>
  <c r="F44" i="1"/>
  <c r="F69" i="1"/>
  <c r="E69" i="1"/>
  <c r="O69" i="1" s="1"/>
  <c r="F52" i="1"/>
  <c r="E52" i="1"/>
  <c r="O52" i="1" s="1"/>
  <c r="F47" i="1"/>
  <c r="E47" i="1"/>
  <c r="O47" i="1" s="1"/>
  <c r="O7" i="1"/>
  <c r="P7" i="1" s="1"/>
  <c r="O8" i="1"/>
  <c r="P8" i="1" s="1"/>
  <c r="AF8" i="1" s="1"/>
  <c r="O9" i="1"/>
  <c r="S9" i="1" s="1"/>
  <c r="O10" i="1"/>
  <c r="P10" i="1" s="1"/>
  <c r="AF10" i="1" s="1"/>
  <c r="O11" i="1"/>
  <c r="O12" i="1"/>
  <c r="O13" i="1"/>
  <c r="S13" i="1" s="1"/>
  <c r="O14" i="1"/>
  <c r="P14" i="1" s="1"/>
  <c r="AF14" i="1" s="1"/>
  <c r="O15" i="1"/>
  <c r="P15" i="1" s="1"/>
  <c r="O16" i="1"/>
  <c r="O17" i="1"/>
  <c r="O18" i="1"/>
  <c r="AF18" i="1" s="1"/>
  <c r="O19" i="1"/>
  <c r="P19" i="1" s="1"/>
  <c r="O20" i="1"/>
  <c r="AF20" i="1" s="1"/>
  <c r="O21" i="1"/>
  <c r="O22" i="1"/>
  <c r="O23" i="1"/>
  <c r="S23" i="1" s="1"/>
  <c r="O24" i="1"/>
  <c r="AF24" i="1" s="1"/>
  <c r="O25" i="1"/>
  <c r="O26" i="1"/>
  <c r="AF26" i="1" s="1"/>
  <c r="O27" i="1"/>
  <c r="O28" i="1"/>
  <c r="AF28" i="1" s="1"/>
  <c r="O29" i="1"/>
  <c r="P29" i="1" s="1"/>
  <c r="O30" i="1"/>
  <c r="S30" i="1" s="1"/>
  <c r="O31" i="1"/>
  <c r="P31" i="1" s="1"/>
  <c r="O32" i="1"/>
  <c r="S32" i="1" s="1"/>
  <c r="O33" i="1"/>
  <c r="O34" i="1"/>
  <c r="S34" i="1" s="1"/>
  <c r="O35" i="1"/>
  <c r="S35" i="1" s="1"/>
  <c r="O36" i="1"/>
  <c r="P36" i="1" s="1"/>
  <c r="AF36" i="1" s="1"/>
  <c r="O37" i="1"/>
  <c r="O38" i="1"/>
  <c r="P38" i="1" s="1"/>
  <c r="AF38" i="1" s="1"/>
  <c r="O39" i="1"/>
  <c r="O40" i="1"/>
  <c r="P40" i="1" s="1"/>
  <c r="AF40" i="1" s="1"/>
  <c r="O41" i="1"/>
  <c r="S41" i="1" s="1"/>
  <c r="O42" i="1"/>
  <c r="S42" i="1" s="1"/>
  <c r="O43" i="1"/>
  <c r="O44" i="1"/>
  <c r="AF44" i="1" s="1"/>
  <c r="O45" i="1"/>
  <c r="O46" i="1"/>
  <c r="AF46" i="1" s="1"/>
  <c r="O48" i="1"/>
  <c r="S48" i="1" s="1"/>
  <c r="O49" i="1"/>
  <c r="O50" i="1"/>
  <c r="O51" i="1"/>
  <c r="S51" i="1" s="1"/>
  <c r="O53" i="1"/>
  <c r="O54" i="1"/>
  <c r="AF54" i="1" s="1"/>
  <c r="O55" i="1"/>
  <c r="P55" i="1" s="1"/>
  <c r="O56" i="1"/>
  <c r="P56" i="1" s="1"/>
  <c r="AF56" i="1" s="1"/>
  <c r="O57" i="1"/>
  <c r="O58" i="1"/>
  <c r="AF58" i="1" s="1"/>
  <c r="O59" i="1"/>
  <c r="O60" i="1"/>
  <c r="AF60" i="1" s="1"/>
  <c r="O61" i="1"/>
  <c r="O62" i="1"/>
  <c r="AF62" i="1" s="1"/>
  <c r="O63" i="1"/>
  <c r="O64" i="1"/>
  <c r="O65" i="1"/>
  <c r="O66" i="1"/>
  <c r="AF66" i="1" s="1"/>
  <c r="O67" i="1"/>
  <c r="O68" i="1"/>
  <c r="P68" i="1" s="1"/>
  <c r="AF68" i="1" s="1"/>
  <c r="O70" i="1"/>
  <c r="P70" i="1" s="1"/>
  <c r="O71" i="1"/>
  <c r="S71" i="1" s="1"/>
  <c r="O72" i="1"/>
  <c r="S72" i="1" s="1"/>
  <c r="O73" i="1"/>
  <c r="S73" i="1" s="1"/>
  <c r="O74" i="1"/>
  <c r="S74" i="1" s="1"/>
  <c r="O75" i="1"/>
  <c r="S75" i="1" s="1"/>
  <c r="O76" i="1"/>
  <c r="S76" i="1" s="1"/>
  <c r="O77" i="1"/>
  <c r="S77" i="1" s="1"/>
  <c r="O78" i="1"/>
  <c r="S78" i="1" s="1"/>
  <c r="O79" i="1"/>
  <c r="S79" i="1" s="1"/>
  <c r="O80" i="1"/>
  <c r="O81" i="1"/>
  <c r="AF81" i="1" s="1"/>
  <c r="O82" i="1"/>
  <c r="O83" i="1"/>
  <c r="P83" i="1" s="1"/>
  <c r="AF83" i="1" s="1"/>
  <c r="O84" i="1"/>
  <c r="O85" i="1"/>
  <c r="O86" i="1"/>
  <c r="O87" i="1"/>
  <c r="O88" i="1"/>
  <c r="O89" i="1"/>
  <c r="O90" i="1"/>
  <c r="O91" i="1"/>
  <c r="P91" i="1" s="1"/>
  <c r="AF91" i="1" s="1"/>
  <c r="O92" i="1"/>
  <c r="O93" i="1"/>
  <c r="T93" i="1" s="1"/>
  <c r="O94" i="1"/>
  <c r="T94" i="1" s="1"/>
  <c r="O95" i="1"/>
  <c r="T95" i="1" s="1"/>
  <c r="O96" i="1"/>
  <c r="T96" i="1" s="1"/>
  <c r="O97" i="1"/>
  <c r="T97" i="1" s="1"/>
  <c r="O98" i="1"/>
  <c r="T98" i="1" s="1"/>
  <c r="O6" i="1"/>
  <c r="K98" i="1"/>
  <c r="K97" i="1"/>
  <c r="K96" i="1"/>
  <c r="K95" i="1"/>
  <c r="K94" i="1"/>
  <c r="K93" i="1"/>
  <c r="K92" i="1"/>
  <c r="K91" i="1"/>
  <c r="K90" i="1"/>
  <c r="AF89" i="1"/>
  <c r="K89" i="1"/>
  <c r="K88" i="1"/>
  <c r="AF87" i="1"/>
  <c r="K87" i="1"/>
  <c r="K86" i="1"/>
  <c r="AF85" i="1"/>
  <c r="K85" i="1"/>
  <c r="K84" i="1"/>
  <c r="K83" i="1"/>
  <c r="K82" i="1"/>
  <c r="K81" i="1"/>
  <c r="K80" i="1"/>
  <c r="K79" i="1"/>
  <c r="K78" i="1"/>
  <c r="K77" i="1"/>
  <c r="K76" i="1"/>
  <c r="K75" i="1"/>
  <c r="K74" i="1"/>
  <c r="AF73" i="1"/>
  <c r="K73" i="1"/>
  <c r="K72" i="1"/>
  <c r="AF71" i="1"/>
  <c r="K71" i="1"/>
  <c r="K70" i="1"/>
  <c r="K68" i="1"/>
  <c r="K67" i="1"/>
  <c r="K66" i="1"/>
  <c r="K65" i="1"/>
  <c r="AF64" i="1"/>
  <c r="K64" i="1"/>
  <c r="K63" i="1"/>
  <c r="K62" i="1"/>
  <c r="K61" i="1"/>
  <c r="K60" i="1"/>
  <c r="K59" i="1"/>
  <c r="K58" i="1"/>
  <c r="K57" i="1"/>
  <c r="K56" i="1"/>
  <c r="K55" i="1"/>
  <c r="K54" i="1"/>
  <c r="K53" i="1"/>
  <c r="K51" i="1"/>
  <c r="K50" i="1"/>
  <c r="K49" i="1"/>
  <c r="K48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AF16" i="1"/>
  <c r="K16" i="1"/>
  <c r="K15" i="1"/>
  <c r="K14" i="1"/>
  <c r="K13" i="1"/>
  <c r="AF12" i="1"/>
  <c r="K12" i="1"/>
  <c r="K11" i="1"/>
  <c r="K10" i="1"/>
  <c r="AF9" i="1"/>
  <c r="K9" i="1"/>
  <c r="K8" i="1"/>
  <c r="K7" i="1"/>
  <c r="AF6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L5" i="1"/>
  <c r="J5" i="1"/>
  <c r="P69" i="1" l="1"/>
  <c r="P49" i="1"/>
  <c r="AF49" i="1" s="1"/>
  <c r="P47" i="1"/>
  <c r="AF47" i="1" s="1"/>
  <c r="P52" i="1"/>
  <c r="AF52" i="1" s="1"/>
  <c r="AF69" i="1"/>
  <c r="T92" i="1"/>
  <c r="P92" i="1"/>
  <c r="AF92" i="1" s="1"/>
  <c r="AF90" i="1"/>
  <c r="AF88" i="1"/>
  <c r="AF86" i="1"/>
  <c r="AF84" i="1"/>
  <c r="AF82" i="1"/>
  <c r="AF80" i="1"/>
  <c r="AF70" i="1"/>
  <c r="AF67" i="1"/>
  <c r="P65" i="1"/>
  <c r="AF65" i="1" s="1"/>
  <c r="P63" i="1"/>
  <c r="AF63" i="1" s="1"/>
  <c r="AF61" i="1"/>
  <c r="AF59" i="1"/>
  <c r="AF57" i="1"/>
  <c r="AF55" i="1"/>
  <c r="P53" i="1"/>
  <c r="AF53" i="1" s="1"/>
  <c r="AF50" i="1"/>
  <c r="AF45" i="1"/>
  <c r="AF43" i="1"/>
  <c r="P39" i="1"/>
  <c r="AF39" i="1" s="1"/>
  <c r="P37" i="1"/>
  <c r="AF37" i="1" s="1"/>
  <c r="P33" i="1"/>
  <c r="AF33" i="1" s="1"/>
  <c r="AF31" i="1"/>
  <c r="AF29" i="1"/>
  <c r="P27" i="1"/>
  <c r="AF27" i="1" s="1"/>
  <c r="S21" i="1"/>
  <c r="AF21" i="1"/>
  <c r="AF19" i="1"/>
  <c r="S17" i="1"/>
  <c r="AF17" i="1"/>
  <c r="AF15" i="1"/>
  <c r="AF11" i="1"/>
  <c r="AF25" i="1"/>
  <c r="S22" i="1"/>
  <c r="S20" i="1"/>
  <c r="S18" i="1"/>
  <c r="S16" i="1"/>
  <c r="S14" i="1"/>
  <c r="S91" i="1"/>
  <c r="S89" i="1"/>
  <c r="S87" i="1"/>
  <c r="S85" i="1"/>
  <c r="S83" i="1"/>
  <c r="S81" i="1"/>
  <c r="S68" i="1"/>
  <c r="S66" i="1"/>
  <c r="S64" i="1"/>
  <c r="S62" i="1"/>
  <c r="S60" i="1"/>
  <c r="S58" i="1"/>
  <c r="S56" i="1"/>
  <c r="S54" i="1"/>
  <c r="S46" i="1"/>
  <c r="S44" i="1"/>
  <c r="S40" i="1"/>
  <c r="S38" i="1"/>
  <c r="S36" i="1"/>
  <c r="S28" i="1"/>
  <c r="S26" i="1"/>
  <c r="S24" i="1"/>
  <c r="S12" i="1"/>
  <c r="S10" i="1"/>
  <c r="S8" i="1"/>
  <c r="S6" i="1"/>
  <c r="F5" i="1"/>
  <c r="K69" i="1"/>
  <c r="S69" i="1"/>
  <c r="K52" i="1"/>
  <c r="E5" i="1"/>
  <c r="K47" i="1"/>
  <c r="S47" i="1"/>
  <c r="S98" i="1"/>
  <c r="S94" i="1"/>
  <c r="T90" i="1"/>
  <c r="T86" i="1"/>
  <c r="T82" i="1"/>
  <c r="T78" i="1"/>
  <c r="T74" i="1"/>
  <c r="T70" i="1"/>
  <c r="T66" i="1"/>
  <c r="T62" i="1"/>
  <c r="T58" i="1"/>
  <c r="T54" i="1"/>
  <c r="T50" i="1"/>
  <c r="T46" i="1"/>
  <c r="T42" i="1"/>
  <c r="T38" i="1"/>
  <c r="T34" i="1"/>
  <c r="T30" i="1"/>
  <c r="T26" i="1"/>
  <c r="T22" i="1"/>
  <c r="T18" i="1"/>
  <c r="T14" i="1"/>
  <c r="T10" i="1"/>
  <c r="S96" i="1"/>
  <c r="T88" i="1"/>
  <c r="T84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T6" i="1"/>
  <c r="S97" i="1"/>
  <c r="S95" i="1"/>
  <c r="S93" i="1"/>
  <c r="T91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O5" i="1"/>
  <c r="S49" i="1" l="1"/>
  <c r="S92" i="1"/>
  <c r="S15" i="1"/>
  <c r="S19" i="1"/>
  <c r="S11" i="1"/>
  <c r="S52" i="1"/>
  <c r="P5" i="1"/>
  <c r="AF7" i="1"/>
  <c r="AF5" i="1" s="1"/>
  <c r="S7" i="1"/>
  <c r="S25" i="1"/>
  <c r="S27" i="1"/>
  <c r="S29" i="1"/>
  <c r="S31" i="1"/>
  <c r="S33" i="1"/>
  <c r="S37" i="1"/>
  <c r="S39" i="1"/>
  <c r="S43" i="1"/>
  <c r="S45" i="1"/>
  <c r="S50" i="1"/>
  <c r="S53" i="1"/>
  <c r="S55" i="1"/>
  <c r="S57" i="1"/>
  <c r="S59" i="1"/>
  <c r="S61" i="1"/>
  <c r="S63" i="1"/>
  <c r="S65" i="1"/>
  <c r="S67" i="1"/>
  <c r="S70" i="1"/>
  <c r="S80" i="1"/>
  <c r="S82" i="1"/>
  <c r="S84" i="1"/>
  <c r="S86" i="1"/>
  <c r="S88" i="1"/>
  <c r="S90" i="1"/>
  <c r="K5" i="1"/>
</calcChain>
</file>

<file path=xl/sharedStrings.xml><?xml version="1.0" encoding="utf-8"?>
<sst xmlns="http://schemas.openxmlformats.org/spreadsheetml/2006/main" count="377" uniqueCount="155">
  <si>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</si>
  <si>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</si>
  <si>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</si>
  <si>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</si>
  <si>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</si>
  <si>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</si>
  <si>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</si>
  <si>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</si>
  <si>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</si>
  <si>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</si>
  <si>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</si>
  <si>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</si>
  <si>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</si>
  <si>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</si>
  <si>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</si>
  <si>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</si>
  <si>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</si>
  <si>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</si>
  <si>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</si>
  <si>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</si>
  <si>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</si>
  <si>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</si>
  <si>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</si>
  <si>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</si>
  <si>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14,04,</t>
  </si>
  <si>
    <t>07,04,</t>
  </si>
  <si>
    <t>31,03,</t>
  </si>
  <si>
    <t>24,03,</t>
  </si>
  <si>
    <t>17,03,</t>
  </si>
  <si>
    <t>10,03,</t>
  </si>
  <si>
    <t>03,03,</t>
  </si>
  <si>
    <t>24,02,</t>
  </si>
  <si>
    <t>17,02,</t>
  </si>
  <si>
    <t>10,02,</t>
  </si>
  <si>
    <t>03,02,</t>
  </si>
  <si>
    <t xml:space="preserve"> 004   Колбаса Вязанка со шпиком, вектор ВЕС, ПОКОМ</t>
  </si>
  <si>
    <t>кг</t>
  </si>
  <si>
    <t>в матрице</t>
  </si>
  <si>
    <t>нет в бланке</t>
  </si>
  <si>
    <t xml:space="preserve"> 005  Колбаса Докторская ГОСТ, Вязанка вектор,ВЕС. ПОКОМ</t>
  </si>
  <si>
    <t>08,04,25 филиал обнулил</t>
  </si>
  <si>
    <t xml:space="preserve"> 016  Сосиски Вязанка Молочные, Вязанка вискофан  ВЕС.ПОКОМ</t>
  </si>
  <si>
    <t xml:space="preserve"> 022  Колбаса Вязанка со шпиком, вектор 0,5кг, ПОКОМ</t>
  </si>
  <si>
    <t>шт</t>
  </si>
  <si>
    <t>06,01,25 списано 27 шт. / нет в бланке</t>
  </si>
  <si>
    <t xml:space="preserve"> 023  Колбаса Докторская ГОСТ, Вязанка вектор, 0,4 кг, ПОКОМ</t>
  </si>
  <si>
    <t xml:space="preserve"> 029  Сосиски Венские, Вязанка NDX МГС, 0.5кг, ПОКОМ</t>
  </si>
  <si>
    <t>необходимо увеличить продажи!!!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</si>
  <si>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</si>
  <si>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</si>
  <si>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нет потребности / 20,03,25 списание 21шт. (брак)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</si>
  <si>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</si>
  <si>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</si>
  <si>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необходимо увеличить продажи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</si>
  <si>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</si>
  <si>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</si>
  <si>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</si>
  <si>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</si>
  <si>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</si>
  <si>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</si>
  <si>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</si>
  <si>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</si>
  <si>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>нет потребности (филиал постоянно обнуляет) / 21,02,25 списание 49шт. (недостача)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</si>
  <si>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</si>
  <si>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</si>
  <si>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</si>
  <si>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</si>
  <si>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</si>
  <si>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</si>
  <si>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247  Сардельки Нежные, ВЕС.  ПОКОМ</t>
  </si>
  <si>
    <t>нет потребности (филиал постоянно обнуляет)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</si>
  <si>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</si>
  <si>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</si>
  <si>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</si>
  <si>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</si>
  <si>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нет потребности</t>
  </si>
  <si>
    <t xml:space="preserve"> 264  Колбаса Молочная стародворская, амифлекс, ВЕС, ТМ Стародворье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</si>
  <si>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</si>
  <si>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</si>
  <si>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</si>
  <si>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</si>
  <si>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</si>
  <si>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</si>
  <si>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</si>
  <si>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</si>
  <si>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</si>
  <si>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</si>
  <si>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</si>
  <si>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</si>
  <si>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</si>
  <si>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нет потребности / 20,03,25 списание 17шт. (брак)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</si>
  <si>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</si>
  <si>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</si>
  <si>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</si>
  <si>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>нет потребности / заказы только под Перевезенцева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</si>
  <si>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</si>
  <si>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</si>
  <si>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</si>
  <si>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</si>
  <si>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</si>
  <si>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</si>
  <si>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</si>
  <si>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>20,03,25 списание 18кг (брак)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</si>
  <si>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</si>
  <si>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</si>
  <si>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</si>
  <si>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>необходимо увеличить продажи / 08,04,25 филиал обнулил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</si>
  <si>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</si>
  <si>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</si>
  <si>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>01,04,25 филиал обнулил</t>
  </si>
  <si>
    <t xml:space="preserve"> 385  Колбаски Филейбургские с филе сочного окорока, 0,28кг ТМ Баварушка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</si>
  <si>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</si>
  <si>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</si>
  <si>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>08,01,25 списание 24 шт.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</si>
  <si>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</si>
  <si>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</si>
  <si>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</si>
  <si>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</si>
  <si>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414  Колбаса Филейбургская с филе сочного окорока 0,11 кг.с/к. ТМ Баварушка ПОКОМ</t>
  </si>
  <si>
    <t xml:space="preserve"> 417  Колбаса Филейбургская с ароматными пряностями 0,06 кг нарезка ТМ Баварушка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</si>
  <si>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</si>
  <si>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</si>
  <si>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>нет в бланке / 21,02,25 списание 11шт. (недостача)</t>
  </si>
  <si>
    <t xml:space="preserve"> 425 Сосиски Датские ТМ Зареченские,  0,3 кг.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</si>
  <si>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</si>
  <si>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</si>
  <si>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</si>
  <si>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</si>
  <si>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20,03,25 списание 43шт. (брак)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</si>
  <si>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</si>
  <si>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</si>
  <si>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</si>
  <si>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</si>
  <si>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</si>
  <si>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</si>
  <si>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</si>
  <si>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</si>
  <si>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</si>
  <si>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</si>
  <si>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</si>
  <si>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</si>
  <si>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</si>
  <si>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</si>
  <si>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</si>
  <si>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</si>
  <si>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</si>
  <si>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БОНУС_324  Ветчина Филейская ТМ Вязанка Столичная 0,45 кг ПОКОМ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</si>
  <si>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</si>
  <si>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</si>
  <si>
    <t>есть ли потребность???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</si>
  <si>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новинки</t>
    </r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</si>
  <si>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01,04,25 филиал обнулил</t>
    </r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</si>
  <si>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20,01,25 списание 24шт.</t>
    </r>
  </si>
  <si>
    <r>
      <rPr>
        <b/>
        <sz val="10"/>
        <rFont val="Arial"/>
        <family val="2"/>
        <charset val="204"/>
      </rPr>
      <t>есть ли потребность???</t>
    </r>
    <r>
      <rPr>
        <sz val="10"/>
        <rFont val="Arial"/>
        <family val="2"/>
        <charset val="204"/>
      </rPr>
      <t xml:space="preserve"> / Превезенцева</t>
    </r>
  </si>
  <si>
    <t>11,02,25 списание 53шт. (недостача)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</si>
</sst>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4" fillId="0" borderId="1" xfId="1" applyNumberFormat="1" applyFont="1"/>
    <xf numFmtId="164" fontId="1" fillId="7" borderId="1" xfId="1" applyNumberFormat="1" applyFill="1"/>
    <xf numFmtId="164" fontId="5" fillId="7" borderId="1" xfId="1" applyNumberFormat="1" applyFont="1" applyFill="1"/>
    <xf numFmtId="164" fontId="4" fillId="7" borderId="1" xfId="1" applyNumberFormat="1" applyFont="1" applyFill="1"/>
    <xf numFmtId="164" fontId="6" fillId="7" borderId="1" xfId="1" applyNumberFormat="1" applyFont="1" applyFill="1"/>
    <xf numFmtId="164" fontId="4" fillId="8" borderId="1" xfId="1" applyNumberFormat="1" applyFont="1" applyFill="1"/>
    <xf numFmtId="164" fontId="7" fillId="8" borderId="1" xfId="1" applyNumberFormat="1" applyFont="1" applyFill="1"/>
    <xf numFmtId="164" fontId="7" fillId="8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6" sqref="R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4" width="0.42578125" customWidth="1"/>
    <col min="15" max="17" width="7" customWidth="1"/>
    <col min="18" max="18" width="21" customWidth="1"/>
    <col min="19" max="20" width="5" customWidth="1"/>
    <col min="21" max="30" width="6" customWidth="1"/>
    <col min="31" max="31" width="52.8554687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3295.2429999999999</v>
      </c>
      <c r="F5" s="4">
        <f>SUM(F6:F499)</f>
        <v>5740.857</v>
      </c>
      <c r="G5" s="7"/>
      <c r="H5" s="1"/>
      <c r="I5" s="1"/>
      <c r="J5" s="4">
        <f t="shared" ref="J5:Q5" si="0">SUM(J6:J499)</f>
        <v>3649.2979999999998</v>
      </c>
      <c r="K5" s="4">
        <f t="shared" si="0"/>
        <v>-354.05499999999995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659.04860000000008</v>
      </c>
      <c r="P5" s="4">
        <f t="shared" si="0"/>
        <v>2626.1617999999994</v>
      </c>
      <c r="Q5" s="4">
        <f t="shared" si="0"/>
        <v>0</v>
      </c>
      <c r="R5" s="1"/>
      <c r="S5" s="1"/>
      <c r="T5" s="1"/>
      <c r="U5" s="4">
        <f t="shared" ref="U5:AD5" si="1">SUM(U6:U499)</f>
        <v>673.02480000000003</v>
      </c>
      <c r="V5" s="4">
        <f t="shared" si="1"/>
        <v>703.51240000000007</v>
      </c>
      <c r="W5" s="4">
        <f t="shared" si="1"/>
        <v>657.24639999999988</v>
      </c>
      <c r="X5" s="4">
        <f t="shared" si="1"/>
        <v>643.01980000000037</v>
      </c>
      <c r="Y5" s="4">
        <f t="shared" si="1"/>
        <v>626.27700000000004</v>
      </c>
      <c r="Z5" s="4">
        <f t="shared" si="1"/>
        <v>663.46739999999988</v>
      </c>
      <c r="AA5" s="4">
        <f t="shared" si="1"/>
        <v>689.05679999999995</v>
      </c>
      <c r="AB5" s="4">
        <f t="shared" si="1"/>
        <v>475.52019999999993</v>
      </c>
      <c r="AC5" s="4">
        <f t="shared" si="1"/>
        <v>583.67200000000025</v>
      </c>
      <c r="AD5" s="4">
        <f t="shared" si="1"/>
        <v>689.29660000000001</v>
      </c>
      <c r="AE5" s="1"/>
      <c r="AF5" s="4">
        <f>SUM(AF6:AF499)</f>
        <v>1631.5518000000004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3" t="s">
        <v>35</v>
      </c>
      <c r="B6" s="1" t="s">
        <v>36</v>
      </c>
      <c r="C6" s="1"/>
      <c r="D6" s="1"/>
      <c r="E6" s="1"/>
      <c r="F6" s="1"/>
      <c r="G6" s="7">
        <v>1</v>
      </c>
      <c r="H6" s="1">
        <v>50</v>
      </c>
      <c r="I6" s="1" t="s">
        <v>37</v>
      </c>
      <c r="J6" s="1"/>
      <c r="K6" s="1">
        <f t="shared" ref="K6:K37" si="2">E6-J6</f>
        <v>0</v>
      </c>
      <c r="L6" s="1"/>
      <c r="M6" s="1"/>
      <c r="N6" s="1"/>
      <c r="O6" s="1">
        <f>E6/5</f>
        <v>0</v>
      </c>
      <c r="P6" s="14">
        <v>4</v>
      </c>
      <c r="Q6" s="5"/>
      <c r="R6" s="1"/>
      <c r="S6" s="1" t="e">
        <f>(F6+P6)/O6</f>
        <v>#DIV/0!</v>
      </c>
      <c r="T6" s="1" t="e">
        <f>F6/O6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3" t="s">
        <v>38</v>
      </c>
      <c r="AF6" s="1">
        <f t="shared" ref="AF6:AF12" si="3">G6*P6</f>
        <v>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36</v>
      </c>
      <c r="C7" s="1">
        <v>8.6809999999999992</v>
      </c>
      <c r="D7" s="1">
        <v>41.08</v>
      </c>
      <c r="E7" s="1">
        <v>21.448</v>
      </c>
      <c r="F7" s="1">
        <v>13.356</v>
      </c>
      <c r="G7" s="7">
        <v>1</v>
      </c>
      <c r="H7" s="1">
        <v>50</v>
      </c>
      <c r="I7" s="1" t="s">
        <v>37</v>
      </c>
      <c r="J7" s="1">
        <v>16.3</v>
      </c>
      <c r="K7" s="1">
        <f t="shared" si="2"/>
        <v>5.1479999999999997</v>
      </c>
      <c r="L7" s="1"/>
      <c r="M7" s="1"/>
      <c r="N7" s="1"/>
      <c r="O7" s="1">
        <f t="shared" ref="O7:O70" si="4">E7/5</f>
        <v>4.2896000000000001</v>
      </c>
      <c r="P7" s="5">
        <f>11*O7-F7</f>
        <v>33.829599999999999</v>
      </c>
      <c r="Q7" s="5"/>
      <c r="R7" s="1"/>
      <c r="S7" s="1">
        <f t="shared" ref="S7:S70" si="5">(F7+P7)/O7</f>
        <v>11</v>
      </c>
      <c r="T7" s="1">
        <f t="shared" ref="T7:T70" si="6">F7/O7</f>
        <v>3.1135770234986944</v>
      </c>
      <c r="U7" s="1">
        <v>2.9956</v>
      </c>
      <c r="V7" s="1">
        <v>3.4784000000000002</v>
      </c>
      <c r="W7" s="1">
        <v>2.6669999999999998</v>
      </c>
      <c r="X7" s="1">
        <v>3.4977999999999998</v>
      </c>
      <c r="Y7" s="1">
        <v>1.5964</v>
      </c>
      <c r="Z7" s="1">
        <v>3.972399999999999</v>
      </c>
      <c r="AA7" s="1">
        <v>6.0983999999999998</v>
      </c>
      <c r="AB7" s="1">
        <v>3.2120000000000002</v>
      </c>
      <c r="AC7" s="1">
        <v>6.4159999999999986</v>
      </c>
      <c r="AD7" s="1">
        <v>4.1921999999999997</v>
      </c>
      <c r="AE7" s="1" t="s">
        <v>40</v>
      </c>
      <c r="AF7" s="1">
        <f t="shared" si="3"/>
        <v>33.829599999999999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36</v>
      </c>
      <c r="C8" s="1">
        <v>2.2229999999999999</v>
      </c>
      <c r="D8" s="1">
        <v>126.331</v>
      </c>
      <c r="E8" s="1">
        <v>46.03</v>
      </c>
      <c r="F8" s="1">
        <v>72.819999999999993</v>
      </c>
      <c r="G8" s="7">
        <v>1</v>
      </c>
      <c r="H8" s="1">
        <v>45</v>
      </c>
      <c r="I8" s="1" t="s">
        <v>37</v>
      </c>
      <c r="J8" s="1">
        <v>45.265000000000001</v>
      </c>
      <c r="K8" s="1">
        <f t="shared" si="2"/>
        <v>0.76500000000000057</v>
      </c>
      <c r="L8" s="1"/>
      <c r="M8" s="1"/>
      <c r="N8" s="1"/>
      <c r="O8" s="1">
        <f t="shared" si="4"/>
        <v>9.2059999999999995</v>
      </c>
      <c r="P8" s="5">
        <f t="shared" ref="P8:P10" si="7">13*O8-F8</f>
        <v>46.858000000000004</v>
      </c>
      <c r="Q8" s="5"/>
      <c r="R8" s="1"/>
      <c r="S8" s="1">
        <f t="shared" si="5"/>
        <v>13</v>
      </c>
      <c r="T8" s="1">
        <f t="shared" si="6"/>
        <v>7.9100586573973493</v>
      </c>
      <c r="U8" s="1">
        <v>0.75679999999999992</v>
      </c>
      <c r="V8" s="1">
        <v>16.958400000000001</v>
      </c>
      <c r="W8" s="1">
        <v>5.0888</v>
      </c>
      <c r="X8" s="1">
        <v>8.4304000000000006</v>
      </c>
      <c r="Y8" s="1">
        <v>4.2012</v>
      </c>
      <c r="Z8" s="1">
        <v>8.6690000000000005</v>
      </c>
      <c r="AA8" s="1">
        <v>10.283200000000001</v>
      </c>
      <c r="AB8" s="1">
        <v>8.7986000000000004</v>
      </c>
      <c r="AC8" s="1">
        <v>7.1909999999999998</v>
      </c>
      <c r="AD8" s="1">
        <v>4.5941999999999998</v>
      </c>
      <c r="AE8" s="1"/>
      <c r="AF8" s="1">
        <f t="shared" si="3"/>
        <v>46.858000000000004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42</v>
      </c>
      <c r="B9" s="1" t="s">
        <v>43</v>
      </c>
      <c r="C9" s="1"/>
      <c r="D9" s="1"/>
      <c r="E9" s="1"/>
      <c r="F9" s="1"/>
      <c r="G9" s="7">
        <v>0.5</v>
      </c>
      <c r="H9" s="1">
        <v>50</v>
      </c>
      <c r="I9" s="1" t="s">
        <v>37</v>
      </c>
      <c r="J9" s="1"/>
      <c r="K9" s="1">
        <f t="shared" si="2"/>
        <v>0</v>
      </c>
      <c r="L9" s="1"/>
      <c r="M9" s="1"/>
      <c r="N9" s="1"/>
      <c r="O9" s="1">
        <f t="shared" si="4"/>
        <v>0</v>
      </c>
      <c r="P9" s="14">
        <v>10</v>
      </c>
      <c r="Q9" s="5"/>
      <c r="R9" s="1"/>
      <c r="S9" s="1" t="e">
        <f t="shared" si="5"/>
        <v>#DIV/0!</v>
      </c>
      <c r="T9" s="1" t="e">
        <f t="shared" si="6"/>
        <v>#DIV/0!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-0.4</v>
      </c>
      <c r="AD9" s="1">
        <v>-0.2</v>
      </c>
      <c r="AE9" s="13" t="s">
        <v>44</v>
      </c>
      <c r="AF9" s="1">
        <f t="shared" si="3"/>
        <v>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43</v>
      </c>
      <c r="C10" s="1">
        <v>116</v>
      </c>
      <c r="D10" s="1">
        <v>396</v>
      </c>
      <c r="E10" s="1">
        <v>161</v>
      </c>
      <c r="F10" s="1">
        <v>248</v>
      </c>
      <c r="G10" s="7">
        <v>0.4</v>
      </c>
      <c r="H10" s="1">
        <v>50</v>
      </c>
      <c r="I10" s="1" t="s">
        <v>37</v>
      </c>
      <c r="J10" s="1">
        <v>198</v>
      </c>
      <c r="K10" s="1">
        <f t="shared" si="2"/>
        <v>-37</v>
      </c>
      <c r="L10" s="1"/>
      <c r="M10" s="1"/>
      <c r="N10" s="1"/>
      <c r="O10" s="1">
        <f t="shared" si="4"/>
        <v>32.200000000000003</v>
      </c>
      <c r="P10" s="5">
        <f t="shared" si="7"/>
        <v>170.60000000000002</v>
      </c>
      <c r="Q10" s="5"/>
      <c r="R10" s="1"/>
      <c r="S10" s="1">
        <f t="shared" si="5"/>
        <v>13</v>
      </c>
      <c r="T10" s="1">
        <f t="shared" si="6"/>
        <v>7.7018633540372665</v>
      </c>
      <c r="U10" s="1">
        <v>32</v>
      </c>
      <c r="V10" s="1">
        <v>35</v>
      </c>
      <c r="W10" s="1">
        <v>37.4</v>
      </c>
      <c r="X10" s="1">
        <v>30.6</v>
      </c>
      <c r="Y10" s="1">
        <v>25.2</v>
      </c>
      <c r="Z10" s="1">
        <v>39.200000000000003</v>
      </c>
      <c r="AA10" s="1">
        <v>38.4</v>
      </c>
      <c r="AB10" s="1">
        <v>32.6</v>
      </c>
      <c r="AC10" s="1">
        <v>21.2</v>
      </c>
      <c r="AD10" s="1">
        <v>48</v>
      </c>
      <c r="AE10" s="1"/>
      <c r="AF10" s="1">
        <f t="shared" si="3"/>
        <v>68.240000000000009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43</v>
      </c>
      <c r="C11" s="1">
        <v>9</v>
      </c>
      <c r="D11" s="1"/>
      <c r="E11" s="1"/>
      <c r="F11" s="1"/>
      <c r="G11" s="7">
        <v>0.5</v>
      </c>
      <c r="H11" s="1">
        <v>31</v>
      </c>
      <c r="I11" s="1" t="s">
        <v>37</v>
      </c>
      <c r="J11" s="1">
        <v>3</v>
      </c>
      <c r="K11" s="1">
        <f t="shared" si="2"/>
        <v>-3</v>
      </c>
      <c r="L11" s="1"/>
      <c r="M11" s="1"/>
      <c r="N11" s="1"/>
      <c r="O11" s="1">
        <f t="shared" si="4"/>
        <v>0</v>
      </c>
      <c r="P11" s="22">
        <v>0</v>
      </c>
      <c r="Q11" s="5"/>
      <c r="R11" s="1"/>
      <c r="S11" s="1" t="e">
        <f t="shared" si="5"/>
        <v>#DIV/0!</v>
      </c>
      <c r="T11" s="1" t="e">
        <f t="shared" si="6"/>
        <v>#DIV/0!</v>
      </c>
      <c r="U11" s="1">
        <v>0</v>
      </c>
      <c r="V11" s="1">
        <v>-0.2</v>
      </c>
      <c r="W11" s="1">
        <v>0</v>
      </c>
      <c r="X11" s="1">
        <v>-0.4</v>
      </c>
      <c r="Y11" s="1">
        <v>-0.4</v>
      </c>
      <c r="Z11" s="1">
        <v>0.6</v>
      </c>
      <c r="AA11" s="1">
        <v>0</v>
      </c>
      <c r="AB11" s="1">
        <v>-0.2</v>
      </c>
      <c r="AC11" s="1">
        <v>0</v>
      </c>
      <c r="AD11" s="1">
        <v>0.8</v>
      </c>
      <c r="AE11" s="21" t="s">
        <v>149</v>
      </c>
      <c r="AF11" s="1">
        <f t="shared" si="3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43</v>
      </c>
      <c r="C12" s="1">
        <v>9</v>
      </c>
      <c r="D12" s="1">
        <v>330</v>
      </c>
      <c r="E12" s="1">
        <v>84</v>
      </c>
      <c r="F12" s="1">
        <v>234</v>
      </c>
      <c r="G12" s="7">
        <v>0.45</v>
      </c>
      <c r="H12" s="1">
        <v>45</v>
      </c>
      <c r="I12" s="1" t="s">
        <v>37</v>
      </c>
      <c r="J12" s="1">
        <v>104</v>
      </c>
      <c r="K12" s="1">
        <f t="shared" si="2"/>
        <v>-20</v>
      </c>
      <c r="L12" s="1"/>
      <c r="M12" s="1"/>
      <c r="N12" s="1"/>
      <c r="O12" s="1">
        <f t="shared" si="4"/>
        <v>16.8</v>
      </c>
      <c r="P12" s="5"/>
      <c r="Q12" s="5"/>
      <c r="R12" s="1"/>
      <c r="S12" s="1">
        <f t="shared" si="5"/>
        <v>13.928571428571429</v>
      </c>
      <c r="T12" s="1">
        <f t="shared" si="6"/>
        <v>13.928571428571429</v>
      </c>
      <c r="U12" s="1">
        <v>19.8</v>
      </c>
      <c r="V12" s="1">
        <v>26.8</v>
      </c>
      <c r="W12" s="1">
        <v>21.2</v>
      </c>
      <c r="X12" s="1">
        <v>23.8</v>
      </c>
      <c r="Y12" s="1">
        <v>20</v>
      </c>
      <c r="Z12" s="1">
        <v>22.8</v>
      </c>
      <c r="AA12" s="1">
        <v>21.6</v>
      </c>
      <c r="AB12" s="1">
        <v>18</v>
      </c>
      <c r="AC12" s="1">
        <v>21.4</v>
      </c>
      <c r="AD12" s="1">
        <v>37.200000000000003</v>
      </c>
      <c r="AE12" s="1"/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0" t="s">
        <v>49</v>
      </c>
      <c r="B13" s="10" t="s">
        <v>43</v>
      </c>
      <c r="C13" s="10"/>
      <c r="D13" s="10"/>
      <c r="E13" s="10"/>
      <c r="F13" s="10"/>
      <c r="G13" s="11">
        <v>0</v>
      </c>
      <c r="H13" s="10" t="e">
        <v>#N/A</v>
      </c>
      <c r="I13" s="10" t="s">
        <v>37</v>
      </c>
      <c r="J13" s="10"/>
      <c r="K13" s="10">
        <f t="shared" si="2"/>
        <v>0</v>
      </c>
      <c r="L13" s="10"/>
      <c r="M13" s="10"/>
      <c r="N13" s="10"/>
      <c r="O13" s="10">
        <f t="shared" si="4"/>
        <v>0</v>
      </c>
      <c r="P13" s="12"/>
      <c r="Q13" s="12"/>
      <c r="R13" s="10"/>
      <c r="S13" s="10" t="e">
        <f t="shared" si="5"/>
        <v>#DIV/0!</v>
      </c>
      <c r="T13" s="10" t="e">
        <f t="shared" si="6"/>
        <v>#DIV/0!</v>
      </c>
      <c r="U13" s="10">
        <v>-0.4</v>
      </c>
      <c r="V13" s="10">
        <v>-0.4</v>
      </c>
      <c r="W13" s="10">
        <v>-0.8</v>
      </c>
      <c r="X13" s="10">
        <v>-0.4</v>
      </c>
      <c r="Y13" s="10">
        <v>0.6</v>
      </c>
      <c r="Z13" s="10">
        <v>2.2000000000000002</v>
      </c>
      <c r="AA13" s="10">
        <v>3.4</v>
      </c>
      <c r="AB13" s="10">
        <v>2.6</v>
      </c>
      <c r="AC13" s="10">
        <v>4.5999999999999996</v>
      </c>
      <c r="AD13" s="10">
        <v>7</v>
      </c>
      <c r="AE13" s="10" t="s">
        <v>50</v>
      </c>
      <c r="AF13" s="10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43</v>
      </c>
      <c r="C14" s="1">
        <v>13</v>
      </c>
      <c r="D14" s="1">
        <v>253</v>
      </c>
      <c r="E14" s="1">
        <v>85</v>
      </c>
      <c r="F14" s="1">
        <v>147</v>
      </c>
      <c r="G14" s="7">
        <v>0.45</v>
      </c>
      <c r="H14" s="1">
        <v>45</v>
      </c>
      <c r="I14" s="1" t="s">
        <v>37</v>
      </c>
      <c r="J14" s="1">
        <v>139</v>
      </c>
      <c r="K14" s="1">
        <f t="shared" si="2"/>
        <v>-54</v>
      </c>
      <c r="L14" s="1"/>
      <c r="M14" s="1"/>
      <c r="N14" s="1"/>
      <c r="O14" s="1">
        <f t="shared" si="4"/>
        <v>17</v>
      </c>
      <c r="P14" s="5">
        <f t="shared" ref="P14" si="8">13*O14-F14</f>
        <v>74</v>
      </c>
      <c r="Q14" s="5"/>
      <c r="R14" s="1"/>
      <c r="S14" s="1">
        <f t="shared" si="5"/>
        <v>13</v>
      </c>
      <c r="T14" s="1">
        <f t="shared" si="6"/>
        <v>8.6470588235294112</v>
      </c>
      <c r="U14" s="1">
        <v>25.2</v>
      </c>
      <c r="V14" s="1">
        <v>21.6</v>
      </c>
      <c r="W14" s="1">
        <v>21.6</v>
      </c>
      <c r="X14" s="1">
        <v>20.2</v>
      </c>
      <c r="Y14" s="1">
        <v>18.399999999999999</v>
      </c>
      <c r="Z14" s="1">
        <v>16.8</v>
      </c>
      <c r="AA14" s="1">
        <v>19.8</v>
      </c>
      <c r="AB14" s="1">
        <v>20</v>
      </c>
      <c r="AC14" s="1">
        <v>21.4</v>
      </c>
      <c r="AD14" s="1">
        <v>26.6</v>
      </c>
      <c r="AE14" s="1"/>
      <c r="AF14" s="1">
        <f t="shared" ref="AF14:AF22" si="9">G14*P14</f>
        <v>33.300000000000004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52</v>
      </c>
      <c r="B15" s="1" t="s">
        <v>43</v>
      </c>
      <c r="C15" s="1">
        <v>3</v>
      </c>
      <c r="D15" s="1">
        <v>45</v>
      </c>
      <c r="E15" s="1">
        <v>23</v>
      </c>
      <c r="F15" s="1">
        <v>19</v>
      </c>
      <c r="G15" s="7">
        <v>0.5</v>
      </c>
      <c r="H15" s="1">
        <v>40</v>
      </c>
      <c r="I15" s="1" t="s">
        <v>37</v>
      </c>
      <c r="J15" s="1">
        <v>3</v>
      </c>
      <c r="K15" s="1">
        <f t="shared" si="2"/>
        <v>20</v>
      </c>
      <c r="L15" s="1"/>
      <c r="M15" s="1"/>
      <c r="N15" s="1"/>
      <c r="O15" s="1">
        <f t="shared" si="4"/>
        <v>4.5999999999999996</v>
      </c>
      <c r="P15" s="5">
        <f>12*O15-F15</f>
        <v>36.199999999999996</v>
      </c>
      <c r="Q15" s="5"/>
      <c r="R15" s="1"/>
      <c r="S15" s="1">
        <f t="shared" si="5"/>
        <v>12</v>
      </c>
      <c r="T15" s="1">
        <f t="shared" si="6"/>
        <v>4.1304347826086962</v>
      </c>
      <c r="U15" s="1">
        <v>0.8</v>
      </c>
      <c r="V15" s="1">
        <v>6.2</v>
      </c>
      <c r="W15" s="1">
        <v>0.2</v>
      </c>
      <c r="X15" s="1">
        <v>4.2</v>
      </c>
      <c r="Y15" s="1">
        <v>2.6</v>
      </c>
      <c r="Z15" s="1">
        <v>3.8</v>
      </c>
      <c r="AA15" s="1">
        <v>1.8</v>
      </c>
      <c r="AB15" s="1">
        <v>3.8</v>
      </c>
      <c r="AC15" s="1">
        <v>5.2</v>
      </c>
      <c r="AD15" s="1">
        <v>0</v>
      </c>
      <c r="AE15" s="1"/>
      <c r="AF15" s="1">
        <f t="shared" si="9"/>
        <v>18.099999999999998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54</v>
      </c>
      <c r="B16" s="1" t="s">
        <v>43</v>
      </c>
      <c r="C16" s="1">
        <v>11</v>
      </c>
      <c r="D16" s="1">
        <v>10</v>
      </c>
      <c r="E16" s="1">
        <v>2</v>
      </c>
      <c r="F16" s="1">
        <v>7</v>
      </c>
      <c r="G16" s="7">
        <v>0.4</v>
      </c>
      <c r="H16" s="1">
        <v>50</v>
      </c>
      <c r="I16" s="1" t="s">
        <v>37</v>
      </c>
      <c r="J16" s="1">
        <v>6</v>
      </c>
      <c r="K16" s="1">
        <f t="shared" si="2"/>
        <v>-4</v>
      </c>
      <c r="L16" s="1"/>
      <c r="M16" s="1"/>
      <c r="N16" s="1"/>
      <c r="O16" s="1">
        <f t="shared" si="4"/>
        <v>0.4</v>
      </c>
      <c r="P16" s="5"/>
      <c r="Q16" s="5"/>
      <c r="R16" s="1"/>
      <c r="S16" s="1">
        <f t="shared" si="5"/>
        <v>17.5</v>
      </c>
      <c r="T16" s="1">
        <f t="shared" si="6"/>
        <v>17.5</v>
      </c>
      <c r="U16" s="1">
        <v>-0.8</v>
      </c>
      <c r="V16" s="1">
        <v>-1</v>
      </c>
      <c r="W16" s="1">
        <v>-0.4</v>
      </c>
      <c r="X16" s="1">
        <v>0.8</v>
      </c>
      <c r="Y16" s="1">
        <v>1</v>
      </c>
      <c r="Z16" s="1">
        <v>0.4</v>
      </c>
      <c r="AA16" s="1">
        <v>1.2</v>
      </c>
      <c r="AB16" s="1">
        <v>0.4</v>
      </c>
      <c r="AC16" s="1">
        <v>1</v>
      </c>
      <c r="AD16" s="1">
        <v>1.4</v>
      </c>
      <c r="AE16" s="18" t="s">
        <v>53</v>
      </c>
      <c r="AF16" s="1">
        <f t="shared" si="9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43</v>
      </c>
      <c r="C17" s="1">
        <v>90</v>
      </c>
      <c r="D17" s="1"/>
      <c r="E17" s="1">
        <v>13</v>
      </c>
      <c r="F17" s="1">
        <v>77</v>
      </c>
      <c r="G17" s="7">
        <v>0.17</v>
      </c>
      <c r="H17" s="1">
        <v>180</v>
      </c>
      <c r="I17" s="1" t="s">
        <v>37</v>
      </c>
      <c r="J17" s="1">
        <v>7</v>
      </c>
      <c r="K17" s="1">
        <f t="shared" si="2"/>
        <v>6</v>
      </c>
      <c r="L17" s="1"/>
      <c r="M17" s="1"/>
      <c r="N17" s="1"/>
      <c r="O17" s="1">
        <f t="shared" si="4"/>
        <v>2.6</v>
      </c>
      <c r="P17" s="5"/>
      <c r="Q17" s="5"/>
      <c r="R17" s="1"/>
      <c r="S17" s="1">
        <f t="shared" si="5"/>
        <v>29.615384615384613</v>
      </c>
      <c r="T17" s="1">
        <f t="shared" si="6"/>
        <v>29.615384615384613</v>
      </c>
      <c r="U17" s="1">
        <v>0.8</v>
      </c>
      <c r="V17" s="1">
        <v>4</v>
      </c>
      <c r="W17" s="1">
        <v>1.8</v>
      </c>
      <c r="X17" s="1">
        <v>1.2</v>
      </c>
      <c r="Y17" s="1">
        <v>2.4</v>
      </c>
      <c r="Z17" s="1">
        <v>1.6</v>
      </c>
      <c r="AA17" s="1">
        <v>1.4</v>
      </c>
      <c r="AB17" s="1">
        <v>1.2</v>
      </c>
      <c r="AC17" s="1">
        <v>4.5999999999999996</v>
      </c>
      <c r="AD17" s="1">
        <v>1.8</v>
      </c>
      <c r="AE17" s="19" t="s">
        <v>47</v>
      </c>
      <c r="AF17" s="1">
        <f t="shared" si="9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56</v>
      </c>
      <c r="B18" s="1" t="s">
        <v>43</v>
      </c>
      <c r="C18" s="1">
        <v>5</v>
      </c>
      <c r="D18" s="1"/>
      <c r="E18" s="1"/>
      <c r="F18" s="1"/>
      <c r="G18" s="7">
        <v>0.45</v>
      </c>
      <c r="H18" s="1">
        <v>50</v>
      </c>
      <c r="I18" s="1" t="s">
        <v>37</v>
      </c>
      <c r="J18" s="1"/>
      <c r="K18" s="1">
        <f t="shared" si="2"/>
        <v>0</v>
      </c>
      <c r="L18" s="1"/>
      <c r="M18" s="1"/>
      <c r="N18" s="1"/>
      <c r="O18" s="1">
        <f t="shared" si="4"/>
        <v>0</v>
      </c>
      <c r="P18" s="22">
        <v>0</v>
      </c>
      <c r="Q18" s="5"/>
      <c r="R18" s="1"/>
      <c r="S18" s="1" t="e">
        <f t="shared" si="5"/>
        <v>#DIV/0!</v>
      </c>
      <c r="T18" s="1" t="e">
        <f t="shared" si="6"/>
        <v>#DIV/0!</v>
      </c>
      <c r="U18" s="1">
        <v>-0.2</v>
      </c>
      <c r="V18" s="1">
        <v>0</v>
      </c>
      <c r="W18" s="1">
        <v>0</v>
      </c>
      <c r="X18" s="1">
        <v>0</v>
      </c>
      <c r="Y18" s="1">
        <v>0.2</v>
      </c>
      <c r="Z18" s="1">
        <v>0.4</v>
      </c>
      <c r="AA18" s="1">
        <v>0</v>
      </c>
      <c r="AB18" s="1">
        <v>0</v>
      </c>
      <c r="AC18" s="1">
        <v>0.2</v>
      </c>
      <c r="AD18" s="1">
        <v>0</v>
      </c>
      <c r="AE18" s="20" t="s">
        <v>152</v>
      </c>
      <c r="AF18" s="1">
        <f t="shared" si="9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57</v>
      </c>
      <c r="B19" s="1" t="s">
        <v>43</v>
      </c>
      <c r="C19" s="1">
        <v>12</v>
      </c>
      <c r="D19" s="1">
        <v>36</v>
      </c>
      <c r="E19" s="1">
        <v>24</v>
      </c>
      <c r="F19" s="1">
        <v>17</v>
      </c>
      <c r="G19" s="7">
        <v>0.3</v>
      </c>
      <c r="H19" s="1">
        <v>40</v>
      </c>
      <c r="I19" s="1" t="s">
        <v>37</v>
      </c>
      <c r="J19" s="1">
        <v>23</v>
      </c>
      <c r="K19" s="1">
        <f t="shared" si="2"/>
        <v>1</v>
      </c>
      <c r="L19" s="1"/>
      <c r="M19" s="1"/>
      <c r="N19" s="1"/>
      <c r="O19" s="1">
        <f t="shared" si="4"/>
        <v>4.8</v>
      </c>
      <c r="P19" s="5">
        <f>12*O19-F19</f>
        <v>40.599999999999994</v>
      </c>
      <c r="Q19" s="5"/>
      <c r="R19" s="1"/>
      <c r="S19" s="1">
        <f t="shared" si="5"/>
        <v>12</v>
      </c>
      <c r="T19" s="1">
        <f t="shared" si="6"/>
        <v>3.541666666666667</v>
      </c>
      <c r="U19" s="1">
        <v>3.2</v>
      </c>
      <c r="V19" s="1">
        <v>2.6</v>
      </c>
      <c r="W19" s="1">
        <v>3</v>
      </c>
      <c r="X19" s="1">
        <v>1.4</v>
      </c>
      <c r="Y19" s="1">
        <v>4.2</v>
      </c>
      <c r="Z19" s="1">
        <v>3</v>
      </c>
      <c r="AA19" s="1">
        <v>2.2000000000000002</v>
      </c>
      <c r="AB19" s="1">
        <v>2.2000000000000002</v>
      </c>
      <c r="AC19" s="1">
        <v>5.4</v>
      </c>
      <c r="AD19" s="1">
        <v>3.4</v>
      </c>
      <c r="AE19" s="1"/>
      <c r="AF19" s="1">
        <f t="shared" si="9"/>
        <v>12.179999999999998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58</v>
      </c>
      <c r="B20" s="1" t="s">
        <v>43</v>
      </c>
      <c r="C20" s="1">
        <v>2</v>
      </c>
      <c r="D20" s="1">
        <v>12</v>
      </c>
      <c r="E20" s="1">
        <v>4</v>
      </c>
      <c r="F20" s="1">
        <v>9</v>
      </c>
      <c r="G20" s="7">
        <v>0.4</v>
      </c>
      <c r="H20" s="1" t="e">
        <v>#N/A</v>
      </c>
      <c r="I20" s="1" t="s">
        <v>37</v>
      </c>
      <c r="J20" s="1">
        <v>3</v>
      </c>
      <c r="K20" s="1">
        <f t="shared" si="2"/>
        <v>1</v>
      </c>
      <c r="L20" s="1"/>
      <c r="M20" s="1"/>
      <c r="N20" s="1"/>
      <c r="O20" s="1">
        <f t="shared" si="4"/>
        <v>0.8</v>
      </c>
      <c r="P20" s="5"/>
      <c r="Q20" s="5"/>
      <c r="R20" s="1"/>
      <c r="S20" s="1">
        <f t="shared" si="5"/>
        <v>11.25</v>
      </c>
      <c r="T20" s="1">
        <f t="shared" si="6"/>
        <v>11.25</v>
      </c>
      <c r="U20" s="1">
        <v>0</v>
      </c>
      <c r="V20" s="1">
        <v>1</v>
      </c>
      <c r="W20" s="1">
        <v>0.2</v>
      </c>
      <c r="X20" s="1">
        <v>0.4</v>
      </c>
      <c r="Y20" s="1">
        <v>1.6</v>
      </c>
      <c r="Z20" s="1">
        <v>1</v>
      </c>
      <c r="AA20" s="1">
        <v>0.6</v>
      </c>
      <c r="AB20" s="1">
        <v>0.4</v>
      </c>
      <c r="AC20" s="1">
        <v>1</v>
      </c>
      <c r="AD20" s="1">
        <v>2.4</v>
      </c>
      <c r="AE20" s="1"/>
      <c r="AF20" s="1">
        <f t="shared" si="9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43</v>
      </c>
      <c r="C21" s="1">
        <v>85</v>
      </c>
      <c r="D21" s="1"/>
      <c r="E21" s="1">
        <v>-9</v>
      </c>
      <c r="F21" s="1">
        <v>76</v>
      </c>
      <c r="G21" s="7">
        <v>0.35</v>
      </c>
      <c r="H21" s="1">
        <v>40</v>
      </c>
      <c r="I21" s="1" t="s">
        <v>37</v>
      </c>
      <c r="J21" s="1">
        <v>14</v>
      </c>
      <c r="K21" s="1">
        <f t="shared" si="2"/>
        <v>-23</v>
      </c>
      <c r="L21" s="1"/>
      <c r="M21" s="1"/>
      <c r="N21" s="1"/>
      <c r="O21" s="1">
        <f t="shared" si="4"/>
        <v>-1.8</v>
      </c>
      <c r="P21" s="5"/>
      <c r="Q21" s="5"/>
      <c r="R21" s="1"/>
      <c r="S21" s="1">
        <f t="shared" si="5"/>
        <v>-42.222222222222221</v>
      </c>
      <c r="T21" s="1">
        <f t="shared" si="6"/>
        <v>-42.222222222222221</v>
      </c>
      <c r="U21" s="1">
        <v>2</v>
      </c>
      <c r="V21" s="1">
        <v>2.2000000000000002</v>
      </c>
      <c r="W21" s="1">
        <v>7</v>
      </c>
      <c r="X21" s="1">
        <v>11.8</v>
      </c>
      <c r="Y21" s="1">
        <v>1.4</v>
      </c>
      <c r="Z21" s="1">
        <v>11.4</v>
      </c>
      <c r="AA21" s="1">
        <v>28.6</v>
      </c>
      <c r="AB21" s="1">
        <v>10.4</v>
      </c>
      <c r="AC21" s="1">
        <v>12.2</v>
      </c>
      <c r="AD21" s="1">
        <v>3</v>
      </c>
      <c r="AE21" s="19" t="s">
        <v>47</v>
      </c>
      <c r="AF21" s="1">
        <f t="shared" si="9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43</v>
      </c>
      <c r="C22" s="1">
        <v>4</v>
      </c>
      <c r="D22" s="1">
        <v>75</v>
      </c>
      <c r="E22" s="1">
        <v>19</v>
      </c>
      <c r="F22" s="1">
        <v>60</v>
      </c>
      <c r="G22" s="7">
        <v>0.17</v>
      </c>
      <c r="H22" s="1">
        <v>120</v>
      </c>
      <c r="I22" s="1" t="s">
        <v>37</v>
      </c>
      <c r="J22" s="1">
        <v>29</v>
      </c>
      <c r="K22" s="1">
        <f t="shared" si="2"/>
        <v>-10</v>
      </c>
      <c r="L22" s="1"/>
      <c r="M22" s="1"/>
      <c r="N22" s="1"/>
      <c r="O22" s="1">
        <f t="shared" si="4"/>
        <v>3.8</v>
      </c>
      <c r="P22" s="5"/>
      <c r="Q22" s="5"/>
      <c r="R22" s="1"/>
      <c r="S22" s="1">
        <f t="shared" si="5"/>
        <v>15.789473684210527</v>
      </c>
      <c r="T22" s="1">
        <f t="shared" si="6"/>
        <v>15.789473684210527</v>
      </c>
      <c r="U22" s="1">
        <v>5.8</v>
      </c>
      <c r="V22" s="1">
        <v>6.4</v>
      </c>
      <c r="W22" s="1">
        <v>4.4000000000000004</v>
      </c>
      <c r="X22" s="1">
        <v>6.6</v>
      </c>
      <c r="Y22" s="1">
        <v>5</v>
      </c>
      <c r="Z22" s="1">
        <v>4.8</v>
      </c>
      <c r="AA22" s="1">
        <v>5.6</v>
      </c>
      <c r="AB22" s="1">
        <v>3.4</v>
      </c>
      <c r="AC22" s="1">
        <v>4.4000000000000004</v>
      </c>
      <c r="AD22" s="1">
        <v>7</v>
      </c>
      <c r="AE22" s="1"/>
      <c r="AF22" s="1">
        <f t="shared" si="9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61</v>
      </c>
      <c r="B23" s="10" t="s">
        <v>43</v>
      </c>
      <c r="C23" s="10"/>
      <c r="D23" s="10"/>
      <c r="E23" s="10"/>
      <c r="F23" s="10"/>
      <c r="G23" s="11">
        <v>0</v>
      </c>
      <c r="H23" s="10">
        <v>120</v>
      </c>
      <c r="I23" s="10" t="s">
        <v>37</v>
      </c>
      <c r="J23" s="10"/>
      <c r="K23" s="10">
        <f t="shared" si="2"/>
        <v>0</v>
      </c>
      <c r="L23" s="10"/>
      <c r="M23" s="10"/>
      <c r="N23" s="10"/>
      <c r="O23" s="10">
        <f t="shared" si="4"/>
        <v>0</v>
      </c>
      <c r="P23" s="12"/>
      <c r="Q23" s="12"/>
      <c r="R23" s="10"/>
      <c r="S23" s="10" t="e">
        <f t="shared" si="5"/>
        <v>#DIV/0!</v>
      </c>
      <c r="T23" s="10" t="e">
        <f t="shared" si="6"/>
        <v>#DIV/0!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 t="s">
        <v>62</v>
      </c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43</v>
      </c>
      <c r="C24" s="1"/>
      <c r="D24" s="1">
        <v>6</v>
      </c>
      <c r="E24" s="1">
        <v>-2</v>
      </c>
      <c r="F24" s="1">
        <v>5</v>
      </c>
      <c r="G24" s="7">
        <v>0.35</v>
      </c>
      <c r="H24" s="1">
        <v>45</v>
      </c>
      <c r="I24" s="1" t="s">
        <v>37</v>
      </c>
      <c r="J24" s="1"/>
      <c r="K24" s="1">
        <f t="shared" si="2"/>
        <v>-2</v>
      </c>
      <c r="L24" s="1"/>
      <c r="M24" s="1"/>
      <c r="N24" s="1"/>
      <c r="O24" s="1">
        <f t="shared" si="4"/>
        <v>-0.4</v>
      </c>
      <c r="P24" s="5"/>
      <c r="Q24" s="5"/>
      <c r="R24" s="1"/>
      <c r="S24" s="1">
        <f t="shared" si="5"/>
        <v>-12.5</v>
      </c>
      <c r="T24" s="1">
        <f t="shared" si="6"/>
        <v>-12.5</v>
      </c>
      <c r="U24" s="1">
        <v>-0.2</v>
      </c>
      <c r="V24" s="1">
        <v>0.4</v>
      </c>
      <c r="W24" s="1">
        <v>-0.6</v>
      </c>
      <c r="X24" s="1">
        <v>0.2</v>
      </c>
      <c r="Y24" s="1">
        <v>0.4</v>
      </c>
      <c r="Z24" s="1">
        <v>0.6</v>
      </c>
      <c r="AA24" s="1">
        <v>1</v>
      </c>
      <c r="AB24" s="1">
        <v>1.6</v>
      </c>
      <c r="AC24" s="1">
        <v>1</v>
      </c>
      <c r="AD24" s="1">
        <v>0.6</v>
      </c>
      <c r="AE24" s="1"/>
      <c r="AF24" s="1">
        <f t="shared" ref="AF24:AF29" si="10">G24*P24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64</v>
      </c>
      <c r="B25" s="1" t="s">
        <v>43</v>
      </c>
      <c r="C25" s="1"/>
      <c r="D25" s="1">
        <v>6</v>
      </c>
      <c r="E25" s="1">
        <v>-4</v>
      </c>
      <c r="F25" s="1">
        <v>3</v>
      </c>
      <c r="G25" s="7">
        <v>0.35</v>
      </c>
      <c r="H25" s="1">
        <v>45</v>
      </c>
      <c r="I25" s="1" t="s">
        <v>37</v>
      </c>
      <c r="J25" s="1"/>
      <c r="K25" s="1">
        <f t="shared" si="2"/>
        <v>-4</v>
      </c>
      <c r="L25" s="1"/>
      <c r="M25" s="1"/>
      <c r="N25" s="1"/>
      <c r="O25" s="1">
        <f t="shared" si="4"/>
        <v>-0.8</v>
      </c>
      <c r="P25" s="22">
        <v>0</v>
      </c>
      <c r="Q25" s="5"/>
      <c r="R25" s="1"/>
      <c r="S25" s="1">
        <f t="shared" si="5"/>
        <v>-3.75</v>
      </c>
      <c r="T25" s="1">
        <f t="shared" si="6"/>
        <v>-3.75</v>
      </c>
      <c r="U25" s="1">
        <v>-0.6</v>
      </c>
      <c r="V25" s="1">
        <v>0.4</v>
      </c>
      <c r="W25" s="1">
        <v>0</v>
      </c>
      <c r="X25" s="1">
        <v>0.6</v>
      </c>
      <c r="Y25" s="1">
        <v>0.8</v>
      </c>
      <c r="Z25" s="1">
        <v>2.4</v>
      </c>
      <c r="AA25" s="1">
        <v>1.2</v>
      </c>
      <c r="AB25" s="1">
        <v>1.4</v>
      </c>
      <c r="AC25" s="1">
        <v>2.6</v>
      </c>
      <c r="AD25" s="1">
        <v>1.4</v>
      </c>
      <c r="AE25" s="21" t="s">
        <v>149</v>
      </c>
      <c r="AF25" s="1">
        <f t="shared" si="10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65</v>
      </c>
      <c r="B26" s="1" t="s">
        <v>43</v>
      </c>
      <c r="C26" s="1">
        <v>3</v>
      </c>
      <c r="D26" s="1">
        <v>12</v>
      </c>
      <c r="E26" s="1">
        <v>-3</v>
      </c>
      <c r="F26" s="1">
        <v>13</v>
      </c>
      <c r="G26" s="7">
        <v>0.35</v>
      </c>
      <c r="H26" s="1">
        <v>45</v>
      </c>
      <c r="I26" s="1" t="s">
        <v>37</v>
      </c>
      <c r="J26" s="1">
        <v>6</v>
      </c>
      <c r="K26" s="1">
        <f t="shared" si="2"/>
        <v>-9</v>
      </c>
      <c r="L26" s="1"/>
      <c r="M26" s="1"/>
      <c r="N26" s="1"/>
      <c r="O26" s="1">
        <f t="shared" si="4"/>
        <v>-0.6</v>
      </c>
      <c r="P26" s="5"/>
      <c r="Q26" s="5"/>
      <c r="R26" s="1"/>
      <c r="S26" s="1">
        <f t="shared" si="5"/>
        <v>-21.666666666666668</v>
      </c>
      <c r="T26" s="1">
        <f t="shared" si="6"/>
        <v>-21.666666666666668</v>
      </c>
      <c r="U26" s="1">
        <v>1.2</v>
      </c>
      <c r="V26" s="1">
        <v>0</v>
      </c>
      <c r="W26" s="1">
        <v>0.4</v>
      </c>
      <c r="X26" s="1">
        <v>1</v>
      </c>
      <c r="Y26" s="1">
        <v>1.2</v>
      </c>
      <c r="Z26" s="1">
        <v>2.4</v>
      </c>
      <c r="AA26" s="1">
        <v>2.4</v>
      </c>
      <c r="AB26" s="1">
        <v>2</v>
      </c>
      <c r="AC26" s="1">
        <v>3.4</v>
      </c>
      <c r="AD26" s="1">
        <v>-0.4</v>
      </c>
      <c r="AE26" s="19" t="s">
        <v>47</v>
      </c>
      <c r="AF26" s="1">
        <f t="shared" si="10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36</v>
      </c>
      <c r="C27" s="1">
        <v>134.65299999999999</v>
      </c>
      <c r="D27" s="1">
        <v>764.66600000000005</v>
      </c>
      <c r="E27" s="1">
        <v>294.279</v>
      </c>
      <c r="F27" s="1">
        <v>486.38099999999997</v>
      </c>
      <c r="G27" s="7">
        <v>1</v>
      </c>
      <c r="H27" s="1">
        <v>50</v>
      </c>
      <c r="I27" s="1" t="s">
        <v>37</v>
      </c>
      <c r="J27" s="1">
        <v>242.8</v>
      </c>
      <c r="K27" s="1">
        <f t="shared" si="2"/>
        <v>51.478999999999985</v>
      </c>
      <c r="L27" s="1"/>
      <c r="M27" s="1"/>
      <c r="N27" s="1"/>
      <c r="O27" s="1">
        <f t="shared" si="4"/>
        <v>58.855800000000002</v>
      </c>
      <c r="P27" s="5">
        <f t="shared" ref="P27" si="11">13*O27-F27</f>
        <v>278.74440000000004</v>
      </c>
      <c r="Q27" s="5"/>
      <c r="R27" s="1"/>
      <c r="S27" s="1">
        <f t="shared" si="5"/>
        <v>13</v>
      </c>
      <c r="T27" s="1">
        <f t="shared" si="6"/>
        <v>8.2639434006504029</v>
      </c>
      <c r="U27" s="1">
        <v>69.599400000000003</v>
      </c>
      <c r="V27" s="1">
        <v>38.214799999999997</v>
      </c>
      <c r="W27" s="1">
        <v>45.501600000000003</v>
      </c>
      <c r="X27" s="1">
        <v>41.989800000000002</v>
      </c>
      <c r="Y27" s="1">
        <v>38.4328</v>
      </c>
      <c r="Z27" s="1">
        <v>40.034599999999998</v>
      </c>
      <c r="AA27" s="1">
        <v>66.671000000000006</v>
      </c>
      <c r="AB27" s="1">
        <v>10.6654</v>
      </c>
      <c r="AC27" s="1">
        <v>50.079599999999999</v>
      </c>
      <c r="AD27" s="1">
        <v>22.879200000000001</v>
      </c>
      <c r="AE27" s="1"/>
      <c r="AF27" s="1">
        <f t="shared" si="10"/>
        <v>278.74440000000004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36</v>
      </c>
      <c r="C28" s="1">
        <v>14.988</v>
      </c>
      <c r="D28" s="1"/>
      <c r="E28" s="1">
        <v>1.0980000000000001</v>
      </c>
      <c r="F28" s="1">
        <v>13.89</v>
      </c>
      <c r="G28" s="7">
        <v>1</v>
      </c>
      <c r="H28" s="1">
        <v>180</v>
      </c>
      <c r="I28" s="1" t="s">
        <v>37</v>
      </c>
      <c r="J28" s="1">
        <v>3.04</v>
      </c>
      <c r="K28" s="1">
        <f t="shared" si="2"/>
        <v>-1.9419999999999999</v>
      </c>
      <c r="L28" s="1"/>
      <c r="M28" s="1"/>
      <c r="N28" s="1"/>
      <c r="O28" s="1">
        <f t="shared" si="4"/>
        <v>0.21960000000000002</v>
      </c>
      <c r="P28" s="5"/>
      <c r="Q28" s="5"/>
      <c r="R28" s="1"/>
      <c r="S28" s="1">
        <f t="shared" si="5"/>
        <v>63.251366120218577</v>
      </c>
      <c r="T28" s="1">
        <f t="shared" si="6"/>
        <v>63.251366120218577</v>
      </c>
      <c r="U28" s="1">
        <v>0.52339999999999998</v>
      </c>
      <c r="V28" s="1">
        <v>0.14499999999999999</v>
      </c>
      <c r="W28" s="1">
        <v>0.1484</v>
      </c>
      <c r="X28" s="1">
        <v>0.1492</v>
      </c>
      <c r="Y28" s="1">
        <v>0</v>
      </c>
      <c r="Z28" s="1">
        <v>7.2999999999999995E-2</v>
      </c>
      <c r="AA28" s="1">
        <v>0.14979999999999999</v>
      </c>
      <c r="AB28" s="1">
        <v>7.3599999999999999E-2</v>
      </c>
      <c r="AC28" s="1">
        <v>0.14940000000000001</v>
      </c>
      <c r="AD28" s="1">
        <v>7.2999999999999995E-2</v>
      </c>
      <c r="AE28" s="18" t="s">
        <v>150</v>
      </c>
      <c r="AF28" s="1">
        <f t="shared" si="10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36</v>
      </c>
      <c r="C29" s="1"/>
      <c r="D29" s="1">
        <v>306.20299999999997</v>
      </c>
      <c r="E29" s="1">
        <v>141.69399999999999</v>
      </c>
      <c r="F29" s="1"/>
      <c r="G29" s="7">
        <v>1</v>
      </c>
      <c r="H29" s="1">
        <v>40</v>
      </c>
      <c r="I29" s="1" t="s">
        <v>37</v>
      </c>
      <c r="J29" s="1">
        <v>164.50899999999999</v>
      </c>
      <c r="K29" s="1">
        <f t="shared" si="2"/>
        <v>-22.814999999999998</v>
      </c>
      <c r="L29" s="1"/>
      <c r="M29" s="1"/>
      <c r="N29" s="1"/>
      <c r="O29" s="1">
        <f t="shared" si="4"/>
        <v>28.338799999999999</v>
      </c>
      <c r="P29" s="5">
        <f>6*O29-F29</f>
        <v>170.03280000000001</v>
      </c>
      <c r="Q29" s="5"/>
      <c r="R29" s="1"/>
      <c r="S29" s="1">
        <f t="shared" si="5"/>
        <v>6.0000000000000009</v>
      </c>
      <c r="T29" s="1">
        <f t="shared" si="6"/>
        <v>0</v>
      </c>
      <c r="U29" s="1">
        <v>32.901799999999987</v>
      </c>
      <c r="V29" s="1">
        <v>0</v>
      </c>
      <c r="W29" s="1">
        <v>23.2928</v>
      </c>
      <c r="X29" s="1">
        <v>0</v>
      </c>
      <c r="Y29" s="1">
        <v>30.606000000000002</v>
      </c>
      <c r="Z29" s="1">
        <v>26.236799999999999</v>
      </c>
      <c r="AA29" s="1">
        <v>26.939399999999999</v>
      </c>
      <c r="AB29" s="1">
        <v>0</v>
      </c>
      <c r="AC29" s="1">
        <v>14.1402</v>
      </c>
      <c r="AD29" s="1">
        <v>0.85680000000000001</v>
      </c>
      <c r="AE29" s="1"/>
      <c r="AF29" s="1">
        <f t="shared" si="10"/>
        <v>170.03280000000001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0" t="s">
        <v>69</v>
      </c>
      <c r="B30" s="10" t="s">
        <v>36</v>
      </c>
      <c r="C30" s="10"/>
      <c r="D30" s="10"/>
      <c r="E30" s="10"/>
      <c r="F30" s="10"/>
      <c r="G30" s="11">
        <v>0</v>
      </c>
      <c r="H30" s="10">
        <v>30</v>
      </c>
      <c r="I30" s="10" t="s">
        <v>37</v>
      </c>
      <c r="J30" s="10"/>
      <c r="K30" s="10">
        <f t="shared" si="2"/>
        <v>0</v>
      </c>
      <c r="L30" s="10"/>
      <c r="M30" s="10"/>
      <c r="N30" s="10"/>
      <c r="O30" s="10">
        <f t="shared" si="4"/>
        <v>0</v>
      </c>
      <c r="P30" s="12"/>
      <c r="Q30" s="12"/>
      <c r="R30" s="10"/>
      <c r="S30" s="10" t="e">
        <f t="shared" si="5"/>
        <v>#DIV/0!</v>
      </c>
      <c r="T30" s="10" t="e">
        <f t="shared" si="6"/>
        <v>#DIV/0!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 t="s">
        <v>70</v>
      </c>
      <c r="AF30" s="10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71</v>
      </c>
      <c r="B31" s="1" t="s">
        <v>36</v>
      </c>
      <c r="C31" s="1">
        <v>7.0880000000000001</v>
      </c>
      <c r="D31" s="1">
        <v>114.813</v>
      </c>
      <c r="E31" s="1">
        <v>40.959000000000003</v>
      </c>
      <c r="F31" s="1">
        <v>32.115000000000002</v>
      </c>
      <c r="G31" s="7">
        <v>1</v>
      </c>
      <c r="H31" s="1">
        <v>30</v>
      </c>
      <c r="I31" s="1" t="s">
        <v>37</v>
      </c>
      <c r="J31" s="1">
        <v>61.1</v>
      </c>
      <c r="K31" s="1">
        <f t="shared" si="2"/>
        <v>-20.140999999999998</v>
      </c>
      <c r="L31" s="1"/>
      <c r="M31" s="1"/>
      <c r="N31" s="1"/>
      <c r="O31" s="1">
        <f t="shared" si="4"/>
        <v>8.1918000000000006</v>
      </c>
      <c r="P31" s="5">
        <f>12*O31-F31</f>
        <v>66.186599999999999</v>
      </c>
      <c r="Q31" s="5"/>
      <c r="R31" s="1"/>
      <c r="S31" s="1">
        <f t="shared" si="5"/>
        <v>12</v>
      </c>
      <c r="T31" s="1">
        <f t="shared" si="6"/>
        <v>3.9203837984325789</v>
      </c>
      <c r="U31" s="1">
        <v>2.9556</v>
      </c>
      <c r="V31" s="1">
        <v>6.8037999999999998</v>
      </c>
      <c r="W31" s="1">
        <v>7.4885999999999999</v>
      </c>
      <c r="X31" s="1">
        <v>2.8643999999999998</v>
      </c>
      <c r="Y31" s="1">
        <v>1.0327999999999999</v>
      </c>
      <c r="Z31" s="1">
        <v>8.7065999999999999</v>
      </c>
      <c r="AA31" s="1">
        <v>3.9024000000000001</v>
      </c>
      <c r="AB31" s="1">
        <v>6.7674000000000003</v>
      </c>
      <c r="AC31" s="1">
        <v>4.4306000000000001</v>
      </c>
      <c r="AD31" s="1">
        <v>6.0039999999999996</v>
      </c>
      <c r="AE31" s="1"/>
      <c r="AF31" s="1">
        <f>G31*P31</f>
        <v>66.186599999999999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0" t="s">
        <v>72</v>
      </c>
      <c r="B32" s="10" t="s">
        <v>36</v>
      </c>
      <c r="C32" s="10"/>
      <c r="D32" s="10"/>
      <c r="E32" s="10"/>
      <c r="F32" s="10"/>
      <c r="G32" s="11">
        <v>0</v>
      </c>
      <c r="H32" s="10">
        <v>45</v>
      </c>
      <c r="I32" s="10" t="s">
        <v>37</v>
      </c>
      <c r="J32" s="10"/>
      <c r="K32" s="10">
        <f t="shared" si="2"/>
        <v>0</v>
      </c>
      <c r="L32" s="10"/>
      <c r="M32" s="10"/>
      <c r="N32" s="10"/>
      <c r="O32" s="10">
        <f t="shared" si="4"/>
        <v>0</v>
      </c>
      <c r="P32" s="12"/>
      <c r="Q32" s="12"/>
      <c r="R32" s="10"/>
      <c r="S32" s="10" t="e">
        <f t="shared" si="5"/>
        <v>#DIV/0!</v>
      </c>
      <c r="T32" s="10" t="e">
        <f t="shared" si="6"/>
        <v>#DIV/0!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 t="s">
        <v>70</v>
      </c>
      <c r="AF32" s="10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73</v>
      </c>
      <c r="B33" s="1" t="s">
        <v>36</v>
      </c>
      <c r="C33" s="1"/>
      <c r="D33" s="1">
        <v>920.39</v>
      </c>
      <c r="E33" s="1">
        <v>307.005</v>
      </c>
      <c r="F33" s="1">
        <v>588.55799999999999</v>
      </c>
      <c r="G33" s="7">
        <v>1</v>
      </c>
      <c r="H33" s="1">
        <v>40</v>
      </c>
      <c r="I33" s="1" t="s">
        <v>37</v>
      </c>
      <c r="J33" s="1">
        <v>341.38400000000001</v>
      </c>
      <c r="K33" s="1">
        <f t="shared" si="2"/>
        <v>-34.379000000000019</v>
      </c>
      <c r="L33" s="1"/>
      <c r="M33" s="1"/>
      <c r="N33" s="1"/>
      <c r="O33" s="1">
        <f t="shared" si="4"/>
        <v>61.400999999999996</v>
      </c>
      <c r="P33" s="5">
        <f>13*O33-F33</f>
        <v>209.65499999999997</v>
      </c>
      <c r="Q33" s="5"/>
      <c r="R33" s="1"/>
      <c r="S33" s="1">
        <f t="shared" si="5"/>
        <v>13</v>
      </c>
      <c r="T33" s="1">
        <f t="shared" si="6"/>
        <v>9.5854790638588945</v>
      </c>
      <c r="U33" s="1">
        <v>38.874600000000001</v>
      </c>
      <c r="V33" s="1">
        <v>77.09020000000001</v>
      </c>
      <c r="W33" s="1">
        <v>25.241399999999999</v>
      </c>
      <c r="X33" s="1">
        <v>63.412599999999998</v>
      </c>
      <c r="Y33" s="1">
        <v>32.993000000000002</v>
      </c>
      <c r="Z33" s="1">
        <v>32.372799999999998</v>
      </c>
      <c r="AA33" s="1">
        <v>51.672400000000003</v>
      </c>
      <c r="AB33" s="1">
        <v>44.051200000000001</v>
      </c>
      <c r="AC33" s="1">
        <v>55.798000000000002</v>
      </c>
      <c r="AD33" s="1">
        <v>31.616800000000001</v>
      </c>
      <c r="AE33" s="1"/>
      <c r="AF33" s="1">
        <f>G33*P33</f>
        <v>209.65499999999997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0" t="s">
        <v>74</v>
      </c>
      <c r="B34" s="10" t="s">
        <v>36</v>
      </c>
      <c r="C34" s="10"/>
      <c r="D34" s="10"/>
      <c r="E34" s="10"/>
      <c r="F34" s="10"/>
      <c r="G34" s="11">
        <v>0</v>
      </c>
      <c r="H34" s="10">
        <v>40</v>
      </c>
      <c r="I34" s="10" t="s">
        <v>37</v>
      </c>
      <c r="J34" s="10"/>
      <c r="K34" s="10">
        <f t="shared" si="2"/>
        <v>0</v>
      </c>
      <c r="L34" s="10"/>
      <c r="M34" s="10"/>
      <c r="N34" s="10"/>
      <c r="O34" s="10">
        <f t="shared" si="4"/>
        <v>0</v>
      </c>
      <c r="P34" s="12"/>
      <c r="Q34" s="12"/>
      <c r="R34" s="10"/>
      <c r="S34" s="10" t="e">
        <f t="shared" si="5"/>
        <v>#DIV/0!</v>
      </c>
      <c r="T34" s="10" t="e">
        <f t="shared" si="6"/>
        <v>#DIV/0!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0.1804</v>
      </c>
      <c r="AB34" s="10">
        <v>0.29399999999999998</v>
      </c>
      <c r="AC34" s="10">
        <v>-0.19</v>
      </c>
      <c r="AD34" s="10">
        <v>0.29239999999999999</v>
      </c>
      <c r="AE34" s="10" t="s">
        <v>75</v>
      </c>
      <c r="AF34" s="10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76</v>
      </c>
      <c r="B35" s="10" t="s">
        <v>36</v>
      </c>
      <c r="C35" s="10"/>
      <c r="D35" s="10"/>
      <c r="E35" s="10"/>
      <c r="F35" s="10"/>
      <c r="G35" s="11">
        <v>0</v>
      </c>
      <c r="H35" s="10">
        <v>55</v>
      </c>
      <c r="I35" s="10" t="s">
        <v>37</v>
      </c>
      <c r="J35" s="10"/>
      <c r="K35" s="10">
        <f t="shared" si="2"/>
        <v>0</v>
      </c>
      <c r="L35" s="10"/>
      <c r="M35" s="10"/>
      <c r="N35" s="10"/>
      <c r="O35" s="10">
        <f t="shared" si="4"/>
        <v>0</v>
      </c>
      <c r="P35" s="12"/>
      <c r="Q35" s="12"/>
      <c r="R35" s="10"/>
      <c r="S35" s="10" t="e">
        <f t="shared" si="5"/>
        <v>#DIV/0!</v>
      </c>
      <c r="T35" s="10" t="e">
        <f t="shared" si="6"/>
        <v>#DIV/0!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 t="s">
        <v>70</v>
      </c>
      <c r="AF35" s="10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43</v>
      </c>
      <c r="C36" s="1"/>
      <c r="D36" s="1">
        <v>30</v>
      </c>
      <c r="E36" s="1">
        <v>13</v>
      </c>
      <c r="F36" s="1">
        <v>16</v>
      </c>
      <c r="G36" s="7">
        <v>0.35</v>
      </c>
      <c r="H36" s="1">
        <v>40</v>
      </c>
      <c r="I36" s="1" t="s">
        <v>37</v>
      </c>
      <c r="J36" s="1">
        <v>3</v>
      </c>
      <c r="K36" s="1">
        <f t="shared" si="2"/>
        <v>10</v>
      </c>
      <c r="L36" s="1"/>
      <c r="M36" s="1"/>
      <c r="N36" s="1"/>
      <c r="O36" s="1">
        <f t="shared" si="4"/>
        <v>2.6</v>
      </c>
      <c r="P36" s="5">
        <f t="shared" ref="P36:P40" si="12">13*O36-F36</f>
        <v>17.800000000000004</v>
      </c>
      <c r="Q36" s="5"/>
      <c r="R36" s="1"/>
      <c r="S36" s="1">
        <f t="shared" si="5"/>
        <v>13.000000000000002</v>
      </c>
      <c r="T36" s="1">
        <f t="shared" si="6"/>
        <v>6.1538461538461533</v>
      </c>
      <c r="U36" s="1">
        <v>0</v>
      </c>
      <c r="V36" s="1">
        <v>3.6</v>
      </c>
      <c r="W36" s="1">
        <v>0.8</v>
      </c>
      <c r="X36" s="1">
        <v>0</v>
      </c>
      <c r="Y36" s="1">
        <v>1.2</v>
      </c>
      <c r="Z36" s="1">
        <v>-1</v>
      </c>
      <c r="AA36" s="1">
        <v>1.6</v>
      </c>
      <c r="AB36" s="1">
        <v>1.6</v>
      </c>
      <c r="AC36" s="1">
        <v>2.6</v>
      </c>
      <c r="AD36" s="1">
        <v>4</v>
      </c>
      <c r="AE36" s="1"/>
      <c r="AF36" s="1">
        <f>G36*P36</f>
        <v>6.2300000000000013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78</v>
      </c>
      <c r="B37" s="1" t="s">
        <v>43</v>
      </c>
      <c r="C37" s="1">
        <v>35</v>
      </c>
      <c r="D37" s="1">
        <v>199</v>
      </c>
      <c r="E37" s="1">
        <v>100</v>
      </c>
      <c r="F37" s="1">
        <v>126</v>
      </c>
      <c r="G37" s="7">
        <v>0.4</v>
      </c>
      <c r="H37" s="1">
        <v>45</v>
      </c>
      <c r="I37" s="1" t="s">
        <v>37</v>
      </c>
      <c r="J37" s="1">
        <v>97</v>
      </c>
      <c r="K37" s="1">
        <f t="shared" si="2"/>
        <v>3</v>
      </c>
      <c r="L37" s="1"/>
      <c r="M37" s="1"/>
      <c r="N37" s="1"/>
      <c r="O37" s="1">
        <f t="shared" si="4"/>
        <v>20</v>
      </c>
      <c r="P37" s="5">
        <f t="shared" si="12"/>
        <v>134</v>
      </c>
      <c r="Q37" s="5"/>
      <c r="R37" s="1"/>
      <c r="S37" s="1">
        <f t="shared" si="5"/>
        <v>13</v>
      </c>
      <c r="T37" s="1">
        <f t="shared" si="6"/>
        <v>6.3</v>
      </c>
      <c r="U37" s="1">
        <v>17.8</v>
      </c>
      <c r="V37" s="1">
        <v>19.399999999999999</v>
      </c>
      <c r="W37" s="1">
        <v>22.4</v>
      </c>
      <c r="X37" s="1">
        <v>17.2</v>
      </c>
      <c r="Y37" s="1">
        <v>21.4</v>
      </c>
      <c r="Z37" s="1">
        <v>18.2</v>
      </c>
      <c r="AA37" s="1">
        <v>19.600000000000001</v>
      </c>
      <c r="AB37" s="1">
        <v>16</v>
      </c>
      <c r="AC37" s="1">
        <v>15.6</v>
      </c>
      <c r="AD37" s="1">
        <v>26.4</v>
      </c>
      <c r="AE37" s="1"/>
      <c r="AF37" s="1">
        <f>G37*P37</f>
        <v>53.6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79</v>
      </c>
      <c r="B38" s="1" t="s">
        <v>43</v>
      </c>
      <c r="C38" s="1">
        <v>61</v>
      </c>
      <c r="D38" s="1">
        <v>288</v>
      </c>
      <c r="E38" s="1">
        <v>111</v>
      </c>
      <c r="F38" s="1">
        <v>204</v>
      </c>
      <c r="G38" s="7">
        <v>0.45</v>
      </c>
      <c r="H38" s="1">
        <v>50</v>
      </c>
      <c r="I38" s="1" t="s">
        <v>37</v>
      </c>
      <c r="J38" s="1">
        <v>139</v>
      </c>
      <c r="K38" s="1">
        <f t="shared" ref="K38:K69" si="13">E38-J38</f>
        <v>-28</v>
      </c>
      <c r="L38" s="1"/>
      <c r="M38" s="1"/>
      <c r="N38" s="1"/>
      <c r="O38" s="1">
        <f t="shared" si="4"/>
        <v>22.2</v>
      </c>
      <c r="P38" s="5">
        <f t="shared" si="12"/>
        <v>84.599999999999966</v>
      </c>
      <c r="Q38" s="5"/>
      <c r="R38" s="1"/>
      <c r="S38" s="1">
        <f t="shared" si="5"/>
        <v>12.999999999999998</v>
      </c>
      <c r="T38" s="1">
        <f t="shared" si="6"/>
        <v>9.1891891891891895</v>
      </c>
      <c r="U38" s="1">
        <v>22</v>
      </c>
      <c r="V38" s="1">
        <v>25.4</v>
      </c>
      <c r="W38" s="1">
        <v>24.6</v>
      </c>
      <c r="X38" s="1">
        <v>20.6</v>
      </c>
      <c r="Y38" s="1">
        <v>24.6</v>
      </c>
      <c r="Z38" s="1">
        <v>28.4</v>
      </c>
      <c r="AA38" s="1">
        <v>24.4</v>
      </c>
      <c r="AB38" s="1">
        <v>20.6</v>
      </c>
      <c r="AC38" s="1">
        <v>25</v>
      </c>
      <c r="AD38" s="1">
        <v>36.200000000000003</v>
      </c>
      <c r="AE38" s="1"/>
      <c r="AF38" s="1">
        <f>G38*P38</f>
        <v>38.069999999999986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80</v>
      </c>
      <c r="B39" s="1" t="s">
        <v>43</v>
      </c>
      <c r="C39" s="1">
        <v>48</v>
      </c>
      <c r="D39" s="1">
        <v>188</v>
      </c>
      <c r="E39" s="1">
        <v>65</v>
      </c>
      <c r="F39" s="1">
        <v>162</v>
      </c>
      <c r="G39" s="7">
        <v>0.4</v>
      </c>
      <c r="H39" s="1">
        <v>45</v>
      </c>
      <c r="I39" s="1" t="s">
        <v>37</v>
      </c>
      <c r="J39" s="1">
        <v>96</v>
      </c>
      <c r="K39" s="1">
        <f t="shared" si="13"/>
        <v>-31</v>
      </c>
      <c r="L39" s="1"/>
      <c r="M39" s="1"/>
      <c r="N39" s="1"/>
      <c r="O39" s="1">
        <f t="shared" si="4"/>
        <v>13</v>
      </c>
      <c r="P39" s="5">
        <f t="shared" si="12"/>
        <v>7</v>
      </c>
      <c r="Q39" s="5"/>
      <c r="R39" s="1"/>
      <c r="S39" s="1">
        <f t="shared" si="5"/>
        <v>13</v>
      </c>
      <c r="T39" s="1">
        <f t="shared" si="6"/>
        <v>12.461538461538462</v>
      </c>
      <c r="U39" s="1">
        <v>17.8</v>
      </c>
      <c r="V39" s="1">
        <v>12.2</v>
      </c>
      <c r="W39" s="1">
        <v>23</v>
      </c>
      <c r="X39" s="1">
        <v>15</v>
      </c>
      <c r="Y39" s="1">
        <v>20.2</v>
      </c>
      <c r="Z39" s="1">
        <v>18.399999999999999</v>
      </c>
      <c r="AA39" s="1">
        <v>16.399999999999999</v>
      </c>
      <c r="AB39" s="1">
        <v>15</v>
      </c>
      <c r="AC39" s="1">
        <v>12.8</v>
      </c>
      <c r="AD39" s="1">
        <v>18.600000000000001</v>
      </c>
      <c r="AE39" s="1"/>
      <c r="AF39" s="1">
        <f>G39*P39</f>
        <v>2.8000000000000003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81</v>
      </c>
      <c r="B40" s="1" t="s">
        <v>43</v>
      </c>
      <c r="C40" s="1">
        <v>84</v>
      </c>
      <c r="D40" s="1">
        <v>191</v>
      </c>
      <c r="E40" s="1">
        <v>82</v>
      </c>
      <c r="F40" s="1">
        <v>119</v>
      </c>
      <c r="G40" s="7">
        <v>0.4</v>
      </c>
      <c r="H40" s="1">
        <v>50</v>
      </c>
      <c r="I40" s="1" t="s">
        <v>37</v>
      </c>
      <c r="J40" s="1">
        <v>97</v>
      </c>
      <c r="K40" s="1">
        <f t="shared" si="13"/>
        <v>-15</v>
      </c>
      <c r="L40" s="1"/>
      <c r="M40" s="1"/>
      <c r="N40" s="1"/>
      <c r="O40" s="1">
        <f t="shared" si="4"/>
        <v>16.399999999999999</v>
      </c>
      <c r="P40" s="5">
        <f t="shared" si="12"/>
        <v>94.199999999999989</v>
      </c>
      <c r="Q40" s="5"/>
      <c r="R40" s="1"/>
      <c r="S40" s="1">
        <f t="shared" si="5"/>
        <v>13</v>
      </c>
      <c r="T40" s="1">
        <f t="shared" si="6"/>
        <v>7.2560975609756104</v>
      </c>
      <c r="U40" s="1">
        <v>14.4</v>
      </c>
      <c r="V40" s="1">
        <v>22.8</v>
      </c>
      <c r="W40" s="1">
        <v>23.2</v>
      </c>
      <c r="X40" s="1">
        <v>16.8</v>
      </c>
      <c r="Y40" s="1">
        <v>11</v>
      </c>
      <c r="Z40" s="1">
        <v>45.6</v>
      </c>
      <c r="AA40" s="1">
        <v>23.2</v>
      </c>
      <c r="AB40" s="1">
        <v>28.6</v>
      </c>
      <c r="AC40" s="1">
        <v>30.8</v>
      </c>
      <c r="AD40" s="1">
        <v>55.4</v>
      </c>
      <c r="AE40" s="1"/>
      <c r="AF40" s="1">
        <f>G40*P40</f>
        <v>37.68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 t="s">
        <v>82</v>
      </c>
      <c r="B41" s="10" t="s">
        <v>43</v>
      </c>
      <c r="C41" s="10"/>
      <c r="D41" s="10"/>
      <c r="E41" s="10"/>
      <c r="F41" s="10"/>
      <c r="G41" s="11">
        <v>0</v>
      </c>
      <c r="H41" s="10">
        <v>40</v>
      </c>
      <c r="I41" s="10" t="s">
        <v>37</v>
      </c>
      <c r="J41" s="10"/>
      <c r="K41" s="10">
        <f t="shared" si="13"/>
        <v>0</v>
      </c>
      <c r="L41" s="10"/>
      <c r="M41" s="10"/>
      <c r="N41" s="10"/>
      <c r="O41" s="10">
        <f t="shared" si="4"/>
        <v>0</v>
      </c>
      <c r="P41" s="12"/>
      <c r="Q41" s="12"/>
      <c r="R41" s="10"/>
      <c r="S41" s="10" t="e">
        <f t="shared" si="5"/>
        <v>#DIV/0!</v>
      </c>
      <c r="T41" s="10" t="e">
        <f t="shared" si="6"/>
        <v>#DIV/0!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-0.2</v>
      </c>
      <c r="AC41" s="10">
        <v>-0.4</v>
      </c>
      <c r="AD41" s="10">
        <v>-0.2</v>
      </c>
      <c r="AE41" s="10" t="s">
        <v>70</v>
      </c>
      <c r="AF41" s="1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0" t="s">
        <v>83</v>
      </c>
      <c r="B42" s="10" t="s">
        <v>36</v>
      </c>
      <c r="C42" s="10"/>
      <c r="D42" s="10"/>
      <c r="E42" s="10"/>
      <c r="F42" s="10"/>
      <c r="G42" s="11">
        <v>0</v>
      </c>
      <c r="H42" s="10">
        <v>45</v>
      </c>
      <c r="I42" s="10" t="s">
        <v>37</v>
      </c>
      <c r="J42" s="10"/>
      <c r="K42" s="10">
        <f t="shared" si="13"/>
        <v>0</v>
      </c>
      <c r="L42" s="10"/>
      <c r="M42" s="10"/>
      <c r="N42" s="10"/>
      <c r="O42" s="10">
        <f t="shared" si="4"/>
        <v>0</v>
      </c>
      <c r="P42" s="12"/>
      <c r="Q42" s="12"/>
      <c r="R42" s="10"/>
      <c r="S42" s="10" t="e">
        <f t="shared" si="5"/>
        <v>#DIV/0!</v>
      </c>
      <c r="T42" s="10" t="e">
        <f t="shared" si="6"/>
        <v>#DIV/0!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 t="s">
        <v>70</v>
      </c>
      <c r="AF42" s="1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84</v>
      </c>
      <c r="B43" s="1" t="s">
        <v>43</v>
      </c>
      <c r="C43" s="1">
        <v>7</v>
      </c>
      <c r="D43" s="1">
        <v>223</v>
      </c>
      <c r="E43" s="1">
        <v>46</v>
      </c>
      <c r="F43" s="1">
        <v>181</v>
      </c>
      <c r="G43" s="7">
        <v>0.1</v>
      </c>
      <c r="H43" s="1">
        <v>730</v>
      </c>
      <c r="I43" s="1" t="s">
        <v>37</v>
      </c>
      <c r="J43" s="1">
        <v>83</v>
      </c>
      <c r="K43" s="1">
        <f t="shared" si="13"/>
        <v>-37</v>
      </c>
      <c r="L43" s="1"/>
      <c r="M43" s="1"/>
      <c r="N43" s="1"/>
      <c r="O43" s="1">
        <f t="shared" si="4"/>
        <v>9.1999999999999993</v>
      </c>
      <c r="P43" s="5"/>
      <c r="Q43" s="5"/>
      <c r="R43" s="1"/>
      <c r="S43" s="1">
        <f t="shared" si="5"/>
        <v>19.673913043478262</v>
      </c>
      <c r="T43" s="1">
        <f t="shared" si="6"/>
        <v>19.673913043478262</v>
      </c>
      <c r="U43" s="1">
        <v>15.8</v>
      </c>
      <c r="V43" s="1">
        <v>17</v>
      </c>
      <c r="W43" s="1">
        <v>12</v>
      </c>
      <c r="X43" s="1">
        <v>12.4</v>
      </c>
      <c r="Y43" s="1">
        <v>7.4</v>
      </c>
      <c r="Z43" s="1">
        <v>4</v>
      </c>
      <c r="AA43" s="1">
        <v>13.4</v>
      </c>
      <c r="AB43" s="1">
        <v>5.8</v>
      </c>
      <c r="AC43" s="1">
        <v>6.6</v>
      </c>
      <c r="AD43" s="1">
        <v>12.6</v>
      </c>
      <c r="AE43" s="1"/>
      <c r="AF43" s="1">
        <f>G43*P43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85</v>
      </c>
      <c r="B44" s="1" t="s">
        <v>43</v>
      </c>
      <c r="C44" s="1">
        <v>52</v>
      </c>
      <c r="D44" s="1">
        <v>157</v>
      </c>
      <c r="E44" s="1">
        <v>46</v>
      </c>
      <c r="F44" s="17">
        <f>146+F98</f>
        <v>134</v>
      </c>
      <c r="G44" s="7">
        <v>0.35</v>
      </c>
      <c r="H44" s="1">
        <v>40</v>
      </c>
      <c r="I44" s="1" t="s">
        <v>37</v>
      </c>
      <c r="J44" s="1">
        <v>59</v>
      </c>
      <c r="K44" s="1">
        <f t="shared" si="13"/>
        <v>-13</v>
      </c>
      <c r="L44" s="1"/>
      <c r="M44" s="1"/>
      <c r="N44" s="1"/>
      <c r="O44" s="1">
        <f t="shared" si="4"/>
        <v>9.1999999999999993</v>
      </c>
      <c r="P44" s="5"/>
      <c r="Q44" s="5"/>
      <c r="R44" s="1"/>
      <c r="S44" s="1">
        <f t="shared" si="5"/>
        <v>14.565217391304349</v>
      </c>
      <c r="T44" s="1">
        <f t="shared" si="6"/>
        <v>14.565217391304349</v>
      </c>
      <c r="U44" s="1">
        <v>9</v>
      </c>
      <c r="V44" s="1">
        <v>19.8</v>
      </c>
      <c r="W44" s="1">
        <v>15</v>
      </c>
      <c r="X44" s="1">
        <v>17.399999999999999</v>
      </c>
      <c r="Y44" s="1">
        <v>12.6</v>
      </c>
      <c r="Z44" s="1">
        <v>11.4</v>
      </c>
      <c r="AA44" s="1">
        <v>13.6</v>
      </c>
      <c r="AB44" s="1">
        <v>10.4</v>
      </c>
      <c r="AC44" s="1">
        <v>11.2</v>
      </c>
      <c r="AD44" s="1">
        <v>11.2</v>
      </c>
      <c r="AE44" s="1"/>
      <c r="AF44" s="1">
        <f>G44*P44</f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86</v>
      </c>
      <c r="B45" s="1" t="s">
        <v>43</v>
      </c>
      <c r="C45" s="1"/>
      <c r="D45" s="1">
        <v>30</v>
      </c>
      <c r="E45" s="1">
        <v>5</v>
      </c>
      <c r="F45" s="1">
        <v>21</v>
      </c>
      <c r="G45" s="7">
        <v>0.4</v>
      </c>
      <c r="H45" s="1">
        <v>40</v>
      </c>
      <c r="I45" s="1" t="s">
        <v>37</v>
      </c>
      <c r="J45" s="1"/>
      <c r="K45" s="1">
        <f t="shared" si="13"/>
        <v>5</v>
      </c>
      <c r="L45" s="1"/>
      <c r="M45" s="1"/>
      <c r="N45" s="1"/>
      <c r="O45" s="1">
        <f t="shared" si="4"/>
        <v>1</v>
      </c>
      <c r="P45" s="5"/>
      <c r="Q45" s="5"/>
      <c r="R45" s="1"/>
      <c r="S45" s="1">
        <f t="shared" si="5"/>
        <v>21</v>
      </c>
      <c r="T45" s="1">
        <f t="shared" si="6"/>
        <v>21</v>
      </c>
      <c r="U45" s="1">
        <v>0.2</v>
      </c>
      <c r="V45" s="1">
        <v>2.4</v>
      </c>
      <c r="W45" s="1">
        <v>1.2</v>
      </c>
      <c r="X45" s="1">
        <v>2</v>
      </c>
      <c r="Y45" s="1">
        <v>5</v>
      </c>
      <c r="Z45" s="1">
        <v>2.6</v>
      </c>
      <c r="AA45" s="1">
        <v>5</v>
      </c>
      <c r="AB45" s="1">
        <v>1.6</v>
      </c>
      <c r="AC45" s="1">
        <v>1.8</v>
      </c>
      <c r="AD45" s="1">
        <v>4</v>
      </c>
      <c r="AE45" s="1"/>
      <c r="AF45" s="1">
        <f>G45*P45</f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87</v>
      </c>
      <c r="B46" s="1" t="s">
        <v>43</v>
      </c>
      <c r="C46" s="1">
        <v>10</v>
      </c>
      <c r="D46" s="1">
        <v>30</v>
      </c>
      <c r="E46" s="1">
        <v>7</v>
      </c>
      <c r="F46" s="1">
        <v>29</v>
      </c>
      <c r="G46" s="7">
        <v>0.4</v>
      </c>
      <c r="H46" s="1">
        <v>45</v>
      </c>
      <c r="I46" s="1" t="s">
        <v>37</v>
      </c>
      <c r="J46" s="1">
        <v>11</v>
      </c>
      <c r="K46" s="1">
        <f t="shared" si="13"/>
        <v>-4</v>
      </c>
      <c r="L46" s="1"/>
      <c r="M46" s="1"/>
      <c r="N46" s="1"/>
      <c r="O46" s="1">
        <f t="shared" si="4"/>
        <v>1.4</v>
      </c>
      <c r="P46" s="5"/>
      <c r="Q46" s="5"/>
      <c r="R46" s="1"/>
      <c r="S46" s="1">
        <f t="shared" si="5"/>
        <v>20.714285714285715</v>
      </c>
      <c r="T46" s="1">
        <f t="shared" si="6"/>
        <v>20.714285714285715</v>
      </c>
      <c r="U46" s="1">
        <v>2.8</v>
      </c>
      <c r="V46" s="1">
        <v>1.4</v>
      </c>
      <c r="W46" s="1">
        <v>2.4</v>
      </c>
      <c r="X46" s="1">
        <v>2.4</v>
      </c>
      <c r="Y46" s="1">
        <v>4</v>
      </c>
      <c r="Z46" s="1">
        <v>2.2000000000000002</v>
      </c>
      <c r="AA46" s="1">
        <v>4.4000000000000004</v>
      </c>
      <c r="AB46" s="1">
        <v>2.4</v>
      </c>
      <c r="AC46" s="1">
        <v>1.4</v>
      </c>
      <c r="AD46" s="1">
        <v>4.8</v>
      </c>
      <c r="AE46" s="1"/>
      <c r="AF46" s="1">
        <f>G46*P46</f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88</v>
      </c>
      <c r="B47" s="1" t="s">
        <v>43</v>
      </c>
      <c r="C47" s="1">
        <v>55</v>
      </c>
      <c r="D47" s="1">
        <v>199</v>
      </c>
      <c r="E47" s="17">
        <f>53+E93</f>
        <v>100</v>
      </c>
      <c r="F47" s="17">
        <f>191+F93</f>
        <v>123</v>
      </c>
      <c r="G47" s="7">
        <v>0.35</v>
      </c>
      <c r="H47" s="1">
        <v>40</v>
      </c>
      <c r="I47" s="1" t="s">
        <v>37</v>
      </c>
      <c r="J47" s="1">
        <v>60</v>
      </c>
      <c r="K47" s="1">
        <f t="shared" si="13"/>
        <v>40</v>
      </c>
      <c r="L47" s="1"/>
      <c r="M47" s="1"/>
      <c r="N47" s="1"/>
      <c r="O47" s="1">
        <f t="shared" si="4"/>
        <v>20</v>
      </c>
      <c r="P47" s="5">
        <f t="shared" ref="P47" si="14">13*O47-F47</f>
        <v>137</v>
      </c>
      <c r="Q47" s="5"/>
      <c r="R47" s="1"/>
      <c r="S47" s="1">
        <f t="shared" si="5"/>
        <v>13</v>
      </c>
      <c r="T47" s="1">
        <f t="shared" si="6"/>
        <v>6.15</v>
      </c>
      <c r="U47" s="1">
        <v>13.4</v>
      </c>
      <c r="V47" s="1">
        <v>14.4</v>
      </c>
      <c r="W47" s="1">
        <v>12.2</v>
      </c>
      <c r="X47" s="1">
        <v>13</v>
      </c>
      <c r="Y47" s="1">
        <v>11.8</v>
      </c>
      <c r="Z47" s="1">
        <v>14.8</v>
      </c>
      <c r="AA47" s="1">
        <v>14.8</v>
      </c>
      <c r="AB47" s="1">
        <v>12.8</v>
      </c>
      <c r="AC47" s="1">
        <v>-1.2</v>
      </c>
      <c r="AD47" s="1">
        <v>19.2</v>
      </c>
      <c r="AE47" s="1"/>
      <c r="AF47" s="1">
        <f>G47*P47</f>
        <v>47.949999999999996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0" t="s">
        <v>89</v>
      </c>
      <c r="B48" s="10" t="s">
        <v>43</v>
      </c>
      <c r="C48" s="10"/>
      <c r="D48" s="10"/>
      <c r="E48" s="10"/>
      <c r="F48" s="10"/>
      <c r="G48" s="11">
        <v>0</v>
      </c>
      <c r="H48" s="10" t="e">
        <v>#N/A</v>
      </c>
      <c r="I48" s="10" t="s">
        <v>37</v>
      </c>
      <c r="J48" s="10"/>
      <c r="K48" s="10">
        <f t="shared" si="13"/>
        <v>0</v>
      </c>
      <c r="L48" s="10"/>
      <c r="M48" s="10"/>
      <c r="N48" s="10"/>
      <c r="O48" s="10">
        <f t="shared" si="4"/>
        <v>0</v>
      </c>
      <c r="P48" s="12"/>
      <c r="Q48" s="12"/>
      <c r="R48" s="10"/>
      <c r="S48" s="10" t="e">
        <f t="shared" si="5"/>
        <v>#DIV/0!</v>
      </c>
      <c r="T48" s="10" t="e">
        <f t="shared" si="6"/>
        <v>#DIV/0!</v>
      </c>
      <c r="U48" s="10">
        <v>0</v>
      </c>
      <c r="V48" s="10">
        <v>0</v>
      </c>
      <c r="W48" s="10">
        <v>-0.4</v>
      </c>
      <c r="X48" s="10">
        <v>-0.4</v>
      </c>
      <c r="Y48" s="10">
        <v>0</v>
      </c>
      <c r="Z48" s="10">
        <v>1</v>
      </c>
      <c r="AA48" s="10">
        <v>0.8</v>
      </c>
      <c r="AB48" s="10">
        <v>0.2</v>
      </c>
      <c r="AC48" s="10">
        <v>1</v>
      </c>
      <c r="AD48" s="10">
        <v>2.6</v>
      </c>
      <c r="AE48" s="10" t="s">
        <v>90</v>
      </c>
      <c r="AF48" s="10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91</v>
      </c>
      <c r="B49" s="1" t="s">
        <v>36</v>
      </c>
      <c r="C49" s="1">
        <v>1.3480000000000001</v>
      </c>
      <c r="D49" s="1">
        <v>215.25399999999999</v>
      </c>
      <c r="E49" s="1">
        <v>58.046999999999997</v>
      </c>
      <c r="F49" s="1">
        <v>29.783000000000001</v>
      </c>
      <c r="G49" s="7">
        <v>1</v>
      </c>
      <c r="H49" s="1">
        <v>50</v>
      </c>
      <c r="I49" s="1" t="s">
        <v>37</v>
      </c>
      <c r="J49" s="1">
        <v>153.6</v>
      </c>
      <c r="K49" s="1">
        <f t="shared" si="13"/>
        <v>-95.552999999999997</v>
      </c>
      <c r="L49" s="1"/>
      <c r="M49" s="1"/>
      <c r="N49" s="1"/>
      <c r="O49" s="1">
        <f t="shared" si="4"/>
        <v>11.609399999999999</v>
      </c>
      <c r="P49" s="5">
        <f>11*O49-F49</f>
        <v>97.920399999999987</v>
      </c>
      <c r="Q49" s="5"/>
      <c r="R49" s="1"/>
      <c r="S49" s="1">
        <f t="shared" si="5"/>
        <v>11</v>
      </c>
      <c r="T49" s="1">
        <f t="shared" si="6"/>
        <v>2.5654211242613747</v>
      </c>
      <c r="U49" s="1">
        <v>38.404600000000002</v>
      </c>
      <c r="V49" s="1">
        <v>1.9878</v>
      </c>
      <c r="W49" s="1">
        <v>18.023199999999999</v>
      </c>
      <c r="X49" s="1">
        <v>3.4502000000000002</v>
      </c>
      <c r="Y49" s="1">
        <v>32.298999999999999</v>
      </c>
      <c r="Z49" s="1">
        <v>18.496400000000001</v>
      </c>
      <c r="AA49" s="1">
        <v>13.9</v>
      </c>
      <c r="AB49" s="1">
        <v>3.7440000000000002</v>
      </c>
      <c r="AC49" s="1">
        <v>17.135200000000001</v>
      </c>
      <c r="AD49" s="1">
        <v>0.53620000000000001</v>
      </c>
      <c r="AE49" s="1"/>
      <c r="AF49" s="1">
        <f>G49*P49</f>
        <v>97.920399999999987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92</v>
      </c>
      <c r="B50" s="1" t="s">
        <v>36</v>
      </c>
      <c r="C50" s="1">
        <v>14.974</v>
      </c>
      <c r="D50" s="1">
        <v>10.858000000000001</v>
      </c>
      <c r="E50" s="1"/>
      <c r="F50" s="1">
        <v>20.297999999999998</v>
      </c>
      <c r="G50" s="7">
        <v>1</v>
      </c>
      <c r="H50" s="1">
        <v>50</v>
      </c>
      <c r="I50" s="1" t="s">
        <v>37</v>
      </c>
      <c r="J50" s="1">
        <v>1.4</v>
      </c>
      <c r="K50" s="1">
        <f t="shared" si="13"/>
        <v>-1.4</v>
      </c>
      <c r="L50" s="1"/>
      <c r="M50" s="1"/>
      <c r="N50" s="1"/>
      <c r="O50" s="1">
        <f t="shared" si="4"/>
        <v>0</v>
      </c>
      <c r="P50" s="5"/>
      <c r="Q50" s="5"/>
      <c r="R50" s="1"/>
      <c r="S50" s="1" t="e">
        <f t="shared" si="5"/>
        <v>#DIV/0!</v>
      </c>
      <c r="T50" s="1" t="e">
        <f t="shared" si="6"/>
        <v>#DIV/0!</v>
      </c>
      <c r="U50" s="1">
        <v>0.27579999999999999</v>
      </c>
      <c r="V50" s="1">
        <v>0</v>
      </c>
      <c r="W50" s="1">
        <v>1.6240000000000001</v>
      </c>
      <c r="X50" s="1">
        <v>1.0828</v>
      </c>
      <c r="Y50" s="1">
        <v>0</v>
      </c>
      <c r="Z50" s="1">
        <v>1.3520000000000001</v>
      </c>
      <c r="AA50" s="1">
        <v>2.1560000000000001</v>
      </c>
      <c r="AB50" s="1">
        <v>1.5960000000000001</v>
      </c>
      <c r="AC50" s="1">
        <v>1.0640000000000001</v>
      </c>
      <c r="AD50" s="1">
        <v>1.716</v>
      </c>
      <c r="AE50" s="19" t="s">
        <v>47</v>
      </c>
      <c r="AF50" s="1">
        <f>G50*P50</f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0" t="s">
        <v>93</v>
      </c>
      <c r="B51" s="10" t="s">
        <v>36</v>
      </c>
      <c r="C51" s="10"/>
      <c r="D51" s="10"/>
      <c r="E51" s="10"/>
      <c r="F51" s="10"/>
      <c r="G51" s="11">
        <v>0</v>
      </c>
      <c r="H51" s="10">
        <v>40</v>
      </c>
      <c r="I51" s="10" t="s">
        <v>37</v>
      </c>
      <c r="J51" s="10"/>
      <c r="K51" s="10">
        <f t="shared" si="13"/>
        <v>0</v>
      </c>
      <c r="L51" s="10"/>
      <c r="M51" s="10"/>
      <c r="N51" s="10"/>
      <c r="O51" s="10">
        <f t="shared" si="4"/>
        <v>0</v>
      </c>
      <c r="P51" s="12"/>
      <c r="Q51" s="12"/>
      <c r="R51" s="10"/>
      <c r="S51" s="10" t="e">
        <f t="shared" si="5"/>
        <v>#DIV/0!</v>
      </c>
      <c r="T51" s="10" t="e">
        <f t="shared" si="6"/>
        <v>#DIV/0!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 t="s">
        <v>94</v>
      </c>
      <c r="AF51" s="10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95</v>
      </c>
      <c r="B52" s="1" t="s">
        <v>43</v>
      </c>
      <c r="C52" s="1">
        <v>60</v>
      </c>
      <c r="D52" s="1">
        <v>633</v>
      </c>
      <c r="E52" s="17">
        <f>123+E94</f>
        <v>231</v>
      </c>
      <c r="F52" s="17">
        <f>420+F94</f>
        <v>363</v>
      </c>
      <c r="G52" s="7">
        <v>0.45</v>
      </c>
      <c r="H52" s="1">
        <v>50</v>
      </c>
      <c r="I52" s="1" t="s">
        <v>37</v>
      </c>
      <c r="J52" s="1">
        <v>175</v>
      </c>
      <c r="K52" s="1">
        <f t="shared" si="13"/>
        <v>56</v>
      </c>
      <c r="L52" s="1"/>
      <c r="M52" s="1"/>
      <c r="N52" s="1"/>
      <c r="O52" s="1">
        <f t="shared" si="4"/>
        <v>46.2</v>
      </c>
      <c r="P52" s="5">
        <f t="shared" ref="P52:P68" si="15">13*O52-F52</f>
        <v>237.60000000000002</v>
      </c>
      <c r="Q52" s="5"/>
      <c r="R52" s="1"/>
      <c r="S52" s="1">
        <f t="shared" si="5"/>
        <v>13</v>
      </c>
      <c r="T52" s="1">
        <f t="shared" si="6"/>
        <v>7.8571428571428568</v>
      </c>
      <c r="U52" s="1">
        <v>40.200000000000003</v>
      </c>
      <c r="V52" s="1">
        <v>33.6</v>
      </c>
      <c r="W52" s="1">
        <v>30.8</v>
      </c>
      <c r="X52" s="1">
        <v>32.4</v>
      </c>
      <c r="Y52" s="1">
        <v>39.799999999999997</v>
      </c>
      <c r="Z52" s="1">
        <v>31</v>
      </c>
      <c r="AA52" s="1">
        <v>35.200000000000003</v>
      </c>
      <c r="AB52" s="1">
        <v>23.6</v>
      </c>
      <c r="AC52" s="1">
        <v>38.799999999999997</v>
      </c>
      <c r="AD52" s="1">
        <v>51.4</v>
      </c>
      <c r="AE52" s="1"/>
      <c r="AF52" s="1">
        <f t="shared" ref="AF52:AF74" si="16">G52*P52</f>
        <v>106.92000000000002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96</v>
      </c>
      <c r="B53" s="1" t="s">
        <v>43</v>
      </c>
      <c r="C53" s="1">
        <v>40</v>
      </c>
      <c r="D53" s="1">
        <v>397</v>
      </c>
      <c r="E53" s="1">
        <v>142</v>
      </c>
      <c r="F53" s="1">
        <v>230</v>
      </c>
      <c r="G53" s="7">
        <v>0.45</v>
      </c>
      <c r="H53" s="1">
        <v>50</v>
      </c>
      <c r="I53" s="1" t="s">
        <v>37</v>
      </c>
      <c r="J53" s="1">
        <v>171</v>
      </c>
      <c r="K53" s="1">
        <f t="shared" si="13"/>
        <v>-29</v>
      </c>
      <c r="L53" s="1"/>
      <c r="M53" s="1"/>
      <c r="N53" s="1"/>
      <c r="O53" s="1">
        <f t="shared" si="4"/>
        <v>28.4</v>
      </c>
      <c r="P53" s="5">
        <f t="shared" si="15"/>
        <v>139.19999999999999</v>
      </c>
      <c r="Q53" s="5"/>
      <c r="R53" s="1"/>
      <c r="S53" s="1">
        <f t="shared" si="5"/>
        <v>13</v>
      </c>
      <c r="T53" s="1">
        <f t="shared" si="6"/>
        <v>8.0985915492957758</v>
      </c>
      <c r="U53" s="1">
        <v>28.8</v>
      </c>
      <c r="V53" s="1">
        <v>31.2</v>
      </c>
      <c r="W53" s="1">
        <v>27.8</v>
      </c>
      <c r="X53" s="1">
        <v>28.6</v>
      </c>
      <c r="Y53" s="1">
        <v>31.8</v>
      </c>
      <c r="Z53" s="1">
        <v>31.8</v>
      </c>
      <c r="AA53" s="1">
        <v>33.799999999999997</v>
      </c>
      <c r="AB53" s="1">
        <v>23</v>
      </c>
      <c r="AC53" s="1">
        <v>32</v>
      </c>
      <c r="AD53" s="1">
        <v>42</v>
      </c>
      <c r="AE53" s="1"/>
      <c r="AF53" s="1">
        <f t="shared" si="16"/>
        <v>62.639999999999993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97</v>
      </c>
      <c r="B54" s="1" t="s">
        <v>43</v>
      </c>
      <c r="C54" s="1">
        <v>166</v>
      </c>
      <c r="D54" s="1">
        <v>242</v>
      </c>
      <c r="E54" s="1">
        <v>71</v>
      </c>
      <c r="F54" s="1">
        <v>193</v>
      </c>
      <c r="G54" s="7">
        <v>0.45</v>
      </c>
      <c r="H54" s="1">
        <v>50</v>
      </c>
      <c r="I54" s="1" t="s">
        <v>37</v>
      </c>
      <c r="J54" s="1">
        <v>97</v>
      </c>
      <c r="K54" s="1">
        <f t="shared" si="13"/>
        <v>-26</v>
      </c>
      <c r="L54" s="1"/>
      <c r="M54" s="1"/>
      <c r="N54" s="1"/>
      <c r="O54" s="1">
        <f t="shared" si="4"/>
        <v>14.2</v>
      </c>
      <c r="P54" s="5"/>
      <c r="Q54" s="5"/>
      <c r="R54" s="1"/>
      <c r="S54" s="1">
        <f t="shared" si="5"/>
        <v>13.591549295774648</v>
      </c>
      <c r="T54" s="1">
        <f t="shared" si="6"/>
        <v>13.591549295774648</v>
      </c>
      <c r="U54" s="1">
        <v>11.2</v>
      </c>
      <c r="V54" s="1">
        <v>34.4</v>
      </c>
      <c r="W54" s="1">
        <v>31.6</v>
      </c>
      <c r="X54" s="1">
        <v>33.4</v>
      </c>
      <c r="Y54" s="1">
        <v>36.4</v>
      </c>
      <c r="Z54" s="1">
        <v>15.4</v>
      </c>
      <c r="AA54" s="1">
        <v>21.2</v>
      </c>
      <c r="AB54" s="1">
        <v>17.600000000000001</v>
      </c>
      <c r="AC54" s="1">
        <v>18.2</v>
      </c>
      <c r="AD54" s="1">
        <v>29.4</v>
      </c>
      <c r="AE54" s="1"/>
      <c r="AF54" s="1">
        <f t="shared" si="16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98</v>
      </c>
      <c r="B55" s="1" t="s">
        <v>43</v>
      </c>
      <c r="C55" s="1">
        <v>2</v>
      </c>
      <c r="D55" s="1">
        <v>30</v>
      </c>
      <c r="E55" s="1">
        <v>17</v>
      </c>
      <c r="F55" s="1">
        <v>11</v>
      </c>
      <c r="G55" s="7">
        <v>0.4</v>
      </c>
      <c r="H55" s="1">
        <v>40</v>
      </c>
      <c r="I55" s="1" t="s">
        <v>37</v>
      </c>
      <c r="J55" s="1">
        <v>9</v>
      </c>
      <c r="K55" s="1">
        <f t="shared" si="13"/>
        <v>8</v>
      </c>
      <c r="L55" s="1"/>
      <c r="M55" s="1"/>
      <c r="N55" s="1"/>
      <c r="O55" s="1">
        <f t="shared" si="4"/>
        <v>3.4</v>
      </c>
      <c r="P55" s="5">
        <f>10*O55-F55</f>
        <v>23</v>
      </c>
      <c r="Q55" s="5"/>
      <c r="R55" s="1"/>
      <c r="S55" s="1">
        <f t="shared" si="5"/>
        <v>10</v>
      </c>
      <c r="T55" s="1">
        <f t="shared" si="6"/>
        <v>3.2352941176470589</v>
      </c>
      <c r="U55" s="1">
        <v>-0.2</v>
      </c>
      <c r="V55" s="1">
        <v>3.8</v>
      </c>
      <c r="W55" s="1">
        <v>1.6</v>
      </c>
      <c r="X55" s="1">
        <v>1.8</v>
      </c>
      <c r="Y55" s="1">
        <v>4.2</v>
      </c>
      <c r="Z55" s="1">
        <v>3.2</v>
      </c>
      <c r="AA55" s="1">
        <v>2.8</v>
      </c>
      <c r="AB55" s="1">
        <v>3</v>
      </c>
      <c r="AC55" s="1">
        <v>2.6</v>
      </c>
      <c r="AD55" s="1">
        <v>2.6</v>
      </c>
      <c r="AE55" s="1"/>
      <c r="AF55" s="1">
        <f t="shared" si="16"/>
        <v>9.2000000000000011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99</v>
      </c>
      <c r="B56" s="1" t="s">
        <v>36</v>
      </c>
      <c r="C56" s="1">
        <v>27.984999999999999</v>
      </c>
      <c r="D56" s="1">
        <v>24.202000000000002</v>
      </c>
      <c r="E56" s="1">
        <v>20.216000000000001</v>
      </c>
      <c r="F56" s="1">
        <v>29.292000000000002</v>
      </c>
      <c r="G56" s="7">
        <v>1</v>
      </c>
      <c r="H56" s="1">
        <v>55</v>
      </c>
      <c r="I56" s="1" t="s">
        <v>37</v>
      </c>
      <c r="J56" s="1">
        <v>19</v>
      </c>
      <c r="K56" s="1">
        <f t="shared" si="13"/>
        <v>1.2160000000000011</v>
      </c>
      <c r="L56" s="1"/>
      <c r="M56" s="1"/>
      <c r="N56" s="1"/>
      <c r="O56" s="1">
        <f t="shared" si="4"/>
        <v>4.0432000000000006</v>
      </c>
      <c r="P56" s="5">
        <f t="shared" si="15"/>
        <v>23.269600000000004</v>
      </c>
      <c r="Q56" s="5"/>
      <c r="R56" s="1"/>
      <c r="S56" s="1">
        <f t="shared" si="5"/>
        <v>13</v>
      </c>
      <c r="T56" s="1">
        <f t="shared" si="6"/>
        <v>7.2447566284131373</v>
      </c>
      <c r="U56" s="1">
        <v>1.7302</v>
      </c>
      <c r="V56" s="1">
        <v>2.6911999999999998</v>
      </c>
      <c r="W56" s="1">
        <v>4.5650000000000004</v>
      </c>
      <c r="X56" s="1">
        <v>6.1416000000000004</v>
      </c>
      <c r="Y56" s="1">
        <v>3.7387999999999999</v>
      </c>
      <c r="Z56" s="1">
        <v>4.806</v>
      </c>
      <c r="AA56" s="1">
        <v>4.2759999999999998</v>
      </c>
      <c r="AB56" s="1">
        <v>5.6277999999999997</v>
      </c>
      <c r="AC56" s="1">
        <v>6.4129999999999994</v>
      </c>
      <c r="AD56" s="1">
        <v>5.3448000000000002</v>
      </c>
      <c r="AE56" s="1"/>
      <c r="AF56" s="1">
        <f t="shared" si="16"/>
        <v>23.269600000000004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100</v>
      </c>
      <c r="B57" s="1" t="s">
        <v>43</v>
      </c>
      <c r="C57" s="1">
        <v>96</v>
      </c>
      <c r="D57" s="1">
        <v>123</v>
      </c>
      <c r="E57" s="1">
        <v>31</v>
      </c>
      <c r="F57" s="1">
        <v>185</v>
      </c>
      <c r="G57" s="7">
        <v>0.1</v>
      </c>
      <c r="H57" s="1">
        <v>730</v>
      </c>
      <c r="I57" s="1" t="s">
        <v>37</v>
      </c>
      <c r="J57" s="1">
        <v>39</v>
      </c>
      <c r="K57" s="1">
        <f t="shared" si="13"/>
        <v>-8</v>
      </c>
      <c r="L57" s="1"/>
      <c r="M57" s="1"/>
      <c r="N57" s="1"/>
      <c r="O57" s="1">
        <f t="shared" si="4"/>
        <v>6.2</v>
      </c>
      <c r="P57" s="5"/>
      <c r="Q57" s="5"/>
      <c r="R57" s="1"/>
      <c r="S57" s="1">
        <f t="shared" si="5"/>
        <v>29.838709677419352</v>
      </c>
      <c r="T57" s="1">
        <f t="shared" si="6"/>
        <v>29.838709677419352</v>
      </c>
      <c r="U57" s="1">
        <v>8.1999999999999993</v>
      </c>
      <c r="V57" s="1">
        <v>16.600000000000001</v>
      </c>
      <c r="W57" s="1">
        <v>13.8</v>
      </c>
      <c r="X57" s="1">
        <v>15.4</v>
      </c>
      <c r="Y57" s="1">
        <v>6.6</v>
      </c>
      <c r="Z57" s="1">
        <v>9.8000000000000007</v>
      </c>
      <c r="AA57" s="1">
        <v>11.2</v>
      </c>
      <c r="AB57" s="1">
        <v>4.2</v>
      </c>
      <c r="AC57" s="1">
        <v>4.8</v>
      </c>
      <c r="AD57" s="1">
        <v>12.6</v>
      </c>
      <c r="AE57" s="16" t="s">
        <v>53</v>
      </c>
      <c r="AF57" s="1">
        <f t="shared" si="16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101</v>
      </c>
      <c r="B58" s="1" t="s">
        <v>36</v>
      </c>
      <c r="C58" s="1">
        <v>1E-3</v>
      </c>
      <c r="D58" s="1">
        <v>97.980999999999995</v>
      </c>
      <c r="E58" s="1">
        <v>14.567</v>
      </c>
      <c r="F58" s="1">
        <v>67.667000000000002</v>
      </c>
      <c r="G58" s="7">
        <v>1</v>
      </c>
      <c r="H58" s="1">
        <v>40</v>
      </c>
      <c r="I58" s="1" t="s">
        <v>37</v>
      </c>
      <c r="J58" s="1">
        <v>31.6</v>
      </c>
      <c r="K58" s="1">
        <f t="shared" si="13"/>
        <v>-17.033000000000001</v>
      </c>
      <c r="L58" s="1"/>
      <c r="M58" s="1"/>
      <c r="N58" s="1"/>
      <c r="O58" s="1">
        <f t="shared" si="4"/>
        <v>2.9134000000000002</v>
      </c>
      <c r="P58" s="5"/>
      <c r="Q58" s="5"/>
      <c r="R58" s="1"/>
      <c r="S58" s="1">
        <f t="shared" si="5"/>
        <v>23.22612754856868</v>
      </c>
      <c r="T58" s="1">
        <f t="shared" si="6"/>
        <v>23.22612754856868</v>
      </c>
      <c r="U58" s="1">
        <v>6.8151999999999999</v>
      </c>
      <c r="V58" s="1">
        <v>3.8570000000000002</v>
      </c>
      <c r="W58" s="1">
        <v>2.4350000000000001</v>
      </c>
      <c r="X58" s="1">
        <v>3.5722</v>
      </c>
      <c r="Y58" s="1">
        <v>1.4634</v>
      </c>
      <c r="Z58" s="1">
        <v>0.81579999999999997</v>
      </c>
      <c r="AA58" s="1">
        <v>4.7202000000000002</v>
      </c>
      <c r="AB58" s="1">
        <v>0.8093999999999999</v>
      </c>
      <c r="AC58" s="1">
        <v>3.221200000000001</v>
      </c>
      <c r="AD58" s="1">
        <v>0.80399999999999994</v>
      </c>
      <c r="AE58" s="1" t="s">
        <v>102</v>
      </c>
      <c r="AF58" s="1">
        <f t="shared" si="16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103</v>
      </c>
      <c r="B59" s="1" t="s">
        <v>36</v>
      </c>
      <c r="C59" s="1">
        <v>12.836</v>
      </c>
      <c r="D59" s="1">
        <v>96.837999999999994</v>
      </c>
      <c r="E59" s="1">
        <v>0.81200000000000006</v>
      </c>
      <c r="F59" s="1">
        <v>79.644999999999996</v>
      </c>
      <c r="G59" s="7">
        <v>1</v>
      </c>
      <c r="H59" s="1">
        <v>40</v>
      </c>
      <c r="I59" s="1" t="s">
        <v>37</v>
      </c>
      <c r="J59" s="1">
        <v>27.5</v>
      </c>
      <c r="K59" s="1">
        <f t="shared" si="13"/>
        <v>-26.687999999999999</v>
      </c>
      <c r="L59" s="1"/>
      <c r="M59" s="1"/>
      <c r="N59" s="1"/>
      <c r="O59" s="1">
        <f t="shared" si="4"/>
        <v>0.16240000000000002</v>
      </c>
      <c r="P59" s="5"/>
      <c r="Q59" s="5"/>
      <c r="R59" s="1"/>
      <c r="S59" s="1">
        <f t="shared" si="5"/>
        <v>490.42487684729059</v>
      </c>
      <c r="T59" s="1">
        <f t="shared" si="6"/>
        <v>490.42487684729059</v>
      </c>
      <c r="U59" s="1">
        <v>9.3781999999999996</v>
      </c>
      <c r="V59" s="1">
        <v>-0.1608</v>
      </c>
      <c r="W59" s="1">
        <v>6.6153999999999993</v>
      </c>
      <c r="X59" s="1">
        <v>1.4508000000000001</v>
      </c>
      <c r="Y59" s="1">
        <v>-0.48399999999999999</v>
      </c>
      <c r="Z59" s="1">
        <v>4.3462000000000014</v>
      </c>
      <c r="AA59" s="1">
        <v>0.3216</v>
      </c>
      <c r="AB59" s="1">
        <v>1.1312</v>
      </c>
      <c r="AC59" s="1">
        <v>2.9194</v>
      </c>
      <c r="AD59" s="1">
        <v>0.65159999999999996</v>
      </c>
      <c r="AE59" s="19" t="s">
        <v>47</v>
      </c>
      <c r="AF59" s="1">
        <f t="shared" si="16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104</v>
      </c>
      <c r="B60" s="1" t="s">
        <v>43</v>
      </c>
      <c r="C60" s="1">
        <v>30</v>
      </c>
      <c r="D60" s="1"/>
      <c r="E60" s="1">
        <v>4</v>
      </c>
      <c r="F60" s="1">
        <v>26</v>
      </c>
      <c r="G60" s="7">
        <v>0.6</v>
      </c>
      <c r="H60" s="1">
        <v>60</v>
      </c>
      <c r="I60" s="1" t="s">
        <v>37</v>
      </c>
      <c r="J60" s="1">
        <v>4</v>
      </c>
      <c r="K60" s="1">
        <f t="shared" si="13"/>
        <v>0</v>
      </c>
      <c r="L60" s="1"/>
      <c r="M60" s="1"/>
      <c r="N60" s="1"/>
      <c r="O60" s="1">
        <f t="shared" si="4"/>
        <v>0.8</v>
      </c>
      <c r="P60" s="5"/>
      <c r="Q60" s="5"/>
      <c r="R60" s="1"/>
      <c r="S60" s="1">
        <f t="shared" si="5"/>
        <v>32.5</v>
      </c>
      <c r="T60" s="1">
        <f t="shared" si="6"/>
        <v>32.5</v>
      </c>
      <c r="U60" s="1">
        <v>0.6</v>
      </c>
      <c r="V60" s="1">
        <v>0.8</v>
      </c>
      <c r="W60" s="1">
        <v>2.6</v>
      </c>
      <c r="X60" s="1">
        <v>4.2</v>
      </c>
      <c r="Y60" s="1">
        <v>2.2000000000000002</v>
      </c>
      <c r="Z60" s="1">
        <v>0.8</v>
      </c>
      <c r="AA60" s="1">
        <v>2.2000000000000002</v>
      </c>
      <c r="AB60" s="1">
        <v>1.4</v>
      </c>
      <c r="AC60" s="1">
        <v>0.4</v>
      </c>
      <c r="AD60" s="1">
        <v>3.4</v>
      </c>
      <c r="AE60" s="19" t="s">
        <v>47</v>
      </c>
      <c r="AF60" s="1">
        <f t="shared" si="16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105</v>
      </c>
      <c r="B61" s="1" t="s">
        <v>43</v>
      </c>
      <c r="C61" s="1">
        <v>25</v>
      </c>
      <c r="D61" s="1">
        <v>1</v>
      </c>
      <c r="E61" s="1">
        <v>6</v>
      </c>
      <c r="F61" s="1">
        <v>19</v>
      </c>
      <c r="G61" s="7">
        <v>0.6</v>
      </c>
      <c r="H61" s="1">
        <v>60</v>
      </c>
      <c r="I61" s="1" t="s">
        <v>37</v>
      </c>
      <c r="J61" s="1">
        <v>11</v>
      </c>
      <c r="K61" s="1">
        <f t="shared" si="13"/>
        <v>-5</v>
      </c>
      <c r="L61" s="1"/>
      <c r="M61" s="1"/>
      <c r="N61" s="1"/>
      <c r="O61" s="1">
        <f t="shared" si="4"/>
        <v>1.2</v>
      </c>
      <c r="P61" s="5"/>
      <c r="Q61" s="5"/>
      <c r="R61" s="1"/>
      <c r="S61" s="1">
        <f t="shared" si="5"/>
        <v>15.833333333333334</v>
      </c>
      <c r="T61" s="1">
        <f t="shared" si="6"/>
        <v>15.833333333333334</v>
      </c>
      <c r="U61" s="1">
        <v>2.2000000000000002</v>
      </c>
      <c r="V61" s="1">
        <v>1.2</v>
      </c>
      <c r="W61" s="1">
        <v>0.8</v>
      </c>
      <c r="X61" s="1">
        <v>3.8</v>
      </c>
      <c r="Y61" s="1">
        <v>1.6</v>
      </c>
      <c r="Z61" s="1">
        <v>1.4</v>
      </c>
      <c r="AA61" s="1">
        <v>2.8</v>
      </c>
      <c r="AB61" s="1">
        <v>1.2</v>
      </c>
      <c r="AC61" s="1">
        <v>1.2</v>
      </c>
      <c r="AD61" s="1">
        <v>2.4</v>
      </c>
      <c r="AE61" s="16" t="s">
        <v>106</v>
      </c>
      <c r="AF61" s="1">
        <f t="shared" si="16"/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107</v>
      </c>
      <c r="B62" s="1" t="s">
        <v>43</v>
      </c>
      <c r="C62" s="1">
        <v>6</v>
      </c>
      <c r="D62" s="1">
        <v>16</v>
      </c>
      <c r="E62" s="1">
        <v>7</v>
      </c>
      <c r="F62" s="1">
        <v>15</v>
      </c>
      <c r="G62" s="7">
        <v>0.6</v>
      </c>
      <c r="H62" s="1">
        <v>60</v>
      </c>
      <c r="I62" s="1" t="s">
        <v>37</v>
      </c>
      <c r="J62" s="1">
        <v>8</v>
      </c>
      <c r="K62" s="1">
        <f t="shared" si="13"/>
        <v>-1</v>
      </c>
      <c r="L62" s="1"/>
      <c r="M62" s="1"/>
      <c r="N62" s="1"/>
      <c r="O62" s="1">
        <f t="shared" si="4"/>
        <v>1.4</v>
      </c>
      <c r="P62" s="5">
        <v>4</v>
      </c>
      <c r="Q62" s="5"/>
      <c r="R62" s="1"/>
      <c r="S62" s="1">
        <f t="shared" si="5"/>
        <v>13.571428571428573</v>
      </c>
      <c r="T62" s="1">
        <f t="shared" si="6"/>
        <v>10.714285714285715</v>
      </c>
      <c r="U62" s="1">
        <v>1.2</v>
      </c>
      <c r="V62" s="1">
        <v>2.4</v>
      </c>
      <c r="W62" s="1">
        <v>1.8</v>
      </c>
      <c r="X62" s="1">
        <v>3.8</v>
      </c>
      <c r="Y62" s="1">
        <v>2.6</v>
      </c>
      <c r="Z62" s="1">
        <v>1.2</v>
      </c>
      <c r="AA62" s="1">
        <v>3.2</v>
      </c>
      <c r="AB62" s="1">
        <v>1.4</v>
      </c>
      <c r="AC62" s="1">
        <v>1.4</v>
      </c>
      <c r="AD62" s="1">
        <v>3.6</v>
      </c>
      <c r="AE62" s="1"/>
      <c r="AF62" s="1">
        <f t="shared" si="16"/>
        <v>2.4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108</v>
      </c>
      <c r="B63" s="1" t="s">
        <v>43</v>
      </c>
      <c r="C63" s="1">
        <v>16</v>
      </c>
      <c r="D63" s="1">
        <v>25</v>
      </c>
      <c r="E63" s="1">
        <v>15</v>
      </c>
      <c r="F63" s="1">
        <v>24</v>
      </c>
      <c r="G63" s="7">
        <v>0.6</v>
      </c>
      <c r="H63" s="1">
        <v>55</v>
      </c>
      <c r="I63" s="1" t="s">
        <v>37</v>
      </c>
      <c r="J63" s="1">
        <v>17</v>
      </c>
      <c r="K63" s="1">
        <f t="shared" si="13"/>
        <v>-2</v>
      </c>
      <c r="L63" s="1"/>
      <c r="M63" s="1"/>
      <c r="N63" s="1"/>
      <c r="O63" s="1">
        <f t="shared" si="4"/>
        <v>3</v>
      </c>
      <c r="P63" s="5">
        <f t="shared" si="15"/>
        <v>15</v>
      </c>
      <c r="Q63" s="5"/>
      <c r="R63" s="1"/>
      <c r="S63" s="1">
        <f t="shared" si="5"/>
        <v>13</v>
      </c>
      <c r="T63" s="1">
        <f t="shared" si="6"/>
        <v>8</v>
      </c>
      <c r="U63" s="1">
        <v>3</v>
      </c>
      <c r="V63" s="1">
        <v>5.2</v>
      </c>
      <c r="W63" s="1">
        <v>3</v>
      </c>
      <c r="X63" s="1">
        <v>3.8</v>
      </c>
      <c r="Y63" s="1">
        <v>4.4000000000000004</v>
      </c>
      <c r="Z63" s="1">
        <v>2.4</v>
      </c>
      <c r="AA63" s="1">
        <v>3.8</v>
      </c>
      <c r="AB63" s="1">
        <v>2.4</v>
      </c>
      <c r="AC63" s="1">
        <v>1.6</v>
      </c>
      <c r="AD63" s="1">
        <v>4.4000000000000004</v>
      </c>
      <c r="AE63" s="1" t="s">
        <v>109</v>
      </c>
      <c r="AF63" s="1">
        <f t="shared" si="16"/>
        <v>9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3" t="s">
        <v>110</v>
      </c>
      <c r="B64" s="1" t="s">
        <v>43</v>
      </c>
      <c r="C64" s="1"/>
      <c r="D64" s="1"/>
      <c r="E64" s="1"/>
      <c r="F64" s="1"/>
      <c r="G64" s="7">
        <v>0.28000000000000003</v>
      </c>
      <c r="H64" s="1">
        <v>35</v>
      </c>
      <c r="I64" s="1" t="s">
        <v>37</v>
      </c>
      <c r="J64" s="1"/>
      <c r="K64" s="1">
        <f t="shared" si="13"/>
        <v>0</v>
      </c>
      <c r="L64" s="1"/>
      <c r="M64" s="1"/>
      <c r="N64" s="1"/>
      <c r="O64" s="1">
        <f t="shared" si="4"/>
        <v>0</v>
      </c>
      <c r="P64" s="14">
        <v>10</v>
      </c>
      <c r="Q64" s="5"/>
      <c r="R64" s="1"/>
      <c r="S64" s="1" t="e">
        <f t="shared" si="5"/>
        <v>#DIV/0!</v>
      </c>
      <c r="T64" s="1" t="e">
        <f t="shared" si="6"/>
        <v>#DIV/0!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3" t="s">
        <v>38</v>
      </c>
      <c r="AF64" s="1">
        <f t="shared" si="16"/>
        <v>2.8000000000000003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111</v>
      </c>
      <c r="B65" s="1" t="s">
        <v>43</v>
      </c>
      <c r="C65" s="1">
        <v>13</v>
      </c>
      <c r="D65" s="1">
        <v>118</v>
      </c>
      <c r="E65" s="1">
        <v>42</v>
      </c>
      <c r="F65" s="1">
        <v>80</v>
      </c>
      <c r="G65" s="7">
        <v>0.4</v>
      </c>
      <c r="H65" s="1">
        <v>90</v>
      </c>
      <c r="I65" s="1" t="s">
        <v>37</v>
      </c>
      <c r="J65" s="1">
        <v>50</v>
      </c>
      <c r="K65" s="1">
        <f t="shared" si="13"/>
        <v>-8</v>
      </c>
      <c r="L65" s="1"/>
      <c r="M65" s="1"/>
      <c r="N65" s="1"/>
      <c r="O65" s="1">
        <f t="shared" si="4"/>
        <v>8.4</v>
      </c>
      <c r="P65" s="5">
        <f t="shared" si="15"/>
        <v>29.200000000000003</v>
      </c>
      <c r="Q65" s="5"/>
      <c r="R65" s="1"/>
      <c r="S65" s="1">
        <f t="shared" si="5"/>
        <v>13</v>
      </c>
      <c r="T65" s="1">
        <f t="shared" si="6"/>
        <v>9.5238095238095237</v>
      </c>
      <c r="U65" s="1">
        <v>9.4</v>
      </c>
      <c r="V65" s="1">
        <v>10.6</v>
      </c>
      <c r="W65" s="1">
        <v>9</v>
      </c>
      <c r="X65" s="1">
        <v>9</v>
      </c>
      <c r="Y65" s="1">
        <v>10.8</v>
      </c>
      <c r="Z65" s="1">
        <v>9.6</v>
      </c>
      <c r="AA65" s="1">
        <v>8.4</v>
      </c>
      <c r="AB65" s="1">
        <v>9.8000000000000007</v>
      </c>
      <c r="AC65" s="1">
        <v>12.6</v>
      </c>
      <c r="AD65" s="1">
        <v>8.4</v>
      </c>
      <c r="AE65" s="1"/>
      <c r="AF65" s="1">
        <f t="shared" si="16"/>
        <v>11.680000000000001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112</v>
      </c>
      <c r="B66" s="1" t="s">
        <v>43</v>
      </c>
      <c r="C66" s="1">
        <v>61</v>
      </c>
      <c r="D66" s="1">
        <v>122</v>
      </c>
      <c r="E66" s="1">
        <v>37</v>
      </c>
      <c r="F66" s="1">
        <v>95</v>
      </c>
      <c r="G66" s="7">
        <v>0.33</v>
      </c>
      <c r="H66" s="1" t="e">
        <v>#N/A</v>
      </c>
      <c r="I66" s="1" t="s">
        <v>37</v>
      </c>
      <c r="J66" s="1">
        <v>52</v>
      </c>
      <c r="K66" s="1">
        <f t="shared" si="13"/>
        <v>-15</v>
      </c>
      <c r="L66" s="1"/>
      <c r="M66" s="1"/>
      <c r="N66" s="1"/>
      <c r="O66" s="1">
        <f t="shared" si="4"/>
        <v>7.4</v>
      </c>
      <c r="P66" s="5"/>
      <c r="Q66" s="5"/>
      <c r="R66" s="1"/>
      <c r="S66" s="1">
        <f t="shared" si="5"/>
        <v>12.837837837837837</v>
      </c>
      <c r="T66" s="1">
        <f t="shared" si="6"/>
        <v>12.837837837837837</v>
      </c>
      <c r="U66" s="1">
        <v>10</v>
      </c>
      <c r="V66" s="1">
        <v>4.5999999999999996</v>
      </c>
      <c r="W66" s="1">
        <v>11</v>
      </c>
      <c r="X66" s="1">
        <v>6.2</v>
      </c>
      <c r="Y66" s="1">
        <v>6.4</v>
      </c>
      <c r="Z66" s="1">
        <v>9.1999999999999993</v>
      </c>
      <c r="AA66" s="1">
        <v>3.4</v>
      </c>
      <c r="AB66" s="1">
        <v>7.4</v>
      </c>
      <c r="AC66" s="1">
        <v>-0.4</v>
      </c>
      <c r="AD66" s="1">
        <v>6.4</v>
      </c>
      <c r="AE66" s="1" t="s">
        <v>113</v>
      </c>
      <c r="AF66" s="1">
        <f t="shared" si="16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114</v>
      </c>
      <c r="B67" s="1" t="s">
        <v>43</v>
      </c>
      <c r="C67" s="1">
        <v>6</v>
      </c>
      <c r="D67" s="1">
        <v>96</v>
      </c>
      <c r="E67" s="1">
        <v>24</v>
      </c>
      <c r="F67" s="1">
        <v>77</v>
      </c>
      <c r="G67" s="7">
        <v>0.35</v>
      </c>
      <c r="H67" s="1">
        <v>90</v>
      </c>
      <c r="I67" s="1" t="s">
        <v>37</v>
      </c>
      <c r="J67" s="1">
        <v>27</v>
      </c>
      <c r="K67" s="1">
        <f t="shared" si="13"/>
        <v>-3</v>
      </c>
      <c r="L67" s="1"/>
      <c r="M67" s="1"/>
      <c r="N67" s="1"/>
      <c r="O67" s="1">
        <f t="shared" si="4"/>
        <v>4.8</v>
      </c>
      <c r="P67" s="5"/>
      <c r="Q67" s="5"/>
      <c r="R67" s="1"/>
      <c r="S67" s="1">
        <f t="shared" si="5"/>
        <v>16.041666666666668</v>
      </c>
      <c r="T67" s="1">
        <f t="shared" si="6"/>
        <v>16.041666666666668</v>
      </c>
      <c r="U67" s="1">
        <v>5.4</v>
      </c>
      <c r="V67" s="1">
        <v>9.1999999999999993</v>
      </c>
      <c r="W67" s="1">
        <v>3.8</v>
      </c>
      <c r="X67" s="1">
        <v>7.2</v>
      </c>
      <c r="Y67" s="1">
        <v>2.6</v>
      </c>
      <c r="Z67" s="1">
        <v>5.8</v>
      </c>
      <c r="AA67" s="1">
        <v>4.8</v>
      </c>
      <c r="AB67" s="1">
        <v>8.8000000000000007</v>
      </c>
      <c r="AC67" s="1">
        <v>7.8</v>
      </c>
      <c r="AD67" s="1">
        <v>7.2</v>
      </c>
      <c r="AE67" s="1"/>
      <c r="AF67" s="1">
        <f t="shared" si="16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115</v>
      </c>
      <c r="B68" s="1" t="s">
        <v>43</v>
      </c>
      <c r="C68" s="1">
        <v>1</v>
      </c>
      <c r="D68" s="1">
        <v>55</v>
      </c>
      <c r="E68" s="1">
        <v>16</v>
      </c>
      <c r="F68" s="1">
        <v>36</v>
      </c>
      <c r="G68" s="7">
        <v>0.35</v>
      </c>
      <c r="H68" s="1">
        <v>40</v>
      </c>
      <c r="I68" s="1" t="s">
        <v>37</v>
      </c>
      <c r="J68" s="1">
        <v>21</v>
      </c>
      <c r="K68" s="1">
        <f t="shared" si="13"/>
        <v>-5</v>
      </c>
      <c r="L68" s="1"/>
      <c r="M68" s="1"/>
      <c r="N68" s="1"/>
      <c r="O68" s="1">
        <f t="shared" si="4"/>
        <v>3.2</v>
      </c>
      <c r="P68" s="5">
        <f t="shared" si="15"/>
        <v>5.6000000000000014</v>
      </c>
      <c r="Q68" s="5"/>
      <c r="R68" s="1"/>
      <c r="S68" s="1">
        <f t="shared" si="5"/>
        <v>13</v>
      </c>
      <c r="T68" s="1">
        <f t="shared" si="6"/>
        <v>11.25</v>
      </c>
      <c r="U68" s="1">
        <v>4</v>
      </c>
      <c r="V68" s="1">
        <v>4.2</v>
      </c>
      <c r="W68" s="1">
        <v>2.8</v>
      </c>
      <c r="X68" s="1">
        <v>5.2</v>
      </c>
      <c r="Y68" s="1">
        <v>2.4</v>
      </c>
      <c r="Z68" s="1">
        <v>4.2</v>
      </c>
      <c r="AA68" s="1">
        <v>3.4</v>
      </c>
      <c r="AB68" s="1">
        <v>3.6</v>
      </c>
      <c r="AC68" s="1">
        <v>6.6</v>
      </c>
      <c r="AD68" s="1">
        <v>4</v>
      </c>
      <c r="AE68" s="1"/>
      <c r="AF68" s="1">
        <f t="shared" si="16"/>
        <v>1.9600000000000004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116</v>
      </c>
      <c r="B69" s="1" t="s">
        <v>43</v>
      </c>
      <c r="C69" s="1">
        <v>172</v>
      </c>
      <c r="D69" s="1">
        <v>146</v>
      </c>
      <c r="E69" s="17">
        <f>53+E95+E97</f>
        <v>145</v>
      </c>
      <c r="F69" s="17">
        <f>256+F95+F97</f>
        <v>114</v>
      </c>
      <c r="G69" s="7">
        <v>0.35</v>
      </c>
      <c r="H69" s="1">
        <v>45</v>
      </c>
      <c r="I69" s="1" t="s">
        <v>37</v>
      </c>
      <c r="J69" s="1">
        <v>47</v>
      </c>
      <c r="K69" s="1">
        <f t="shared" si="13"/>
        <v>98</v>
      </c>
      <c r="L69" s="1"/>
      <c r="M69" s="1"/>
      <c r="N69" s="1"/>
      <c r="O69" s="1">
        <f t="shared" si="4"/>
        <v>29</v>
      </c>
      <c r="P69" s="5">
        <f>12*O69-F69</f>
        <v>234</v>
      </c>
      <c r="Q69" s="5"/>
      <c r="R69" s="1"/>
      <c r="S69" s="1">
        <f t="shared" si="5"/>
        <v>12</v>
      </c>
      <c r="T69" s="1">
        <f t="shared" si="6"/>
        <v>3.9310344827586206</v>
      </c>
      <c r="U69" s="1">
        <v>14.2</v>
      </c>
      <c r="V69" s="1">
        <v>26.4</v>
      </c>
      <c r="W69" s="1">
        <v>26.4</v>
      </c>
      <c r="X69" s="1">
        <v>26</v>
      </c>
      <c r="Y69" s="1">
        <v>27.4</v>
      </c>
      <c r="Z69" s="1">
        <v>17.399999999999999</v>
      </c>
      <c r="AA69" s="1">
        <v>14</v>
      </c>
      <c r="AB69" s="1">
        <v>24.8</v>
      </c>
      <c r="AC69" s="1">
        <v>-0.2</v>
      </c>
      <c r="AD69" s="1">
        <v>23.8</v>
      </c>
      <c r="AE69" s="1"/>
      <c r="AF69" s="1">
        <f t="shared" si="16"/>
        <v>81.899999999999991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117</v>
      </c>
      <c r="B70" s="1" t="s">
        <v>43</v>
      </c>
      <c r="C70" s="1"/>
      <c r="D70" s="1">
        <v>16</v>
      </c>
      <c r="E70" s="1">
        <v>10</v>
      </c>
      <c r="F70" s="1">
        <v>5</v>
      </c>
      <c r="G70" s="7">
        <v>0.3</v>
      </c>
      <c r="H70" s="1">
        <v>50</v>
      </c>
      <c r="I70" s="1" t="s">
        <v>37</v>
      </c>
      <c r="J70" s="1">
        <v>4</v>
      </c>
      <c r="K70" s="1">
        <f t="shared" ref="K70:K98" si="17">E70-J70</f>
        <v>6</v>
      </c>
      <c r="L70" s="1"/>
      <c r="M70" s="1"/>
      <c r="N70" s="1"/>
      <c r="O70" s="1">
        <f t="shared" si="4"/>
        <v>2</v>
      </c>
      <c r="P70" s="5">
        <f>11*O70-F70</f>
        <v>17</v>
      </c>
      <c r="Q70" s="5"/>
      <c r="R70" s="1"/>
      <c r="S70" s="1">
        <f t="shared" si="5"/>
        <v>11</v>
      </c>
      <c r="T70" s="1">
        <f t="shared" si="6"/>
        <v>2.5</v>
      </c>
      <c r="U70" s="1">
        <v>0.2</v>
      </c>
      <c r="V70" s="1">
        <v>3.2</v>
      </c>
      <c r="W70" s="1">
        <v>2.4</v>
      </c>
      <c r="X70" s="1">
        <v>1.6</v>
      </c>
      <c r="Y70" s="1">
        <v>2</v>
      </c>
      <c r="Z70" s="1">
        <v>1.6</v>
      </c>
      <c r="AA70" s="1">
        <v>0</v>
      </c>
      <c r="AB70" s="1">
        <v>0</v>
      </c>
      <c r="AC70" s="1">
        <v>3.2</v>
      </c>
      <c r="AD70" s="1">
        <v>-0.8</v>
      </c>
      <c r="AE70" s="15" t="s">
        <v>154</v>
      </c>
      <c r="AF70" s="1">
        <f t="shared" si="16"/>
        <v>5.0999999999999996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3" t="s">
        <v>118</v>
      </c>
      <c r="B71" s="1" t="s">
        <v>43</v>
      </c>
      <c r="C71" s="1"/>
      <c r="D71" s="1"/>
      <c r="E71" s="1"/>
      <c r="F71" s="1"/>
      <c r="G71" s="7">
        <v>0.11</v>
      </c>
      <c r="H71" s="1">
        <v>150</v>
      </c>
      <c r="I71" s="1" t="s">
        <v>37</v>
      </c>
      <c r="J71" s="1"/>
      <c r="K71" s="1">
        <f t="shared" si="17"/>
        <v>0</v>
      </c>
      <c r="L71" s="1"/>
      <c r="M71" s="1"/>
      <c r="N71" s="1"/>
      <c r="O71" s="1">
        <f t="shared" ref="O71:O98" si="18">E71/5</f>
        <v>0</v>
      </c>
      <c r="P71" s="14">
        <v>10</v>
      </c>
      <c r="Q71" s="5"/>
      <c r="R71" s="1"/>
      <c r="S71" s="1" t="e">
        <f t="shared" ref="S71:S98" si="19">(F71+P71)/O71</f>
        <v>#DIV/0!</v>
      </c>
      <c r="T71" s="1" t="e">
        <f t="shared" ref="T71:T98" si="20">F71/O71</f>
        <v>#DIV/0!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-0.2</v>
      </c>
      <c r="AA71" s="1">
        <v>0</v>
      </c>
      <c r="AB71" s="1">
        <v>0</v>
      </c>
      <c r="AC71" s="1">
        <v>0</v>
      </c>
      <c r="AD71" s="1">
        <v>0</v>
      </c>
      <c r="AE71" s="13" t="s">
        <v>38</v>
      </c>
      <c r="AF71" s="1">
        <f t="shared" si="16"/>
        <v>1.1000000000000001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3" t="s">
        <v>119</v>
      </c>
      <c r="B72" s="1" t="s">
        <v>43</v>
      </c>
      <c r="C72" s="1"/>
      <c r="D72" s="1"/>
      <c r="E72" s="1"/>
      <c r="F72" s="1"/>
      <c r="G72" s="7">
        <v>0.06</v>
      </c>
      <c r="H72" s="1">
        <v>60</v>
      </c>
      <c r="I72" s="1" t="s">
        <v>37</v>
      </c>
      <c r="J72" s="1"/>
      <c r="K72" s="1">
        <f t="shared" si="17"/>
        <v>0</v>
      </c>
      <c r="L72" s="1"/>
      <c r="M72" s="1"/>
      <c r="N72" s="1"/>
      <c r="O72" s="1">
        <f t="shared" si="18"/>
        <v>0</v>
      </c>
      <c r="P72" s="14">
        <v>10</v>
      </c>
      <c r="Q72" s="5"/>
      <c r="R72" s="1"/>
      <c r="S72" s="1" t="e">
        <f t="shared" si="19"/>
        <v>#DIV/0!</v>
      </c>
      <c r="T72" s="1" t="e">
        <f t="shared" si="20"/>
        <v>#DIV/0!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3" t="s">
        <v>38</v>
      </c>
      <c r="AF72" s="1">
        <f t="shared" si="16"/>
        <v>0.6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3" t="s">
        <v>120</v>
      </c>
      <c r="B73" s="1" t="s">
        <v>43</v>
      </c>
      <c r="C73" s="1"/>
      <c r="D73" s="1"/>
      <c r="E73" s="1"/>
      <c r="F73" s="1"/>
      <c r="G73" s="7">
        <v>0.06</v>
      </c>
      <c r="H73" s="1">
        <v>60</v>
      </c>
      <c r="I73" s="1" t="s">
        <v>37</v>
      </c>
      <c r="J73" s="1"/>
      <c r="K73" s="1">
        <f t="shared" si="17"/>
        <v>0</v>
      </c>
      <c r="L73" s="1"/>
      <c r="M73" s="1"/>
      <c r="N73" s="1"/>
      <c r="O73" s="1">
        <f t="shared" si="18"/>
        <v>0</v>
      </c>
      <c r="P73" s="14">
        <v>10</v>
      </c>
      <c r="Q73" s="5"/>
      <c r="R73" s="1"/>
      <c r="S73" s="1" t="e">
        <f t="shared" si="19"/>
        <v>#DIV/0!</v>
      </c>
      <c r="T73" s="1" t="e">
        <f t="shared" si="20"/>
        <v>#DIV/0!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-0.2</v>
      </c>
      <c r="AD73" s="1">
        <v>0</v>
      </c>
      <c r="AE73" s="13" t="s">
        <v>38</v>
      </c>
      <c r="AF73" s="1">
        <f t="shared" si="16"/>
        <v>0.6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3" t="s">
        <v>121</v>
      </c>
      <c r="B74" s="1" t="s">
        <v>43</v>
      </c>
      <c r="C74" s="1"/>
      <c r="D74" s="1"/>
      <c r="E74" s="1"/>
      <c r="F74" s="1"/>
      <c r="G74" s="7">
        <v>0.15</v>
      </c>
      <c r="H74" s="1">
        <v>60</v>
      </c>
      <c r="I74" s="1" t="s">
        <v>37</v>
      </c>
      <c r="J74" s="1"/>
      <c r="K74" s="1">
        <f t="shared" si="17"/>
        <v>0</v>
      </c>
      <c r="L74" s="1"/>
      <c r="M74" s="1"/>
      <c r="N74" s="1"/>
      <c r="O74" s="1">
        <f t="shared" si="18"/>
        <v>0</v>
      </c>
      <c r="P74" s="14">
        <v>10</v>
      </c>
      <c r="Q74" s="5"/>
      <c r="R74" s="1"/>
      <c r="S74" s="1" t="e">
        <f t="shared" si="19"/>
        <v>#DIV/0!</v>
      </c>
      <c r="T74" s="1" t="e">
        <f t="shared" si="20"/>
        <v>#DIV/0!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3" t="s">
        <v>122</v>
      </c>
      <c r="AF74" s="1">
        <f t="shared" si="16"/>
        <v>1.5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0" t="s">
        <v>123</v>
      </c>
      <c r="B75" s="10" t="s">
        <v>43</v>
      </c>
      <c r="C75" s="10"/>
      <c r="D75" s="10"/>
      <c r="E75" s="10"/>
      <c r="F75" s="10"/>
      <c r="G75" s="11">
        <v>0</v>
      </c>
      <c r="H75" s="10">
        <v>40</v>
      </c>
      <c r="I75" s="10" t="s">
        <v>37</v>
      </c>
      <c r="J75" s="10"/>
      <c r="K75" s="10">
        <f t="shared" si="17"/>
        <v>0</v>
      </c>
      <c r="L75" s="10"/>
      <c r="M75" s="10"/>
      <c r="N75" s="10"/>
      <c r="O75" s="10">
        <f t="shared" si="18"/>
        <v>0</v>
      </c>
      <c r="P75" s="12"/>
      <c r="Q75" s="12"/>
      <c r="R75" s="10"/>
      <c r="S75" s="10" t="e">
        <f t="shared" si="19"/>
        <v>#DIV/0!</v>
      </c>
      <c r="T75" s="10" t="e">
        <f t="shared" si="20"/>
        <v>#DIV/0!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 t="s">
        <v>70</v>
      </c>
      <c r="AF75" s="10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0" t="s">
        <v>124</v>
      </c>
      <c r="B76" s="10" t="s">
        <v>43</v>
      </c>
      <c r="C76" s="10"/>
      <c r="D76" s="10"/>
      <c r="E76" s="10">
        <v>-1</v>
      </c>
      <c r="F76" s="10"/>
      <c r="G76" s="11">
        <v>0</v>
      </c>
      <c r="H76" s="10">
        <v>55</v>
      </c>
      <c r="I76" s="10" t="s">
        <v>37</v>
      </c>
      <c r="J76" s="10"/>
      <c r="K76" s="10">
        <f t="shared" si="17"/>
        <v>-1</v>
      </c>
      <c r="L76" s="10"/>
      <c r="M76" s="10"/>
      <c r="N76" s="10"/>
      <c r="O76" s="10">
        <f t="shared" si="18"/>
        <v>-0.2</v>
      </c>
      <c r="P76" s="12"/>
      <c r="Q76" s="12"/>
      <c r="R76" s="10"/>
      <c r="S76" s="10">
        <f t="shared" si="19"/>
        <v>0</v>
      </c>
      <c r="T76" s="10">
        <f t="shared" si="20"/>
        <v>0</v>
      </c>
      <c r="U76" s="10">
        <v>-0.2</v>
      </c>
      <c r="V76" s="10">
        <v>-0.2</v>
      </c>
      <c r="W76" s="10">
        <v>-0.4</v>
      </c>
      <c r="X76" s="10">
        <v>0.2</v>
      </c>
      <c r="Y76" s="10">
        <v>0.8</v>
      </c>
      <c r="Z76" s="10">
        <v>0</v>
      </c>
      <c r="AA76" s="10">
        <v>0.4</v>
      </c>
      <c r="AB76" s="10">
        <v>0.6</v>
      </c>
      <c r="AC76" s="10">
        <v>0.2</v>
      </c>
      <c r="AD76" s="10">
        <v>1</v>
      </c>
      <c r="AE76" s="10" t="s">
        <v>75</v>
      </c>
      <c r="AF76" s="10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0" t="s">
        <v>125</v>
      </c>
      <c r="B77" s="10" t="s">
        <v>36</v>
      </c>
      <c r="C77" s="10"/>
      <c r="D77" s="10"/>
      <c r="E77" s="10"/>
      <c r="F77" s="10"/>
      <c r="G77" s="11">
        <v>0</v>
      </c>
      <c r="H77" s="10">
        <v>55</v>
      </c>
      <c r="I77" s="10" t="s">
        <v>37</v>
      </c>
      <c r="J77" s="10"/>
      <c r="K77" s="10">
        <f t="shared" si="17"/>
        <v>0</v>
      </c>
      <c r="L77" s="10"/>
      <c r="M77" s="10"/>
      <c r="N77" s="10"/>
      <c r="O77" s="10">
        <f t="shared" si="18"/>
        <v>0</v>
      </c>
      <c r="P77" s="12"/>
      <c r="Q77" s="12"/>
      <c r="R77" s="10"/>
      <c r="S77" s="10" t="e">
        <f t="shared" si="19"/>
        <v>#DIV/0!</v>
      </c>
      <c r="T77" s="10" t="e">
        <f t="shared" si="20"/>
        <v>#DIV/0!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 t="s">
        <v>70</v>
      </c>
      <c r="AF77" s="10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0" t="s">
        <v>126</v>
      </c>
      <c r="B78" s="10" t="s">
        <v>36</v>
      </c>
      <c r="C78" s="10"/>
      <c r="D78" s="10"/>
      <c r="E78" s="10"/>
      <c r="F78" s="10"/>
      <c r="G78" s="11">
        <v>0</v>
      </c>
      <c r="H78" s="10">
        <v>55</v>
      </c>
      <c r="I78" s="10" t="s">
        <v>37</v>
      </c>
      <c r="J78" s="10"/>
      <c r="K78" s="10">
        <f t="shared" si="17"/>
        <v>0</v>
      </c>
      <c r="L78" s="10"/>
      <c r="M78" s="10"/>
      <c r="N78" s="10"/>
      <c r="O78" s="10">
        <f t="shared" si="18"/>
        <v>0</v>
      </c>
      <c r="P78" s="12"/>
      <c r="Q78" s="12"/>
      <c r="R78" s="10"/>
      <c r="S78" s="10" t="e">
        <f t="shared" si="19"/>
        <v>#DIV/0!</v>
      </c>
      <c r="T78" s="10" t="e">
        <f t="shared" si="20"/>
        <v>#DIV/0!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 t="s">
        <v>70</v>
      </c>
      <c r="AF78" s="10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0" t="s">
        <v>127</v>
      </c>
      <c r="B79" s="10" t="s">
        <v>43</v>
      </c>
      <c r="C79" s="10"/>
      <c r="D79" s="10"/>
      <c r="E79" s="10"/>
      <c r="F79" s="10"/>
      <c r="G79" s="11">
        <v>0</v>
      </c>
      <c r="H79" s="10">
        <v>55</v>
      </c>
      <c r="I79" s="10" t="s">
        <v>37</v>
      </c>
      <c r="J79" s="10"/>
      <c r="K79" s="10">
        <f t="shared" si="17"/>
        <v>0</v>
      </c>
      <c r="L79" s="10"/>
      <c r="M79" s="10"/>
      <c r="N79" s="10"/>
      <c r="O79" s="10">
        <f t="shared" si="18"/>
        <v>0</v>
      </c>
      <c r="P79" s="12"/>
      <c r="Q79" s="12"/>
      <c r="R79" s="10"/>
      <c r="S79" s="10" t="e">
        <f t="shared" si="19"/>
        <v>#DIV/0!</v>
      </c>
      <c r="T79" s="10" t="e">
        <f t="shared" si="20"/>
        <v>#DIV/0!</v>
      </c>
      <c r="U79" s="10">
        <v>0</v>
      </c>
      <c r="V79" s="10">
        <v>-0.2</v>
      </c>
      <c r="W79" s="10">
        <v>-0.4</v>
      </c>
      <c r="X79" s="10">
        <v>-0.8</v>
      </c>
      <c r="Y79" s="10">
        <v>-0.2</v>
      </c>
      <c r="Z79" s="10">
        <v>-1.6</v>
      </c>
      <c r="AA79" s="10">
        <v>0</v>
      </c>
      <c r="AB79" s="10">
        <v>1</v>
      </c>
      <c r="AC79" s="10">
        <v>1.2</v>
      </c>
      <c r="AD79" s="10">
        <v>2.4</v>
      </c>
      <c r="AE79" s="10" t="s">
        <v>128</v>
      </c>
      <c r="AF79" s="10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129</v>
      </c>
      <c r="B80" s="1" t="s">
        <v>36</v>
      </c>
      <c r="C80" s="1">
        <v>24.254000000000001</v>
      </c>
      <c r="D80" s="1"/>
      <c r="E80" s="1"/>
      <c r="F80" s="1">
        <v>24.254000000000001</v>
      </c>
      <c r="G80" s="7">
        <v>1</v>
      </c>
      <c r="H80" s="1" t="e">
        <v>#N/A</v>
      </c>
      <c r="I80" s="1" t="s">
        <v>37</v>
      </c>
      <c r="J80" s="1"/>
      <c r="K80" s="1">
        <f t="shared" si="17"/>
        <v>0</v>
      </c>
      <c r="L80" s="1"/>
      <c r="M80" s="1"/>
      <c r="N80" s="1"/>
      <c r="O80" s="1">
        <f t="shared" si="18"/>
        <v>0</v>
      </c>
      <c r="P80" s="5"/>
      <c r="Q80" s="5"/>
      <c r="R80" s="1"/>
      <c r="S80" s="1" t="e">
        <f t="shared" si="19"/>
        <v>#DIV/0!</v>
      </c>
      <c r="T80" s="1" t="e">
        <f t="shared" si="20"/>
        <v>#DIV/0!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9" t="s">
        <v>47</v>
      </c>
      <c r="AF80" s="1">
        <f t="shared" ref="AF80:AF92" si="21">G80*P80</f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130</v>
      </c>
      <c r="B81" s="1" t="s">
        <v>36</v>
      </c>
      <c r="C81" s="1">
        <v>11.407999999999999</v>
      </c>
      <c r="D81" s="1"/>
      <c r="E81" s="1"/>
      <c r="F81" s="1"/>
      <c r="G81" s="7">
        <v>1</v>
      </c>
      <c r="H81" s="1">
        <v>30</v>
      </c>
      <c r="I81" s="1" t="s">
        <v>37</v>
      </c>
      <c r="J81" s="1">
        <v>0.8</v>
      </c>
      <c r="K81" s="1">
        <f t="shared" si="17"/>
        <v>-0.8</v>
      </c>
      <c r="L81" s="1"/>
      <c r="M81" s="1"/>
      <c r="N81" s="1"/>
      <c r="O81" s="1">
        <f t="shared" si="18"/>
        <v>0</v>
      </c>
      <c r="P81" s="22">
        <v>0</v>
      </c>
      <c r="Q81" s="5"/>
      <c r="R81" s="1"/>
      <c r="S81" s="1" t="e">
        <f t="shared" si="19"/>
        <v>#DIV/0!</v>
      </c>
      <c r="T81" s="1" t="e">
        <f t="shared" si="20"/>
        <v>#DIV/0!</v>
      </c>
      <c r="U81" s="1">
        <v>0</v>
      </c>
      <c r="V81" s="1">
        <v>-6.5200000000000008E-2</v>
      </c>
      <c r="W81" s="1">
        <v>0.15859999999999999</v>
      </c>
      <c r="X81" s="1">
        <v>0.66239999999999999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-0.16</v>
      </c>
      <c r="AE81" s="20" t="s">
        <v>153</v>
      </c>
      <c r="AF81" s="1">
        <f t="shared" si="21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131</v>
      </c>
      <c r="B82" s="1" t="s">
        <v>43</v>
      </c>
      <c r="C82" s="1">
        <v>14</v>
      </c>
      <c r="D82" s="1"/>
      <c r="E82" s="1"/>
      <c r="F82" s="1">
        <v>14</v>
      </c>
      <c r="G82" s="7">
        <v>0.3</v>
      </c>
      <c r="H82" s="1" t="e">
        <v>#N/A</v>
      </c>
      <c r="I82" s="1" t="s">
        <v>37</v>
      </c>
      <c r="J82" s="1">
        <v>1</v>
      </c>
      <c r="K82" s="1">
        <f t="shared" si="17"/>
        <v>-1</v>
      </c>
      <c r="L82" s="1"/>
      <c r="M82" s="1"/>
      <c r="N82" s="1"/>
      <c r="O82" s="1">
        <f t="shared" si="18"/>
        <v>0</v>
      </c>
      <c r="P82" s="5"/>
      <c r="Q82" s="5"/>
      <c r="R82" s="1"/>
      <c r="S82" s="1" t="e">
        <f t="shared" si="19"/>
        <v>#DIV/0!</v>
      </c>
      <c r="T82" s="1" t="e">
        <f t="shared" si="20"/>
        <v>#DIV/0!</v>
      </c>
      <c r="U82" s="1">
        <v>0.2</v>
      </c>
      <c r="V82" s="1">
        <v>0.4</v>
      </c>
      <c r="W82" s="1">
        <v>0</v>
      </c>
      <c r="X82" s="1">
        <v>0.2</v>
      </c>
      <c r="Y82" s="1">
        <v>0</v>
      </c>
      <c r="Z82" s="1">
        <v>0</v>
      </c>
      <c r="AA82" s="1">
        <v>0.8</v>
      </c>
      <c r="AB82" s="1">
        <v>0</v>
      </c>
      <c r="AC82" s="1">
        <v>0</v>
      </c>
      <c r="AD82" s="1">
        <v>0</v>
      </c>
      <c r="AE82" s="19" t="s">
        <v>47</v>
      </c>
      <c r="AF82" s="1">
        <f t="shared" si="21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132</v>
      </c>
      <c r="B83" s="1" t="s">
        <v>36</v>
      </c>
      <c r="C83" s="1">
        <v>-2.8000000000000001E-2</v>
      </c>
      <c r="D83" s="1">
        <v>89.745000000000005</v>
      </c>
      <c r="E83" s="1">
        <v>39.884</v>
      </c>
      <c r="F83" s="1">
        <v>49.832999999999998</v>
      </c>
      <c r="G83" s="7">
        <v>1</v>
      </c>
      <c r="H83" s="1">
        <v>60</v>
      </c>
      <c r="I83" s="1" t="s">
        <v>37</v>
      </c>
      <c r="J83" s="1">
        <v>35.200000000000003</v>
      </c>
      <c r="K83" s="1">
        <f t="shared" si="17"/>
        <v>4.6839999999999975</v>
      </c>
      <c r="L83" s="1"/>
      <c r="M83" s="1"/>
      <c r="N83" s="1"/>
      <c r="O83" s="1">
        <f t="shared" si="18"/>
        <v>7.9767999999999999</v>
      </c>
      <c r="P83" s="5">
        <f t="shared" ref="P83:P92" si="22">13*O83-F83</f>
        <v>53.865399999999994</v>
      </c>
      <c r="Q83" s="5"/>
      <c r="R83" s="1"/>
      <c r="S83" s="1">
        <f t="shared" si="19"/>
        <v>13</v>
      </c>
      <c r="T83" s="1">
        <f t="shared" si="20"/>
        <v>6.247242001805235</v>
      </c>
      <c r="U83" s="1">
        <v>6.5058000000000007</v>
      </c>
      <c r="V83" s="1">
        <v>5.5091999999999999</v>
      </c>
      <c r="W83" s="1">
        <v>10.442600000000001</v>
      </c>
      <c r="X83" s="1">
        <v>7.5801999999999996</v>
      </c>
      <c r="Y83" s="1">
        <v>7.8450000000000006</v>
      </c>
      <c r="Z83" s="1">
        <v>9.5809999999999995</v>
      </c>
      <c r="AA83" s="1">
        <v>9.4319999999999986</v>
      </c>
      <c r="AB83" s="1">
        <v>7.8367999999999993</v>
      </c>
      <c r="AC83" s="1">
        <v>8.8981999999999992</v>
      </c>
      <c r="AD83" s="1">
        <v>6.944</v>
      </c>
      <c r="AE83" s="1"/>
      <c r="AF83" s="1">
        <f t="shared" si="21"/>
        <v>53.865399999999994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133</v>
      </c>
      <c r="B84" s="1" t="s">
        <v>36</v>
      </c>
      <c r="C84" s="1">
        <v>2.4889999999999999</v>
      </c>
      <c r="D84" s="1">
        <v>965.697</v>
      </c>
      <c r="E84" s="1">
        <v>203.221</v>
      </c>
      <c r="F84" s="1">
        <v>705.28700000000003</v>
      </c>
      <c r="G84" s="7">
        <v>1</v>
      </c>
      <c r="H84" s="1">
        <v>60</v>
      </c>
      <c r="I84" s="1" t="s">
        <v>37</v>
      </c>
      <c r="J84" s="1">
        <v>244.6</v>
      </c>
      <c r="K84" s="1">
        <f t="shared" si="17"/>
        <v>-41.378999999999991</v>
      </c>
      <c r="L84" s="1"/>
      <c r="M84" s="1"/>
      <c r="N84" s="1"/>
      <c r="O84" s="1">
        <f t="shared" si="18"/>
        <v>40.644199999999998</v>
      </c>
      <c r="P84" s="5"/>
      <c r="Q84" s="5"/>
      <c r="R84" s="1"/>
      <c r="S84" s="1">
        <f t="shared" si="19"/>
        <v>17.352709611703517</v>
      </c>
      <c r="T84" s="1">
        <f t="shared" si="20"/>
        <v>17.352709611703517</v>
      </c>
      <c r="U84" s="1">
        <v>68.641199999999998</v>
      </c>
      <c r="V84" s="1">
        <v>52.031399999999998</v>
      </c>
      <c r="W84" s="1">
        <v>39.861400000000003</v>
      </c>
      <c r="X84" s="1">
        <v>39.3354</v>
      </c>
      <c r="Y84" s="1">
        <v>14.455399999999999</v>
      </c>
      <c r="Z84" s="1">
        <v>68.823800000000006</v>
      </c>
      <c r="AA84" s="1">
        <v>32.188200000000002</v>
      </c>
      <c r="AB84" s="1">
        <v>4.3322000000000003</v>
      </c>
      <c r="AC84" s="1">
        <v>43.811399999999999</v>
      </c>
      <c r="AD84" s="1">
        <v>20.368200000000002</v>
      </c>
      <c r="AE84" s="1"/>
      <c r="AF84" s="1">
        <f t="shared" si="21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134</v>
      </c>
      <c r="B85" s="1" t="s">
        <v>36</v>
      </c>
      <c r="C85" s="1">
        <v>65.742000000000004</v>
      </c>
      <c r="D85" s="1">
        <v>44.918999999999997</v>
      </c>
      <c r="E85" s="1">
        <v>21.983000000000001</v>
      </c>
      <c r="F85" s="1">
        <v>88.677999999999997</v>
      </c>
      <c r="G85" s="7">
        <v>1</v>
      </c>
      <c r="H85" s="1">
        <v>60</v>
      </c>
      <c r="I85" s="1" t="s">
        <v>37</v>
      </c>
      <c r="J85" s="1">
        <v>50.2</v>
      </c>
      <c r="K85" s="1">
        <f t="shared" si="17"/>
        <v>-28.217000000000002</v>
      </c>
      <c r="L85" s="1"/>
      <c r="M85" s="1"/>
      <c r="N85" s="1"/>
      <c r="O85" s="1">
        <f t="shared" si="18"/>
        <v>4.3966000000000003</v>
      </c>
      <c r="P85" s="5"/>
      <c r="Q85" s="5"/>
      <c r="R85" s="1"/>
      <c r="S85" s="1">
        <f t="shared" si="19"/>
        <v>20.169676568257287</v>
      </c>
      <c r="T85" s="1">
        <f t="shared" si="20"/>
        <v>20.169676568257287</v>
      </c>
      <c r="U85" s="1">
        <v>8.4665999999999997</v>
      </c>
      <c r="V85" s="1">
        <v>4.3712</v>
      </c>
      <c r="W85" s="1">
        <v>5.8925999999999998</v>
      </c>
      <c r="X85" s="1">
        <v>0</v>
      </c>
      <c r="Y85" s="1">
        <v>20.697199999999999</v>
      </c>
      <c r="Z85" s="1">
        <v>3.9809999999999999</v>
      </c>
      <c r="AA85" s="1">
        <v>5.7657999999999996</v>
      </c>
      <c r="AB85" s="1">
        <v>7.9542000000000002</v>
      </c>
      <c r="AC85" s="1">
        <v>2.9948000000000001</v>
      </c>
      <c r="AD85" s="1">
        <v>2.9832000000000001</v>
      </c>
      <c r="AE85" s="19" t="s">
        <v>47</v>
      </c>
      <c r="AF85" s="1">
        <f t="shared" si="21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135</v>
      </c>
      <c r="B86" s="1" t="s">
        <v>43</v>
      </c>
      <c r="C86" s="1">
        <v>5</v>
      </c>
      <c r="D86" s="1">
        <v>10</v>
      </c>
      <c r="E86" s="1">
        <v>3</v>
      </c>
      <c r="F86" s="1">
        <v>12</v>
      </c>
      <c r="G86" s="7">
        <v>0.5</v>
      </c>
      <c r="H86" s="1">
        <v>60</v>
      </c>
      <c r="I86" s="1" t="s">
        <v>37</v>
      </c>
      <c r="J86" s="1">
        <v>3</v>
      </c>
      <c r="K86" s="1">
        <f t="shared" si="17"/>
        <v>0</v>
      </c>
      <c r="L86" s="1"/>
      <c r="M86" s="1"/>
      <c r="N86" s="1"/>
      <c r="O86" s="1">
        <f t="shared" si="18"/>
        <v>0.6</v>
      </c>
      <c r="P86" s="5"/>
      <c r="Q86" s="5"/>
      <c r="R86" s="1"/>
      <c r="S86" s="1">
        <f t="shared" si="19"/>
        <v>20</v>
      </c>
      <c r="T86" s="1">
        <f t="shared" si="20"/>
        <v>20</v>
      </c>
      <c r="U86" s="1">
        <v>0.8</v>
      </c>
      <c r="V86" s="1">
        <v>1.6</v>
      </c>
      <c r="W86" s="1">
        <v>1.4</v>
      </c>
      <c r="X86" s="1">
        <v>1.4</v>
      </c>
      <c r="Y86" s="1">
        <v>1</v>
      </c>
      <c r="Z86" s="1">
        <v>1</v>
      </c>
      <c r="AA86" s="1">
        <v>3.4</v>
      </c>
      <c r="AB86" s="1">
        <v>1.4</v>
      </c>
      <c r="AC86" s="1">
        <v>0.6</v>
      </c>
      <c r="AD86" s="1">
        <v>2.6</v>
      </c>
      <c r="AE86" s="16" t="s">
        <v>53</v>
      </c>
      <c r="AF86" s="1">
        <f t="shared" si="21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136</v>
      </c>
      <c r="B87" s="1" t="s">
        <v>43</v>
      </c>
      <c r="C87" s="1">
        <v>2</v>
      </c>
      <c r="D87" s="1">
        <v>55</v>
      </c>
      <c r="E87" s="1">
        <v>-8</v>
      </c>
      <c r="F87" s="1">
        <v>54</v>
      </c>
      <c r="G87" s="7">
        <v>0.5</v>
      </c>
      <c r="H87" s="1">
        <v>40</v>
      </c>
      <c r="I87" s="1" t="s">
        <v>37</v>
      </c>
      <c r="J87" s="1">
        <v>32</v>
      </c>
      <c r="K87" s="1">
        <f t="shared" si="17"/>
        <v>-40</v>
      </c>
      <c r="L87" s="1"/>
      <c r="M87" s="1"/>
      <c r="N87" s="1"/>
      <c r="O87" s="1">
        <f t="shared" si="18"/>
        <v>-1.6</v>
      </c>
      <c r="P87" s="5"/>
      <c r="Q87" s="5"/>
      <c r="R87" s="1"/>
      <c r="S87" s="1">
        <f t="shared" si="19"/>
        <v>-33.75</v>
      </c>
      <c r="T87" s="1">
        <f t="shared" si="20"/>
        <v>-33.75</v>
      </c>
      <c r="U87" s="1">
        <v>6.4</v>
      </c>
      <c r="V87" s="1">
        <v>-2.2000000000000002</v>
      </c>
      <c r="W87" s="1">
        <v>4.2</v>
      </c>
      <c r="X87" s="1">
        <v>2.4</v>
      </c>
      <c r="Y87" s="1">
        <v>3.4</v>
      </c>
      <c r="Z87" s="1">
        <v>6.8</v>
      </c>
      <c r="AA87" s="1">
        <v>5.2</v>
      </c>
      <c r="AB87" s="1">
        <v>4.5999999999999996</v>
      </c>
      <c r="AC87" s="1">
        <v>5</v>
      </c>
      <c r="AD87" s="1">
        <v>10.4</v>
      </c>
      <c r="AE87" s="1"/>
      <c r="AF87" s="1">
        <f t="shared" si="21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137</v>
      </c>
      <c r="B88" s="1" t="s">
        <v>43</v>
      </c>
      <c r="C88" s="1">
        <v>18</v>
      </c>
      <c r="D88" s="1"/>
      <c r="E88" s="1">
        <v>3</v>
      </c>
      <c r="F88" s="1">
        <v>15</v>
      </c>
      <c r="G88" s="7">
        <v>0.5</v>
      </c>
      <c r="H88" s="1">
        <v>60</v>
      </c>
      <c r="I88" s="1" t="s">
        <v>37</v>
      </c>
      <c r="J88" s="1">
        <v>4</v>
      </c>
      <c r="K88" s="1">
        <f t="shared" si="17"/>
        <v>-1</v>
      </c>
      <c r="L88" s="1"/>
      <c r="M88" s="1"/>
      <c r="N88" s="1"/>
      <c r="O88" s="1">
        <f t="shared" si="18"/>
        <v>0.6</v>
      </c>
      <c r="P88" s="5"/>
      <c r="Q88" s="5"/>
      <c r="R88" s="1"/>
      <c r="S88" s="1">
        <f t="shared" si="19"/>
        <v>25</v>
      </c>
      <c r="T88" s="1">
        <f t="shared" si="20"/>
        <v>25</v>
      </c>
      <c r="U88" s="1">
        <v>0.8</v>
      </c>
      <c r="V88" s="1">
        <v>1.2</v>
      </c>
      <c r="W88" s="1">
        <v>2.4</v>
      </c>
      <c r="X88" s="1">
        <v>3.2</v>
      </c>
      <c r="Y88" s="1">
        <v>2</v>
      </c>
      <c r="Z88" s="1">
        <v>-0.2</v>
      </c>
      <c r="AA88" s="1">
        <v>3.2</v>
      </c>
      <c r="AB88" s="1">
        <v>1</v>
      </c>
      <c r="AC88" s="1">
        <v>1.4</v>
      </c>
      <c r="AD88" s="1">
        <v>2.6</v>
      </c>
      <c r="AE88" s="19" t="s">
        <v>47</v>
      </c>
      <c r="AF88" s="1">
        <f t="shared" si="21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138</v>
      </c>
      <c r="B89" s="1" t="s">
        <v>43</v>
      </c>
      <c r="C89" s="1">
        <v>4</v>
      </c>
      <c r="D89" s="1"/>
      <c r="E89" s="1">
        <v>-2</v>
      </c>
      <c r="F89" s="1">
        <v>2</v>
      </c>
      <c r="G89" s="7">
        <v>0.4</v>
      </c>
      <c r="H89" s="1" t="e">
        <v>#N/A</v>
      </c>
      <c r="I89" s="1" t="s">
        <v>37</v>
      </c>
      <c r="J89" s="1"/>
      <c r="K89" s="1">
        <f t="shared" si="17"/>
        <v>-2</v>
      </c>
      <c r="L89" s="1"/>
      <c r="M89" s="1"/>
      <c r="N89" s="1"/>
      <c r="O89" s="1">
        <f t="shared" si="18"/>
        <v>-0.4</v>
      </c>
      <c r="P89" s="22">
        <v>0</v>
      </c>
      <c r="Q89" s="5"/>
      <c r="R89" s="1"/>
      <c r="S89" s="1">
        <f t="shared" si="19"/>
        <v>-5</v>
      </c>
      <c r="T89" s="1">
        <f t="shared" si="20"/>
        <v>-5</v>
      </c>
      <c r="U89" s="1">
        <v>-0.6</v>
      </c>
      <c r="V89" s="1">
        <v>0.6</v>
      </c>
      <c r="W89" s="1">
        <v>-0.2</v>
      </c>
      <c r="X89" s="1">
        <v>0.2</v>
      </c>
      <c r="Y89" s="1">
        <v>0</v>
      </c>
      <c r="Z89" s="1">
        <v>2.6</v>
      </c>
      <c r="AA89" s="1">
        <v>1.6</v>
      </c>
      <c r="AB89" s="1">
        <v>0.4</v>
      </c>
      <c r="AC89" s="1">
        <v>3</v>
      </c>
      <c r="AD89" s="1">
        <v>3</v>
      </c>
      <c r="AE89" s="20" t="s">
        <v>151</v>
      </c>
      <c r="AF89" s="1">
        <f t="shared" si="21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139</v>
      </c>
      <c r="B90" s="1" t="s">
        <v>43</v>
      </c>
      <c r="C90" s="1">
        <v>13</v>
      </c>
      <c r="D90" s="1"/>
      <c r="E90" s="1"/>
      <c r="F90" s="1">
        <v>12</v>
      </c>
      <c r="G90" s="7">
        <v>0.4</v>
      </c>
      <c r="H90" s="1" t="e">
        <v>#N/A</v>
      </c>
      <c r="I90" s="1" t="s">
        <v>37</v>
      </c>
      <c r="J90" s="1">
        <v>2</v>
      </c>
      <c r="K90" s="1">
        <f t="shared" si="17"/>
        <v>-2</v>
      </c>
      <c r="L90" s="1"/>
      <c r="M90" s="1"/>
      <c r="N90" s="1"/>
      <c r="O90" s="1">
        <f t="shared" si="18"/>
        <v>0</v>
      </c>
      <c r="P90" s="5"/>
      <c r="Q90" s="5"/>
      <c r="R90" s="1"/>
      <c r="S90" s="1" t="e">
        <f t="shared" si="19"/>
        <v>#DIV/0!</v>
      </c>
      <c r="T90" s="1" t="e">
        <f t="shared" si="20"/>
        <v>#DIV/0!</v>
      </c>
      <c r="U90" s="1">
        <v>0</v>
      </c>
      <c r="V90" s="1">
        <v>0.4</v>
      </c>
      <c r="W90" s="1">
        <v>0.2</v>
      </c>
      <c r="X90" s="1">
        <v>0.4</v>
      </c>
      <c r="Y90" s="1">
        <v>0.2</v>
      </c>
      <c r="Z90" s="1">
        <v>2.2000000000000002</v>
      </c>
      <c r="AA90" s="1">
        <v>0.8</v>
      </c>
      <c r="AB90" s="1">
        <v>0.4</v>
      </c>
      <c r="AC90" s="1">
        <v>2.2000000000000002</v>
      </c>
      <c r="AD90" s="1">
        <v>2</v>
      </c>
      <c r="AE90" s="19" t="s">
        <v>47</v>
      </c>
      <c r="AF90" s="1">
        <f t="shared" si="21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140</v>
      </c>
      <c r="B91" s="1" t="s">
        <v>43</v>
      </c>
      <c r="C91" s="1">
        <v>58</v>
      </c>
      <c r="D91" s="1">
        <v>73</v>
      </c>
      <c r="E91" s="1">
        <v>46</v>
      </c>
      <c r="F91" s="1">
        <v>74</v>
      </c>
      <c r="G91" s="7">
        <v>0.35</v>
      </c>
      <c r="H91" s="1" t="e">
        <v>#N/A</v>
      </c>
      <c r="I91" s="1" t="s">
        <v>37</v>
      </c>
      <c r="J91" s="1">
        <v>45</v>
      </c>
      <c r="K91" s="1">
        <f t="shared" si="17"/>
        <v>1</v>
      </c>
      <c r="L91" s="1"/>
      <c r="M91" s="1"/>
      <c r="N91" s="1"/>
      <c r="O91" s="1">
        <f t="shared" si="18"/>
        <v>9.1999999999999993</v>
      </c>
      <c r="P91" s="5">
        <f t="shared" si="22"/>
        <v>45.599999999999994</v>
      </c>
      <c r="Q91" s="5"/>
      <c r="R91" s="1"/>
      <c r="S91" s="1">
        <f t="shared" si="19"/>
        <v>13</v>
      </c>
      <c r="T91" s="1">
        <f t="shared" si="20"/>
        <v>8.0434782608695663</v>
      </c>
      <c r="U91" s="1">
        <v>6.6</v>
      </c>
      <c r="V91" s="1">
        <v>10.8</v>
      </c>
      <c r="W91" s="1">
        <v>10.8</v>
      </c>
      <c r="X91" s="1">
        <v>9.1999999999999993</v>
      </c>
      <c r="Y91" s="1">
        <v>6</v>
      </c>
      <c r="Z91" s="1">
        <v>10.8</v>
      </c>
      <c r="AA91" s="1">
        <v>10.199999999999999</v>
      </c>
      <c r="AB91" s="1">
        <v>7.8</v>
      </c>
      <c r="AC91" s="1">
        <v>0</v>
      </c>
      <c r="AD91" s="1">
        <v>9.6</v>
      </c>
      <c r="AE91" s="1"/>
      <c r="AF91" s="1">
        <f t="shared" si="21"/>
        <v>15.959999999999997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141</v>
      </c>
      <c r="B92" s="1" t="s">
        <v>43</v>
      </c>
      <c r="C92" s="1">
        <v>16</v>
      </c>
      <c r="D92" s="1">
        <v>60</v>
      </c>
      <c r="E92" s="1">
        <v>26</v>
      </c>
      <c r="F92" s="1">
        <v>32</v>
      </c>
      <c r="G92" s="7">
        <v>0.3</v>
      </c>
      <c r="H92" s="1" t="e">
        <v>#N/A</v>
      </c>
      <c r="I92" s="1" t="s">
        <v>37</v>
      </c>
      <c r="J92" s="1">
        <v>33</v>
      </c>
      <c r="K92" s="1">
        <f t="shared" si="17"/>
        <v>-7</v>
      </c>
      <c r="L92" s="1"/>
      <c r="M92" s="1"/>
      <c r="N92" s="1"/>
      <c r="O92" s="1">
        <f t="shared" si="18"/>
        <v>5.2</v>
      </c>
      <c r="P92" s="5">
        <f t="shared" si="22"/>
        <v>35.600000000000009</v>
      </c>
      <c r="Q92" s="5"/>
      <c r="R92" s="1"/>
      <c r="S92" s="1">
        <f t="shared" si="19"/>
        <v>13.000000000000002</v>
      </c>
      <c r="T92" s="1">
        <f t="shared" si="20"/>
        <v>6.1538461538461533</v>
      </c>
      <c r="U92" s="1">
        <v>5.4</v>
      </c>
      <c r="V92" s="1">
        <v>7.2</v>
      </c>
      <c r="W92" s="1">
        <v>4.8</v>
      </c>
      <c r="X92" s="1">
        <v>6.6</v>
      </c>
      <c r="Y92" s="1">
        <v>4.2</v>
      </c>
      <c r="Z92" s="1">
        <v>3.8</v>
      </c>
      <c r="AA92" s="1">
        <v>8.1999999999999993</v>
      </c>
      <c r="AB92" s="1">
        <v>4.6264000000000003</v>
      </c>
      <c r="AC92" s="1">
        <v>-1.2</v>
      </c>
      <c r="AD92" s="1">
        <v>10.4</v>
      </c>
      <c r="AE92" s="1"/>
      <c r="AF92" s="1">
        <f t="shared" si="21"/>
        <v>10.680000000000001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5" t="s">
        <v>142</v>
      </c>
      <c r="B93" s="1" t="s">
        <v>43</v>
      </c>
      <c r="C93" s="1">
        <v>-21</v>
      </c>
      <c r="D93" s="1"/>
      <c r="E93" s="17">
        <v>47</v>
      </c>
      <c r="F93" s="17">
        <v>-68</v>
      </c>
      <c r="G93" s="7">
        <v>0</v>
      </c>
      <c r="H93" s="1" t="e">
        <v>#N/A</v>
      </c>
      <c r="I93" s="1" t="s">
        <v>143</v>
      </c>
      <c r="J93" s="1">
        <v>32</v>
      </c>
      <c r="K93" s="1">
        <f t="shared" si="17"/>
        <v>15</v>
      </c>
      <c r="L93" s="1"/>
      <c r="M93" s="1"/>
      <c r="N93" s="1"/>
      <c r="O93" s="1">
        <f t="shared" si="18"/>
        <v>9.4</v>
      </c>
      <c r="P93" s="5"/>
      <c r="Q93" s="5"/>
      <c r="R93" s="1"/>
      <c r="S93" s="1">
        <f t="shared" si="19"/>
        <v>-7.2340425531914887</v>
      </c>
      <c r="T93" s="1">
        <f t="shared" si="20"/>
        <v>-7.2340425531914887</v>
      </c>
      <c r="U93" s="1">
        <v>4.2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 t="s">
        <v>143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5" t="s">
        <v>144</v>
      </c>
      <c r="B94" s="1" t="s">
        <v>43</v>
      </c>
      <c r="C94" s="1">
        <v>-60</v>
      </c>
      <c r="D94" s="1">
        <v>112</v>
      </c>
      <c r="E94" s="17">
        <v>108</v>
      </c>
      <c r="F94" s="17">
        <v>-57</v>
      </c>
      <c r="G94" s="7">
        <v>0</v>
      </c>
      <c r="H94" s="1" t="e">
        <v>#N/A</v>
      </c>
      <c r="I94" s="1" t="s">
        <v>143</v>
      </c>
      <c r="J94" s="1">
        <v>90</v>
      </c>
      <c r="K94" s="1">
        <f t="shared" si="17"/>
        <v>18</v>
      </c>
      <c r="L94" s="1"/>
      <c r="M94" s="1"/>
      <c r="N94" s="1"/>
      <c r="O94" s="1">
        <f t="shared" si="18"/>
        <v>21.6</v>
      </c>
      <c r="P94" s="5"/>
      <c r="Q94" s="5"/>
      <c r="R94" s="1"/>
      <c r="S94" s="1">
        <f t="shared" si="19"/>
        <v>-2.6388888888888888</v>
      </c>
      <c r="T94" s="1">
        <f t="shared" si="20"/>
        <v>-2.6388888888888888</v>
      </c>
      <c r="U94" s="1">
        <v>12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 t="s">
        <v>143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5" t="s">
        <v>145</v>
      </c>
      <c r="B95" s="1" t="s">
        <v>43</v>
      </c>
      <c r="C95" s="1">
        <v>-40</v>
      </c>
      <c r="D95" s="1"/>
      <c r="E95" s="17">
        <v>81</v>
      </c>
      <c r="F95" s="17">
        <v>-122</v>
      </c>
      <c r="G95" s="7">
        <v>0</v>
      </c>
      <c r="H95" s="1" t="e">
        <v>#N/A</v>
      </c>
      <c r="I95" s="1" t="s">
        <v>143</v>
      </c>
      <c r="J95" s="1">
        <v>53</v>
      </c>
      <c r="K95" s="1">
        <f t="shared" si="17"/>
        <v>28</v>
      </c>
      <c r="L95" s="1"/>
      <c r="M95" s="1"/>
      <c r="N95" s="1"/>
      <c r="O95" s="1">
        <f t="shared" si="18"/>
        <v>16.2</v>
      </c>
      <c r="P95" s="5"/>
      <c r="Q95" s="5"/>
      <c r="R95" s="1"/>
      <c r="S95" s="1">
        <f t="shared" si="19"/>
        <v>-7.5308641975308648</v>
      </c>
      <c r="T95" s="1">
        <f t="shared" si="20"/>
        <v>-7.5308641975308648</v>
      </c>
      <c r="U95" s="1">
        <v>8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143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146</v>
      </c>
      <c r="B96" s="1" t="s">
        <v>43</v>
      </c>
      <c r="C96" s="1">
        <v>-10</v>
      </c>
      <c r="D96" s="1">
        <v>10</v>
      </c>
      <c r="E96" s="1"/>
      <c r="F96" s="1"/>
      <c r="G96" s="7">
        <v>0</v>
      </c>
      <c r="H96" s="1" t="e">
        <v>#N/A</v>
      </c>
      <c r="I96" s="1" t="s">
        <v>143</v>
      </c>
      <c r="J96" s="1"/>
      <c r="K96" s="1">
        <f t="shared" si="17"/>
        <v>0</v>
      </c>
      <c r="L96" s="1"/>
      <c r="M96" s="1"/>
      <c r="N96" s="1"/>
      <c r="O96" s="1">
        <f t="shared" si="18"/>
        <v>0</v>
      </c>
      <c r="P96" s="5"/>
      <c r="Q96" s="5"/>
      <c r="R96" s="1"/>
      <c r="S96" s="1" t="e">
        <f t="shared" si="19"/>
        <v>#DIV/0!</v>
      </c>
      <c r="T96" s="1" t="e">
        <f t="shared" si="20"/>
        <v>#DIV/0!</v>
      </c>
      <c r="U96" s="1">
        <v>0</v>
      </c>
      <c r="V96" s="1">
        <v>19.2</v>
      </c>
      <c r="W96" s="1">
        <v>17.8</v>
      </c>
      <c r="X96" s="1">
        <v>16</v>
      </c>
      <c r="Y96" s="1">
        <v>17.600000000000001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 t="s">
        <v>143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147</v>
      </c>
      <c r="B97" s="1" t="s">
        <v>43</v>
      </c>
      <c r="C97" s="1">
        <v>-9</v>
      </c>
      <c r="D97" s="1"/>
      <c r="E97" s="17">
        <v>11</v>
      </c>
      <c r="F97" s="17">
        <v>-20</v>
      </c>
      <c r="G97" s="7">
        <v>0</v>
      </c>
      <c r="H97" s="1" t="e">
        <v>#N/A</v>
      </c>
      <c r="I97" s="1" t="s">
        <v>143</v>
      </c>
      <c r="J97" s="1">
        <v>4</v>
      </c>
      <c r="K97" s="1">
        <f t="shared" si="17"/>
        <v>7</v>
      </c>
      <c r="L97" s="1"/>
      <c r="M97" s="1"/>
      <c r="N97" s="1"/>
      <c r="O97" s="1">
        <f t="shared" si="18"/>
        <v>2.2000000000000002</v>
      </c>
      <c r="P97" s="5"/>
      <c r="Q97" s="5"/>
      <c r="R97" s="1"/>
      <c r="S97" s="1">
        <f t="shared" si="19"/>
        <v>-9.0909090909090899</v>
      </c>
      <c r="T97" s="1">
        <f t="shared" si="20"/>
        <v>-9.0909090909090899</v>
      </c>
      <c r="U97" s="1">
        <v>0.4</v>
      </c>
      <c r="V97" s="1">
        <v>15.4</v>
      </c>
      <c r="W97" s="1">
        <v>13.4</v>
      </c>
      <c r="X97" s="1">
        <v>13.2</v>
      </c>
      <c r="Y97" s="1">
        <v>14</v>
      </c>
      <c r="Z97" s="1">
        <v>2.2000000000000002</v>
      </c>
      <c r="AA97" s="1">
        <v>0</v>
      </c>
      <c r="AB97" s="1">
        <v>0</v>
      </c>
      <c r="AC97" s="1">
        <v>0</v>
      </c>
      <c r="AD97" s="1">
        <v>0</v>
      </c>
      <c r="AE97" s="1" t="s">
        <v>143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5" t="s">
        <v>148</v>
      </c>
      <c r="B98" s="1" t="s">
        <v>43</v>
      </c>
      <c r="C98" s="1">
        <v>-12</v>
      </c>
      <c r="D98" s="1"/>
      <c r="E98" s="1"/>
      <c r="F98" s="17">
        <v>-12</v>
      </c>
      <c r="G98" s="7">
        <v>0</v>
      </c>
      <c r="H98" s="1" t="e">
        <v>#N/A</v>
      </c>
      <c r="I98" s="1" t="s">
        <v>143</v>
      </c>
      <c r="J98" s="1"/>
      <c r="K98" s="1">
        <f t="shared" si="17"/>
        <v>0</v>
      </c>
      <c r="L98" s="1"/>
      <c r="M98" s="1"/>
      <c r="N98" s="1"/>
      <c r="O98" s="1">
        <f t="shared" si="18"/>
        <v>0</v>
      </c>
      <c r="P98" s="5"/>
      <c r="Q98" s="5"/>
      <c r="R98" s="1"/>
      <c r="S98" s="1" t="e">
        <f t="shared" si="19"/>
        <v>#DIV/0!</v>
      </c>
      <c r="T98" s="1" t="e">
        <f t="shared" si="20"/>
        <v>#DIV/0!</v>
      </c>
      <c r="U98" s="1">
        <v>0</v>
      </c>
      <c r="V98" s="1">
        <v>5.6</v>
      </c>
      <c r="W98" s="1">
        <v>3.2</v>
      </c>
      <c r="X98" s="1">
        <v>6.4</v>
      </c>
      <c r="Y98" s="1">
        <v>3.4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 t="s">
        <v>143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F98" xr:uid="{758AF022-CA57-4329-B4C6-0D1CD1CC23F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2025-04-14T08:55:43Z</dcterms:created>
  <dcterms:modified xsi:type="dcterms:W3CDTF">2025-04-14T09:18:24Z</dcterms:modified>
</cp:coreProperties>
</file>