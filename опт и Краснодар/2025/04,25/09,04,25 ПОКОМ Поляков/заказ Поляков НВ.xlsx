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7EC2A817-7904-4A87-B3B7-BC50374D85A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BP498" i="1"/>
  <c r="BO498" i="1"/>
  <c r="BN498" i="1"/>
  <c r="BM498" i="1"/>
  <c r="Z498" i="1"/>
  <c r="Z502" i="1" s="1"/>
  <c r="Y498" i="1"/>
  <c r="Y503" i="1" s="1"/>
  <c r="P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1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Y128" i="1" s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1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Y102" i="1" s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1" i="1" s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2" i="1" s="1"/>
  <c r="Z22" i="1"/>
  <c r="Y22" i="1"/>
  <c r="P22" i="1"/>
  <c r="H10" i="1"/>
  <c r="F10" i="1"/>
  <c r="J9" i="1"/>
  <c r="F9" i="1"/>
  <c r="A9" i="1"/>
  <c r="A10" i="1" s="1"/>
  <c r="D7" i="1"/>
  <c r="Q6" i="1"/>
  <c r="P2" i="1"/>
  <c r="Z55" i="1" l="1"/>
  <c r="Z139" i="1"/>
  <c r="Z193" i="1"/>
  <c r="Z77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Y161" i="1"/>
  <c r="BP175" i="1"/>
  <c r="BN175" i="1"/>
  <c r="Z175" i="1"/>
  <c r="Z183" i="1" s="1"/>
  <c r="BP180" i="1"/>
  <c r="BN180" i="1"/>
  <c r="Z180" i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8" i="1" s="1"/>
  <c r="BP235" i="1"/>
  <c r="BN235" i="1"/>
  <c r="Z235" i="1"/>
  <c r="BP257" i="1"/>
  <c r="BN257" i="1"/>
  <c r="Z257" i="1"/>
  <c r="Y261" i="1"/>
  <c r="Z273" i="1"/>
  <c r="BP271" i="1"/>
  <c r="BN271" i="1"/>
  <c r="Z271" i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X594" i="1" s="1"/>
  <c r="Z23" i="1"/>
  <c r="Z28" i="1" s="1"/>
  <c r="BN23" i="1"/>
  <c r="Y592" i="1" s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Z41" i="1" s="1"/>
  <c r="BN37" i="1"/>
  <c r="BP37" i="1"/>
  <c r="Y593" i="1" s="1"/>
  <c r="Z39" i="1"/>
  <c r="BN39" i="1"/>
  <c r="Y42" i="1"/>
  <c r="D601" i="1"/>
  <c r="Z50" i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4" i="1"/>
  <c r="Z102" i="1" s="1"/>
  <c r="BN94" i="1"/>
  <c r="Z99" i="1"/>
  <c r="BN99" i="1"/>
  <c r="Z101" i="1"/>
  <c r="BN101" i="1"/>
  <c r="Z106" i="1"/>
  <c r="Z110" i="1" s="1"/>
  <c r="BN106" i="1"/>
  <c r="BP106" i="1"/>
  <c r="Z108" i="1"/>
  <c r="BN108" i="1"/>
  <c r="Y111" i="1"/>
  <c r="Z114" i="1"/>
  <c r="Z116" i="1" s="1"/>
  <c r="BN114" i="1"/>
  <c r="Z119" i="1"/>
  <c r="Z128" i="1" s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Z261" i="1" s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40" i="1" s="1"/>
  <c r="Y340" i="1"/>
  <c r="Z346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Z495" i="1" s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Z325" i="1" s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Z353" i="1" s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Z528" i="1" s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Z523" i="1" s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Y594" i="1" l="1"/>
  <c r="Z565" i="1"/>
  <c r="Z385" i="1"/>
  <c r="Z221" i="1"/>
  <c r="Z161" i="1"/>
  <c r="Z547" i="1"/>
  <c r="Z517" i="1"/>
  <c r="Z442" i="1"/>
  <c r="Z332" i="1"/>
  <c r="Z83" i="1"/>
  <c r="Z596" i="1" s="1"/>
  <c r="Y595" i="1"/>
  <c r="Z408" i="1"/>
  <c r="Z370" i="1"/>
  <c r="Y591" i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<sst xmlns="http://schemas.openxmlformats.org/spreadsheetml/2006/main" count="2720" uniqueCount="975">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</sst>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77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45759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19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21</v>
      </c>
      <c r="Q10" s="855"/>
      <c r="R10" s="856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8"/>
      <c r="R11" s="799"/>
      <c r="U11" s="24" t="s">
        <v>26</v>
      </c>
      <c r="V11" s="965" t="s">
        <v>27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28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29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30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31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32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33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9" t="s">
        <v>37</v>
      </c>
      <c r="D17" s="702" t="s">
        <v>38</v>
      </c>
      <c r="E17" s="771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0"/>
      <c r="R17" s="770"/>
      <c r="S17" s="770"/>
      <c r="T17" s="771"/>
      <c r="U17" s="1036" t="s">
        <v>50</v>
      </c>
      <c r="V17" s="802"/>
      <c r="W17" s="702" t="s">
        <v>51</v>
      </c>
      <c r="X17" s="702" t="s">
        <v>52</v>
      </c>
      <c r="Y17" s="1037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60</v>
      </c>
      <c r="V18" s="67" t="s">
        <v>61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63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2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97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200</v>
      </c>
      <c r="Y50" s="664">
        <f t="shared" si="6"/>
        <v>205.20000000000002</v>
      </c>
      <c r="Z50" s="36">
        <f>IFERROR(IF(Y50=0,"",ROUNDUP(Y50/H50,0)*0.01898),"")</f>
        <v>0.36062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208.05555555555554</v>
      </c>
      <c r="BN50" s="64">
        <f t="shared" si="8"/>
        <v>213.46499999999997</v>
      </c>
      <c r="BO50" s="64">
        <f t="shared" si="9"/>
        <v>0.28935185185185186</v>
      </c>
      <c r="BP50" s="64">
        <f t="shared" si="10"/>
        <v>0.296875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45</v>
      </c>
      <c r="Y54" s="664">
        <f t="shared" si="6"/>
        <v>45</v>
      </c>
      <c r="Z54" s="36">
        <f>IFERROR(IF(Y54=0,"",ROUNDUP(Y54/H54,0)*0.00902),"")</f>
        <v>9.0200000000000002E-2</v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47.099999999999994</v>
      </c>
      <c r="BN54" s="64">
        <f t="shared" si="8"/>
        <v>47.099999999999994</v>
      </c>
      <c r="BO54" s="64">
        <f t="shared" si="9"/>
        <v>7.575757575757576E-2</v>
      </c>
      <c r="BP54" s="64">
        <f t="shared" si="10"/>
        <v>7.575757575757576E-2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28.518518518518519</v>
      </c>
      <c r="Y55" s="665">
        <f>IFERROR(Y49/H49,"0")+IFERROR(Y50/H50,"0")+IFERROR(Y51/H51,"0")+IFERROR(Y52/H52,"0")+IFERROR(Y53/H53,"0")+IFERROR(Y54/H54,"0")</f>
        <v>29</v>
      </c>
      <c r="Z55" s="665">
        <f>IFERROR(IF(Z49="",0,Z49),"0")+IFERROR(IF(Z50="",0,Z50),"0")+IFERROR(IF(Z51="",0,Z51),"0")+IFERROR(IF(Z52="",0,Z52),"0")+IFERROR(IF(Z53="",0,Z53),"0")+IFERROR(IF(Z54="",0,Z54),"0")</f>
        <v>0.45082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245</v>
      </c>
      <c r="Y56" s="665">
        <f>IFERROR(SUM(Y49:Y54),"0")</f>
        <v>250.20000000000002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100</v>
      </c>
      <c r="Y58" s="664">
        <f>IFERROR(IF(X58="",0,CEILING((X58/$H58),1)*$H58),"")</f>
        <v>108</v>
      </c>
      <c r="Z58" s="36">
        <f>IFERROR(IF(Y58=0,"",ROUNDUP(Y58/H58,0)*0.01898),"")</f>
        <v>0.1898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104.02777777777777</v>
      </c>
      <c r="BN58" s="64">
        <f>IFERROR(Y58*I58/H58,"0")</f>
        <v>112.34999999999998</v>
      </c>
      <c r="BO58" s="64">
        <f>IFERROR(1/J58*(X58/H58),"0")</f>
        <v>0.14467592592592593</v>
      </c>
      <c r="BP58" s="64">
        <f>IFERROR(1/J58*(Y58/H58),"0")</f>
        <v>0.15625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9.2592592592592595</v>
      </c>
      <c r="Y62" s="665">
        <f>IFERROR(Y58/H58,"0")+IFERROR(Y59/H59,"0")+IFERROR(Y60/H60,"0")+IFERROR(Y61/H61,"0")</f>
        <v>10</v>
      </c>
      <c r="Z62" s="665">
        <f>IFERROR(IF(Z58="",0,Z58),"0")+IFERROR(IF(Z59="",0,Z59),"0")+IFERROR(IF(Z60="",0,Z60),"0")+IFERROR(IF(Z61="",0,Z61),"0")</f>
        <v>0.1898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100</v>
      </c>
      <c r="Y63" s="665">
        <f>IFERROR(SUM(Y58:Y61),"0")</f>
        <v>108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100</v>
      </c>
      <c r="Y73" s="664">
        <f t="shared" si="11"/>
        <v>100.80000000000001</v>
      </c>
      <c r="Z73" s="36">
        <f>IFERROR(IF(Y73=0,"",ROUNDUP(Y73/H73,0)*0.01898),"")</f>
        <v>0.22776000000000002</v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106.03571428571429</v>
      </c>
      <c r="BN73" s="64">
        <f t="shared" si="13"/>
        <v>106.88400000000001</v>
      </c>
      <c r="BO73" s="64">
        <f t="shared" si="14"/>
        <v>0.18601190476190477</v>
      </c>
      <c r="BP73" s="64">
        <f t="shared" si="15"/>
        <v>0.1875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11.904761904761905</v>
      </c>
      <c r="Y77" s="665">
        <f>IFERROR(Y71/H71,"0")+IFERROR(Y72/H72,"0")+IFERROR(Y73/H73,"0")+IFERROR(Y74/H74,"0")+IFERROR(Y75/H75,"0")+IFERROR(Y76/H76,"0")</f>
        <v>12</v>
      </c>
      <c r="Z77" s="665">
        <f>IFERROR(IF(Z71="",0,Z71),"0")+IFERROR(IF(Z72="",0,Z72),"0")+IFERROR(IF(Z73="",0,Z73),"0")+IFERROR(IF(Z74="",0,Z74),"0")+IFERROR(IF(Z75="",0,Z75),"0")+IFERROR(IF(Z76="",0,Z76),"0")</f>
        <v>0.22776000000000002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100</v>
      </c>
      <c r="Y78" s="665">
        <f>IFERROR(SUM(Y71:Y76),"0")</f>
        <v>100.80000000000001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97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17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6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6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97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3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2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0</v>
      </c>
      <c r="Y128" s="665">
        <f>IFERROR(Y119/H119,"0")+IFERROR(Y120/H120,"0")+IFERROR(Y121/H121,"0")+IFERROR(Y122/H122,"0")+IFERROR(Y123/H123,"0")+IFERROR(Y124/H124,"0")+IFERROR(Y125/H125,"0")+IFERROR(Y126/H126,"0")+IFERROR(Y127/H127,"0")</f>
        <v>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0</v>
      </c>
      <c r="Y129" s="665">
        <f>IFERROR(SUM(Y119:Y127),"0")</f>
        <v>0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97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97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133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5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97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0</v>
      </c>
      <c r="Y221" s="665">
        <f>IFERROR(Y212/H212,"0")+IFERROR(Y213/H213,"0")+IFERROR(Y214/H214,"0")+IFERROR(Y215/H215,"0")+IFERROR(Y216/H216,"0")+IFERROR(Y217/H217,"0")+IFERROR(Y218/H218,"0")+IFERROR(Y219/H219,"0")+IFERROR(Y220/H220,"0")</f>
        <v>0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0</v>
      </c>
      <c r="Y222" s="665">
        <f>IFERROR(SUM(Y212:Y220),"0")</f>
        <v>0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97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4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5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97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97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97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63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97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63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97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97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97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200</v>
      </c>
      <c r="Y343" s="664">
        <f>IFERROR(IF(X343="",0,CEILING((X343/$H343),1)*$H343),"")</f>
        <v>201.60000000000002</v>
      </c>
      <c r="Z343" s="36">
        <f>IFERROR(IF(Y343=0,"",ROUNDUP(Y343/H343,0)*0.01898),"")</f>
        <v>0.45552000000000004</v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212.35714285714286</v>
      </c>
      <c r="BN343" s="64">
        <f>IFERROR(Y343*I343/H343,"0")</f>
        <v>214.05600000000001</v>
      </c>
      <c r="BO343" s="64">
        <f>IFERROR(1/J343*(X343/H343),"0")</f>
        <v>0.37202380952380953</v>
      </c>
      <c r="BP343" s="64">
        <f>IFERROR(1/J343*(Y343/H343),"0")</f>
        <v>0.375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23.80952380952381</v>
      </c>
      <c r="Y346" s="665">
        <f>IFERROR(Y343/H343,"0")+IFERROR(Y344/H344,"0")+IFERROR(Y345/H345,"0")</f>
        <v>24</v>
      </c>
      <c r="Z346" s="665">
        <f>IFERROR(IF(Z343="",0,Z343),"0")+IFERROR(IF(Z344="",0,Z344),"0")+IFERROR(IF(Z345="",0,Z345),"0")</f>
        <v>0.45552000000000004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200</v>
      </c>
      <c r="Y347" s="665">
        <f>IFERROR(SUM(Y343:Y345),"0")</f>
        <v>201.60000000000002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144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97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1500</v>
      </c>
      <c r="Y375" s="664">
        <f t="shared" ref="Y375:Y384" si="58">IFERROR(IF(X375="",0,CEILING((X375/$H375),1)*$H375),"")</f>
        <v>1500</v>
      </c>
      <c r="Z375" s="36">
        <f>IFERROR(IF(Y375=0,"",ROUNDUP(Y375/H375,0)*0.02175),"")</f>
        <v>2.1749999999999998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1548</v>
      </c>
      <c r="BN375" s="64">
        <f t="shared" ref="BN375:BN384" si="60">IFERROR(Y375*I375/H375,"0")</f>
        <v>1548</v>
      </c>
      <c r="BO375" s="64">
        <f t="shared" ref="BO375:BO384" si="61">IFERROR(1/J375*(X375/H375),"0")</f>
        <v>2.083333333333333</v>
      </c>
      <c r="BP375" s="64">
        <f t="shared" ref="BP375:BP384" si="62">IFERROR(1/J375*(Y375/H375),"0")</f>
        <v>2.083333333333333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1000</v>
      </c>
      <c r="Y379" s="664">
        <f t="shared" si="58"/>
        <v>1005</v>
      </c>
      <c r="Z379" s="36">
        <f>IFERROR(IF(Y379=0,"",ROUNDUP(Y379/H379,0)*0.02175),"")</f>
        <v>1.4572499999999999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1032</v>
      </c>
      <c r="BN379" s="64">
        <f t="shared" si="60"/>
        <v>1037.1600000000001</v>
      </c>
      <c r="BO379" s="64">
        <f t="shared" si="61"/>
        <v>1.3888888888888888</v>
      </c>
      <c r="BP379" s="64">
        <f t="shared" si="62"/>
        <v>1.3958333333333333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166.66666666666669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167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3.63225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2500</v>
      </c>
      <c r="Y386" s="665">
        <f>IFERROR(SUM(Y375:Y384),"0")</f>
        <v>2505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2000</v>
      </c>
      <c r="Y388" s="664">
        <f>IFERROR(IF(X388="",0,CEILING((X388/$H388),1)*$H388),"")</f>
        <v>2010</v>
      </c>
      <c r="Z388" s="36">
        <f>IFERROR(IF(Y388=0,"",ROUNDUP(Y388/H388,0)*0.02175),"")</f>
        <v>2.9144999999999999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2064</v>
      </c>
      <c r="BN388" s="64">
        <f>IFERROR(Y388*I388/H388,"0")</f>
        <v>2074.3200000000002</v>
      </c>
      <c r="BO388" s="64">
        <f>IFERROR(1/J388*(X388/H388),"0")</f>
        <v>2.7777777777777777</v>
      </c>
      <c r="BP388" s="64">
        <f>IFERROR(1/J388*(Y388/H388),"0")</f>
        <v>2.7916666666666665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133.33333333333334</v>
      </c>
      <c r="Y390" s="665">
        <f>IFERROR(Y388/H388,"0")+IFERROR(Y389/H389,"0")</f>
        <v>134</v>
      </c>
      <c r="Z390" s="665">
        <f>IFERROR(IF(Z388="",0,Z388),"0")+IFERROR(IF(Z389="",0,Z389),"0")</f>
        <v>2.9144999999999999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2000</v>
      </c>
      <c r="Y391" s="665">
        <f>IFERROR(SUM(Y388:Y389),"0")</f>
        <v>2010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9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350</v>
      </c>
      <c r="Y398" s="664">
        <f>IFERROR(IF(X398="",0,CEILING((X398/$H398),1)*$H398),"")</f>
        <v>351</v>
      </c>
      <c r="Z398" s="36">
        <f>IFERROR(IF(Y398=0,"",ROUNDUP(Y398/H398,0)*0.01898),"")</f>
        <v>0.74021999999999999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370.18333333333334</v>
      </c>
      <c r="BN398" s="64">
        <f>IFERROR(Y398*I398/H398,"0")</f>
        <v>371.24099999999999</v>
      </c>
      <c r="BO398" s="64">
        <f>IFERROR(1/J398*(X398/H398),"0")</f>
        <v>0.60763888888888884</v>
      </c>
      <c r="BP398" s="64">
        <f>IFERROR(1/J398*(Y398/H398),"0")</f>
        <v>0.609375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38.888888888888886</v>
      </c>
      <c r="Y399" s="665">
        <f>IFERROR(Y398/H398,"0")</f>
        <v>39</v>
      </c>
      <c r="Z399" s="665">
        <f>IFERROR(IF(Z398="",0,Z398),"0")</f>
        <v>0.74021999999999999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350</v>
      </c>
      <c r="Y400" s="665">
        <f>IFERROR(SUM(Y398:Y398),"0")</f>
        <v>351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97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100</v>
      </c>
      <c r="Y411" s="664">
        <f>IFERROR(IF(X411="",0,CEILING((X411/$H411),1)*$H411),"")</f>
        <v>100.74</v>
      </c>
      <c r="Z411" s="36">
        <f>IFERROR(IF(Y411=0,"",ROUNDUP(Y411/H411,0)*0.00902),"")</f>
        <v>0.20746000000000001</v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106.16438356164385</v>
      </c>
      <c r="BN411" s="64">
        <f>IFERROR(Y411*I411/H411,"0")</f>
        <v>106.95</v>
      </c>
      <c r="BO411" s="64">
        <f>IFERROR(1/J411*(X411/H411),"0")</f>
        <v>0.17296250172962502</v>
      </c>
      <c r="BP411" s="64">
        <f>IFERROR(1/J411*(Y411/H411),"0")</f>
        <v>0.17424242424242425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22.831050228310502</v>
      </c>
      <c r="Y413" s="665">
        <f>IFERROR(Y411/H411,"0")+IFERROR(Y412/H412,"0")</f>
        <v>23</v>
      </c>
      <c r="Z413" s="665">
        <f>IFERROR(IF(Z411="",0,Z411),"0")+IFERROR(IF(Z412="",0,Z412),"0")</f>
        <v>0.20746000000000001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100</v>
      </c>
      <c r="Y414" s="665">
        <f>IFERROR(SUM(Y411:Y412),"0")</f>
        <v>100.74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5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6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144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8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1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133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0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28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144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0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144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97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600</v>
      </c>
      <c r="Y483" s="664">
        <f t="shared" si="69"/>
        <v>601.92000000000007</v>
      </c>
      <c r="Z483" s="36">
        <f>IFERROR(IF(Y483=0,"",ROUNDUP(Y483/H483,0)*0.01196),"")</f>
        <v>1.36344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640.90909090909088</v>
      </c>
      <c r="BN483" s="64">
        <f t="shared" si="71"/>
        <v>642.96</v>
      </c>
      <c r="BO483" s="64">
        <f t="shared" si="72"/>
        <v>1.0926573426573427</v>
      </c>
      <c r="BP483" s="64">
        <f t="shared" si="73"/>
        <v>1.0961538461538463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7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0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6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113.63636363636363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114.00000000000001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1.36344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600</v>
      </c>
      <c r="Y496" s="665">
        <f>IFERROR(SUM(Y480:Y494),"0")</f>
        <v>601.92000000000007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400</v>
      </c>
      <c r="Y498" s="664">
        <f>IFERROR(IF(X498="",0,CEILING((X498/$H498),1)*$H498),"")</f>
        <v>401.28000000000003</v>
      </c>
      <c r="Z498" s="36">
        <f>IFERROR(IF(Y498=0,"",ROUNDUP(Y498/H498,0)*0.01196),"")</f>
        <v>0.90895999999999999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427.27272727272725</v>
      </c>
      <c r="BN498" s="64">
        <f>IFERROR(Y498*I498/H498,"0")</f>
        <v>428.64</v>
      </c>
      <c r="BO498" s="64">
        <f>IFERROR(1/J498*(X498/H498),"0")</f>
        <v>0.72843822843822836</v>
      </c>
      <c r="BP498" s="64">
        <f>IFERROR(1/J498*(Y498/H498),"0")</f>
        <v>0.73076923076923084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5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3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75.757575757575751</v>
      </c>
      <c r="Y502" s="665">
        <f>IFERROR(Y498/H498,"0")+IFERROR(Y499/H499,"0")+IFERROR(Y500/H500,"0")+IFERROR(Y501/H501,"0")</f>
        <v>76</v>
      </c>
      <c r="Z502" s="665">
        <f>IFERROR(IF(Z498="",0,Z498),"0")+IFERROR(IF(Z499="",0,Z499),"0")+IFERROR(IF(Z500="",0,Z500),"0")+IFERROR(IF(Z501="",0,Z501),"0")</f>
        <v>0.90895999999999999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400</v>
      </c>
      <c r="Y503" s="665">
        <f>IFERROR(SUM(Y498:Y501),"0")</f>
        <v>401.28000000000003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3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100</v>
      </c>
      <c r="Y505" s="664">
        <f t="shared" ref="Y505:Y516" si="74">IFERROR(IF(X505="",0,CEILING((X505/$H505),1)*$H505),"")</f>
        <v>100.32000000000001</v>
      </c>
      <c r="Z505" s="36">
        <f>IFERROR(IF(Y505=0,"",ROUNDUP(Y505/H505,0)*0.01196),"")</f>
        <v>0.22724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106.81818181818181</v>
      </c>
      <c r="BN505" s="64">
        <f t="shared" ref="BN505:BN516" si="76">IFERROR(Y505*I505/H505,"0")</f>
        <v>107.16</v>
      </c>
      <c r="BO505" s="64">
        <f t="shared" ref="BO505:BO516" si="77">IFERROR(1/J505*(X505/H505),"0")</f>
        <v>0.18210955710955709</v>
      </c>
      <c r="BP505" s="64">
        <f t="shared" ref="BP505:BP516" si="78">IFERROR(1/J505*(Y505/H505),"0")</f>
        <v>0.18269230769230771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100</v>
      </c>
      <c r="Y506" s="664">
        <f t="shared" si="74"/>
        <v>100.32000000000001</v>
      </c>
      <c r="Z506" s="36">
        <f>IFERROR(IF(Y506=0,"",ROUNDUP(Y506/H506,0)*0.01196),"")</f>
        <v>0.22724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106.81818181818181</v>
      </c>
      <c r="BN506" s="64">
        <f t="shared" si="76"/>
        <v>107.16</v>
      </c>
      <c r="BO506" s="64">
        <f t="shared" si="77"/>
        <v>0.18210955710955709</v>
      </c>
      <c r="BP506" s="64">
        <f t="shared" si="78"/>
        <v>0.18269230769230771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150</v>
      </c>
      <c r="Y507" s="664">
        <f t="shared" si="74"/>
        <v>153.12</v>
      </c>
      <c r="Z507" s="36">
        <f>IFERROR(IF(Y507=0,"",ROUNDUP(Y507/H507,0)*0.01196),"")</f>
        <v>0.34683999999999998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160.22727272727272</v>
      </c>
      <c r="BN507" s="64">
        <f t="shared" si="76"/>
        <v>163.56</v>
      </c>
      <c r="BO507" s="64">
        <f t="shared" si="77"/>
        <v>0.27316433566433568</v>
      </c>
      <c r="BP507" s="64">
        <f t="shared" si="78"/>
        <v>0.27884615384615385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0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9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9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66.287878787878782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67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0.80132000000000003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350</v>
      </c>
      <c r="Y518" s="665">
        <f>IFERROR(SUM(Y505:Y516),"0")</f>
        <v>353.76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97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7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4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0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2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6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4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5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1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0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0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4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7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8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29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8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3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97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79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8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1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4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936</v>
      </c>
      <c r="Q591" s="801"/>
      <c r="R591" s="801"/>
      <c r="S591" s="801"/>
      <c r="T591" s="801"/>
      <c r="U591" s="801"/>
      <c r="V591" s="802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6945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6984.3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937</v>
      </c>
      <c r="Q592" s="801"/>
      <c r="R592" s="801"/>
      <c r="S592" s="801"/>
      <c r="T592" s="801"/>
      <c r="U592" s="801"/>
      <c r="V592" s="802"/>
      <c r="W592" s="37" t="s">
        <v>68</v>
      </c>
      <c r="X592" s="665">
        <f>IFERROR(SUM(BM22:BM588),"0")</f>
        <v>7239.9693619166228</v>
      </c>
      <c r="Y592" s="665">
        <f>IFERROR(SUM(BN22:BN588),"0")</f>
        <v>7281.0060000000012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938</v>
      </c>
      <c r="Q593" s="801"/>
      <c r="R593" s="801"/>
      <c r="S593" s="801"/>
      <c r="T593" s="801"/>
      <c r="U593" s="801"/>
      <c r="V593" s="802"/>
      <c r="W593" s="37" t="s">
        <v>939</v>
      </c>
      <c r="X593" s="38">
        <f>ROUNDUP(SUM(BO22:BO588),0)</f>
        <v>11</v>
      </c>
      <c r="Y593" s="38">
        <f>ROUNDUP(SUM(BP22:BP588),0)</f>
        <v>11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940</v>
      </c>
      <c r="Q594" s="801"/>
      <c r="R594" s="801"/>
      <c r="S594" s="801"/>
      <c r="T594" s="801"/>
      <c r="U594" s="801"/>
      <c r="V594" s="802"/>
      <c r="W594" s="37" t="s">
        <v>68</v>
      </c>
      <c r="X594" s="665">
        <f>GrossWeightTotal+PalletQtyTotal*25</f>
        <v>7514.9693619166228</v>
      </c>
      <c r="Y594" s="665">
        <f>GrossWeightTotalR+PalletQtyTotalR*25</f>
        <v>7556.0060000000012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941</v>
      </c>
      <c r="Q595" s="801"/>
      <c r="R595" s="801"/>
      <c r="S595" s="801"/>
      <c r="T595" s="801"/>
      <c r="U595" s="801"/>
      <c r="V595" s="802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690.893820791081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695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942</v>
      </c>
      <c r="Q596" s="801"/>
      <c r="R596" s="801"/>
      <c r="S596" s="801"/>
      <c r="T596" s="801"/>
      <c r="U596" s="801"/>
      <c r="V596" s="802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11.892050000000001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86" t="s">
        <v>95</v>
      </c>
      <c r="D598" s="779"/>
      <c r="E598" s="779"/>
      <c r="F598" s="779"/>
      <c r="G598" s="779"/>
      <c r="H598" s="780"/>
      <c r="I598" s="686" t="s">
        <v>283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574</v>
      </c>
      <c r="X598" s="780"/>
      <c r="Y598" s="686" t="s">
        <v>652</v>
      </c>
      <c r="Z598" s="779"/>
      <c r="AA598" s="779"/>
      <c r="AB598" s="780"/>
      <c r="AC598" s="660" t="s">
        <v>727</v>
      </c>
      <c r="AD598" s="686" t="s">
        <v>826</v>
      </c>
      <c r="AE598" s="780"/>
      <c r="AF598" s="661"/>
    </row>
    <row r="599" spans="1:32" ht="14.25" customHeight="1" thickTop="1" x14ac:dyDescent="0.2">
      <c r="A599" s="828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61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459.00000000000006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201.60000000000002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4866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100.74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1356.96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2025-04-11T07:43:37Z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