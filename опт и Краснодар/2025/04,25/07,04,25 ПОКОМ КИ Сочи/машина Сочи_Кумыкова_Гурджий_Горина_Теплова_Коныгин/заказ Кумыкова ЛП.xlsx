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C7F6612-D2D1-482E-90CD-C7121D9F35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Y261" i="1" s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Y239" i="1" s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I602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Y161" i="1" s="1"/>
  <c r="P157" i="1"/>
  <c r="BP156" i="1"/>
  <c r="BO156" i="1"/>
  <c r="BN156" i="1"/>
  <c r="BM156" i="1"/>
  <c r="Z156" i="1"/>
  <c r="Y156" i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BP118" i="1"/>
  <c r="BO118" i="1"/>
  <c r="BN118" i="1"/>
  <c r="BM118" i="1"/>
  <c r="Z118" i="1"/>
  <c r="Y118" i="1"/>
  <c r="Y128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Y115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2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BP70" i="1"/>
  <c r="BO70" i="1"/>
  <c r="BN70" i="1"/>
  <c r="BM70" i="1"/>
  <c r="Z70" i="1"/>
  <c r="Y70" i="1"/>
  <c r="Y76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Y67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1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602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Y40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F9" i="1" l="1"/>
  <c r="J9" i="1"/>
  <c r="F10" i="1"/>
  <c r="Z22" i="1"/>
  <c r="Z26" i="1" s="1"/>
  <c r="BN22" i="1"/>
  <c r="BP22" i="1"/>
  <c r="Z24" i="1"/>
  <c r="BN24" i="1"/>
  <c r="X596" i="1"/>
  <c r="Y27" i="1"/>
  <c r="C602" i="1"/>
  <c r="Z36" i="1"/>
  <c r="Z39" i="1" s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Z67" i="1" s="1"/>
  <c r="BN65" i="1"/>
  <c r="BP65" i="1"/>
  <c r="Z71" i="1"/>
  <c r="Z76" i="1" s="1"/>
  <c r="BN71" i="1"/>
  <c r="BP71" i="1"/>
  <c r="Z73" i="1"/>
  <c r="BN73" i="1"/>
  <c r="Z75" i="1"/>
  <c r="BN75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Z115" i="1" s="1"/>
  <c r="BN113" i="1"/>
  <c r="BP113" i="1"/>
  <c r="Z120" i="1"/>
  <c r="Z127" i="1" s="1"/>
  <c r="BN120" i="1"/>
  <c r="Z123" i="1"/>
  <c r="BN123" i="1"/>
  <c r="Z124" i="1"/>
  <c r="BN124" i="1"/>
  <c r="Z126" i="1"/>
  <c r="BN126" i="1"/>
  <c r="Y127" i="1"/>
  <c r="Z130" i="1"/>
  <c r="Z132" i="1" s="1"/>
  <c r="BN130" i="1"/>
  <c r="BP130" i="1"/>
  <c r="Y133" i="1"/>
  <c r="G602" i="1"/>
  <c r="Z137" i="1"/>
  <c r="Z138" i="1" s="1"/>
  <c r="BN137" i="1"/>
  <c r="BP137" i="1"/>
  <c r="Y138" i="1"/>
  <c r="Z141" i="1"/>
  <c r="Z143" i="1" s="1"/>
  <c r="BN141" i="1"/>
  <c r="BP141" i="1"/>
  <c r="Y144" i="1"/>
  <c r="Y149" i="1"/>
  <c r="BP146" i="1"/>
  <c r="BN146" i="1"/>
  <c r="Z146" i="1"/>
  <c r="Z148" i="1" s="1"/>
  <c r="Y160" i="1"/>
  <c r="BP159" i="1"/>
  <c r="BN159" i="1"/>
  <c r="Z159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43" i="1"/>
  <c r="BP241" i="1"/>
  <c r="BN241" i="1"/>
  <c r="Z241" i="1"/>
  <c r="BP257" i="1"/>
  <c r="BN257" i="1"/>
  <c r="Z257" i="1"/>
  <c r="BP271" i="1"/>
  <c r="BN271" i="1"/>
  <c r="Z271" i="1"/>
  <c r="Z273" i="1" s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H9" i="1"/>
  <c r="Y26" i="1"/>
  <c r="Y55" i="1"/>
  <c r="Y90" i="1"/>
  <c r="Y109" i="1"/>
  <c r="BP157" i="1"/>
  <c r="BN157" i="1"/>
  <c r="Z157" i="1"/>
  <c r="Z160" i="1" s="1"/>
  <c r="BP175" i="1"/>
  <c r="BN175" i="1"/>
  <c r="Z175" i="1"/>
  <c r="Z183" i="1" s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18" i="1"/>
  <c r="Z443" i="1"/>
  <c r="Z325" i="1"/>
  <c r="Z221" i="1"/>
  <c r="Y593" i="1"/>
  <c r="Z566" i="1"/>
  <c r="Z529" i="1"/>
  <c r="Y596" i="1"/>
  <c r="Z346" i="1"/>
  <c r="Z340" i="1"/>
  <c r="Z243" i="1"/>
  <c r="Z109" i="1"/>
  <c r="Z101" i="1"/>
  <c r="Z89" i="1"/>
  <c r="Z82" i="1"/>
  <c r="Z61" i="1"/>
  <c r="Z54" i="1"/>
  <c r="Z597" i="1" s="1"/>
  <c r="Y592" i="1"/>
  <c r="Y594" i="1"/>
  <c r="Y595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<sst xmlns="http://schemas.openxmlformats.org/spreadsheetml/2006/main" count="2737" uniqueCount="969">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</sst>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0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500</v>
      </c>
      <c r="Y35" s="666">
        <f>IFERROR(IF(X35="",0,CEILING((X35/$H35),1)*$H35),"")</f>
        <v>507.6</v>
      </c>
      <c r="Z35" s="36">
        <f>IFERROR(IF(Y35=0,"",ROUNDUP(Y35/H35,0)*0.01898),"")</f>
        <v>0.89205999999999996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520.1388888888888</v>
      </c>
      <c r="BN35" s="64">
        <f>IFERROR(Y35*I35/H35,"0")</f>
        <v>528.04499999999996</v>
      </c>
      <c r="BO35" s="64">
        <f>IFERROR(1/J35*(X35/H35),"0")</f>
        <v>0.72337962962962954</v>
      </c>
      <c r="BP35" s="64">
        <f>IFERROR(1/J35*(Y35/H35),"0")</f>
        <v>0.734375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120</v>
      </c>
      <c r="Y36" s="666">
        <f>IFERROR(IF(X36="",0,CEILING((X36/$H36),1)*$H36),"")</f>
        <v>120</v>
      </c>
      <c r="Z36" s="36">
        <f>IFERROR(IF(Y36=0,"",ROUNDUP(Y36/H36,0)*0.00902),"")</f>
        <v>0.27060000000000001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126.3</v>
      </c>
      <c r="BN36" s="64">
        <f>IFERROR(Y36*I36/H36,"0")</f>
        <v>126.3</v>
      </c>
      <c r="BO36" s="64">
        <f>IFERROR(1/J36*(X36/H36),"0")</f>
        <v>0.22727272727272729</v>
      </c>
      <c r="BP36" s="64">
        <f>IFERROR(1/J36*(Y36/H36),"0")</f>
        <v>0.22727272727272729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76.296296296296291</v>
      </c>
      <c r="Y39" s="667">
        <f>IFERROR(Y35/H35,"0")+IFERROR(Y36/H36,"0")+IFERROR(Y37/H37,"0")+IFERROR(Y38/H38,"0")</f>
        <v>77</v>
      </c>
      <c r="Z39" s="667">
        <f>IFERROR(IF(Z35="",0,Z35),"0")+IFERROR(IF(Z36="",0,Z36),"0")+IFERROR(IF(Z37="",0,Z37),"0")+IFERROR(IF(Z38="",0,Z38),"0")</f>
        <v>1.16266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620</v>
      </c>
      <c r="Y40" s="667">
        <f>IFERROR(SUM(Y35:Y38),"0")</f>
        <v>627.6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50</v>
      </c>
      <c r="Y47" s="666">
        <f t="shared" ref="Y47:Y53" si="0">IFERROR(IF(X47="",0,CEILING((X47/$H47),1)*$H47),"")</f>
        <v>56</v>
      </c>
      <c r="Z47" s="36">
        <f>IFERROR(IF(Y47=0,"",ROUNDUP(Y47/H47,0)*0.01898),"")</f>
        <v>9.4899999999999998E-2</v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51.941964285714292</v>
      </c>
      <c r="BN47" s="64">
        <f t="shared" ref="BN47:BN53" si="2">IFERROR(Y47*I47/H47,"0")</f>
        <v>58.174999999999997</v>
      </c>
      <c r="BO47" s="64">
        <f t="shared" ref="BO47:BO53" si="3">IFERROR(1/J47*(X47/H47),"0")</f>
        <v>6.9754464285714288E-2</v>
      </c>
      <c r="BP47" s="64">
        <f t="shared" ref="BP47:BP53" si="4">IFERROR(1/J47*(Y47/H47),"0")</f>
        <v>7.8125E-2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400</v>
      </c>
      <c r="Y48" s="666">
        <f t="shared" si="0"/>
        <v>410.40000000000003</v>
      </c>
      <c r="Z48" s="36">
        <f>IFERROR(IF(Y48=0,"",ROUNDUP(Y48/H48,0)*0.01898),"")</f>
        <v>0.72123999999999999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416.11111111111109</v>
      </c>
      <c r="BN48" s="64">
        <f t="shared" si="2"/>
        <v>426.92999999999995</v>
      </c>
      <c r="BO48" s="64">
        <f t="shared" si="3"/>
        <v>0.57870370370370372</v>
      </c>
      <c r="BP48" s="64">
        <f t="shared" si="4"/>
        <v>0.59375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45</v>
      </c>
      <c r="Y53" s="666">
        <f t="shared" si="0"/>
        <v>45</v>
      </c>
      <c r="Z53" s="36">
        <f>IFERROR(IF(Y53=0,"",ROUNDUP(Y53/H53,0)*0.00902),"")</f>
        <v>9.0200000000000002E-2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47.099999999999994</v>
      </c>
      <c r="BN53" s="64">
        <f t="shared" si="2"/>
        <v>47.099999999999994</v>
      </c>
      <c r="BO53" s="64">
        <f t="shared" si="3"/>
        <v>7.575757575757576E-2</v>
      </c>
      <c r="BP53" s="64">
        <f t="shared" si="4"/>
        <v>7.575757575757576E-2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51.501322751322753</v>
      </c>
      <c r="Y54" s="667">
        <f>IFERROR(Y47/H47,"0")+IFERROR(Y48/H48,"0")+IFERROR(Y49/H49,"0")+IFERROR(Y50/H50,"0")+IFERROR(Y51/H51,"0")+IFERROR(Y52/H52,"0")+IFERROR(Y53/H53,"0")</f>
        <v>53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0.90633999999999992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495</v>
      </c>
      <c r="Y55" s="667">
        <f>IFERROR(SUM(Y47:Y53),"0")</f>
        <v>511.40000000000003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300</v>
      </c>
      <c r="Y57" s="666">
        <f>IFERROR(IF(X57="",0,CEILING((X57/$H57),1)*$H57),"")</f>
        <v>302.40000000000003</v>
      </c>
      <c r="Z57" s="36">
        <f>IFERROR(IF(Y57=0,"",ROUNDUP(Y57/H57,0)*0.01898),"")</f>
        <v>0.53144000000000002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312.08333333333331</v>
      </c>
      <c r="BN57" s="64">
        <f>IFERROR(Y57*I57/H57,"0")</f>
        <v>314.58000000000004</v>
      </c>
      <c r="BO57" s="64">
        <f>IFERROR(1/J57*(X57/H57),"0")</f>
        <v>0.43402777777777773</v>
      </c>
      <c r="BP57" s="64">
        <f>IFERROR(1/J57*(Y57/H57),"0")</f>
        <v>0.4375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67.5</v>
      </c>
      <c r="Y60" s="666">
        <f>IFERROR(IF(X60="",0,CEILING((X60/$H60),1)*$H60),"")</f>
        <v>67.5</v>
      </c>
      <c r="Z60" s="36">
        <f>IFERROR(IF(Y60=0,"",ROUNDUP(Y60/H60,0)*0.00651),"")</f>
        <v>0.16275000000000001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72</v>
      </c>
      <c r="BN60" s="64">
        <f>IFERROR(Y60*I60/H60,"0")</f>
        <v>72</v>
      </c>
      <c r="BO60" s="64">
        <f>IFERROR(1/J60*(X60/H60),"0")</f>
        <v>0.13736263736263737</v>
      </c>
      <c r="BP60" s="64">
        <f>IFERROR(1/J60*(Y60/H60),"0")</f>
        <v>0.13736263736263737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52.777777777777771</v>
      </c>
      <c r="Y61" s="667">
        <f>IFERROR(Y57/H57,"0")+IFERROR(Y58/H58,"0")+IFERROR(Y59/H59,"0")+IFERROR(Y60/H60,"0")</f>
        <v>53</v>
      </c>
      <c r="Z61" s="667">
        <f>IFERROR(IF(Z57="",0,Z57),"0")+IFERROR(IF(Z58="",0,Z58),"0")+IFERROR(IF(Z59="",0,Z59),"0")+IFERROR(IF(Z60="",0,Z60),"0")</f>
        <v>0.69419000000000008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367.5</v>
      </c>
      <c r="Y62" s="667">
        <f>IFERROR(SUM(Y57:Y60),"0")</f>
        <v>369.90000000000003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150</v>
      </c>
      <c r="Y86" s="66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156.04166666666666</v>
      </c>
      <c r="BN86" s="64">
        <f>IFERROR(Y86*I86/H86,"0")</f>
        <v>157.29000000000002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60</v>
      </c>
      <c r="Y88" s="666">
        <f>IFERROR(IF(X88="",0,CEILING((X88/$H88),1)*$H88),"")</f>
        <v>63</v>
      </c>
      <c r="Z88" s="36">
        <f>IFERROR(IF(Y88=0,"",ROUNDUP(Y88/H88,0)*0.00902),"")</f>
        <v>0.12628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62.800000000000004</v>
      </c>
      <c r="BN88" s="64">
        <f>IFERROR(Y88*I88/H88,"0")</f>
        <v>65.94</v>
      </c>
      <c r="BO88" s="64">
        <f>IFERROR(1/J88*(X88/H88),"0")</f>
        <v>0.10101010101010102</v>
      </c>
      <c r="BP88" s="64">
        <f>IFERROR(1/J88*(Y88/H88),"0")</f>
        <v>0.10606060606060606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27.222222222222221</v>
      </c>
      <c r="Y89" s="667">
        <f>IFERROR(Y86/H86,"0")+IFERROR(Y87/H87,"0")+IFERROR(Y88/H88,"0")</f>
        <v>28</v>
      </c>
      <c r="Z89" s="667">
        <f>IFERROR(IF(Z86="",0,Z86),"0")+IFERROR(IF(Z87="",0,Z87),"0")+IFERROR(IF(Z88="",0,Z88),"0")</f>
        <v>0.39200000000000002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210</v>
      </c>
      <c r="Y90" s="667">
        <f>IFERROR(SUM(Y86:Y88),"0")</f>
        <v>214.20000000000002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150</v>
      </c>
      <c r="Y93" s="666">
        <f t="shared" si="10"/>
        <v>151.20000000000002</v>
      </c>
      <c r="Z93" s="36">
        <f>IFERROR(IF(Y93=0,"",ROUNDUP(Y93/H93,0)*0.01898),"")</f>
        <v>0.34164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159.26785714285714</v>
      </c>
      <c r="BN93" s="64">
        <f t="shared" si="12"/>
        <v>160.542</v>
      </c>
      <c r="BO93" s="64">
        <f t="shared" si="13"/>
        <v>0.27901785714285715</v>
      </c>
      <c r="BP93" s="64">
        <f t="shared" si="14"/>
        <v>0.28125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9</v>
      </c>
      <c r="Y97" s="666">
        <f t="shared" si="10"/>
        <v>10.8</v>
      </c>
      <c r="Z97" s="36">
        <f>IFERROR(IF(Y97=0,"",ROUNDUP(Y97/H97,0)*0.00651),"")</f>
        <v>2.6040000000000001E-2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9.8399999999999981</v>
      </c>
      <c r="BN97" s="64">
        <f t="shared" si="12"/>
        <v>11.808</v>
      </c>
      <c r="BO97" s="64">
        <f t="shared" si="13"/>
        <v>1.8315018315018316E-2</v>
      </c>
      <c r="BP97" s="64">
        <f t="shared" si="14"/>
        <v>2.197802197802198E-2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21.19047619047619</v>
      </c>
      <c r="Y101" s="667">
        <f>IFERROR(Y92/H92,"0")+IFERROR(Y93/H93,"0")+IFERROR(Y94/H94,"0")+IFERROR(Y95/H95,"0")+IFERROR(Y96/H96,"0")+IFERROR(Y97/H97,"0")+IFERROR(Y98/H98,"0")+IFERROR(Y99/H99,"0")+IFERROR(Y100/H100,"0")</f>
        <v>22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0.36768000000000001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159</v>
      </c>
      <c r="Y102" s="667">
        <f>IFERROR(SUM(Y92:Y100),"0")</f>
        <v>162.00000000000003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50</v>
      </c>
      <c r="Y105" s="666">
        <f>IFERROR(IF(X105="",0,CEILING((X105/$H105),1)*$H105),"")</f>
        <v>54</v>
      </c>
      <c r="Z105" s="36">
        <f>IFERROR(IF(Y105=0,"",ROUNDUP(Y105/H105,0)*0.01898),"")</f>
        <v>9.4899999999999998E-2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52.013888888888886</v>
      </c>
      <c r="BN105" s="64">
        <f>IFERROR(Y105*I105/H105,"0")</f>
        <v>56.17499999999999</v>
      </c>
      <c r="BO105" s="64">
        <f>IFERROR(1/J105*(X105/H105),"0")</f>
        <v>7.2337962962962965E-2</v>
      </c>
      <c r="BP105" s="64">
        <f>IFERROR(1/J105*(Y105/H105),"0")</f>
        <v>7.8125E-2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4.6296296296296298</v>
      </c>
      <c r="Y109" s="667">
        <f>IFERROR(Y105/H105,"0")+IFERROR(Y106/H106,"0")+IFERROR(Y107/H107,"0")+IFERROR(Y108/H108,"0")</f>
        <v>5</v>
      </c>
      <c r="Z109" s="667">
        <f>IFERROR(IF(Z105="",0,Z105),"0")+IFERROR(IF(Z106="",0,Z106),"0")+IFERROR(IF(Z107="",0,Z107),"0")+IFERROR(IF(Z108="",0,Z108),"0")</f>
        <v>9.4899999999999998E-2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50</v>
      </c>
      <c r="Y110" s="667">
        <f>IFERROR(SUM(Y105:Y108),"0")</f>
        <v>54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250</v>
      </c>
      <c r="Y120" s="666">
        <f t="shared" si="15"/>
        <v>252</v>
      </c>
      <c r="Z120" s="36">
        <f>IFERROR(IF(Y120=0,"",ROUNDUP(Y120/H120,0)*0.01898),"")</f>
        <v>0.56940000000000002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265.26785714285711</v>
      </c>
      <c r="BN120" s="64">
        <f t="shared" si="17"/>
        <v>267.39</v>
      </c>
      <c r="BO120" s="64">
        <f t="shared" si="18"/>
        <v>0.46502976190476186</v>
      </c>
      <c r="BP120" s="64">
        <f t="shared" si="19"/>
        <v>0.46875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9</v>
      </c>
      <c r="Y123" s="666">
        <f t="shared" si="15"/>
        <v>10.8</v>
      </c>
      <c r="Z123" s="36">
        <f t="shared" si="20"/>
        <v>2.6040000000000001E-2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9.8399999999999981</v>
      </c>
      <c r="BN123" s="64">
        <f t="shared" si="17"/>
        <v>11.808</v>
      </c>
      <c r="BO123" s="64">
        <f t="shared" si="18"/>
        <v>1.8315018315018316E-2</v>
      </c>
      <c r="BP123" s="64">
        <f t="shared" si="19"/>
        <v>2.197802197802198E-2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33.095238095238095</v>
      </c>
      <c r="Y127" s="667">
        <f>IFERROR(Y118/H118,"0")+IFERROR(Y119/H119,"0")+IFERROR(Y120/H120,"0")+IFERROR(Y121/H121,"0")+IFERROR(Y122/H122,"0")+IFERROR(Y123/H123,"0")+IFERROR(Y124/H124,"0")+IFERROR(Y125/H125,"0")+IFERROR(Y126/H126,"0")</f>
        <v>34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0.59543999999999997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259</v>
      </c>
      <c r="Y128" s="667">
        <f>IFERROR(SUM(Y118:Y126),"0")</f>
        <v>262.8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7</v>
      </c>
      <c r="Y141" s="66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2.5</v>
      </c>
      <c r="Y143" s="667">
        <f>IFERROR(Y141/H141,"0")+IFERROR(Y142/H142,"0")</f>
        <v>2.9999999999999996</v>
      </c>
      <c r="Z143" s="667">
        <f>IFERROR(IF(Z141="",0,Z141),"0")+IFERROR(IF(Z142="",0,Z142),"0")</f>
        <v>1.9529999999999999E-2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7</v>
      </c>
      <c r="Y144" s="667">
        <f>IFERROR(SUM(Y141:Y142),"0")</f>
        <v>8.3999999999999986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70</v>
      </c>
      <c r="Y157" s="666">
        <f>IFERROR(IF(X157="",0,CEILING((X157/$H157),1)*$H157),"")</f>
        <v>71.400000000000006</v>
      </c>
      <c r="Z157" s="36">
        <f>IFERROR(IF(Y157=0,"",ROUNDUP(Y157/H157,0)*0.00902),"")</f>
        <v>0.15334</v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75</v>
      </c>
      <c r="BN157" s="64">
        <f>IFERROR(Y157*I157/H157,"0")</f>
        <v>76.5</v>
      </c>
      <c r="BO157" s="64">
        <f>IFERROR(1/J157*(X157/H157),"0")</f>
        <v>0.12626262626262624</v>
      </c>
      <c r="BP157" s="64">
        <f>IFERROR(1/J157*(Y157/H157),"0")</f>
        <v>0.12878787878787878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80</v>
      </c>
      <c r="Y158" s="666">
        <f>IFERROR(IF(X158="",0,CEILING((X158/$H158),1)*$H158),"")</f>
        <v>81</v>
      </c>
      <c r="Z158" s="36">
        <f>IFERROR(IF(Y158=0,"",ROUNDUP(Y158/H158,0)*0.01898),"")</f>
        <v>0.17082</v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85.2</v>
      </c>
      <c r="BN158" s="64">
        <f>IFERROR(Y158*I158/H158,"0")</f>
        <v>86.265000000000015</v>
      </c>
      <c r="BO158" s="64">
        <f>IFERROR(1/J158*(X158/H158),"0")</f>
        <v>0.1388888888888889</v>
      </c>
      <c r="BP158" s="64">
        <f>IFERROR(1/J158*(Y158/H158),"0")</f>
        <v>0.140625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25.555555555555554</v>
      </c>
      <c r="Y160" s="667">
        <f>IFERROR(Y156/H156,"0")+IFERROR(Y157/H157,"0")+IFERROR(Y158/H158,"0")+IFERROR(Y159/H159,"0")</f>
        <v>26</v>
      </c>
      <c r="Z160" s="667">
        <f>IFERROR(IF(Z156="",0,Z156),"0")+IFERROR(IF(Z157="",0,Z157),"0")+IFERROR(IF(Z158="",0,Z158),"0")+IFERROR(IF(Z159="",0,Z159),"0")</f>
        <v>0.32416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150</v>
      </c>
      <c r="Y161" s="667">
        <f>IFERROR(SUM(Y156:Y159),"0")</f>
        <v>152.4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10.5</v>
      </c>
      <c r="Y177" s="666">
        <f t="shared" si="21"/>
        <v>10.5</v>
      </c>
      <c r="Z177" s="36">
        <f>IFERROR(IF(Y177=0,"",ROUNDUP(Y177/H177,0)*0.00502),"")</f>
        <v>2.5100000000000001E-2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11.149999999999999</v>
      </c>
      <c r="BN177" s="64">
        <f t="shared" si="23"/>
        <v>11.149999999999999</v>
      </c>
      <c r="BO177" s="64">
        <f t="shared" si="24"/>
        <v>2.1367521367521368E-2</v>
      </c>
      <c r="BP177" s="64">
        <f t="shared" si="25"/>
        <v>2.1367521367521368E-2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5</v>
      </c>
      <c r="Y183" s="667">
        <f>IFERROR(Y174/H174,"0")+IFERROR(Y175/H175,"0")+IFERROR(Y176/H176,"0")+IFERROR(Y177/H177,"0")+IFERROR(Y178/H178,"0")+IFERROR(Y179/H179,"0")+IFERROR(Y180/H180,"0")+IFERROR(Y181/H181,"0")+IFERROR(Y182/H182,"0")</f>
        <v>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2.5100000000000001E-2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10.5</v>
      </c>
      <c r="Y184" s="667">
        <f>IFERROR(SUM(Y174:Y182),"0")</f>
        <v>10.5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40</v>
      </c>
      <c r="Y201" s="666">
        <f t="shared" ref="Y201:Y208" si="26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41.555555555555557</v>
      </c>
      <c r="BN201" s="64">
        <f t="shared" ref="BN201:BN208" si="28">IFERROR(Y201*I201/H201,"0")</f>
        <v>44.88</v>
      </c>
      <c r="BO201" s="64">
        <f t="shared" ref="BO201:BO208" si="29">IFERROR(1/J201*(X201/H201),"0")</f>
        <v>5.6116722783389444E-2</v>
      </c>
      <c r="BP201" s="64">
        <f t="shared" ref="BP201:BP208" si="30">IFERROR(1/J201*(Y201/H201),"0")</f>
        <v>6.0606060606060608E-2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22.5</v>
      </c>
      <c r="Y203" s="666">
        <f t="shared" si="26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23.375</v>
      </c>
      <c r="BN203" s="64">
        <f t="shared" si="28"/>
        <v>28.049999999999997</v>
      </c>
      <c r="BO203" s="64">
        <f t="shared" si="29"/>
        <v>3.1565656565656561E-2</v>
      </c>
      <c r="BP203" s="64">
        <f t="shared" si="30"/>
        <v>3.787878787878788E-2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11.574074074074073</v>
      </c>
      <c r="Y209" s="667">
        <f>IFERROR(Y201/H201,"0")+IFERROR(Y202/H202,"0")+IFERROR(Y203/H203,"0")+IFERROR(Y204/H204,"0")+IFERROR(Y205/H205,"0")+IFERROR(Y206/H206,"0")+IFERROR(Y207/H207,"0")+IFERROR(Y208/H208,"0")</f>
        <v>13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0.11726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62.5</v>
      </c>
      <c r="Y210" s="667">
        <f>IFERROR(SUM(Y201:Y208),"0")</f>
        <v>70.2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21</v>
      </c>
      <c r="Y308" s="666">
        <f>IFERROR(IF(X308="",0,CEILING((X308/$H308),1)*$H308),"")</f>
        <v>21</v>
      </c>
      <c r="Z308" s="36">
        <f>IFERROR(IF(Y308=0,"",ROUNDUP(Y308/H308,0)*0.00502),"")</f>
        <v>5.0200000000000002E-2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22</v>
      </c>
      <c r="BN308" s="64">
        <f>IFERROR(Y308*I308/H308,"0")</f>
        <v>22</v>
      </c>
      <c r="BO308" s="64">
        <f>IFERROR(1/J308*(X308/H308),"0")</f>
        <v>4.2735042735042736E-2</v>
      </c>
      <c r="BP308" s="64">
        <f>IFERROR(1/J308*(Y308/H308),"0")</f>
        <v>4.2735042735042736E-2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10</v>
      </c>
      <c r="Y310" s="667">
        <f>IFERROR(Y308/H308,"0")+IFERROR(Y309/H309,"0")</f>
        <v>10</v>
      </c>
      <c r="Z310" s="667">
        <f>IFERROR(IF(Z308="",0,Z308),"0")+IFERROR(IF(Z309="",0,Z309),"0")</f>
        <v>5.0200000000000002E-2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21</v>
      </c>
      <c r="Y311" s="667">
        <f>IFERROR(SUM(Y308:Y309),"0")</f>
        <v>21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21</v>
      </c>
      <c r="Y331" s="666">
        <f>IFERROR(IF(X331="",0,CEILING((X331/$H331),1)*$H331),"")</f>
        <v>21</v>
      </c>
      <c r="Z331" s="36">
        <f>IFERROR(IF(Y331=0,"",ROUNDUP(Y331/H331,0)*0.00502),"")</f>
        <v>5.0200000000000002E-2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22.299999999999997</v>
      </c>
      <c r="BN331" s="64">
        <f>IFERROR(Y331*I331/H331,"0")</f>
        <v>22.299999999999997</v>
      </c>
      <c r="BO331" s="64">
        <f>IFERROR(1/J331*(X331/H331),"0")</f>
        <v>4.2735042735042736E-2</v>
      </c>
      <c r="BP331" s="64">
        <f>IFERROR(1/J331*(Y331/H331),"0")</f>
        <v>4.2735042735042736E-2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21.904761904761905</v>
      </c>
      <c r="Y332" s="667">
        <f>IFERROR(Y328/H328,"0")+IFERROR(Y329/H329,"0")+IFERROR(Y330/H330,"0")+IFERROR(Y331/H331,"0")</f>
        <v>22</v>
      </c>
      <c r="Z332" s="667">
        <f>IFERROR(IF(Z328="",0,Z328),"0")+IFERROR(IF(Z329="",0,Z329),"0")+IFERROR(IF(Z330="",0,Z330),"0")+IFERROR(IF(Z331="",0,Z331),"0")</f>
        <v>0.15844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71</v>
      </c>
      <c r="Y333" s="667">
        <f>IFERROR(SUM(Y328:Y331),"0")</f>
        <v>71.400000000000006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400</v>
      </c>
      <c r="Y335" s="666">
        <f>IFERROR(IF(X335="",0,CEILING((X335/$H335),1)*$H335),"")</f>
        <v>405.59999999999997</v>
      </c>
      <c r="Z335" s="36">
        <f>IFERROR(IF(Y335=0,"",ROUNDUP(Y335/H335,0)*0.01898),"")</f>
        <v>0.98696000000000006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426.30769230769238</v>
      </c>
      <c r="BN335" s="64">
        <f>IFERROR(Y335*I335/H335,"0")</f>
        <v>432.27599999999995</v>
      </c>
      <c r="BO335" s="64">
        <f>IFERROR(1/J335*(X335/H335),"0")</f>
        <v>0.80128205128205132</v>
      </c>
      <c r="BP335" s="64">
        <f>IFERROR(1/J335*(Y335/H335),"0")</f>
        <v>0.8125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51.282051282051285</v>
      </c>
      <c r="Y340" s="667">
        <f>IFERROR(Y335/H335,"0")+IFERROR(Y336/H336,"0")+IFERROR(Y337/H337,"0")+IFERROR(Y338/H338,"0")+IFERROR(Y339/H339,"0")</f>
        <v>52</v>
      </c>
      <c r="Z340" s="667">
        <f>IFERROR(IF(Z335="",0,Z335),"0")+IFERROR(IF(Z336="",0,Z336),"0")+IFERROR(IF(Z337="",0,Z337),"0")+IFERROR(IF(Z338="",0,Z338),"0")+IFERROR(IF(Z339="",0,Z339),"0")</f>
        <v>0.98696000000000006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400</v>
      </c>
      <c r="Y341" s="667">
        <f>IFERROR(SUM(Y335:Y339),"0")</f>
        <v>405.59999999999997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5.3999999999999986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6.0988235294117636</v>
      </c>
      <c r="BN352" s="64">
        <f>IFERROR(Y352*I352/H352,"0")</f>
        <v>8.6399999999999988</v>
      </c>
      <c r="BO352" s="64">
        <f>IFERROR(1/J352*(X352/H352),"0")</f>
        <v>1.1635423400129281E-2</v>
      </c>
      <c r="BP352" s="64">
        <f>IFERROR(1/J352*(Y352/H352),"0")</f>
        <v>1.6483516483516484E-2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2.117647058823529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5.3999999999999986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10.5</v>
      </c>
      <c r="Y369" s="666">
        <f>IFERROR(IF(X369="",0,CEILING((X369/$H369),1)*$H369),"")</f>
        <v>10.5</v>
      </c>
      <c r="Z369" s="36">
        <f>IFERROR(IF(Y369=0,"",ROUNDUP(Y369/H369,0)*0.00651),"")</f>
        <v>3.2550000000000003E-2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11.7</v>
      </c>
      <c r="BN369" s="64">
        <f>IFERROR(Y369*I369/H369,"0")</f>
        <v>11.7</v>
      </c>
      <c r="BO369" s="64">
        <f>IFERROR(1/J369*(X369/H369),"0")</f>
        <v>2.7472527472527476E-2</v>
      </c>
      <c r="BP369" s="64">
        <f>IFERROR(1/J369*(Y369/H369),"0")</f>
        <v>2.7472527472527476E-2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5</v>
      </c>
      <c r="Y370" s="667">
        <f>IFERROR(Y367/H367,"0")+IFERROR(Y368/H368,"0")+IFERROR(Y369/H369,"0")</f>
        <v>5</v>
      </c>
      <c r="Z370" s="667">
        <f>IFERROR(IF(Z367="",0,Z367),"0")+IFERROR(IF(Z368="",0,Z368),"0")+IFERROR(IF(Z369="",0,Z369),"0")</f>
        <v>3.2550000000000003E-2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10.5</v>
      </c>
      <c r="Y371" s="667">
        <f>IFERROR(SUM(Y367:Y369),"0")</f>
        <v>10.5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150</v>
      </c>
      <c r="Y376" s="666">
        <f t="shared" si="52"/>
        <v>150</v>
      </c>
      <c r="Z376" s="36">
        <f>IFERROR(IF(Y376=0,"",ROUNDUP(Y376/H376,0)*0.02175),"")</f>
        <v>0.21749999999999997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154.80000000000001</v>
      </c>
      <c r="BN376" s="64">
        <f t="shared" si="54"/>
        <v>154.80000000000001</v>
      </c>
      <c r="BO376" s="64">
        <f t="shared" si="55"/>
        <v>0.20833333333333331</v>
      </c>
      <c r="BP376" s="64">
        <f t="shared" si="56"/>
        <v>0.20833333333333331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300</v>
      </c>
      <c r="Y378" s="666">
        <f t="shared" si="52"/>
        <v>300</v>
      </c>
      <c r="Z378" s="36">
        <f>IFERROR(IF(Y378=0,"",ROUNDUP(Y378/H378,0)*0.02175),"")</f>
        <v>0.43499999999999994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309.60000000000002</v>
      </c>
      <c r="BN378" s="64">
        <f t="shared" si="54"/>
        <v>309.60000000000002</v>
      </c>
      <c r="BO378" s="64">
        <f t="shared" si="55"/>
        <v>0.41666666666666663</v>
      </c>
      <c r="BP378" s="64">
        <f t="shared" si="56"/>
        <v>0.41666666666666663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500</v>
      </c>
      <c r="Y381" s="666">
        <f t="shared" si="52"/>
        <v>510</v>
      </c>
      <c r="Z381" s="36">
        <f>IFERROR(IF(Y381=0,"",ROUNDUP(Y381/H381,0)*0.02175),"")</f>
        <v>0.73949999999999994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516</v>
      </c>
      <c r="BN381" s="64">
        <f t="shared" si="54"/>
        <v>526.32000000000005</v>
      </c>
      <c r="BO381" s="64">
        <f t="shared" si="55"/>
        <v>0.69444444444444442</v>
      </c>
      <c r="BP381" s="64">
        <f t="shared" si="56"/>
        <v>0.70833333333333326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63.333333333333336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64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1.3919999999999999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950</v>
      </c>
      <c r="Y386" s="667">
        <f>IFERROR(SUM(Y375:Y384),"0")</f>
        <v>960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400</v>
      </c>
      <c r="Y388" s="666">
        <f>IFERROR(IF(X388="",0,CEILING((X388/$H388),1)*$H388),"")</f>
        <v>405</v>
      </c>
      <c r="Z388" s="36">
        <f>IFERROR(IF(Y388=0,"",ROUNDUP(Y388/H388,0)*0.02175),"")</f>
        <v>0.58724999999999994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412.8</v>
      </c>
      <c r="BN388" s="64">
        <f>IFERROR(Y388*I388/H388,"0")</f>
        <v>417.96000000000004</v>
      </c>
      <c r="BO388" s="64">
        <f>IFERROR(1/J388*(X388/H388),"0")</f>
        <v>0.55555555555555558</v>
      </c>
      <c r="BP388" s="64">
        <f>IFERROR(1/J388*(Y388/H388),"0")</f>
        <v>0.5625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26.666666666666668</v>
      </c>
      <c r="Y390" s="667">
        <f>IFERROR(Y388/H388,"0")+IFERROR(Y389/H389,"0")</f>
        <v>27</v>
      </c>
      <c r="Z390" s="667">
        <f>IFERROR(IF(Z388="",0,Z388),"0")+IFERROR(IF(Z389="",0,Z389),"0")</f>
        <v>0.58724999999999994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400</v>
      </c>
      <c r="Y391" s="667">
        <f>IFERROR(SUM(Y388:Y389),"0")</f>
        <v>405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50</v>
      </c>
      <c r="Y406" s="666">
        <f t="shared" si="57"/>
        <v>54</v>
      </c>
      <c r="Z406" s="36">
        <f>IFERROR(IF(Y406=0,"",ROUNDUP(Y406/H406,0)*0.01898),"")</f>
        <v>9.4899999999999998E-2</v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52.013888888888886</v>
      </c>
      <c r="BN406" s="64">
        <f t="shared" si="59"/>
        <v>56.17499999999999</v>
      </c>
      <c r="BO406" s="64">
        <f t="shared" si="60"/>
        <v>7.2337962962962965E-2</v>
      </c>
      <c r="BP406" s="64">
        <f t="shared" si="61"/>
        <v>7.8125E-2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500</v>
      </c>
      <c r="Y407" s="666">
        <f t="shared" si="57"/>
        <v>504</v>
      </c>
      <c r="Z407" s="36">
        <f>IFERROR(IF(Y407=0,"",ROUNDUP(Y407/H407,0)*0.01898),"")</f>
        <v>0.79715999999999998</v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518.125</v>
      </c>
      <c r="BN407" s="64">
        <f t="shared" si="59"/>
        <v>522.2700000000001</v>
      </c>
      <c r="BO407" s="64">
        <f t="shared" si="60"/>
        <v>0.65104166666666663</v>
      </c>
      <c r="BP407" s="64">
        <f t="shared" si="61"/>
        <v>0.65625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120</v>
      </c>
      <c r="Y408" s="666">
        <f t="shared" si="57"/>
        <v>120</v>
      </c>
      <c r="Z408" s="36">
        <f>IFERROR(IF(Y408=0,"",ROUNDUP(Y408/H408,0)*0.00902),"")</f>
        <v>0.27060000000000001</v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126.3</v>
      </c>
      <c r="BN408" s="64">
        <f t="shared" si="59"/>
        <v>126.3</v>
      </c>
      <c r="BO408" s="64">
        <f t="shared" si="60"/>
        <v>0.22727272727272729</v>
      </c>
      <c r="BP408" s="64">
        <f t="shared" si="61"/>
        <v>0.22727272727272729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76.296296296296291</v>
      </c>
      <c r="Y409" s="667">
        <f>IFERROR(Y403/H403,"0")+IFERROR(Y404/H404,"0")+IFERROR(Y405/H405,"0")+IFERROR(Y406/H406,"0")+IFERROR(Y407/H407,"0")+IFERROR(Y408/H408,"0")</f>
        <v>77</v>
      </c>
      <c r="Z409" s="667">
        <f>IFERROR(IF(Z403="",0,Z403),"0")+IFERROR(IF(Z404="",0,Z404),"0")+IFERROR(IF(Z405="",0,Z405),"0")+IFERROR(IF(Z406="",0,Z406),"0")+IFERROR(IF(Z407="",0,Z407),"0")+IFERROR(IF(Z408="",0,Z408),"0")</f>
        <v>1.16266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670</v>
      </c>
      <c r="Y410" s="667">
        <f>IFERROR(SUM(Y403:Y408),"0")</f>
        <v>678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60</v>
      </c>
      <c r="Y412" s="666">
        <f>IFERROR(IF(X412="",0,CEILING((X412/$H412),1)*$H412),"")</f>
        <v>61.32</v>
      </c>
      <c r="Z412" s="36">
        <f>IFERROR(IF(Y412=0,"",ROUNDUP(Y412/H412,0)*0.00902),"")</f>
        <v>0.12628</v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63.698630136986303</v>
      </c>
      <c r="BN412" s="64">
        <f>IFERROR(Y412*I412/H412,"0")</f>
        <v>65.100000000000009</v>
      </c>
      <c r="BO412" s="64">
        <f>IFERROR(1/J412*(X412/H412),"0")</f>
        <v>0.10377750103777501</v>
      </c>
      <c r="BP412" s="64">
        <f>IFERROR(1/J412*(Y412/H412),"0")</f>
        <v>0.10606060606060606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13.698630136986301</v>
      </c>
      <c r="Y414" s="667">
        <f>IFERROR(Y412/H412,"0")+IFERROR(Y413/H413,"0")</f>
        <v>14</v>
      </c>
      <c r="Z414" s="667">
        <f>IFERROR(IF(Z412="",0,Z412),"0")+IFERROR(IF(Z413="",0,Z413),"0")</f>
        <v>0.12628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60</v>
      </c>
      <c r="Y415" s="667">
        <f>IFERROR(SUM(Y412:Y413),"0")</f>
        <v>61.32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800</v>
      </c>
      <c r="Y417" s="666">
        <f>IFERROR(IF(X417="",0,CEILING((X417/$H417),1)*$H417),"")</f>
        <v>801</v>
      </c>
      <c r="Z417" s="36">
        <f>IFERROR(IF(Y417=0,"",ROUNDUP(Y417/H417,0)*0.01898),"")</f>
        <v>1.6892199999999999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846.13333333333333</v>
      </c>
      <c r="BN417" s="64">
        <f>IFERROR(Y417*I417/H417,"0")</f>
        <v>847.19100000000003</v>
      </c>
      <c r="BO417" s="64">
        <f>IFERROR(1/J417*(X417/H417),"0")</f>
        <v>1.3888888888888888</v>
      </c>
      <c r="BP417" s="64">
        <f>IFERROR(1/J417*(Y417/H417),"0")</f>
        <v>1.390625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120</v>
      </c>
      <c r="Y419" s="666">
        <f>IFERROR(IF(X419="",0,CEILING((X419/$H419),1)*$H419),"")</f>
        <v>120</v>
      </c>
      <c r="Z419" s="36">
        <f>IFERROR(IF(Y419=0,"",ROUNDUP(Y419/H419,0)*0.00651),"")</f>
        <v>0.32550000000000001</v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133.20000000000002</v>
      </c>
      <c r="BN419" s="64">
        <f>IFERROR(Y419*I419/H419,"0")</f>
        <v>133.20000000000002</v>
      </c>
      <c r="BO419" s="64">
        <f>IFERROR(1/J419*(X419/H419),"0")</f>
        <v>0.27472527472527475</v>
      </c>
      <c r="BP419" s="64">
        <f>IFERROR(1/J419*(Y419/H419),"0")</f>
        <v>0.27472527472527475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138.88888888888889</v>
      </c>
      <c r="Y422" s="667">
        <f>IFERROR(Y417/H417,"0")+IFERROR(Y418/H418,"0")+IFERROR(Y419/H419,"0")+IFERROR(Y420/H420,"0")+IFERROR(Y421/H421,"0")</f>
        <v>139</v>
      </c>
      <c r="Z422" s="667">
        <f>IFERROR(IF(Z417="",0,Z417),"0")+IFERROR(IF(Z418="",0,Z418),"0")+IFERROR(IF(Z419="",0,Z419),"0")+IFERROR(IF(Z420="",0,Z420),"0")+IFERROR(IF(Z421="",0,Z421),"0")</f>
        <v>2.0147200000000001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920</v>
      </c>
      <c r="Y423" s="667">
        <f>IFERROR(SUM(Y417:Y421),"0")</f>
        <v>921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20</v>
      </c>
      <c r="Y431" s="666">
        <f t="shared" ref="Y431:Y442" si="62">IFERROR(IF(X431="",0,CEILING((X431/$H431),1)*$H431),"")</f>
        <v>21.6</v>
      </c>
      <c r="Z431" s="36">
        <f>IFERROR(IF(Y431=0,"",ROUNDUP(Y431/H431,0)*0.00902),"")</f>
        <v>3.6080000000000001E-2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20.777777777777779</v>
      </c>
      <c r="BN431" s="64">
        <f t="shared" ref="BN431:BN442" si="64">IFERROR(Y431*I431/H431,"0")</f>
        <v>22.44</v>
      </c>
      <c r="BO431" s="64">
        <f t="shared" ref="BO431:BO442" si="65">IFERROR(1/J431*(X431/H431),"0")</f>
        <v>2.8058361391694722E-2</v>
      </c>
      <c r="BP431" s="64">
        <f t="shared" ref="BP431:BP442" si="66">IFERROR(1/J431*(Y431/H431),"0")</f>
        <v>3.0303030303030304E-2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15</v>
      </c>
      <c r="Y434" s="666">
        <f t="shared" si="62"/>
        <v>16.200000000000003</v>
      </c>
      <c r="Z434" s="36">
        <f>IFERROR(IF(Y434=0,"",ROUNDUP(Y434/H434,0)*0.00902),"")</f>
        <v>2.7060000000000001E-2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15.583333333333334</v>
      </c>
      <c r="BN434" s="64">
        <f t="shared" si="64"/>
        <v>16.830000000000002</v>
      </c>
      <c r="BO434" s="64">
        <f t="shared" si="65"/>
        <v>2.1043771043771045E-2</v>
      </c>
      <c r="BP434" s="64">
        <f t="shared" si="66"/>
        <v>2.2727272727272731E-2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14</v>
      </c>
      <c r="Y437" s="666">
        <f t="shared" si="62"/>
        <v>14.700000000000001</v>
      </c>
      <c r="Z437" s="36">
        <f t="shared" si="67"/>
        <v>3.5140000000000005E-2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14.866666666666665</v>
      </c>
      <c r="BN437" s="64">
        <f t="shared" si="64"/>
        <v>15.61</v>
      </c>
      <c r="BO437" s="64">
        <f t="shared" si="65"/>
        <v>2.8490028490028491E-2</v>
      </c>
      <c r="BP437" s="64">
        <f t="shared" si="66"/>
        <v>2.9914529914529919E-2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13.148148148148147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14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9.8280000000000006E-2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49</v>
      </c>
      <c r="Y444" s="667">
        <f>IFERROR(SUM(Y431:Y442),"0")</f>
        <v>52.500000000000007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10</v>
      </c>
      <c r="Y457" s="666">
        <f>IFERROR(IF(X457="",0,CEILING((X457/$H457),1)*$H457),"")</f>
        <v>10.8</v>
      </c>
      <c r="Z457" s="36">
        <f>IFERROR(IF(Y457=0,"",ROUNDUP(Y457/H457,0)*0.00902),"")</f>
        <v>1.804E-2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10.388888888888889</v>
      </c>
      <c r="BN457" s="64">
        <f>IFERROR(Y457*I457/H457,"0")</f>
        <v>11.22</v>
      </c>
      <c r="BO457" s="64">
        <f>IFERROR(1/J457*(X457/H457),"0")</f>
        <v>1.4029180695847361E-2</v>
      </c>
      <c r="BP457" s="64">
        <f>IFERROR(1/J457*(Y457/H457),"0")</f>
        <v>1.5151515151515152E-2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1.8518518518518516</v>
      </c>
      <c r="Y461" s="667">
        <f>IFERROR(Y457/H457,"0")+IFERROR(Y458/H458,"0")+IFERROR(Y459/H459,"0")+IFERROR(Y460/H460,"0")</f>
        <v>2</v>
      </c>
      <c r="Z461" s="667">
        <f>IFERROR(IF(Z457="",0,Z457),"0")+IFERROR(IF(Z458="",0,Z458),"0")+IFERROR(IF(Z459="",0,Z459),"0")+IFERROR(IF(Z460="",0,Z460),"0")</f>
        <v>1.804E-2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10</v>
      </c>
      <c r="Y462" s="667">
        <f>IFERROR(SUM(Y457:Y460),"0")</f>
        <v>10.8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60</v>
      </c>
      <c r="Y481" s="666">
        <f t="shared" ref="Y481:Y495" si="68">IFERROR(IF(X481="",0,CEILING((X481/$H481),1)*$H481),"")</f>
        <v>63.36</v>
      </c>
      <c r="Z481" s="36">
        <f>IFERROR(IF(Y481=0,"",ROUNDUP(Y481/H481,0)*0.01196),"")</f>
        <v>0.14352000000000001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64.090909090909079</v>
      </c>
      <c r="BN481" s="64">
        <f t="shared" ref="BN481:BN495" si="70">IFERROR(Y481*I481/H481,"0")</f>
        <v>67.679999999999993</v>
      </c>
      <c r="BO481" s="64">
        <f t="shared" ref="BO481:BO495" si="71">IFERROR(1/J481*(X481/H481),"0")</f>
        <v>0.10926573426573427</v>
      </c>
      <c r="BP481" s="64">
        <f t="shared" ref="BP481:BP495" si="72">IFERROR(1/J481*(Y481/H481),"0")</f>
        <v>0.11538461538461539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30</v>
      </c>
      <c r="Y482" s="666">
        <f t="shared" si="68"/>
        <v>31.68</v>
      </c>
      <c r="Z482" s="36">
        <f>IFERROR(IF(Y482=0,"",ROUNDUP(Y482/H482,0)*0.01196),"")</f>
        <v>7.1760000000000004E-2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32.04545454545454</v>
      </c>
      <c r="BN482" s="64">
        <f t="shared" si="70"/>
        <v>33.839999999999996</v>
      </c>
      <c r="BO482" s="64">
        <f t="shared" si="71"/>
        <v>5.4632867132867136E-2</v>
      </c>
      <c r="BP482" s="64">
        <f t="shared" si="72"/>
        <v>5.7692307692307696E-2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60</v>
      </c>
      <c r="Y483" s="666">
        <f t="shared" si="68"/>
        <v>63.36</v>
      </c>
      <c r="Z483" s="36">
        <f>IFERROR(IF(Y483=0,"",ROUNDUP(Y483/H483,0)*0.01196),"")</f>
        <v>0.14352000000000001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64.090909090909079</v>
      </c>
      <c r="BN483" s="64">
        <f t="shared" si="70"/>
        <v>67.679999999999993</v>
      </c>
      <c r="BO483" s="64">
        <f t="shared" si="71"/>
        <v>0.10926573426573427</v>
      </c>
      <c r="BP483" s="64">
        <f t="shared" si="72"/>
        <v>0.11538461538461539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40</v>
      </c>
      <c r="Y484" s="666">
        <f t="shared" si="68"/>
        <v>42.24</v>
      </c>
      <c r="Z484" s="36">
        <f>IFERROR(IF(Y484=0,"",ROUNDUP(Y484/H484,0)*0.01196),"")</f>
        <v>9.5680000000000001E-2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42.727272727272727</v>
      </c>
      <c r="BN484" s="64">
        <f t="shared" si="70"/>
        <v>45.12</v>
      </c>
      <c r="BO484" s="64">
        <f t="shared" si="71"/>
        <v>7.2843822843822847E-2</v>
      </c>
      <c r="BP484" s="64">
        <f t="shared" si="72"/>
        <v>7.6923076923076927E-2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35.984848484848484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0.45448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190</v>
      </c>
      <c r="Y497" s="667">
        <f>IFERROR(SUM(Y481:Y495),"0")</f>
        <v>200.64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80</v>
      </c>
      <c r="Y499" s="666">
        <f>IFERROR(IF(X499="",0,CEILING((X499/$H499),1)*$H499),"")</f>
        <v>84.48</v>
      </c>
      <c r="Z499" s="36">
        <f>IFERROR(IF(Y499=0,"",ROUNDUP(Y499/H499,0)*0.01196),"")</f>
        <v>0.19136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85.454545454545453</v>
      </c>
      <c r="BN499" s="64">
        <f>IFERROR(Y499*I499/H499,"0")</f>
        <v>90.24</v>
      </c>
      <c r="BO499" s="64">
        <f>IFERROR(1/J499*(X499/H499),"0")</f>
        <v>0.14568764568764569</v>
      </c>
      <c r="BP499" s="64">
        <f>IFERROR(1/J499*(Y499/H499),"0")</f>
        <v>0.15384615384615385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15.15151515151515</v>
      </c>
      <c r="Y503" s="667">
        <f>IFERROR(Y499/H499,"0")+IFERROR(Y500/H500,"0")+IFERROR(Y501/H501,"0")+IFERROR(Y502/H502,"0")</f>
        <v>16</v>
      </c>
      <c r="Z503" s="667">
        <f>IFERROR(IF(Z499="",0,Z499),"0")+IFERROR(IF(Z500="",0,Z500),"0")+IFERROR(IF(Z501="",0,Z501),"0")+IFERROR(IF(Z502="",0,Z502),"0")</f>
        <v>0.19136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80</v>
      </c>
      <c r="Y504" s="667">
        <f>IFERROR(SUM(Y499:Y502),"0")</f>
        <v>84.48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20</v>
      </c>
      <c r="Y506" s="666">
        <f t="shared" ref="Y506:Y517" si="73">IFERROR(IF(X506="",0,CEILING((X506/$H506),1)*$H506),"")</f>
        <v>21.12</v>
      </c>
      <c r="Z506" s="36">
        <f>IFERROR(IF(Y506=0,"",ROUNDUP(Y506/H506,0)*0.01196),"")</f>
        <v>4.7840000000000001E-2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21.363636363636363</v>
      </c>
      <c r="BN506" s="64">
        <f t="shared" ref="BN506:BN517" si="75">IFERROR(Y506*I506/H506,"0")</f>
        <v>22.56</v>
      </c>
      <c r="BO506" s="64">
        <f t="shared" ref="BO506:BO517" si="76">IFERROR(1/J506*(X506/H506),"0")</f>
        <v>3.6421911421911424E-2</v>
      </c>
      <c r="BP506" s="64">
        <f t="shared" ref="BP506:BP517" si="77">IFERROR(1/J506*(Y506/H506),"0")</f>
        <v>3.8461538461538464E-2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50</v>
      </c>
      <c r="Y508" s="666">
        <f t="shared" si="73"/>
        <v>52.800000000000004</v>
      </c>
      <c r="Z508" s="36">
        <f>IFERROR(IF(Y508=0,"",ROUNDUP(Y508/H508,0)*0.01196),"")</f>
        <v>0.1196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53.409090909090907</v>
      </c>
      <c r="BN508" s="64">
        <f t="shared" si="75"/>
        <v>56.400000000000006</v>
      </c>
      <c r="BO508" s="64">
        <f t="shared" si="76"/>
        <v>9.1054778554778545E-2</v>
      </c>
      <c r="BP508" s="64">
        <f t="shared" si="77"/>
        <v>9.6153846153846159E-2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13.257575757575756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0.16744000000000001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70</v>
      </c>
      <c r="Y519" s="667">
        <f>IFERROR(SUM(Y506:Y517),"0")</f>
        <v>73.92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6297.4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6407.21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6603.7872617749545</v>
      </c>
      <c r="Y593" s="667">
        <f>IFERROR(SUM(BN22:BN589),"0")</f>
        <v>6719.2240000000002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11</v>
      </c>
      <c r="Y594" s="38">
        <f>ROUNDUP(SUM(BP22:BP589),0)</f>
        <v>11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6878.7872617749545</v>
      </c>
      <c r="Y595" s="667">
        <f>GrossWeightTotalR+PalletQtyTotalR*25</f>
        <v>6994.2240000000002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799.92480755434008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816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12.159449999999998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627.6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881.30000000000007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376.20000000000005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316.8</v>
      </c>
      <c r="G602" s="46">
        <f>IFERROR(Y136*1,"0")+IFERROR(Y137*1,"0")+IFERROR(Y141*1,"0")+IFERROR(Y142*1,"0")+IFERROR(Y146*1,"0")+IFERROR(Y147*1,"0")</f>
        <v>8.3999999999999986</v>
      </c>
      <c r="H602" s="46">
        <f>IFERROR(Y152*1,"0")+IFERROR(Y156*1,"0")+IFERROR(Y157*1,"0")+IFERROR(Y158*1,"0")+IFERROR(Y159*1,"0")+IFERROR(Y163*1,"0")+IFERROR(Y164*1,"0")</f>
        <v>152.4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10.5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70.2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21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484.65</v>
      </c>
      <c r="V602" s="46">
        <f>IFERROR(Y363*1,"0")+IFERROR(Y367*1,"0")+IFERROR(Y368*1,"0")+IFERROR(Y369*1,"0")</f>
        <v>10.5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1365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1660.3200000000002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52.500000000000007</v>
      </c>
      <c r="Z602" s="46">
        <f>IFERROR(Y452*1,"0")+IFERROR(Y453*1,"0")+IFERROR(Y457*1,"0")+IFERROR(Y458*1,"0")+IFERROR(Y459*1,"0")+IFERROR(Y460*1,"0")</f>
        <v>10.8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359.04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