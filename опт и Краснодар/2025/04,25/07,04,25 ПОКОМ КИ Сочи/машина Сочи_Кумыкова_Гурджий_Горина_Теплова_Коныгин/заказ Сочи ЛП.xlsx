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och\"/>
    </mc:Choice>
  </mc:AlternateContent>
  <xr:revisionPtr revIDLastSave="0" documentId="13_ncr:1_{96B8FC6D-D067-48D0-90C1-F1008A7DEB3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X590" i="1"/>
  <c r="BO589" i="1"/>
  <c r="BM589" i="1"/>
  <c r="Y589" i="1"/>
  <c r="Y591" i="1" s="1"/>
  <c r="X587" i="1"/>
  <c r="X586" i="1"/>
  <c r="BO585" i="1"/>
  <c r="BM585" i="1"/>
  <c r="Y585" i="1"/>
  <c r="X583" i="1"/>
  <c r="X582" i="1"/>
  <c r="BO581" i="1"/>
  <c r="BM581" i="1"/>
  <c r="Y581" i="1"/>
  <c r="X579" i="1"/>
  <c r="X578" i="1"/>
  <c r="BO577" i="1"/>
  <c r="BM577" i="1"/>
  <c r="Y577" i="1"/>
  <c r="X574" i="1"/>
  <c r="X573" i="1"/>
  <c r="BO572" i="1"/>
  <c r="BM572" i="1"/>
  <c r="Y572" i="1"/>
  <c r="BO571" i="1"/>
  <c r="BM571" i="1"/>
  <c r="Y571" i="1"/>
  <c r="BO570" i="1"/>
  <c r="BM570" i="1"/>
  <c r="Y570" i="1"/>
  <c r="BO569" i="1"/>
  <c r="BM569" i="1"/>
  <c r="Y569" i="1"/>
  <c r="X567" i="1"/>
  <c r="Y566" i="1"/>
  <c r="X566" i="1"/>
  <c r="BP565" i="1"/>
  <c r="BO565" i="1"/>
  <c r="BN565" i="1"/>
  <c r="BM565" i="1"/>
  <c r="Z565" i="1"/>
  <c r="Y565" i="1"/>
  <c r="BP564" i="1"/>
  <c r="BO564" i="1"/>
  <c r="BN564" i="1"/>
  <c r="BM564" i="1"/>
  <c r="Z564" i="1"/>
  <c r="Y564" i="1"/>
  <c r="BP563" i="1"/>
  <c r="BO563" i="1"/>
  <c r="BN563" i="1"/>
  <c r="BM563" i="1"/>
  <c r="Z563" i="1"/>
  <c r="Y563" i="1"/>
  <c r="BP562" i="1"/>
  <c r="BO562" i="1"/>
  <c r="BN562" i="1"/>
  <c r="BM562" i="1"/>
  <c r="Z562" i="1"/>
  <c r="Y562" i="1"/>
  <c r="BP561" i="1"/>
  <c r="BO561" i="1"/>
  <c r="BN561" i="1"/>
  <c r="BM561" i="1"/>
  <c r="Z561" i="1"/>
  <c r="Z566" i="1" s="1"/>
  <c r="Y561" i="1"/>
  <c r="Y567" i="1" s="1"/>
  <c r="X559" i="1"/>
  <c r="X558" i="1"/>
  <c r="BO557" i="1"/>
  <c r="BM557" i="1"/>
  <c r="Y557" i="1"/>
  <c r="BO556" i="1"/>
  <c r="BM556" i="1"/>
  <c r="Y556" i="1"/>
  <c r="BO555" i="1"/>
  <c r="BM555" i="1"/>
  <c r="Y555" i="1"/>
  <c r="BO554" i="1"/>
  <c r="BM554" i="1"/>
  <c r="Y554" i="1"/>
  <c r="BO553" i="1"/>
  <c r="BM553" i="1"/>
  <c r="Y553" i="1"/>
  <c r="BO552" i="1"/>
  <c r="BM552" i="1"/>
  <c r="Y552" i="1"/>
  <c r="BO551" i="1"/>
  <c r="BM551" i="1"/>
  <c r="Y551" i="1"/>
  <c r="X549" i="1"/>
  <c r="Y548" i="1"/>
  <c r="X548" i="1"/>
  <c r="BP547" i="1"/>
  <c r="BO547" i="1"/>
  <c r="BN547" i="1"/>
  <c r="BM547" i="1"/>
  <c r="Z547" i="1"/>
  <c r="Y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Z548" i="1" s="1"/>
  <c r="Y543" i="1"/>
  <c r="Y549" i="1" s="1"/>
  <c r="X541" i="1"/>
  <c r="X540" i="1"/>
  <c r="BO539" i="1"/>
  <c r="BM539" i="1"/>
  <c r="Y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X530" i="1"/>
  <c r="X529" i="1"/>
  <c r="BO528" i="1"/>
  <c r="BM528" i="1"/>
  <c r="Y528" i="1"/>
  <c r="BP528" i="1" s="1"/>
  <c r="BO527" i="1"/>
  <c r="BM527" i="1"/>
  <c r="Y527" i="1"/>
  <c r="P527" i="1"/>
  <c r="X525" i="1"/>
  <c r="X524" i="1"/>
  <c r="BO523" i="1"/>
  <c r="BM523" i="1"/>
  <c r="Y523" i="1"/>
  <c r="BP523" i="1" s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P517" i="1" s="1"/>
  <c r="BO516" i="1"/>
  <c r="BM516" i="1"/>
  <c r="Y516" i="1"/>
  <c r="BP516" i="1" s="1"/>
  <c r="P516" i="1"/>
  <c r="BO515" i="1"/>
  <c r="BM515" i="1"/>
  <c r="Y515" i="1"/>
  <c r="P515" i="1"/>
  <c r="BO514" i="1"/>
  <c r="BM514" i="1"/>
  <c r="Y514" i="1"/>
  <c r="BP514" i="1" s="1"/>
  <c r="BO513" i="1"/>
  <c r="BM513" i="1"/>
  <c r="Y513" i="1"/>
  <c r="BP513" i="1" s="1"/>
  <c r="P513" i="1"/>
  <c r="BO512" i="1"/>
  <c r="BM512" i="1"/>
  <c r="Y512" i="1"/>
  <c r="BO511" i="1"/>
  <c r="BM511" i="1"/>
  <c r="Y511" i="1"/>
  <c r="P511" i="1"/>
  <c r="BO510" i="1"/>
  <c r="BM510" i="1"/>
  <c r="Y510" i="1"/>
  <c r="BP510" i="1" s="1"/>
  <c r="BO509" i="1"/>
  <c r="BM509" i="1"/>
  <c r="Y509" i="1"/>
  <c r="BP509" i="1" s="1"/>
  <c r="BO508" i="1"/>
  <c r="BM508" i="1"/>
  <c r="Y508" i="1"/>
  <c r="BP508" i="1" s="1"/>
  <c r="BO507" i="1"/>
  <c r="BM507" i="1"/>
  <c r="Y507" i="1"/>
  <c r="BO506" i="1"/>
  <c r="BM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8" i="1"/>
  <c r="X467" i="1"/>
  <c r="BO466" i="1"/>
  <c r="BM466" i="1"/>
  <c r="Y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BO458" i="1"/>
  <c r="BM458" i="1"/>
  <c r="Y458" i="1"/>
  <c r="P458" i="1"/>
  <c r="BO457" i="1"/>
  <c r="BM457" i="1"/>
  <c r="Y457" i="1"/>
  <c r="X455" i="1"/>
  <c r="X454" i="1"/>
  <c r="BO453" i="1"/>
  <c r="BM453" i="1"/>
  <c r="Y453" i="1"/>
  <c r="P453" i="1"/>
  <c r="BO452" i="1"/>
  <c r="BM452" i="1"/>
  <c r="Y452" i="1"/>
  <c r="P452" i="1"/>
  <c r="X449" i="1"/>
  <c r="X448" i="1"/>
  <c r="BO447" i="1"/>
  <c r="BM447" i="1"/>
  <c r="Y447" i="1"/>
  <c r="P447" i="1"/>
  <c r="BO446" i="1"/>
  <c r="BM446" i="1"/>
  <c r="Y446" i="1"/>
  <c r="Y448" i="1" s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BO435" i="1"/>
  <c r="BM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X426" i="1"/>
  <c r="BO425" i="1"/>
  <c r="BM425" i="1"/>
  <c r="Y425" i="1"/>
  <c r="X423" i="1"/>
  <c r="X422" i="1"/>
  <c r="BO421" i="1"/>
  <c r="BM421" i="1"/>
  <c r="Y421" i="1"/>
  <c r="P421" i="1"/>
  <c r="BO420" i="1"/>
  <c r="BM420" i="1"/>
  <c r="Y420" i="1"/>
  <c r="P420" i="1"/>
  <c r="BO419" i="1"/>
  <c r="BM419" i="1"/>
  <c r="Y419" i="1"/>
  <c r="P419" i="1"/>
  <c r="BO418" i="1"/>
  <c r="BM418" i="1"/>
  <c r="Y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Y414" i="1" s="1"/>
  <c r="P412" i="1"/>
  <c r="X410" i="1"/>
  <c r="X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Y390" i="1" s="1"/>
  <c r="P388" i="1"/>
  <c r="X386" i="1"/>
  <c r="X385" i="1"/>
  <c r="BO384" i="1"/>
  <c r="BM384" i="1"/>
  <c r="Y384" i="1"/>
  <c r="Z384" i="1" s="1"/>
  <c r="P384" i="1"/>
  <c r="BO383" i="1"/>
  <c r="BM383" i="1"/>
  <c r="Y383" i="1"/>
  <c r="BP383" i="1" s="1"/>
  <c r="P383" i="1"/>
  <c r="BP382" i="1"/>
  <c r="BO382" i="1"/>
  <c r="BN382" i="1"/>
  <c r="BM382" i="1"/>
  <c r="Z382" i="1"/>
  <c r="Y382" i="1"/>
  <c r="P382" i="1"/>
  <c r="BO381" i="1"/>
  <c r="BM381" i="1"/>
  <c r="Y381" i="1"/>
  <c r="BP381" i="1" s="1"/>
  <c r="P381" i="1"/>
  <c r="BO380" i="1"/>
  <c r="BM380" i="1"/>
  <c r="Y380" i="1"/>
  <c r="P380" i="1"/>
  <c r="BO379" i="1"/>
  <c r="BM379" i="1"/>
  <c r="Y379" i="1"/>
  <c r="BP379" i="1" s="1"/>
  <c r="P379" i="1"/>
  <c r="BO378" i="1"/>
  <c r="BM378" i="1"/>
  <c r="Y378" i="1"/>
  <c r="P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BP375" i="1" s="1"/>
  <c r="P375" i="1"/>
  <c r="X371" i="1"/>
  <c r="X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BP358" i="1" s="1"/>
  <c r="P358" i="1"/>
  <c r="BO357" i="1"/>
  <c r="BM357" i="1"/>
  <c r="Y357" i="1"/>
  <c r="P357" i="1"/>
  <c r="BO356" i="1"/>
  <c r="BM356" i="1"/>
  <c r="Y356" i="1"/>
  <c r="Y360" i="1" s="1"/>
  <c r="P356" i="1"/>
  <c r="X354" i="1"/>
  <c r="X353" i="1"/>
  <c r="BO352" i="1"/>
  <c r="BM352" i="1"/>
  <c r="Y352" i="1"/>
  <c r="BP352" i="1" s="1"/>
  <c r="P352" i="1"/>
  <c r="BO351" i="1"/>
  <c r="BM351" i="1"/>
  <c r="Y351" i="1"/>
  <c r="P351" i="1"/>
  <c r="BO350" i="1"/>
  <c r="BM350" i="1"/>
  <c r="Y350" i="1"/>
  <c r="BP350" i="1" s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Y346" i="1" s="1"/>
  <c r="P344" i="1"/>
  <c r="BP343" i="1"/>
  <c r="BO343" i="1"/>
  <c r="BN343" i="1"/>
  <c r="BM343" i="1"/>
  <c r="Z343" i="1"/>
  <c r="Y343" i="1"/>
  <c r="P343" i="1"/>
  <c r="X341" i="1"/>
  <c r="X340" i="1"/>
  <c r="BO339" i="1"/>
  <c r="BM339" i="1"/>
  <c r="Y339" i="1"/>
  <c r="BP339" i="1" s="1"/>
  <c r="P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O329" i="1"/>
  <c r="BM329" i="1"/>
  <c r="Y329" i="1"/>
  <c r="BP329" i="1" s="1"/>
  <c r="P329" i="1"/>
  <c r="BO328" i="1"/>
  <c r="BM328" i="1"/>
  <c r="Y328" i="1"/>
  <c r="Y332" i="1" s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BP321" i="1" s="1"/>
  <c r="P321" i="1"/>
  <c r="BO320" i="1"/>
  <c r="BM320" i="1"/>
  <c r="Y320" i="1"/>
  <c r="Y326" i="1" s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2" i="1" s="1"/>
  <c r="P314" i="1"/>
  <c r="X311" i="1"/>
  <c r="X310" i="1"/>
  <c r="BO309" i="1"/>
  <c r="BM309" i="1"/>
  <c r="Y309" i="1"/>
  <c r="BP309" i="1" s="1"/>
  <c r="P309" i="1"/>
  <c r="BO308" i="1"/>
  <c r="BM308" i="1"/>
  <c r="Y308" i="1"/>
  <c r="Y310" i="1" s="1"/>
  <c r="P308" i="1"/>
  <c r="X306" i="1"/>
  <c r="X305" i="1"/>
  <c r="BO304" i="1"/>
  <c r="BM304" i="1"/>
  <c r="Y304" i="1"/>
  <c r="S602" i="1" s="1"/>
  <c r="P304" i="1"/>
  <c r="X301" i="1"/>
  <c r="X300" i="1"/>
  <c r="BO299" i="1"/>
  <c r="BM299" i="1"/>
  <c r="Y299" i="1"/>
  <c r="R602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2" i="1" s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P602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BP260" i="1" s="1"/>
  <c r="P260" i="1"/>
  <c r="BO259" i="1"/>
  <c r="BM259" i="1"/>
  <c r="Y259" i="1"/>
  <c r="BP259" i="1" s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BP255" i="1" s="1"/>
  <c r="P255" i="1"/>
  <c r="X252" i="1"/>
  <c r="X251" i="1"/>
  <c r="BO250" i="1"/>
  <c r="BM250" i="1"/>
  <c r="Y250" i="1"/>
  <c r="Y252" i="1" s="1"/>
  <c r="X248" i="1"/>
  <c r="X247" i="1"/>
  <c r="BO246" i="1"/>
  <c r="BM246" i="1"/>
  <c r="Y246" i="1"/>
  <c r="Y248" i="1" s="1"/>
  <c r="X244" i="1"/>
  <c r="X243" i="1"/>
  <c r="BO242" i="1"/>
  <c r="BM242" i="1"/>
  <c r="Y242" i="1"/>
  <c r="BP242" i="1" s="1"/>
  <c r="BO241" i="1"/>
  <c r="BM241" i="1"/>
  <c r="Y241" i="1"/>
  <c r="P241" i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BP220" i="1" s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Y209" i="1" s="1"/>
  <c r="P201" i="1"/>
  <c r="X199" i="1"/>
  <c r="X198" i="1"/>
  <c r="BO197" i="1"/>
  <c r="BM197" i="1"/>
  <c r="Y197" i="1"/>
  <c r="Y199" i="1" s="1"/>
  <c r="P197" i="1"/>
  <c r="BP196" i="1"/>
  <c r="BO196" i="1"/>
  <c r="BN196" i="1"/>
  <c r="BM196" i="1"/>
  <c r="Z196" i="1"/>
  <c r="Y196" i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BP182" i="1" s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BO163" i="1"/>
  <c r="BM163" i="1"/>
  <c r="Y163" i="1"/>
  <c r="BP163" i="1" s="1"/>
  <c r="P163" i="1"/>
  <c r="X161" i="1"/>
  <c r="X160" i="1"/>
  <c r="BO159" i="1"/>
  <c r="BM159" i="1"/>
  <c r="Y159" i="1"/>
  <c r="BP159" i="1" s="1"/>
  <c r="P159" i="1"/>
  <c r="BO158" i="1"/>
  <c r="BM158" i="1"/>
  <c r="Y158" i="1"/>
  <c r="BP158" i="1" s="1"/>
  <c r="P158" i="1"/>
  <c r="BP157" i="1"/>
  <c r="BO157" i="1"/>
  <c r="BN157" i="1"/>
  <c r="BM157" i="1"/>
  <c r="Z157" i="1"/>
  <c r="Y157" i="1"/>
  <c r="P157" i="1"/>
  <c r="BO156" i="1"/>
  <c r="BM156" i="1"/>
  <c r="Y156" i="1"/>
  <c r="P156" i="1"/>
  <c r="X154" i="1"/>
  <c r="X153" i="1"/>
  <c r="BO152" i="1"/>
  <c r="BM152" i="1"/>
  <c r="Y152" i="1"/>
  <c r="P152" i="1"/>
  <c r="X149" i="1"/>
  <c r="X148" i="1"/>
  <c r="BO147" i="1"/>
  <c r="BM147" i="1"/>
  <c r="Y147" i="1"/>
  <c r="P147" i="1"/>
  <c r="BO146" i="1"/>
  <c r="BM146" i="1"/>
  <c r="Y146" i="1"/>
  <c r="Y148" i="1" s="1"/>
  <c r="P146" i="1"/>
  <c r="X144" i="1"/>
  <c r="X143" i="1"/>
  <c r="BO142" i="1"/>
  <c r="BM142" i="1"/>
  <c r="Y142" i="1"/>
  <c r="BP142" i="1" s="1"/>
  <c r="P142" i="1"/>
  <c r="BO141" i="1"/>
  <c r="BM141" i="1"/>
  <c r="Y141" i="1"/>
  <c r="Y143" i="1" s="1"/>
  <c r="P141" i="1"/>
  <c r="X139" i="1"/>
  <c r="X138" i="1"/>
  <c r="BO137" i="1"/>
  <c r="BM137" i="1"/>
  <c r="Y137" i="1"/>
  <c r="P137" i="1"/>
  <c r="BO136" i="1"/>
  <c r="BM136" i="1"/>
  <c r="Y136" i="1"/>
  <c r="BP136" i="1" s="1"/>
  <c r="P136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P120" i="1"/>
  <c r="BO119" i="1"/>
  <c r="BM119" i="1"/>
  <c r="Y119" i="1"/>
  <c r="BP119" i="1" s="1"/>
  <c r="BO118" i="1"/>
  <c r="BM118" i="1"/>
  <c r="Y118" i="1"/>
  <c r="BP118" i="1" s="1"/>
  <c r="P118" i="1"/>
  <c r="X116" i="1"/>
  <c r="X115" i="1"/>
  <c r="BO114" i="1"/>
  <c r="BM114" i="1"/>
  <c r="Y114" i="1"/>
  <c r="BP114" i="1" s="1"/>
  <c r="P114" i="1"/>
  <c r="BO113" i="1"/>
  <c r="BM113" i="1"/>
  <c r="Y113" i="1"/>
  <c r="Y115" i="1" s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P105" i="1"/>
  <c r="X102" i="1"/>
  <c r="X101" i="1"/>
  <c r="BO100" i="1"/>
  <c r="BM100" i="1"/>
  <c r="Y100" i="1"/>
  <c r="P100" i="1"/>
  <c r="BO99" i="1"/>
  <c r="BM99" i="1"/>
  <c r="Y99" i="1"/>
  <c r="BP99" i="1" s="1"/>
  <c r="P99" i="1"/>
  <c r="BO98" i="1"/>
  <c r="BM98" i="1"/>
  <c r="Y98" i="1"/>
  <c r="P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BO79" i="1"/>
  <c r="BM79" i="1"/>
  <c r="Y79" i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P64" i="1"/>
  <c r="X62" i="1"/>
  <c r="X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X55" i="1"/>
  <c r="X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4" i="1"/>
  <c r="Y43" i="1"/>
  <c r="X43" i="1"/>
  <c r="BP42" i="1"/>
  <c r="BO42" i="1"/>
  <c r="BN42" i="1"/>
  <c r="BM42" i="1"/>
  <c r="Z42" i="1"/>
  <c r="Z43" i="1" s="1"/>
  <c r="Y42" i="1"/>
  <c r="Y44" i="1" s="1"/>
  <c r="P42" i="1"/>
  <c r="X40" i="1"/>
  <c r="X39" i="1"/>
  <c r="BO38" i="1"/>
  <c r="BM38" i="1"/>
  <c r="Y38" i="1"/>
  <c r="BP38" i="1" s="1"/>
  <c r="P38" i="1"/>
  <c r="BO37" i="1"/>
  <c r="BM37" i="1"/>
  <c r="Y37" i="1"/>
  <c r="BP37" i="1" s="1"/>
  <c r="P37" i="1"/>
  <c r="BO36" i="1"/>
  <c r="BM36" i="1"/>
  <c r="Y36" i="1"/>
  <c r="BP36" i="1" s="1"/>
  <c r="P36" i="1"/>
  <c r="BO35" i="1"/>
  <c r="BM35" i="1"/>
  <c r="Y35" i="1"/>
  <c r="P35" i="1"/>
  <c r="X31" i="1"/>
  <c r="X30" i="1"/>
  <c r="BO29" i="1"/>
  <c r="BM29" i="1"/>
  <c r="Y29" i="1"/>
  <c r="Y30" i="1" s="1"/>
  <c r="P29" i="1"/>
  <c r="X27" i="1"/>
  <c r="X26" i="1"/>
  <c r="BO25" i="1"/>
  <c r="BM25" i="1"/>
  <c r="Y25" i="1"/>
  <c r="BP25" i="1" s="1"/>
  <c r="P25" i="1"/>
  <c r="BO24" i="1"/>
  <c r="BM24" i="1"/>
  <c r="Y24" i="1"/>
  <c r="BP24" i="1" s="1"/>
  <c r="P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204" i="1" l="1"/>
  <c r="BN204" i="1"/>
  <c r="Z204" i="1"/>
  <c r="BP224" i="1"/>
  <c r="BN224" i="1"/>
  <c r="Z224" i="1"/>
  <c r="BP257" i="1"/>
  <c r="BN257" i="1"/>
  <c r="Z257" i="1"/>
  <c r="BP323" i="1"/>
  <c r="BN323" i="1"/>
  <c r="Z323" i="1"/>
  <c r="BP351" i="1"/>
  <c r="BN351" i="1"/>
  <c r="Z351" i="1"/>
  <c r="BP389" i="1"/>
  <c r="BN389" i="1"/>
  <c r="Z389" i="1"/>
  <c r="BP417" i="1"/>
  <c r="BN417" i="1"/>
  <c r="Z417" i="1"/>
  <c r="AA602" i="1"/>
  <c r="Y467" i="1"/>
  <c r="BP465" i="1"/>
  <c r="BN465" i="1"/>
  <c r="Z465" i="1"/>
  <c r="Z467" i="1" s="1"/>
  <c r="BP511" i="1"/>
  <c r="BN511" i="1"/>
  <c r="Z511" i="1"/>
  <c r="BP515" i="1"/>
  <c r="BN515" i="1"/>
  <c r="Z515" i="1"/>
  <c r="X596" i="1"/>
  <c r="Z36" i="1"/>
  <c r="BN36" i="1"/>
  <c r="Z51" i="1"/>
  <c r="BN51" i="1"/>
  <c r="Z65" i="1"/>
  <c r="BN65" i="1"/>
  <c r="Y76" i="1"/>
  <c r="Z80" i="1"/>
  <c r="BN80" i="1"/>
  <c r="Z106" i="1"/>
  <c r="BN106" i="1"/>
  <c r="Z118" i="1"/>
  <c r="BN118" i="1"/>
  <c r="Z119" i="1"/>
  <c r="BN119" i="1"/>
  <c r="Y128" i="1"/>
  <c r="Z142" i="1"/>
  <c r="BN142" i="1"/>
  <c r="Z163" i="1"/>
  <c r="BN163" i="1"/>
  <c r="Y222" i="1"/>
  <c r="BP214" i="1"/>
  <c r="BN214" i="1"/>
  <c r="Z214" i="1"/>
  <c r="BP237" i="1"/>
  <c r="BN237" i="1"/>
  <c r="Z237" i="1"/>
  <c r="BP280" i="1"/>
  <c r="BN280" i="1"/>
  <c r="Z280" i="1"/>
  <c r="BP337" i="1"/>
  <c r="BN337" i="1"/>
  <c r="Z337" i="1"/>
  <c r="BP378" i="1"/>
  <c r="BN378" i="1"/>
  <c r="Z378" i="1"/>
  <c r="Y400" i="1"/>
  <c r="Y399" i="1"/>
  <c r="BP398" i="1"/>
  <c r="BN398" i="1"/>
  <c r="Z398" i="1"/>
  <c r="Z399" i="1" s="1"/>
  <c r="BP403" i="1"/>
  <c r="BN403" i="1"/>
  <c r="Z403" i="1"/>
  <c r="BP418" i="1"/>
  <c r="BN418" i="1"/>
  <c r="Z418" i="1"/>
  <c r="BP466" i="1"/>
  <c r="BN466" i="1"/>
  <c r="Z466" i="1"/>
  <c r="AB602" i="1"/>
  <c r="Y472" i="1"/>
  <c r="BP471" i="1"/>
  <c r="BN471" i="1"/>
  <c r="Z471" i="1"/>
  <c r="Z472" i="1" s="1"/>
  <c r="Y477" i="1"/>
  <c r="Y476" i="1"/>
  <c r="BP475" i="1"/>
  <c r="BN475" i="1"/>
  <c r="Z475" i="1"/>
  <c r="Z476" i="1" s="1"/>
  <c r="BP481" i="1"/>
  <c r="BN481" i="1"/>
  <c r="Z481" i="1"/>
  <c r="BP512" i="1"/>
  <c r="BN512" i="1"/>
  <c r="Z512" i="1"/>
  <c r="BP522" i="1"/>
  <c r="BN522" i="1"/>
  <c r="Z522" i="1"/>
  <c r="Y166" i="1"/>
  <c r="I602" i="1"/>
  <c r="Y183" i="1"/>
  <c r="J602" i="1"/>
  <c r="Y227" i="1"/>
  <c r="K602" i="1"/>
  <c r="Y244" i="1"/>
  <c r="Y354" i="1"/>
  <c r="Y530" i="1"/>
  <c r="BP345" i="1"/>
  <c r="BN345" i="1"/>
  <c r="Z345" i="1"/>
  <c r="BP376" i="1"/>
  <c r="BN376" i="1"/>
  <c r="Z376" i="1"/>
  <c r="BP413" i="1"/>
  <c r="BN413" i="1"/>
  <c r="Z413" i="1"/>
  <c r="Y427" i="1"/>
  <c r="Y426" i="1"/>
  <c r="BP425" i="1"/>
  <c r="BN425" i="1"/>
  <c r="Z425" i="1"/>
  <c r="Z426" i="1" s="1"/>
  <c r="BP435" i="1"/>
  <c r="BN435" i="1"/>
  <c r="Z435" i="1"/>
  <c r="BP447" i="1"/>
  <c r="BN447" i="1"/>
  <c r="Z447" i="1"/>
  <c r="BP452" i="1"/>
  <c r="BN452" i="1"/>
  <c r="Z452" i="1"/>
  <c r="BP460" i="1"/>
  <c r="BN460" i="1"/>
  <c r="Z460" i="1"/>
  <c r="BP488" i="1"/>
  <c r="BN488" i="1"/>
  <c r="Z488" i="1"/>
  <c r="Y504" i="1"/>
  <c r="Y503" i="1"/>
  <c r="BP499" i="1"/>
  <c r="BN499" i="1"/>
  <c r="Z499" i="1"/>
  <c r="BP501" i="1"/>
  <c r="BN501" i="1"/>
  <c r="Z501" i="1"/>
  <c r="BP535" i="1"/>
  <c r="BN535" i="1"/>
  <c r="Z535" i="1"/>
  <c r="Y578" i="1"/>
  <c r="BP577" i="1"/>
  <c r="BN577" i="1"/>
  <c r="Z577" i="1"/>
  <c r="Z578" i="1" s="1"/>
  <c r="Y587" i="1"/>
  <c r="Y586" i="1"/>
  <c r="BP585" i="1"/>
  <c r="BN585" i="1"/>
  <c r="Z585" i="1"/>
  <c r="Z586" i="1" s="1"/>
  <c r="Z24" i="1"/>
  <c r="BN24" i="1"/>
  <c r="C602" i="1"/>
  <c r="Z38" i="1"/>
  <c r="BN38" i="1"/>
  <c r="Y54" i="1"/>
  <c r="Z49" i="1"/>
  <c r="BN49" i="1"/>
  <c r="Z53" i="1"/>
  <c r="BN53" i="1"/>
  <c r="Y61" i="1"/>
  <c r="Z59" i="1"/>
  <c r="BN59" i="1"/>
  <c r="Y68" i="1"/>
  <c r="Z70" i="1"/>
  <c r="BN70" i="1"/>
  <c r="BP70" i="1"/>
  <c r="Z74" i="1"/>
  <c r="BN74" i="1"/>
  <c r="Z87" i="1"/>
  <c r="BN87" i="1"/>
  <c r="Z99" i="1"/>
  <c r="BN99" i="1"/>
  <c r="F602" i="1"/>
  <c r="Z108" i="1"/>
  <c r="BN108" i="1"/>
  <c r="Y116" i="1"/>
  <c r="Z114" i="1"/>
  <c r="BN114" i="1"/>
  <c r="Y127" i="1"/>
  <c r="Z121" i="1"/>
  <c r="BN121" i="1"/>
  <c r="Z122" i="1"/>
  <c r="BN122" i="1"/>
  <c r="Z125" i="1"/>
  <c r="BN125" i="1"/>
  <c r="Z136" i="1"/>
  <c r="BN136" i="1"/>
  <c r="Y139" i="1"/>
  <c r="Z146" i="1"/>
  <c r="BN146" i="1"/>
  <c r="BP146" i="1"/>
  <c r="Y149" i="1"/>
  <c r="H602" i="1"/>
  <c r="Y160" i="1"/>
  <c r="Z159" i="1"/>
  <c r="BN159" i="1"/>
  <c r="Y165" i="1"/>
  <c r="Z175" i="1"/>
  <c r="BN175" i="1"/>
  <c r="Z182" i="1"/>
  <c r="BN182" i="1"/>
  <c r="Z192" i="1"/>
  <c r="BN192" i="1"/>
  <c r="Y198" i="1"/>
  <c r="Z202" i="1"/>
  <c r="BN202" i="1"/>
  <c r="Z206" i="1"/>
  <c r="BN206" i="1"/>
  <c r="Z212" i="1"/>
  <c r="BN212" i="1"/>
  <c r="BP212" i="1"/>
  <c r="Y221" i="1"/>
  <c r="Z216" i="1"/>
  <c r="BN216" i="1"/>
  <c r="Z220" i="1"/>
  <c r="BN220" i="1"/>
  <c r="Y226" i="1"/>
  <c r="Z231" i="1"/>
  <c r="BN231" i="1"/>
  <c r="Z235" i="1"/>
  <c r="BN235" i="1"/>
  <c r="Z241" i="1"/>
  <c r="BN241" i="1"/>
  <c r="BP241" i="1"/>
  <c r="Z242" i="1"/>
  <c r="BN242" i="1"/>
  <c r="Y243" i="1"/>
  <c r="Z250" i="1"/>
  <c r="Z251" i="1" s="1"/>
  <c r="BN250" i="1"/>
  <c r="BP250" i="1"/>
  <c r="Y251" i="1"/>
  <c r="Z255" i="1"/>
  <c r="BN255" i="1"/>
  <c r="Y262" i="1"/>
  <c r="Z259" i="1"/>
  <c r="BN259" i="1"/>
  <c r="O602" i="1"/>
  <c r="Z278" i="1"/>
  <c r="BN278" i="1"/>
  <c r="Z309" i="1"/>
  <c r="BN309" i="1"/>
  <c r="Z321" i="1"/>
  <c r="BN321" i="1"/>
  <c r="Z329" i="1"/>
  <c r="BN329" i="1"/>
  <c r="Z335" i="1"/>
  <c r="BN335" i="1"/>
  <c r="BP335" i="1"/>
  <c r="Y340" i="1"/>
  <c r="Z339" i="1"/>
  <c r="BN339" i="1"/>
  <c r="Y347" i="1"/>
  <c r="BP357" i="1"/>
  <c r="BN357" i="1"/>
  <c r="Z357" i="1"/>
  <c r="BP380" i="1"/>
  <c r="BN380" i="1"/>
  <c r="Z380" i="1"/>
  <c r="BP405" i="1"/>
  <c r="BN405" i="1"/>
  <c r="Z405" i="1"/>
  <c r="BP420" i="1"/>
  <c r="BN420" i="1"/>
  <c r="Z420" i="1"/>
  <c r="BP436" i="1"/>
  <c r="BN436" i="1"/>
  <c r="Z436" i="1"/>
  <c r="Y462" i="1"/>
  <c r="BP457" i="1"/>
  <c r="BN457" i="1"/>
  <c r="Z457" i="1"/>
  <c r="BP483" i="1"/>
  <c r="BN483" i="1"/>
  <c r="Z483" i="1"/>
  <c r="BP493" i="1"/>
  <c r="BN493" i="1"/>
  <c r="Z493" i="1"/>
  <c r="BP500" i="1"/>
  <c r="BN500" i="1"/>
  <c r="Z500" i="1"/>
  <c r="BP502" i="1"/>
  <c r="BN502" i="1"/>
  <c r="Z502" i="1"/>
  <c r="BP534" i="1"/>
  <c r="BN534" i="1"/>
  <c r="Z534" i="1"/>
  <c r="V602" i="1"/>
  <c r="Y371" i="1"/>
  <c r="Y422" i="1"/>
  <c r="Y444" i="1"/>
  <c r="Y525" i="1"/>
  <c r="F9" i="1"/>
  <c r="J9" i="1"/>
  <c r="F10" i="1"/>
  <c r="Y27" i="1"/>
  <c r="Y31" i="1"/>
  <c r="Y39" i="1"/>
  <c r="Y62" i="1"/>
  <c r="BP73" i="1"/>
  <c r="BN73" i="1"/>
  <c r="Z73" i="1"/>
  <c r="BP81" i="1"/>
  <c r="BN81" i="1"/>
  <c r="Z81" i="1"/>
  <c r="Y83" i="1"/>
  <c r="E602" i="1"/>
  <c r="Y89" i="1"/>
  <c r="BP86" i="1"/>
  <c r="BN86" i="1"/>
  <c r="Z86" i="1"/>
  <c r="BP98" i="1"/>
  <c r="BN98" i="1"/>
  <c r="Z98" i="1"/>
  <c r="H9" i="1"/>
  <c r="B602" i="1"/>
  <c r="X593" i="1"/>
  <c r="X594" i="1"/>
  <c r="Z23" i="1"/>
  <c r="BN23" i="1"/>
  <c r="Z25" i="1"/>
  <c r="BN25" i="1"/>
  <c r="Y26" i="1"/>
  <c r="X592" i="1"/>
  <c r="Z29" i="1"/>
  <c r="Z30" i="1" s="1"/>
  <c r="BN29" i="1"/>
  <c r="BP29" i="1"/>
  <c r="Z35" i="1"/>
  <c r="BN35" i="1"/>
  <c r="BP35" i="1"/>
  <c r="Z37" i="1"/>
  <c r="BN37" i="1"/>
  <c r="Y40" i="1"/>
  <c r="D602" i="1"/>
  <c r="Z48" i="1"/>
  <c r="BN48" i="1"/>
  <c r="Z50" i="1"/>
  <c r="BN50" i="1"/>
  <c r="Z52" i="1"/>
  <c r="BN52" i="1"/>
  <c r="Y55" i="1"/>
  <c r="Z58" i="1"/>
  <c r="BN58" i="1"/>
  <c r="Z60" i="1"/>
  <c r="BN60" i="1"/>
  <c r="Z64" i="1"/>
  <c r="BN64" i="1"/>
  <c r="BP64" i="1"/>
  <c r="Z66" i="1"/>
  <c r="BN66" i="1"/>
  <c r="Y67" i="1"/>
  <c r="BP71" i="1"/>
  <c r="BN71" i="1"/>
  <c r="Z71" i="1"/>
  <c r="BP75" i="1"/>
  <c r="BN75" i="1"/>
  <c r="Z75" i="1"/>
  <c r="Y77" i="1"/>
  <c r="Y82" i="1"/>
  <c r="BP79" i="1"/>
  <c r="BN79" i="1"/>
  <c r="Z79" i="1"/>
  <c r="BP88" i="1"/>
  <c r="BN88" i="1"/>
  <c r="Z88" i="1"/>
  <c r="Y90" i="1"/>
  <c r="Y102" i="1"/>
  <c r="Y101" i="1"/>
  <c r="BP92" i="1"/>
  <c r="BN92" i="1"/>
  <c r="Z92" i="1"/>
  <c r="BP100" i="1"/>
  <c r="BN100" i="1"/>
  <c r="Z100" i="1"/>
  <c r="Z105" i="1"/>
  <c r="BN105" i="1"/>
  <c r="BP105" i="1"/>
  <c r="Z107" i="1"/>
  <c r="BN107" i="1"/>
  <c r="Y110" i="1"/>
  <c r="Z113" i="1"/>
  <c r="BN113" i="1"/>
  <c r="BP113" i="1"/>
  <c r="Z120" i="1"/>
  <c r="BN120" i="1"/>
  <c r="BP120" i="1"/>
  <c r="Z123" i="1"/>
  <c r="BN123" i="1"/>
  <c r="Z124" i="1"/>
  <c r="BN124" i="1"/>
  <c r="Z126" i="1"/>
  <c r="BN126" i="1"/>
  <c r="Z130" i="1"/>
  <c r="Z132" i="1" s="1"/>
  <c r="BN130" i="1"/>
  <c r="BP130" i="1"/>
  <c r="Y133" i="1"/>
  <c r="G602" i="1"/>
  <c r="Z137" i="1"/>
  <c r="BN137" i="1"/>
  <c r="BP137" i="1"/>
  <c r="Y138" i="1"/>
  <c r="Z141" i="1"/>
  <c r="Z143" i="1" s="1"/>
  <c r="BN141" i="1"/>
  <c r="BP141" i="1"/>
  <c r="Y144" i="1"/>
  <c r="Z147" i="1"/>
  <c r="Z148" i="1" s="1"/>
  <c r="BN147" i="1"/>
  <c r="BP147" i="1"/>
  <c r="Z152" i="1"/>
  <c r="Z153" i="1" s="1"/>
  <c r="BN152" i="1"/>
  <c r="BP152" i="1"/>
  <c r="Y153" i="1"/>
  <c r="Z156" i="1"/>
  <c r="BN156" i="1"/>
  <c r="BP156" i="1"/>
  <c r="Z158" i="1"/>
  <c r="BN158" i="1"/>
  <c r="Y161" i="1"/>
  <c r="Z164" i="1"/>
  <c r="BN164" i="1"/>
  <c r="BP164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BN191" i="1"/>
  <c r="BP191" i="1"/>
  <c r="Y194" i="1"/>
  <c r="Z197" i="1"/>
  <c r="Z198" i="1" s="1"/>
  <c r="BN197" i="1"/>
  <c r="BP197" i="1"/>
  <c r="Z201" i="1"/>
  <c r="BN201" i="1"/>
  <c r="BP201" i="1"/>
  <c r="Z203" i="1"/>
  <c r="BN203" i="1"/>
  <c r="Z205" i="1"/>
  <c r="BN205" i="1"/>
  <c r="Z207" i="1"/>
  <c r="BN207" i="1"/>
  <c r="Y210" i="1"/>
  <c r="Z213" i="1"/>
  <c r="BN213" i="1"/>
  <c r="BP213" i="1"/>
  <c r="Z215" i="1"/>
  <c r="BN215" i="1"/>
  <c r="Z217" i="1"/>
  <c r="BN217" i="1"/>
  <c r="Z219" i="1"/>
  <c r="BN219" i="1"/>
  <c r="Z225" i="1"/>
  <c r="Z226" i="1" s="1"/>
  <c r="BN225" i="1"/>
  <c r="BP225" i="1"/>
  <c r="Z230" i="1"/>
  <c r="BN230" i="1"/>
  <c r="BP230" i="1"/>
  <c r="Z232" i="1"/>
  <c r="BN232" i="1"/>
  <c r="Z234" i="1"/>
  <c r="BN234" i="1"/>
  <c r="Z236" i="1"/>
  <c r="BN236" i="1"/>
  <c r="Y239" i="1"/>
  <c r="Z246" i="1"/>
  <c r="Z247" i="1" s="1"/>
  <c r="BN246" i="1"/>
  <c r="BP246" i="1"/>
  <c r="Y247" i="1"/>
  <c r="L602" i="1"/>
  <c r="Z256" i="1"/>
  <c r="BN256" i="1"/>
  <c r="BP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Y305" i="1"/>
  <c r="Z308" i="1"/>
  <c r="BN308" i="1"/>
  <c r="BP308" i="1"/>
  <c r="Y311" i="1"/>
  <c r="Y316" i="1"/>
  <c r="U602" i="1"/>
  <c r="Z320" i="1"/>
  <c r="BN320" i="1"/>
  <c r="BP320" i="1"/>
  <c r="Z322" i="1"/>
  <c r="BN322" i="1"/>
  <c r="Z324" i="1"/>
  <c r="BN324" i="1"/>
  <c r="Y325" i="1"/>
  <c r="Z328" i="1"/>
  <c r="BN328" i="1"/>
  <c r="BP328" i="1"/>
  <c r="Z330" i="1"/>
  <c r="BN330" i="1"/>
  <c r="Y333" i="1"/>
  <c r="Z336" i="1"/>
  <c r="BN336" i="1"/>
  <c r="BP336" i="1"/>
  <c r="Z338" i="1"/>
  <c r="BN338" i="1"/>
  <c r="Z344" i="1"/>
  <c r="BN344" i="1"/>
  <c r="BP344" i="1"/>
  <c r="Z349" i="1"/>
  <c r="BN349" i="1"/>
  <c r="BP349" i="1"/>
  <c r="Z350" i="1"/>
  <c r="BN350" i="1"/>
  <c r="Z352" i="1"/>
  <c r="BN352" i="1"/>
  <c r="Y353" i="1"/>
  <c r="Z356" i="1"/>
  <c r="BN356" i="1"/>
  <c r="BP356" i="1"/>
  <c r="Z358" i="1"/>
  <c r="BN358" i="1"/>
  <c r="Y359" i="1"/>
  <c r="Z363" i="1"/>
  <c r="Z364" i="1" s="1"/>
  <c r="BN363" i="1"/>
  <c r="BP363" i="1"/>
  <c r="Y364" i="1"/>
  <c r="Z367" i="1"/>
  <c r="BN367" i="1"/>
  <c r="BP367" i="1"/>
  <c r="Z369" i="1"/>
  <c r="BN369" i="1"/>
  <c r="Y370" i="1"/>
  <c r="Z375" i="1"/>
  <c r="BN375" i="1"/>
  <c r="Z377" i="1"/>
  <c r="BN377" i="1"/>
  <c r="Z379" i="1"/>
  <c r="BN379" i="1"/>
  <c r="Z381" i="1"/>
  <c r="BN381" i="1"/>
  <c r="Z383" i="1"/>
  <c r="BN383" i="1"/>
  <c r="BP384" i="1"/>
  <c r="BN384" i="1"/>
  <c r="Y395" i="1"/>
  <c r="BP393" i="1"/>
  <c r="BN393" i="1"/>
  <c r="Z393" i="1"/>
  <c r="BP406" i="1"/>
  <c r="BN406" i="1"/>
  <c r="Z406" i="1"/>
  <c r="BP419" i="1"/>
  <c r="BN419" i="1"/>
  <c r="Z419" i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9" i="1"/>
  <c r="BP446" i="1"/>
  <c r="BN446" i="1"/>
  <c r="Z446" i="1"/>
  <c r="Z448" i="1" s="1"/>
  <c r="BP459" i="1"/>
  <c r="BN459" i="1"/>
  <c r="Z459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Y109" i="1"/>
  <c r="Y154" i="1"/>
  <c r="Y172" i="1"/>
  <c r="Y193" i="1"/>
  <c r="Y238" i="1"/>
  <c r="Y267" i="1"/>
  <c r="Y274" i="1"/>
  <c r="Y283" i="1"/>
  <c r="Y288" i="1"/>
  <c r="Y301" i="1"/>
  <c r="Y306" i="1"/>
  <c r="Y365" i="1"/>
  <c r="W602" i="1"/>
  <c r="Y385" i="1"/>
  <c r="Y386" i="1"/>
  <c r="Y391" i="1"/>
  <c r="BP388" i="1"/>
  <c r="BN388" i="1"/>
  <c r="Z388" i="1"/>
  <c r="Z390" i="1" s="1"/>
  <c r="BP394" i="1"/>
  <c r="BN394" i="1"/>
  <c r="Z394" i="1"/>
  <c r="Y396" i="1"/>
  <c r="BP404" i="1"/>
  <c r="BN404" i="1"/>
  <c r="Z404" i="1"/>
  <c r="BP408" i="1"/>
  <c r="BN408" i="1"/>
  <c r="Z408" i="1"/>
  <c r="Y410" i="1"/>
  <c r="Y415" i="1"/>
  <c r="BP412" i="1"/>
  <c r="BN412" i="1"/>
  <c r="Z412" i="1"/>
  <c r="BP421" i="1"/>
  <c r="BN421" i="1"/>
  <c r="Z421" i="1"/>
  <c r="Y423" i="1"/>
  <c r="Y602" i="1"/>
  <c r="Y443" i="1"/>
  <c r="BP431" i="1"/>
  <c r="BN431" i="1"/>
  <c r="Z431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Z454" i="1" s="1"/>
  <c r="Y455" i="1"/>
  <c r="BP458" i="1"/>
  <c r="BN458" i="1"/>
  <c r="Z458" i="1"/>
  <c r="Z461" i="1" s="1"/>
  <c r="Y46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9" i="1"/>
  <c r="Y518" i="1"/>
  <c r="BP506" i="1"/>
  <c r="BN506" i="1"/>
  <c r="Z506" i="1"/>
  <c r="X602" i="1"/>
  <c r="Y409" i="1"/>
  <c r="Z602" i="1"/>
  <c r="Y454" i="1"/>
  <c r="Y468" i="1"/>
  <c r="Y473" i="1"/>
  <c r="AC602" i="1"/>
  <c r="Y497" i="1"/>
  <c r="Z508" i="1"/>
  <c r="BN508" i="1"/>
  <c r="Z509" i="1"/>
  <c r="BN509" i="1"/>
  <c r="Z510" i="1"/>
  <c r="BN510" i="1"/>
  <c r="Z513" i="1"/>
  <c r="BN513" i="1"/>
  <c r="Z514" i="1"/>
  <c r="BN514" i="1"/>
  <c r="Z516" i="1"/>
  <c r="BN516" i="1"/>
  <c r="Z517" i="1"/>
  <c r="BN517" i="1"/>
  <c r="Z521" i="1"/>
  <c r="BN521" i="1"/>
  <c r="BP521" i="1"/>
  <c r="Z523" i="1"/>
  <c r="BN523" i="1"/>
  <c r="Y524" i="1"/>
  <c r="Z527" i="1"/>
  <c r="BN527" i="1"/>
  <c r="BP527" i="1"/>
  <c r="Z528" i="1"/>
  <c r="BN528" i="1"/>
  <c r="Y529" i="1"/>
  <c r="AD602" i="1"/>
  <c r="Y540" i="1"/>
  <c r="BP537" i="1"/>
  <c r="BN537" i="1"/>
  <c r="Z537" i="1"/>
  <c r="BP539" i="1"/>
  <c r="BN539" i="1"/>
  <c r="Z539" i="1"/>
  <c r="Y541" i="1"/>
  <c r="Y558" i="1"/>
  <c r="BP551" i="1"/>
  <c r="BN551" i="1"/>
  <c r="Z551" i="1"/>
  <c r="BP553" i="1"/>
  <c r="BN553" i="1"/>
  <c r="Z553" i="1"/>
  <c r="BP555" i="1"/>
  <c r="BN555" i="1"/>
  <c r="Z555" i="1"/>
  <c r="BP557" i="1"/>
  <c r="BN557" i="1"/>
  <c r="Z557" i="1"/>
  <c r="Y559" i="1"/>
  <c r="Y573" i="1"/>
  <c r="BP569" i="1"/>
  <c r="BN569" i="1"/>
  <c r="Z569" i="1"/>
  <c r="BP571" i="1"/>
  <c r="BN571" i="1"/>
  <c r="Z571" i="1"/>
  <c r="AE602" i="1"/>
  <c r="BP536" i="1"/>
  <c r="BN536" i="1"/>
  <c r="Z536" i="1"/>
  <c r="BP538" i="1"/>
  <c r="BN538" i="1"/>
  <c r="Z538" i="1"/>
  <c r="BP552" i="1"/>
  <c r="BN552" i="1"/>
  <c r="Z552" i="1"/>
  <c r="BP554" i="1"/>
  <c r="BN554" i="1"/>
  <c r="Z554" i="1"/>
  <c r="BP556" i="1"/>
  <c r="BN556" i="1"/>
  <c r="Z556" i="1"/>
  <c r="BP570" i="1"/>
  <c r="BN570" i="1"/>
  <c r="Z570" i="1"/>
  <c r="BP572" i="1"/>
  <c r="BN572" i="1"/>
  <c r="Z572" i="1"/>
  <c r="Y574" i="1"/>
  <c r="Y582" i="1"/>
  <c r="BP581" i="1"/>
  <c r="BN581" i="1"/>
  <c r="Z581" i="1"/>
  <c r="Z582" i="1" s="1"/>
  <c r="Y583" i="1"/>
  <c r="Y579" i="1"/>
  <c r="Z589" i="1"/>
  <c r="Z590" i="1" s="1"/>
  <c r="BN589" i="1"/>
  <c r="BP589" i="1"/>
  <c r="Y590" i="1"/>
  <c r="Z414" i="1" l="1"/>
  <c r="Z409" i="1"/>
  <c r="Z346" i="1"/>
  <c r="Z221" i="1"/>
  <c r="Z165" i="1"/>
  <c r="Z115" i="1"/>
  <c r="Z243" i="1"/>
  <c r="Z496" i="1"/>
  <c r="Z54" i="1"/>
  <c r="Y594" i="1"/>
  <c r="Z26" i="1"/>
  <c r="Z503" i="1"/>
  <c r="Z540" i="1"/>
  <c r="Z370" i="1"/>
  <c r="Z359" i="1"/>
  <c r="Z353" i="1"/>
  <c r="Z340" i="1"/>
  <c r="Z332" i="1"/>
  <c r="Z325" i="1"/>
  <c r="Z310" i="1"/>
  <c r="Z282" i="1"/>
  <c r="Z273" i="1"/>
  <c r="Z261" i="1"/>
  <c r="Z193" i="1"/>
  <c r="Z183" i="1"/>
  <c r="Z138" i="1"/>
  <c r="Z127" i="1"/>
  <c r="Z82" i="1"/>
  <c r="Z76" i="1"/>
  <c r="Z67" i="1"/>
  <c r="Z61" i="1"/>
  <c r="Z39" i="1"/>
  <c r="Y593" i="1"/>
  <c r="Z443" i="1"/>
  <c r="Z385" i="1"/>
  <c r="Y592" i="1"/>
  <c r="Z573" i="1"/>
  <c r="Z558" i="1"/>
  <c r="Z529" i="1"/>
  <c r="Z524" i="1"/>
  <c r="Z518" i="1"/>
  <c r="Z422" i="1"/>
  <c r="Z395" i="1"/>
  <c r="Z238" i="1"/>
  <c r="Z209" i="1"/>
  <c r="Z160" i="1"/>
  <c r="Z109" i="1"/>
  <c r="Z101" i="1"/>
  <c r="Y596" i="1"/>
  <c r="X595" i="1"/>
  <c r="Z89" i="1"/>
  <c r="Y595" i="1" l="1"/>
  <c r="Z597" i="1"/>
</calcChain>
</file>

<file path=xl/sharedStrings.xml><?xml version="1.0" encoding="utf-8"?>
<sst xmlns="http://schemas.openxmlformats.org/spreadsheetml/2006/main" count="2737" uniqueCount="969">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</sst>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85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6" t="s">
        <v>0</v>
      </c>
      <c r="E1" s="696"/>
      <c r="F1" s="696"/>
      <c r="G1" s="12" t="s">
        <v>1</v>
      </c>
      <c r="H1" s="746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8" t="s">
        <v>8</v>
      </c>
      <c r="B5" s="809"/>
      <c r="C5" s="810"/>
      <c r="D5" s="753"/>
      <c r="E5" s="754"/>
      <c r="F5" s="1000" t="s">
        <v>9</v>
      </c>
      <c r="G5" s="810"/>
      <c r="H5" s="753"/>
      <c r="I5" s="937"/>
      <c r="J5" s="937"/>
      <c r="K5" s="937"/>
      <c r="L5" s="937"/>
      <c r="M5" s="754"/>
      <c r="N5" s="58"/>
      <c r="P5" s="24" t="s">
        <v>10</v>
      </c>
      <c r="Q5" s="1019">
        <v>45757</v>
      </c>
      <c r="R5" s="805"/>
      <c r="T5" s="851" t="s">
        <v>11</v>
      </c>
      <c r="U5" s="762"/>
      <c r="V5" s="852" t="s">
        <v>12</v>
      </c>
      <c r="W5" s="805"/>
      <c r="AB5" s="51"/>
      <c r="AC5" s="51"/>
      <c r="AD5" s="51"/>
      <c r="AE5" s="51"/>
    </row>
    <row r="6" spans="1:32" s="659" customFormat="1" ht="24" customHeight="1" x14ac:dyDescent="0.2">
      <c r="A6" s="808" t="s">
        <v>13</v>
      </c>
      <c r="B6" s="809"/>
      <c r="C6" s="810"/>
      <c r="D6" s="939" t="s">
        <v>14</v>
      </c>
      <c r="E6" s="940"/>
      <c r="F6" s="940"/>
      <c r="G6" s="940"/>
      <c r="H6" s="940"/>
      <c r="I6" s="940"/>
      <c r="J6" s="940"/>
      <c r="K6" s="940"/>
      <c r="L6" s="940"/>
      <c r="M6" s="805"/>
      <c r="N6" s="59"/>
      <c r="P6" s="24" t="s">
        <v>15</v>
      </c>
      <c r="Q6" s="1028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6" t="s">
        <v>16</v>
      </c>
      <c r="U6" s="762"/>
      <c r="V6" s="921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19" t="str">
        <f>IFERROR(VLOOKUP(DeliveryAddress,Table,3,0),1)</f>
        <v>1</v>
      </c>
      <c r="E7" s="720"/>
      <c r="F7" s="720"/>
      <c r="G7" s="720"/>
      <c r="H7" s="720"/>
      <c r="I7" s="720"/>
      <c r="J7" s="720"/>
      <c r="K7" s="720"/>
      <c r="L7" s="720"/>
      <c r="M7" s="721"/>
      <c r="N7" s="60"/>
      <c r="P7" s="24"/>
      <c r="Q7" s="42"/>
      <c r="R7" s="42"/>
      <c r="T7" s="680"/>
      <c r="U7" s="762"/>
      <c r="V7" s="922"/>
      <c r="W7" s="923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6"/>
      <c r="C8" s="687"/>
      <c r="D8" s="734" t="s">
        <v>19</v>
      </c>
      <c r="E8" s="735"/>
      <c r="F8" s="735"/>
      <c r="G8" s="735"/>
      <c r="H8" s="735"/>
      <c r="I8" s="735"/>
      <c r="J8" s="735"/>
      <c r="K8" s="735"/>
      <c r="L8" s="735"/>
      <c r="M8" s="736"/>
      <c r="N8" s="61"/>
      <c r="P8" s="24" t="s">
        <v>20</v>
      </c>
      <c r="Q8" s="816">
        <v>0.41666666666666669</v>
      </c>
      <c r="R8" s="721"/>
      <c r="T8" s="680"/>
      <c r="U8" s="762"/>
      <c r="V8" s="922"/>
      <c r="W8" s="923"/>
      <c r="AB8" s="51"/>
      <c r="AC8" s="51"/>
      <c r="AD8" s="51"/>
      <c r="AE8" s="51"/>
    </row>
    <row r="9" spans="1:32" s="659" customFormat="1" ht="39.950000000000003" customHeight="1" x14ac:dyDescent="0.2">
      <c r="A9" s="8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1"/>
      <c r="E9" s="684"/>
      <c r="F9" s="8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21</v>
      </c>
      <c r="Q9" s="798"/>
      <c r="R9" s="799"/>
      <c r="T9" s="680"/>
      <c r="U9" s="762"/>
      <c r="V9" s="924"/>
      <c r="W9" s="925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1"/>
      <c r="E10" s="684"/>
      <c r="F10" s="8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14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22</v>
      </c>
      <c r="Q10" s="857"/>
      <c r="R10" s="858"/>
      <c r="U10" s="24" t="s">
        <v>23</v>
      </c>
      <c r="V10" s="709" t="s">
        <v>24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4"/>
      <c r="R11" s="805"/>
      <c r="U11" s="24" t="s">
        <v>27</v>
      </c>
      <c r="V11" s="964" t="s">
        <v>28</v>
      </c>
      <c r="W11" s="799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29</v>
      </c>
      <c r="B12" s="809"/>
      <c r="C12" s="809"/>
      <c r="D12" s="809"/>
      <c r="E12" s="809"/>
      <c r="F12" s="809"/>
      <c r="G12" s="809"/>
      <c r="H12" s="809"/>
      <c r="I12" s="809"/>
      <c r="J12" s="809"/>
      <c r="K12" s="809"/>
      <c r="L12" s="809"/>
      <c r="M12" s="810"/>
      <c r="N12" s="62"/>
      <c r="P12" s="24" t="s">
        <v>30</v>
      </c>
      <c r="Q12" s="816"/>
      <c r="R12" s="721"/>
      <c r="S12" s="23"/>
      <c r="U12" s="24"/>
      <c r="V12" s="696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31</v>
      </c>
      <c r="B13" s="809"/>
      <c r="C13" s="809"/>
      <c r="D13" s="809"/>
      <c r="E13" s="809"/>
      <c r="F13" s="809"/>
      <c r="G13" s="809"/>
      <c r="H13" s="809"/>
      <c r="I13" s="809"/>
      <c r="J13" s="809"/>
      <c r="K13" s="809"/>
      <c r="L13" s="809"/>
      <c r="M13" s="810"/>
      <c r="N13" s="62"/>
      <c r="O13" s="26"/>
      <c r="P13" s="26" t="s">
        <v>32</v>
      </c>
      <c r="Q13" s="964"/>
      <c r="R13" s="79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33</v>
      </c>
      <c r="B14" s="809"/>
      <c r="C14" s="809"/>
      <c r="D14" s="809"/>
      <c r="E14" s="809"/>
      <c r="F14" s="809"/>
      <c r="G14" s="809"/>
      <c r="H14" s="809"/>
      <c r="I14" s="809"/>
      <c r="J14" s="809"/>
      <c r="K14" s="809"/>
      <c r="L14" s="809"/>
      <c r="M14" s="81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8" t="s">
        <v>34</v>
      </c>
      <c r="B15" s="809"/>
      <c r="C15" s="809"/>
      <c r="D15" s="809"/>
      <c r="E15" s="809"/>
      <c r="F15" s="809"/>
      <c r="G15" s="809"/>
      <c r="H15" s="809"/>
      <c r="I15" s="809"/>
      <c r="J15" s="809"/>
      <c r="K15" s="809"/>
      <c r="L15" s="809"/>
      <c r="M15" s="810"/>
      <c r="N15" s="63"/>
      <c r="P15" s="836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7"/>
      <c r="Q16" s="837"/>
      <c r="R16" s="837"/>
      <c r="S16" s="837"/>
      <c r="T16" s="83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36</v>
      </c>
      <c r="B17" s="705" t="s">
        <v>37</v>
      </c>
      <c r="C17" s="822" t="s">
        <v>38</v>
      </c>
      <c r="D17" s="705" t="s">
        <v>39</v>
      </c>
      <c r="E17" s="778"/>
      <c r="F17" s="705" t="s">
        <v>40</v>
      </c>
      <c r="G17" s="705" t="s">
        <v>41</v>
      </c>
      <c r="H17" s="705" t="s">
        <v>42</v>
      </c>
      <c r="I17" s="705" t="s">
        <v>43</v>
      </c>
      <c r="J17" s="705" t="s">
        <v>44</v>
      </c>
      <c r="K17" s="705" t="s">
        <v>45</v>
      </c>
      <c r="L17" s="705" t="s">
        <v>46</v>
      </c>
      <c r="M17" s="705" t="s">
        <v>47</v>
      </c>
      <c r="N17" s="705" t="s">
        <v>48</v>
      </c>
      <c r="O17" s="705" t="s">
        <v>49</v>
      </c>
      <c r="P17" s="705" t="s">
        <v>50</v>
      </c>
      <c r="Q17" s="777"/>
      <c r="R17" s="777"/>
      <c r="S17" s="777"/>
      <c r="T17" s="778"/>
      <c r="U17" s="1043" t="s">
        <v>51</v>
      </c>
      <c r="V17" s="810"/>
      <c r="W17" s="705" t="s">
        <v>52</v>
      </c>
      <c r="X17" s="705" t="s">
        <v>53</v>
      </c>
      <c r="Y17" s="1041" t="s">
        <v>54</v>
      </c>
      <c r="Z17" s="934" t="s">
        <v>55</v>
      </c>
      <c r="AA17" s="911" t="s">
        <v>56</v>
      </c>
      <c r="AB17" s="911" t="s">
        <v>57</v>
      </c>
      <c r="AC17" s="911" t="s">
        <v>58</v>
      </c>
      <c r="AD17" s="911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706"/>
      <c r="B18" s="706"/>
      <c r="C18" s="706"/>
      <c r="D18" s="779"/>
      <c r="E18" s="781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79"/>
      <c r="Q18" s="780"/>
      <c r="R18" s="780"/>
      <c r="S18" s="780"/>
      <c r="T18" s="781"/>
      <c r="U18" s="67" t="s">
        <v>61</v>
      </c>
      <c r="V18" s="67" t="s">
        <v>62</v>
      </c>
      <c r="W18" s="706"/>
      <c r="X18" s="706"/>
      <c r="Y18" s="1042"/>
      <c r="Z18" s="935"/>
      <c r="AA18" s="912"/>
      <c r="AB18" s="912"/>
      <c r="AC18" s="912"/>
      <c r="AD18" s="997"/>
      <c r="AE18" s="998"/>
      <c r="AF18" s="999"/>
      <c r="AG18" s="66"/>
      <c r="BD18" s="65"/>
    </row>
    <row r="19" spans="1:68" ht="27.75" customHeight="1" x14ac:dyDescent="0.2">
      <c r="A19" s="800" t="s">
        <v>63</v>
      </c>
      <c r="B19" s="801"/>
      <c r="C19" s="801"/>
      <c r="D19" s="801"/>
      <c r="E19" s="801"/>
      <c r="F19" s="801"/>
      <c r="G19" s="801"/>
      <c r="H19" s="801"/>
      <c r="I19" s="801"/>
      <c r="J19" s="801"/>
      <c r="K19" s="801"/>
      <c r="L19" s="801"/>
      <c r="M19" s="801"/>
      <c r="N19" s="801"/>
      <c r="O19" s="801"/>
      <c r="P19" s="801"/>
      <c r="Q19" s="801"/>
      <c r="R19" s="801"/>
      <c r="S19" s="801"/>
      <c r="T19" s="801"/>
      <c r="U19" s="801"/>
      <c r="V19" s="801"/>
      <c r="W19" s="801"/>
      <c r="X19" s="801"/>
      <c r="Y19" s="801"/>
      <c r="Z19" s="801"/>
      <c r="AA19" s="48"/>
      <c r="AB19" s="48"/>
      <c r="AC19" s="48"/>
    </row>
    <row r="20" spans="1:68" ht="16.5" customHeight="1" x14ac:dyDescent="0.25">
      <c r="A20" s="716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customHeight="1" x14ac:dyDescent="0.25">
      <c r="A21" s="682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customHeight="1" x14ac:dyDescent="0.25">
      <c r="A28" s="682" t="s">
        <v>82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2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customHeight="1" x14ac:dyDescent="0.2">
      <c r="A32" s="800" t="s">
        <v>88</v>
      </c>
      <c r="B32" s="801"/>
      <c r="C32" s="801"/>
      <c r="D32" s="801"/>
      <c r="E32" s="801"/>
      <c r="F32" s="801"/>
      <c r="G32" s="801"/>
      <c r="H32" s="801"/>
      <c r="I32" s="801"/>
      <c r="J32" s="801"/>
      <c r="K32" s="801"/>
      <c r="L32" s="801"/>
      <c r="M32" s="801"/>
      <c r="N32" s="801"/>
      <c r="O32" s="801"/>
      <c r="P32" s="801"/>
      <c r="Q32" s="801"/>
      <c r="R32" s="801"/>
      <c r="S32" s="801"/>
      <c r="T32" s="801"/>
      <c r="U32" s="801"/>
      <c r="V32" s="801"/>
      <c r="W32" s="801"/>
      <c r="X32" s="801"/>
      <c r="Y32" s="801"/>
      <c r="Z32" s="801"/>
      <c r="AA32" s="48"/>
      <c r="AB32" s="48"/>
      <c r="AC32" s="48"/>
    </row>
    <row r="33" spans="1:68" ht="16.5" customHeight="1" x14ac:dyDescent="0.25">
      <c r="A33" s="716" t="s">
        <v>89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customHeight="1" x14ac:dyDescent="0.25">
      <c r="A34" s="682" t="s">
        <v>90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0</v>
      </c>
      <c r="Y35" s="666">
        <f>IFERROR(IF(X35="",0,CEILING((X35/$H35),1)*$H35),"")</f>
        <v>0</v>
      </c>
      <c r="Z35" s="36" t="str">
        <f>IFERROR(IF(Y35=0,"",ROUNDUP(Y35/H35,0)*0.01898),"")</f>
        <v/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97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56</v>
      </c>
      <c r="Y36" s="666">
        <f>IFERROR(IF(X36="",0,CEILING((X36/$H36),1)*$H36),"")</f>
        <v>56</v>
      </c>
      <c r="Z36" s="36">
        <f>IFERROR(IF(Y36=0,"",ROUNDUP(Y36/H36,0)*0.00902),"")</f>
        <v>0.12628</v>
      </c>
      <c r="AA36" s="56"/>
      <c r="AB36" s="57"/>
      <c r="AC36" s="81" t="s">
        <v>95</v>
      </c>
      <c r="AG36" s="64"/>
      <c r="AJ36" s="68" t="s">
        <v>101</v>
      </c>
      <c r="AK36" s="68">
        <v>48</v>
      </c>
      <c r="BB36" s="82" t="s">
        <v>1</v>
      </c>
      <c r="BM36" s="64">
        <f>IFERROR(X36*I36/H36,"0")</f>
        <v>58.94</v>
      </c>
      <c r="BN36" s="64">
        <f>IFERROR(Y36*I36/H36,"0")</f>
        <v>58.94</v>
      </c>
      <c r="BO36" s="64">
        <f>IFERROR(1/J36*(X36/H36),"0")</f>
        <v>0.10606060606060606</v>
      </c>
      <c r="BP36" s="64">
        <f>IFERROR(1/J36*(Y36/H36),"0")</f>
        <v>0.10606060606060606</v>
      </c>
    </row>
    <row r="37" spans="1:68" ht="27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2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14</v>
      </c>
      <c r="Y39" s="667">
        <f>IFERROR(Y35/H35,"0")+IFERROR(Y36/H36,"0")+IFERROR(Y37/H37,"0")+IFERROR(Y38/H38,"0")</f>
        <v>14</v>
      </c>
      <c r="Z39" s="667">
        <f>IFERROR(IF(Z35="",0,Z35),"0")+IFERROR(IF(Z36="",0,Z36),"0")+IFERROR(IF(Z37="",0,Z37),"0")+IFERROR(IF(Z38="",0,Z38),"0")</f>
        <v>0.12628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56</v>
      </c>
      <c r="Y40" s="667">
        <f>IFERROR(SUM(Y35:Y38),"0")</f>
        <v>56</v>
      </c>
      <c r="Z40" s="37"/>
      <c r="AA40" s="668"/>
      <c r="AB40" s="668"/>
      <c r="AC40" s="668"/>
    </row>
    <row r="41" spans="1:68" ht="14.25" customHeight="1" x14ac:dyDescent="0.25">
      <c r="A41" s="682" t="s">
        <v>64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customHeight="1" x14ac:dyDescent="0.25">
      <c r="A45" s="716" t="s">
        <v>110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customHeight="1" x14ac:dyDescent="0.25">
      <c r="A46" s="682" t="s">
        <v>90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9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0</v>
      </c>
      <c r="Y48" s="666">
        <f t="shared" si="0"/>
        <v>0</v>
      </c>
      <c r="Z48" s="36" t="str">
        <f>IFERROR(IF(Y48=0,"",ROUNDUP(Y48/H48,0)*0.01898),"")</f>
        <v/>
      </c>
      <c r="AA48" s="56"/>
      <c r="AB48" s="57"/>
      <c r="AC48" s="91" t="s">
        <v>117</v>
      </c>
      <c r="AG48" s="64"/>
      <c r="AJ48" s="68" t="s">
        <v>118</v>
      </c>
      <c r="AK48" s="68">
        <v>691.2</v>
      </c>
      <c r="BB48" s="92" t="s">
        <v>1</v>
      </c>
      <c r="BM48" s="64">
        <f t="shared" si="1"/>
        <v>0</v>
      </c>
      <c r="BN48" s="64">
        <f t="shared" si="2"/>
        <v>0</v>
      </c>
      <c r="BO48" s="64">
        <f t="shared" si="3"/>
        <v>0</v>
      </c>
      <c r="BP48" s="64">
        <f t="shared" si="4"/>
        <v>0</v>
      </c>
    </row>
    <row r="49" spans="1:68" ht="27" customHeight="1" x14ac:dyDescent="0.25">
      <c r="A49" s="54" t="s">
        <v>119</v>
      </c>
      <c r="B49" s="54" t="s">
        <v>120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9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3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customHeight="1" x14ac:dyDescent="0.25">
      <c r="A51" s="54" t="s">
        <v>125</v>
      </c>
      <c r="B51" s="54" t="s">
        <v>126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131</v>
      </c>
      <c r="B53" s="54" t="s">
        <v>132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116</v>
      </c>
      <c r="M53" s="33" t="s">
        <v>94</v>
      </c>
      <c r="N53" s="33"/>
      <c r="O53" s="32">
        <v>50</v>
      </c>
      <c r="P53" s="8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135</v>
      </c>
      <c r="Y53" s="666">
        <f t="shared" si="0"/>
        <v>135</v>
      </c>
      <c r="Z53" s="36">
        <f>IFERROR(IF(Y53=0,"",ROUNDUP(Y53/H53,0)*0.00902),"")</f>
        <v>0.27060000000000001</v>
      </c>
      <c r="AA53" s="56"/>
      <c r="AB53" s="57"/>
      <c r="AC53" s="101" t="s">
        <v>117</v>
      </c>
      <c r="AG53" s="64"/>
      <c r="AJ53" s="68" t="s">
        <v>118</v>
      </c>
      <c r="AK53" s="68">
        <v>594</v>
      </c>
      <c r="BB53" s="102" t="s">
        <v>1</v>
      </c>
      <c r="BM53" s="64">
        <f t="shared" si="1"/>
        <v>141.30000000000001</v>
      </c>
      <c r="BN53" s="64">
        <f t="shared" si="2"/>
        <v>141.30000000000001</v>
      </c>
      <c r="BO53" s="64">
        <f t="shared" si="3"/>
        <v>0.22727272727272729</v>
      </c>
      <c r="BP53" s="64">
        <f t="shared" si="4"/>
        <v>0.22727272727272729</v>
      </c>
    </row>
    <row r="54" spans="1:68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30</v>
      </c>
      <c r="Y54" s="667">
        <f>IFERROR(Y47/H47,"0")+IFERROR(Y48/H48,"0")+IFERROR(Y49/H49,"0")+IFERROR(Y50/H50,"0")+IFERROR(Y51/H51,"0")+IFERROR(Y52/H52,"0")+IFERROR(Y53/H53,"0")</f>
        <v>30</v>
      </c>
      <c r="Z54" s="667">
        <f>IFERROR(IF(Z47="",0,Z47),"0")+IFERROR(IF(Z48="",0,Z48),"0")+IFERROR(IF(Z49="",0,Z49),"0")+IFERROR(IF(Z50="",0,Z50),"0")+IFERROR(IF(Z51="",0,Z51),"0")+IFERROR(IF(Z52="",0,Z52),"0")+IFERROR(IF(Z53="",0,Z53),"0")</f>
        <v>0.27060000000000001</v>
      </c>
      <c r="AA54" s="668"/>
      <c r="AB54" s="668"/>
      <c r="AC54" s="668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135</v>
      </c>
      <c r="Y55" s="667">
        <f>IFERROR(SUM(Y47:Y53),"0")</f>
        <v>135</v>
      </c>
      <c r="Z55" s="37"/>
      <c r="AA55" s="668"/>
      <c r="AB55" s="668"/>
      <c r="AC55" s="668"/>
    </row>
    <row r="56" spans="1:68" ht="14.25" customHeight="1" x14ac:dyDescent="0.25">
      <c r="A56" s="682" t="s">
        <v>133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customHeight="1" x14ac:dyDescent="0.25">
      <c r="A57" s="54" t="s">
        <v>134</v>
      </c>
      <c r="B57" s="54" t="s">
        <v>135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100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70</v>
      </c>
      <c r="Y57" s="666">
        <f>IFERROR(IF(X57="",0,CEILING((X57/$H57),1)*$H57),"")</f>
        <v>75.600000000000009</v>
      </c>
      <c r="Z57" s="36">
        <f>IFERROR(IF(Y57=0,"",ROUNDUP(Y57/H57,0)*0.01898),"")</f>
        <v>0.13286000000000001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72.819444444444429</v>
      </c>
      <c r="BN57" s="64">
        <f>IFERROR(Y57*I57/H57,"0")</f>
        <v>78.64500000000001</v>
      </c>
      <c r="BO57" s="64">
        <f>IFERROR(1/J57*(X57/H57),"0")</f>
        <v>0.10127314814814814</v>
      </c>
      <c r="BP57" s="64">
        <f>IFERROR(1/J57*(Y57/H57),"0")</f>
        <v>0.109375</v>
      </c>
    </row>
    <row r="58" spans="1:68" ht="27" customHeight="1" x14ac:dyDescent="0.25">
      <c r="A58" s="54" t="s">
        <v>137</v>
      </c>
      <c r="B58" s="54" t="s">
        <v>138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customHeight="1" x14ac:dyDescent="0.25">
      <c r="A59" s="54" t="s">
        <v>140</v>
      </c>
      <c r="B59" s="54" t="s">
        <v>141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customHeight="1" x14ac:dyDescent="0.25">
      <c r="A60" s="54" t="s">
        <v>142</v>
      </c>
      <c r="B60" s="54" t="s">
        <v>143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10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 t="s">
        <v>118</v>
      </c>
      <c r="AK60" s="68">
        <v>491.4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6.481481481481481</v>
      </c>
      <c r="Y61" s="667">
        <f>IFERROR(Y57/H57,"0")+IFERROR(Y58/H58,"0")+IFERROR(Y59/H59,"0")+IFERROR(Y60/H60,"0")</f>
        <v>7</v>
      </c>
      <c r="Z61" s="667">
        <f>IFERROR(IF(Z57="",0,Z57),"0")+IFERROR(IF(Z58="",0,Z58),"0")+IFERROR(IF(Z59="",0,Z59),"0")+IFERROR(IF(Z60="",0,Z60),"0")</f>
        <v>0.13286000000000001</v>
      </c>
      <c r="AA61" s="668"/>
      <c r="AB61" s="668"/>
      <c r="AC61" s="668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70</v>
      </c>
      <c r="Y62" s="667">
        <f>IFERROR(SUM(Y57:Y60),"0")</f>
        <v>75.600000000000009</v>
      </c>
      <c r="Z62" s="37"/>
      <c r="AA62" s="668"/>
      <c r="AB62" s="668"/>
      <c r="AC62" s="668"/>
    </row>
    <row r="63" spans="1:68" ht="14.25" customHeight="1" x14ac:dyDescent="0.25">
      <c r="A63" s="682" t="s">
        <v>144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customHeight="1" x14ac:dyDescent="0.25">
      <c r="A64" s="54" t="s">
        <v>145</v>
      </c>
      <c r="B64" s="54" t="s">
        <v>146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9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customHeight="1" x14ac:dyDescent="0.25">
      <c r="A65" s="54" t="s">
        <v>149</v>
      </c>
      <c r="B65" s="54" t="s">
        <v>150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82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customHeight="1" x14ac:dyDescent="0.25">
      <c r="A69" s="682" t="s">
        <v>64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customHeight="1" x14ac:dyDescent="0.25">
      <c r="A70" s="54" t="s">
        <v>155</v>
      </c>
      <c r="B70" s="54" t="s">
        <v>156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customHeight="1" x14ac:dyDescent="0.25">
      <c r="A71" s="54" t="s">
        <v>158</v>
      </c>
      <c r="B71" s="54" t="s">
        <v>159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customHeight="1" x14ac:dyDescent="0.25">
      <c r="A72" s="54" t="s">
        <v>161</v>
      </c>
      <c r="B72" s="54" t="s">
        <v>162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customHeight="1" x14ac:dyDescent="0.25">
      <c r="A73" s="54" t="s">
        <v>164</v>
      </c>
      <c r="B73" s="54" t="s">
        <v>165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customHeight="1" x14ac:dyDescent="0.25">
      <c r="A74" s="54" t="s">
        <v>166</v>
      </c>
      <c r="B74" s="54" t="s">
        <v>167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customHeight="1" x14ac:dyDescent="0.25">
      <c r="A75" s="54" t="s">
        <v>168</v>
      </c>
      <c r="B75" s="54" t="s">
        <v>169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customHeight="1" x14ac:dyDescent="0.25">
      <c r="A78" s="682" t="s">
        <v>170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customHeight="1" x14ac:dyDescent="0.25">
      <c r="A79" s="54" t="s">
        <v>171</v>
      </c>
      <c r="B79" s="54" t="s">
        <v>172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customHeight="1" x14ac:dyDescent="0.25">
      <c r="A80" s="54" t="s">
        <v>171</v>
      </c>
      <c r="B80" s="54" t="s">
        <v>174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3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175</v>
      </c>
      <c r="B81" s="54" t="s">
        <v>176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customHeight="1" x14ac:dyDescent="0.25">
      <c r="A84" s="716" t="s">
        <v>178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customHeight="1" x14ac:dyDescent="0.25">
      <c r="A85" s="682" t="s">
        <v>90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customHeight="1" x14ac:dyDescent="0.25">
      <c r="A86" s="54" t="s">
        <v>179</v>
      </c>
      <c r="B86" s="54" t="s">
        <v>180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4</v>
      </c>
      <c r="Y86" s="666">
        <f>IFERROR(IF(X86="",0,CEILING((X86/$H86),1)*$H86),"")</f>
        <v>10.8</v>
      </c>
      <c r="Z86" s="36">
        <f>IFERROR(IF(Y86=0,"",ROUNDUP(Y86/H86,0)*0.01898),"")</f>
        <v>1.898E-2</v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4.1611111111111105</v>
      </c>
      <c r="BN86" s="64">
        <f>IFERROR(Y86*I86/H86,"0")</f>
        <v>11.234999999999999</v>
      </c>
      <c r="BO86" s="64">
        <f>IFERROR(1/J86*(X86/H86),"0")</f>
        <v>5.7870370370370367E-3</v>
      </c>
      <c r="BP86" s="64">
        <f>IFERROR(1/J86*(Y86/H86),"0")</f>
        <v>1.5625E-2</v>
      </c>
    </row>
    <row r="87" spans="1:68" ht="16.5" customHeight="1" x14ac:dyDescent="0.25">
      <c r="A87" s="54" t="s">
        <v>182</v>
      </c>
      <c r="B87" s="54" t="s">
        <v>183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184</v>
      </c>
      <c r="B88" s="54" t="s">
        <v>185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51</v>
      </c>
      <c r="Y88" s="666">
        <f>IFERROR(IF(X88="",0,CEILING((X88/$H88),1)*$H88),"")</f>
        <v>54</v>
      </c>
      <c r="Z88" s="36">
        <f>IFERROR(IF(Y88=0,"",ROUNDUP(Y88/H88,0)*0.00902),"")</f>
        <v>0.10824</v>
      </c>
      <c r="AA88" s="56"/>
      <c r="AB88" s="57"/>
      <c r="AC88" s="139" t="s">
        <v>186</v>
      </c>
      <c r="AG88" s="64"/>
      <c r="AJ88" s="68" t="s">
        <v>101</v>
      </c>
      <c r="AK88" s="68">
        <v>54</v>
      </c>
      <c r="BB88" s="140" t="s">
        <v>1</v>
      </c>
      <c r="BM88" s="64">
        <f>IFERROR(X88*I88/H88,"0")</f>
        <v>53.38</v>
      </c>
      <c r="BN88" s="64">
        <f>IFERROR(Y88*I88/H88,"0")</f>
        <v>56.52</v>
      </c>
      <c r="BO88" s="64">
        <f>IFERROR(1/J88*(X88/H88),"0")</f>
        <v>8.585858585858587E-2</v>
      </c>
      <c r="BP88" s="64">
        <f>IFERROR(1/J88*(Y88/H88),"0")</f>
        <v>9.0909090909090912E-2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11.703703703703704</v>
      </c>
      <c r="Y89" s="667">
        <f>IFERROR(Y86/H86,"0")+IFERROR(Y87/H87,"0")+IFERROR(Y88/H88,"0")</f>
        <v>13</v>
      </c>
      <c r="Z89" s="667">
        <f>IFERROR(IF(Z86="",0,Z86),"0")+IFERROR(IF(Z87="",0,Z87),"0")+IFERROR(IF(Z88="",0,Z88),"0")</f>
        <v>0.12722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55</v>
      </c>
      <c r="Y90" s="667">
        <f>IFERROR(SUM(Y86:Y88),"0")</f>
        <v>64.8</v>
      </c>
      <c r="Z90" s="37"/>
      <c r="AA90" s="668"/>
      <c r="AB90" s="668"/>
      <c r="AC90" s="668"/>
    </row>
    <row r="91" spans="1:68" ht="14.25" customHeight="1" x14ac:dyDescent="0.25">
      <c r="A91" s="682" t="s">
        <v>64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27" customHeight="1" x14ac:dyDescent="0.25">
      <c r="A92" s="54" t="s">
        <v>187</v>
      </c>
      <c r="B92" s="54" t="s">
        <v>188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72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189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187</v>
      </c>
      <c r="B93" s="54" t="s">
        <v>190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48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0</v>
      </c>
      <c r="Y93" s="666">
        <f t="shared" si="10"/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si="11"/>
        <v>0</v>
      </c>
      <c r="BN93" s="64">
        <f t="shared" si="12"/>
        <v>0</v>
      </c>
      <c r="BO93" s="64">
        <f t="shared" si="13"/>
        <v>0</v>
      </c>
      <c r="BP93" s="64">
        <f t="shared" si="14"/>
        <v>0</v>
      </c>
    </row>
    <row r="94" spans="1:68" ht="16.5" customHeight="1" x14ac:dyDescent="0.25">
      <c r="A94" s="54" t="s">
        <v>187</v>
      </c>
      <c r="B94" s="54" t="s">
        <v>191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129</v>
      </c>
      <c r="N94" s="33"/>
      <c r="O94" s="32">
        <v>45</v>
      </c>
      <c r="P94" s="731" t="s">
        <v>192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193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customHeight="1" x14ac:dyDescent="0.25">
      <c r="A95" s="54" t="s">
        <v>194</v>
      </c>
      <c r="B95" s="54" t="s">
        <v>195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42" t="s">
        <v>196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customHeight="1" x14ac:dyDescent="0.25">
      <c r="A96" s="54" t="s">
        <v>198</v>
      </c>
      <c r="B96" s="54" t="s">
        <v>199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902" t="s">
        <v>200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193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198</v>
      </c>
      <c r="B97" s="54" t="s">
        <v>201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71" t="s">
        <v>202</v>
      </c>
      <c r="Q97" s="672"/>
      <c r="R97" s="672"/>
      <c r="S97" s="672"/>
      <c r="T97" s="673"/>
      <c r="U97" s="34"/>
      <c r="V97" s="34"/>
      <c r="W97" s="35" t="s">
        <v>69</v>
      </c>
      <c r="X97" s="665">
        <v>41</v>
      </c>
      <c r="Y97" s="666">
        <f t="shared" si="10"/>
        <v>43.2</v>
      </c>
      <c r="Z97" s="36">
        <f>IFERROR(IF(Y97=0,"",ROUNDUP(Y97/H97,0)*0.00651),"")</f>
        <v>0.10416</v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1"/>
        <v>44.826666666666661</v>
      </c>
      <c r="BN97" s="64">
        <f t="shared" si="12"/>
        <v>47.231999999999999</v>
      </c>
      <c r="BO97" s="64">
        <f t="shared" si="13"/>
        <v>8.3435083435083435E-2</v>
      </c>
      <c r="BP97" s="64">
        <f t="shared" si="14"/>
        <v>8.7912087912087919E-2</v>
      </c>
    </row>
    <row r="98" spans="1:68" ht="16.5" customHeight="1" x14ac:dyDescent="0.25">
      <c r="A98" s="54" t="s">
        <v>203</v>
      </c>
      <c r="B98" s="54" t="s">
        <v>204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3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customHeight="1" x14ac:dyDescent="0.25">
      <c r="A99" s="54" t="s">
        <v>206</v>
      </c>
      <c r="B99" s="54" t="s">
        <v>207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71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customHeight="1" x14ac:dyDescent="0.25">
      <c r="A100" s="54" t="s">
        <v>206</v>
      </c>
      <c r="B100" s="54" t="s">
        <v>208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729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15.185185185185183</v>
      </c>
      <c r="Y101" s="667">
        <f>IFERROR(Y92/H92,"0")+IFERROR(Y93/H93,"0")+IFERROR(Y94/H94,"0")+IFERROR(Y95/H95,"0")+IFERROR(Y96/H96,"0")+IFERROR(Y97/H97,"0")+IFERROR(Y98/H98,"0")+IFERROR(Y99/H99,"0")+IFERROR(Y100/H100,"0")</f>
        <v>16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0.10416</v>
      </c>
      <c r="AA101" s="668"/>
      <c r="AB101" s="668"/>
      <c r="AC101" s="668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41</v>
      </c>
      <c r="Y102" s="667">
        <f>IFERROR(SUM(Y92:Y100),"0")</f>
        <v>43.2</v>
      </c>
      <c r="Z102" s="37"/>
      <c r="AA102" s="668"/>
      <c r="AB102" s="668"/>
      <c r="AC102" s="668"/>
    </row>
    <row r="103" spans="1:68" ht="16.5" customHeight="1" x14ac:dyDescent="0.25">
      <c r="A103" s="716" t="s">
        <v>209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customHeight="1" x14ac:dyDescent="0.25">
      <c r="A104" s="682" t="s">
        <v>90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customHeight="1" x14ac:dyDescent="0.25">
      <c r="A105" s="54" t="s">
        <v>210</v>
      </c>
      <c r="B105" s="54" t="s">
        <v>211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9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customHeight="1" x14ac:dyDescent="0.25">
      <c r="A106" s="54" t="s">
        <v>213</v>
      </c>
      <c r="B106" s="54" t="s">
        <v>214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 t="s">
        <v>99</v>
      </c>
      <c r="M106" s="33" t="s">
        <v>100</v>
      </c>
      <c r="N106" s="33"/>
      <c r="O106" s="32">
        <v>50</v>
      </c>
      <c r="P106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212</v>
      </c>
      <c r="AG106" s="64"/>
      <c r="AJ106" s="68" t="s">
        <v>101</v>
      </c>
      <c r="AK106" s="68">
        <v>45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215</v>
      </c>
      <c r="B107" s="54" t="s">
        <v>216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9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45</v>
      </c>
      <c r="Y107" s="666">
        <f>IFERROR(IF(X107="",0,CEILING((X107/$H107),1)*$H107),"")</f>
        <v>45</v>
      </c>
      <c r="Z107" s="36">
        <f>IFERROR(IF(Y107=0,"",ROUNDUP(Y107/H107,0)*0.00902),"")</f>
        <v>9.0200000000000002E-2</v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47.099999999999994</v>
      </c>
      <c r="BN107" s="64">
        <f>IFERROR(Y107*I107/H107,"0")</f>
        <v>47.099999999999994</v>
      </c>
      <c r="BO107" s="64">
        <f>IFERROR(1/J107*(X107/H107),"0")</f>
        <v>7.575757575757576E-2</v>
      </c>
      <c r="BP107" s="64">
        <f>IFERROR(1/J107*(Y107/H107),"0")</f>
        <v>7.575757575757576E-2</v>
      </c>
    </row>
    <row r="108" spans="1:68" ht="16.5" customHeight="1" x14ac:dyDescent="0.25">
      <c r="A108" s="54" t="s">
        <v>217</v>
      </c>
      <c r="B108" s="54" t="s">
        <v>218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10</v>
      </c>
      <c r="Y109" s="667">
        <f>IFERROR(Y105/H105,"0")+IFERROR(Y106/H106,"0")+IFERROR(Y107/H107,"0")+IFERROR(Y108/H108,"0")</f>
        <v>10</v>
      </c>
      <c r="Z109" s="667">
        <f>IFERROR(IF(Z105="",0,Z105),"0")+IFERROR(IF(Z106="",0,Z106),"0")+IFERROR(IF(Z107="",0,Z107),"0")+IFERROR(IF(Z108="",0,Z108),"0")</f>
        <v>9.0200000000000002E-2</v>
      </c>
      <c r="AA109" s="668"/>
      <c r="AB109" s="668"/>
      <c r="AC109" s="668"/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45</v>
      </c>
      <c r="Y110" s="667">
        <f>IFERROR(SUM(Y105:Y108),"0")</f>
        <v>45</v>
      </c>
      <c r="Z110" s="37"/>
      <c r="AA110" s="668"/>
      <c r="AB110" s="668"/>
      <c r="AC110" s="668"/>
    </row>
    <row r="111" spans="1:68" ht="14.25" customHeight="1" x14ac:dyDescent="0.25">
      <c r="A111" s="682" t="s">
        <v>133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customHeight="1" x14ac:dyDescent="0.25">
      <c r="A112" s="54" t="s">
        <v>219</v>
      </c>
      <c r="B112" s="54" t="s">
        <v>220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222</v>
      </c>
      <c r="B113" s="54" t="s">
        <v>223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77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224</v>
      </c>
      <c r="B114" s="54" t="s">
        <v>225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customHeight="1" x14ac:dyDescent="0.25">
      <c r="A117" s="682" t="s">
        <v>64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37.5" customHeight="1" x14ac:dyDescent="0.25">
      <c r="A118" s="54" t="s">
        <v>226</v>
      </c>
      <c r="B118" s="54" t="s">
        <v>227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807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228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customHeight="1" x14ac:dyDescent="0.25">
      <c r="A119" s="54" t="s">
        <v>226</v>
      </c>
      <c r="B119" s="54" t="s">
        <v>229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129</v>
      </c>
      <c r="N119" s="33"/>
      <c r="O119" s="32">
        <v>45</v>
      </c>
      <c r="P119" s="818" t="s">
        <v>230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customHeight="1" x14ac:dyDescent="0.25">
      <c r="A120" s="54" t="s">
        <v>226</v>
      </c>
      <c r="B120" s="54" t="s">
        <v>232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48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15"/>
        <v>0</v>
      </c>
      <c r="Z120" s="36" t="str">
        <f>IFERROR(IF(Y120=0,"",ROUNDUP(Y120/H120,0)*0.01898),"")</f>
        <v/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0</v>
      </c>
      <c r="BN120" s="64">
        <f t="shared" si="17"/>
        <v>0</v>
      </c>
      <c r="BO120" s="64">
        <f t="shared" si="18"/>
        <v>0</v>
      </c>
      <c r="BP120" s="64">
        <f t="shared" si="19"/>
        <v>0</v>
      </c>
    </row>
    <row r="121" spans="1:68" ht="37.5" customHeight="1" x14ac:dyDescent="0.25">
      <c r="A121" s="54" t="s">
        <v>234</v>
      </c>
      <c r="B121" s="54" t="s">
        <v>235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1008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228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customHeight="1" x14ac:dyDescent="0.25">
      <c r="A122" s="54" t="s">
        <v>234</v>
      </c>
      <c r="B122" s="54" t="s">
        <v>236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129</v>
      </c>
      <c r="N122" s="33"/>
      <c r="O122" s="32">
        <v>45</v>
      </c>
      <c r="P122" s="846" t="s">
        <v>237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customHeight="1" x14ac:dyDescent="0.25">
      <c r="A123" s="54" t="s">
        <v>238</v>
      </c>
      <c r="B123" s="54" t="s">
        <v>239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116</v>
      </c>
      <c r="M123" s="33" t="s">
        <v>100</v>
      </c>
      <c r="N123" s="33"/>
      <c r="O123" s="32">
        <v>45</v>
      </c>
      <c r="P123" s="101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41</v>
      </c>
      <c r="Y123" s="666">
        <f t="shared" si="15"/>
        <v>43.2</v>
      </c>
      <c r="Z123" s="36">
        <f t="shared" si="20"/>
        <v>0.10416</v>
      </c>
      <c r="AA123" s="56"/>
      <c r="AB123" s="57"/>
      <c r="AC123" s="183" t="s">
        <v>228</v>
      </c>
      <c r="AG123" s="64"/>
      <c r="AJ123" s="68" t="s">
        <v>118</v>
      </c>
      <c r="AK123" s="68">
        <v>491.4</v>
      </c>
      <c r="BB123" s="184" t="s">
        <v>1</v>
      </c>
      <c r="BM123" s="64">
        <f t="shared" si="16"/>
        <v>44.826666666666661</v>
      </c>
      <c r="BN123" s="64">
        <f t="shared" si="17"/>
        <v>47.231999999999999</v>
      </c>
      <c r="BO123" s="64">
        <f t="shared" si="18"/>
        <v>8.3435083435083435E-2</v>
      </c>
      <c r="BP123" s="64">
        <f t="shared" si="19"/>
        <v>8.7912087912087919E-2</v>
      </c>
    </row>
    <row r="124" spans="1:68" ht="27" customHeight="1" x14ac:dyDescent="0.25">
      <c r="A124" s="54" t="s">
        <v>238</v>
      </c>
      <c r="B124" s="54" t="s">
        <v>240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129</v>
      </c>
      <c r="N124" s="33"/>
      <c r="O124" s="32">
        <v>45</v>
      </c>
      <c r="P124" s="1040" t="s">
        <v>241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231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242</v>
      </c>
      <c r="B125" s="54" t="s">
        <v>243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customHeight="1" x14ac:dyDescent="0.25">
      <c r="A126" s="54" t="s">
        <v>245</v>
      </c>
      <c r="B126" s="54" t="s">
        <v>246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5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15.185185185185183</v>
      </c>
      <c r="Y127" s="667">
        <f>IFERROR(Y118/H118,"0")+IFERROR(Y119/H119,"0")+IFERROR(Y120/H120,"0")+IFERROR(Y121/H121,"0")+IFERROR(Y122/H122,"0")+IFERROR(Y123/H123,"0")+IFERROR(Y124/H124,"0")+IFERROR(Y125/H125,"0")+IFERROR(Y126/H126,"0")</f>
        <v>16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0.10416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41</v>
      </c>
      <c r="Y128" s="667">
        <f>IFERROR(SUM(Y118:Y126),"0")</f>
        <v>43.2</v>
      </c>
      <c r="Z128" s="37"/>
      <c r="AA128" s="668"/>
      <c r="AB128" s="668"/>
      <c r="AC128" s="668"/>
    </row>
    <row r="129" spans="1:68" ht="14.25" customHeight="1" x14ac:dyDescent="0.25">
      <c r="A129" s="682" t="s">
        <v>170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customHeight="1" x14ac:dyDescent="0.25">
      <c r="A130" s="54" t="s">
        <v>248</v>
      </c>
      <c r="B130" s="54" t="s">
        <v>249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4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251</v>
      </c>
      <c r="B131" s="54" t="s">
        <v>252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customHeight="1" x14ac:dyDescent="0.25">
      <c r="A134" s="716" t="s">
        <v>254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customHeight="1" x14ac:dyDescent="0.25">
      <c r="A135" s="682" t="s">
        <v>90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customHeight="1" x14ac:dyDescent="0.25">
      <c r="A136" s="54" t="s">
        <v>255</v>
      </c>
      <c r="B136" s="54" t="s">
        <v>256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255</v>
      </c>
      <c r="B137" s="54" t="s">
        <v>258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2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5</v>
      </c>
      <c r="Y137" s="666">
        <f>IFERROR(IF(X137="",0,CEILING((X137/$H137),1)*$H137),"")</f>
        <v>6.4</v>
      </c>
      <c r="Z137" s="36">
        <f>IFERROR(IF(Y137=0,"",ROUNDUP(Y137/H137,0)*0.00651),"")</f>
        <v>1.302E-2</v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5.2812499999999991</v>
      </c>
      <c r="BN137" s="64">
        <f>IFERROR(Y137*I137/H137,"0")</f>
        <v>6.76</v>
      </c>
      <c r="BO137" s="64">
        <f>IFERROR(1/J137*(X137/H137),"0")</f>
        <v>8.5851648351648359E-3</v>
      </c>
      <c r="BP137" s="64">
        <f>IFERROR(1/J137*(Y137/H137),"0")</f>
        <v>1.098901098901099E-2</v>
      </c>
    </row>
    <row r="138" spans="1:68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1.5625</v>
      </c>
      <c r="Y138" s="667">
        <f>IFERROR(Y136/H136,"0")+IFERROR(Y137/H137,"0")</f>
        <v>2</v>
      </c>
      <c r="Z138" s="667">
        <f>IFERROR(IF(Z136="",0,Z136),"0")+IFERROR(IF(Z137="",0,Z137),"0")</f>
        <v>1.302E-2</v>
      </c>
      <c r="AA138" s="668"/>
      <c r="AB138" s="668"/>
      <c r="AC138" s="668"/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5</v>
      </c>
      <c r="Y139" s="667">
        <f>IFERROR(SUM(Y136:Y137),"0")</f>
        <v>6.4</v>
      </c>
      <c r="Z139" s="37"/>
      <c r="AA139" s="668"/>
      <c r="AB139" s="668"/>
      <c r="AC139" s="668"/>
    </row>
    <row r="140" spans="1:68" ht="14.25" customHeight="1" x14ac:dyDescent="0.25">
      <c r="A140" s="682" t="s">
        <v>144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customHeight="1" x14ac:dyDescent="0.25">
      <c r="A141" s="54" t="s">
        <v>259</v>
      </c>
      <c r="B141" s="54" t="s">
        <v>260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0</v>
      </c>
      <c r="Y141" s="66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259</v>
      </c>
      <c r="B142" s="54" t="s">
        <v>262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0</v>
      </c>
      <c r="Y143" s="667">
        <f>IFERROR(Y141/H141,"0")+IFERROR(Y142/H142,"0")</f>
        <v>0</v>
      </c>
      <c r="Z143" s="667">
        <f>IFERROR(IF(Z141="",0,Z141),"0")+IFERROR(IF(Z142="",0,Z142),"0")</f>
        <v>0</v>
      </c>
      <c r="AA143" s="668"/>
      <c r="AB143" s="668"/>
      <c r="AC143" s="668"/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0</v>
      </c>
      <c r="Y144" s="667">
        <f>IFERROR(SUM(Y141:Y142),"0")</f>
        <v>0</v>
      </c>
      <c r="Z144" s="37"/>
      <c r="AA144" s="668"/>
      <c r="AB144" s="668"/>
      <c r="AC144" s="668"/>
    </row>
    <row r="145" spans="1:68" ht="14.25" customHeight="1" x14ac:dyDescent="0.25">
      <c r="A145" s="682" t="s">
        <v>64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customHeight="1" x14ac:dyDescent="0.25">
      <c r="A146" s="54" t="s">
        <v>263</v>
      </c>
      <c r="B146" s="54" t="s">
        <v>264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263</v>
      </c>
      <c r="B147" s="54" t="s">
        <v>265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4</v>
      </c>
      <c r="Y147" s="666">
        <f>IFERROR(IF(X147="",0,CEILING((X147/$H147),1)*$H147),"")</f>
        <v>5.28</v>
      </c>
      <c r="Z147" s="36">
        <f>IFERROR(IF(Y147=0,"",ROUNDUP(Y147/H147,0)*0.00651),"")</f>
        <v>1.302E-2</v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4.4060606060606053</v>
      </c>
      <c r="BN147" s="64">
        <f>IFERROR(Y147*I147/H147,"0")</f>
        <v>5.8159999999999998</v>
      </c>
      <c r="BO147" s="64">
        <f>IFERROR(1/J147*(X147/H147),"0")</f>
        <v>8.3250083250083259E-3</v>
      </c>
      <c r="BP147" s="64">
        <f>IFERROR(1/J147*(Y147/H147),"0")</f>
        <v>1.098901098901099E-2</v>
      </c>
    </row>
    <row r="148" spans="1:68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1.5151515151515151</v>
      </c>
      <c r="Y148" s="667">
        <f>IFERROR(Y146/H146,"0")+IFERROR(Y147/H147,"0")</f>
        <v>2</v>
      </c>
      <c r="Z148" s="667">
        <f>IFERROR(IF(Z146="",0,Z146),"0")+IFERROR(IF(Z147="",0,Z147),"0")</f>
        <v>1.302E-2</v>
      </c>
      <c r="AA148" s="668"/>
      <c r="AB148" s="668"/>
      <c r="AC148" s="668"/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4</v>
      </c>
      <c r="Y149" s="667">
        <f>IFERROR(SUM(Y146:Y147),"0")</f>
        <v>5.28</v>
      </c>
      <c r="Z149" s="37"/>
      <c r="AA149" s="668"/>
      <c r="AB149" s="668"/>
      <c r="AC149" s="668"/>
    </row>
    <row r="150" spans="1:68" ht="16.5" customHeight="1" x14ac:dyDescent="0.25">
      <c r="A150" s="716" t="s">
        <v>88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customHeight="1" x14ac:dyDescent="0.25">
      <c r="A151" s="682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customHeight="1" x14ac:dyDescent="0.25">
      <c r="A152" s="54" t="s">
        <v>266</v>
      </c>
      <c r="B152" s="54" t="s">
        <v>267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customHeight="1" x14ac:dyDescent="0.25">
      <c r="A155" s="682" t="s">
        <v>144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customHeight="1" x14ac:dyDescent="0.25">
      <c r="A156" s="54" t="s">
        <v>269</v>
      </c>
      <c r="B156" s="54" t="s">
        <v>270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272</v>
      </c>
      <c r="B157" s="54" t="s">
        <v>273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97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customHeight="1" x14ac:dyDescent="0.25">
      <c r="A158" s="54" t="s">
        <v>275</v>
      </c>
      <c r="B158" s="54" t="s">
        <v>276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278</v>
      </c>
      <c r="B159" s="54" t="s">
        <v>279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customHeight="1" x14ac:dyDescent="0.25">
      <c r="A162" s="682" t="s">
        <v>64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customHeight="1" x14ac:dyDescent="0.25">
      <c r="A163" s="54" t="s">
        <v>280</v>
      </c>
      <c r="B163" s="54" t="s">
        <v>281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283</v>
      </c>
      <c r="B164" s="54" t="s">
        <v>284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50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customHeight="1" x14ac:dyDescent="0.2">
      <c r="A167" s="800" t="s">
        <v>286</v>
      </c>
      <c r="B167" s="801"/>
      <c r="C167" s="801"/>
      <c r="D167" s="801"/>
      <c r="E167" s="801"/>
      <c r="F167" s="801"/>
      <c r="G167" s="801"/>
      <c r="H167" s="801"/>
      <c r="I167" s="801"/>
      <c r="J167" s="801"/>
      <c r="K167" s="801"/>
      <c r="L167" s="801"/>
      <c r="M167" s="801"/>
      <c r="N167" s="801"/>
      <c r="O167" s="801"/>
      <c r="P167" s="801"/>
      <c r="Q167" s="801"/>
      <c r="R167" s="801"/>
      <c r="S167" s="801"/>
      <c r="T167" s="801"/>
      <c r="U167" s="801"/>
      <c r="V167" s="801"/>
      <c r="W167" s="801"/>
      <c r="X167" s="801"/>
      <c r="Y167" s="801"/>
      <c r="Z167" s="801"/>
      <c r="AA167" s="48"/>
      <c r="AB167" s="48"/>
      <c r="AC167" s="48"/>
    </row>
    <row r="168" spans="1:68" ht="16.5" customHeight="1" x14ac:dyDescent="0.25">
      <c r="A168" s="716" t="s">
        <v>287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customHeight="1" x14ac:dyDescent="0.25">
      <c r="A169" s="682" t="s">
        <v>133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2" t="s">
        <v>144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1"/>
        <v>0</v>
      </c>
      <c r="Z176" s="36" t="str">
        <f>IFERROR(IF(Y176=0,"",ROUNDUP(Y176/H176,0)*0.00902),"")</f>
        <v/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9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18</v>
      </c>
      <c r="Y177" s="666">
        <f t="shared" si="21"/>
        <v>18.900000000000002</v>
      </c>
      <c r="Z177" s="36">
        <f>IFERROR(IF(Y177=0,"",ROUNDUP(Y177/H177,0)*0.00502),"")</f>
        <v>4.5179999999999998E-2</v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19.114285714285714</v>
      </c>
      <c r="BN177" s="64">
        <f t="shared" si="23"/>
        <v>20.07</v>
      </c>
      <c r="BO177" s="64">
        <f t="shared" si="24"/>
        <v>3.6630036630036632E-2</v>
      </c>
      <c r="BP177" s="64">
        <f t="shared" si="25"/>
        <v>3.8461538461538464E-2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97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82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18</v>
      </c>
      <c r="Y180" s="666">
        <f t="shared" si="21"/>
        <v>18.900000000000002</v>
      </c>
      <c r="Z180" s="36">
        <f>IFERROR(IF(Y180=0,"",ROUNDUP(Y180/H180,0)*0.00502),"")</f>
        <v>4.5179999999999998E-2</v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18.857142857142858</v>
      </c>
      <c r="BN180" s="64">
        <f t="shared" si="23"/>
        <v>19.8</v>
      </c>
      <c r="BO180" s="64">
        <f t="shared" si="24"/>
        <v>3.6630036630036632E-2</v>
      </c>
      <c r="BP180" s="64">
        <f t="shared" si="25"/>
        <v>3.8461538461538464E-2</v>
      </c>
    </row>
    <row r="181" spans="1:68" ht="27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8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17.142857142857142</v>
      </c>
      <c r="Y183" s="667">
        <f>IFERROR(Y174/H174,"0")+IFERROR(Y175/H175,"0")+IFERROR(Y176/H176,"0")+IFERROR(Y177/H177,"0")+IFERROR(Y178/H178,"0")+IFERROR(Y179/H179,"0")+IFERROR(Y180/H180,"0")+IFERROR(Y181/H181,"0")+IFERROR(Y182/H182,"0")</f>
        <v>18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9.0359999999999996E-2</v>
      </c>
      <c r="AA183" s="668"/>
      <c r="AB183" s="668"/>
      <c r="AC183" s="668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36</v>
      </c>
      <c r="Y184" s="667">
        <f>IFERROR(SUM(Y174:Y182),"0")</f>
        <v>37.800000000000004</v>
      </c>
      <c r="Z184" s="37"/>
      <c r="AA184" s="668"/>
      <c r="AB184" s="668"/>
      <c r="AC184" s="668"/>
    </row>
    <row r="185" spans="1:68" ht="14.25" customHeight="1" x14ac:dyDescent="0.25">
      <c r="A185" s="682" t="s">
        <v>82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02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6" t="s">
        <v>322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customHeight="1" x14ac:dyDescent="0.25">
      <c r="A190" s="682" t="s">
        <v>90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customHeight="1" x14ac:dyDescent="0.25">
      <c r="A191" s="54" t="s">
        <v>323</v>
      </c>
      <c r="B191" s="54" t="s">
        <v>324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326</v>
      </c>
      <c r="B192" s="54" t="s">
        <v>327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7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2" t="s">
        <v>133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customHeight="1" x14ac:dyDescent="0.25">
      <c r="A196" s="54" t="s">
        <v>328</v>
      </c>
      <c r="B196" s="54" t="s">
        <v>329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331</v>
      </c>
      <c r="B197" s="54" t="s">
        <v>332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2" t="s">
        <v>144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53</v>
      </c>
      <c r="Y201" s="666">
        <f t="shared" ref="Y201:Y208" si="26">IFERROR(IF(X201="",0,CEILING((X201/$H201),1)*$H201),"")</f>
        <v>54</v>
      </c>
      <c r="Z201" s="36">
        <f>IFERROR(IF(Y201=0,"",ROUNDUP(Y201/H201,0)*0.00902),"")</f>
        <v>9.0200000000000002E-2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55.061111111111117</v>
      </c>
      <c r="BN201" s="64">
        <f t="shared" ref="BN201:BN208" si="28">IFERROR(Y201*I201/H201,"0")</f>
        <v>56.099999999999994</v>
      </c>
      <c r="BO201" s="64">
        <f t="shared" ref="BO201:BO208" si="29">IFERROR(1/J201*(X201/H201),"0")</f>
        <v>7.435465768799103E-2</v>
      </c>
      <c r="BP201" s="64">
        <f t="shared" ref="BP201:BP208" si="30">IFERROR(1/J201*(Y201/H201),"0")</f>
        <v>7.575757575757576E-2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62</v>
      </c>
      <c r="Y202" s="666">
        <f t="shared" si="26"/>
        <v>64.800000000000011</v>
      </c>
      <c r="Z202" s="36">
        <f>IFERROR(IF(Y202=0,"",ROUNDUP(Y202/H202,0)*0.00902),"")</f>
        <v>0.10824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64.411111111111111</v>
      </c>
      <c r="BN202" s="64">
        <f t="shared" si="28"/>
        <v>67.320000000000007</v>
      </c>
      <c r="BO202" s="64">
        <f t="shared" si="29"/>
        <v>8.698092031425364E-2</v>
      </c>
      <c r="BP202" s="64">
        <f t="shared" si="30"/>
        <v>9.0909090909090925E-2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26"/>
        <v>0</v>
      </c>
      <c r="Z203" s="36" t="str">
        <f>IFERROR(IF(Y203=0,"",ROUNDUP(Y203/H203,0)*0.00902),"")</f>
        <v/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0</v>
      </c>
      <c r="BN203" s="64">
        <f t="shared" si="28"/>
        <v>0</v>
      </c>
      <c r="BO203" s="64">
        <f t="shared" si="29"/>
        <v>0</v>
      </c>
      <c r="BP203" s="64">
        <f t="shared" si="30"/>
        <v>0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26"/>
        <v>0</v>
      </c>
      <c r="Z204" s="36" t="str">
        <f>IFERROR(IF(Y204=0,"",ROUNDUP(Y204/H204,0)*0.00902),"")</f>
        <v/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0</v>
      </c>
      <c r="BN204" s="64">
        <f t="shared" si="28"/>
        <v>0</v>
      </c>
      <c r="BO204" s="64">
        <f t="shared" si="29"/>
        <v>0</v>
      </c>
      <c r="BP204" s="64">
        <f t="shared" si="30"/>
        <v>0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21.296296296296298</v>
      </c>
      <c r="Y209" s="667">
        <f>IFERROR(Y201/H201,"0")+IFERROR(Y202/H202,"0")+IFERROR(Y203/H203,"0")+IFERROR(Y204/H204,"0")+IFERROR(Y205/H205,"0")+IFERROR(Y206/H206,"0")+IFERROR(Y207/H207,"0")+IFERROR(Y208/H208,"0")</f>
        <v>22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0.19844000000000001</v>
      </c>
      <c r="AA209" s="668"/>
      <c r="AB209" s="668"/>
      <c r="AC209" s="668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115</v>
      </c>
      <c r="Y210" s="667">
        <f>IFERROR(SUM(Y201:Y208),"0")</f>
        <v>118.80000000000001</v>
      </c>
      <c r="Z210" s="37"/>
      <c r="AA210" s="668"/>
      <c r="AB210" s="668"/>
      <c r="AC210" s="668"/>
    </row>
    <row r="211" spans="1:68" ht="14.25" customHeight="1" x14ac:dyDescent="0.25">
      <c r="A211" s="682" t="s">
        <v>64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customHeight="1" x14ac:dyDescent="0.25">
      <c r="A212" s="54" t="s">
        <v>353</v>
      </c>
      <c r="B212" s="54" t="s">
        <v>354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1"/>
        <v>0</v>
      </c>
      <c r="Z215" s="36" t="str">
        <f t="shared" ref="Z215:Z220" si="36">IFERROR(IF(Y215=0,"",ROUNDUP(Y215/H215,0)*0.00651),"")</f>
        <v/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0</v>
      </c>
      <c r="BN215" s="64">
        <f t="shared" si="33"/>
        <v>0</v>
      </c>
      <c r="BO215" s="64">
        <f t="shared" si="34"/>
        <v>0</v>
      </c>
      <c r="BP215" s="64">
        <f t="shared" si="35"/>
        <v>0</v>
      </c>
    </row>
    <row r="216" spans="1:68" ht="27" customHeight="1" x14ac:dyDescent="0.25">
      <c r="A216" s="54" t="s">
        <v>364</v>
      </c>
      <c r="B216" s="54" t="s">
        <v>365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50</v>
      </c>
      <c r="Y217" s="666">
        <f t="shared" si="31"/>
        <v>50.4</v>
      </c>
      <c r="Z217" s="36">
        <f t="shared" si="36"/>
        <v>0.13671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55.25</v>
      </c>
      <c r="BN217" s="64">
        <f t="shared" si="33"/>
        <v>55.692</v>
      </c>
      <c r="BO217" s="64">
        <f t="shared" si="34"/>
        <v>0.11446886446886449</v>
      </c>
      <c r="BP217" s="64">
        <f t="shared" si="35"/>
        <v>0.11538461538461539</v>
      </c>
    </row>
    <row r="218" spans="1:68" ht="27" customHeight="1" x14ac:dyDescent="0.25">
      <c r="A218" s="54" t="s">
        <v>369</v>
      </c>
      <c r="B218" s="54" t="s">
        <v>370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59</v>
      </c>
      <c r="Y218" s="666">
        <f t="shared" si="31"/>
        <v>60</v>
      </c>
      <c r="Z218" s="36">
        <f t="shared" si="36"/>
        <v>0.16275000000000001</v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65.195000000000007</v>
      </c>
      <c r="BN218" s="64">
        <f t="shared" si="33"/>
        <v>66.300000000000011</v>
      </c>
      <c r="BO218" s="64">
        <f t="shared" si="34"/>
        <v>0.13507326007326009</v>
      </c>
      <c r="BP218" s="64">
        <f t="shared" si="35"/>
        <v>0.13736263736263737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45.416666666666671</v>
      </c>
      <c r="Y221" s="667">
        <f>IFERROR(Y212/H212,"0")+IFERROR(Y213/H213,"0")+IFERROR(Y214/H214,"0")+IFERROR(Y215/H215,"0")+IFERROR(Y216/H216,"0")+IFERROR(Y217/H217,"0")+IFERROR(Y218/H218,"0")+IFERROR(Y219/H219,"0")+IFERROR(Y220/H220,"0")</f>
        <v>46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0.29946</v>
      </c>
      <c r="AA221" s="668"/>
      <c r="AB221" s="668"/>
      <c r="AC221" s="668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109</v>
      </c>
      <c r="Y222" s="667">
        <f>IFERROR(SUM(Y212:Y220),"0")</f>
        <v>110.4</v>
      </c>
      <c r="Z222" s="37"/>
      <c r="AA222" s="668"/>
      <c r="AB222" s="668"/>
      <c r="AC222" s="668"/>
    </row>
    <row r="223" spans="1:68" ht="14.25" customHeight="1" x14ac:dyDescent="0.25">
      <c r="A223" s="682" t="s">
        <v>170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6" t="s">
        <v>383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customHeight="1" x14ac:dyDescent="0.25">
      <c r="A229" s="682" t="s">
        <v>90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customHeight="1" x14ac:dyDescent="0.25">
      <c r="A230" s="54" t="s">
        <v>384</v>
      </c>
      <c r="B230" s="54" t="s">
        <v>385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76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customHeight="1" x14ac:dyDescent="0.25">
      <c r="A231" s="54" t="s">
        <v>384</v>
      </c>
      <c r="B231" s="54" t="s">
        <v>388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390</v>
      </c>
      <c r="B232" s="54" t="s">
        <v>391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393</v>
      </c>
      <c r="B233" s="54" t="s">
        <v>394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88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71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customHeight="1" x14ac:dyDescent="0.25">
      <c r="A236" s="54" t="s">
        <v>399</v>
      </c>
      <c r="B236" s="54" t="s">
        <v>400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2" t="s">
        <v>133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customHeight="1" x14ac:dyDescent="0.25">
      <c r="A241" s="54" t="s">
        <v>403</v>
      </c>
      <c r="B241" s="54" t="s">
        <v>404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968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403</v>
      </c>
      <c r="B242" s="54" t="s">
        <v>406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751" t="s">
        <v>407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2" t="s">
        <v>408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customHeight="1" x14ac:dyDescent="0.25">
      <c r="A246" s="54" t="s">
        <v>409</v>
      </c>
      <c r="B246" s="54" t="s">
        <v>410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19" t="s">
        <v>411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2" t="s">
        <v>413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customHeight="1" x14ac:dyDescent="0.25">
      <c r="A250" s="54" t="s">
        <v>414</v>
      </c>
      <c r="B250" s="54" t="s">
        <v>415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2" t="s">
        <v>416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6" t="s">
        <v>418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customHeight="1" x14ac:dyDescent="0.25">
      <c r="A254" s="682" t="s">
        <v>90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customHeight="1" x14ac:dyDescent="0.25">
      <c r="A255" s="54" t="s">
        <v>419</v>
      </c>
      <c r="B255" s="54" t="s">
        <v>420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920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9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2"/>
        <v>0</v>
      </c>
      <c r="Z257" s="36" t="str">
        <f>IFERROR(IF(Y257=0,"",ROUNDUP(Y257/H257,0)*0.01898),"")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0</v>
      </c>
      <c r="BN257" s="64">
        <f t="shared" si="44"/>
        <v>0</v>
      </c>
      <c r="BO257" s="64">
        <f t="shared" si="45"/>
        <v>0</v>
      </c>
      <c r="BP257" s="64">
        <f t="shared" si="46"/>
        <v>0</v>
      </c>
    </row>
    <row r="258" spans="1:68" ht="37.5" customHeight="1" x14ac:dyDescent="0.25">
      <c r="A258" s="54" t="s">
        <v>427</v>
      </c>
      <c r="B258" s="54" t="s">
        <v>428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8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customHeight="1" x14ac:dyDescent="0.25">
      <c r="A259" s="54" t="s">
        <v>430</v>
      </c>
      <c r="B259" s="54" t="s">
        <v>431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customHeight="1" x14ac:dyDescent="0.25">
      <c r="A260" s="54" t="s">
        <v>433</v>
      </c>
      <c r="B260" s="54" t="s">
        <v>434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6" t="s">
        <v>436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customHeight="1" x14ac:dyDescent="0.25">
      <c r="A264" s="682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customHeight="1" x14ac:dyDescent="0.25">
      <c r="A265" s="54" t="s">
        <v>437</v>
      </c>
      <c r="B265" s="54" t="s">
        <v>438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3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6" t="s">
        <v>440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customHeight="1" x14ac:dyDescent="0.25">
      <c r="A269" s="682" t="s">
        <v>90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2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6" t="s">
        <v>449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customHeight="1" x14ac:dyDescent="0.25">
      <c r="A276" s="682" t="s">
        <v>64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customHeight="1" x14ac:dyDescent="0.25">
      <c r="A277" s="54" t="s">
        <v>450</v>
      </c>
      <c r="B277" s="54" t="s">
        <v>451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84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453</v>
      </c>
      <c r="B278" s="54" t="s">
        <v>454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91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4</v>
      </c>
      <c r="Y279" s="666">
        <f>IFERROR(IF(X279="",0,CEILING((X279/$H279),1)*$H279),"")</f>
        <v>4.8</v>
      </c>
      <c r="Z279" s="36">
        <f>IFERROR(IF(Y279=0,"",ROUNDUP(Y279/H279,0)*0.00651),"")</f>
        <v>1.302E-2</v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4.4200000000000008</v>
      </c>
      <c r="BN279" s="64">
        <f>IFERROR(Y279*I279/H279,"0")</f>
        <v>5.3040000000000003</v>
      </c>
      <c r="BO279" s="64">
        <f>IFERROR(1/J279*(X279/H279),"0")</f>
        <v>9.1575091575091579E-3</v>
      </c>
      <c r="BP279" s="64">
        <f>IFERROR(1/J279*(Y279/H279),"0")</f>
        <v>1.098901098901099E-2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81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8</v>
      </c>
      <c r="Y280" s="666">
        <f>IFERROR(IF(X280="",0,CEILING((X280/$H280),1)*$H280),"")</f>
        <v>9.6</v>
      </c>
      <c r="Z280" s="36">
        <f>IFERROR(IF(Y280=0,"",ROUNDUP(Y280/H280,0)*0.00651),"")</f>
        <v>2.6040000000000001E-2</v>
      </c>
      <c r="AA280" s="56"/>
      <c r="AB280" s="57"/>
      <c r="AC280" s="339" t="s">
        <v>460</v>
      </c>
      <c r="AG280" s="64"/>
      <c r="AJ280" s="68" t="s">
        <v>101</v>
      </c>
      <c r="AK280" s="68">
        <v>33.6</v>
      </c>
      <c r="BB280" s="340" t="s">
        <v>1</v>
      </c>
      <c r="BM280" s="64">
        <f>IFERROR(X280*I280/H280,"0")</f>
        <v>8.6000000000000014</v>
      </c>
      <c r="BN280" s="64">
        <f>IFERROR(Y280*I280/H280,"0")</f>
        <v>10.32</v>
      </c>
      <c r="BO280" s="64">
        <f>IFERROR(1/J280*(X280/H280),"0")</f>
        <v>1.8315018315018316E-2</v>
      </c>
      <c r="BP280" s="64">
        <f>IFERROR(1/J280*(Y280/H280),"0")</f>
        <v>2.197802197802198E-2</v>
      </c>
    </row>
    <row r="281" spans="1:68" ht="27" customHeight="1" x14ac:dyDescent="0.25">
      <c r="A281" s="54" t="s">
        <v>461</v>
      </c>
      <c r="B281" s="54" t="s">
        <v>462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5</v>
      </c>
      <c r="Y282" s="667">
        <f>IFERROR(Y277/H277,"0")+IFERROR(Y278/H278,"0")+IFERROR(Y279/H279,"0")+IFERROR(Y280/H280,"0")+IFERROR(Y281/H281,"0")</f>
        <v>6</v>
      </c>
      <c r="Z282" s="667">
        <f>IFERROR(IF(Z277="",0,Z277),"0")+IFERROR(IF(Z278="",0,Z278),"0")+IFERROR(IF(Z279="",0,Z279),"0")+IFERROR(IF(Z280="",0,Z280),"0")+IFERROR(IF(Z281="",0,Z281),"0")</f>
        <v>3.9059999999999997E-2</v>
      </c>
      <c r="AA282" s="668"/>
      <c r="AB282" s="668"/>
      <c r="AC282" s="668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12</v>
      </c>
      <c r="Y283" s="667">
        <f>IFERROR(SUM(Y277:Y281),"0")</f>
        <v>14.399999999999999</v>
      </c>
      <c r="Z283" s="37"/>
      <c r="AA283" s="668"/>
      <c r="AB283" s="668"/>
      <c r="AC283" s="668"/>
    </row>
    <row r="284" spans="1:68" ht="16.5" customHeight="1" x14ac:dyDescent="0.25">
      <c r="A284" s="716" t="s">
        <v>463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customHeight="1" x14ac:dyDescent="0.25">
      <c r="A285" s="682" t="s">
        <v>90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customHeight="1" x14ac:dyDescent="0.25">
      <c r="A286" s="54" t="s">
        <v>464</v>
      </c>
      <c r="B286" s="54" t="s">
        <v>465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8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2" t="s">
        <v>144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customHeight="1" x14ac:dyDescent="0.25">
      <c r="A290" s="54" t="s">
        <v>467</v>
      </c>
      <c r="B290" s="54" t="s">
        <v>468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70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2" t="s">
        <v>64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customHeight="1" x14ac:dyDescent="0.25">
      <c r="A294" s="54" t="s">
        <v>470</v>
      </c>
      <c r="B294" s="54" t="s">
        <v>471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6" t="s">
        <v>473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customHeight="1" x14ac:dyDescent="0.25">
      <c r="A298" s="682" t="s">
        <v>64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customHeight="1" x14ac:dyDescent="0.25">
      <c r="A299" s="54" t="s">
        <v>474</v>
      </c>
      <c r="B299" s="54" t="s">
        <v>475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5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6" t="s">
        <v>477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customHeight="1" x14ac:dyDescent="0.25">
      <c r="A303" s="682" t="s">
        <v>90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customHeight="1" x14ac:dyDescent="0.25">
      <c r="A304" s="54" t="s">
        <v>478</v>
      </c>
      <c r="B304" s="54" t="s">
        <v>479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8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2" t="s">
        <v>144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483</v>
      </c>
      <c r="B309" s="54" t="s">
        <v>484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6" t="s">
        <v>485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customHeight="1" x14ac:dyDescent="0.25">
      <c r="A313" s="682" t="s">
        <v>90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customHeight="1" x14ac:dyDescent="0.25">
      <c r="A314" s="54" t="s">
        <v>486</v>
      </c>
      <c r="B314" s="54" t="s">
        <v>487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6" t="s">
        <v>490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customHeight="1" x14ac:dyDescent="0.25">
      <c r="A318" s="682" t="s">
        <v>90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47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0</v>
      </c>
      <c r="BN319" s="64">
        <f t="shared" ref="BN319:BN324" si="49">IFERROR(Y319*I319/H319,"0")</f>
        <v>0</v>
      </c>
      <c r="BO319" s="64">
        <f t="shared" ref="BO319:BO324" si="50">IFERROR(1/J319*(X319/H319),"0")</f>
        <v>0</v>
      </c>
      <c r="BP319" s="64">
        <f t="shared" ref="BP319:BP324" si="51">IFERROR(1/J319*(Y319/H319),"0")</f>
        <v>0</v>
      </c>
    </row>
    <row r="320" spans="1:68" ht="27" customHeight="1" x14ac:dyDescent="0.25">
      <c r="A320" s="54" t="s">
        <v>494</v>
      </c>
      <c r="B320" s="54" t="s">
        <v>495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930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 t="s">
        <v>116</v>
      </c>
      <c r="M321" s="33" t="s">
        <v>100</v>
      </c>
      <c r="N321" s="33"/>
      <c r="O321" s="32">
        <v>55</v>
      </c>
      <c r="P321" s="9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47"/>
        <v>0</v>
      </c>
      <c r="Z321" s="36" t="str">
        <f>IFERROR(IF(Y321=0,"",ROUNDUP(Y321/H321,0)*0.01898),"")</f>
        <v/>
      </c>
      <c r="AA321" s="56"/>
      <c r="AB321" s="57"/>
      <c r="AC321" s="363" t="s">
        <v>498</v>
      </c>
      <c r="AG321" s="64"/>
      <c r="AJ321" s="68" t="s">
        <v>118</v>
      </c>
      <c r="AK321" s="68">
        <v>691.2</v>
      </c>
      <c r="BB321" s="364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82" t="s">
        <v>144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140</v>
      </c>
      <c r="Y329" s="666">
        <f>IFERROR(IF(X329="",0,CEILING((X329/$H329),1)*$H329),"")</f>
        <v>142.80000000000001</v>
      </c>
      <c r="Z329" s="36">
        <f>IFERROR(IF(Y329=0,"",ROUNDUP(Y329/H329,0)*0.00902),"")</f>
        <v>0.30668000000000001</v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148.99999999999997</v>
      </c>
      <c r="BN329" s="64">
        <f>IFERROR(Y329*I329/H329,"0")</f>
        <v>151.97999999999999</v>
      </c>
      <c r="BO329" s="64">
        <f>IFERROR(1/J329*(X329/H329),"0")</f>
        <v>0.25252525252525249</v>
      </c>
      <c r="BP329" s="64">
        <f>IFERROR(1/J329*(Y329/H329),"0")</f>
        <v>0.25757575757575757</v>
      </c>
    </row>
    <row r="330" spans="1:68" ht="27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33.333333333333329</v>
      </c>
      <c r="Y332" s="667">
        <f>IFERROR(Y328/H328,"0")+IFERROR(Y329/H329,"0")+IFERROR(Y330/H330,"0")+IFERROR(Y331/H331,"0")</f>
        <v>34</v>
      </c>
      <c r="Z332" s="667">
        <f>IFERROR(IF(Z328="",0,Z328),"0")+IFERROR(IF(Z329="",0,Z329),"0")+IFERROR(IF(Z330="",0,Z330),"0")+IFERROR(IF(Z331="",0,Z331),"0")</f>
        <v>0.30668000000000001</v>
      </c>
      <c r="AA332" s="668"/>
      <c r="AB332" s="668"/>
      <c r="AC332" s="668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140</v>
      </c>
      <c r="Y333" s="667">
        <f>IFERROR(SUM(Y328:Y331),"0")</f>
        <v>142.80000000000001</v>
      </c>
      <c r="Z333" s="37"/>
      <c r="AA333" s="668"/>
      <c r="AB333" s="668"/>
      <c r="AC333" s="668"/>
    </row>
    <row r="334" spans="1:68" ht="14.25" customHeight="1" x14ac:dyDescent="0.25">
      <c r="A334" s="682" t="s">
        <v>64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250</v>
      </c>
      <c r="Y335" s="666">
        <f>IFERROR(IF(X335="",0,CEILING((X335/$H335),1)*$H335),"")</f>
        <v>257.39999999999998</v>
      </c>
      <c r="Z335" s="36">
        <f>IFERROR(IF(Y335=0,"",ROUNDUP(Y335/H335,0)*0.01898),"")</f>
        <v>0.62634000000000001</v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266.44230769230768</v>
      </c>
      <c r="BN335" s="64">
        <f>IFERROR(Y335*I335/H335,"0")</f>
        <v>274.32900000000001</v>
      </c>
      <c r="BO335" s="64">
        <f>IFERROR(1/J335*(X335/H335),"0")</f>
        <v>0.50080128205128205</v>
      </c>
      <c r="BP335" s="64">
        <f>IFERROR(1/J335*(Y335/H335),"0")</f>
        <v>0.515625</v>
      </c>
    </row>
    <row r="336" spans="1:68" ht="27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6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25</v>
      </c>
      <c r="Y338" s="666">
        <f>IFERROR(IF(X338="",0,CEILING((X338/$H338),1)*$H338),"")</f>
        <v>27</v>
      </c>
      <c r="Z338" s="36">
        <f>IFERROR(IF(Y338=0,"",ROUNDUP(Y338/H338,0)*0.00651),"")</f>
        <v>5.8590000000000003E-2</v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27.05</v>
      </c>
      <c r="BN338" s="64">
        <f>IFERROR(Y338*I338/H338,"0")</f>
        <v>29.213999999999999</v>
      </c>
      <c r="BO338" s="64">
        <f>IFERROR(1/J338*(X338/H338),"0")</f>
        <v>4.5787545787545791E-2</v>
      </c>
      <c r="BP338" s="64">
        <f>IFERROR(1/J338*(Y338/H338),"0")</f>
        <v>4.9450549450549455E-2</v>
      </c>
    </row>
    <row r="339" spans="1:68" ht="37.5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40.384615384615387</v>
      </c>
      <c r="Y340" s="667">
        <f>IFERROR(Y335/H335,"0")+IFERROR(Y336/H336,"0")+IFERROR(Y337/H337,"0")+IFERROR(Y338/H338,"0")+IFERROR(Y339/H339,"0")</f>
        <v>42</v>
      </c>
      <c r="Z340" s="667">
        <f>IFERROR(IF(Z335="",0,Z335),"0")+IFERROR(IF(Z336="",0,Z336),"0")+IFERROR(IF(Z337="",0,Z337),"0")+IFERROR(IF(Z338="",0,Z338),"0")+IFERROR(IF(Z339="",0,Z339),"0")</f>
        <v>0.68493000000000004</v>
      </c>
      <c r="AA340" s="668"/>
      <c r="AB340" s="668"/>
      <c r="AC340" s="668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275</v>
      </c>
      <c r="Y341" s="667">
        <f>IFERROR(SUM(Y335:Y339),"0")</f>
        <v>284.39999999999998</v>
      </c>
      <c r="Z341" s="37"/>
      <c r="AA341" s="668"/>
      <c r="AB341" s="668"/>
      <c r="AC341" s="668"/>
    </row>
    <row r="342" spans="1:68" ht="14.25" customHeight="1" x14ac:dyDescent="0.25">
      <c r="A342" s="682" t="s">
        <v>170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10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20</v>
      </c>
      <c r="Y344" s="666">
        <f>IFERROR(IF(X344="",0,CEILING((X344/$H344),1)*$H344),"")</f>
        <v>23.4</v>
      </c>
      <c r="Z344" s="36">
        <f>IFERROR(IF(Y344=0,"",ROUNDUP(Y344/H344,0)*0.01898),"")</f>
        <v>5.6940000000000004E-2</v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21.330769230769235</v>
      </c>
      <c r="BN344" s="64">
        <f>IFERROR(Y344*I344/H344,"0")</f>
        <v>24.957000000000001</v>
      </c>
      <c r="BO344" s="64">
        <f>IFERROR(1/J344*(X344/H344),"0")</f>
        <v>4.0064102564102567E-2</v>
      </c>
      <c r="BP344" s="64">
        <f>IFERROR(1/J344*(Y344/H344),"0")</f>
        <v>4.6875E-2</v>
      </c>
    </row>
    <row r="345" spans="1:68" ht="16.5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92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2.5641025641025643</v>
      </c>
      <c r="Y346" s="667">
        <f>IFERROR(Y343/H343,"0")+IFERROR(Y344/H344,"0")+IFERROR(Y345/H345,"0")</f>
        <v>3</v>
      </c>
      <c r="Z346" s="667">
        <f>IFERROR(IF(Z343="",0,Z343),"0")+IFERROR(IF(Z344="",0,Z344),"0")+IFERROR(IF(Z345="",0,Z345),"0")</f>
        <v>5.6940000000000004E-2</v>
      </c>
      <c r="AA346" s="668"/>
      <c r="AB346" s="668"/>
      <c r="AC346" s="668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20</v>
      </c>
      <c r="Y347" s="667">
        <f>IFERROR(SUM(Y343:Y345),"0")</f>
        <v>23.4</v>
      </c>
      <c r="Z347" s="37"/>
      <c r="AA347" s="668"/>
      <c r="AB347" s="668"/>
      <c r="AC347" s="668"/>
    </row>
    <row r="348" spans="1:68" ht="14.25" customHeight="1" x14ac:dyDescent="0.25">
      <c r="A348" s="682" t="s">
        <v>82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93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2</v>
      </c>
      <c r="Y352" s="666">
        <f>IFERROR(IF(X352="",0,CEILING((X352/$H352),1)*$H352),"")</f>
        <v>2.5499999999999998</v>
      </c>
      <c r="Z352" s="36">
        <f>IFERROR(IF(Y352=0,"",ROUNDUP(Y352/H352,0)*0.00651),"")</f>
        <v>6.5100000000000002E-3</v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2.2588235294117647</v>
      </c>
      <c r="BN352" s="64">
        <f>IFERROR(Y352*I352/H352,"0")</f>
        <v>2.88</v>
      </c>
      <c r="BO352" s="64">
        <f>IFERROR(1/J352*(X352/H352),"0")</f>
        <v>4.3094160741219576E-3</v>
      </c>
      <c r="BP352" s="64">
        <f>IFERROR(1/J352*(Y352/H352),"0")</f>
        <v>5.4945054945054949E-3</v>
      </c>
    </row>
    <row r="353" spans="1:68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0.78431372549019618</v>
      </c>
      <c r="Y353" s="667">
        <f>IFERROR(Y349/H349,"0")+IFERROR(Y350/H350,"0")+IFERROR(Y351/H351,"0")+IFERROR(Y352/H352,"0")</f>
        <v>1</v>
      </c>
      <c r="Z353" s="667">
        <f>IFERROR(IF(Z349="",0,Z349),"0")+IFERROR(IF(Z350="",0,Z350),"0")+IFERROR(IF(Z351="",0,Z351),"0")+IFERROR(IF(Z352="",0,Z352),"0")</f>
        <v>6.5100000000000002E-3</v>
      </c>
      <c r="AA353" s="668"/>
      <c r="AB353" s="668"/>
      <c r="AC353" s="668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2</v>
      </c>
      <c r="Y354" s="667">
        <f>IFERROR(SUM(Y349:Y352),"0")</f>
        <v>2.5499999999999998</v>
      </c>
      <c r="Z354" s="37"/>
      <c r="AA354" s="668"/>
      <c r="AB354" s="668"/>
      <c r="AC354" s="668"/>
    </row>
    <row r="355" spans="1:68" ht="14.25" customHeight="1" x14ac:dyDescent="0.25">
      <c r="A355" s="682" t="s">
        <v>555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10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10</v>
      </c>
      <c r="Y358" s="666">
        <f>IFERROR(IF(X358="",0,CEILING((X358/$H358),1)*$H358),"")</f>
        <v>10</v>
      </c>
      <c r="Z358" s="36">
        <f>IFERROR(IF(Y358=0,"",ROUNDUP(Y358/H358,0)*0.00474),"")</f>
        <v>2.3700000000000002E-2</v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11.200000000000001</v>
      </c>
      <c r="BN358" s="64">
        <f>IFERROR(Y358*I358/H358,"0")</f>
        <v>11.200000000000001</v>
      </c>
      <c r="BO358" s="64">
        <f>IFERROR(1/J358*(X358/H358),"0")</f>
        <v>2.1008403361344536E-2</v>
      </c>
      <c r="BP358" s="64">
        <f>IFERROR(1/J358*(Y358/H358),"0")</f>
        <v>2.1008403361344536E-2</v>
      </c>
    </row>
    <row r="359" spans="1:68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5</v>
      </c>
      <c r="Y359" s="667">
        <f>IFERROR(Y356/H356,"0")+IFERROR(Y357/H357,"0")+IFERROR(Y358/H358,"0")</f>
        <v>5</v>
      </c>
      <c r="Z359" s="667">
        <f>IFERROR(IF(Z356="",0,Z356),"0")+IFERROR(IF(Z357="",0,Z357),"0")+IFERROR(IF(Z358="",0,Z358),"0")</f>
        <v>2.3700000000000002E-2</v>
      </c>
      <c r="AA359" s="668"/>
      <c r="AB359" s="668"/>
      <c r="AC359" s="668"/>
    </row>
    <row r="360" spans="1:68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10</v>
      </c>
      <c r="Y360" s="667">
        <f>IFERROR(SUM(Y356:Y358),"0")</f>
        <v>10</v>
      </c>
      <c r="Z360" s="37"/>
      <c r="AA360" s="668"/>
      <c r="AB360" s="668"/>
      <c r="AC360" s="668"/>
    </row>
    <row r="361" spans="1:68" ht="16.5" customHeight="1" x14ac:dyDescent="0.25">
      <c r="A361" s="716" t="s">
        <v>564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customHeight="1" x14ac:dyDescent="0.25">
      <c r="A362" s="682" t="s">
        <v>144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3</v>
      </c>
      <c r="Y363" s="666">
        <f>IFERROR(IF(X363="",0,CEILING((X363/$H363),1)*$H363),"")</f>
        <v>3.6</v>
      </c>
      <c r="Z363" s="36">
        <f>IFERROR(IF(Y363=0,"",ROUNDUP(Y363/H363,0)*0.00651),"")</f>
        <v>1.302E-2</v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3.38</v>
      </c>
      <c r="BN363" s="64">
        <f>IFERROR(Y363*I363/H363,"0")</f>
        <v>4.056</v>
      </c>
      <c r="BO363" s="64">
        <f>IFERROR(1/J363*(X363/H363),"0")</f>
        <v>9.1575091575091579E-3</v>
      </c>
      <c r="BP363" s="64">
        <f>IFERROR(1/J363*(Y363/H363),"0")</f>
        <v>1.098901098901099E-2</v>
      </c>
    </row>
    <row r="364" spans="1:68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1.6666666666666665</v>
      </c>
      <c r="Y364" s="667">
        <f>IFERROR(Y363/H363,"0")</f>
        <v>2</v>
      </c>
      <c r="Z364" s="667">
        <f>IFERROR(IF(Z363="",0,Z363),"0")</f>
        <v>1.302E-2</v>
      </c>
      <c r="AA364" s="668"/>
      <c r="AB364" s="668"/>
      <c r="AC364" s="668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3</v>
      </c>
      <c r="Y365" s="667">
        <f>IFERROR(SUM(Y363:Y363),"0")</f>
        <v>3.6</v>
      </c>
      <c r="Z365" s="37"/>
      <c r="AA365" s="668"/>
      <c r="AB365" s="668"/>
      <c r="AC365" s="668"/>
    </row>
    <row r="366" spans="1:68" ht="14.25" customHeight="1" x14ac:dyDescent="0.25">
      <c r="A366" s="682" t="s">
        <v>64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10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9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7</v>
      </c>
      <c r="Y369" s="666">
        <f>IFERROR(IF(X369="",0,CEILING((X369/$H369),1)*$H369),"")</f>
        <v>8.4</v>
      </c>
      <c r="Z369" s="36">
        <f>IFERROR(IF(Y369=0,"",ROUNDUP(Y369/H369,0)*0.00651),"")</f>
        <v>2.6040000000000001E-2</v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7.7999999999999989</v>
      </c>
      <c r="BN369" s="64">
        <f>IFERROR(Y369*I369/H369,"0")</f>
        <v>9.36</v>
      </c>
      <c r="BO369" s="64">
        <f>IFERROR(1/J369*(X369/H369),"0")</f>
        <v>1.8315018315018316E-2</v>
      </c>
      <c r="BP369" s="64">
        <f>IFERROR(1/J369*(Y369/H369),"0")</f>
        <v>2.197802197802198E-2</v>
      </c>
    </row>
    <row r="370" spans="1:68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3.333333333333333</v>
      </c>
      <c r="Y370" s="667">
        <f>IFERROR(Y367/H367,"0")+IFERROR(Y368/H368,"0")+IFERROR(Y369/H369,"0")</f>
        <v>4</v>
      </c>
      <c r="Z370" s="667">
        <f>IFERROR(IF(Z367="",0,Z367),"0")+IFERROR(IF(Z368="",0,Z368),"0")+IFERROR(IF(Z369="",0,Z369),"0")</f>
        <v>2.6040000000000001E-2</v>
      </c>
      <c r="AA370" s="668"/>
      <c r="AB370" s="668"/>
      <c r="AC370" s="668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7</v>
      </c>
      <c r="Y371" s="667">
        <f>IFERROR(SUM(Y367:Y369),"0")</f>
        <v>8.4</v>
      </c>
      <c r="Z371" s="37"/>
      <c r="AA371" s="668"/>
      <c r="AB371" s="668"/>
      <c r="AC371" s="668"/>
    </row>
    <row r="372" spans="1:68" ht="27.75" customHeight="1" x14ac:dyDescent="0.2">
      <c r="A372" s="800" t="s">
        <v>577</v>
      </c>
      <c r="B372" s="801"/>
      <c r="C372" s="801"/>
      <c r="D372" s="801"/>
      <c r="E372" s="801"/>
      <c r="F372" s="801"/>
      <c r="G372" s="801"/>
      <c r="H372" s="801"/>
      <c r="I372" s="801"/>
      <c r="J372" s="801"/>
      <c r="K372" s="801"/>
      <c r="L372" s="801"/>
      <c r="M372" s="801"/>
      <c r="N372" s="801"/>
      <c r="O372" s="801"/>
      <c r="P372" s="801"/>
      <c r="Q372" s="801"/>
      <c r="R372" s="801"/>
      <c r="S372" s="801"/>
      <c r="T372" s="801"/>
      <c r="U372" s="801"/>
      <c r="V372" s="801"/>
      <c r="W372" s="801"/>
      <c r="X372" s="801"/>
      <c r="Y372" s="801"/>
      <c r="Z372" s="801"/>
      <c r="AA372" s="48"/>
      <c r="AB372" s="48"/>
      <c r="AC372" s="48"/>
    </row>
    <row r="373" spans="1:68" ht="16.5" customHeight="1" x14ac:dyDescent="0.25">
      <c r="A373" s="716" t="s">
        <v>578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customHeight="1" x14ac:dyDescent="0.25">
      <c r="A374" s="682" t="s">
        <v>90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7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116</v>
      </c>
      <c r="M376" s="33" t="s">
        <v>68</v>
      </c>
      <c r="N376" s="33"/>
      <c r="O376" s="32">
        <v>60</v>
      </c>
      <c r="P376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44</v>
      </c>
      <c r="Y376" s="666">
        <f t="shared" si="52"/>
        <v>45</v>
      </c>
      <c r="Z376" s="36">
        <f>IFERROR(IF(Y376=0,"",ROUNDUP(Y376/H376,0)*0.02175),"")</f>
        <v>6.5250000000000002E-2</v>
      </c>
      <c r="AA376" s="56"/>
      <c r="AB376" s="57"/>
      <c r="AC376" s="419" t="s">
        <v>583</v>
      </c>
      <c r="AG376" s="64"/>
      <c r="AJ376" s="68" t="s">
        <v>118</v>
      </c>
      <c r="AK376" s="68">
        <v>720</v>
      </c>
      <c r="BB376" s="420" t="s">
        <v>1</v>
      </c>
      <c r="BM376" s="64">
        <f t="shared" si="53"/>
        <v>45.408000000000001</v>
      </c>
      <c r="BN376" s="64">
        <f t="shared" si="54"/>
        <v>46.440000000000005</v>
      </c>
      <c r="BO376" s="64">
        <f t="shared" si="55"/>
        <v>6.1111111111111102E-2</v>
      </c>
      <c r="BP376" s="64">
        <f t="shared" si="56"/>
        <v>6.25E-2</v>
      </c>
    </row>
    <row r="377" spans="1:68" ht="27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116</v>
      </c>
      <c r="M378" s="33" t="s">
        <v>68</v>
      </c>
      <c r="N378" s="33"/>
      <c r="O378" s="32">
        <v>60</v>
      </c>
      <c r="P378" s="8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40</v>
      </c>
      <c r="Y378" s="666">
        <f t="shared" si="52"/>
        <v>45</v>
      </c>
      <c r="Z378" s="36">
        <f>IFERROR(IF(Y378=0,"",ROUNDUP(Y378/H378,0)*0.02175),"")</f>
        <v>6.5250000000000002E-2</v>
      </c>
      <c r="AA378" s="56"/>
      <c r="AB378" s="57"/>
      <c r="AC378" s="423" t="s">
        <v>587</v>
      </c>
      <c r="AG378" s="64"/>
      <c r="AJ378" s="68" t="s">
        <v>118</v>
      </c>
      <c r="AK378" s="68">
        <v>720</v>
      </c>
      <c r="BB378" s="424" t="s">
        <v>1</v>
      </c>
      <c r="BM378" s="64">
        <f t="shared" si="53"/>
        <v>41.28</v>
      </c>
      <c r="BN378" s="64">
        <f t="shared" si="54"/>
        <v>46.440000000000005</v>
      </c>
      <c r="BO378" s="64">
        <f t="shared" si="55"/>
        <v>5.5555555555555552E-2</v>
      </c>
      <c r="BP378" s="64">
        <f t="shared" si="56"/>
        <v>6.25E-2</v>
      </c>
    </row>
    <row r="379" spans="1:68" ht="27" customHeight="1" x14ac:dyDescent="0.25">
      <c r="A379" s="54" t="s">
        <v>588</v>
      </c>
      <c r="B379" s="54" t="s">
        <v>589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129</v>
      </c>
      <c r="N379" s="33"/>
      <c r="O379" s="32">
        <v>60</v>
      </c>
      <c r="P379" s="71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0</v>
      </c>
      <c r="Y379" s="666">
        <f t="shared" si="52"/>
        <v>0</v>
      </c>
      <c r="Z379" s="36" t="str">
        <f>IFERROR(IF(Y379=0,"",ROUNDUP(Y379/H379,0)*0.02175),"")</f>
        <v/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0</v>
      </c>
      <c r="BN379" s="64">
        <f t="shared" si="54"/>
        <v>0</v>
      </c>
      <c r="BO379" s="64">
        <f t="shared" si="55"/>
        <v>0</v>
      </c>
      <c r="BP379" s="64">
        <f t="shared" si="56"/>
        <v>0</v>
      </c>
    </row>
    <row r="380" spans="1:68" ht="27" customHeight="1" x14ac:dyDescent="0.25">
      <c r="A380" s="54" t="s">
        <v>591</v>
      </c>
      <c r="B380" s="54" t="s">
        <v>592</v>
      </c>
      <c r="C380" s="31">
        <v>4301011943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/>
      <c r="M380" s="33" t="s">
        <v>386</v>
      </c>
      <c r="N380" s="33"/>
      <c r="O380" s="32">
        <v>60</v>
      </c>
      <c r="P380" s="87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IFERROR(IF(Y380=0,"",ROUNDUP(Y380/H380,0)*0.02039),"")</f>
        <v/>
      </c>
      <c r="AA380" s="56"/>
      <c r="AB380" s="57"/>
      <c r="AC380" s="427" t="s">
        <v>581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37.5" customHeight="1" x14ac:dyDescent="0.25">
      <c r="A381" s="54" t="s">
        <v>591</v>
      </c>
      <c r="B381" s="54" t="s">
        <v>593</v>
      </c>
      <c r="C381" s="31">
        <v>4301011867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 t="s">
        <v>116</v>
      </c>
      <c r="M381" s="33" t="s">
        <v>68</v>
      </c>
      <c r="N381" s="33"/>
      <c r="O381" s="32">
        <v>60</v>
      </c>
      <c r="P381" s="71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500</v>
      </c>
      <c r="Y381" s="666">
        <f t="shared" si="52"/>
        <v>510</v>
      </c>
      <c r="Z381" s="36">
        <f>IFERROR(IF(Y381=0,"",ROUNDUP(Y381/H381,0)*0.02175),"")</f>
        <v>0.73949999999999994</v>
      </c>
      <c r="AA381" s="56"/>
      <c r="AB381" s="57"/>
      <c r="AC381" s="429" t="s">
        <v>594</v>
      </c>
      <c r="AG381" s="64"/>
      <c r="AJ381" s="68" t="s">
        <v>118</v>
      </c>
      <c r="AK381" s="68">
        <v>720</v>
      </c>
      <c r="BB381" s="430" t="s">
        <v>1</v>
      </c>
      <c r="BM381" s="64">
        <f t="shared" si="53"/>
        <v>516</v>
      </c>
      <c r="BN381" s="64">
        <f t="shared" si="54"/>
        <v>526.32000000000005</v>
      </c>
      <c r="BO381" s="64">
        <f t="shared" si="55"/>
        <v>0.69444444444444442</v>
      </c>
      <c r="BP381" s="64">
        <f t="shared" si="56"/>
        <v>0.70833333333333326</v>
      </c>
    </row>
    <row r="382" spans="1:68" ht="27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38.933333333333337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40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0.86999999999999988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584</v>
      </c>
      <c r="Y386" s="667">
        <f>IFERROR(SUM(Y375:Y384),"0")</f>
        <v>600</v>
      </c>
      <c r="Z386" s="37"/>
      <c r="AA386" s="668"/>
      <c r="AB386" s="668"/>
      <c r="AC386" s="668"/>
    </row>
    <row r="387" spans="1:68" ht="14.25" customHeight="1" x14ac:dyDescent="0.25">
      <c r="A387" s="682" t="s">
        <v>133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116</v>
      </c>
      <c r="M388" s="33" t="s">
        <v>94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556</v>
      </c>
      <c r="Y388" s="666">
        <f>IFERROR(IF(X388="",0,CEILING((X388/$H388),1)*$H388),"")</f>
        <v>570</v>
      </c>
      <c r="Z388" s="36">
        <f>IFERROR(IF(Y388=0,"",ROUNDUP(Y388/H388,0)*0.02175),"")</f>
        <v>0.8264999999999999</v>
      </c>
      <c r="AA388" s="56"/>
      <c r="AB388" s="57"/>
      <c r="AC388" s="437" t="s">
        <v>604</v>
      </c>
      <c r="AG388" s="64"/>
      <c r="AJ388" s="68" t="s">
        <v>118</v>
      </c>
      <c r="AK388" s="68">
        <v>720</v>
      </c>
      <c r="BB388" s="438" t="s">
        <v>1</v>
      </c>
      <c r="BM388" s="64">
        <f>IFERROR(X388*I388/H388,"0")</f>
        <v>573.79200000000003</v>
      </c>
      <c r="BN388" s="64">
        <f>IFERROR(Y388*I388/H388,"0")</f>
        <v>588.24</v>
      </c>
      <c r="BO388" s="64">
        <f>IFERROR(1/J388*(X388/H388),"0")</f>
        <v>0.77222222222222225</v>
      </c>
      <c r="BP388" s="64">
        <f>IFERROR(1/J388*(Y388/H388),"0")</f>
        <v>0.79166666666666663</v>
      </c>
    </row>
    <row r="389" spans="1:68" ht="27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37.06666666666667</v>
      </c>
      <c r="Y390" s="667">
        <f>IFERROR(Y388/H388,"0")+IFERROR(Y389/H389,"0")</f>
        <v>38</v>
      </c>
      <c r="Z390" s="667">
        <f>IFERROR(IF(Z388="",0,Z388),"0")+IFERROR(IF(Z389="",0,Z389),"0")</f>
        <v>0.8264999999999999</v>
      </c>
      <c r="AA390" s="668"/>
      <c r="AB390" s="668"/>
      <c r="AC390" s="668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556</v>
      </c>
      <c r="Y391" s="667">
        <f>IFERROR(SUM(Y388:Y389),"0")</f>
        <v>570</v>
      </c>
      <c r="Z391" s="37"/>
      <c r="AA391" s="668"/>
      <c r="AB391" s="668"/>
      <c r="AC391" s="668"/>
    </row>
    <row r="392" spans="1:68" ht="14.25" customHeight="1" x14ac:dyDescent="0.25">
      <c r="A392" s="682" t="s">
        <v>64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24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2" t="s">
        <v>170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4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6" t="s">
        <v>619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customHeight="1" x14ac:dyDescent="0.25">
      <c r="A402" s="682" t="s">
        <v>90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customHeight="1" x14ac:dyDescent="0.25">
      <c r="A403" s="54" t="s">
        <v>620</v>
      </c>
      <c r="B403" s="54" t="s">
        <v>621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customHeight="1" x14ac:dyDescent="0.25">
      <c r="A404" s="54" t="s">
        <v>620</v>
      </c>
      <c r="B404" s="54" t="s">
        <v>623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customHeight="1" x14ac:dyDescent="0.25">
      <c r="A405" s="54" t="s">
        <v>625</v>
      </c>
      <c r="B405" s="54" t="s">
        <v>626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749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customHeight="1" x14ac:dyDescent="0.25">
      <c r="A406" s="54" t="s">
        <v>628</v>
      </c>
      <c r="B406" s="54" t="s">
        <v>629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82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customHeight="1" x14ac:dyDescent="0.25">
      <c r="A411" s="682" t="s">
        <v>144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75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customHeight="1" x14ac:dyDescent="0.25">
      <c r="A416" s="682" t="s">
        <v>64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9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37.5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9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647</v>
      </c>
      <c r="B419" s="54" t="s">
        <v>648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647</v>
      </c>
      <c r="B420" s="54" t="s">
        <v>650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99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1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0</v>
      </c>
      <c r="Y422" s="667">
        <f>IFERROR(Y417/H417,"0")+IFERROR(Y418/H418,"0")+IFERROR(Y419/H419,"0")+IFERROR(Y420/H420,"0")+IFERROR(Y421/H421,"0")</f>
        <v>0</v>
      </c>
      <c r="Z422" s="667">
        <f>IFERROR(IF(Z417="",0,Z417),"0")+IFERROR(IF(Z418="",0,Z418),"0")+IFERROR(IF(Z419="",0,Z419),"0")+IFERROR(IF(Z420="",0,Z420),"0")+IFERROR(IF(Z421="",0,Z421),"0")</f>
        <v>0</v>
      </c>
      <c r="AA422" s="668"/>
      <c r="AB422" s="668"/>
      <c r="AC422" s="668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0</v>
      </c>
      <c r="Y423" s="667">
        <f>IFERROR(SUM(Y417:Y421),"0")</f>
        <v>0</v>
      </c>
      <c r="Z423" s="37"/>
      <c r="AA423" s="668"/>
      <c r="AB423" s="668"/>
      <c r="AC423" s="668"/>
    </row>
    <row r="424" spans="1:68" ht="14.25" customHeight="1" x14ac:dyDescent="0.25">
      <c r="A424" s="682" t="s">
        <v>170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5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customHeight="1" x14ac:dyDescent="0.2">
      <c r="A428" s="800" t="s">
        <v>658</v>
      </c>
      <c r="B428" s="801"/>
      <c r="C428" s="801"/>
      <c r="D428" s="801"/>
      <c r="E428" s="801"/>
      <c r="F428" s="801"/>
      <c r="G428" s="801"/>
      <c r="H428" s="801"/>
      <c r="I428" s="801"/>
      <c r="J428" s="801"/>
      <c r="K428" s="801"/>
      <c r="L428" s="801"/>
      <c r="M428" s="801"/>
      <c r="N428" s="801"/>
      <c r="O428" s="801"/>
      <c r="P428" s="801"/>
      <c r="Q428" s="801"/>
      <c r="R428" s="801"/>
      <c r="S428" s="801"/>
      <c r="T428" s="801"/>
      <c r="U428" s="801"/>
      <c r="V428" s="801"/>
      <c r="W428" s="801"/>
      <c r="X428" s="801"/>
      <c r="Y428" s="801"/>
      <c r="Z428" s="801"/>
      <c r="AA428" s="48"/>
      <c r="AB428" s="48"/>
      <c r="AC428" s="48"/>
    </row>
    <row r="429" spans="1:68" ht="16.5" customHeight="1" x14ac:dyDescent="0.25">
      <c r="A429" s="716" t="s">
        <v>659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customHeight="1" x14ac:dyDescent="0.25">
      <c r="A430" s="682" t="s">
        <v>144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23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ref="Y431:Y442" si="62"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0</v>
      </c>
      <c r="BN431" s="64">
        <f t="shared" ref="BN431:BN442" si="64">IFERROR(Y431*I431/H431,"0")</f>
        <v>0</v>
      </c>
      <c r="BO431" s="64">
        <f t="shared" ref="BO431:BO442" si="65">IFERROR(1/J431*(X431/H431),"0")</f>
        <v>0</v>
      </c>
      <c r="BP431" s="64">
        <f t="shared" ref="BP431:BP442" si="66">IFERROR(1/J431*(Y431/H431),"0")</f>
        <v>0</v>
      </c>
    </row>
    <row r="432" spans="1:68" ht="27" customHeight="1" x14ac:dyDescent="0.25">
      <c r="A432" s="54" t="s">
        <v>664</v>
      </c>
      <c r="B432" s="54" t="s">
        <v>665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1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customHeight="1" x14ac:dyDescent="0.25">
      <c r="A433" s="54" t="s">
        <v>664</v>
      </c>
      <c r="B433" s="54" t="s">
        <v>668</v>
      </c>
      <c r="C433" s="31">
        <v>4301031406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26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10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1029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8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83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4</v>
      </c>
      <c r="Y441" s="666">
        <f t="shared" si="62"/>
        <v>4.2</v>
      </c>
      <c r="Z441" s="36">
        <f t="shared" si="67"/>
        <v>1.004E-2</v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4.2476190476190476</v>
      </c>
      <c r="BN441" s="64">
        <f t="shared" si="64"/>
        <v>4.46</v>
      </c>
      <c r="BO441" s="64">
        <f t="shared" si="65"/>
        <v>8.1400081400081412E-3</v>
      </c>
      <c r="BP441" s="64">
        <f t="shared" si="66"/>
        <v>8.5470085470085479E-3</v>
      </c>
    </row>
    <row r="442" spans="1:68" ht="37.5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8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1.9047619047619047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2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1.004E-2</v>
      </c>
      <c r="AA443" s="668"/>
      <c r="AB443" s="668"/>
      <c r="AC443" s="668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4</v>
      </c>
      <c r="Y444" s="667">
        <f>IFERROR(SUM(Y431:Y442),"0")</f>
        <v>4.2</v>
      </c>
      <c r="Z444" s="37"/>
      <c r="AA444" s="668"/>
      <c r="AB444" s="668"/>
      <c r="AC444" s="668"/>
    </row>
    <row r="445" spans="1:68" ht="14.25" customHeight="1" x14ac:dyDescent="0.25">
      <c r="A445" s="682" t="s">
        <v>64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3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customHeight="1" x14ac:dyDescent="0.25">
      <c r="A450" s="716" t="s">
        <v>698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customHeight="1" x14ac:dyDescent="0.25">
      <c r="A451" s="682" t="s">
        <v>133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7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customHeight="1" x14ac:dyDescent="0.25">
      <c r="A456" s="682" t="s">
        <v>144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0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7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905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9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0</v>
      </c>
      <c r="Y461" s="667">
        <f>IFERROR(Y457/H457,"0")+IFERROR(Y458/H458,"0")+IFERROR(Y459/H459,"0")+IFERROR(Y460/H460,"0")</f>
        <v>0</v>
      </c>
      <c r="Z461" s="667">
        <f>IFERROR(IF(Z457="",0,Z457),"0")+IFERROR(IF(Z458="",0,Z458),"0")+IFERROR(IF(Z459="",0,Z459),"0")+IFERROR(IF(Z460="",0,Z460),"0")</f>
        <v>0</v>
      </c>
      <c r="AA461" s="668"/>
      <c r="AB461" s="668"/>
      <c r="AC461" s="668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0</v>
      </c>
      <c r="Y462" s="667">
        <f>IFERROR(SUM(Y457:Y460),"0")</f>
        <v>0</v>
      </c>
      <c r="Z462" s="37"/>
      <c r="AA462" s="668"/>
      <c r="AB462" s="668"/>
      <c r="AC462" s="668"/>
    </row>
    <row r="463" spans="1:68" ht="16.5" customHeight="1" x14ac:dyDescent="0.25">
      <c r="A463" s="716" t="s">
        <v>718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customHeight="1" x14ac:dyDescent="0.25">
      <c r="A464" s="682" t="s">
        <v>144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98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72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customHeight="1" x14ac:dyDescent="0.25">
      <c r="A469" s="716" t="s">
        <v>726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customHeight="1" x14ac:dyDescent="0.25">
      <c r="A470" s="682" t="s">
        <v>144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59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customHeight="1" x14ac:dyDescent="0.25">
      <c r="A474" s="682" t="s">
        <v>170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47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customHeight="1" x14ac:dyDescent="0.2">
      <c r="A478" s="800" t="s">
        <v>733</v>
      </c>
      <c r="B478" s="801"/>
      <c r="C478" s="801"/>
      <c r="D478" s="801"/>
      <c r="E478" s="801"/>
      <c r="F478" s="801"/>
      <c r="G478" s="801"/>
      <c r="H478" s="801"/>
      <c r="I478" s="801"/>
      <c r="J478" s="801"/>
      <c r="K478" s="801"/>
      <c r="L478" s="801"/>
      <c r="M478" s="801"/>
      <c r="N478" s="801"/>
      <c r="O478" s="801"/>
      <c r="P478" s="801"/>
      <c r="Q478" s="801"/>
      <c r="R478" s="801"/>
      <c r="S478" s="801"/>
      <c r="T478" s="801"/>
      <c r="U478" s="801"/>
      <c r="V478" s="801"/>
      <c r="W478" s="801"/>
      <c r="X478" s="801"/>
      <c r="Y478" s="801"/>
      <c r="Z478" s="801"/>
      <c r="AA478" s="48"/>
      <c r="AB478" s="48"/>
      <c r="AC478" s="48"/>
    </row>
    <row r="479" spans="1:68" ht="16.5" customHeight="1" x14ac:dyDescent="0.25">
      <c r="A479" s="716" t="s">
        <v>733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customHeight="1" x14ac:dyDescent="0.25">
      <c r="A480" s="682" t="s">
        <v>90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ref="Y481:Y495" si="68">IFERROR(IF(X481="",0,CEILING((X481/$H481),1)*$H481),"")</f>
        <v>0</v>
      </c>
      <c r="Z481" s="36" t="str">
        <f>IFERROR(IF(Y481=0,"",ROUNDUP(Y481/H481,0)*0.01196),"")</f>
        <v/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0</v>
      </c>
      <c r="BN481" s="64">
        <f t="shared" ref="BN481:BN495" si="70">IFERROR(Y481*I481/H481,"0")</f>
        <v>0</v>
      </c>
      <c r="BO481" s="64">
        <f t="shared" ref="BO481:BO495" si="71">IFERROR(1/J481*(X481/H481),"0")</f>
        <v>0</v>
      </c>
      <c r="BP481" s="64">
        <f t="shared" ref="BP481:BP495" si="72">IFERROR(1/J481*(Y481/H481),"0")</f>
        <v>0</v>
      </c>
    </row>
    <row r="482" spans="1:68" ht="27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0</v>
      </c>
      <c r="Y483" s="666">
        <f t="shared" si="68"/>
        <v>0</v>
      </c>
      <c r="Z483" s="36" t="str">
        <f>IFERROR(IF(Y483=0,"",ROUNDUP(Y483/H483,0)*0.01196),"")</f>
        <v/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0</v>
      </c>
      <c r="BN483" s="64">
        <f t="shared" si="70"/>
        <v>0</v>
      </c>
      <c r="BO483" s="64">
        <f t="shared" si="71"/>
        <v>0</v>
      </c>
      <c r="BP483" s="64">
        <f t="shared" si="72"/>
        <v>0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0</v>
      </c>
      <c r="Y484" s="666">
        <f t="shared" si="68"/>
        <v>0</v>
      </c>
      <c r="Z484" s="36" t="str">
        <f>IFERROR(IF(Y484=0,"",ROUNDUP(Y484/H484,0)*0.01196),"")</f>
        <v/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0</v>
      </c>
      <c r="BN484" s="64">
        <f t="shared" si="70"/>
        <v>0</v>
      </c>
      <c r="BO484" s="64">
        <f t="shared" si="71"/>
        <v>0</v>
      </c>
      <c r="BP484" s="64">
        <f t="shared" si="72"/>
        <v>0</v>
      </c>
    </row>
    <row r="485" spans="1:68" ht="16.5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13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1005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customHeight="1" x14ac:dyDescent="0.25">
      <c r="A487" s="54" t="s">
        <v>752</v>
      </c>
      <c r="B487" s="54" t="s">
        <v>753</v>
      </c>
      <c r="C487" s="31">
        <v>4301012035</v>
      </c>
      <c r="D487" s="669">
        <v>4680115880603</v>
      </c>
      <c r="E487" s="670"/>
      <c r="F487" s="664">
        <v>0.6</v>
      </c>
      <c r="G487" s="32">
        <v>8</v>
      </c>
      <c r="H487" s="664">
        <v>4.8</v>
      </c>
      <c r="I487" s="664">
        <v>6.96</v>
      </c>
      <c r="J487" s="32">
        <v>120</v>
      </c>
      <c r="K487" s="32" t="s">
        <v>98</v>
      </c>
      <c r="L487" s="32"/>
      <c r="M487" s="33" t="s">
        <v>94</v>
      </c>
      <c r="N487" s="33"/>
      <c r="O487" s="32">
        <v>60</v>
      </c>
      <c r="P487" s="91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IFERROR(IF(Y487=0,"",ROUNDUP(Y487/H487,0)*0.00937),"")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customHeight="1" x14ac:dyDescent="0.25">
      <c r="A488" s="54" t="s">
        <v>752</v>
      </c>
      <c r="B488" s="54" t="s">
        <v>754</v>
      </c>
      <c r="C488" s="31">
        <v>4301011778</v>
      </c>
      <c r="D488" s="669">
        <v>4680115880603</v>
      </c>
      <c r="E488" s="670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98</v>
      </c>
      <c r="L488" s="32"/>
      <c r="M488" s="33" t="s">
        <v>94</v>
      </c>
      <c r="N488" s="33"/>
      <c r="O488" s="32">
        <v>60</v>
      </c>
      <c r="P488" s="95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14</v>
      </c>
      <c r="Y488" s="666">
        <f t="shared" si="68"/>
        <v>14.4</v>
      </c>
      <c r="Z488" s="36">
        <f>IFERROR(IF(Y488=0,"",ROUNDUP(Y488/H488,0)*0.00902),"")</f>
        <v>3.6080000000000001E-2</v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14.816666666666666</v>
      </c>
      <c r="BN488" s="64">
        <f t="shared" si="70"/>
        <v>15.24</v>
      </c>
      <c r="BO488" s="64">
        <f t="shared" si="71"/>
        <v>2.9461279461279462E-2</v>
      </c>
      <c r="BP488" s="64">
        <f t="shared" si="72"/>
        <v>3.0303030303030304E-2</v>
      </c>
    </row>
    <row r="489" spans="1:68" ht="27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7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7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4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8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78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2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3.8888888888888888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4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3.6080000000000001E-2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14</v>
      </c>
      <c r="Y497" s="667">
        <f>IFERROR(SUM(Y481:Y495),"0")</f>
        <v>14.4</v>
      </c>
      <c r="Z497" s="37"/>
      <c r="AA497" s="668"/>
      <c r="AB497" s="668"/>
      <c r="AC497" s="668"/>
    </row>
    <row r="498" spans="1:68" ht="14.25" customHeight="1" x14ac:dyDescent="0.25">
      <c r="A498" s="682" t="s">
        <v>133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1027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908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847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44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customHeight="1" x14ac:dyDescent="0.25">
      <c r="A505" s="682" t="s">
        <v>144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3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0</v>
      </c>
      <c r="Y506" s="666">
        <f t="shared" ref="Y506:Y517" si="73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0</v>
      </c>
      <c r="BN506" s="64">
        <f t="shared" ref="BN506:BN517" si="75">IFERROR(Y506*I506/H506,"0")</f>
        <v>0</v>
      </c>
      <c r="BO506" s="64">
        <f t="shared" ref="BO506:BO517" si="76">IFERROR(1/J506*(X506/H506),"0")</f>
        <v>0</v>
      </c>
      <c r="BP506" s="64">
        <f t="shared" ref="BP506:BP517" si="77">IFERROR(1/J506*(Y506/H506),"0")</f>
        <v>0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3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0</v>
      </c>
      <c r="BN507" s="64">
        <f t="shared" si="75"/>
        <v>0</v>
      </c>
      <c r="BO507" s="64">
        <f t="shared" si="76"/>
        <v>0</v>
      </c>
      <c r="BP507" s="64">
        <f t="shared" si="77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6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0</v>
      </c>
      <c r="Y508" s="666">
        <f t="shared" si="73"/>
        <v>0</v>
      </c>
      <c r="Z508" s="36" t="str">
        <f>IFERROR(IF(Y508=0,"",ROUNDUP(Y508/H508,0)*0.01196),"")</f>
        <v/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0</v>
      </c>
      <c r="BN508" s="64">
        <f t="shared" si="75"/>
        <v>0</v>
      </c>
      <c r="BO508" s="64">
        <f t="shared" si="76"/>
        <v>0</v>
      </c>
      <c r="BP508" s="64">
        <f t="shared" si="77"/>
        <v>0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100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1032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7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17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86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101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customHeight="1" x14ac:dyDescent="0.25">
      <c r="A516" s="54" t="s">
        <v>812</v>
      </c>
      <c r="B516" s="54" t="s">
        <v>815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6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901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68"/>
      <c r="AB518" s="668"/>
      <c r="AC518" s="668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0</v>
      </c>
      <c r="Y519" s="667">
        <f>IFERROR(SUM(Y506:Y517),"0")</f>
        <v>0</v>
      </c>
      <c r="Z519" s="37"/>
      <c r="AA519" s="668"/>
      <c r="AB519" s="668"/>
      <c r="AC519" s="668"/>
    </row>
    <row r="520" spans="1:68" ht="14.25" customHeight="1" x14ac:dyDescent="0.25">
      <c r="A520" s="682" t="s">
        <v>64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4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2" t="s">
        <v>170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43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0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800" t="s">
        <v>833</v>
      </c>
      <c r="B531" s="801"/>
      <c r="C531" s="801"/>
      <c r="D531" s="801"/>
      <c r="E531" s="801"/>
      <c r="F531" s="801"/>
      <c r="G531" s="801"/>
      <c r="H531" s="801"/>
      <c r="I531" s="801"/>
      <c r="J531" s="801"/>
      <c r="K531" s="801"/>
      <c r="L531" s="801"/>
      <c r="M531" s="801"/>
      <c r="N531" s="801"/>
      <c r="O531" s="801"/>
      <c r="P531" s="801"/>
      <c r="Q531" s="801"/>
      <c r="R531" s="801"/>
      <c r="S531" s="801"/>
      <c r="T531" s="801"/>
      <c r="U531" s="801"/>
      <c r="V531" s="801"/>
      <c r="W531" s="801"/>
      <c r="X531" s="801"/>
      <c r="Y531" s="801"/>
      <c r="Z531" s="801"/>
      <c r="AA531" s="48"/>
      <c r="AB531" s="48"/>
      <c r="AC531" s="48"/>
    </row>
    <row r="532" spans="1:68" ht="16.5" customHeight="1" x14ac:dyDescent="0.25">
      <c r="A532" s="716" t="s">
        <v>833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customHeight="1" x14ac:dyDescent="0.25">
      <c r="A533" s="682" t="s">
        <v>90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48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09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65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4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47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2" t="s">
        <v>133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65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843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2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90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2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2" t="s">
        <v>144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2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14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5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26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6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788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961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2" t="s">
        <v>64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906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89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33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96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741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2" t="s">
        <v>170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94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725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768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6" t="s">
        <v>926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customHeight="1" x14ac:dyDescent="0.25">
      <c r="A576" s="682" t="s">
        <v>90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6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2" t="s">
        <v>133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44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2" t="s">
        <v>144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4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2" t="s">
        <v>64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1022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62"/>
      <c r="P592" s="833" t="s">
        <v>943</v>
      </c>
      <c r="Q592" s="809"/>
      <c r="R592" s="809"/>
      <c r="S592" s="809"/>
      <c r="T592" s="809"/>
      <c r="U592" s="809"/>
      <c r="V592" s="810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2339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2419.6299999999997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62"/>
      <c r="P593" s="833" t="s">
        <v>944</v>
      </c>
      <c r="Q593" s="809"/>
      <c r="R593" s="809"/>
      <c r="S593" s="809"/>
      <c r="T593" s="809"/>
      <c r="U593" s="809"/>
      <c r="V593" s="810"/>
      <c r="W593" s="37" t="s">
        <v>69</v>
      </c>
      <c r="X593" s="667">
        <f>IFERROR(SUM(BM22:BM589),"0")</f>
        <v>2451.9560364553745</v>
      </c>
      <c r="Y593" s="667">
        <f>IFERROR(SUM(BN22:BN589),"0")</f>
        <v>2536.8019999999997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62"/>
      <c r="P594" s="833" t="s">
        <v>945</v>
      </c>
      <c r="Q594" s="809"/>
      <c r="R594" s="809"/>
      <c r="S594" s="809"/>
      <c r="T594" s="809"/>
      <c r="U594" s="809"/>
      <c r="V594" s="810"/>
      <c r="W594" s="37" t="s">
        <v>946</v>
      </c>
      <c r="X594" s="38">
        <f>ROUNDUP(SUM(BO22:BO589),0)</f>
        <v>4</v>
      </c>
      <c r="Y594" s="38">
        <f>ROUNDUP(SUM(BP22:BP589),0)</f>
        <v>4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62"/>
      <c r="P595" s="833" t="s">
        <v>947</v>
      </c>
      <c r="Q595" s="809"/>
      <c r="R595" s="809"/>
      <c r="S595" s="809"/>
      <c r="T595" s="809"/>
      <c r="U595" s="809"/>
      <c r="V595" s="810"/>
      <c r="W595" s="37" t="s">
        <v>69</v>
      </c>
      <c r="X595" s="667">
        <f>GrossWeightTotal+PalletQtyTotal*25</f>
        <v>2551.9560364553745</v>
      </c>
      <c r="Y595" s="667">
        <f>GrossWeightTotalR+PalletQtyTotalR*25</f>
        <v>2636.8019999999997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62"/>
      <c r="P596" s="833" t="s">
        <v>948</v>
      </c>
      <c r="Q596" s="809"/>
      <c r="R596" s="809"/>
      <c r="S596" s="809"/>
      <c r="T596" s="809"/>
      <c r="U596" s="809"/>
      <c r="V596" s="810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363.34904297771942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377</v>
      </c>
      <c r="Z596" s="37"/>
      <c r="AA596" s="668"/>
      <c r="AB596" s="668"/>
      <c r="AC596" s="668"/>
    </row>
    <row r="597" spans="1:32" ht="14.25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62"/>
      <c r="P597" s="833" t="s">
        <v>949</v>
      </c>
      <c r="Q597" s="809"/>
      <c r="R597" s="809"/>
      <c r="S597" s="809"/>
      <c r="T597" s="809"/>
      <c r="U597" s="809"/>
      <c r="V597" s="810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4.4692800000000004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698"/>
      <c r="E599" s="698"/>
      <c r="F599" s="698"/>
      <c r="G599" s="698"/>
      <c r="H599" s="699"/>
      <c r="I599" s="676" t="s">
        <v>286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6" t="s">
        <v>577</v>
      </c>
      <c r="X599" s="699"/>
      <c r="Y599" s="676" t="s">
        <v>658</v>
      </c>
      <c r="Z599" s="698"/>
      <c r="AA599" s="698"/>
      <c r="AB599" s="699"/>
      <c r="AC599" s="662" t="s">
        <v>733</v>
      </c>
      <c r="AD599" s="676" t="s">
        <v>833</v>
      </c>
      <c r="AE599" s="699"/>
      <c r="AF599" s="663"/>
    </row>
    <row r="600" spans="1:32" ht="14.25" customHeight="1" thickTop="1" x14ac:dyDescent="0.2">
      <c r="A600" s="984" t="s">
        <v>952</v>
      </c>
      <c r="B600" s="676" t="s">
        <v>63</v>
      </c>
      <c r="C600" s="676" t="s">
        <v>89</v>
      </c>
      <c r="D600" s="676" t="s">
        <v>110</v>
      </c>
      <c r="E600" s="676" t="s">
        <v>178</v>
      </c>
      <c r="F600" s="676" t="s">
        <v>209</v>
      </c>
      <c r="G600" s="676" t="s">
        <v>254</v>
      </c>
      <c r="H600" s="676" t="s">
        <v>88</v>
      </c>
      <c r="I600" s="676" t="s">
        <v>287</v>
      </c>
      <c r="J600" s="676" t="s">
        <v>322</v>
      </c>
      <c r="K600" s="676" t="s">
        <v>383</v>
      </c>
      <c r="L600" s="676" t="s">
        <v>418</v>
      </c>
      <c r="M600" s="676" t="s">
        <v>436</v>
      </c>
      <c r="N600" s="663"/>
      <c r="O600" s="676" t="s">
        <v>440</v>
      </c>
      <c r="P600" s="676" t="s">
        <v>449</v>
      </c>
      <c r="Q600" s="676" t="s">
        <v>463</v>
      </c>
      <c r="R600" s="676" t="s">
        <v>473</v>
      </c>
      <c r="S600" s="676" t="s">
        <v>477</v>
      </c>
      <c r="T600" s="676" t="s">
        <v>485</v>
      </c>
      <c r="U600" s="676" t="s">
        <v>490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985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56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210.60000000000002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108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88.2</v>
      </c>
      <c r="G602" s="46">
        <f>IFERROR(Y136*1,"0")+IFERROR(Y137*1,"0")+IFERROR(Y141*1,"0")+IFERROR(Y142*1,"0")+IFERROR(Y146*1,"0")+IFERROR(Y147*1,"0")</f>
        <v>11.68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37.800000000000004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229.20000000000002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14.399999999999999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463.15</v>
      </c>
      <c r="V602" s="46">
        <f>IFERROR(Y363*1,"0")+IFERROR(Y367*1,"0")+IFERROR(Y368*1,"0")+IFERROR(Y369*1,"0")</f>
        <v>12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1170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0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4.2</v>
      </c>
      <c r="Z602" s="46">
        <f>IFERROR(Y452*1,"0")+IFERROR(Y453*1,"0")+IFERROR(Y457*1,"0")+IFERROR(Y458*1,"0")+IFERROR(Y459*1,"0")+IFERROR(Y460*1,"0")</f>
        <v>0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14.4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M17:M18"/>
    <mergeCell ref="A531:Z531"/>
    <mergeCell ref="A469:Z469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533:Z533"/>
    <mergeCell ref="A26:O27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A20:Z20"/>
    <mergeCell ref="P529:V529"/>
    <mergeCell ref="P426:V426"/>
    <mergeCell ref="P178:T178"/>
    <mergeCell ref="P105:T105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86:E86"/>
    <mergeCell ref="P49:T49"/>
    <mergeCell ref="P36:T36"/>
    <mergeCell ref="D321:E321"/>
    <mergeCell ref="P278:T278"/>
    <mergeCell ref="P107:T107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88 X106 X280" xr:uid="{00000000-0002-0000-0000-000011000000}">
      <formula1>IF(AK36&gt;0,OR(X36=0,AND(IF(X36-AK36&gt;=0,TRUE,FALSE),X36&gt;0,IF(X36/(H36*K36)=ROUND(X36/(H36*K36),0),TRUE,FALSE))),FALSE)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53 X60 X123 X321 X376 X378 X381 X388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2025-04-08T07:09:11Z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