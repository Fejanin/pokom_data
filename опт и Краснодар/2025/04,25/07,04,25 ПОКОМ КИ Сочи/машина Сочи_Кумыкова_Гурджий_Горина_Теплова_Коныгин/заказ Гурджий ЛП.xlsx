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8,04,25 Гурджий\"/>
    </mc:Choice>
  </mc:AlternateContent>
  <xr:revisionPtr revIDLastSave="0" documentId="13_ncr:1_{E0BE69C1-43C6-4ADA-BB3D-85E5915D302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Y530" i="1" s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BP517" i="1" s="1"/>
  <c r="BO516" i="1"/>
  <c r="BM516" i="1"/>
  <c r="Y516" i="1"/>
  <c r="BP516" i="1" s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P471" i="1"/>
  <c r="X468" i="1"/>
  <c r="Y467" i="1"/>
  <c r="X467" i="1"/>
  <c r="BP466" i="1"/>
  <c r="BO466" i="1"/>
  <c r="BN466" i="1"/>
  <c r="BM466" i="1"/>
  <c r="Z466" i="1"/>
  <c r="Y466" i="1"/>
  <c r="BP465" i="1"/>
  <c r="BO465" i="1"/>
  <c r="BN465" i="1"/>
  <c r="BM465" i="1"/>
  <c r="Z465" i="1"/>
  <c r="Z467" i="1" s="1"/>
  <c r="Y465" i="1"/>
  <c r="AA602" i="1" s="1"/>
  <c r="P465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BP459" i="1" s="1"/>
  <c r="BO458" i="1"/>
  <c r="BM458" i="1"/>
  <c r="Y458" i="1"/>
  <c r="BP458" i="1" s="1"/>
  <c r="P458" i="1"/>
  <c r="BP457" i="1"/>
  <c r="BO457" i="1"/>
  <c r="BN457" i="1"/>
  <c r="BM457" i="1"/>
  <c r="Z457" i="1"/>
  <c r="Y457" i="1"/>
  <c r="Y462" i="1" s="1"/>
  <c r="X455" i="1"/>
  <c r="X454" i="1"/>
  <c r="BO453" i="1"/>
  <c r="BM453" i="1"/>
  <c r="Y453" i="1"/>
  <c r="BP453" i="1" s="1"/>
  <c r="P453" i="1"/>
  <c r="BP452" i="1"/>
  <c r="BO452" i="1"/>
  <c r="BN452" i="1"/>
  <c r="BM452" i="1"/>
  <c r="Z452" i="1"/>
  <c r="Y452" i="1"/>
  <c r="Y455" i="1" s="1"/>
  <c r="P452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Y449" i="1" s="1"/>
  <c r="P446" i="1"/>
  <c r="X444" i="1"/>
  <c r="X443" i="1"/>
  <c r="BO442" i="1"/>
  <c r="BM442" i="1"/>
  <c r="Y442" i="1"/>
  <c r="BP442" i="1" s="1"/>
  <c r="P442" i="1"/>
  <c r="BP441" i="1"/>
  <c r="BO441" i="1"/>
  <c r="BN441" i="1"/>
  <c r="BM441" i="1"/>
  <c r="Z441" i="1"/>
  <c r="Y441" i="1"/>
  <c r="P441" i="1"/>
  <c r="BO440" i="1"/>
  <c r="BM440" i="1"/>
  <c r="Y440" i="1"/>
  <c r="BP440" i="1" s="1"/>
  <c r="BO439" i="1"/>
  <c r="BM439" i="1"/>
  <c r="Y439" i="1"/>
  <c r="BP439" i="1" s="1"/>
  <c r="P439" i="1"/>
  <c r="BP438" i="1"/>
  <c r="BO438" i="1"/>
  <c r="BN438" i="1"/>
  <c r="BM438" i="1"/>
  <c r="Z438" i="1"/>
  <c r="Y438" i="1"/>
  <c r="P438" i="1"/>
  <c r="BO437" i="1"/>
  <c r="BM437" i="1"/>
  <c r="Y437" i="1"/>
  <c r="BP437" i="1" s="1"/>
  <c r="P437" i="1"/>
  <c r="BP436" i="1"/>
  <c r="BO436" i="1"/>
  <c r="BN436" i="1"/>
  <c r="BM436" i="1"/>
  <c r="Z436" i="1"/>
  <c r="Y436" i="1"/>
  <c r="BP435" i="1"/>
  <c r="BO435" i="1"/>
  <c r="BN435" i="1"/>
  <c r="BM435" i="1"/>
  <c r="Z435" i="1"/>
  <c r="Y435" i="1"/>
  <c r="P435" i="1"/>
  <c r="BO434" i="1"/>
  <c r="BM434" i="1"/>
  <c r="Y434" i="1"/>
  <c r="BP434" i="1" s="1"/>
  <c r="BO433" i="1"/>
  <c r="BM433" i="1"/>
  <c r="Y433" i="1"/>
  <c r="BP433" i="1" s="1"/>
  <c r="BO432" i="1"/>
  <c r="BM432" i="1"/>
  <c r="Y432" i="1"/>
  <c r="BP432" i="1" s="1"/>
  <c r="BO431" i="1"/>
  <c r="BM431" i="1"/>
  <c r="Y431" i="1"/>
  <c r="Y602" i="1" s="1"/>
  <c r="X427" i="1"/>
  <c r="Y426" i="1"/>
  <c r="X426" i="1"/>
  <c r="BP425" i="1"/>
  <c r="BO425" i="1"/>
  <c r="BN425" i="1"/>
  <c r="BM425" i="1"/>
  <c r="Z425" i="1"/>
  <c r="Z426" i="1" s="1"/>
  <c r="Y425" i="1"/>
  <c r="Y427" i="1" s="1"/>
  <c r="X423" i="1"/>
  <c r="X422" i="1"/>
  <c r="BO421" i="1"/>
  <c r="BM421" i="1"/>
  <c r="Y421" i="1"/>
  <c r="BP421" i="1" s="1"/>
  <c r="P421" i="1"/>
  <c r="BP420" i="1"/>
  <c r="BO420" i="1"/>
  <c r="BN420" i="1"/>
  <c r="BM420" i="1"/>
  <c r="Z420" i="1"/>
  <c r="Y420" i="1"/>
  <c r="P420" i="1"/>
  <c r="BO419" i="1"/>
  <c r="BM419" i="1"/>
  <c r="Y419" i="1"/>
  <c r="BP419" i="1" s="1"/>
  <c r="P419" i="1"/>
  <c r="BP418" i="1"/>
  <c r="BO418" i="1"/>
  <c r="BN418" i="1"/>
  <c r="BM418" i="1"/>
  <c r="Z418" i="1"/>
  <c r="Y418" i="1"/>
  <c r="BP417" i="1"/>
  <c r="BO417" i="1"/>
  <c r="BN417" i="1"/>
  <c r="BM417" i="1"/>
  <c r="Z417" i="1"/>
  <c r="Y417" i="1"/>
  <c r="Y422" i="1" s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Y415" i="1" s="1"/>
  <c r="P412" i="1"/>
  <c r="X410" i="1"/>
  <c r="X409" i="1"/>
  <c r="BO408" i="1"/>
  <c r="BM408" i="1"/>
  <c r="Y408" i="1"/>
  <c r="BP408" i="1" s="1"/>
  <c r="P408" i="1"/>
  <c r="BP407" i="1"/>
  <c r="BO407" i="1"/>
  <c r="BN407" i="1"/>
  <c r="BM407" i="1"/>
  <c r="Z407" i="1"/>
  <c r="Y407" i="1"/>
  <c r="P407" i="1"/>
  <c r="BO406" i="1"/>
  <c r="BM406" i="1"/>
  <c r="Y406" i="1"/>
  <c r="BP406" i="1" s="1"/>
  <c r="P406" i="1"/>
  <c r="BP405" i="1"/>
  <c r="BO405" i="1"/>
  <c r="BN405" i="1"/>
  <c r="BM405" i="1"/>
  <c r="Z405" i="1"/>
  <c r="Y405" i="1"/>
  <c r="P405" i="1"/>
  <c r="BO404" i="1"/>
  <c r="BM404" i="1"/>
  <c r="Y404" i="1"/>
  <c r="BP404" i="1" s="1"/>
  <c r="P404" i="1"/>
  <c r="BP403" i="1"/>
  <c r="BO403" i="1"/>
  <c r="BN403" i="1"/>
  <c r="BM403" i="1"/>
  <c r="Z403" i="1"/>
  <c r="Y403" i="1"/>
  <c r="Y410" i="1" s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P394" i="1" s="1"/>
  <c r="BO393" i="1"/>
  <c r="BM393" i="1"/>
  <c r="Y393" i="1"/>
  <c r="Y395" i="1" s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Y391" i="1" s="1"/>
  <c r="P388" i="1"/>
  <c r="X386" i="1"/>
  <c r="X385" i="1"/>
  <c r="BO384" i="1"/>
  <c r="BM384" i="1"/>
  <c r="Y384" i="1"/>
  <c r="BP384" i="1" s="1"/>
  <c r="P384" i="1"/>
  <c r="BP383" i="1"/>
  <c r="BO383" i="1"/>
  <c r="BN383" i="1"/>
  <c r="BM383" i="1"/>
  <c r="Z383" i="1"/>
  <c r="Y383" i="1"/>
  <c r="P383" i="1"/>
  <c r="BO382" i="1"/>
  <c r="BM382" i="1"/>
  <c r="Y382" i="1"/>
  <c r="BP382" i="1" s="1"/>
  <c r="P382" i="1"/>
  <c r="BP381" i="1"/>
  <c r="BO381" i="1"/>
  <c r="BN381" i="1"/>
  <c r="BM381" i="1"/>
  <c r="Z381" i="1"/>
  <c r="Y381" i="1"/>
  <c r="P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BO378" i="1"/>
  <c r="BM378" i="1"/>
  <c r="Y378" i="1"/>
  <c r="BP378" i="1" s="1"/>
  <c r="P378" i="1"/>
  <c r="BP377" i="1"/>
  <c r="BO377" i="1"/>
  <c r="BN377" i="1"/>
  <c r="BM377" i="1"/>
  <c r="Z377" i="1"/>
  <c r="Y377" i="1"/>
  <c r="P377" i="1"/>
  <c r="BO376" i="1"/>
  <c r="BM376" i="1"/>
  <c r="Y376" i="1"/>
  <c r="BP376" i="1" s="1"/>
  <c r="P376" i="1"/>
  <c r="BP375" i="1"/>
  <c r="BO375" i="1"/>
  <c r="BN375" i="1"/>
  <c r="BM375" i="1"/>
  <c r="Z375" i="1"/>
  <c r="Y375" i="1"/>
  <c r="Y386" i="1" s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BP368" i="1" s="1"/>
  <c r="P368" i="1"/>
  <c r="BP367" i="1"/>
  <c r="BO367" i="1"/>
  <c r="BN367" i="1"/>
  <c r="BM367" i="1"/>
  <c r="Z367" i="1"/>
  <c r="Y367" i="1"/>
  <c r="Y371" i="1" s="1"/>
  <c r="P367" i="1"/>
  <c r="X365" i="1"/>
  <c r="Y364" i="1"/>
  <c r="X364" i="1"/>
  <c r="BP363" i="1"/>
  <c r="BO363" i="1"/>
  <c r="BN363" i="1"/>
  <c r="BM363" i="1"/>
  <c r="Z363" i="1"/>
  <c r="Z364" i="1" s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BP357" i="1" s="1"/>
  <c r="P357" i="1"/>
  <c r="BP356" i="1"/>
  <c r="BO356" i="1"/>
  <c r="BN356" i="1"/>
  <c r="BM356" i="1"/>
  <c r="Z356" i="1"/>
  <c r="Y356" i="1"/>
  <c r="Y360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BP351" i="1" s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Y346" i="1" s="1"/>
  <c r="P343" i="1"/>
  <c r="X341" i="1"/>
  <c r="X340" i="1"/>
  <c r="BO339" i="1"/>
  <c r="BM339" i="1"/>
  <c r="Y339" i="1"/>
  <c r="BP339" i="1" s="1"/>
  <c r="P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Y340" i="1" s="1"/>
  <c r="P335" i="1"/>
  <c r="X333" i="1"/>
  <c r="X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2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602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2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Y262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Y243" i="1"/>
  <c r="X243" i="1"/>
  <c r="BP242" i="1"/>
  <c r="BO242" i="1"/>
  <c r="BN242" i="1"/>
  <c r="BM242" i="1"/>
  <c r="Z242" i="1"/>
  <c r="Y242" i="1"/>
  <c r="BP241" i="1"/>
  <c r="BO241" i="1"/>
  <c r="BN241" i="1"/>
  <c r="BM241" i="1"/>
  <c r="Z241" i="1"/>
  <c r="Z243" i="1" s="1"/>
  <c r="Y241" i="1"/>
  <c r="Y244" i="1" s="1"/>
  <c r="P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2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1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2" i="1" s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I602" i="1" s="1"/>
  <c r="P170" i="1"/>
  <c r="X166" i="1"/>
  <c r="X165" i="1"/>
  <c r="BO164" i="1"/>
  <c r="BM164" i="1"/>
  <c r="Y164" i="1"/>
  <c r="Y166" i="1" s="1"/>
  <c r="P164" i="1"/>
  <c r="BP163" i="1"/>
  <c r="BO163" i="1"/>
  <c r="BN163" i="1"/>
  <c r="BM163" i="1"/>
  <c r="Z163" i="1"/>
  <c r="Y163" i="1"/>
  <c r="Y165" i="1" s="1"/>
  <c r="P163" i="1"/>
  <c r="X161" i="1"/>
  <c r="X160" i="1"/>
  <c r="BP159" i="1"/>
  <c r="BO159" i="1"/>
  <c r="BN159" i="1"/>
  <c r="BM159" i="1"/>
  <c r="Z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P157" i="1"/>
  <c r="BO156" i="1"/>
  <c r="BM156" i="1"/>
  <c r="Y156" i="1"/>
  <c r="Y160" i="1" s="1"/>
  <c r="P156" i="1"/>
  <c r="X154" i="1"/>
  <c r="X153" i="1"/>
  <c r="BO152" i="1"/>
  <c r="BM152" i="1"/>
  <c r="Y152" i="1"/>
  <c r="P152" i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X144" i="1"/>
  <c r="Y143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BP118" i="1"/>
  <c r="BO118" i="1"/>
  <c r="BN118" i="1"/>
  <c r="BM118" i="1"/>
  <c r="Z118" i="1"/>
  <c r="Y118" i="1"/>
  <c r="Y128" i="1" s="1"/>
  <c r="P118" i="1"/>
  <c r="X116" i="1"/>
  <c r="X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5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F602" i="1" s="1"/>
  <c r="P105" i="1"/>
  <c r="X102" i="1"/>
  <c r="X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BP93" i="1"/>
  <c r="BO93" i="1"/>
  <c r="BN93" i="1"/>
  <c r="BM93" i="1"/>
  <c r="Z93" i="1"/>
  <c r="Y93" i="1"/>
  <c r="P93" i="1"/>
  <c r="BO92" i="1"/>
  <c r="BM92" i="1"/>
  <c r="Y92" i="1"/>
  <c r="Y102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602" i="1" s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BO79" i="1"/>
  <c r="BM79" i="1"/>
  <c r="Y79" i="1"/>
  <c r="Y83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7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Y67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Y61" i="1" s="1"/>
  <c r="P57" i="1"/>
  <c r="X55" i="1"/>
  <c r="X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602" i="1" s="1"/>
  <c r="P47" i="1"/>
  <c r="X44" i="1"/>
  <c r="X43" i="1"/>
  <c r="BO42" i="1"/>
  <c r="BM42" i="1"/>
  <c r="Y42" i="1"/>
  <c r="Y44" i="1" s="1"/>
  <c r="P42" i="1"/>
  <c r="X40" i="1"/>
  <c r="X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BO36" i="1"/>
  <c r="BM36" i="1"/>
  <c r="Y36" i="1"/>
  <c r="Y40" i="1" s="1"/>
  <c r="P36" i="1"/>
  <c r="BP35" i="1"/>
  <c r="BO35" i="1"/>
  <c r="BN35" i="1"/>
  <c r="BM35" i="1"/>
  <c r="Z35" i="1"/>
  <c r="Y35" i="1"/>
  <c r="P35" i="1"/>
  <c r="X31" i="1"/>
  <c r="Y30" i="1"/>
  <c r="X30" i="1"/>
  <c r="BP29" i="1"/>
  <c r="BO29" i="1"/>
  <c r="BN29" i="1"/>
  <c r="BM29" i="1"/>
  <c r="Z29" i="1"/>
  <c r="Z30" i="1" s="1"/>
  <c r="Y29" i="1"/>
  <c r="Y31" i="1" s="1"/>
  <c r="P29" i="1"/>
  <c r="X27" i="1"/>
  <c r="X592" i="1" s="1"/>
  <c r="X26" i="1"/>
  <c r="X596" i="1" s="1"/>
  <c r="BP25" i="1"/>
  <c r="BO25" i="1"/>
  <c r="BN25" i="1"/>
  <c r="BM25" i="1"/>
  <c r="Z25" i="1"/>
  <c r="Y25" i="1"/>
  <c r="P25" i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X594" i="1" s="1"/>
  <c r="BM22" i="1"/>
  <c r="X593" i="1" s="1"/>
  <c r="X595" i="1" s="1"/>
  <c r="Y22" i="1"/>
  <c r="B602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4" i="1"/>
  <c r="BN24" i="1"/>
  <c r="Y27" i="1"/>
  <c r="C602" i="1"/>
  <c r="Z36" i="1"/>
  <c r="Z39" i="1" s="1"/>
  <c r="BN36" i="1"/>
  <c r="BP36" i="1"/>
  <c r="Z38" i="1"/>
  <c r="BN38" i="1"/>
  <c r="Y39" i="1"/>
  <c r="Z42" i="1"/>
  <c r="Z43" i="1" s="1"/>
  <c r="BN42" i="1"/>
  <c r="BP42" i="1"/>
  <c r="Y43" i="1"/>
  <c r="Z47" i="1"/>
  <c r="BN47" i="1"/>
  <c r="BP47" i="1"/>
  <c r="Z49" i="1"/>
  <c r="BN49" i="1"/>
  <c r="Z51" i="1"/>
  <c r="BN51" i="1"/>
  <c r="Z53" i="1"/>
  <c r="BN53" i="1"/>
  <c r="Y54" i="1"/>
  <c r="Z57" i="1"/>
  <c r="BN57" i="1"/>
  <c r="BP57" i="1"/>
  <c r="Z59" i="1"/>
  <c r="BN59" i="1"/>
  <c r="Y62" i="1"/>
  <c r="Z65" i="1"/>
  <c r="Z67" i="1" s="1"/>
  <c r="BN65" i="1"/>
  <c r="BP65" i="1"/>
  <c r="Z71" i="1"/>
  <c r="Z76" i="1" s="1"/>
  <c r="BN71" i="1"/>
  <c r="Z73" i="1"/>
  <c r="BN73" i="1"/>
  <c r="Z75" i="1"/>
  <c r="BN75" i="1"/>
  <c r="Y76" i="1"/>
  <c r="Z79" i="1"/>
  <c r="BN79" i="1"/>
  <c r="BP79" i="1"/>
  <c r="Z81" i="1"/>
  <c r="BN81" i="1"/>
  <c r="Y82" i="1"/>
  <c r="Z86" i="1"/>
  <c r="BN86" i="1"/>
  <c r="BP86" i="1"/>
  <c r="Z88" i="1"/>
  <c r="BN88" i="1"/>
  <c r="Y89" i="1"/>
  <c r="Z92" i="1"/>
  <c r="BN92" i="1"/>
  <c r="BP92" i="1"/>
  <c r="Z98" i="1"/>
  <c r="BN98" i="1"/>
  <c r="Z100" i="1"/>
  <c r="BN100" i="1"/>
  <c r="Y101" i="1"/>
  <c r="Z105" i="1"/>
  <c r="BN105" i="1"/>
  <c r="BP105" i="1"/>
  <c r="Z107" i="1"/>
  <c r="BN107" i="1"/>
  <c r="Y110" i="1"/>
  <c r="Z113" i="1"/>
  <c r="Z115" i="1" s="1"/>
  <c r="BN113" i="1"/>
  <c r="Y116" i="1"/>
  <c r="Z120" i="1"/>
  <c r="Z127" i="1" s="1"/>
  <c r="BN120" i="1"/>
  <c r="Z123" i="1"/>
  <c r="BN123" i="1"/>
  <c r="Z124" i="1"/>
  <c r="BN124" i="1"/>
  <c r="Z126" i="1"/>
  <c r="BN126" i="1"/>
  <c r="Y127" i="1"/>
  <c r="Z130" i="1"/>
  <c r="Z132" i="1" s="1"/>
  <c r="BN130" i="1"/>
  <c r="BP137" i="1"/>
  <c r="BN137" i="1"/>
  <c r="Z137" i="1"/>
  <c r="Z138" i="1" s="1"/>
  <c r="Y139" i="1"/>
  <c r="Y144" i="1"/>
  <c r="BP141" i="1"/>
  <c r="BN141" i="1"/>
  <c r="Z141" i="1"/>
  <c r="Z143" i="1" s="1"/>
  <c r="Y148" i="1"/>
  <c r="H9" i="1"/>
  <c r="Y26" i="1"/>
  <c r="Y55" i="1"/>
  <c r="Y90" i="1"/>
  <c r="Y109" i="1"/>
  <c r="Y133" i="1"/>
  <c r="BP130" i="1"/>
  <c r="BP147" i="1"/>
  <c r="BN147" i="1"/>
  <c r="Z147" i="1"/>
  <c r="Z148" i="1" s="1"/>
  <c r="Y149" i="1"/>
  <c r="H602" i="1"/>
  <c r="Y153" i="1"/>
  <c r="BP152" i="1"/>
  <c r="BN152" i="1"/>
  <c r="Z152" i="1"/>
  <c r="Z153" i="1" s="1"/>
  <c r="Y154" i="1"/>
  <c r="G602" i="1"/>
  <c r="Y138" i="1"/>
  <c r="Z156" i="1"/>
  <c r="BN156" i="1"/>
  <c r="BP156" i="1"/>
  <c r="Z158" i="1"/>
  <c r="BN158" i="1"/>
  <c r="Y161" i="1"/>
  <c r="Z164" i="1"/>
  <c r="Z165" i="1" s="1"/>
  <c r="BN164" i="1"/>
  <c r="BP164" i="1"/>
  <c r="Z170" i="1"/>
  <c r="Z171" i="1" s="1"/>
  <c r="BN170" i="1"/>
  <c r="BP170" i="1"/>
  <c r="Y171" i="1"/>
  <c r="Z174" i="1"/>
  <c r="Z183" i="1" s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Z221" i="1" s="1"/>
  <c r="BN213" i="1"/>
  <c r="Z215" i="1"/>
  <c r="BN215" i="1"/>
  <c r="Z217" i="1"/>
  <c r="BN217" i="1"/>
  <c r="Z219" i="1"/>
  <c r="BN219" i="1"/>
  <c r="Y222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6" i="1"/>
  <c r="Z247" i="1" s="1"/>
  <c r="BN246" i="1"/>
  <c r="BP246" i="1"/>
  <c r="Y247" i="1"/>
  <c r="L602" i="1"/>
  <c r="Z256" i="1"/>
  <c r="Z261" i="1" s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Z273" i="1" s="1"/>
  <c r="BN270" i="1"/>
  <c r="BP270" i="1"/>
  <c r="Z272" i="1"/>
  <c r="BN272" i="1"/>
  <c r="Y273" i="1"/>
  <c r="Z277" i="1"/>
  <c r="Z282" i="1" s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Y310" i="1"/>
  <c r="BP321" i="1"/>
  <c r="BN321" i="1"/>
  <c r="Z321" i="1"/>
  <c r="Z409" i="1"/>
  <c r="Y172" i="1"/>
  <c r="Y193" i="1"/>
  <c r="Y238" i="1"/>
  <c r="Y267" i="1"/>
  <c r="Y274" i="1"/>
  <c r="Y283" i="1"/>
  <c r="Y288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Y333" i="1"/>
  <c r="Y341" i="1"/>
  <c r="Y347" i="1"/>
  <c r="Y353" i="1"/>
  <c r="Y359" i="1"/>
  <c r="Y370" i="1"/>
  <c r="Y390" i="1"/>
  <c r="Y396" i="1"/>
  <c r="Y414" i="1"/>
  <c r="Y423" i="1"/>
  <c r="Y444" i="1"/>
  <c r="Y448" i="1"/>
  <c r="Y461" i="1"/>
  <c r="BP482" i="1"/>
  <c r="BN482" i="1"/>
  <c r="Z482" i="1"/>
  <c r="Z496" i="1" s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Y301" i="1"/>
  <c r="S602" i="1"/>
  <c r="Y306" i="1"/>
  <c r="Z323" i="1"/>
  <c r="BN323" i="1"/>
  <c r="Z329" i="1"/>
  <c r="Z332" i="1" s="1"/>
  <c r="BN329" i="1"/>
  <c r="Z331" i="1"/>
  <c r="BN331" i="1"/>
  <c r="Z335" i="1"/>
  <c r="Z340" i="1" s="1"/>
  <c r="BN335" i="1"/>
  <c r="BP335" i="1"/>
  <c r="Z337" i="1"/>
  <c r="BN337" i="1"/>
  <c r="Z339" i="1"/>
  <c r="BN339" i="1"/>
  <c r="Z343" i="1"/>
  <c r="BN343" i="1"/>
  <c r="BP343" i="1"/>
  <c r="Z345" i="1"/>
  <c r="BN345" i="1"/>
  <c r="Z351" i="1"/>
  <c r="Z353" i="1" s="1"/>
  <c r="BN351" i="1"/>
  <c r="Z357" i="1"/>
  <c r="Z359" i="1" s="1"/>
  <c r="BN357" i="1"/>
  <c r="V602" i="1"/>
  <c r="Y365" i="1"/>
  <c r="Z368" i="1"/>
  <c r="Z370" i="1" s="1"/>
  <c r="BN368" i="1"/>
  <c r="W602" i="1"/>
  <c r="Z376" i="1"/>
  <c r="Z385" i="1" s="1"/>
  <c r="BN376" i="1"/>
  <c r="Z378" i="1"/>
  <c r="BN378" i="1"/>
  <c r="Z380" i="1"/>
  <c r="BN380" i="1"/>
  <c r="Z382" i="1"/>
  <c r="BN382" i="1"/>
  <c r="Z384" i="1"/>
  <c r="BN384" i="1"/>
  <c r="Y385" i="1"/>
  <c r="Z388" i="1"/>
  <c r="Z390" i="1" s="1"/>
  <c r="BN388" i="1"/>
  <c r="BP388" i="1"/>
  <c r="Z393" i="1"/>
  <c r="BN393" i="1"/>
  <c r="BP393" i="1"/>
  <c r="Z394" i="1"/>
  <c r="BN394" i="1"/>
  <c r="X602" i="1"/>
  <c r="Z404" i="1"/>
  <c r="BN404" i="1"/>
  <c r="Z406" i="1"/>
  <c r="BN406" i="1"/>
  <c r="Z408" i="1"/>
  <c r="BN408" i="1"/>
  <c r="Y409" i="1"/>
  <c r="Z412" i="1"/>
  <c r="Z414" i="1" s="1"/>
  <c r="BN412" i="1"/>
  <c r="BP412" i="1"/>
  <c r="Z419" i="1"/>
  <c r="Z422" i="1" s="1"/>
  <c r="BN419" i="1"/>
  <c r="Z421" i="1"/>
  <c r="BN421" i="1"/>
  <c r="Z431" i="1"/>
  <c r="BN431" i="1"/>
  <c r="BP431" i="1"/>
  <c r="Z432" i="1"/>
  <c r="BN432" i="1"/>
  <c r="Z433" i="1"/>
  <c r="BN433" i="1"/>
  <c r="Z434" i="1"/>
  <c r="BN434" i="1"/>
  <c r="Z437" i="1"/>
  <c r="BN437" i="1"/>
  <c r="Z439" i="1"/>
  <c r="BN439" i="1"/>
  <c r="Z440" i="1"/>
  <c r="BN440" i="1"/>
  <c r="Z442" i="1"/>
  <c r="BN442" i="1"/>
  <c r="Y443" i="1"/>
  <c r="Z446" i="1"/>
  <c r="Z448" i="1" s="1"/>
  <c r="BN446" i="1"/>
  <c r="BP446" i="1"/>
  <c r="Z602" i="1"/>
  <c r="Z453" i="1"/>
  <c r="Z454" i="1" s="1"/>
  <c r="BN453" i="1"/>
  <c r="Y454" i="1"/>
  <c r="Z458" i="1"/>
  <c r="Z461" i="1" s="1"/>
  <c r="BN458" i="1"/>
  <c r="Z459" i="1"/>
  <c r="BN459" i="1"/>
  <c r="Y468" i="1"/>
  <c r="AB602" i="1"/>
  <c r="Y473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AC602" i="1"/>
  <c r="Y497" i="1"/>
  <c r="Z516" i="1"/>
  <c r="BN516" i="1"/>
  <c r="Z517" i="1"/>
  <c r="BN51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BP523" i="1"/>
  <c r="BN523" i="1"/>
  <c r="Z523" i="1"/>
  <c r="Y525" i="1"/>
  <c r="Y529" i="1"/>
  <c r="BP527" i="1"/>
  <c r="BN527" i="1"/>
  <c r="Z527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Z529" i="1" l="1"/>
  <c r="Z566" i="1"/>
  <c r="Z524" i="1"/>
  <c r="Z443" i="1"/>
  <c r="Z395" i="1"/>
  <c r="Z346" i="1"/>
  <c r="Z518" i="1"/>
  <c r="Z325" i="1"/>
  <c r="Z238" i="1"/>
  <c r="Z209" i="1"/>
  <c r="Z160" i="1"/>
  <c r="Z109" i="1"/>
  <c r="Z101" i="1"/>
  <c r="Z89" i="1"/>
  <c r="Z82" i="1"/>
  <c r="Z61" i="1"/>
  <c r="Z54" i="1"/>
  <c r="Y592" i="1"/>
  <c r="Y593" i="1"/>
  <c r="Z548" i="1"/>
  <c r="Y596" i="1"/>
  <c r="Y594" i="1"/>
  <c r="Z26" i="1"/>
  <c r="Z597" i="1" s="1"/>
  <c r="Y595" i="1" l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<sst xmlns="http://schemas.openxmlformats.org/spreadsheetml/2006/main" count="2737" uniqueCount="969">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</sst>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3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6" t="s">
        <v>0</v>
      </c>
      <c r="E1" s="696"/>
      <c r="F1" s="696"/>
      <c r="G1" s="12" t="s">
        <v>1</v>
      </c>
      <c r="H1" s="746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8" t="s">
        <v>8</v>
      </c>
      <c r="B5" s="809"/>
      <c r="C5" s="810"/>
      <c r="D5" s="753"/>
      <c r="E5" s="754"/>
      <c r="F5" s="1000" t="s">
        <v>9</v>
      </c>
      <c r="G5" s="810"/>
      <c r="H5" s="753"/>
      <c r="I5" s="937"/>
      <c r="J5" s="937"/>
      <c r="K5" s="937"/>
      <c r="L5" s="937"/>
      <c r="M5" s="754"/>
      <c r="N5" s="58"/>
      <c r="P5" s="24" t="s">
        <v>10</v>
      </c>
      <c r="Q5" s="1019">
        <v>45757</v>
      </c>
      <c r="R5" s="805"/>
      <c r="T5" s="851" t="s">
        <v>11</v>
      </c>
      <c r="U5" s="762"/>
      <c r="V5" s="852" t="s">
        <v>12</v>
      </c>
      <c r="W5" s="805"/>
      <c r="AB5" s="51"/>
      <c r="AC5" s="51"/>
      <c r="AD5" s="51"/>
      <c r="AE5" s="51"/>
    </row>
    <row r="6" spans="1:32" s="659" customFormat="1" ht="24" customHeight="1" x14ac:dyDescent="0.2">
      <c r="A6" s="808" t="s">
        <v>13</v>
      </c>
      <c r="B6" s="809"/>
      <c r="C6" s="810"/>
      <c r="D6" s="939" t="s">
        <v>14</v>
      </c>
      <c r="E6" s="940"/>
      <c r="F6" s="940"/>
      <c r="G6" s="940"/>
      <c r="H6" s="940"/>
      <c r="I6" s="940"/>
      <c r="J6" s="940"/>
      <c r="K6" s="940"/>
      <c r="L6" s="940"/>
      <c r="M6" s="805"/>
      <c r="N6" s="59"/>
      <c r="P6" s="24" t="s">
        <v>15</v>
      </c>
      <c r="Q6" s="1028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62"/>
      <c r="V6" s="921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19" t="str">
        <f>IFERROR(VLOOKUP(DeliveryAddress,Table,3,0),1)</f>
        <v>1</v>
      </c>
      <c r="E7" s="720"/>
      <c r="F7" s="720"/>
      <c r="G7" s="720"/>
      <c r="H7" s="720"/>
      <c r="I7" s="720"/>
      <c r="J7" s="720"/>
      <c r="K7" s="720"/>
      <c r="L7" s="720"/>
      <c r="M7" s="721"/>
      <c r="N7" s="60"/>
      <c r="P7" s="24"/>
      <c r="Q7" s="42"/>
      <c r="R7" s="42"/>
      <c r="T7" s="680"/>
      <c r="U7" s="762"/>
      <c r="V7" s="922"/>
      <c r="W7" s="923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6"/>
      <c r="C8" s="687"/>
      <c r="D8" s="734" t="s">
        <v>19</v>
      </c>
      <c r="E8" s="735"/>
      <c r="F8" s="735"/>
      <c r="G8" s="735"/>
      <c r="H8" s="735"/>
      <c r="I8" s="735"/>
      <c r="J8" s="735"/>
      <c r="K8" s="735"/>
      <c r="L8" s="735"/>
      <c r="M8" s="736"/>
      <c r="N8" s="61"/>
      <c r="P8" s="24" t="s">
        <v>20</v>
      </c>
      <c r="Q8" s="816">
        <v>0.41666666666666669</v>
      </c>
      <c r="R8" s="721"/>
      <c r="T8" s="680"/>
      <c r="U8" s="762"/>
      <c r="V8" s="922"/>
      <c r="W8" s="923"/>
      <c r="AB8" s="51"/>
      <c r="AC8" s="51"/>
      <c r="AD8" s="51"/>
      <c r="AE8" s="51"/>
    </row>
    <row r="9" spans="1:32" s="659" customFormat="1" ht="39.950000000000003" customHeight="1" x14ac:dyDescent="0.2">
      <c r="A9" s="8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1"/>
      <c r="E9" s="684"/>
      <c r="F9" s="8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798"/>
      <c r="R9" s="799"/>
      <c r="T9" s="680"/>
      <c r="U9" s="762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1"/>
      <c r="E10" s="684"/>
      <c r="F10" s="8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14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57"/>
      <c r="R10" s="858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4"/>
      <c r="R11" s="805"/>
      <c r="U11" s="24" t="s">
        <v>27</v>
      </c>
      <c r="V11" s="964" t="s">
        <v>28</v>
      </c>
      <c r="W11" s="799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09"/>
      <c r="C12" s="809"/>
      <c r="D12" s="809"/>
      <c r="E12" s="809"/>
      <c r="F12" s="809"/>
      <c r="G12" s="809"/>
      <c r="H12" s="809"/>
      <c r="I12" s="809"/>
      <c r="J12" s="809"/>
      <c r="K12" s="809"/>
      <c r="L12" s="809"/>
      <c r="M12" s="810"/>
      <c r="N12" s="62"/>
      <c r="P12" s="24" t="s">
        <v>30</v>
      </c>
      <c r="Q12" s="816"/>
      <c r="R12" s="721"/>
      <c r="S12" s="23"/>
      <c r="U12" s="24"/>
      <c r="V12" s="696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09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10"/>
      <c r="N13" s="62"/>
      <c r="O13" s="26"/>
      <c r="P13" s="26" t="s">
        <v>32</v>
      </c>
      <c r="Q13" s="964"/>
      <c r="R13" s="7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09"/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1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8" t="s">
        <v>34</v>
      </c>
      <c r="B15" s="809"/>
      <c r="C15" s="809"/>
      <c r="D15" s="809"/>
      <c r="E15" s="809"/>
      <c r="F15" s="809"/>
      <c r="G15" s="809"/>
      <c r="H15" s="809"/>
      <c r="I15" s="809"/>
      <c r="J15" s="809"/>
      <c r="K15" s="809"/>
      <c r="L15" s="809"/>
      <c r="M15" s="810"/>
      <c r="N15" s="63"/>
      <c r="P15" s="836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22" t="s">
        <v>38</v>
      </c>
      <c r="D17" s="705" t="s">
        <v>39</v>
      </c>
      <c r="E17" s="778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77"/>
      <c r="R17" s="777"/>
      <c r="S17" s="777"/>
      <c r="T17" s="778"/>
      <c r="U17" s="1043" t="s">
        <v>51</v>
      </c>
      <c r="V17" s="810"/>
      <c r="W17" s="705" t="s">
        <v>52</v>
      </c>
      <c r="X17" s="705" t="s">
        <v>53</v>
      </c>
      <c r="Y17" s="1041" t="s">
        <v>54</v>
      </c>
      <c r="Z17" s="934" t="s">
        <v>55</v>
      </c>
      <c r="AA17" s="911" t="s">
        <v>56</v>
      </c>
      <c r="AB17" s="911" t="s">
        <v>57</v>
      </c>
      <c r="AC17" s="911" t="s">
        <v>58</v>
      </c>
      <c r="AD17" s="911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79"/>
      <c r="E18" s="781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79"/>
      <c r="Q18" s="780"/>
      <c r="R18" s="780"/>
      <c r="S18" s="780"/>
      <c r="T18" s="781"/>
      <c r="U18" s="67" t="s">
        <v>61</v>
      </c>
      <c r="V18" s="67" t="s">
        <v>62</v>
      </c>
      <c r="W18" s="706"/>
      <c r="X18" s="706"/>
      <c r="Y18" s="1042"/>
      <c r="Z18" s="935"/>
      <c r="AA18" s="912"/>
      <c r="AB18" s="912"/>
      <c r="AC18" s="912"/>
      <c r="AD18" s="997"/>
      <c r="AE18" s="998"/>
      <c r="AF18" s="999"/>
      <c r="AG18" s="66"/>
      <c r="BD18" s="65"/>
    </row>
    <row r="19" spans="1:68" ht="27.75" customHeight="1" x14ac:dyDescent="0.2">
      <c r="A19" s="800" t="s">
        <v>63</v>
      </c>
      <c r="B19" s="801"/>
      <c r="C19" s="801"/>
      <c r="D19" s="801"/>
      <c r="E19" s="801"/>
      <c r="F19" s="801"/>
      <c r="G19" s="801"/>
      <c r="H19" s="801"/>
      <c r="I19" s="801"/>
      <c r="J19" s="801"/>
      <c r="K19" s="801"/>
      <c r="L19" s="801"/>
      <c r="M19" s="801"/>
      <c r="N19" s="801"/>
      <c r="O19" s="801"/>
      <c r="P19" s="801"/>
      <c r="Q19" s="801"/>
      <c r="R19" s="801"/>
      <c r="S19" s="801"/>
      <c r="T19" s="801"/>
      <c r="U19" s="801"/>
      <c r="V19" s="801"/>
      <c r="W19" s="801"/>
      <c r="X19" s="801"/>
      <c r="Y19" s="801"/>
      <c r="Z19" s="801"/>
      <c r="AA19" s="48"/>
      <c r="AB19" s="48"/>
      <c r="AC19" s="48"/>
    </row>
    <row r="20" spans="1:68" ht="16.5" customHeight="1" x14ac:dyDescent="0.25">
      <c r="A20" s="716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2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800" t="s">
        <v>88</v>
      </c>
      <c r="B32" s="801"/>
      <c r="C32" s="801"/>
      <c r="D32" s="801"/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V32" s="801"/>
      <c r="W32" s="801"/>
      <c r="X32" s="801"/>
      <c r="Y32" s="801"/>
      <c r="Z32" s="801"/>
      <c r="AA32" s="48"/>
      <c r="AB32" s="48"/>
      <c r="AC32" s="48"/>
    </row>
    <row r="33" spans="1:68" ht="16.5" customHeight="1" x14ac:dyDescent="0.25">
      <c r="A33" s="716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32.4</v>
      </c>
      <c r="Y35" s="666">
        <f>IFERROR(IF(X35="",0,CEILING((X35/$H35),1)*$H35),"")</f>
        <v>32.400000000000006</v>
      </c>
      <c r="Z35" s="36">
        <f>IFERROR(IF(Y35=0,"",ROUNDUP(Y35/H35,0)*0.01898),"")</f>
        <v>5.6940000000000004E-2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33.704999999999991</v>
      </c>
      <c r="BN35" s="64">
        <f>IFERROR(Y35*I35/H35,"0")</f>
        <v>33.705000000000005</v>
      </c>
      <c r="BO35" s="64">
        <f>IFERROR(1/J35*(X35/H35),"0")</f>
        <v>4.6874999999999993E-2</v>
      </c>
      <c r="BP35" s="64">
        <f>IFERROR(1/J35*(Y35/H35),"0")</f>
        <v>4.6875000000000007E-2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0</v>
      </c>
      <c r="Y36" s="666">
        <f>IFERROR(IF(X36="",0,CEILING((X36/$H36),1)*$H36),"")</f>
        <v>0</v>
      </c>
      <c r="Z36" s="36" t="str">
        <f>IFERROR(IF(Y36=0,"",ROUNDUP(Y36/H36,0)*0.00902),"")</f>
        <v/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2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2.9999999999999996</v>
      </c>
      <c r="Y39" s="667">
        <f>IFERROR(Y35/H35,"0")+IFERROR(Y36/H36,"0")+IFERROR(Y37/H37,"0")+IFERROR(Y38/H38,"0")</f>
        <v>3.0000000000000004</v>
      </c>
      <c r="Z39" s="667">
        <f>IFERROR(IF(Z35="",0,Z35),"0")+IFERROR(IF(Z36="",0,Z36),"0")+IFERROR(IF(Z37="",0,Z37),"0")+IFERROR(IF(Z38="",0,Z38),"0")</f>
        <v>5.6940000000000004E-2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32.4</v>
      </c>
      <c r="Y40" s="667">
        <f>IFERROR(SUM(Y35:Y38),"0")</f>
        <v>32.400000000000006</v>
      </c>
      <c r="Z40" s="37"/>
      <c r="AA40" s="668"/>
      <c r="AB40" s="668"/>
      <c r="AC40" s="668"/>
    </row>
    <row r="41" spans="1:68" ht="14.25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716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0</v>
      </c>
      <c r="Y48" s="666">
        <f t="shared" si="0"/>
        <v>0</v>
      </c>
      <c r="Z48" s="36" t="str">
        <f>IFERROR(IF(Y48=0,"",ROUNDUP(Y48/H48,0)*0.01898),"")</f>
        <v/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0</v>
      </c>
      <c r="BN48" s="64">
        <f t="shared" si="2"/>
        <v>0</v>
      </c>
      <c r="BO48" s="64">
        <f t="shared" si="3"/>
        <v>0</v>
      </c>
      <c r="BP48" s="64">
        <f t="shared" si="4"/>
        <v>0</v>
      </c>
    </row>
    <row r="49" spans="1:68" ht="27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9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3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0"/>
        <v>0</v>
      </c>
      <c r="Z53" s="36" t="str">
        <f>IFERROR(IF(Y53=0,"",ROUNDUP(Y53/H53,0)*0.00902),"")</f>
        <v/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0</v>
      </c>
      <c r="Y54" s="667">
        <f>IFERROR(Y47/H47,"0")+IFERROR(Y48/H48,"0")+IFERROR(Y49/H49,"0")+IFERROR(Y50/H50,"0")+IFERROR(Y51/H51,"0")+IFERROR(Y52/H52,"0")+IFERROR(Y53/H53,"0")</f>
        <v>0</v>
      </c>
      <c r="Z54" s="667">
        <f>IFERROR(IF(Z47="",0,Z47),"0")+IFERROR(IF(Z48="",0,Z48),"0")+IFERROR(IF(Z49="",0,Z49),"0")+IFERROR(IF(Z50="",0,Z50),"0")+IFERROR(IF(Z51="",0,Z51),"0")+IFERROR(IF(Z52="",0,Z52),"0")+IFERROR(IF(Z53="",0,Z53),"0")</f>
        <v>0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0</v>
      </c>
      <c r="Y55" s="667">
        <f>IFERROR(SUM(Y47:Y53),"0")</f>
        <v>0</v>
      </c>
      <c r="Z55" s="37"/>
      <c r="AA55" s="668"/>
      <c r="AB55" s="668"/>
      <c r="AC55" s="668"/>
    </row>
    <row r="56" spans="1:68" ht="14.25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10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0</v>
      </c>
      <c r="Y57" s="666">
        <f>IFERROR(IF(X57="",0,CEILING((X57/$H57),1)*$H57),"")</f>
        <v>0</v>
      </c>
      <c r="Z57" s="36" t="str">
        <f>IFERROR(IF(Y57=0,"",ROUNDUP(Y57/H57,0)*0.01898),"")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0</v>
      </c>
      <c r="Y61" s="667">
        <f>IFERROR(Y57/H57,"0")+IFERROR(Y58/H58,"0")+IFERROR(Y59/H59,"0")+IFERROR(Y60/H60,"0")</f>
        <v>0</v>
      </c>
      <c r="Z61" s="667">
        <f>IFERROR(IF(Z57="",0,Z57),"0")+IFERROR(IF(Z58="",0,Z58),"0")+IFERROR(IF(Z59="",0,Z59),"0")+IFERROR(IF(Z60="",0,Z60),"0")</f>
        <v>0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0</v>
      </c>
      <c r="Y62" s="667">
        <f>IFERROR(SUM(Y57:Y60),"0")</f>
        <v>0</v>
      </c>
      <c r="Z62" s="37"/>
      <c r="AA62" s="668"/>
      <c r="AB62" s="668"/>
      <c r="AC62" s="668"/>
    </row>
    <row r="63" spans="1:68" ht="14.25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2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42</v>
      </c>
      <c r="Y72" s="666">
        <f t="shared" si="5"/>
        <v>42</v>
      </c>
      <c r="Z72" s="36">
        <f>IFERROR(IF(Y72=0,"",ROUNDUP(Y72/H72,0)*0.01898),"")</f>
        <v>9.4899999999999998E-2</v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44.534999999999997</v>
      </c>
      <c r="BN72" s="64">
        <f t="shared" si="7"/>
        <v>44.534999999999997</v>
      </c>
      <c r="BO72" s="64">
        <f t="shared" si="8"/>
        <v>7.8125E-2</v>
      </c>
      <c r="BP72" s="64">
        <f t="shared" si="9"/>
        <v>7.8125E-2</v>
      </c>
    </row>
    <row r="73" spans="1:68" ht="16.5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5</v>
      </c>
      <c r="Y76" s="667">
        <f>IFERROR(Y70/H70,"0")+IFERROR(Y71/H71,"0")+IFERROR(Y72/H72,"0")+IFERROR(Y73/H73,"0")+IFERROR(Y74/H74,"0")+IFERROR(Y75/H75,"0")</f>
        <v>5</v>
      </c>
      <c r="Z76" s="667">
        <f>IFERROR(IF(Z70="",0,Z70),"0")+IFERROR(IF(Z71="",0,Z71),"0")+IFERROR(IF(Z72="",0,Z72),"0")+IFERROR(IF(Z73="",0,Z73),"0")+IFERROR(IF(Z74="",0,Z74),"0")+IFERROR(IF(Z75="",0,Z75),"0")</f>
        <v>9.4899999999999998E-2</v>
      </c>
      <c r="AA76" s="668"/>
      <c r="AB76" s="668"/>
      <c r="AC76" s="668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42</v>
      </c>
      <c r="Y77" s="667">
        <f>IFERROR(SUM(Y70:Y75),"0")</f>
        <v>42</v>
      </c>
      <c r="Z77" s="37"/>
      <c r="AA77" s="668"/>
      <c r="AB77" s="668"/>
      <c r="AC77" s="668"/>
    </row>
    <row r="78" spans="1:68" ht="14.25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3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customHeight="1" x14ac:dyDescent="0.25">
      <c r="A84" s="716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50</v>
      </c>
      <c r="Y86" s="666">
        <f>IFERROR(IF(X86="",0,CEILING((X86/$H86),1)*$H86),"")</f>
        <v>54</v>
      </c>
      <c r="Z86" s="36">
        <f>IFERROR(IF(Y86=0,"",ROUNDUP(Y86/H86,0)*0.01898),"")</f>
        <v>9.4899999999999998E-2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52.013888888888886</v>
      </c>
      <c r="BN86" s="64">
        <f>IFERROR(Y86*I86/H86,"0")</f>
        <v>56.17499999999999</v>
      </c>
      <c r="BO86" s="64">
        <f>IFERROR(1/J86*(X86/H86),"0")</f>
        <v>7.2337962962962965E-2</v>
      </c>
      <c r="BP86" s="64">
        <f>IFERROR(1/J86*(Y86/H86),"0")</f>
        <v>7.8125E-2</v>
      </c>
    </row>
    <row r="87" spans="1:68" ht="16.5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9</v>
      </c>
      <c r="Y88" s="666">
        <f>IFERROR(IF(X88="",0,CEILING((X88/$H88),1)*$H88),"")</f>
        <v>9</v>
      </c>
      <c r="Z88" s="36">
        <f>IFERROR(IF(Y88=0,"",ROUNDUP(Y88/H88,0)*0.00902),"")</f>
        <v>1.804E-2</v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9.42</v>
      </c>
      <c r="BN88" s="64">
        <f>IFERROR(Y88*I88/H88,"0")</f>
        <v>9.42</v>
      </c>
      <c r="BO88" s="64">
        <f>IFERROR(1/J88*(X88/H88),"0")</f>
        <v>1.5151515151515152E-2</v>
      </c>
      <c r="BP88" s="64">
        <f>IFERROR(1/J88*(Y88/H88),"0")</f>
        <v>1.5151515151515152E-2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6.6296296296296298</v>
      </c>
      <c r="Y89" s="667">
        <f>IFERROR(Y86/H86,"0")+IFERROR(Y87/H87,"0")+IFERROR(Y88/H88,"0")</f>
        <v>7</v>
      </c>
      <c r="Z89" s="667">
        <f>IFERROR(IF(Z86="",0,Z86),"0")+IFERROR(IF(Z87="",0,Z87),"0")+IFERROR(IF(Z88="",0,Z88),"0")</f>
        <v>0.11294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59</v>
      </c>
      <c r="Y90" s="667">
        <f>IFERROR(SUM(Y86:Y88),"0")</f>
        <v>63</v>
      </c>
      <c r="Z90" s="37"/>
      <c r="AA90" s="668"/>
      <c r="AB90" s="668"/>
      <c r="AC90" s="668"/>
    </row>
    <row r="91" spans="1:68" ht="14.25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4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si="10"/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0</v>
      </c>
      <c r="BN93" s="64">
        <f t="shared" si="12"/>
        <v>0</v>
      </c>
      <c r="BO93" s="64">
        <f t="shared" si="13"/>
        <v>0</v>
      </c>
      <c r="BP93" s="64">
        <f t="shared" si="14"/>
        <v>0</v>
      </c>
    </row>
    <row r="94" spans="1:68" ht="16.5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31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42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71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3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2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0</v>
      </c>
      <c r="Y101" s="667">
        <f>IFERROR(Y92/H92,"0")+IFERROR(Y93/H93,"0")+IFERROR(Y94/H94,"0")+IFERROR(Y95/H95,"0")+IFERROR(Y96/H96,"0")+IFERROR(Y97/H97,"0")+IFERROR(Y98/H98,"0")+IFERROR(Y99/H99,"0")+IFERROR(Y100/H100,"0")</f>
        <v>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0</v>
      </c>
      <c r="Y102" s="667">
        <f>IFERROR(SUM(Y92:Y100),"0")</f>
        <v>0</v>
      </c>
      <c r="Z102" s="37"/>
      <c r="AA102" s="668"/>
      <c r="AB102" s="668"/>
      <c r="AC102" s="668"/>
    </row>
    <row r="103" spans="1:68" ht="16.5" customHeight="1" x14ac:dyDescent="0.25">
      <c r="A103" s="716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9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9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7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18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4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15"/>
        <v>0</v>
      </c>
      <c r="Z120" s="36" t="str">
        <f>IFERROR(IF(Y120=0,"",ROUNDUP(Y120/H120,0)*0.01898),"")</f>
        <v/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0</v>
      </c>
      <c r="BN120" s="64">
        <f t="shared" si="17"/>
        <v>0</v>
      </c>
      <c r="BO120" s="64">
        <f t="shared" si="18"/>
        <v>0</v>
      </c>
      <c r="BP120" s="64">
        <f t="shared" si="19"/>
        <v>0</v>
      </c>
    </row>
    <row r="121" spans="1:68" ht="37.5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100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846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101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0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0</v>
      </c>
      <c r="Y127" s="667">
        <f>IFERROR(Y118/H118,"0")+IFERROR(Y119/H119,"0")+IFERROR(Y120/H120,"0")+IFERROR(Y121/H121,"0")+IFERROR(Y122/H122,"0")+IFERROR(Y123/H123,"0")+IFERROR(Y124/H124,"0")+IFERROR(Y125/H125,"0")+IFERROR(Y126/H126,"0")</f>
        <v>0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0</v>
      </c>
      <c r="Y128" s="667">
        <f>IFERROR(SUM(Y118:Y126),"0")</f>
        <v>0</v>
      </c>
      <c r="Z128" s="37"/>
      <c r="AA128" s="668"/>
      <c r="AB128" s="668"/>
      <c r="AC128" s="668"/>
    </row>
    <row r="129" spans="1:68" ht="14.25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4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716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2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customHeight="1" x14ac:dyDescent="0.25">
      <c r="A150" s="716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customHeight="1" x14ac:dyDescent="0.2">
      <c r="A167" s="800" t="s">
        <v>286</v>
      </c>
      <c r="B167" s="801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01"/>
      <c r="X167" s="801"/>
      <c r="Y167" s="801"/>
      <c r="Z167" s="801"/>
      <c r="AA167" s="48"/>
      <c r="AB167" s="48"/>
      <c r="AC167" s="48"/>
    </row>
    <row r="168" spans="1:68" ht="16.5" customHeight="1" x14ac:dyDescent="0.25">
      <c r="A168" s="716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2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2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6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7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1"/>
        <v>0</v>
      </c>
      <c r="Z217" s="36" t="str">
        <f t="shared" si="36"/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0</v>
      </c>
      <c r="BN217" s="64">
        <f t="shared" si="33"/>
        <v>0</v>
      </c>
      <c r="BO217" s="64">
        <f t="shared" si="34"/>
        <v>0</v>
      </c>
      <c r="BP217" s="64">
        <f t="shared" si="35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6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6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1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51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9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2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6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190</v>
      </c>
      <c r="Y257" s="666">
        <f t="shared" si="42"/>
        <v>194.4</v>
      </c>
      <c r="Z257" s="36">
        <f>IFERROR(IF(Y257=0,"",ROUNDUP(Y257/H257,0)*0.01898),"")</f>
        <v>0.34164</v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197.65277777777777</v>
      </c>
      <c r="BN257" s="64">
        <f t="shared" si="44"/>
        <v>202.22999999999996</v>
      </c>
      <c r="BO257" s="64">
        <f t="shared" si="45"/>
        <v>0.27488425925925924</v>
      </c>
      <c r="BP257" s="64">
        <f t="shared" si="46"/>
        <v>0.28125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8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20</v>
      </c>
      <c r="Y260" s="666">
        <f t="shared" si="42"/>
        <v>20</v>
      </c>
      <c r="Z260" s="36">
        <f>IFERROR(IF(Y260=0,"",ROUNDUP(Y260/H260,0)*0.00902),"")</f>
        <v>4.5100000000000001E-2</v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21.05</v>
      </c>
      <c r="BN260" s="64">
        <f t="shared" si="44"/>
        <v>21.05</v>
      </c>
      <c r="BO260" s="64">
        <f t="shared" si="45"/>
        <v>3.787878787878788E-2</v>
      </c>
      <c r="BP260" s="64">
        <f t="shared" si="46"/>
        <v>3.787878787878788E-2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22.592592592592592</v>
      </c>
      <c r="Y261" s="667">
        <f>IFERROR(Y255/H255,"0")+IFERROR(Y256/H256,"0")+IFERROR(Y257/H257,"0")+IFERROR(Y258/H258,"0")+IFERROR(Y259/H259,"0")+IFERROR(Y260/H260,"0")</f>
        <v>23</v>
      </c>
      <c r="Z261" s="667">
        <f>IFERROR(IF(Z255="",0,Z255),"0")+IFERROR(IF(Z256="",0,Z256),"0")+IFERROR(IF(Z257="",0,Z257),"0")+IFERROR(IF(Z258="",0,Z258),"0")+IFERROR(IF(Z259="",0,Z259),"0")+IFERROR(IF(Z260="",0,Z260),"0")</f>
        <v>0.38673999999999997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210</v>
      </c>
      <c r="Y262" s="667">
        <f>IFERROR(SUM(Y255:Y260),"0")</f>
        <v>214.4</v>
      </c>
      <c r="Z262" s="37"/>
      <c r="AA262" s="668"/>
      <c r="AB262" s="668"/>
      <c r="AC262" s="668"/>
    </row>
    <row r="263" spans="1:68" ht="16.5" customHeight="1" x14ac:dyDescent="0.25">
      <c r="A263" s="716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3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6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2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6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4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6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6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6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6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6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60</v>
      </c>
      <c r="Y319" s="666">
        <f t="shared" ref="Y319:Y324" si="47">IFERROR(IF(X319="",0,CEILING((X319/$H319),1)*$H319),"")</f>
        <v>64.800000000000011</v>
      </c>
      <c r="Z319" s="36">
        <f>IFERROR(IF(Y319=0,"",ROUNDUP(Y319/H319,0)*0.01898),"")</f>
        <v>0.11388000000000001</v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62.416666666666657</v>
      </c>
      <c r="BN319" s="64">
        <f t="shared" ref="BN319:BN324" si="49">IFERROR(Y319*I319/H319,"0")</f>
        <v>67.410000000000011</v>
      </c>
      <c r="BO319" s="64">
        <f t="shared" ref="BO319:BO324" si="50">IFERROR(1/J319*(X319/H319),"0")</f>
        <v>8.6805555555555552E-2</v>
      </c>
      <c r="BP319" s="64">
        <f t="shared" ref="BP319:BP324" si="51">IFERROR(1/J319*(Y319/H319),"0")</f>
        <v>9.3750000000000014E-2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190</v>
      </c>
      <c r="Y321" s="666">
        <f t="shared" si="47"/>
        <v>194.4</v>
      </c>
      <c r="Z321" s="36">
        <f>IFERROR(IF(Y321=0,"",ROUNDUP(Y321/H321,0)*0.01898),"")</f>
        <v>0.34164</v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197.65277777777777</v>
      </c>
      <c r="BN321" s="64">
        <f t="shared" si="49"/>
        <v>202.22999999999996</v>
      </c>
      <c r="BO321" s="64">
        <f t="shared" si="50"/>
        <v>0.27488425925925924</v>
      </c>
      <c r="BP321" s="64">
        <f t="shared" si="51"/>
        <v>0.28125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100</v>
      </c>
      <c r="Y322" s="666">
        <f t="shared" si="47"/>
        <v>108</v>
      </c>
      <c r="Z322" s="36">
        <f>IFERROR(IF(Y322=0,"",ROUNDUP(Y322/H322,0)*0.01898),"")</f>
        <v>0.1898</v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104.02777777777777</v>
      </c>
      <c r="BN322" s="64">
        <f t="shared" si="49"/>
        <v>112.34999999999998</v>
      </c>
      <c r="BO322" s="64">
        <f t="shared" si="50"/>
        <v>0.14467592592592593</v>
      </c>
      <c r="BP322" s="64">
        <f t="shared" si="51"/>
        <v>0.15625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32.407407407407405</v>
      </c>
      <c r="Y325" s="667">
        <f>IFERROR(Y319/H319,"0")+IFERROR(Y320/H320,"0")+IFERROR(Y321/H321,"0")+IFERROR(Y322/H322,"0")+IFERROR(Y323/H323,"0")+IFERROR(Y324/H324,"0")</f>
        <v>34</v>
      </c>
      <c r="Z325" s="667">
        <f>IFERROR(IF(Z319="",0,Z319),"0")+IFERROR(IF(Z320="",0,Z320),"0")+IFERROR(IF(Z321="",0,Z321),"0")+IFERROR(IF(Z322="",0,Z322),"0")+IFERROR(IF(Z323="",0,Z323),"0")+IFERROR(IF(Z324="",0,Z324),"0")</f>
        <v>0.64532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350</v>
      </c>
      <c r="Y326" s="667">
        <f>IFERROR(SUM(Y319:Y324),"0")</f>
        <v>367.20000000000005</v>
      </c>
      <c r="Z326" s="37"/>
      <c r="AA326" s="668"/>
      <c r="AB326" s="668"/>
      <c r="AC326" s="668"/>
    </row>
    <row r="327" spans="1:68" ht="14.25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2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93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10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6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10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800" t="s">
        <v>577</v>
      </c>
      <c r="B372" s="801"/>
      <c r="C372" s="801"/>
      <c r="D372" s="801"/>
      <c r="E372" s="801"/>
      <c r="F372" s="801"/>
      <c r="G372" s="801"/>
      <c r="H372" s="801"/>
      <c r="I372" s="801"/>
      <c r="J372" s="801"/>
      <c r="K372" s="801"/>
      <c r="L372" s="801"/>
      <c r="M372" s="801"/>
      <c r="N372" s="801"/>
      <c r="O372" s="801"/>
      <c r="P372" s="801"/>
      <c r="Q372" s="801"/>
      <c r="R372" s="801"/>
      <c r="S372" s="801"/>
      <c r="T372" s="801"/>
      <c r="U372" s="801"/>
      <c r="V372" s="801"/>
      <c r="W372" s="801"/>
      <c r="X372" s="801"/>
      <c r="Y372" s="801"/>
      <c r="Z372" s="801"/>
      <c r="AA372" s="48"/>
      <c r="AB372" s="48"/>
      <c r="AC372" s="48"/>
    </row>
    <row r="373" spans="1:68" ht="16.5" customHeight="1" x14ac:dyDescent="0.25">
      <c r="A373" s="716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7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100</v>
      </c>
      <c r="Y376" s="666">
        <f t="shared" si="52"/>
        <v>105</v>
      </c>
      <c r="Z376" s="36">
        <f>IFERROR(IF(Y376=0,"",ROUNDUP(Y376/H376,0)*0.02175),"")</f>
        <v>0.15225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103.2</v>
      </c>
      <c r="BN376" s="64">
        <f t="shared" si="54"/>
        <v>108.36</v>
      </c>
      <c r="BO376" s="64">
        <f t="shared" si="55"/>
        <v>0.1388888888888889</v>
      </c>
      <c r="BP376" s="64">
        <f t="shared" si="56"/>
        <v>0.14583333333333331</v>
      </c>
    </row>
    <row r="377" spans="1:68" ht="27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280</v>
      </c>
      <c r="Y378" s="666">
        <f t="shared" si="52"/>
        <v>285</v>
      </c>
      <c r="Z378" s="36">
        <f>IFERROR(IF(Y378=0,"",ROUNDUP(Y378/H378,0)*0.02175),"")</f>
        <v>0.41324999999999995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288.96000000000004</v>
      </c>
      <c r="BN378" s="64">
        <f t="shared" si="54"/>
        <v>294.12</v>
      </c>
      <c r="BO378" s="64">
        <f t="shared" si="55"/>
        <v>0.3888888888888889</v>
      </c>
      <c r="BP378" s="64">
        <f t="shared" si="56"/>
        <v>0.39583333333333331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2"/>
        <v>0</v>
      </c>
      <c r="Z379" s="36" t="str">
        <f>IFERROR(IF(Y379=0,"",ROUNDUP(Y379/H379,0)*0.02175),"")</f>
        <v/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0</v>
      </c>
      <c r="BN379" s="64">
        <f t="shared" si="54"/>
        <v>0</v>
      </c>
      <c r="BO379" s="64">
        <f t="shared" si="55"/>
        <v>0</v>
      </c>
      <c r="BP379" s="64">
        <f t="shared" si="56"/>
        <v>0</v>
      </c>
    </row>
    <row r="380" spans="1:68" ht="27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1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IFERROR(IF(Y381=0,"",ROUNDUP(Y381/H381,0)*0.02175),"")</f>
        <v/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25.333333333333336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26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0.56549999999999989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380</v>
      </c>
      <c r="Y386" s="667">
        <f>IFERROR(SUM(Y375:Y384),"0")</f>
        <v>390</v>
      </c>
      <c r="Z386" s="37"/>
      <c r="AA386" s="668"/>
      <c r="AB386" s="668"/>
      <c r="AC386" s="668"/>
    </row>
    <row r="387" spans="1:68" ht="14.25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690</v>
      </c>
      <c r="Y388" s="666">
        <f>IFERROR(IF(X388="",0,CEILING((X388/$H388),1)*$H388),"")</f>
        <v>690</v>
      </c>
      <c r="Z388" s="36">
        <f>IFERROR(IF(Y388=0,"",ROUNDUP(Y388/H388,0)*0.02175),"")</f>
        <v>1.0004999999999999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712.08</v>
      </c>
      <c r="BN388" s="64">
        <f>IFERROR(Y388*I388/H388,"0")</f>
        <v>712.08</v>
      </c>
      <c r="BO388" s="64">
        <f>IFERROR(1/J388*(X388/H388),"0")</f>
        <v>0.95833333333333326</v>
      </c>
      <c r="BP388" s="64">
        <f>IFERROR(1/J388*(Y388/H388),"0")</f>
        <v>0.95833333333333326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46</v>
      </c>
      <c r="Y390" s="667">
        <f>IFERROR(Y388/H388,"0")+IFERROR(Y389/H389,"0")</f>
        <v>46</v>
      </c>
      <c r="Z390" s="667">
        <f>IFERROR(IF(Z388="",0,Z388),"0")+IFERROR(IF(Z389="",0,Z389),"0")</f>
        <v>1.0004999999999999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690</v>
      </c>
      <c r="Y391" s="667">
        <f>IFERROR(SUM(Y388:Y389),"0")</f>
        <v>690</v>
      </c>
      <c r="Z391" s="37"/>
      <c r="AA391" s="668"/>
      <c r="AB391" s="668"/>
      <c r="AC391" s="668"/>
    </row>
    <row r="392" spans="1:68" ht="14.25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24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4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6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49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5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9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1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5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customHeight="1" x14ac:dyDescent="0.2">
      <c r="A428" s="800" t="s">
        <v>658</v>
      </c>
      <c r="B428" s="801"/>
      <c r="C428" s="801"/>
      <c r="D428" s="801"/>
      <c r="E428" s="801"/>
      <c r="F428" s="801"/>
      <c r="G428" s="801"/>
      <c r="H428" s="801"/>
      <c r="I428" s="801"/>
      <c r="J428" s="801"/>
      <c r="K428" s="801"/>
      <c r="L428" s="801"/>
      <c r="M428" s="801"/>
      <c r="N428" s="801"/>
      <c r="O428" s="801"/>
      <c r="P428" s="801"/>
      <c r="Q428" s="801"/>
      <c r="R428" s="801"/>
      <c r="S428" s="801"/>
      <c r="T428" s="801"/>
      <c r="U428" s="801"/>
      <c r="V428" s="801"/>
      <c r="W428" s="801"/>
      <c r="X428" s="801"/>
      <c r="Y428" s="801"/>
      <c r="Z428" s="801"/>
      <c r="AA428" s="48"/>
      <c r="AB428" s="48"/>
      <c r="AC428" s="48"/>
    </row>
    <row r="429" spans="1:68" ht="16.5" customHeight="1" x14ac:dyDescent="0.25">
      <c r="A429" s="716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23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1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26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29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3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0</v>
      </c>
      <c r="Y444" s="667">
        <f>IFERROR(SUM(Y431:Y442),"0")</f>
        <v>0</v>
      </c>
      <c r="Z444" s="37"/>
      <c r="AA444" s="668"/>
      <c r="AB444" s="668"/>
      <c r="AC444" s="668"/>
    </row>
    <row r="445" spans="1:68" ht="14.25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716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0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customHeight="1" x14ac:dyDescent="0.25">
      <c r="A463" s="716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98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72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customHeight="1" x14ac:dyDescent="0.25">
      <c r="A469" s="716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47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800" t="s">
        <v>733</v>
      </c>
      <c r="B478" s="801"/>
      <c r="C478" s="801"/>
      <c r="D478" s="801"/>
      <c r="E478" s="801"/>
      <c r="F478" s="801"/>
      <c r="G478" s="801"/>
      <c r="H478" s="801"/>
      <c r="I478" s="801"/>
      <c r="J478" s="801"/>
      <c r="K478" s="801"/>
      <c r="L478" s="801"/>
      <c r="M478" s="801"/>
      <c r="N478" s="801"/>
      <c r="O478" s="801"/>
      <c r="P478" s="801"/>
      <c r="Q478" s="801"/>
      <c r="R478" s="801"/>
      <c r="S478" s="801"/>
      <c r="T478" s="801"/>
      <c r="U478" s="801"/>
      <c r="V478" s="801"/>
      <c r="W478" s="801"/>
      <c r="X478" s="801"/>
      <c r="Y478" s="801"/>
      <c r="Z478" s="801"/>
      <c r="AA478" s="48"/>
      <c r="AB478" s="48"/>
      <c r="AC478" s="48"/>
    </row>
    <row r="479" spans="1:68" ht="16.5" customHeight="1" x14ac:dyDescent="0.25">
      <c r="A479" s="716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0</v>
      </c>
      <c r="Y483" s="666">
        <f t="shared" si="68"/>
        <v>0</v>
      </c>
      <c r="Z483" s="36" t="str">
        <f>IFERROR(IF(Y483=0,"",ROUNDUP(Y483/H483,0)*0.01196),"")</f>
        <v/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0</v>
      </c>
      <c r="BN483" s="64">
        <f t="shared" si="70"/>
        <v>0</v>
      </c>
      <c r="BO483" s="64">
        <f t="shared" si="71"/>
        <v>0</v>
      </c>
      <c r="BP483" s="64">
        <f t="shared" si="72"/>
        <v>0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50</v>
      </c>
      <c r="Y484" s="666">
        <f t="shared" si="68"/>
        <v>52.800000000000004</v>
      </c>
      <c r="Z484" s="36">
        <f>IFERROR(IF(Y484=0,"",ROUNDUP(Y484/H484,0)*0.01196),"")</f>
        <v>0.1196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53.409090909090907</v>
      </c>
      <c r="BN484" s="64">
        <f t="shared" si="70"/>
        <v>56.400000000000006</v>
      </c>
      <c r="BO484" s="64">
        <f t="shared" si="71"/>
        <v>9.1054778554778545E-2</v>
      </c>
      <c r="BP484" s="64">
        <f t="shared" si="72"/>
        <v>9.6153846153846159E-2</v>
      </c>
    </row>
    <row r="485" spans="1:68" ht="16.5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1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1005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1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7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4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8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2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9.4696969696969688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10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0.1196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50</v>
      </c>
      <c r="Y497" s="667">
        <f>IFERROR(SUM(Y481:Y495),"0")</f>
        <v>52.800000000000004</v>
      </c>
      <c r="Z497" s="37"/>
      <c r="AA497" s="668"/>
      <c r="AB497" s="668"/>
      <c r="AC497" s="668"/>
    </row>
    <row r="498" spans="1:68" ht="14.25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08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847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44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3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3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0</v>
      </c>
      <c r="BN506" s="64">
        <f t="shared" ref="BN506:BN517" si="75">IFERROR(Y506*I506/H506,"0")</f>
        <v>0</v>
      </c>
      <c r="BO506" s="64">
        <f t="shared" ref="BO506:BO517" si="76">IFERROR(1/J506*(X506/H506),"0")</f>
        <v>0</v>
      </c>
      <c r="BP506" s="64">
        <f t="shared" ref="BP506:BP517" si="77">IFERROR(1/J506*(Y506/H506),"0")</f>
        <v>0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6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3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0</v>
      </c>
      <c r="BN508" s="64">
        <f t="shared" si="75"/>
        <v>0</v>
      </c>
      <c r="BO508" s="64">
        <f t="shared" si="76"/>
        <v>0</v>
      </c>
      <c r="BP508" s="64">
        <f t="shared" si="77"/>
        <v>0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100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3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17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6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101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4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43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0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800" t="s">
        <v>833</v>
      </c>
      <c r="B531" s="801"/>
      <c r="C531" s="801"/>
      <c r="D531" s="801"/>
      <c r="E531" s="801"/>
      <c r="F531" s="801"/>
      <c r="G531" s="801"/>
      <c r="H531" s="801"/>
      <c r="I531" s="801"/>
      <c r="J531" s="801"/>
      <c r="K531" s="801"/>
      <c r="L531" s="801"/>
      <c r="M531" s="801"/>
      <c r="N531" s="801"/>
      <c r="O531" s="801"/>
      <c r="P531" s="801"/>
      <c r="Q531" s="801"/>
      <c r="R531" s="801"/>
      <c r="S531" s="801"/>
      <c r="T531" s="801"/>
      <c r="U531" s="801"/>
      <c r="V531" s="801"/>
      <c r="W531" s="801"/>
      <c r="X531" s="801"/>
      <c r="Y531" s="801"/>
      <c r="Z531" s="801"/>
      <c r="AA531" s="48"/>
      <c r="AB531" s="48"/>
      <c r="AC531" s="48"/>
    </row>
    <row r="532" spans="1:68" ht="16.5" customHeight="1" x14ac:dyDescent="0.25">
      <c r="A532" s="716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09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6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4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47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4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9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2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2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14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26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6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8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6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33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96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41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68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6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6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4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2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62"/>
      <c r="P592" s="833" t="s">
        <v>943</v>
      </c>
      <c r="Q592" s="809"/>
      <c r="R592" s="809"/>
      <c r="S592" s="809"/>
      <c r="T592" s="809"/>
      <c r="U592" s="809"/>
      <c r="V592" s="810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1813.4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1851.8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62"/>
      <c r="P593" s="833" t="s">
        <v>944</v>
      </c>
      <c r="Q593" s="809"/>
      <c r="R593" s="809"/>
      <c r="S593" s="809"/>
      <c r="T593" s="809"/>
      <c r="U593" s="809"/>
      <c r="V593" s="810"/>
      <c r="W593" s="37" t="s">
        <v>69</v>
      </c>
      <c r="X593" s="667">
        <f>IFERROR(SUM(BM22:BM589),"0")</f>
        <v>1880.12297979798</v>
      </c>
      <c r="Y593" s="667">
        <f>IFERROR(SUM(BN22:BN589),"0")</f>
        <v>1920.0650000000001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62"/>
      <c r="P594" s="833" t="s">
        <v>945</v>
      </c>
      <c r="Q594" s="809"/>
      <c r="R594" s="809"/>
      <c r="S594" s="809"/>
      <c r="T594" s="809"/>
      <c r="U594" s="809"/>
      <c r="V594" s="810"/>
      <c r="W594" s="37" t="s">
        <v>946</v>
      </c>
      <c r="X594" s="38">
        <f>ROUNDUP(SUM(BO22:BO589),0)</f>
        <v>3</v>
      </c>
      <c r="Y594" s="38">
        <f>ROUNDUP(SUM(BP22:BP589),0)</f>
        <v>3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62"/>
      <c r="P595" s="833" t="s">
        <v>947</v>
      </c>
      <c r="Q595" s="809"/>
      <c r="R595" s="809"/>
      <c r="S595" s="809"/>
      <c r="T595" s="809"/>
      <c r="U595" s="809"/>
      <c r="V595" s="810"/>
      <c r="W595" s="37" t="s">
        <v>69</v>
      </c>
      <c r="X595" s="667">
        <f>GrossWeightTotal+PalletQtyTotal*25</f>
        <v>1955.12297979798</v>
      </c>
      <c r="Y595" s="667">
        <f>GrossWeightTotalR+PalletQtyTotalR*25</f>
        <v>1995.0650000000001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62"/>
      <c r="P596" s="833" t="s">
        <v>948</v>
      </c>
      <c r="Q596" s="809"/>
      <c r="R596" s="809"/>
      <c r="S596" s="809"/>
      <c r="T596" s="809"/>
      <c r="U596" s="809"/>
      <c r="V596" s="810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150.43265993265993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154</v>
      </c>
      <c r="Z596" s="37"/>
      <c r="AA596" s="668"/>
      <c r="AB596" s="668"/>
      <c r="AC596" s="668"/>
    </row>
    <row r="597" spans="1:32" ht="14.25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62"/>
      <c r="P597" s="833" t="s">
        <v>949</v>
      </c>
      <c r="Q597" s="809"/>
      <c r="R597" s="809"/>
      <c r="S597" s="809"/>
      <c r="T597" s="809"/>
      <c r="U597" s="809"/>
      <c r="V597" s="810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2.98244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8"/>
      <c r="E599" s="698"/>
      <c r="F599" s="698"/>
      <c r="G599" s="698"/>
      <c r="H599" s="699"/>
      <c r="I599" s="676" t="s">
        <v>286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6" t="s">
        <v>577</v>
      </c>
      <c r="X599" s="699"/>
      <c r="Y599" s="676" t="s">
        <v>658</v>
      </c>
      <c r="Z599" s="698"/>
      <c r="AA599" s="698"/>
      <c r="AB599" s="699"/>
      <c r="AC599" s="662" t="s">
        <v>733</v>
      </c>
      <c r="AD599" s="676" t="s">
        <v>833</v>
      </c>
      <c r="AE599" s="699"/>
      <c r="AF599" s="663"/>
    </row>
    <row r="600" spans="1:32" ht="14.25" customHeight="1" thickTop="1" x14ac:dyDescent="0.2">
      <c r="A600" s="984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85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32.400000000000006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42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63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0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214.4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367.20000000000005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1080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52.800000000000004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M17:M18"/>
    <mergeCell ref="A531:Z531"/>
    <mergeCell ref="A469:Z469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A20:Z20"/>
    <mergeCell ref="P529:V529"/>
    <mergeCell ref="P426:V426"/>
    <mergeCell ref="P178:T178"/>
    <mergeCell ref="P105:T105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86:E86"/>
    <mergeCell ref="P49:T49"/>
    <mergeCell ref="P36:T36"/>
    <mergeCell ref="D321:E321"/>
    <mergeCell ref="P278:T278"/>
    <mergeCell ref="P107:T107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2025-04-08T09:44:43Z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