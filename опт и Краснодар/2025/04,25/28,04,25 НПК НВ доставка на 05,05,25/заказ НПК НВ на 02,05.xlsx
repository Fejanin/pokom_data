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8,04,25 НПК НВ доставка на 05,05,25\"/>
    </mc:Choice>
  </mc:AlternateContent>
  <xr:revisionPtr revIDLastSave="0" documentId="13_ncr:1_{613A03D1-7791-458D-ADF8-59BDAD2E780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X594" i="1"/>
  <c r="BO593" i="1"/>
  <c r="BM593" i="1"/>
  <c r="Y593" i="1"/>
  <c r="Y595" i="1" s="1"/>
  <c r="X591" i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X578" i="1"/>
  <c r="X577" i="1"/>
  <c r="BO576" i="1"/>
  <c r="BM576" i="1"/>
  <c r="Y576" i="1"/>
  <c r="BO575" i="1"/>
  <c r="BM575" i="1"/>
  <c r="Y575" i="1"/>
  <c r="BO574" i="1"/>
  <c r="BM574" i="1"/>
  <c r="Y574" i="1"/>
  <c r="BO573" i="1"/>
  <c r="BM573" i="1"/>
  <c r="Y573" i="1"/>
  <c r="X571" i="1"/>
  <c r="X570" i="1"/>
  <c r="BP569" i="1"/>
  <c r="BO569" i="1"/>
  <c r="BN569" i="1"/>
  <c r="BM569" i="1"/>
  <c r="Z569" i="1"/>
  <c r="Y569" i="1"/>
  <c r="BP568" i="1"/>
  <c r="BO568" i="1"/>
  <c r="BN568" i="1"/>
  <c r="BM568" i="1"/>
  <c r="Z568" i="1"/>
  <c r="Y568" i="1"/>
  <c r="BP567" i="1"/>
  <c r="BO567" i="1"/>
  <c r="BN567" i="1"/>
  <c r="BM567" i="1"/>
  <c r="Z567" i="1"/>
  <c r="Y567" i="1"/>
  <c r="BP566" i="1"/>
  <c r="BO566" i="1"/>
  <c r="BN566" i="1"/>
  <c r="BM566" i="1"/>
  <c r="Z566" i="1"/>
  <c r="Y566" i="1"/>
  <c r="BO565" i="1"/>
  <c r="BM565" i="1"/>
  <c r="Y565" i="1"/>
  <c r="Y571" i="1" s="1"/>
  <c r="X563" i="1"/>
  <c r="X562" i="1"/>
  <c r="BO561" i="1"/>
  <c r="BM561" i="1"/>
  <c r="Y561" i="1"/>
  <c r="BO560" i="1"/>
  <c r="BM560" i="1"/>
  <c r="Y560" i="1"/>
  <c r="BO559" i="1"/>
  <c r="BM559" i="1"/>
  <c r="Y559" i="1"/>
  <c r="BO558" i="1"/>
  <c r="BM558" i="1"/>
  <c r="Y558" i="1"/>
  <c r="BO557" i="1"/>
  <c r="BM557" i="1"/>
  <c r="Y557" i="1"/>
  <c r="BO556" i="1"/>
  <c r="BM556" i="1"/>
  <c r="Y556" i="1"/>
  <c r="BO555" i="1"/>
  <c r="BM555" i="1"/>
  <c r="Y555" i="1"/>
  <c r="X553" i="1"/>
  <c r="Y552" i="1"/>
  <c r="X552" i="1"/>
  <c r="BP551" i="1"/>
  <c r="BO551" i="1"/>
  <c r="BN551" i="1"/>
  <c r="BM551" i="1"/>
  <c r="Z551" i="1"/>
  <c r="Y551" i="1"/>
  <c r="BP550" i="1"/>
  <c r="BO550" i="1"/>
  <c r="BN550" i="1"/>
  <c r="BM550" i="1"/>
  <c r="Z550" i="1"/>
  <c r="Y550" i="1"/>
  <c r="BP549" i="1"/>
  <c r="BO549" i="1"/>
  <c r="BN549" i="1"/>
  <c r="BM549" i="1"/>
  <c r="Z549" i="1"/>
  <c r="Y549" i="1"/>
  <c r="BP548" i="1"/>
  <c r="BO548" i="1"/>
  <c r="BN548" i="1"/>
  <c r="BM548" i="1"/>
  <c r="Z548" i="1"/>
  <c r="Y548" i="1"/>
  <c r="BP547" i="1"/>
  <c r="BO547" i="1"/>
  <c r="BN547" i="1"/>
  <c r="BM547" i="1"/>
  <c r="Z547" i="1"/>
  <c r="Z552" i="1" s="1"/>
  <c r="Y547" i="1"/>
  <c r="Y553" i="1" s="1"/>
  <c r="X545" i="1"/>
  <c r="X544" i="1"/>
  <c r="BO543" i="1"/>
  <c r="BM543" i="1"/>
  <c r="Y543" i="1"/>
  <c r="BO542" i="1"/>
  <c r="BM542" i="1"/>
  <c r="Y542" i="1"/>
  <c r="BO541" i="1"/>
  <c r="BM541" i="1"/>
  <c r="Y541" i="1"/>
  <c r="BO540" i="1"/>
  <c r="BM540" i="1"/>
  <c r="Y540" i="1"/>
  <c r="BO539" i="1"/>
  <c r="BN539" i="1"/>
  <c r="BM539" i="1"/>
  <c r="Z539" i="1"/>
  <c r="Y539" i="1"/>
  <c r="BP539" i="1" s="1"/>
  <c r="BP538" i="1"/>
  <c r="BO538" i="1"/>
  <c r="BN538" i="1"/>
  <c r="BM538" i="1"/>
  <c r="Z538" i="1"/>
  <c r="Y538" i="1"/>
  <c r="X534" i="1"/>
  <c r="X533" i="1"/>
  <c r="BO532" i="1"/>
  <c r="BM532" i="1"/>
  <c r="Y532" i="1"/>
  <c r="Y534" i="1" s="1"/>
  <c r="X530" i="1"/>
  <c r="X529" i="1"/>
  <c r="BP528" i="1"/>
  <c r="BO528" i="1"/>
  <c r="BN528" i="1"/>
  <c r="BM528" i="1"/>
  <c r="Z528" i="1"/>
  <c r="Y528" i="1"/>
  <c r="P528" i="1"/>
  <c r="BO527" i="1"/>
  <c r="BM527" i="1"/>
  <c r="Y527" i="1"/>
  <c r="BP527" i="1" s="1"/>
  <c r="P527" i="1"/>
  <c r="BP526" i="1"/>
  <c r="BO526" i="1"/>
  <c r="BN526" i="1"/>
  <c r="BM526" i="1"/>
  <c r="Z526" i="1"/>
  <c r="Y526" i="1"/>
  <c r="Y529" i="1" s="1"/>
  <c r="P526" i="1"/>
  <c r="X524" i="1"/>
  <c r="X523" i="1"/>
  <c r="BP522" i="1"/>
  <c r="BO522" i="1"/>
  <c r="BN522" i="1"/>
  <c r="BM522" i="1"/>
  <c r="Z522" i="1"/>
  <c r="Y522" i="1"/>
  <c r="P522" i="1"/>
  <c r="BO521" i="1"/>
  <c r="BM521" i="1"/>
  <c r="Y521" i="1"/>
  <c r="BP521" i="1" s="1"/>
  <c r="BO520" i="1"/>
  <c r="BM520" i="1"/>
  <c r="Y520" i="1"/>
  <c r="BP520" i="1" s="1"/>
  <c r="P520" i="1"/>
  <c r="BP519" i="1"/>
  <c r="BO519" i="1"/>
  <c r="BN519" i="1"/>
  <c r="BM519" i="1"/>
  <c r="Z519" i="1"/>
  <c r="Y519" i="1"/>
  <c r="BP518" i="1"/>
  <c r="BO518" i="1"/>
  <c r="BN518" i="1"/>
  <c r="BM518" i="1"/>
  <c r="Z518" i="1"/>
  <c r="Y518" i="1"/>
  <c r="P518" i="1"/>
  <c r="BO517" i="1"/>
  <c r="BM517" i="1"/>
  <c r="Y517" i="1"/>
  <c r="BP517" i="1" s="1"/>
  <c r="BO516" i="1"/>
  <c r="BM516" i="1"/>
  <c r="Y516" i="1"/>
  <c r="BP516" i="1" s="1"/>
  <c r="BO515" i="1"/>
  <c r="BM515" i="1"/>
  <c r="Y515" i="1"/>
  <c r="BP515" i="1" s="1"/>
  <c r="BO514" i="1"/>
  <c r="BM514" i="1"/>
  <c r="Y514" i="1"/>
  <c r="BP514" i="1" s="1"/>
  <c r="BO513" i="1"/>
  <c r="BM513" i="1"/>
  <c r="Y513" i="1"/>
  <c r="BP513" i="1" s="1"/>
  <c r="BO512" i="1"/>
  <c r="BM512" i="1"/>
  <c r="Y512" i="1"/>
  <c r="Y523" i="1" s="1"/>
  <c r="X510" i="1"/>
  <c r="Y509" i="1"/>
  <c r="X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Z509" i="1" s="1"/>
  <c r="Y505" i="1"/>
  <c r="Y510" i="1" s="1"/>
  <c r="P505" i="1"/>
  <c r="X503" i="1"/>
  <c r="X502" i="1"/>
  <c r="BP501" i="1"/>
  <c r="BO501" i="1"/>
  <c r="BN501" i="1"/>
  <c r="BM501" i="1"/>
  <c r="Z501" i="1"/>
  <c r="Y501" i="1"/>
  <c r="P501" i="1"/>
  <c r="BO500" i="1"/>
  <c r="BM500" i="1"/>
  <c r="Y500" i="1"/>
  <c r="BP500" i="1" s="1"/>
  <c r="P500" i="1"/>
  <c r="BP499" i="1"/>
  <c r="BO499" i="1"/>
  <c r="BN499" i="1"/>
  <c r="BM499" i="1"/>
  <c r="Z499" i="1"/>
  <c r="Y499" i="1"/>
  <c r="P499" i="1"/>
  <c r="BO498" i="1"/>
  <c r="BM498" i="1"/>
  <c r="Y498" i="1"/>
  <c r="BP498" i="1" s="1"/>
  <c r="BO497" i="1"/>
  <c r="BM497" i="1"/>
  <c r="Y497" i="1"/>
  <c r="BP497" i="1" s="1"/>
  <c r="BO496" i="1"/>
  <c r="BM496" i="1"/>
  <c r="Y496" i="1"/>
  <c r="BP496" i="1" s="1"/>
  <c r="BO495" i="1"/>
  <c r="BM495" i="1"/>
  <c r="Y495" i="1"/>
  <c r="BP495" i="1" s="1"/>
  <c r="P495" i="1"/>
  <c r="BP494" i="1"/>
  <c r="BO494" i="1"/>
  <c r="BN494" i="1"/>
  <c r="BM494" i="1"/>
  <c r="Z494" i="1"/>
  <c r="Y494" i="1"/>
  <c r="P494" i="1"/>
  <c r="BO493" i="1"/>
  <c r="BM493" i="1"/>
  <c r="Y493" i="1"/>
  <c r="BP493" i="1" s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P491" i="1"/>
  <c r="BO490" i="1"/>
  <c r="BM490" i="1"/>
  <c r="Y490" i="1"/>
  <c r="BP490" i="1" s="1"/>
  <c r="P490" i="1"/>
  <c r="BP489" i="1"/>
  <c r="BO489" i="1"/>
  <c r="BN489" i="1"/>
  <c r="BM489" i="1"/>
  <c r="Z489" i="1"/>
  <c r="Y489" i="1"/>
  <c r="P489" i="1"/>
  <c r="BO488" i="1"/>
  <c r="BM488" i="1"/>
  <c r="Y488" i="1"/>
  <c r="BP488" i="1" s="1"/>
  <c r="P488" i="1"/>
  <c r="BP487" i="1"/>
  <c r="BO487" i="1"/>
  <c r="BN487" i="1"/>
  <c r="BM487" i="1"/>
  <c r="Z487" i="1"/>
  <c r="Y487" i="1"/>
  <c r="P487" i="1"/>
  <c r="BO486" i="1"/>
  <c r="BM486" i="1"/>
  <c r="Y486" i="1"/>
  <c r="AC606" i="1" s="1"/>
  <c r="P486" i="1"/>
  <c r="X482" i="1"/>
  <c r="X481" i="1"/>
  <c r="BO480" i="1"/>
  <c r="BM480" i="1"/>
  <c r="Y480" i="1"/>
  <c r="Y482" i="1" s="1"/>
  <c r="P480" i="1"/>
  <c r="X478" i="1"/>
  <c r="X477" i="1"/>
  <c r="BO476" i="1"/>
  <c r="BM476" i="1"/>
  <c r="Y476" i="1"/>
  <c r="AB606" i="1" s="1"/>
  <c r="P476" i="1"/>
  <c r="X473" i="1"/>
  <c r="X472" i="1"/>
  <c r="BO471" i="1"/>
  <c r="BM471" i="1"/>
  <c r="Y471" i="1"/>
  <c r="BP471" i="1" s="1"/>
  <c r="BO470" i="1"/>
  <c r="BM470" i="1"/>
  <c r="Y470" i="1"/>
  <c r="AA606" i="1" s="1"/>
  <c r="P470" i="1"/>
  <c r="X467" i="1"/>
  <c r="X466" i="1"/>
  <c r="BO465" i="1"/>
  <c r="BM465" i="1"/>
  <c r="Y465" i="1"/>
  <c r="BP465" i="1" s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Y459" i="1" s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BP436" i="1"/>
  <c r="BO436" i="1"/>
  <c r="BN436" i="1"/>
  <c r="BM436" i="1"/>
  <c r="Z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BP383" i="1" s="1"/>
  <c r="P383" i="1"/>
  <c r="X379" i="1"/>
  <c r="X378" i="1"/>
  <c r="BO377" i="1"/>
  <c r="BM377" i="1"/>
  <c r="Y377" i="1"/>
  <c r="BP377" i="1" s="1"/>
  <c r="P377" i="1"/>
  <c r="BP376" i="1"/>
  <c r="BO376" i="1"/>
  <c r="BN376" i="1"/>
  <c r="BM376" i="1"/>
  <c r="Z376" i="1"/>
  <c r="Y376" i="1"/>
  <c r="P376" i="1"/>
  <c r="BO375" i="1"/>
  <c r="BM375" i="1"/>
  <c r="Y375" i="1"/>
  <c r="Y379" i="1" s="1"/>
  <c r="P375" i="1"/>
  <c r="X373" i="1"/>
  <c r="X372" i="1"/>
  <c r="BO371" i="1"/>
  <c r="BM371" i="1"/>
  <c r="Y371" i="1"/>
  <c r="V606" i="1" s="1"/>
  <c r="P371" i="1"/>
  <c r="X368" i="1"/>
  <c r="X367" i="1"/>
  <c r="BO366" i="1"/>
  <c r="BM366" i="1"/>
  <c r="Y366" i="1"/>
  <c r="BP366" i="1" s="1"/>
  <c r="P366" i="1"/>
  <c r="BP365" i="1"/>
  <c r="BO365" i="1"/>
  <c r="BN365" i="1"/>
  <c r="BM365" i="1"/>
  <c r="Z365" i="1"/>
  <c r="Y365" i="1"/>
  <c r="P365" i="1"/>
  <c r="BO364" i="1"/>
  <c r="BM364" i="1"/>
  <c r="Y364" i="1"/>
  <c r="Y368" i="1" s="1"/>
  <c r="P364" i="1"/>
  <c r="X362" i="1"/>
  <c r="X361" i="1"/>
  <c r="BO360" i="1"/>
  <c r="BM360" i="1"/>
  <c r="Y360" i="1"/>
  <c r="BP360" i="1" s="1"/>
  <c r="P360" i="1"/>
  <c r="BP359" i="1"/>
  <c r="BO359" i="1"/>
  <c r="BN359" i="1"/>
  <c r="BM359" i="1"/>
  <c r="Z359" i="1"/>
  <c r="Y359" i="1"/>
  <c r="P359" i="1"/>
  <c r="BO358" i="1"/>
  <c r="BM358" i="1"/>
  <c r="Y358" i="1"/>
  <c r="BP358" i="1" s="1"/>
  <c r="BO357" i="1"/>
  <c r="BM357" i="1"/>
  <c r="Y357" i="1"/>
  <c r="Y362" i="1" s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Y354" i="1" s="1"/>
  <c r="P352" i="1"/>
  <c r="BP351" i="1"/>
  <c r="BO351" i="1"/>
  <c r="BN351" i="1"/>
  <c r="BM351" i="1"/>
  <c r="Z351" i="1"/>
  <c r="Y351" i="1"/>
  <c r="Y355" i="1" s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BP346" i="1" s="1"/>
  <c r="P346" i="1"/>
  <c r="BP345" i="1"/>
  <c r="BO345" i="1"/>
  <c r="BN345" i="1"/>
  <c r="BM345" i="1"/>
  <c r="Z345" i="1"/>
  <c r="Y345" i="1"/>
  <c r="P345" i="1"/>
  <c r="BO344" i="1"/>
  <c r="BM344" i="1"/>
  <c r="Y344" i="1"/>
  <c r="Y348" i="1" s="1"/>
  <c r="P344" i="1"/>
  <c r="BP343" i="1"/>
  <c r="BO343" i="1"/>
  <c r="BN343" i="1"/>
  <c r="BM343" i="1"/>
  <c r="Z343" i="1"/>
  <c r="Y343" i="1"/>
  <c r="Y349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Y340" i="1" s="1"/>
  <c r="P336" i="1"/>
  <c r="X334" i="1"/>
  <c r="X333" i="1"/>
  <c r="BO332" i="1"/>
  <c r="BM332" i="1"/>
  <c r="Y332" i="1"/>
  <c r="BP332" i="1" s="1"/>
  <c r="P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4" i="1" s="1"/>
  <c r="P328" i="1"/>
  <c r="BP327" i="1"/>
  <c r="BO327" i="1"/>
  <c r="BN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Y318" i="1" s="1"/>
  <c r="P316" i="1"/>
  <c r="X314" i="1"/>
  <c r="X313" i="1"/>
  <c r="BO312" i="1"/>
  <c r="BM312" i="1"/>
  <c r="Y312" i="1"/>
  <c r="S606" i="1" s="1"/>
  <c r="P312" i="1"/>
  <c r="X309" i="1"/>
  <c r="X308" i="1"/>
  <c r="BO307" i="1"/>
  <c r="BM307" i="1"/>
  <c r="Y307" i="1"/>
  <c r="R606" i="1" s="1"/>
  <c r="P307" i="1"/>
  <c r="X304" i="1"/>
  <c r="X303" i="1"/>
  <c r="BO302" i="1"/>
  <c r="BM302" i="1"/>
  <c r="Y302" i="1"/>
  <c r="Y304" i="1" s="1"/>
  <c r="P302" i="1"/>
  <c r="X300" i="1"/>
  <c r="X299" i="1"/>
  <c r="BO298" i="1"/>
  <c r="BM298" i="1"/>
  <c r="Y298" i="1"/>
  <c r="Y300" i="1" s="1"/>
  <c r="P298" i="1"/>
  <c r="X296" i="1"/>
  <c r="X295" i="1"/>
  <c r="BO294" i="1"/>
  <c r="BM294" i="1"/>
  <c r="Y294" i="1"/>
  <c r="Q606" i="1" s="1"/>
  <c r="P294" i="1"/>
  <c r="X291" i="1"/>
  <c r="X290" i="1"/>
  <c r="BO289" i="1"/>
  <c r="BM289" i="1"/>
  <c r="Y289" i="1"/>
  <c r="BP289" i="1" s="1"/>
  <c r="P289" i="1"/>
  <c r="BP288" i="1"/>
  <c r="BO288" i="1"/>
  <c r="BN288" i="1"/>
  <c r="BM288" i="1"/>
  <c r="Z288" i="1"/>
  <c r="Y288" i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P606" i="1" s="1"/>
  <c r="P285" i="1"/>
  <c r="X282" i="1"/>
  <c r="X281" i="1"/>
  <c r="BO280" i="1"/>
  <c r="BM280" i="1"/>
  <c r="Y280" i="1"/>
  <c r="BP280" i="1" s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O606" i="1" s="1"/>
  <c r="P277" i="1"/>
  <c r="X274" i="1"/>
  <c r="X273" i="1"/>
  <c r="BO272" i="1"/>
  <c r="BM272" i="1"/>
  <c r="Y272" i="1"/>
  <c r="M606" i="1" s="1"/>
  <c r="P272" i="1"/>
  <c r="X269" i="1"/>
  <c r="X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Y269" i="1" s="1"/>
  <c r="P263" i="1"/>
  <c r="BP262" i="1"/>
  <c r="BO262" i="1"/>
  <c r="BN262" i="1"/>
  <c r="BM262" i="1"/>
  <c r="Z262" i="1"/>
  <c r="Y262" i="1"/>
  <c r="P262" i="1"/>
  <c r="X259" i="1"/>
  <c r="Y258" i="1"/>
  <c r="X258" i="1"/>
  <c r="BP257" i="1"/>
  <c r="BO257" i="1"/>
  <c r="BN257" i="1"/>
  <c r="BM257" i="1"/>
  <c r="Z257" i="1"/>
  <c r="Y257" i="1"/>
  <c r="BP256" i="1"/>
  <c r="BO256" i="1"/>
  <c r="BN256" i="1"/>
  <c r="BM256" i="1"/>
  <c r="Z256" i="1"/>
  <c r="Y256" i="1"/>
  <c r="BP255" i="1"/>
  <c r="BO255" i="1"/>
  <c r="BN255" i="1"/>
  <c r="BM255" i="1"/>
  <c r="Z255" i="1"/>
  <c r="Y255" i="1"/>
  <c r="BP254" i="1"/>
  <c r="BO254" i="1"/>
  <c r="BN254" i="1"/>
  <c r="BM254" i="1"/>
  <c r="Z254" i="1"/>
  <c r="Y254" i="1"/>
  <c r="BP253" i="1"/>
  <c r="BO253" i="1"/>
  <c r="BN253" i="1"/>
  <c r="BM253" i="1"/>
  <c r="Z253" i="1"/>
  <c r="Z258" i="1" s="1"/>
  <c r="Y253" i="1"/>
  <c r="Y259" i="1" s="1"/>
  <c r="X251" i="1"/>
  <c r="X250" i="1"/>
  <c r="BO249" i="1"/>
  <c r="BM249" i="1"/>
  <c r="Y249" i="1"/>
  <c r="Y251" i="1" s="1"/>
  <c r="X247" i="1"/>
  <c r="X246" i="1"/>
  <c r="BP245" i="1"/>
  <c r="BO245" i="1"/>
  <c r="BN245" i="1"/>
  <c r="BM245" i="1"/>
  <c r="Z245" i="1"/>
  <c r="Y245" i="1"/>
  <c r="P245" i="1"/>
  <c r="BO244" i="1"/>
  <c r="BM244" i="1"/>
  <c r="Y244" i="1"/>
  <c r="Y246" i="1" s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K606" i="1" s="1"/>
  <c r="P233" i="1"/>
  <c r="X230" i="1"/>
  <c r="X229" i="1"/>
  <c r="BO228" i="1"/>
  <c r="BM228" i="1"/>
  <c r="Y228" i="1"/>
  <c r="Y230" i="1" s="1"/>
  <c r="P228" i="1"/>
  <c r="BP227" i="1"/>
  <c r="BO227" i="1"/>
  <c r="BN227" i="1"/>
  <c r="BM227" i="1"/>
  <c r="Z227" i="1"/>
  <c r="Y227" i="1"/>
  <c r="Y229" i="1" s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Y225" i="1" s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Y212" i="1" s="1"/>
  <c r="P204" i="1"/>
  <c r="X202" i="1"/>
  <c r="X201" i="1"/>
  <c r="BO200" i="1"/>
  <c r="BM200" i="1"/>
  <c r="Y200" i="1"/>
  <c r="Y202" i="1" s="1"/>
  <c r="P200" i="1"/>
  <c r="BP199" i="1"/>
  <c r="BO199" i="1"/>
  <c r="BN199" i="1"/>
  <c r="BM199" i="1"/>
  <c r="Z199" i="1"/>
  <c r="Y199" i="1"/>
  <c r="Y201" i="1" s="1"/>
  <c r="P199" i="1"/>
  <c r="X197" i="1"/>
  <c r="X196" i="1"/>
  <c r="BP195" i="1"/>
  <c r="BO195" i="1"/>
  <c r="BN195" i="1"/>
  <c r="BM195" i="1"/>
  <c r="Z195" i="1"/>
  <c r="Y195" i="1"/>
  <c r="P195" i="1"/>
  <c r="BO194" i="1"/>
  <c r="BM194" i="1"/>
  <c r="Y194" i="1"/>
  <c r="J606" i="1" s="1"/>
  <c r="P194" i="1"/>
  <c r="X191" i="1"/>
  <c r="X190" i="1"/>
  <c r="BO189" i="1"/>
  <c r="BM189" i="1"/>
  <c r="Y189" i="1"/>
  <c r="Y191" i="1" s="1"/>
  <c r="X187" i="1"/>
  <c r="Y186" i="1"/>
  <c r="X186" i="1"/>
  <c r="BP185" i="1"/>
  <c r="BO185" i="1"/>
  <c r="BN185" i="1"/>
  <c r="BM185" i="1"/>
  <c r="Z185" i="1"/>
  <c r="Y185" i="1"/>
  <c r="BP184" i="1"/>
  <c r="BO184" i="1"/>
  <c r="BN184" i="1"/>
  <c r="BM184" i="1"/>
  <c r="Z184" i="1"/>
  <c r="Y184" i="1"/>
  <c r="BP183" i="1"/>
  <c r="BO183" i="1"/>
  <c r="BN183" i="1"/>
  <c r="BM183" i="1"/>
  <c r="Z183" i="1"/>
  <c r="Z186" i="1" s="1"/>
  <c r="Y183" i="1"/>
  <c r="Y187" i="1" s="1"/>
  <c r="X181" i="1"/>
  <c r="X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Y181" i="1" s="1"/>
  <c r="P172" i="1"/>
  <c r="BP171" i="1"/>
  <c r="BO171" i="1"/>
  <c r="BN171" i="1"/>
  <c r="BM171" i="1"/>
  <c r="Z171" i="1"/>
  <c r="Y171" i="1"/>
  <c r="Y180" i="1" s="1"/>
  <c r="P171" i="1"/>
  <c r="X169" i="1"/>
  <c r="Y168" i="1"/>
  <c r="X168" i="1"/>
  <c r="BP167" i="1"/>
  <c r="BO167" i="1"/>
  <c r="BN167" i="1"/>
  <c r="BM167" i="1"/>
  <c r="Z167" i="1"/>
  <c r="Z168" i="1" s="1"/>
  <c r="Y167" i="1"/>
  <c r="P167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9" i="1"/>
  <c r="X158" i="1"/>
  <c r="BP157" i="1"/>
  <c r="BO157" i="1"/>
  <c r="BN157" i="1"/>
  <c r="BM157" i="1"/>
  <c r="Z157" i="1"/>
  <c r="Y157" i="1"/>
  <c r="P157" i="1"/>
  <c r="BO156" i="1"/>
  <c r="BM156" i="1"/>
  <c r="Y156" i="1"/>
  <c r="Y158" i="1" s="1"/>
  <c r="P156" i="1"/>
  <c r="BP155" i="1"/>
  <c r="BO155" i="1"/>
  <c r="BN155" i="1"/>
  <c r="BM155" i="1"/>
  <c r="Z155" i="1"/>
  <c r="Y155" i="1"/>
  <c r="Y159" i="1" s="1"/>
  <c r="P155" i="1"/>
  <c r="X153" i="1"/>
  <c r="Y152" i="1"/>
  <c r="X152" i="1"/>
  <c r="BP151" i="1"/>
  <c r="BO151" i="1"/>
  <c r="BN151" i="1"/>
  <c r="BM151" i="1"/>
  <c r="Z151" i="1"/>
  <c r="Z152" i="1" s="1"/>
  <c r="Y151" i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Y147" i="1" s="1"/>
  <c r="P145" i="1"/>
  <c r="X143" i="1"/>
  <c r="X142" i="1"/>
  <c r="BO141" i="1"/>
  <c r="BM141" i="1"/>
  <c r="Y141" i="1"/>
  <c r="Y143" i="1" s="1"/>
  <c r="P141" i="1"/>
  <c r="BP140" i="1"/>
  <c r="BO140" i="1"/>
  <c r="BN140" i="1"/>
  <c r="BM140" i="1"/>
  <c r="Z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G606" i="1" s="1"/>
  <c r="P135" i="1"/>
  <c r="X132" i="1"/>
  <c r="X131" i="1"/>
  <c r="BO130" i="1"/>
  <c r="BM130" i="1"/>
  <c r="Y130" i="1"/>
  <c r="Y132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O123" i="1"/>
  <c r="BM123" i="1"/>
  <c r="Y123" i="1"/>
  <c r="BP123" i="1" s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BP120" i="1"/>
  <c r="BO120" i="1"/>
  <c r="BN120" i="1"/>
  <c r="BM120" i="1"/>
  <c r="Z120" i="1"/>
  <c r="Y120" i="1"/>
  <c r="P120" i="1"/>
  <c r="BO119" i="1"/>
  <c r="BM119" i="1"/>
  <c r="Y119" i="1"/>
  <c r="Y126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P94" i="1"/>
  <c r="BP93" i="1"/>
  <c r="BO93" i="1"/>
  <c r="BN93" i="1"/>
  <c r="BM93" i="1"/>
  <c r="Z93" i="1"/>
  <c r="Y93" i="1"/>
  <c r="Y10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P61" i="1"/>
  <c r="BP60" i="1"/>
  <c r="BO60" i="1"/>
  <c r="BN60" i="1"/>
  <c r="BM60" i="1"/>
  <c r="Z60" i="1"/>
  <c r="Y60" i="1"/>
  <c r="P60" i="1"/>
  <c r="BO59" i="1"/>
  <c r="BM59" i="1"/>
  <c r="Y59" i="1"/>
  <c r="Y63" i="1" s="1"/>
  <c r="P59" i="1"/>
  <c r="BP58" i="1"/>
  <c r="BO58" i="1"/>
  <c r="BN58" i="1"/>
  <c r="BM58" i="1"/>
  <c r="Z58" i="1"/>
  <c r="Y58" i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P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6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8" i="1" s="1"/>
  <c r="BM22" i="1"/>
  <c r="X597" i="1" s="1"/>
  <c r="Y22" i="1"/>
  <c r="B606" i="1" s="1"/>
  <c r="P22" i="1"/>
  <c r="H10" i="1"/>
  <c r="A9" i="1"/>
  <c r="A10" i="1" s="1"/>
  <c r="D7" i="1"/>
  <c r="Q6" i="1"/>
  <c r="P2" i="1"/>
  <c r="Z565" i="1" l="1"/>
  <c r="Z570" i="1" s="1"/>
  <c r="BN565" i="1"/>
  <c r="BP565" i="1"/>
  <c r="Y570" i="1"/>
  <c r="Y224" i="1"/>
  <c r="Z123" i="1"/>
  <c r="BN123" i="1"/>
  <c r="Y102" i="1"/>
  <c r="X599" i="1"/>
  <c r="F9" i="1"/>
  <c r="J9" i="1"/>
  <c r="F10" i="1"/>
  <c r="Z22" i="1"/>
  <c r="BN22" i="1"/>
  <c r="BP22" i="1"/>
  <c r="Z26" i="1"/>
  <c r="BN26" i="1"/>
  <c r="X600" i="1"/>
  <c r="Y29" i="1"/>
  <c r="C606" i="1"/>
  <c r="Z38" i="1"/>
  <c r="Z41" i="1" s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53" i="1"/>
  <c r="BN53" i="1"/>
  <c r="Z53" i="1"/>
  <c r="Y62" i="1"/>
  <c r="BP61" i="1"/>
  <c r="BN61" i="1"/>
  <c r="Z61" i="1"/>
  <c r="Y68" i="1"/>
  <c r="BP65" i="1"/>
  <c r="BN65" i="1"/>
  <c r="Z65" i="1"/>
  <c r="BP73" i="1"/>
  <c r="BN73" i="1"/>
  <c r="Z73" i="1"/>
  <c r="Y83" i="1"/>
  <c r="BP81" i="1"/>
  <c r="BN81" i="1"/>
  <c r="Z81" i="1"/>
  <c r="Z83" i="1" s="1"/>
  <c r="H9" i="1"/>
  <c r="Y28" i="1"/>
  <c r="D606" i="1"/>
  <c r="Y56" i="1"/>
  <c r="BP51" i="1"/>
  <c r="BN51" i="1"/>
  <c r="Z51" i="1"/>
  <c r="Y55" i="1"/>
  <c r="BP59" i="1"/>
  <c r="BN59" i="1"/>
  <c r="Z59" i="1"/>
  <c r="Z62" i="1" s="1"/>
  <c r="BP67" i="1"/>
  <c r="BN67" i="1"/>
  <c r="Z67" i="1"/>
  <c r="Y69" i="1"/>
  <c r="Y78" i="1"/>
  <c r="BP71" i="1"/>
  <c r="BN71" i="1"/>
  <c r="Z71" i="1"/>
  <c r="Z77" i="1" s="1"/>
  <c r="BP75" i="1"/>
  <c r="BN75" i="1"/>
  <c r="Z75" i="1"/>
  <c r="Y84" i="1"/>
  <c r="E606" i="1"/>
  <c r="Z88" i="1"/>
  <c r="Z90" i="1" s="1"/>
  <c r="BN88" i="1"/>
  <c r="BP88" i="1"/>
  <c r="Y91" i="1"/>
  <c r="Z94" i="1"/>
  <c r="Z102" i="1" s="1"/>
  <c r="BN94" i="1"/>
  <c r="BP94" i="1"/>
  <c r="Z95" i="1"/>
  <c r="BN95" i="1"/>
  <c r="Z96" i="1"/>
  <c r="BN96" i="1"/>
  <c r="Z97" i="1"/>
  <c r="BN97" i="1"/>
  <c r="Z98" i="1"/>
  <c r="BN98" i="1"/>
  <c r="Z100" i="1"/>
  <c r="BN100" i="1"/>
  <c r="F606" i="1"/>
  <c r="Z107" i="1"/>
  <c r="Z110" i="1" s="1"/>
  <c r="BN107" i="1"/>
  <c r="BP107" i="1"/>
  <c r="Z109" i="1"/>
  <c r="BN109" i="1"/>
  <c r="Y110" i="1"/>
  <c r="Z113" i="1"/>
  <c r="Z116" i="1" s="1"/>
  <c r="BN113" i="1"/>
  <c r="BP113" i="1"/>
  <c r="Z115" i="1"/>
  <c r="BN115" i="1"/>
  <c r="Y116" i="1"/>
  <c r="Z119" i="1"/>
  <c r="BN119" i="1"/>
  <c r="BP119" i="1"/>
  <c r="Z124" i="1"/>
  <c r="BN124" i="1"/>
  <c r="Y127" i="1"/>
  <c r="Z130" i="1"/>
  <c r="Z131" i="1" s="1"/>
  <c r="BN130" i="1"/>
  <c r="BP130" i="1"/>
  <c r="Z135" i="1"/>
  <c r="Z137" i="1" s="1"/>
  <c r="BN135" i="1"/>
  <c r="BP135" i="1"/>
  <c r="Y138" i="1"/>
  <c r="Z141" i="1"/>
  <c r="Z142" i="1" s="1"/>
  <c r="BN141" i="1"/>
  <c r="BP141" i="1"/>
  <c r="Z145" i="1"/>
  <c r="Z147" i="1" s="1"/>
  <c r="BN145" i="1"/>
  <c r="BP145" i="1"/>
  <c r="Y148" i="1"/>
  <c r="H606" i="1"/>
  <c r="Y153" i="1"/>
  <c r="Z156" i="1"/>
  <c r="Z158" i="1" s="1"/>
  <c r="BN156" i="1"/>
  <c r="BP156" i="1"/>
  <c r="I606" i="1"/>
  <c r="Y169" i="1"/>
  <c r="Z172" i="1"/>
  <c r="Z180" i="1" s="1"/>
  <c r="BN172" i="1"/>
  <c r="BP172" i="1"/>
  <c r="Z174" i="1"/>
  <c r="BN174" i="1"/>
  <c r="Z177" i="1"/>
  <c r="BN177" i="1"/>
  <c r="Z179" i="1"/>
  <c r="BN179" i="1"/>
  <c r="Z189" i="1"/>
  <c r="Z190" i="1" s="1"/>
  <c r="BN189" i="1"/>
  <c r="BP189" i="1"/>
  <c r="Y190" i="1"/>
  <c r="Z194" i="1"/>
  <c r="Z196" i="1" s="1"/>
  <c r="BN194" i="1"/>
  <c r="BP194" i="1"/>
  <c r="Y197" i="1"/>
  <c r="Z200" i="1"/>
  <c r="Z201" i="1" s="1"/>
  <c r="BN200" i="1"/>
  <c r="BP200" i="1"/>
  <c r="Z204" i="1"/>
  <c r="BN204" i="1"/>
  <c r="BP204" i="1"/>
  <c r="Z206" i="1"/>
  <c r="BN206" i="1"/>
  <c r="Z208" i="1"/>
  <c r="BN208" i="1"/>
  <c r="Z210" i="1"/>
  <c r="BN210" i="1"/>
  <c r="Y213" i="1"/>
  <c r="Z216" i="1"/>
  <c r="Z224" i="1" s="1"/>
  <c r="BN216" i="1"/>
  <c r="BP216" i="1"/>
  <c r="Z218" i="1"/>
  <c r="BN218" i="1"/>
  <c r="Z220" i="1"/>
  <c r="BN220" i="1"/>
  <c r="Z222" i="1"/>
  <c r="BN222" i="1"/>
  <c r="Z228" i="1"/>
  <c r="Z229" i="1" s="1"/>
  <c r="BN228" i="1"/>
  <c r="BP228" i="1"/>
  <c r="Z233" i="1"/>
  <c r="BN233" i="1"/>
  <c r="BP233" i="1"/>
  <c r="Z235" i="1"/>
  <c r="BN235" i="1"/>
  <c r="Z237" i="1"/>
  <c r="BN237" i="1"/>
  <c r="Z239" i="1"/>
  <c r="BN239" i="1"/>
  <c r="Y242" i="1"/>
  <c r="Z244" i="1"/>
  <c r="Z246" i="1" s="1"/>
  <c r="BN244" i="1"/>
  <c r="BP244" i="1"/>
  <c r="Y247" i="1"/>
  <c r="Z249" i="1"/>
  <c r="Z250" i="1" s="1"/>
  <c r="BN249" i="1"/>
  <c r="BP249" i="1"/>
  <c r="Y250" i="1"/>
  <c r="L606" i="1"/>
  <c r="Z263" i="1"/>
  <c r="Z268" i="1" s="1"/>
  <c r="BN263" i="1"/>
  <c r="BP263" i="1"/>
  <c r="Z265" i="1"/>
  <c r="BN265" i="1"/>
  <c r="Z267" i="1"/>
  <c r="BN267" i="1"/>
  <c r="Y268" i="1"/>
  <c r="Z272" i="1"/>
  <c r="Z273" i="1" s="1"/>
  <c r="BN272" i="1"/>
  <c r="BP272" i="1"/>
  <c r="Y273" i="1"/>
  <c r="Z277" i="1"/>
  <c r="Z281" i="1" s="1"/>
  <c r="BN277" i="1"/>
  <c r="BP277" i="1"/>
  <c r="Z279" i="1"/>
  <c r="BN279" i="1"/>
  <c r="Z280" i="1"/>
  <c r="BN280" i="1"/>
  <c r="Y281" i="1"/>
  <c r="Z285" i="1"/>
  <c r="Z290" i="1" s="1"/>
  <c r="BN285" i="1"/>
  <c r="BP285" i="1"/>
  <c r="Z287" i="1"/>
  <c r="BN287" i="1"/>
  <c r="Z289" i="1"/>
  <c r="BN289" i="1"/>
  <c r="Y290" i="1"/>
  <c r="Z294" i="1"/>
  <c r="Z295" i="1" s="1"/>
  <c r="BN294" i="1"/>
  <c r="BP294" i="1"/>
  <c r="Y295" i="1"/>
  <c r="Z298" i="1"/>
  <c r="Z299" i="1" s="1"/>
  <c r="BN298" i="1"/>
  <c r="BP298" i="1"/>
  <c r="Y299" i="1"/>
  <c r="Z302" i="1"/>
  <c r="Z303" i="1" s="1"/>
  <c r="BN302" i="1"/>
  <c r="BP302" i="1"/>
  <c r="Y303" i="1"/>
  <c r="Z307" i="1"/>
  <c r="Z308" i="1" s="1"/>
  <c r="BN307" i="1"/>
  <c r="BP307" i="1"/>
  <c r="Y308" i="1"/>
  <c r="Z312" i="1"/>
  <c r="Z313" i="1" s="1"/>
  <c r="BN312" i="1"/>
  <c r="BP312" i="1"/>
  <c r="Y313" i="1"/>
  <c r="Z316" i="1"/>
  <c r="Z318" i="1" s="1"/>
  <c r="BN316" i="1"/>
  <c r="BP316" i="1"/>
  <c r="Y319" i="1"/>
  <c r="Y324" i="1"/>
  <c r="U606" i="1"/>
  <c r="Z328" i="1"/>
  <c r="Z333" i="1" s="1"/>
  <c r="BN328" i="1"/>
  <c r="BP328" i="1"/>
  <c r="Z330" i="1"/>
  <c r="BN330" i="1"/>
  <c r="Z332" i="1"/>
  <c r="BN332" i="1"/>
  <c r="Y333" i="1"/>
  <c r="Z336" i="1"/>
  <c r="Z340" i="1" s="1"/>
  <c r="BN336" i="1"/>
  <c r="BP336" i="1"/>
  <c r="Z338" i="1"/>
  <c r="BN338" i="1"/>
  <c r="Y341" i="1"/>
  <c r="Z344" i="1"/>
  <c r="Z348" i="1" s="1"/>
  <c r="BN344" i="1"/>
  <c r="BP344" i="1"/>
  <c r="Z346" i="1"/>
  <c r="BN346" i="1"/>
  <c r="Z352" i="1"/>
  <c r="Z354" i="1" s="1"/>
  <c r="BN352" i="1"/>
  <c r="BP352" i="1"/>
  <c r="Z357" i="1"/>
  <c r="Z361" i="1" s="1"/>
  <c r="BN357" i="1"/>
  <c r="BP357" i="1"/>
  <c r="Z358" i="1"/>
  <c r="BN358" i="1"/>
  <c r="Z360" i="1"/>
  <c r="BN360" i="1"/>
  <c r="Y361" i="1"/>
  <c r="Z364" i="1"/>
  <c r="Z367" i="1" s="1"/>
  <c r="BN364" i="1"/>
  <c r="BP364" i="1"/>
  <c r="Z366" i="1"/>
  <c r="BN366" i="1"/>
  <c r="Y367" i="1"/>
  <c r="Z371" i="1"/>
  <c r="Z372" i="1" s="1"/>
  <c r="BN371" i="1"/>
  <c r="BP371" i="1"/>
  <c r="Y372" i="1"/>
  <c r="Z375" i="1"/>
  <c r="Z378" i="1" s="1"/>
  <c r="BN375" i="1"/>
  <c r="BP375" i="1"/>
  <c r="Z377" i="1"/>
  <c r="BN377" i="1"/>
  <c r="Y378" i="1"/>
  <c r="Z383" i="1"/>
  <c r="BN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3" i="1"/>
  <c r="BN443" i="1"/>
  <c r="Z443" i="1"/>
  <c r="BP446" i="1"/>
  <c r="BN446" i="1"/>
  <c r="Z446" i="1"/>
  <c r="Y453" i="1"/>
  <c r="Y467" i="1"/>
  <c r="Y466" i="1"/>
  <c r="BP462" i="1"/>
  <c r="BN462" i="1"/>
  <c r="Z462" i="1"/>
  <c r="Y137" i="1"/>
  <c r="Y196" i="1"/>
  <c r="Y241" i="1"/>
  <c r="Y274" i="1"/>
  <c r="Y282" i="1"/>
  <c r="Y291" i="1"/>
  <c r="Y296" i="1"/>
  <c r="Y309" i="1"/>
  <c r="Y314" i="1"/>
  <c r="Y373" i="1"/>
  <c r="W606" i="1"/>
  <c r="Y394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Z416" i="1" s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Z427" i="1" s="1"/>
  <c r="Y427" i="1"/>
  <c r="Y431" i="1"/>
  <c r="BP430" i="1"/>
  <c r="BN430" i="1"/>
  <c r="Z430" i="1"/>
  <c r="Z431" i="1" s="1"/>
  <c r="Y432" i="1"/>
  <c r="BP441" i="1"/>
  <c r="BN441" i="1"/>
  <c r="Z441" i="1"/>
  <c r="BP444" i="1"/>
  <c r="BN444" i="1"/>
  <c r="Z444" i="1"/>
  <c r="Z448" i="1" s="1"/>
  <c r="Y448" i="1"/>
  <c r="BP452" i="1"/>
  <c r="BN452" i="1"/>
  <c r="Z452" i="1"/>
  <c r="Z453" i="1" s="1"/>
  <c r="Y454" i="1"/>
  <c r="Z606" i="1"/>
  <c r="Y460" i="1"/>
  <c r="BP457" i="1"/>
  <c r="BN457" i="1"/>
  <c r="Z457" i="1"/>
  <c r="Z459" i="1" s="1"/>
  <c r="Y606" i="1"/>
  <c r="Y449" i="1"/>
  <c r="Z465" i="1"/>
  <c r="BN465" i="1"/>
  <c r="Z470" i="1"/>
  <c r="BN470" i="1"/>
  <c r="BP470" i="1"/>
  <c r="Z471" i="1"/>
  <c r="BN471" i="1"/>
  <c r="Y472" i="1"/>
  <c r="Z476" i="1"/>
  <c r="Z477" i="1" s="1"/>
  <c r="BN476" i="1"/>
  <c r="BP476" i="1"/>
  <c r="Y477" i="1"/>
  <c r="Z480" i="1"/>
  <c r="Z481" i="1" s="1"/>
  <c r="BN480" i="1"/>
  <c r="BP480" i="1"/>
  <c r="Y481" i="1"/>
  <c r="Z486" i="1"/>
  <c r="BN486" i="1"/>
  <c r="BP486" i="1"/>
  <c r="Z488" i="1"/>
  <c r="BN488" i="1"/>
  <c r="Z490" i="1"/>
  <c r="BN490" i="1"/>
  <c r="Z493" i="1"/>
  <c r="BN493" i="1"/>
  <c r="Z495" i="1"/>
  <c r="BN495" i="1"/>
  <c r="Z496" i="1"/>
  <c r="BN496" i="1"/>
  <c r="Z497" i="1"/>
  <c r="BN497" i="1"/>
  <c r="Z498" i="1"/>
  <c r="BN498" i="1"/>
  <c r="Z500" i="1"/>
  <c r="BN500" i="1"/>
  <c r="Y503" i="1"/>
  <c r="Z512" i="1"/>
  <c r="BN512" i="1"/>
  <c r="BP512" i="1"/>
  <c r="Z513" i="1"/>
  <c r="BN513" i="1"/>
  <c r="Z514" i="1"/>
  <c r="BN514" i="1"/>
  <c r="Z515" i="1"/>
  <c r="BN515" i="1"/>
  <c r="Z516" i="1"/>
  <c r="BN516" i="1"/>
  <c r="Z517" i="1"/>
  <c r="BN517" i="1"/>
  <c r="Z520" i="1"/>
  <c r="BN520" i="1"/>
  <c r="Z521" i="1"/>
  <c r="BN521" i="1"/>
  <c r="Y524" i="1"/>
  <c r="Z527" i="1"/>
  <c r="Z529" i="1" s="1"/>
  <c r="BN527" i="1"/>
  <c r="Y530" i="1"/>
  <c r="Z532" i="1"/>
  <c r="Z533" i="1" s="1"/>
  <c r="BN532" i="1"/>
  <c r="BP532" i="1"/>
  <c r="Y533" i="1"/>
  <c r="AD606" i="1"/>
  <c r="Y544" i="1"/>
  <c r="BP541" i="1"/>
  <c r="BN541" i="1"/>
  <c r="Z541" i="1"/>
  <c r="BP543" i="1"/>
  <c r="BN543" i="1"/>
  <c r="Z543" i="1"/>
  <c r="Y545" i="1"/>
  <c r="Y562" i="1"/>
  <c r="BP555" i="1"/>
  <c r="BN555" i="1"/>
  <c r="Z555" i="1"/>
  <c r="BP557" i="1"/>
  <c r="BN557" i="1"/>
  <c r="Z557" i="1"/>
  <c r="BP559" i="1"/>
  <c r="BN559" i="1"/>
  <c r="Z559" i="1"/>
  <c r="BP561" i="1"/>
  <c r="BN561" i="1"/>
  <c r="Z561" i="1"/>
  <c r="Y563" i="1"/>
  <c r="Y577" i="1"/>
  <c r="BP573" i="1"/>
  <c r="BN573" i="1"/>
  <c r="Z573" i="1"/>
  <c r="BP575" i="1"/>
  <c r="BN575" i="1"/>
  <c r="Z575" i="1"/>
  <c r="AE606" i="1"/>
  <c r="Y473" i="1"/>
  <c r="Y478" i="1"/>
  <c r="Y502" i="1"/>
  <c r="BP540" i="1"/>
  <c r="BN540" i="1"/>
  <c r="Z540" i="1"/>
  <c r="Z544" i="1" s="1"/>
  <c r="BP542" i="1"/>
  <c r="BN542" i="1"/>
  <c r="Z542" i="1"/>
  <c r="BP556" i="1"/>
  <c r="BN556" i="1"/>
  <c r="Z556" i="1"/>
  <c r="BP558" i="1"/>
  <c r="BN558" i="1"/>
  <c r="Z558" i="1"/>
  <c r="BP560" i="1"/>
  <c r="BN560" i="1"/>
  <c r="Z560" i="1"/>
  <c r="BP574" i="1"/>
  <c r="BN574" i="1"/>
  <c r="Z574" i="1"/>
  <c r="BP576" i="1"/>
  <c r="BN576" i="1"/>
  <c r="Z576" i="1"/>
  <c r="Y578" i="1"/>
  <c r="Y586" i="1"/>
  <c r="BP585" i="1"/>
  <c r="BN585" i="1"/>
  <c r="Z585" i="1"/>
  <c r="Z586" i="1" s="1"/>
  <c r="Y587" i="1"/>
  <c r="Y583" i="1"/>
  <c r="Z593" i="1"/>
  <c r="Z594" i="1" s="1"/>
  <c r="BN593" i="1"/>
  <c r="BP593" i="1"/>
  <c r="Y594" i="1"/>
  <c r="Z126" i="1" l="1"/>
  <c r="Z577" i="1"/>
  <c r="Z562" i="1"/>
  <c r="Z241" i="1"/>
  <c r="Z212" i="1"/>
  <c r="Y600" i="1"/>
  <c r="Z68" i="1"/>
  <c r="Z55" i="1"/>
  <c r="Y596" i="1"/>
  <c r="Y598" i="1"/>
  <c r="Z28" i="1"/>
  <c r="Z523" i="1"/>
  <c r="Z502" i="1"/>
  <c r="Z472" i="1"/>
  <c r="Z466" i="1"/>
  <c r="Z393" i="1"/>
  <c r="Y597" i="1"/>
  <c r="Y599" i="1" l="1"/>
  <c r="Z601" i="1"/>
</calcChain>
</file>

<file path=xl/sharedStrings.xml><?xml version="1.0" encoding="utf-8"?>
<sst xmlns="http://schemas.openxmlformats.org/spreadsheetml/2006/main" count="2760" uniqueCount="998">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</sst>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3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90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974" t="s">
        <v>0</v>
      </c>
      <c r="E1" s="716"/>
      <c r="F1" s="716"/>
      <c r="G1" s="12" t="s">
        <v>1</v>
      </c>
      <c r="H1" s="974" t="s">
        <v>2</v>
      </c>
      <c r="I1" s="716"/>
      <c r="J1" s="716"/>
      <c r="K1" s="716"/>
      <c r="L1" s="716"/>
      <c r="M1" s="716"/>
      <c r="N1" s="716"/>
      <c r="O1" s="716"/>
      <c r="P1" s="716"/>
      <c r="Q1" s="716"/>
      <c r="R1" s="1037" t="s">
        <v>3</v>
      </c>
      <c r="S1" s="716"/>
      <c r="T1" s="71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931" t="s">
        <v>8</v>
      </c>
      <c r="B5" s="672"/>
      <c r="C5" s="673"/>
      <c r="D5" s="801"/>
      <c r="E5" s="803"/>
      <c r="F5" s="752" t="s">
        <v>9</v>
      </c>
      <c r="G5" s="673"/>
      <c r="H5" s="801"/>
      <c r="I5" s="802"/>
      <c r="J5" s="802"/>
      <c r="K5" s="802"/>
      <c r="L5" s="802"/>
      <c r="M5" s="803"/>
      <c r="N5" s="58"/>
      <c r="P5" s="24" t="s">
        <v>10</v>
      </c>
      <c r="Q5" s="769">
        <v>45773</v>
      </c>
      <c r="R5" s="770"/>
      <c r="T5" s="902" t="s">
        <v>11</v>
      </c>
      <c r="U5" s="692"/>
      <c r="V5" s="904" t="s">
        <v>12</v>
      </c>
      <c r="W5" s="770"/>
      <c r="AB5" s="51"/>
      <c r="AC5" s="51"/>
      <c r="AD5" s="51"/>
      <c r="AE5" s="51"/>
    </row>
    <row r="6" spans="1:32" s="661" customFormat="1" ht="24" customHeight="1" x14ac:dyDescent="0.2">
      <c r="A6" s="931" t="s">
        <v>13</v>
      </c>
      <c r="B6" s="672"/>
      <c r="C6" s="673"/>
      <c r="D6" s="808" t="s">
        <v>14</v>
      </c>
      <c r="E6" s="809"/>
      <c r="F6" s="809"/>
      <c r="G6" s="809"/>
      <c r="H6" s="809"/>
      <c r="I6" s="809"/>
      <c r="J6" s="809"/>
      <c r="K6" s="809"/>
      <c r="L6" s="809"/>
      <c r="M6" s="770"/>
      <c r="N6" s="59"/>
      <c r="P6" s="24" t="s">
        <v>15</v>
      </c>
      <c r="Q6" s="711" t="str">
        <f>IF(Q5=0," ",CHOOSE(WEEKDAY(Q5,2),"Понедельник","Вторник","Среда","Четверг","Пятница","Суббота","Воскресенье"))</f>
        <v>Суббота</v>
      </c>
      <c r="R6" s="678"/>
      <c r="T6" s="912" t="s">
        <v>16</v>
      </c>
      <c r="U6" s="692"/>
      <c r="V6" s="817" t="s">
        <v>17</v>
      </c>
      <c r="W6" s="818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1011" t="str">
        <f>IFERROR(VLOOKUP(DeliveryAddress,Table,3,0),1)</f>
        <v>1</v>
      </c>
      <c r="E7" s="1012"/>
      <c r="F7" s="1012"/>
      <c r="G7" s="1012"/>
      <c r="H7" s="1012"/>
      <c r="I7" s="1012"/>
      <c r="J7" s="1012"/>
      <c r="K7" s="1012"/>
      <c r="L7" s="1012"/>
      <c r="M7" s="907"/>
      <c r="N7" s="60"/>
      <c r="P7" s="24"/>
      <c r="Q7" s="42"/>
      <c r="R7" s="42"/>
      <c r="T7" s="680"/>
      <c r="U7" s="692"/>
      <c r="V7" s="819"/>
      <c r="W7" s="820"/>
      <c r="AB7" s="51"/>
      <c r="AC7" s="51"/>
      <c r="AD7" s="51"/>
      <c r="AE7" s="51"/>
    </row>
    <row r="8" spans="1:32" s="661" customFormat="1" ht="25.5" customHeight="1" x14ac:dyDescent="0.2">
      <c r="A8" s="702" t="s">
        <v>18</v>
      </c>
      <c r="B8" s="700"/>
      <c r="C8" s="701"/>
      <c r="D8" s="1020"/>
      <c r="E8" s="1021"/>
      <c r="F8" s="1021"/>
      <c r="G8" s="1021"/>
      <c r="H8" s="1021"/>
      <c r="I8" s="1021"/>
      <c r="J8" s="1021"/>
      <c r="K8" s="1021"/>
      <c r="L8" s="1021"/>
      <c r="M8" s="1022"/>
      <c r="N8" s="61"/>
      <c r="P8" s="24" t="s">
        <v>19</v>
      </c>
      <c r="Q8" s="906">
        <v>0.41666666666666669</v>
      </c>
      <c r="R8" s="907"/>
      <c r="T8" s="680"/>
      <c r="U8" s="692"/>
      <c r="V8" s="819"/>
      <c r="W8" s="820"/>
      <c r="AB8" s="51"/>
      <c r="AC8" s="51"/>
      <c r="AD8" s="51"/>
      <c r="AE8" s="51"/>
    </row>
    <row r="9" spans="1:32" s="661" customFormat="1" ht="39.950000000000003" customHeight="1" x14ac:dyDescent="0.2">
      <c r="A9" s="7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765"/>
      <c r="E9" s="766"/>
      <c r="F9" s="7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856" t="str">
        <f>IF(AND($A$9="Тип доверенности/получателя при получении в адресе перегруза:",$D$9="Разовая доверенность"),"Введите ФИО","")</f>
        <v/>
      </c>
      <c r="I9" s="766"/>
      <c r="J9" s="8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66"/>
      <c r="L9" s="766"/>
      <c r="M9" s="766"/>
      <c r="N9" s="659"/>
      <c r="P9" s="26" t="s">
        <v>20</v>
      </c>
      <c r="Q9" s="953"/>
      <c r="R9" s="757"/>
      <c r="T9" s="680"/>
      <c r="U9" s="692"/>
      <c r="V9" s="821"/>
      <c r="W9" s="822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7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765"/>
      <c r="E10" s="766"/>
      <c r="F10" s="7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835" t="str">
        <f>IFERROR(VLOOKUP($D$10,Proxy,2,FALSE),"")</f>
        <v/>
      </c>
      <c r="I10" s="680"/>
      <c r="J10" s="680"/>
      <c r="K10" s="680"/>
      <c r="L10" s="680"/>
      <c r="M10" s="680"/>
      <c r="N10" s="660"/>
      <c r="P10" s="26" t="s">
        <v>21</v>
      </c>
      <c r="Q10" s="913"/>
      <c r="R10" s="914"/>
      <c r="U10" s="24" t="s">
        <v>22</v>
      </c>
      <c r="V10" s="1028" t="s">
        <v>23</v>
      </c>
      <c r="W10" s="818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939"/>
      <c r="R11" s="770"/>
      <c r="U11" s="24" t="s">
        <v>26</v>
      </c>
      <c r="V11" s="756" t="s">
        <v>27</v>
      </c>
      <c r="W11" s="757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69" t="s">
        <v>28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29</v>
      </c>
      <c r="Q12" s="906"/>
      <c r="R12" s="907"/>
      <c r="S12" s="23"/>
      <c r="U12" s="24"/>
      <c r="V12" s="716"/>
      <c r="W12" s="680"/>
      <c r="AB12" s="51"/>
      <c r="AC12" s="51"/>
      <c r="AD12" s="51"/>
      <c r="AE12" s="51"/>
    </row>
    <row r="13" spans="1:32" s="661" customFormat="1" ht="23.25" customHeight="1" x14ac:dyDescent="0.2">
      <c r="A13" s="869" t="s">
        <v>30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31</v>
      </c>
      <c r="Q13" s="756"/>
      <c r="R13" s="7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69" t="s">
        <v>32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71" t="s">
        <v>33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960" t="s">
        <v>34</v>
      </c>
      <c r="Q15" s="716"/>
      <c r="R15" s="716"/>
      <c r="S15" s="716"/>
      <c r="T15" s="71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61"/>
      <c r="Q16" s="961"/>
      <c r="R16" s="961"/>
      <c r="S16" s="961"/>
      <c r="T16" s="96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2" t="s">
        <v>35</v>
      </c>
      <c r="B17" s="682" t="s">
        <v>36</v>
      </c>
      <c r="C17" s="936" t="s">
        <v>37</v>
      </c>
      <c r="D17" s="682" t="s">
        <v>38</v>
      </c>
      <c r="E17" s="683"/>
      <c r="F17" s="682" t="s">
        <v>39</v>
      </c>
      <c r="G17" s="682" t="s">
        <v>40</v>
      </c>
      <c r="H17" s="682" t="s">
        <v>41</v>
      </c>
      <c r="I17" s="682" t="s">
        <v>42</v>
      </c>
      <c r="J17" s="682" t="s">
        <v>43</v>
      </c>
      <c r="K17" s="682" t="s">
        <v>44</v>
      </c>
      <c r="L17" s="682" t="s">
        <v>45</v>
      </c>
      <c r="M17" s="682" t="s">
        <v>46</v>
      </c>
      <c r="N17" s="682" t="s">
        <v>47</v>
      </c>
      <c r="O17" s="682" t="s">
        <v>48</v>
      </c>
      <c r="P17" s="682" t="s">
        <v>49</v>
      </c>
      <c r="Q17" s="978"/>
      <c r="R17" s="978"/>
      <c r="S17" s="978"/>
      <c r="T17" s="683"/>
      <c r="U17" s="696" t="s">
        <v>50</v>
      </c>
      <c r="V17" s="673"/>
      <c r="W17" s="682" t="s">
        <v>51</v>
      </c>
      <c r="X17" s="682" t="s">
        <v>52</v>
      </c>
      <c r="Y17" s="693" t="s">
        <v>53</v>
      </c>
      <c r="Z17" s="832" t="s">
        <v>54</v>
      </c>
      <c r="AA17" s="746" t="s">
        <v>55</v>
      </c>
      <c r="AB17" s="746" t="s">
        <v>56</v>
      </c>
      <c r="AC17" s="746" t="s">
        <v>57</v>
      </c>
      <c r="AD17" s="746" t="s">
        <v>58</v>
      </c>
      <c r="AE17" s="747"/>
      <c r="AF17" s="748"/>
      <c r="AG17" s="66"/>
      <c r="BD17" s="65" t="s">
        <v>59</v>
      </c>
    </row>
    <row r="18" spans="1:68" ht="14.25" customHeight="1" x14ac:dyDescent="0.2">
      <c r="A18" s="690"/>
      <c r="B18" s="690"/>
      <c r="C18" s="690"/>
      <c r="D18" s="684"/>
      <c r="E18" s="685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84"/>
      <c r="Q18" s="979"/>
      <c r="R18" s="979"/>
      <c r="S18" s="979"/>
      <c r="T18" s="685"/>
      <c r="U18" s="67" t="s">
        <v>60</v>
      </c>
      <c r="V18" s="67" t="s">
        <v>61</v>
      </c>
      <c r="W18" s="690"/>
      <c r="X18" s="690"/>
      <c r="Y18" s="694"/>
      <c r="Z18" s="833"/>
      <c r="AA18" s="834"/>
      <c r="AB18" s="834"/>
      <c r="AC18" s="834"/>
      <c r="AD18" s="749"/>
      <c r="AE18" s="750"/>
      <c r="AF18" s="751"/>
      <c r="AG18" s="66"/>
      <c r="BD18" s="65"/>
    </row>
    <row r="19" spans="1:68" ht="27.75" customHeight="1" x14ac:dyDescent="0.2">
      <c r="A19" s="836" t="s">
        <v>62</v>
      </c>
      <c r="B19" s="837"/>
      <c r="C19" s="837"/>
      <c r="D19" s="837"/>
      <c r="E19" s="837"/>
      <c r="F19" s="837"/>
      <c r="G19" s="837"/>
      <c r="H19" s="837"/>
      <c r="I19" s="837"/>
      <c r="J19" s="837"/>
      <c r="K19" s="837"/>
      <c r="L19" s="837"/>
      <c r="M19" s="837"/>
      <c r="N19" s="837"/>
      <c r="O19" s="837"/>
      <c r="P19" s="837"/>
      <c r="Q19" s="837"/>
      <c r="R19" s="837"/>
      <c r="S19" s="837"/>
      <c r="T19" s="837"/>
      <c r="U19" s="837"/>
      <c r="V19" s="837"/>
      <c r="W19" s="837"/>
      <c r="X19" s="837"/>
      <c r="Y19" s="837"/>
      <c r="Z19" s="837"/>
      <c r="AA19" s="48"/>
      <c r="AB19" s="48"/>
      <c r="AC19" s="48"/>
    </row>
    <row r="20" spans="1:68" ht="16.5" customHeight="1" x14ac:dyDescent="0.25">
      <c r="A20" s="706" t="s">
        <v>62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2"/>
      <c r="AB20" s="662"/>
      <c r="AC20" s="662"/>
    </row>
    <row r="21" spans="1:68" ht="14.25" customHeight="1" x14ac:dyDescent="0.25">
      <c r="A21" s="679" t="s">
        <v>63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3"/>
      <c r="AB21" s="663"/>
      <c r="AC21" s="663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77">
        <v>4680115885912</v>
      </c>
      <c r="E22" s="678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8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5"/>
      <c r="R22" s="675"/>
      <c r="S22" s="675"/>
      <c r="T22" s="676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77">
        <v>4607091388237</v>
      </c>
      <c r="E23" s="678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97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5"/>
      <c r="R23" s="675"/>
      <c r="S23" s="675"/>
      <c r="T23" s="676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77">
        <v>4680115886230</v>
      </c>
      <c r="E24" s="678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84" t="s">
        <v>75</v>
      </c>
      <c r="Q24" s="675"/>
      <c r="R24" s="675"/>
      <c r="S24" s="675"/>
      <c r="T24" s="676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77">
        <v>4680115886247</v>
      </c>
      <c r="E25" s="678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717" t="s">
        <v>79</v>
      </c>
      <c r="Q25" s="675"/>
      <c r="R25" s="675"/>
      <c r="S25" s="675"/>
      <c r="T25" s="676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77">
        <v>4680115885905</v>
      </c>
      <c r="E26" s="678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5"/>
      <c r="R26" s="675"/>
      <c r="S26" s="675"/>
      <c r="T26" s="676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77">
        <v>4607091388244</v>
      </c>
      <c r="E27" s="678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85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5"/>
      <c r="R27" s="675"/>
      <c r="S27" s="675"/>
      <c r="T27" s="676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97"/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98"/>
      <c r="P28" s="699" t="s">
        <v>87</v>
      </c>
      <c r="Q28" s="700"/>
      <c r="R28" s="700"/>
      <c r="S28" s="700"/>
      <c r="T28" s="700"/>
      <c r="U28" s="700"/>
      <c r="V28" s="701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80"/>
      <c r="B29" s="680"/>
      <c r="C29" s="680"/>
      <c r="D29" s="680"/>
      <c r="E29" s="680"/>
      <c r="F29" s="680"/>
      <c r="G29" s="680"/>
      <c r="H29" s="680"/>
      <c r="I29" s="680"/>
      <c r="J29" s="680"/>
      <c r="K29" s="680"/>
      <c r="L29" s="680"/>
      <c r="M29" s="680"/>
      <c r="N29" s="680"/>
      <c r="O29" s="698"/>
      <c r="P29" s="699" t="s">
        <v>87</v>
      </c>
      <c r="Q29" s="700"/>
      <c r="R29" s="700"/>
      <c r="S29" s="700"/>
      <c r="T29" s="700"/>
      <c r="U29" s="700"/>
      <c r="V29" s="701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79" t="s">
        <v>89</v>
      </c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0"/>
      <c r="P30" s="680"/>
      <c r="Q30" s="680"/>
      <c r="R30" s="680"/>
      <c r="S30" s="680"/>
      <c r="T30" s="680"/>
      <c r="U30" s="680"/>
      <c r="V30" s="680"/>
      <c r="W30" s="680"/>
      <c r="X30" s="680"/>
      <c r="Y30" s="680"/>
      <c r="Z30" s="680"/>
      <c r="AA30" s="663"/>
      <c r="AB30" s="663"/>
      <c r="AC30" s="663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7">
        <v>4607091388503</v>
      </c>
      <c r="E31" s="678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10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5"/>
      <c r="R31" s="675"/>
      <c r="S31" s="675"/>
      <c r="T31" s="676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97"/>
      <c r="B32" s="680"/>
      <c r="C32" s="680"/>
      <c r="D32" s="680"/>
      <c r="E32" s="680"/>
      <c r="F32" s="680"/>
      <c r="G32" s="680"/>
      <c r="H32" s="680"/>
      <c r="I32" s="680"/>
      <c r="J32" s="680"/>
      <c r="K32" s="680"/>
      <c r="L32" s="680"/>
      <c r="M32" s="680"/>
      <c r="N32" s="680"/>
      <c r="O32" s="698"/>
      <c r="P32" s="699" t="s">
        <v>87</v>
      </c>
      <c r="Q32" s="700"/>
      <c r="R32" s="700"/>
      <c r="S32" s="700"/>
      <c r="T32" s="700"/>
      <c r="U32" s="700"/>
      <c r="V32" s="701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80"/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98"/>
      <c r="P33" s="699" t="s">
        <v>87</v>
      </c>
      <c r="Q33" s="700"/>
      <c r="R33" s="700"/>
      <c r="S33" s="700"/>
      <c r="T33" s="700"/>
      <c r="U33" s="700"/>
      <c r="V33" s="701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836" t="s">
        <v>95</v>
      </c>
      <c r="B34" s="837"/>
      <c r="C34" s="837"/>
      <c r="D34" s="837"/>
      <c r="E34" s="837"/>
      <c r="F34" s="837"/>
      <c r="G34" s="837"/>
      <c r="H34" s="837"/>
      <c r="I34" s="837"/>
      <c r="J34" s="837"/>
      <c r="K34" s="837"/>
      <c r="L34" s="837"/>
      <c r="M34" s="837"/>
      <c r="N34" s="837"/>
      <c r="O34" s="837"/>
      <c r="P34" s="837"/>
      <c r="Q34" s="837"/>
      <c r="R34" s="837"/>
      <c r="S34" s="837"/>
      <c r="T34" s="837"/>
      <c r="U34" s="837"/>
      <c r="V34" s="837"/>
      <c r="W34" s="837"/>
      <c r="X34" s="837"/>
      <c r="Y34" s="837"/>
      <c r="Z34" s="837"/>
      <c r="AA34" s="48"/>
      <c r="AB34" s="48"/>
      <c r="AC34" s="48"/>
    </row>
    <row r="35" spans="1:68" ht="16.5" customHeight="1" x14ac:dyDescent="0.25">
      <c r="A35" s="706" t="s">
        <v>96</v>
      </c>
      <c r="B35" s="680"/>
      <c r="C35" s="680"/>
      <c r="D35" s="680"/>
      <c r="E35" s="680"/>
      <c r="F35" s="680"/>
      <c r="G35" s="680"/>
      <c r="H35" s="680"/>
      <c r="I35" s="680"/>
      <c r="J35" s="680"/>
      <c r="K35" s="680"/>
      <c r="L35" s="680"/>
      <c r="M35" s="680"/>
      <c r="N35" s="680"/>
      <c r="O35" s="680"/>
      <c r="P35" s="680"/>
      <c r="Q35" s="680"/>
      <c r="R35" s="680"/>
      <c r="S35" s="680"/>
      <c r="T35" s="680"/>
      <c r="U35" s="680"/>
      <c r="V35" s="680"/>
      <c r="W35" s="680"/>
      <c r="X35" s="680"/>
      <c r="Y35" s="680"/>
      <c r="Z35" s="680"/>
      <c r="AA35" s="662"/>
      <c r="AB35" s="662"/>
      <c r="AC35" s="662"/>
    </row>
    <row r="36" spans="1:68" ht="14.25" customHeight="1" x14ac:dyDescent="0.25">
      <c r="A36" s="679" t="s">
        <v>97</v>
      </c>
      <c r="B36" s="680"/>
      <c r="C36" s="680"/>
      <c r="D36" s="680"/>
      <c r="E36" s="680"/>
      <c r="F36" s="680"/>
      <c r="G36" s="680"/>
      <c r="H36" s="680"/>
      <c r="I36" s="680"/>
      <c r="J36" s="680"/>
      <c r="K36" s="680"/>
      <c r="L36" s="680"/>
      <c r="M36" s="680"/>
      <c r="N36" s="680"/>
      <c r="O36" s="680"/>
      <c r="P36" s="680"/>
      <c r="Q36" s="680"/>
      <c r="R36" s="680"/>
      <c r="S36" s="680"/>
      <c r="T36" s="680"/>
      <c r="U36" s="680"/>
      <c r="V36" s="680"/>
      <c r="W36" s="680"/>
      <c r="X36" s="680"/>
      <c r="Y36" s="680"/>
      <c r="Z36" s="680"/>
      <c r="AA36" s="663"/>
      <c r="AB36" s="663"/>
      <c r="AC36" s="663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7">
        <v>4607091385670</v>
      </c>
      <c r="E37" s="678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5"/>
      <c r="R37" s="675"/>
      <c r="S37" s="675"/>
      <c r="T37" s="676"/>
      <c r="U37" s="34"/>
      <c r="V37" s="34"/>
      <c r="W37" s="35" t="s">
        <v>68</v>
      </c>
      <c r="X37" s="667">
        <v>400</v>
      </c>
      <c r="Y37" s="668">
        <f>IFERROR(IF(X37="",0,CEILING((X37/$H37),1)*$H37),"")</f>
        <v>410.40000000000003</v>
      </c>
      <c r="Z37" s="36">
        <f>IFERROR(IF(Y37=0,"",ROUNDUP(Y37/H37,0)*0.01898),"")</f>
        <v>0.72123999999999999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416.11111111111109</v>
      </c>
      <c r="BN37" s="64">
        <f>IFERROR(Y37*I37/H37,"0")</f>
        <v>426.92999999999995</v>
      </c>
      <c r="BO37" s="64">
        <f>IFERROR(1/J37*(X37/H37),"0")</f>
        <v>0.57870370370370372</v>
      </c>
      <c r="BP37" s="64">
        <f>IFERROR(1/J37*(Y37/H37),"0")</f>
        <v>0.59375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77">
        <v>4607091385687</v>
      </c>
      <c r="E38" s="678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8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5"/>
      <c r="R38" s="675"/>
      <c r="S38" s="675"/>
      <c r="T38" s="676"/>
      <c r="U38" s="34"/>
      <c r="V38" s="34"/>
      <c r="W38" s="35" t="s">
        <v>68</v>
      </c>
      <c r="X38" s="667">
        <v>100</v>
      </c>
      <c r="Y38" s="668">
        <f>IFERROR(IF(X38="",0,CEILING((X38/$H38),1)*$H38),"")</f>
        <v>100</v>
      </c>
      <c r="Z38" s="36">
        <f>IFERROR(IF(Y38=0,"",ROUNDUP(Y38/H38,0)*0.00902),"")</f>
        <v>0.22550000000000001</v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105.25</v>
      </c>
      <c r="BN38" s="64">
        <f>IFERROR(Y38*I38/H38,"0")</f>
        <v>105.25</v>
      </c>
      <c r="BO38" s="64">
        <f>IFERROR(1/J38*(X38/H38),"0")</f>
        <v>0.18939393939393939</v>
      </c>
      <c r="BP38" s="64">
        <f>IFERROR(1/J38*(Y38/H38),"0")</f>
        <v>0.18939393939393939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77">
        <v>4680115882539</v>
      </c>
      <c r="E39" s="678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98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5"/>
      <c r="R39" s="675"/>
      <c r="S39" s="675"/>
      <c r="T39" s="676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77">
        <v>4680115883949</v>
      </c>
      <c r="E40" s="678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829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5"/>
      <c r="R40" s="675"/>
      <c r="S40" s="675"/>
      <c r="T40" s="676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97"/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98"/>
      <c r="P41" s="699" t="s">
        <v>87</v>
      </c>
      <c r="Q41" s="700"/>
      <c r="R41" s="700"/>
      <c r="S41" s="700"/>
      <c r="T41" s="700"/>
      <c r="U41" s="700"/>
      <c r="V41" s="701"/>
      <c r="W41" s="37" t="s">
        <v>88</v>
      </c>
      <c r="X41" s="669">
        <f>IFERROR(X37/H37,"0")+IFERROR(X38/H38,"0")+IFERROR(X39/H39,"0")+IFERROR(X40/H40,"0")</f>
        <v>62.037037037037038</v>
      </c>
      <c r="Y41" s="669">
        <f>IFERROR(Y37/H37,"0")+IFERROR(Y38/H38,"0")+IFERROR(Y39/H39,"0")+IFERROR(Y40/H40,"0")</f>
        <v>63</v>
      </c>
      <c r="Z41" s="669">
        <f>IFERROR(IF(Z37="",0,Z37),"0")+IFERROR(IF(Z38="",0,Z38),"0")+IFERROR(IF(Z39="",0,Z39),"0")+IFERROR(IF(Z40="",0,Z40),"0")</f>
        <v>0.94674000000000003</v>
      </c>
      <c r="AA41" s="670"/>
      <c r="AB41" s="670"/>
      <c r="AC41" s="670"/>
    </row>
    <row r="42" spans="1:68" x14ac:dyDescent="0.2">
      <c r="A42" s="680"/>
      <c r="B42" s="680"/>
      <c r="C42" s="680"/>
      <c r="D42" s="680"/>
      <c r="E42" s="680"/>
      <c r="F42" s="680"/>
      <c r="G42" s="680"/>
      <c r="H42" s="680"/>
      <c r="I42" s="680"/>
      <c r="J42" s="680"/>
      <c r="K42" s="680"/>
      <c r="L42" s="680"/>
      <c r="M42" s="680"/>
      <c r="N42" s="680"/>
      <c r="O42" s="698"/>
      <c r="P42" s="699" t="s">
        <v>87</v>
      </c>
      <c r="Q42" s="700"/>
      <c r="R42" s="700"/>
      <c r="S42" s="700"/>
      <c r="T42" s="700"/>
      <c r="U42" s="700"/>
      <c r="V42" s="701"/>
      <c r="W42" s="37" t="s">
        <v>68</v>
      </c>
      <c r="X42" s="669">
        <f>IFERROR(SUM(X37:X40),"0")</f>
        <v>500</v>
      </c>
      <c r="Y42" s="669">
        <f>IFERROR(SUM(Y37:Y40),"0")</f>
        <v>510.40000000000003</v>
      </c>
      <c r="Z42" s="37"/>
      <c r="AA42" s="670"/>
      <c r="AB42" s="670"/>
      <c r="AC42" s="670"/>
    </row>
    <row r="43" spans="1:68" ht="14.25" customHeight="1" x14ac:dyDescent="0.25">
      <c r="A43" s="679" t="s">
        <v>63</v>
      </c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0"/>
      <c r="P43" s="680"/>
      <c r="Q43" s="680"/>
      <c r="R43" s="680"/>
      <c r="S43" s="680"/>
      <c r="T43" s="680"/>
      <c r="U43" s="680"/>
      <c r="V43" s="680"/>
      <c r="W43" s="680"/>
      <c r="X43" s="680"/>
      <c r="Y43" s="680"/>
      <c r="Z43" s="680"/>
      <c r="AA43" s="663"/>
      <c r="AB43" s="663"/>
      <c r="AC43" s="663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77">
        <v>4680115884915</v>
      </c>
      <c r="E44" s="678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102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5"/>
      <c r="R44" s="675"/>
      <c r="S44" s="675"/>
      <c r="T44" s="676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97"/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98"/>
      <c r="P45" s="699" t="s">
        <v>87</v>
      </c>
      <c r="Q45" s="700"/>
      <c r="R45" s="700"/>
      <c r="S45" s="700"/>
      <c r="T45" s="700"/>
      <c r="U45" s="700"/>
      <c r="V45" s="701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80"/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98"/>
      <c r="P46" s="699" t="s">
        <v>87</v>
      </c>
      <c r="Q46" s="700"/>
      <c r="R46" s="700"/>
      <c r="S46" s="700"/>
      <c r="T46" s="700"/>
      <c r="U46" s="700"/>
      <c r="V46" s="701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706" t="s">
        <v>115</v>
      </c>
      <c r="B47" s="680"/>
      <c r="C47" s="680"/>
      <c r="D47" s="680"/>
      <c r="E47" s="680"/>
      <c r="F47" s="680"/>
      <c r="G47" s="680"/>
      <c r="H47" s="680"/>
      <c r="I47" s="680"/>
      <c r="J47" s="680"/>
      <c r="K47" s="680"/>
      <c r="L47" s="680"/>
      <c r="M47" s="680"/>
      <c r="N47" s="680"/>
      <c r="O47" s="680"/>
      <c r="P47" s="680"/>
      <c r="Q47" s="680"/>
      <c r="R47" s="680"/>
      <c r="S47" s="680"/>
      <c r="T47" s="680"/>
      <c r="U47" s="680"/>
      <c r="V47" s="680"/>
      <c r="W47" s="680"/>
      <c r="X47" s="680"/>
      <c r="Y47" s="680"/>
      <c r="Z47" s="680"/>
      <c r="AA47" s="662"/>
      <c r="AB47" s="662"/>
      <c r="AC47" s="662"/>
    </row>
    <row r="48" spans="1:68" ht="14.25" customHeight="1" x14ac:dyDescent="0.25">
      <c r="A48" s="679" t="s">
        <v>97</v>
      </c>
      <c r="B48" s="680"/>
      <c r="C48" s="680"/>
      <c r="D48" s="680"/>
      <c r="E48" s="680"/>
      <c r="F48" s="680"/>
      <c r="G48" s="680"/>
      <c r="H48" s="680"/>
      <c r="I48" s="680"/>
      <c r="J48" s="680"/>
      <c r="K48" s="680"/>
      <c r="L48" s="680"/>
      <c r="M48" s="680"/>
      <c r="N48" s="680"/>
      <c r="O48" s="680"/>
      <c r="P48" s="680"/>
      <c r="Q48" s="680"/>
      <c r="R48" s="680"/>
      <c r="S48" s="680"/>
      <c r="T48" s="680"/>
      <c r="U48" s="680"/>
      <c r="V48" s="680"/>
      <c r="W48" s="680"/>
      <c r="X48" s="680"/>
      <c r="Y48" s="680"/>
      <c r="Z48" s="680"/>
      <c r="AA48" s="663"/>
      <c r="AB48" s="663"/>
      <c r="AC48" s="663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7">
        <v>4680115885882</v>
      </c>
      <c r="E49" s="678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7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5"/>
      <c r="R49" s="675"/>
      <c r="S49" s="675"/>
      <c r="T49" s="676"/>
      <c r="U49" s="34"/>
      <c r="V49" s="34"/>
      <c r="W49" s="35" t="s">
        <v>68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7">
        <v>4680115881426</v>
      </c>
      <c r="E50" s="678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9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5"/>
      <c r="R50" s="675"/>
      <c r="S50" s="675"/>
      <c r="T50" s="676"/>
      <c r="U50" s="34"/>
      <c r="V50" s="34"/>
      <c r="W50" s="35" t="s">
        <v>68</v>
      </c>
      <c r="X50" s="667">
        <v>150</v>
      </c>
      <c r="Y50" s="668">
        <f t="shared" si="6"/>
        <v>151.20000000000002</v>
      </c>
      <c r="Z50" s="36">
        <f>IFERROR(IF(Y50=0,"",ROUNDUP(Y50/H50,0)*0.01898),"")</f>
        <v>0.26572000000000001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156.04166666666666</v>
      </c>
      <c r="BN50" s="64">
        <f t="shared" si="8"/>
        <v>157.29000000000002</v>
      </c>
      <c r="BO50" s="64">
        <f t="shared" si="9"/>
        <v>0.21701388888888887</v>
      </c>
      <c r="BP50" s="64">
        <f t="shared" si="10"/>
        <v>0.21875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77">
        <v>4680115880283</v>
      </c>
      <c r="E51" s="678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5"/>
      <c r="R51" s="675"/>
      <c r="S51" s="675"/>
      <c r="T51" s="676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7">
        <v>4680115881525</v>
      </c>
      <c r="E52" s="678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96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5"/>
      <c r="R52" s="675"/>
      <c r="S52" s="675"/>
      <c r="T52" s="676"/>
      <c r="U52" s="34"/>
      <c r="V52" s="34"/>
      <c r="W52" s="35" t="s">
        <v>68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77">
        <v>4680115885899</v>
      </c>
      <c r="E53" s="678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94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5"/>
      <c r="R53" s="675"/>
      <c r="S53" s="675"/>
      <c r="T53" s="676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77">
        <v>4680115881419</v>
      </c>
      <c r="E54" s="678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5"/>
      <c r="R54" s="675"/>
      <c r="S54" s="675"/>
      <c r="T54" s="676"/>
      <c r="U54" s="34"/>
      <c r="V54" s="34"/>
      <c r="W54" s="35" t="s">
        <v>68</v>
      </c>
      <c r="X54" s="667">
        <v>200</v>
      </c>
      <c r="Y54" s="668">
        <f t="shared" si="6"/>
        <v>202.5</v>
      </c>
      <c r="Z54" s="36">
        <f>IFERROR(IF(Y54=0,"",ROUNDUP(Y54/H54,0)*0.00902),"")</f>
        <v>0.40590000000000004</v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209.33333333333334</v>
      </c>
      <c r="BN54" s="64">
        <f t="shared" si="8"/>
        <v>211.95</v>
      </c>
      <c r="BO54" s="64">
        <f t="shared" si="9"/>
        <v>0.33670033670033672</v>
      </c>
      <c r="BP54" s="64">
        <f t="shared" si="10"/>
        <v>0.34090909090909094</v>
      </c>
    </row>
    <row r="55" spans="1:68" x14ac:dyDescent="0.2">
      <c r="A55" s="697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98"/>
      <c r="P55" s="699" t="s">
        <v>87</v>
      </c>
      <c r="Q55" s="700"/>
      <c r="R55" s="700"/>
      <c r="S55" s="700"/>
      <c r="T55" s="700"/>
      <c r="U55" s="700"/>
      <c r="V55" s="701"/>
      <c r="W55" s="37" t="s">
        <v>88</v>
      </c>
      <c r="X55" s="669">
        <f>IFERROR(X49/H49,"0")+IFERROR(X50/H50,"0")+IFERROR(X51/H51,"0")+IFERROR(X52/H52,"0")+IFERROR(X53/H53,"0")+IFERROR(X54/H54,"0")</f>
        <v>58.333333333333329</v>
      </c>
      <c r="Y55" s="669">
        <f>IFERROR(Y49/H49,"0")+IFERROR(Y50/H50,"0")+IFERROR(Y51/H51,"0")+IFERROR(Y52/H52,"0")+IFERROR(Y53/H53,"0")+IFERROR(Y54/H54,"0")</f>
        <v>59</v>
      </c>
      <c r="Z55" s="669">
        <f>IFERROR(IF(Z49="",0,Z49),"0")+IFERROR(IF(Z50="",0,Z50),"0")+IFERROR(IF(Z51="",0,Z51),"0")+IFERROR(IF(Z52="",0,Z52),"0")+IFERROR(IF(Z53="",0,Z53),"0")+IFERROR(IF(Z54="",0,Z54),"0")</f>
        <v>0.67162000000000011</v>
      </c>
      <c r="AA55" s="670"/>
      <c r="AB55" s="670"/>
      <c r="AC55" s="670"/>
    </row>
    <row r="56" spans="1:68" x14ac:dyDescent="0.2">
      <c r="A56" s="680"/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98"/>
      <c r="P56" s="699" t="s">
        <v>87</v>
      </c>
      <c r="Q56" s="700"/>
      <c r="R56" s="700"/>
      <c r="S56" s="700"/>
      <c r="T56" s="700"/>
      <c r="U56" s="700"/>
      <c r="V56" s="701"/>
      <c r="W56" s="37" t="s">
        <v>68</v>
      </c>
      <c r="X56" s="669">
        <f>IFERROR(SUM(X49:X54),"0")</f>
        <v>350</v>
      </c>
      <c r="Y56" s="669">
        <f>IFERROR(SUM(Y49:Y54),"0")</f>
        <v>353.70000000000005</v>
      </c>
      <c r="Z56" s="37"/>
      <c r="AA56" s="670"/>
      <c r="AB56" s="670"/>
      <c r="AC56" s="670"/>
    </row>
    <row r="57" spans="1:68" ht="14.25" customHeight="1" x14ac:dyDescent="0.25">
      <c r="A57" s="679" t="s">
        <v>133</v>
      </c>
      <c r="B57" s="680"/>
      <c r="C57" s="680"/>
      <c r="D57" s="680"/>
      <c r="E57" s="680"/>
      <c r="F57" s="680"/>
      <c r="G57" s="680"/>
      <c r="H57" s="680"/>
      <c r="I57" s="680"/>
      <c r="J57" s="680"/>
      <c r="K57" s="680"/>
      <c r="L57" s="680"/>
      <c r="M57" s="680"/>
      <c r="N57" s="680"/>
      <c r="O57" s="680"/>
      <c r="P57" s="680"/>
      <c r="Q57" s="680"/>
      <c r="R57" s="680"/>
      <c r="S57" s="680"/>
      <c r="T57" s="680"/>
      <c r="U57" s="680"/>
      <c r="V57" s="680"/>
      <c r="W57" s="680"/>
      <c r="X57" s="680"/>
      <c r="Y57" s="680"/>
      <c r="Z57" s="680"/>
      <c r="AA57" s="663"/>
      <c r="AB57" s="663"/>
      <c r="AC57" s="663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7">
        <v>4680115881440</v>
      </c>
      <c r="E58" s="678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6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5"/>
      <c r="R58" s="675"/>
      <c r="S58" s="675"/>
      <c r="T58" s="676"/>
      <c r="U58" s="34"/>
      <c r="V58" s="34"/>
      <c r="W58" s="35" t="s">
        <v>68</v>
      </c>
      <c r="X58" s="667">
        <v>50</v>
      </c>
      <c r="Y58" s="668">
        <f>IFERROR(IF(X58="",0,CEILING((X58/$H58),1)*$H58),"")</f>
        <v>54</v>
      </c>
      <c r="Z58" s="36">
        <f>IFERROR(IF(Y58=0,"",ROUNDUP(Y58/H58,0)*0.01898),"")</f>
        <v>9.4899999999999998E-2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52.013888888888886</v>
      </c>
      <c r="BN58" s="64">
        <f>IFERROR(Y58*I58/H58,"0")</f>
        <v>56.17499999999999</v>
      </c>
      <c r="BO58" s="64">
        <f>IFERROR(1/J58*(X58/H58),"0")</f>
        <v>7.2337962962962965E-2</v>
      </c>
      <c r="BP58" s="64">
        <f>IFERROR(1/J58*(Y58/H58),"0")</f>
        <v>7.8125E-2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77">
        <v>4680115882751</v>
      </c>
      <c r="E59" s="678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792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5"/>
      <c r="R59" s="675"/>
      <c r="S59" s="675"/>
      <c r="T59" s="676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77">
        <v>4680115885950</v>
      </c>
      <c r="E60" s="678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71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5"/>
      <c r="R60" s="675"/>
      <c r="S60" s="675"/>
      <c r="T60" s="676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77">
        <v>4680115881433</v>
      </c>
      <c r="E61" s="678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79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5"/>
      <c r="R61" s="675"/>
      <c r="S61" s="675"/>
      <c r="T61" s="676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97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98"/>
      <c r="P62" s="699" t="s">
        <v>87</v>
      </c>
      <c r="Q62" s="700"/>
      <c r="R62" s="700"/>
      <c r="S62" s="700"/>
      <c r="T62" s="700"/>
      <c r="U62" s="700"/>
      <c r="V62" s="701"/>
      <c r="W62" s="37" t="s">
        <v>88</v>
      </c>
      <c r="X62" s="669">
        <f>IFERROR(X58/H58,"0")+IFERROR(X59/H59,"0")+IFERROR(X60/H60,"0")+IFERROR(X61/H61,"0")</f>
        <v>4.6296296296296298</v>
      </c>
      <c r="Y62" s="669">
        <f>IFERROR(Y58/H58,"0")+IFERROR(Y59/H59,"0")+IFERROR(Y60/H60,"0")+IFERROR(Y61/H61,"0")</f>
        <v>5</v>
      </c>
      <c r="Z62" s="669">
        <f>IFERROR(IF(Z58="",0,Z58),"0")+IFERROR(IF(Z59="",0,Z59),"0")+IFERROR(IF(Z60="",0,Z60),"0")+IFERROR(IF(Z61="",0,Z61),"0")</f>
        <v>9.4899999999999998E-2</v>
      </c>
      <c r="AA62" s="670"/>
      <c r="AB62" s="670"/>
      <c r="AC62" s="670"/>
    </row>
    <row r="63" spans="1:68" x14ac:dyDescent="0.2">
      <c r="A63" s="680"/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98"/>
      <c r="P63" s="699" t="s">
        <v>87</v>
      </c>
      <c r="Q63" s="700"/>
      <c r="R63" s="700"/>
      <c r="S63" s="700"/>
      <c r="T63" s="700"/>
      <c r="U63" s="700"/>
      <c r="V63" s="701"/>
      <c r="W63" s="37" t="s">
        <v>68</v>
      </c>
      <c r="X63" s="669">
        <f>IFERROR(SUM(X58:X61),"0")</f>
        <v>50</v>
      </c>
      <c r="Y63" s="669">
        <f>IFERROR(SUM(Y58:Y61),"0")</f>
        <v>54</v>
      </c>
      <c r="Z63" s="37"/>
      <c r="AA63" s="670"/>
      <c r="AB63" s="670"/>
      <c r="AC63" s="670"/>
    </row>
    <row r="64" spans="1:68" ht="14.25" customHeight="1" x14ac:dyDescent="0.25">
      <c r="A64" s="679" t="s">
        <v>144</v>
      </c>
      <c r="B64" s="680"/>
      <c r="C64" s="680"/>
      <c r="D64" s="680"/>
      <c r="E64" s="680"/>
      <c r="F64" s="680"/>
      <c r="G64" s="680"/>
      <c r="H64" s="680"/>
      <c r="I64" s="680"/>
      <c r="J64" s="680"/>
      <c r="K64" s="680"/>
      <c r="L64" s="680"/>
      <c r="M64" s="680"/>
      <c r="N64" s="680"/>
      <c r="O64" s="680"/>
      <c r="P64" s="680"/>
      <c r="Q64" s="680"/>
      <c r="R64" s="680"/>
      <c r="S64" s="680"/>
      <c r="T64" s="680"/>
      <c r="U64" s="680"/>
      <c r="V64" s="680"/>
      <c r="W64" s="680"/>
      <c r="X64" s="680"/>
      <c r="Y64" s="680"/>
      <c r="Z64" s="680"/>
      <c r="AA64" s="663"/>
      <c r="AB64" s="663"/>
      <c r="AC64" s="663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77">
        <v>4680115885073</v>
      </c>
      <c r="E65" s="678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72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5"/>
      <c r="R65" s="675"/>
      <c r="S65" s="675"/>
      <c r="T65" s="676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77">
        <v>4680115885059</v>
      </c>
      <c r="E66" s="678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93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5"/>
      <c r="R66" s="675"/>
      <c r="S66" s="675"/>
      <c r="T66" s="676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77">
        <v>4680115885097</v>
      </c>
      <c r="E67" s="678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75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5"/>
      <c r="R67" s="675"/>
      <c r="S67" s="675"/>
      <c r="T67" s="676"/>
      <c r="U67" s="34"/>
      <c r="V67" s="34"/>
      <c r="W67" s="35" t="s">
        <v>68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97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98"/>
      <c r="P68" s="699" t="s">
        <v>87</v>
      </c>
      <c r="Q68" s="700"/>
      <c r="R68" s="700"/>
      <c r="S68" s="700"/>
      <c r="T68" s="700"/>
      <c r="U68" s="700"/>
      <c r="V68" s="701"/>
      <c r="W68" s="37" t="s">
        <v>88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x14ac:dyDescent="0.2">
      <c r="A69" s="680"/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98"/>
      <c r="P69" s="699" t="s">
        <v>87</v>
      </c>
      <c r="Q69" s="700"/>
      <c r="R69" s="700"/>
      <c r="S69" s="700"/>
      <c r="T69" s="700"/>
      <c r="U69" s="700"/>
      <c r="V69" s="701"/>
      <c r="W69" s="37" t="s">
        <v>68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customHeight="1" x14ac:dyDescent="0.25">
      <c r="A70" s="679" t="s">
        <v>63</v>
      </c>
      <c r="B70" s="680"/>
      <c r="C70" s="680"/>
      <c r="D70" s="680"/>
      <c r="E70" s="680"/>
      <c r="F70" s="680"/>
      <c r="G70" s="680"/>
      <c r="H70" s="680"/>
      <c r="I70" s="680"/>
      <c r="J70" s="680"/>
      <c r="K70" s="680"/>
      <c r="L70" s="680"/>
      <c r="M70" s="680"/>
      <c r="N70" s="680"/>
      <c r="O70" s="680"/>
      <c r="P70" s="680"/>
      <c r="Q70" s="680"/>
      <c r="R70" s="680"/>
      <c r="S70" s="680"/>
      <c r="T70" s="680"/>
      <c r="U70" s="680"/>
      <c r="V70" s="680"/>
      <c r="W70" s="680"/>
      <c r="X70" s="680"/>
      <c r="Y70" s="680"/>
      <c r="Z70" s="680"/>
      <c r="AA70" s="663"/>
      <c r="AB70" s="663"/>
      <c r="AC70" s="663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77">
        <v>4680115881891</v>
      </c>
      <c r="E71" s="678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68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5"/>
      <c r="R71" s="675"/>
      <c r="S71" s="675"/>
      <c r="T71" s="676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7">
        <v>4680115885769</v>
      </c>
      <c r="E72" s="678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77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5"/>
      <c r="R72" s="675"/>
      <c r="S72" s="675"/>
      <c r="T72" s="676"/>
      <c r="U72" s="34"/>
      <c r="V72" s="34"/>
      <c r="W72" s="35" t="s">
        <v>68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77">
        <v>4680115884410</v>
      </c>
      <c r="E73" s="678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105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5"/>
      <c r="R73" s="675"/>
      <c r="S73" s="675"/>
      <c r="T73" s="676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77">
        <v>4680115884311</v>
      </c>
      <c r="E74" s="678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9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5"/>
      <c r="R74" s="675"/>
      <c r="S74" s="675"/>
      <c r="T74" s="676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77">
        <v>4680115885929</v>
      </c>
      <c r="E75" s="678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73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5"/>
      <c r="R75" s="675"/>
      <c r="S75" s="675"/>
      <c r="T75" s="676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77">
        <v>4680115884403</v>
      </c>
      <c r="E76" s="678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90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5"/>
      <c r="R76" s="675"/>
      <c r="S76" s="675"/>
      <c r="T76" s="676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97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98"/>
      <c r="P77" s="699" t="s">
        <v>87</v>
      </c>
      <c r="Q77" s="700"/>
      <c r="R77" s="700"/>
      <c r="S77" s="700"/>
      <c r="T77" s="700"/>
      <c r="U77" s="700"/>
      <c r="V77" s="701"/>
      <c r="W77" s="37" t="s">
        <v>88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x14ac:dyDescent="0.2">
      <c r="A78" s="680"/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98"/>
      <c r="P78" s="699" t="s">
        <v>87</v>
      </c>
      <c r="Q78" s="700"/>
      <c r="R78" s="700"/>
      <c r="S78" s="700"/>
      <c r="T78" s="700"/>
      <c r="U78" s="700"/>
      <c r="V78" s="701"/>
      <c r="W78" s="37" t="s">
        <v>68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customHeight="1" x14ac:dyDescent="0.25">
      <c r="A79" s="679" t="s">
        <v>170</v>
      </c>
      <c r="B79" s="680"/>
      <c r="C79" s="680"/>
      <c r="D79" s="680"/>
      <c r="E79" s="680"/>
      <c r="F79" s="680"/>
      <c r="G79" s="680"/>
      <c r="H79" s="680"/>
      <c r="I79" s="680"/>
      <c r="J79" s="680"/>
      <c r="K79" s="680"/>
      <c r="L79" s="680"/>
      <c r="M79" s="680"/>
      <c r="N79" s="680"/>
      <c r="O79" s="680"/>
      <c r="P79" s="680"/>
      <c r="Q79" s="680"/>
      <c r="R79" s="680"/>
      <c r="S79" s="680"/>
      <c r="T79" s="680"/>
      <c r="U79" s="680"/>
      <c r="V79" s="680"/>
      <c r="W79" s="680"/>
      <c r="X79" s="680"/>
      <c r="Y79" s="680"/>
      <c r="Z79" s="680"/>
      <c r="AA79" s="663"/>
      <c r="AB79" s="663"/>
      <c r="AC79" s="663"/>
    </row>
    <row r="80" spans="1:68" ht="37.5" customHeight="1" x14ac:dyDescent="0.25">
      <c r="A80" s="54" t="s">
        <v>171</v>
      </c>
      <c r="B80" s="54" t="s">
        <v>172</v>
      </c>
      <c r="C80" s="31">
        <v>4301060366</v>
      </c>
      <c r="D80" s="677">
        <v>4680115881532</v>
      </c>
      <c r="E80" s="678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8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5"/>
      <c r="R80" s="675"/>
      <c r="S80" s="675"/>
      <c r="T80" s="676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4301060371</v>
      </c>
      <c r="D81" s="677">
        <v>4680115881532</v>
      </c>
      <c r="E81" s="678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10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5"/>
      <c r="R81" s="675"/>
      <c r="S81" s="675"/>
      <c r="T81" s="676"/>
      <c r="U81" s="34"/>
      <c r="V81" s="34"/>
      <c r="W81" s="35" t="s">
        <v>68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77">
        <v>4680115881464</v>
      </c>
      <c r="E82" s="678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7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5"/>
      <c r="R82" s="675"/>
      <c r="S82" s="675"/>
      <c r="T82" s="676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97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98"/>
      <c r="P83" s="699" t="s">
        <v>87</v>
      </c>
      <c r="Q83" s="700"/>
      <c r="R83" s="700"/>
      <c r="S83" s="700"/>
      <c r="T83" s="700"/>
      <c r="U83" s="700"/>
      <c r="V83" s="701"/>
      <c r="W83" s="37" t="s">
        <v>88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x14ac:dyDescent="0.2">
      <c r="A84" s="680"/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98"/>
      <c r="P84" s="699" t="s">
        <v>87</v>
      </c>
      <c r="Q84" s="700"/>
      <c r="R84" s="700"/>
      <c r="S84" s="700"/>
      <c r="T84" s="700"/>
      <c r="U84" s="700"/>
      <c r="V84" s="701"/>
      <c r="W84" s="37" t="s">
        <v>68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customHeight="1" x14ac:dyDescent="0.25">
      <c r="A85" s="706" t="s">
        <v>178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2"/>
      <c r="AB85" s="662"/>
      <c r="AC85" s="662"/>
    </row>
    <row r="86" spans="1:68" ht="14.25" customHeight="1" x14ac:dyDescent="0.25">
      <c r="A86" s="679" t="s">
        <v>97</v>
      </c>
      <c r="B86" s="680"/>
      <c r="C86" s="680"/>
      <c r="D86" s="680"/>
      <c r="E86" s="680"/>
      <c r="F86" s="680"/>
      <c r="G86" s="680"/>
      <c r="H86" s="680"/>
      <c r="I86" s="680"/>
      <c r="J86" s="680"/>
      <c r="K86" s="680"/>
      <c r="L86" s="680"/>
      <c r="M86" s="680"/>
      <c r="N86" s="680"/>
      <c r="O86" s="680"/>
      <c r="P86" s="680"/>
      <c r="Q86" s="680"/>
      <c r="R86" s="680"/>
      <c r="S86" s="680"/>
      <c r="T86" s="680"/>
      <c r="U86" s="680"/>
      <c r="V86" s="680"/>
      <c r="W86" s="680"/>
      <c r="X86" s="680"/>
      <c r="Y86" s="680"/>
      <c r="Z86" s="680"/>
      <c r="AA86" s="663"/>
      <c r="AB86" s="663"/>
      <c r="AC86" s="663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7">
        <v>4680115881327</v>
      </c>
      <c r="E87" s="678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5"/>
      <c r="R87" s="675"/>
      <c r="S87" s="675"/>
      <c r="T87" s="676"/>
      <c r="U87" s="34"/>
      <c r="V87" s="34"/>
      <c r="W87" s="35" t="s">
        <v>68</v>
      </c>
      <c r="X87" s="667">
        <v>500</v>
      </c>
      <c r="Y87" s="668">
        <f>IFERROR(IF(X87="",0,CEILING((X87/$H87),1)*$H87),"")</f>
        <v>507.6</v>
      </c>
      <c r="Z87" s="36">
        <f>IFERROR(IF(Y87=0,"",ROUNDUP(Y87/H87,0)*0.01898),"")</f>
        <v>0.89205999999999996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520.1388888888888</v>
      </c>
      <c r="BN87" s="64">
        <f>IFERROR(Y87*I87/H87,"0")</f>
        <v>528.04499999999996</v>
      </c>
      <c r="BO87" s="64">
        <f>IFERROR(1/J87*(X87/H87),"0")</f>
        <v>0.72337962962962954</v>
      </c>
      <c r="BP87" s="64">
        <f>IFERROR(1/J87*(Y87/H87),"0")</f>
        <v>0.734375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77">
        <v>4680115881518</v>
      </c>
      <c r="E88" s="678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8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7">
        <v>4680115881303</v>
      </c>
      <c r="E89" s="678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8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4"/>
      <c r="V89" s="34"/>
      <c r="W89" s="35" t="s">
        <v>68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97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98"/>
      <c r="P90" s="699" t="s">
        <v>87</v>
      </c>
      <c r="Q90" s="700"/>
      <c r="R90" s="700"/>
      <c r="S90" s="700"/>
      <c r="T90" s="700"/>
      <c r="U90" s="700"/>
      <c r="V90" s="701"/>
      <c r="W90" s="37" t="s">
        <v>88</v>
      </c>
      <c r="X90" s="669">
        <f>IFERROR(X87/H87,"0")+IFERROR(X88/H88,"0")+IFERROR(X89/H89,"0")</f>
        <v>46.296296296296291</v>
      </c>
      <c r="Y90" s="669">
        <f>IFERROR(Y87/H87,"0")+IFERROR(Y88/H88,"0")+IFERROR(Y89/H89,"0")</f>
        <v>47</v>
      </c>
      <c r="Z90" s="669">
        <f>IFERROR(IF(Z87="",0,Z87),"0")+IFERROR(IF(Z88="",0,Z88),"0")+IFERROR(IF(Z89="",0,Z89),"0")</f>
        <v>0.89205999999999996</v>
      </c>
      <c r="AA90" s="670"/>
      <c r="AB90" s="670"/>
      <c r="AC90" s="670"/>
    </row>
    <row r="91" spans="1:68" x14ac:dyDescent="0.2">
      <c r="A91" s="680"/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98"/>
      <c r="P91" s="699" t="s">
        <v>87</v>
      </c>
      <c r="Q91" s="700"/>
      <c r="R91" s="700"/>
      <c r="S91" s="700"/>
      <c r="T91" s="700"/>
      <c r="U91" s="700"/>
      <c r="V91" s="701"/>
      <c r="W91" s="37" t="s">
        <v>68</v>
      </c>
      <c r="X91" s="669">
        <f>IFERROR(SUM(X87:X89),"0")</f>
        <v>500</v>
      </c>
      <c r="Y91" s="669">
        <f>IFERROR(SUM(Y87:Y89),"0")</f>
        <v>507.6</v>
      </c>
      <c r="Z91" s="37"/>
      <c r="AA91" s="670"/>
      <c r="AB91" s="670"/>
      <c r="AC91" s="670"/>
    </row>
    <row r="92" spans="1:68" ht="14.25" customHeight="1" x14ac:dyDescent="0.25">
      <c r="A92" s="679" t="s">
        <v>63</v>
      </c>
      <c r="B92" s="680"/>
      <c r="C92" s="680"/>
      <c r="D92" s="680"/>
      <c r="E92" s="680"/>
      <c r="F92" s="680"/>
      <c r="G92" s="680"/>
      <c r="H92" s="680"/>
      <c r="I92" s="680"/>
      <c r="J92" s="680"/>
      <c r="K92" s="680"/>
      <c r="L92" s="680"/>
      <c r="M92" s="680"/>
      <c r="N92" s="680"/>
      <c r="O92" s="680"/>
      <c r="P92" s="680"/>
      <c r="Q92" s="680"/>
      <c r="R92" s="680"/>
      <c r="S92" s="680"/>
      <c r="T92" s="680"/>
      <c r="U92" s="680"/>
      <c r="V92" s="680"/>
      <c r="W92" s="680"/>
      <c r="X92" s="680"/>
      <c r="Y92" s="680"/>
      <c r="Z92" s="680"/>
      <c r="AA92" s="663"/>
      <c r="AB92" s="663"/>
      <c r="AC92" s="663"/>
    </row>
    <row r="93" spans="1:68" ht="27" customHeight="1" x14ac:dyDescent="0.25">
      <c r="A93" s="54" t="s">
        <v>187</v>
      </c>
      <c r="B93" s="54" t="s">
        <v>188</v>
      </c>
      <c r="C93" s="31">
        <v>4301051546</v>
      </c>
      <c r="D93" s="677">
        <v>4607091386967</v>
      </c>
      <c r="E93" s="678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815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5"/>
      <c r="R93" s="675"/>
      <c r="S93" s="675"/>
      <c r="T93" s="676"/>
      <c r="U93" s="34"/>
      <c r="V93" s="34"/>
      <c r="W93" s="35" t="s">
        <v>68</v>
      </c>
      <c r="X93" s="667">
        <v>450</v>
      </c>
      <c r="Y93" s="668">
        <f t="shared" ref="Y93:Y101" si="16">IFERROR(IF(X93="",0,CEILING((X93/$H93),1)*$H93),"")</f>
        <v>453.6</v>
      </c>
      <c r="Z93" s="36">
        <f>IFERROR(IF(Y93=0,"",ROUNDUP(Y93/H93,0)*0.01898),"")</f>
        <v>1.0249200000000001</v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477.80357142857144</v>
      </c>
      <c r="BN93" s="64">
        <f t="shared" ref="BN93:BN101" si="18">IFERROR(Y93*I93/H93,"0")</f>
        <v>481.62600000000003</v>
      </c>
      <c r="BO93" s="64">
        <f t="shared" ref="BO93:BO101" si="19">IFERROR(1/J93*(X93/H93),"0")</f>
        <v>0.8370535714285714</v>
      </c>
      <c r="BP93" s="64">
        <f t="shared" ref="BP93:BP101" si="20">IFERROR(1/J93*(Y93/H93),"0")</f>
        <v>0.84375</v>
      </c>
    </row>
    <row r="94" spans="1:68" ht="27" customHeight="1" x14ac:dyDescent="0.25">
      <c r="A94" s="54" t="s">
        <v>187</v>
      </c>
      <c r="B94" s="54" t="s">
        <v>190</v>
      </c>
      <c r="C94" s="31">
        <v>4301051437</v>
      </c>
      <c r="D94" s="677">
        <v>4607091386967</v>
      </c>
      <c r="E94" s="678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1018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5"/>
      <c r="R94" s="675"/>
      <c r="S94" s="675"/>
      <c r="T94" s="676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187</v>
      </c>
      <c r="B95" s="54" t="s">
        <v>191</v>
      </c>
      <c r="C95" s="31">
        <v>4301051712</v>
      </c>
      <c r="D95" s="677">
        <v>4607091386967</v>
      </c>
      <c r="E95" s="678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1004" t="s">
        <v>192</v>
      </c>
      <c r="Q95" s="675"/>
      <c r="R95" s="675"/>
      <c r="S95" s="675"/>
      <c r="T95" s="676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77">
        <v>4680115884953</v>
      </c>
      <c r="E96" s="678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98" t="s">
        <v>196</v>
      </c>
      <c r="Q96" s="675"/>
      <c r="R96" s="675"/>
      <c r="S96" s="675"/>
      <c r="T96" s="676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77">
        <v>4607091385731</v>
      </c>
      <c r="E97" s="678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993" t="s">
        <v>200</v>
      </c>
      <c r="Q97" s="675"/>
      <c r="R97" s="675"/>
      <c r="S97" s="675"/>
      <c r="T97" s="676"/>
      <c r="U97" s="34"/>
      <c r="V97" s="34"/>
      <c r="W97" s="35" t="s">
        <v>68</v>
      </c>
      <c r="X97" s="667">
        <v>400</v>
      </c>
      <c r="Y97" s="668">
        <f t="shared" si="16"/>
        <v>402.3</v>
      </c>
      <c r="Z97" s="36">
        <f>IFERROR(IF(Y97=0,"",ROUNDUP(Y97/H97,0)*0.00651),"")</f>
        <v>0.96999000000000002</v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437.33333333333331</v>
      </c>
      <c r="BN97" s="64">
        <f t="shared" si="18"/>
        <v>439.84799999999996</v>
      </c>
      <c r="BO97" s="64">
        <f t="shared" si="19"/>
        <v>0.81400081400081403</v>
      </c>
      <c r="BP97" s="64">
        <f t="shared" si="20"/>
        <v>0.81868131868131877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7">
        <v>4607091385731</v>
      </c>
      <c r="E98" s="678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00" t="s">
        <v>202</v>
      </c>
      <c r="Q98" s="675"/>
      <c r="R98" s="675"/>
      <c r="S98" s="675"/>
      <c r="T98" s="676"/>
      <c r="U98" s="34"/>
      <c r="V98" s="34"/>
      <c r="W98" s="35" t="s">
        <v>68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77">
        <v>4680115880894</v>
      </c>
      <c r="E99" s="678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10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5"/>
      <c r="R99" s="675"/>
      <c r="S99" s="675"/>
      <c r="T99" s="676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4301051439</v>
      </c>
      <c r="D100" s="677">
        <v>4680115880214</v>
      </c>
      <c r="E100" s="678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1016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5"/>
      <c r="R100" s="675"/>
      <c r="S100" s="675"/>
      <c r="T100" s="676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4301051687</v>
      </c>
      <c r="D101" s="677">
        <v>4680115880214</v>
      </c>
      <c r="E101" s="678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7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5"/>
      <c r="R101" s="675"/>
      <c r="S101" s="675"/>
      <c r="T101" s="676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97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98"/>
      <c r="P102" s="699" t="s">
        <v>87</v>
      </c>
      <c r="Q102" s="700"/>
      <c r="R102" s="700"/>
      <c r="S102" s="700"/>
      <c r="T102" s="700"/>
      <c r="U102" s="700"/>
      <c r="V102" s="701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201.71957671957671</v>
      </c>
      <c r="Y102" s="669">
        <f>IFERROR(Y93/H93,"0")+IFERROR(Y94/H94,"0")+IFERROR(Y95/H95,"0")+IFERROR(Y96/H96,"0")+IFERROR(Y97/H97,"0")+IFERROR(Y98/H98,"0")+IFERROR(Y99/H99,"0")+IFERROR(Y100/H100,"0")+IFERROR(Y101/H101,"0")</f>
        <v>203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1.99491</v>
      </c>
      <c r="AA102" s="670"/>
      <c r="AB102" s="670"/>
      <c r="AC102" s="670"/>
    </row>
    <row r="103" spans="1:68" x14ac:dyDescent="0.2">
      <c r="A103" s="680"/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98"/>
      <c r="P103" s="699" t="s">
        <v>87</v>
      </c>
      <c r="Q103" s="700"/>
      <c r="R103" s="700"/>
      <c r="S103" s="700"/>
      <c r="T103" s="700"/>
      <c r="U103" s="700"/>
      <c r="V103" s="701"/>
      <c r="W103" s="37" t="s">
        <v>68</v>
      </c>
      <c r="X103" s="669">
        <f>IFERROR(SUM(X93:X101),"0")</f>
        <v>850</v>
      </c>
      <c r="Y103" s="669">
        <f>IFERROR(SUM(Y93:Y101),"0")</f>
        <v>855.90000000000009</v>
      </c>
      <c r="Z103" s="37"/>
      <c r="AA103" s="670"/>
      <c r="AB103" s="670"/>
      <c r="AC103" s="670"/>
    </row>
    <row r="104" spans="1:68" ht="16.5" customHeight="1" x14ac:dyDescent="0.25">
      <c r="A104" s="706" t="s">
        <v>209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2"/>
      <c r="AB104" s="662"/>
      <c r="AC104" s="662"/>
    </row>
    <row r="105" spans="1:68" ht="14.25" customHeight="1" x14ac:dyDescent="0.25">
      <c r="A105" s="679" t="s">
        <v>97</v>
      </c>
      <c r="B105" s="680"/>
      <c r="C105" s="680"/>
      <c r="D105" s="680"/>
      <c r="E105" s="680"/>
      <c r="F105" s="680"/>
      <c r="G105" s="680"/>
      <c r="H105" s="680"/>
      <c r="I105" s="680"/>
      <c r="J105" s="680"/>
      <c r="K105" s="680"/>
      <c r="L105" s="680"/>
      <c r="M105" s="680"/>
      <c r="N105" s="680"/>
      <c r="O105" s="680"/>
      <c r="P105" s="680"/>
      <c r="Q105" s="680"/>
      <c r="R105" s="680"/>
      <c r="S105" s="680"/>
      <c r="T105" s="680"/>
      <c r="U105" s="680"/>
      <c r="V105" s="680"/>
      <c r="W105" s="680"/>
      <c r="X105" s="680"/>
      <c r="Y105" s="680"/>
      <c r="Z105" s="680"/>
      <c r="AA105" s="663"/>
      <c r="AB105" s="663"/>
      <c r="AC105" s="663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7">
        <v>4680115882133</v>
      </c>
      <c r="E106" s="678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81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5"/>
      <c r="R106" s="675"/>
      <c r="S106" s="675"/>
      <c r="T106" s="676"/>
      <c r="U106" s="34"/>
      <c r="V106" s="34"/>
      <c r="W106" s="35" t="s">
        <v>68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77">
        <v>4680115880269</v>
      </c>
      <c r="E107" s="678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7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5"/>
      <c r="R107" s="675"/>
      <c r="S107" s="675"/>
      <c r="T107" s="676"/>
      <c r="U107" s="34"/>
      <c r="V107" s="34"/>
      <c r="W107" s="35" t="s">
        <v>68</v>
      </c>
      <c r="X107" s="667">
        <v>200</v>
      </c>
      <c r="Y107" s="668">
        <f>IFERROR(IF(X107="",0,CEILING((X107/$H107),1)*$H107),"")</f>
        <v>202.5</v>
      </c>
      <c r="Z107" s="36">
        <f>IFERROR(IF(Y107=0,"",ROUNDUP(Y107/H107,0)*0.00902),"")</f>
        <v>0.48708000000000001</v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211.2</v>
      </c>
      <c r="BN107" s="64">
        <f>IFERROR(Y107*I107/H107,"0")</f>
        <v>213.84</v>
      </c>
      <c r="BO107" s="64">
        <f>IFERROR(1/J107*(X107/H107),"0")</f>
        <v>0.40404040404040409</v>
      </c>
      <c r="BP107" s="64">
        <f>IFERROR(1/J107*(Y107/H107),"0")</f>
        <v>0.40909090909090912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7">
        <v>4680115880429</v>
      </c>
      <c r="E108" s="678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83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5"/>
      <c r="R108" s="675"/>
      <c r="S108" s="675"/>
      <c r="T108" s="676"/>
      <c r="U108" s="34"/>
      <c r="V108" s="34"/>
      <c r="W108" s="35" t="s">
        <v>68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77">
        <v>4680115881457</v>
      </c>
      <c r="E109" s="678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82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5"/>
      <c r="R109" s="675"/>
      <c r="S109" s="675"/>
      <c r="T109" s="676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97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98"/>
      <c r="P110" s="699" t="s">
        <v>87</v>
      </c>
      <c r="Q110" s="700"/>
      <c r="R110" s="700"/>
      <c r="S110" s="700"/>
      <c r="T110" s="700"/>
      <c r="U110" s="700"/>
      <c r="V110" s="701"/>
      <c r="W110" s="37" t="s">
        <v>88</v>
      </c>
      <c r="X110" s="669">
        <f>IFERROR(X106/H106,"0")+IFERROR(X107/H107,"0")+IFERROR(X108/H108,"0")+IFERROR(X109/H109,"0")</f>
        <v>53.333333333333336</v>
      </c>
      <c r="Y110" s="669">
        <f>IFERROR(Y106/H106,"0")+IFERROR(Y107/H107,"0")+IFERROR(Y108/H108,"0")+IFERROR(Y109/H109,"0")</f>
        <v>54</v>
      </c>
      <c r="Z110" s="669">
        <f>IFERROR(IF(Z106="",0,Z106),"0")+IFERROR(IF(Z107="",0,Z107),"0")+IFERROR(IF(Z108="",0,Z108),"0")+IFERROR(IF(Z109="",0,Z109),"0")</f>
        <v>0.48708000000000001</v>
      </c>
      <c r="AA110" s="670"/>
      <c r="AB110" s="670"/>
      <c r="AC110" s="670"/>
    </row>
    <row r="111" spans="1:68" x14ac:dyDescent="0.2">
      <c r="A111" s="680"/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98"/>
      <c r="P111" s="699" t="s">
        <v>87</v>
      </c>
      <c r="Q111" s="700"/>
      <c r="R111" s="700"/>
      <c r="S111" s="700"/>
      <c r="T111" s="700"/>
      <c r="U111" s="700"/>
      <c r="V111" s="701"/>
      <c r="W111" s="37" t="s">
        <v>68</v>
      </c>
      <c r="X111" s="669">
        <f>IFERROR(SUM(X106:X109),"0")</f>
        <v>200</v>
      </c>
      <c r="Y111" s="669">
        <f>IFERROR(SUM(Y106:Y109),"0")</f>
        <v>202.5</v>
      </c>
      <c r="Z111" s="37"/>
      <c r="AA111" s="670"/>
      <c r="AB111" s="670"/>
      <c r="AC111" s="670"/>
    </row>
    <row r="112" spans="1:68" ht="14.25" customHeight="1" x14ac:dyDescent="0.25">
      <c r="A112" s="679" t="s">
        <v>133</v>
      </c>
      <c r="B112" s="680"/>
      <c r="C112" s="680"/>
      <c r="D112" s="680"/>
      <c r="E112" s="680"/>
      <c r="F112" s="680"/>
      <c r="G112" s="680"/>
      <c r="H112" s="680"/>
      <c r="I112" s="680"/>
      <c r="J112" s="680"/>
      <c r="K112" s="680"/>
      <c r="L112" s="680"/>
      <c r="M112" s="680"/>
      <c r="N112" s="680"/>
      <c r="O112" s="680"/>
      <c r="P112" s="680"/>
      <c r="Q112" s="680"/>
      <c r="R112" s="680"/>
      <c r="S112" s="680"/>
      <c r="T112" s="680"/>
      <c r="U112" s="680"/>
      <c r="V112" s="680"/>
      <c r="W112" s="680"/>
      <c r="X112" s="680"/>
      <c r="Y112" s="680"/>
      <c r="Z112" s="680"/>
      <c r="AA112" s="663"/>
      <c r="AB112" s="663"/>
      <c r="AC112" s="663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7">
        <v>4680115881488</v>
      </c>
      <c r="E113" s="678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97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5"/>
      <c r="R113" s="675"/>
      <c r="S113" s="675"/>
      <c r="T113" s="676"/>
      <c r="U113" s="34"/>
      <c r="V113" s="34"/>
      <c r="W113" s="35" t="s">
        <v>68</v>
      </c>
      <c r="X113" s="667">
        <v>100</v>
      </c>
      <c r="Y113" s="668">
        <f>IFERROR(IF(X113="",0,CEILING((X113/$H113),1)*$H113),"")</f>
        <v>108</v>
      </c>
      <c r="Z113" s="36">
        <f>IFERROR(IF(Y113=0,"",ROUNDUP(Y113/H113,0)*0.01898),"")</f>
        <v>0.1898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104.02777777777777</v>
      </c>
      <c r="BN113" s="64">
        <f>IFERROR(Y113*I113/H113,"0")</f>
        <v>112.34999999999998</v>
      </c>
      <c r="BO113" s="64">
        <f>IFERROR(1/J113*(X113/H113),"0")</f>
        <v>0.14467592592592593</v>
      </c>
      <c r="BP113" s="64">
        <f>IFERROR(1/J113*(Y113/H113),"0")</f>
        <v>0.15625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77">
        <v>4680115882775</v>
      </c>
      <c r="E114" s="678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78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5"/>
      <c r="R114" s="675"/>
      <c r="S114" s="675"/>
      <c r="T114" s="676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7">
        <v>4680115880658</v>
      </c>
      <c r="E115" s="678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7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5"/>
      <c r="R115" s="675"/>
      <c r="S115" s="675"/>
      <c r="T115" s="676"/>
      <c r="U115" s="34"/>
      <c r="V115" s="34"/>
      <c r="W115" s="35" t="s">
        <v>68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97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98"/>
      <c r="P116" s="699" t="s">
        <v>87</v>
      </c>
      <c r="Q116" s="700"/>
      <c r="R116" s="700"/>
      <c r="S116" s="700"/>
      <c r="T116" s="700"/>
      <c r="U116" s="700"/>
      <c r="V116" s="701"/>
      <c r="W116" s="37" t="s">
        <v>88</v>
      </c>
      <c r="X116" s="669">
        <f>IFERROR(X113/H113,"0")+IFERROR(X114/H114,"0")+IFERROR(X115/H115,"0")</f>
        <v>9.2592592592592595</v>
      </c>
      <c r="Y116" s="669">
        <f>IFERROR(Y113/H113,"0")+IFERROR(Y114/H114,"0")+IFERROR(Y115/H115,"0")</f>
        <v>10</v>
      </c>
      <c r="Z116" s="669">
        <f>IFERROR(IF(Z113="",0,Z113),"0")+IFERROR(IF(Z114="",0,Z114),"0")+IFERROR(IF(Z115="",0,Z115),"0")</f>
        <v>0.1898</v>
      </c>
      <c r="AA116" s="670"/>
      <c r="AB116" s="670"/>
      <c r="AC116" s="670"/>
    </row>
    <row r="117" spans="1:68" x14ac:dyDescent="0.2">
      <c r="A117" s="680"/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98"/>
      <c r="P117" s="699" t="s">
        <v>87</v>
      </c>
      <c r="Q117" s="700"/>
      <c r="R117" s="700"/>
      <c r="S117" s="700"/>
      <c r="T117" s="700"/>
      <c r="U117" s="700"/>
      <c r="V117" s="701"/>
      <c r="W117" s="37" t="s">
        <v>68</v>
      </c>
      <c r="X117" s="669">
        <f>IFERROR(SUM(X113:X115),"0")</f>
        <v>100</v>
      </c>
      <c r="Y117" s="669">
        <f>IFERROR(SUM(Y113:Y115),"0")</f>
        <v>108</v>
      </c>
      <c r="Z117" s="37"/>
      <c r="AA117" s="670"/>
      <c r="AB117" s="670"/>
      <c r="AC117" s="670"/>
    </row>
    <row r="118" spans="1:68" ht="14.25" customHeight="1" x14ac:dyDescent="0.25">
      <c r="A118" s="679" t="s">
        <v>63</v>
      </c>
      <c r="B118" s="680"/>
      <c r="C118" s="680"/>
      <c r="D118" s="680"/>
      <c r="E118" s="680"/>
      <c r="F118" s="680"/>
      <c r="G118" s="680"/>
      <c r="H118" s="680"/>
      <c r="I118" s="680"/>
      <c r="J118" s="680"/>
      <c r="K118" s="680"/>
      <c r="L118" s="680"/>
      <c r="M118" s="680"/>
      <c r="N118" s="680"/>
      <c r="O118" s="680"/>
      <c r="P118" s="680"/>
      <c r="Q118" s="680"/>
      <c r="R118" s="680"/>
      <c r="S118" s="680"/>
      <c r="T118" s="680"/>
      <c r="U118" s="680"/>
      <c r="V118" s="680"/>
      <c r="W118" s="680"/>
      <c r="X118" s="680"/>
      <c r="Y118" s="680"/>
      <c r="Z118" s="680"/>
      <c r="AA118" s="663"/>
      <c r="AB118" s="663"/>
      <c r="AC118" s="663"/>
    </row>
    <row r="119" spans="1:68" ht="37.5" customHeight="1" x14ac:dyDescent="0.25">
      <c r="A119" s="54" t="s">
        <v>226</v>
      </c>
      <c r="B119" s="54" t="s">
        <v>227</v>
      </c>
      <c r="C119" s="31">
        <v>4301051360</v>
      </c>
      <c r="D119" s="677">
        <v>4607091385168</v>
      </c>
      <c r="E119" s="678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94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5"/>
      <c r="R119" s="675"/>
      <c r="S119" s="675"/>
      <c r="T119" s="676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226</v>
      </c>
      <c r="B120" s="54" t="s">
        <v>229</v>
      </c>
      <c r="C120" s="31">
        <v>4301051625</v>
      </c>
      <c r="D120" s="677">
        <v>4607091385168</v>
      </c>
      <c r="E120" s="678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99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5"/>
      <c r="R120" s="675"/>
      <c r="S120" s="675"/>
      <c r="T120" s="676"/>
      <c r="U120" s="34"/>
      <c r="V120" s="34"/>
      <c r="W120" s="35" t="s">
        <v>68</v>
      </c>
      <c r="X120" s="667">
        <v>500</v>
      </c>
      <c r="Y120" s="668">
        <f t="shared" si="21"/>
        <v>504</v>
      </c>
      <c r="Z120" s="36">
        <f>IFERROR(IF(Y120=0,"",ROUNDUP(Y120/H120,0)*0.01898),"")</f>
        <v>1.1388</v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530.53571428571422</v>
      </c>
      <c r="BN120" s="64">
        <f t="shared" si="23"/>
        <v>534.78</v>
      </c>
      <c r="BO120" s="64">
        <f t="shared" si="24"/>
        <v>0.93005952380952372</v>
      </c>
      <c r="BP120" s="64">
        <f t="shared" si="25"/>
        <v>0.9375</v>
      </c>
    </row>
    <row r="121" spans="1:68" ht="16.5" customHeight="1" x14ac:dyDescent="0.25">
      <c r="A121" s="54" t="s">
        <v>226</v>
      </c>
      <c r="B121" s="54" t="s">
        <v>231</v>
      </c>
      <c r="C121" s="31">
        <v>4301051724</v>
      </c>
      <c r="D121" s="677">
        <v>4607091385168</v>
      </c>
      <c r="E121" s="678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740" t="s">
        <v>232</v>
      </c>
      <c r="Q121" s="675"/>
      <c r="R121" s="675"/>
      <c r="S121" s="675"/>
      <c r="T121" s="676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77">
        <v>4607091383256</v>
      </c>
      <c r="E122" s="678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920" t="s">
        <v>236</v>
      </c>
      <c r="Q122" s="675"/>
      <c r="R122" s="675"/>
      <c r="S122" s="675"/>
      <c r="T122" s="676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238</v>
      </c>
      <c r="C123" s="31">
        <v>4301051721</v>
      </c>
      <c r="D123" s="677">
        <v>4607091385748</v>
      </c>
      <c r="E123" s="678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745" t="s">
        <v>239</v>
      </c>
      <c r="Q123" s="675"/>
      <c r="R123" s="675"/>
      <c r="S123" s="675"/>
      <c r="T123" s="676"/>
      <c r="U123" s="34"/>
      <c r="V123" s="34"/>
      <c r="W123" s="35" t="s">
        <v>68</v>
      </c>
      <c r="X123" s="667">
        <v>700</v>
      </c>
      <c r="Y123" s="668">
        <f t="shared" si="21"/>
        <v>702</v>
      </c>
      <c r="Z123" s="36">
        <f>IFERROR(IF(Y123=0,"",ROUNDUP(Y123/H123,0)*0.00651),"")</f>
        <v>1.6926000000000001</v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765.33333333333337</v>
      </c>
      <c r="BN123" s="64">
        <f t="shared" si="23"/>
        <v>767.52</v>
      </c>
      <c r="BO123" s="64">
        <f t="shared" si="24"/>
        <v>1.4245014245014245</v>
      </c>
      <c r="BP123" s="64">
        <f t="shared" si="25"/>
        <v>1.4285714285714286</v>
      </c>
    </row>
    <row r="124" spans="1:68" ht="27" customHeight="1" x14ac:dyDescent="0.25">
      <c r="A124" s="54" t="s">
        <v>240</v>
      </c>
      <c r="B124" s="54" t="s">
        <v>241</v>
      </c>
      <c r="C124" s="31">
        <v>4301051740</v>
      </c>
      <c r="D124" s="677">
        <v>4680115884533</v>
      </c>
      <c r="E124" s="678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6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5"/>
      <c r="R124" s="675"/>
      <c r="S124" s="675"/>
      <c r="T124" s="676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243</v>
      </c>
      <c r="B125" s="54" t="s">
        <v>244</v>
      </c>
      <c r="C125" s="31">
        <v>4301051480</v>
      </c>
      <c r="D125" s="677">
        <v>4680115882645</v>
      </c>
      <c r="E125" s="678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7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5"/>
      <c r="R125" s="675"/>
      <c r="S125" s="675"/>
      <c r="T125" s="676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97"/>
      <c r="B126" s="680"/>
      <c r="C126" s="680"/>
      <c r="D126" s="680"/>
      <c r="E126" s="680"/>
      <c r="F126" s="680"/>
      <c r="G126" s="680"/>
      <c r="H126" s="680"/>
      <c r="I126" s="680"/>
      <c r="J126" s="680"/>
      <c r="K126" s="680"/>
      <c r="L126" s="680"/>
      <c r="M126" s="680"/>
      <c r="N126" s="680"/>
      <c r="O126" s="698"/>
      <c r="P126" s="699" t="s">
        <v>87</v>
      </c>
      <c r="Q126" s="700"/>
      <c r="R126" s="700"/>
      <c r="S126" s="700"/>
      <c r="T126" s="700"/>
      <c r="U126" s="700"/>
      <c r="V126" s="701"/>
      <c r="W126" s="37" t="s">
        <v>88</v>
      </c>
      <c r="X126" s="669">
        <f>IFERROR(X119/H119,"0")+IFERROR(X120/H120,"0")+IFERROR(X121/H121,"0")+IFERROR(X122/H122,"0")+IFERROR(X123/H123,"0")+IFERROR(X124/H124,"0")+IFERROR(X125/H125,"0")</f>
        <v>318.78306878306876</v>
      </c>
      <c r="Y126" s="669">
        <f>IFERROR(Y119/H119,"0")+IFERROR(Y120/H120,"0")+IFERROR(Y121/H121,"0")+IFERROR(Y122/H122,"0")+IFERROR(Y123/H123,"0")+IFERROR(Y124/H124,"0")+IFERROR(Y125/H125,"0")</f>
        <v>320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2.8314000000000004</v>
      </c>
      <c r="AA126" s="670"/>
      <c r="AB126" s="670"/>
      <c r="AC126" s="670"/>
    </row>
    <row r="127" spans="1:68" x14ac:dyDescent="0.2">
      <c r="A127" s="680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98"/>
      <c r="P127" s="699" t="s">
        <v>87</v>
      </c>
      <c r="Q127" s="700"/>
      <c r="R127" s="700"/>
      <c r="S127" s="700"/>
      <c r="T127" s="700"/>
      <c r="U127" s="700"/>
      <c r="V127" s="701"/>
      <c r="W127" s="37" t="s">
        <v>68</v>
      </c>
      <c r="X127" s="669">
        <f>IFERROR(SUM(X119:X125),"0")</f>
        <v>1200</v>
      </c>
      <c r="Y127" s="669">
        <f>IFERROR(SUM(Y119:Y125),"0")</f>
        <v>1206</v>
      </c>
      <c r="Z127" s="37"/>
      <c r="AA127" s="670"/>
      <c r="AB127" s="670"/>
      <c r="AC127" s="670"/>
    </row>
    <row r="128" spans="1:68" ht="14.25" customHeight="1" x14ac:dyDescent="0.25">
      <c r="A128" s="679" t="s">
        <v>170</v>
      </c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0"/>
      <c r="P128" s="680"/>
      <c r="Q128" s="680"/>
      <c r="R128" s="680"/>
      <c r="S128" s="680"/>
      <c r="T128" s="680"/>
      <c r="U128" s="680"/>
      <c r="V128" s="680"/>
      <c r="W128" s="680"/>
      <c r="X128" s="680"/>
      <c r="Y128" s="680"/>
      <c r="Z128" s="680"/>
      <c r="AA128" s="663"/>
      <c r="AB128" s="663"/>
      <c r="AC128" s="663"/>
    </row>
    <row r="129" spans="1:68" ht="37.5" customHeight="1" x14ac:dyDescent="0.25">
      <c r="A129" s="54" t="s">
        <v>246</v>
      </c>
      <c r="B129" s="54" t="s">
        <v>247</v>
      </c>
      <c r="C129" s="31">
        <v>4301060356</v>
      </c>
      <c r="D129" s="677">
        <v>4680115882652</v>
      </c>
      <c r="E129" s="678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9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5"/>
      <c r="R129" s="675"/>
      <c r="S129" s="675"/>
      <c r="T129" s="676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249</v>
      </c>
      <c r="B130" s="54" t="s">
        <v>250</v>
      </c>
      <c r="C130" s="31">
        <v>4301060317</v>
      </c>
      <c r="D130" s="677">
        <v>4680115880238</v>
      </c>
      <c r="E130" s="678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7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5"/>
      <c r="R130" s="675"/>
      <c r="S130" s="675"/>
      <c r="T130" s="676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97"/>
      <c r="B131" s="680"/>
      <c r="C131" s="680"/>
      <c r="D131" s="680"/>
      <c r="E131" s="680"/>
      <c r="F131" s="680"/>
      <c r="G131" s="680"/>
      <c r="H131" s="680"/>
      <c r="I131" s="680"/>
      <c r="J131" s="680"/>
      <c r="K131" s="680"/>
      <c r="L131" s="680"/>
      <c r="M131" s="680"/>
      <c r="N131" s="680"/>
      <c r="O131" s="698"/>
      <c r="P131" s="699" t="s">
        <v>87</v>
      </c>
      <c r="Q131" s="700"/>
      <c r="R131" s="700"/>
      <c r="S131" s="700"/>
      <c r="T131" s="700"/>
      <c r="U131" s="700"/>
      <c r="V131" s="701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x14ac:dyDescent="0.2">
      <c r="A132" s="680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98"/>
      <c r="P132" s="699" t="s">
        <v>87</v>
      </c>
      <c r="Q132" s="700"/>
      <c r="R132" s="700"/>
      <c r="S132" s="700"/>
      <c r="T132" s="700"/>
      <c r="U132" s="700"/>
      <c r="V132" s="701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customHeight="1" x14ac:dyDescent="0.25">
      <c r="A133" s="706" t="s">
        <v>252</v>
      </c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0"/>
      <c r="P133" s="680"/>
      <c r="Q133" s="680"/>
      <c r="R133" s="680"/>
      <c r="S133" s="680"/>
      <c r="T133" s="680"/>
      <c r="U133" s="680"/>
      <c r="V133" s="680"/>
      <c r="W133" s="680"/>
      <c r="X133" s="680"/>
      <c r="Y133" s="680"/>
      <c r="Z133" s="680"/>
      <c r="AA133" s="662"/>
      <c r="AB133" s="662"/>
      <c r="AC133" s="662"/>
    </row>
    <row r="134" spans="1:68" ht="14.25" customHeight="1" x14ac:dyDescent="0.25">
      <c r="A134" s="679" t="s">
        <v>97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3"/>
      <c r="AB134" s="663"/>
      <c r="AC134" s="663"/>
    </row>
    <row r="135" spans="1:68" ht="27" customHeight="1" x14ac:dyDescent="0.25">
      <c r="A135" s="54" t="s">
        <v>253</v>
      </c>
      <c r="B135" s="54" t="s">
        <v>254</v>
      </c>
      <c r="C135" s="31">
        <v>4301011564</v>
      </c>
      <c r="D135" s="677">
        <v>4680115882577</v>
      </c>
      <c r="E135" s="678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7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5"/>
      <c r="R135" s="675"/>
      <c r="S135" s="675"/>
      <c r="T135" s="676"/>
      <c r="U135" s="34"/>
      <c r="V135" s="34"/>
      <c r="W135" s="35" t="s">
        <v>68</v>
      </c>
      <c r="X135" s="667">
        <v>200</v>
      </c>
      <c r="Y135" s="668">
        <f>IFERROR(IF(X135="",0,CEILING((X135/$H135),1)*$H135),"")</f>
        <v>201.60000000000002</v>
      </c>
      <c r="Z135" s="36">
        <f>IFERROR(IF(Y135=0,"",ROUNDUP(Y135/H135,0)*0.00651),"")</f>
        <v>0.41012999999999999</v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211.25</v>
      </c>
      <c r="BN135" s="64">
        <f>IFERROR(Y135*I135/H135,"0")</f>
        <v>212.94</v>
      </c>
      <c r="BO135" s="64">
        <f>IFERROR(1/J135*(X135/H135),"0")</f>
        <v>0.34340659340659341</v>
      </c>
      <c r="BP135" s="64">
        <f>IFERROR(1/J135*(Y135/H135),"0")</f>
        <v>0.3461538461538462</v>
      </c>
    </row>
    <row r="136" spans="1:68" ht="27" customHeight="1" x14ac:dyDescent="0.25">
      <c r="A136" s="54" t="s">
        <v>253</v>
      </c>
      <c r="B136" s="54" t="s">
        <v>256</v>
      </c>
      <c r="C136" s="31">
        <v>4301011562</v>
      </c>
      <c r="D136" s="677">
        <v>4680115882577</v>
      </c>
      <c r="E136" s="678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7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5"/>
      <c r="R136" s="675"/>
      <c r="S136" s="675"/>
      <c r="T136" s="676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97"/>
      <c r="B137" s="680"/>
      <c r="C137" s="680"/>
      <c r="D137" s="680"/>
      <c r="E137" s="680"/>
      <c r="F137" s="680"/>
      <c r="G137" s="680"/>
      <c r="H137" s="680"/>
      <c r="I137" s="680"/>
      <c r="J137" s="680"/>
      <c r="K137" s="680"/>
      <c r="L137" s="680"/>
      <c r="M137" s="680"/>
      <c r="N137" s="680"/>
      <c r="O137" s="698"/>
      <c r="P137" s="699" t="s">
        <v>87</v>
      </c>
      <c r="Q137" s="700"/>
      <c r="R137" s="700"/>
      <c r="S137" s="700"/>
      <c r="T137" s="700"/>
      <c r="U137" s="700"/>
      <c r="V137" s="701"/>
      <c r="W137" s="37" t="s">
        <v>88</v>
      </c>
      <c r="X137" s="669">
        <f>IFERROR(X135/H135,"0")+IFERROR(X136/H136,"0")</f>
        <v>62.5</v>
      </c>
      <c r="Y137" s="669">
        <f>IFERROR(Y135/H135,"0")+IFERROR(Y136/H136,"0")</f>
        <v>63.000000000000007</v>
      </c>
      <c r="Z137" s="669">
        <f>IFERROR(IF(Z135="",0,Z135),"0")+IFERROR(IF(Z136="",0,Z136),"0")</f>
        <v>0.41012999999999999</v>
      </c>
      <c r="AA137" s="670"/>
      <c r="AB137" s="670"/>
      <c r="AC137" s="670"/>
    </row>
    <row r="138" spans="1:68" x14ac:dyDescent="0.2">
      <c r="A138" s="680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98"/>
      <c r="P138" s="699" t="s">
        <v>87</v>
      </c>
      <c r="Q138" s="700"/>
      <c r="R138" s="700"/>
      <c r="S138" s="700"/>
      <c r="T138" s="700"/>
      <c r="U138" s="700"/>
      <c r="V138" s="701"/>
      <c r="W138" s="37" t="s">
        <v>68</v>
      </c>
      <c r="X138" s="669">
        <f>IFERROR(SUM(X135:X136),"0")</f>
        <v>200</v>
      </c>
      <c r="Y138" s="669">
        <f>IFERROR(SUM(Y135:Y136),"0")</f>
        <v>201.60000000000002</v>
      </c>
      <c r="Z138" s="37"/>
      <c r="AA138" s="670"/>
      <c r="AB138" s="670"/>
      <c r="AC138" s="670"/>
    </row>
    <row r="139" spans="1:68" ht="14.25" customHeight="1" x14ac:dyDescent="0.25">
      <c r="A139" s="679" t="s">
        <v>144</v>
      </c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0"/>
      <c r="P139" s="680"/>
      <c r="Q139" s="680"/>
      <c r="R139" s="680"/>
      <c r="S139" s="680"/>
      <c r="T139" s="680"/>
      <c r="U139" s="680"/>
      <c r="V139" s="680"/>
      <c r="W139" s="680"/>
      <c r="X139" s="680"/>
      <c r="Y139" s="680"/>
      <c r="Z139" s="680"/>
      <c r="AA139" s="663"/>
      <c r="AB139" s="663"/>
      <c r="AC139" s="663"/>
    </row>
    <row r="140" spans="1:68" ht="27" customHeight="1" x14ac:dyDescent="0.25">
      <c r="A140" s="54" t="s">
        <v>257</v>
      </c>
      <c r="B140" s="54" t="s">
        <v>258</v>
      </c>
      <c r="C140" s="31">
        <v>4301031235</v>
      </c>
      <c r="D140" s="677">
        <v>4680115883444</v>
      </c>
      <c r="E140" s="678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90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5"/>
      <c r="R140" s="675"/>
      <c r="S140" s="675"/>
      <c r="T140" s="676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257</v>
      </c>
      <c r="B141" s="54" t="s">
        <v>260</v>
      </c>
      <c r="C141" s="31">
        <v>4301031234</v>
      </c>
      <c r="D141" s="677">
        <v>4680115883444</v>
      </c>
      <c r="E141" s="678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5"/>
      <c r="R141" s="675"/>
      <c r="S141" s="675"/>
      <c r="T141" s="676"/>
      <c r="U141" s="34"/>
      <c r="V141" s="34"/>
      <c r="W141" s="35" t="s">
        <v>68</v>
      </c>
      <c r="X141" s="667">
        <v>200</v>
      </c>
      <c r="Y141" s="668">
        <f>IFERROR(IF(X141="",0,CEILING((X141/$H141),1)*$H141),"")</f>
        <v>201.6</v>
      </c>
      <c r="Z141" s="36">
        <f>IFERROR(IF(Y141=0,"",ROUNDUP(Y141/H141,0)*0.00651),"")</f>
        <v>0.46872000000000003</v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219.14285714285717</v>
      </c>
      <c r="BN141" s="64">
        <f>IFERROR(Y141*I141/H141,"0")</f>
        <v>220.89599999999999</v>
      </c>
      <c r="BO141" s="64">
        <f>IFERROR(1/J141*(X141/H141),"0")</f>
        <v>0.39246467817896391</v>
      </c>
      <c r="BP141" s="64">
        <f>IFERROR(1/J141*(Y141/H141),"0")</f>
        <v>0.39560439560439564</v>
      </c>
    </row>
    <row r="142" spans="1:68" x14ac:dyDescent="0.2">
      <c r="A142" s="697"/>
      <c r="B142" s="680"/>
      <c r="C142" s="680"/>
      <c r="D142" s="680"/>
      <c r="E142" s="680"/>
      <c r="F142" s="680"/>
      <c r="G142" s="680"/>
      <c r="H142" s="680"/>
      <c r="I142" s="680"/>
      <c r="J142" s="680"/>
      <c r="K142" s="680"/>
      <c r="L142" s="680"/>
      <c r="M142" s="680"/>
      <c r="N142" s="680"/>
      <c r="O142" s="698"/>
      <c r="P142" s="699" t="s">
        <v>87</v>
      </c>
      <c r="Q142" s="700"/>
      <c r="R142" s="700"/>
      <c r="S142" s="700"/>
      <c r="T142" s="700"/>
      <c r="U142" s="700"/>
      <c r="V142" s="701"/>
      <c r="W142" s="37" t="s">
        <v>88</v>
      </c>
      <c r="X142" s="669">
        <f>IFERROR(X140/H140,"0")+IFERROR(X141/H141,"0")</f>
        <v>71.428571428571431</v>
      </c>
      <c r="Y142" s="669">
        <f>IFERROR(Y140/H140,"0")+IFERROR(Y141/H141,"0")</f>
        <v>72</v>
      </c>
      <c r="Z142" s="669">
        <f>IFERROR(IF(Z140="",0,Z140),"0")+IFERROR(IF(Z141="",0,Z141),"0")</f>
        <v>0.46872000000000003</v>
      </c>
      <c r="AA142" s="670"/>
      <c r="AB142" s="670"/>
      <c r="AC142" s="670"/>
    </row>
    <row r="143" spans="1:68" x14ac:dyDescent="0.2">
      <c r="A143" s="680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98"/>
      <c r="P143" s="699" t="s">
        <v>87</v>
      </c>
      <c r="Q143" s="700"/>
      <c r="R143" s="700"/>
      <c r="S143" s="700"/>
      <c r="T143" s="700"/>
      <c r="U143" s="700"/>
      <c r="V143" s="701"/>
      <c r="W143" s="37" t="s">
        <v>68</v>
      </c>
      <c r="X143" s="669">
        <f>IFERROR(SUM(X140:X141),"0")</f>
        <v>200</v>
      </c>
      <c r="Y143" s="669">
        <f>IFERROR(SUM(Y140:Y141),"0")</f>
        <v>201.6</v>
      </c>
      <c r="Z143" s="37"/>
      <c r="AA143" s="670"/>
      <c r="AB143" s="670"/>
      <c r="AC143" s="670"/>
    </row>
    <row r="144" spans="1:68" ht="14.25" customHeight="1" x14ac:dyDescent="0.25">
      <c r="A144" s="679" t="s">
        <v>63</v>
      </c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0"/>
      <c r="P144" s="680"/>
      <c r="Q144" s="680"/>
      <c r="R144" s="680"/>
      <c r="S144" s="680"/>
      <c r="T144" s="680"/>
      <c r="U144" s="680"/>
      <c r="V144" s="680"/>
      <c r="W144" s="680"/>
      <c r="X144" s="680"/>
      <c r="Y144" s="680"/>
      <c r="Z144" s="680"/>
      <c r="AA144" s="663"/>
      <c r="AB144" s="663"/>
      <c r="AC144" s="663"/>
    </row>
    <row r="145" spans="1:68" ht="16.5" customHeight="1" x14ac:dyDescent="0.25">
      <c r="A145" s="54" t="s">
        <v>261</v>
      </c>
      <c r="B145" s="54" t="s">
        <v>262</v>
      </c>
      <c r="C145" s="31">
        <v>4301051477</v>
      </c>
      <c r="D145" s="677">
        <v>4680115882584</v>
      </c>
      <c r="E145" s="678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103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5"/>
      <c r="R145" s="675"/>
      <c r="S145" s="675"/>
      <c r="T145" s="676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261</v>
      </c>
      <c r="B146" s="54" t="s">
        <v>263</v>
      </c>
      <c r="C146" s="31">
        <v>4301051476</v>
      </c>
      <c r="D146" s="677">
        <v>4680115882584</v>
      </c>
      <c r="E146" s="678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73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5"/>
      <c r="R146" s="675"/>
      <c r="S146" s="675"/>
      <c r="T146" s="676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97"/>
      <c r="B147" s="680"/>
      <c r="C147" s="680"/>
      <c r="D147" s="680"/>
      <c r="E147" s="680"/>
      <c r="F147" s="680"/>
      <c r="G147" s="680"/>
      <c r="H147" s="680"/>
      <c r="I147" s="680"/>
      <c r="J147" s="680"/>
      <c r="K147" s="680"/>
      <c r="L147" s="680"/>
      <c r="M147" s="680"/>
      <c r="N147" s="680"/>
      <c r="O147" s="698"/>
      <c r="P147" s="699" t="s">
        <v>87</v>
      </c>
      <c r="Q147" s="700"/>
      <c r="R147" s="700"/>
      <c r="S147" s="700"/>
      <c r="T147" s="700"/>
      <c r="U147" s="700"/>
      <c r="V147" s="701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x14ac:dyDescent="0.2">
      <c r="A148" s="680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98"/>
      <c r="P148" s="699" t="s">
        <v>87</v>
      </c>
      <c r="Q148" s="700"/>
      <c r="R148" s="700"/>
      <c r="S148" s="700"/>
      <c r="T148" s="700"/>
      <c r="U148" s="700"/>
      <c r="V148" s="701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customHeight="1" x14ac:dyDescent="0.25">
      <c r="A149" s="706" t="s">
        <v>95</v>
      </c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0"/>
      <c r="P149" s="680"/>
      <c r="Q149" s="680"/>
      <c r="R149" s="680"/>
      <c r="S149" s="680"/>
      <c r="T149" s="680"/>
      <c r="U149" s="680"/>
      <c r="V149" s="680"/>
      <c r="W149" s="680"/>
      <c r="X149" s="680"/>
      <c r="Y149" s="680"/>
      <c r="Z149" s="680"/>
      <c r="AA149" s="662"/>
      <c r="AB149" s="662"/>
      <c r="AC149" s="662"/>
    </row>
    <row r="150" spans="1:68" ht="14.25" customHeight="1" x14ac:dyDescent="0.25">
      <c r="A150" s="679" t="s">
        <v>97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3"/>
      <c r="AB150" s="663"/>
      <c r="AC150" s="663"/>
    </row>
    <row r="151" spans="1:68" ht="27" customHeight="1" x14ac:dyDescent="0.25">
      <c r="A151" s="54" t="s">
        <v>264</v>
      </c>
      <c r="B151" s="54" t="s">
        <v>265</v>
      </c>
      <c r="C151" s="31">
        <v>4301011705</v>
      </c>
      <c r="D151" s="677">
        <v>4607091384604</v>
      </c>
      <c r="E151" s="678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7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5"/>
      <c r="R151" s="675"/>
      <c r="S151" s="675"/>
      <c r="T151" s="676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97"/>
      <c r="B152" s="680"/>
      <c r="C152" s="680"/>
      <c r="D152" s="680"/>
      <c r="E152" s="680"/>
      <c r="F152" s="680"/>
      <c r="G152" s="680"/>
      <c r="H152" s="680"/>
      <c r="I152" s="680"/>
      <c r="J152" s="680"/>
      <c r="K152" s="680"/>
      <c r="L152" s="680"/>
      <c r="M152" s="680"/>
      <c r="N152" s="680"/>
      <c r="O152" s="698"/>
      <c r="P152" s="699" t="s">
        <v>87</v>
      </c>
      <c r="Q152" s="700"/>
      <c r="R152" s="700"/>
      <c r="S152" s="700"/>
      <c r="T152" s="700"/>
      <c r="U152" s="700"/>
      <c r="V152" s="701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80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98"/>
      <c r="P153" s="699" t="s">
        <v>87</v>
      </c>
      <c r="Q153" s="700"/>
      <c r="R153" s="700"/>
      <c r="S153" s="700"/>
      <c r="T153" s="700"/>
      <c r="U153" s="700"/>
      <c r="V153" s="701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79" t="s">
        <v>144</v>
      </c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0"/>
      <c r="P154" s="680"/>
      <c r="Q154" s="680"/>
      <c r="R154" s="680"/>
      <c r="S154" s="680"/>
      <c r="T154" s="680"/>
      <c r="U154" s="680"/>
      <c r="V154" s="680"/>
      <c r="W154" s="680"/>
      <c r="X154" s="680"/>
      <c r="Y154" s="680"/>
      <c r="Z154" s="680"/>
      <c r="AA154" s="663"/>
      <c r="AB154" s="663"/>
      <c r="AC154" s="663"/>
    </row>
    <row r="155" spans="1:68" ht="16.5" customHeight="1" x14ac:dyDescent="0.25">
      <c r="A155" s="54" t="s">
        <v>267</v>
      </c>
      <c r="B155" s="54" t="s">
        <v>268</v>
      </c>
      <c r="C155" s="31">
        <v>4301030895</v>
      </c>
      <c r="D155" s="677">
        <v>4607091387667</v>
      </c>
      <c r="E155" s="678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10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5"/>
      <c r="R155" s="675"/>
      <c r="S155" s="675"/>
      <c r="T155" s="676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270</v>
      </c>
      <c r="B156" s="54" t="s">
        <v>271</v>
      </c>
      <c r="C156" s="31">
        <v>4301030961</v>
      </c>
      <c r="D156" s="677">
        <v>4607091387636</v>
      </c>
      <c r="E156" s="678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85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5"/>
      <c r="R156" s="675"/>
      <c r="S156" s="675"/>
      <c r="T156" s="676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273</v>
      </c>
      <c r="B157" s="54" t="s">
        <v>274</v>
      </c>
      <c r="C157" s="31">
        <v>4301030963</v>
      </c>
      <c r="D157" s="677">
        <v>4607091382426</v>
      </c>
      <c r="E157" s="678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77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5"/>
      <c r="R157" s="675"/>
      <c r="S157" s="675"/>
      <c r="T157" s="676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97"/>
      <c r="B158" s="680"/>
      <c r="C158" s="680"/>
      <c r="D158" s="680"/>
      <c r="E158" s="680"/>
      <c r="F158" s="680"/>
      <c r="G158" s="680"/>
      <c r="H158" s="680"/>
      <c r="I158" s="680"/>
      <c r="J158" s="680"/>
      <c r="K158" s="680"/>
      <c r="L158" s="680"/>
      <c r="M158" s="680"/>
      <c r="N158" s="680"/>
      <c r="O158" s="698"/>
      <c r="P158" s="699" t="s">
        <v>87</v>
      </c>
      <c r="Q158" s="700"/>
      <c r="R158" s="700"/>
      <c r="S158" s="700"/>
      <c r="T158" s="700"/>
      <c r="U158" s="700"/>
      <c r="V158" s="701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80"/>
      <c r="B159" s="680"/>
      <c r="C159" s="680"/>
      <c r="D159" s="680"/>
      <c r="E159" s="680"/>
      <c r="F159" s="680"/>
      <c r="G159" s="680"/>
      <c r="H159" s="680"/>
      <c r="I159" s="680"/>
      <c r="J159" s="680"/>
      <c r="K159" s="680"/>
      <c r="L159" s="680"/>
      <c r="M159" s="680"/>
      <c r="N159" s="680"/>
      <c r="O159" s="698"/>
      <c r="P159" s="699" t="s">
        <v>87</v>
      </c>
      <c r="Q159" s="700"/>
      <c r="R159" s="700"/>
      <c r="S159" s="700"/>
      <c r="T159" s="700"/>
      <c r="U159" s="700"/>
      <c r="V159" s="701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79" t="s">
        <v>63</v>
      </c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0"/>
      <c r="P160" s="680"/>
      <c r="Q160" s="680"/>
      <c r="R160" s="680"/>
      <c r="S160" s="680"/>
      <c r="T160" s="680"/>
      <c r="U160" s="680"/>
      <c r="V160" s="680"/>
      <c r="W160" s="680"/>
      <c r="X160" s="680"/>
      <c r="Y160" s="680"/>
      <c r="Z160" s="680"/>
      <c r="AA160" s="663"/>
      <c r="AB160" s="663"/>
      <c r="AC160" s="663"/>
    </row>
    <row r="161" spans="1:68" ht="16.5" customHeight="1" x14ac:dyDescent="0.25">
      <c r="A161" s="54" t="s">
        <v>276</v>
      </c>
      <c r="B161" s="54" t="s">
        <v>277</v>
      </c>
      <c r="C161" s="31">
        <v>4301051653</v>
      </c>
      <c r="D161" s="677">
        <v>4607091386264</v>
      </c>
      <c r="E161" s="678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70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5"/>
      <c r="R161" s="675"/>
      <c r="S161" s="675"/>
      <c r="T161" s="676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97"/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98"/>
      <c r="P162" s="699" t="s">
        <v>87</v>
      </c>
      <c r="Q162" s="700"/>
      <c r="R162" s="700"/>
      <c r="S162" s="700"/>
      <c r="T162" s="700"/>
      <c r="U162" s="700"/>
      <c r="V162" s="701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80"/>
      <c r="B163" s="680"/>
      <c r="C163" s="680"/>
      <c r="D163" s="680"/>
      <c r="E163" s="680"/>
      <c r="F163" s="680"/>
      <c r="G163" s="680"/>
      <c r="H163" s="680"/>
      <c r="I163" s="680"/>
      <c r="J163" s="680"/>
      <c r="K163" s="680"/>
      <c r="L163" s="680"/>
      <c r="M163" s="680"/>
      <c r="N163" s="680"/>
      <c r="O163" s="698"/>
      <c r="P163" s="699" t="s">
        <v>87</v>
      </c>
      <c r="Q163" s="700"/>
      <c r="R163" s="700"/>
      <c r="S163" s="700"/>
      <c r="T163" s="700"/>
      <c r="U163" s="700"/>
      <c r="V163" s="701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836" t="s">
        <v>279</v>
      </c>
      <c r="B164" s="837"/>
      <c r="C164" s="837"/>
      <c r="D164" s="837"/>
      <c r="E164" s="837"/>
      <c r="F164" s="837"/>
      <c r="G164" s="837"/>
      <c r="H164" s="837"/>
      <c r="I164" s="837"/>
      <c r="J164" s="837"/>
      <c r="K164" s="837"/>
      <c r="L164" s="837"/>
      <c r="M164" s="837"/>
      <c r="N164" s="837"/>
      <c r="O164" s="837"/>
      <c r="P164" s="837"/>
      <c r="Q164" s="837"/>
      <c r="R164" s="837"/>
      <c r="S164" s="837"/>
      <c r="T164" s="837"/>
      <c r="U164" s="837"/>
      <c r="V164" s="837"/>
      <c r="W164" s="837"/>
      <c r="X164" s="837"/>
      <c r="Y164" s="837"/>
      <c r="Z164" s="837"/>
      <c r="AA164" s="48"/>
      <c r="AB164" s="48"/>
      <c r="AC164" s="48"/>
    </row>
    <row r="165" spans="1:68" ht="16.5" customHeight="1" x14ac:dyDescent="0.25">
      <c r="A165" s="706" t="s">
        <v>280</v>
      </c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0"/>
      <c r="P165" s="680"/>
      <c r="Q165" s="680"/>
      <c r="R165" s="680"/>
      <c r="S165" s="680"/>
      <c r="T165" s="680"/>
      <c r="U165" s="680"/>
      <c r="V165" s="680"/>
      <c r="W165" s="680"/>
      <c r="X165" s="680"/>
      <c r="Y165" s="680"/>
      <c r="Z165" s="680"/>
      <c r="AA165" s="662"/>
      <c r="AB165" s="662"/>
      <c r="AC165" s="662"/>
    </row>
    <row r="166" spans="1:68" ht="14.25" customHeight="1" x14ac:dyDescent="0.25">
      <c r="A166" s="679" t="s">
        <v>133</v>
      </c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0"/>
      <c r="P166" s="680"/>
      <c r="Q166" s="680"/>
      <c r="R166" s="680"/>
      <c r="S166" s="680"/>
      <c r="T166" s="680"/>
      <c r="U166" s="680"/>
      <c r="V166" s="680"/>
      <c r="W166" s="680"/>
      <c r="X166" s="680"/>
      <c r="Y166" s="680"/>
      <c r="Z166" s="680"/>
      <c r="AA166" s="663"/>
      <c r="AB166" s="663"/>
      <c r="AC166" s="663"/>
    </row>
    <row r="167" spans="1:68" ht="27" customHeight="1" x14ac:dyDescent="0.25">
      <c r="A167" s="54" t="s">
        <v>281</v>
      </c>
      <c r="B167" s="54" t="s">
        <v>282</v>
      </c>
      <c r="C167" s="31">
        <v>4301020323</v>
      </c>
      <c r="D167" s="677">
        <v>4680115886223</v>
      </c>
      <c r="E167" s="678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9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5"/>
      <c r="R167" s="675"/>
      <c r="S167" s="675"/>
      <c r="T167" s="676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97"/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98"/>
      <c r="P168" s="699" t="s">
        <v>87</v>
      </c>
      <c r="Q168" s="700"/>
      <c r="R168" s="700"/>
      <c r="S168" s="700"/>
      <c r="T168" s="700"/>
      <c r="U168" s="700"/>
      <c r="V168" s="701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80"/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98"/>
      <c r="P169" s="699" t="s">
        <v>87</v>
      </c>
      <c r="Q169" s="700"/>
      <c r="R169" s="700"/>
      <c r="S169" s="700"/>
      <c r="T169" s="700"/>
      <c r="U169" s="700"/>
      <c r="V169" s="701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79" t="s">
        <v>144</v>
      </c>
      <c r="B170" s="680"/>
      <c r="C170" s="680"/>
      <c r="D170" s="680"/>
      <c r="E170" s="680"/>
      <c r="F170" s="680"/>
      <c r="G170" s="680"/>
      <c r="H170" s="680"/>
      <c r="I170" s="680"/>
      <c r="J170" s="680"/>
      <c r="K170" s="680"/>
      <c r="L170" s="680"/>
      <c r="M170" s="680"/>
      <c r="N170" s="680"/>
      <c r="O170" s="680"/>
      <c r="P170" s="680"/>
      <c r="Q170" s="680"/>
      <c r="R170" s="680"/>
      <c r="S170" s="680"/>
      <c r="T170" s="680"/>
      <c r="U170" s="680"/>
      <c r="V170" s="680"/>
      <c r="W170" s="680"/>
      <c r="X170" s="680"/>
      <c r="Y170" s="680"/>
      <c r="Z170" s="680"/>
      <c r="AA170" s="663"/>
      <c r="AB170" s="663"/>
      <c r="AC170" s="663"/>
    </row>
    <row r="171" spans="1:68" ht="27" customHeight="1" x14ac:dyDescent="0.25">
      <c r="A171" s="54" t="s">
        <v>284</v>
      </c>
      <c r="B171" s="54" t="s">
        <v>285</v>
      </c>
      <c r="C171" s="31">
        <v>4301031191</v>
      </c>
      <c r="D171" s="677">
        <v>4680115880993</v>
      </c>
      <c r="E171" s="678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9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5"/>
      <c r="R171" s="675"/>
      <c r="S171" s="675"/>
      <c r="T171" s="676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287</v>
      </c>
      <c r="B172" s="54" t="s">
        <v>288</v>
      </c>
      <c r="C172" s="31">
        <v>4301031204</v>
      </c>
      <c r="D172" s="677">
        <v>4680115881761</v>
      </c>
      <c r="E172" s="678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103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5"/>
      <c r="R172" s="675"/>
      <c r="S172" s="675"/>
      <c r="T172" s="676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290</v>
      </c>
      <c r="B173" s="54" t="s">
        <v>291</v>
      </c>
      <c r="C173" s="31">
        <v>4301031201</v>
      </c>
      <c r="D173" s="677">
        <v>4680115881563</v>
      </c>
      <c r="E173" s="678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101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5"/>
      <c r="R173" s="675"/>
      <c r="S173" s="675"/>
      <c r="T173" s="676"/>
      <c r="U173" s="34"/>
      <c r="V173" s="34"/>
      <c r="W173" s="35" t="s">
        <v>68</v>
      </c>
      <c r="X173" s="667">
        <v>150</v>
      </c>
      <c r="Y173" s="668">
        <f t="shared" si="26"/>
        <v>151.20000000000002</v>
      </c>
      <c r="Z173" s="36">
        <f>IFERROR(IF(Y173=0,"",ROUNDUP(Y173/H173,0)*0.00902),"")</f>
        <v>0.32472000000000001</v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157.5</v>
      </c>
      <c r="BN173" s="64">
        <f t="shared" si="28"/>
        <v>158.76000000000002</v>
      </c>
      <c r="BO173" s="64">
        <f t="shared" si="29"/>
        <v>0.27056277056277056</v>
      </c>
      <c r="BP173" s="64">
        <f t="shared" si="30"/>
        <v>0.27272727272727271</v>
      </c>
    </row>
    <row r="174" spans="1:68" ht="27" customHeight="1" x14ac:dyDescent="0.25">
      <c r="A174" s="54" t="s">
        <v>293</v>
      </c>
      <c r="B174" s="54" t="s">
        <v>294</v>
      </c>
      <c r="C174" s="31">
        <v>4301031199</v>
      </c>
      <c r="D174" s="677">
        <v>4680115880986</v>
      </c>
      <c r="E174" s="678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7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5"/>
      <c r="R174" s="675"/>
      <c r="S174" s="675"/>
      <c r="T174" s="676"/>
      <c r="U174" s="34"/>
      <c r="V174" s="34"/>
      <c r="W174" s="35" t="s">
        <v>68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customHeight="1" x14ac:dyDescent="0.25">
      <c r="A175" s="54" t="s">
        <v>295</v>
      </c>
      <c r="B175" s="54" t="s">
        <v>296</v>
      </c>
      <c r="C175" s="31">
        <v>4301031205</v>
      </c>
      <c r="D175" s="677">
        <v>4680115881785</v>
      </c>
      <c r="E175" s="678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8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5"/>
      <c r="R175" s="675"/>
      <c r="S175" s="675"/>
      <c r="T175" s="676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4301031399</v>
      </c>
      <c r="D176" s="677">
        <v>4680115886537</v>
      </c>
      <c r="E176" s="678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786" t="s">
        <v>299</v>
      </c>
      <c r="Q176" s="675"/>
      <c r="R176" s="675"/>
      <c r="S176" s="675"/>
      <c r="T176" s="676"/>
      <c r="U176" s="34"/>
      <c r="V176" s="34"/>
      <c r="W176" s="35" t="s">
        <v>68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301</v>
      </c>
      <c r="B177" s="54" t="s">
        <v>302</v>
      </c>
      <c r="C177" s="31">
        <v>4301031202</v>
      </c>
      <c r="D177" s="677">
        <v>4680115881679</v>
      </c>
      <c r="E177" s="678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8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5"/>
      <c r="R177" s="675"/>
      <c r="S177" s="675"/>
      <c r="T177" s="676"/>
      <c r="U177" s="34"/>
      <c r="V177" s="34"/>
      <c r="W177" s="35" t="s">
        <v>68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4301031158</v>
      </c>
      <c r="D178" s="677">
        <v>4680115880191</v>
      </c>
      <c r="E178" s="678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7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5"/>
      <c r="R178" s="675"/>
      <c r="S178" s="675"/>
      <c r="T178" s="676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4301031245</v>
      </c>
      <c r="D179" s="677">
        <v>4680115883963</v>
      </c>
      <c r="E179" s="678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7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5"/>
      <c r="R179" s="675"/>
      <c r="S179" s="675"/>
      <c r="T179" s="676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97"/>
      <c r="B180" s="680"/>
      <c r="C180" s="680"/>
      <c r="D180" s="680"/>
      <c r="E180" s="680"/>
      <c r="F180" s="680"/>
      <c r="G180" s="680"/>
      <c r="H180" s="680"/>
      <c r="I180" s="680"/>
      <c r="J180" s="680"/>
      <c r="K180" s="680"/>
      <c r="L180" s="680"/>
      <c r="M180" s="680"/>
      <c r="N180" s="680"/>
      <c r="O180" s="698"/>
      <c r="P180" s="699" t="s">
        <v>87</v>
      </c>
      <c r="Q180" s="700"/>
      <c r="R180" s="700"/>
      <c r="S180" s="700"/>
      <c r="T180" s="700"/>
      <c r="U180" s="700"/>
      <c r="V180" s="701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35.714285714285715</v>
      </c>
      <c r="Y180" s="669">
        <f>IFERROR(Y171/H171,"0")+IFERROR(Y172/H172,"0")+IFERROR(Y173/H173,"0")+IFERROR(Y174/H174,"0")+IFERROR(Y175/H175,"0")+IFERROR(Y176/H176,"0")+IFERROR(Y177/H177,"0")+IFERROR(Y178/H178,"0")+IFERROR(Y179/H179,"0")</f>
        <v>36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0.32472000000000001</v>
      </c>
      <c r="AA180" s="670"/>
      <c r="AB180" s="670"/>
      <c r="AC180" s="670"/>
    </row>
    <row r="181" spans="1:68" x14ac:dyDescent="0.2">
      <c r="A181" s="680"/>
      <c r="B181" s="680"/>
      <c r="C181" s="680"/>
      <c r="D181" s="680"/>
      <c r="E181" s="680"/>
      <c r="F181" s="680"/>
      <c r="G181" s="680"/>
      <c r="H181" s="680"/>
      <c r="I181" s="680"/>
      <c r="J181" s="680"/>
      <c r="K181" s="680"/>
      <c r="L181" s="680"/>
      <c r="M181" s="680"/>
      <c r="N181" s="680"/>
      <c r="O181" s="698"/>
      <c r="P181" s="699" t="s">
        <v>87</v>
      </c>
      <c r="Q181" s="700"/>
      <c r="R181" s="700"/>
      <c r="S181" s="700"/>
      <c r="T181" s="700"/>
      <c r="U181" s="700"/>
      <c r="V181" s="701"/>
      <c r="W181" s="37" t="s">
        <v>68</v>
      </c>
      <c r="X181" s="669">
        <f>IFERROR(SUM(X171:X179),"0")</f>
        <v>150</v>
      </c>
      <c r="Y181" s="669">
        <f>IFERROR(SUM(Y171:Y179),"0")</f>
        <v>151.20000000000002</v>
      </c>
      <c r="Z181" s="37"/>
      <c r="AA181" s="670"/>
      <c r="AB181" s="670"/>
      <c r="AC181" s="670"/>
    </row>
    <row r="182" spans="1:68" ht="14.25" customHeight="1" x14ac:dyDescent="0.25">
      <c r="A182" s="679" t="s">
        <v>89</v>
      </c>
      <c r="B182" s="680"/>
      <c r="C182" s="680"/>
      <c r="D182" s="680"/>
      <c r="E182" s="680"/>
      <c r="F182" s="680"/>
      <c r="G182" s="680"/>
      <c r="H182" s="680"/>
      <c r="I182" s="680"/>
      <c r="J182" s="680"/>
      <c r="K182" s="680"/>
      <c r="L182" s="680"/>
      <c r="M182" s="680"/>
      <c r="N182" s="680"/>
      <c r="O182" s="680"/>
      <c r="P182" s="680"/>
      <c r="Q182" s="680"/>
      <c r="R182" s="680"/>
      <c r="S182" s="680"/>
      <c r="T182" s="680"/>
      <c r="U182" s="680"/>
      <c r="V182" s="680"/>
      <c r="W182" s="680"/>
      <c r="X182" s="680"/>
      <c r="Y182" s="680"/>
      <c r="Z182" s="680"/>
      <c r="AA182" s="663"/>
      <c r="AB182" s="663"/>
      <c r="AC182" s="663"/>
    </row>
    <row r="183" spans="1:68" ht="27" customHeight="1" x14ac:dyDescent="0.25">
      <c r="A183" s="54" t="s">
        <v>308</v>
      </c>
      <c r="B183" s="54" t="s">
        <v>309</v>
      </c>
      <c r="C183" s="31">
        <v>4301032051</v>
      </c>
      <c r="D183" s="677">
        <v>4680115886742</v>
      </c>
      <c r="E183" s="678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899" t="s">
        <v>312</v>
      </c>
      <c r="Q183" s="675"/>
      <c r="R183" s="675"/>
      <c r="S183" s="675"/>
      <c r="T183" s="676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315</v>
      </c>
      <c r="B184" s="54" t="s">
        <v>316</v>
      </c>
      <c r="C184" s="31">
        <v>4301032052</v>
      </c>
      <c r="D184" s="677">
        <v>4680115886766</v>
      </c>
      <c r="E184" s="678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997" t="s">
        <v>317</v>
      </c>
      <c r="Q184" s="675"/>
      <c r="R184" s="675"/>
      <c r="S184" s="675"/>
      <c r="T184" s="676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318</v>
      </c>
      <c r="B185" s="54" t="s">
        <v>319</v>
      </c>
      <c r="C185" s="31">
        <v>4301032053</v>
      </c>
      <c r="D185" s="677">
        <v>4680115886780</v>
      </c>
      <c r="E185" s="678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916" t="s">
        <v>320</v>
      </c>
      <c r="Q185" s="675"/>
      <c r="R185" s="675"/>
      <c r="S185" s="675"/>
      <c r="T185" s="676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97"/>
      <c r="B186" s="680"/>
      <c r="C186" s="680"/>
      <c r="D186" s="680"/>
      <c r="E186" s="680"/>
      <c r="F186" s="680"/>
      <c r="G186" s="680"/>
      <c r="H186" s="680"/>
      <c r="I186" s="680"/>
      <c r="J186" s="680"/>
      <c r="K186" s="680"/>
      <c r="L186" s="680"/>
      <c r="M186" s="680"/>
      <c r="N186" s="680"/>
      <c r="O186" s="698"/>
      <c r="P186" s="699" t="s">
        <v>87</v>
      </c>
      <c r="Q186" s="700"/>
      <c r="R186" s="700"/>
      <c r="S186" s="700"/>
      <c r="T186" s="700"/>
      <c r="U186" s="700"/>
      <c r="V186" s="701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80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98"/>
      <c r="P187" s="699" t="s">
        <v>87</v>
      </c>
      <c r="Q187" s="700"/>
      <c r="R187" s="700"/>
      <c r="S187" s="700"/>
      <c r="T187" s="700"/>
      <c r="U187" s="700"/>
      <c r="V187" s="701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79" t="s">
        <v>322</v>
      </c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0"/>
      <c r="P188" s="680"/>
      <c r="Q188" s="680"/>
      <c r="R188" s="680"/>
      <c r="S188" s="680"/>
      <c r="T188" s="680"/>
      <c r="U188" s="680"/>
      <c r="V188" s="680"/>
      <c r="W188" s="680"/>
      <c r="X188" s="680"/>
      <c r="Y188" s="680"/>
      <c r="Z188" s="680"/>
      <c r="AA188" s="663"/>
      <c r="AB188" s="663"/>
      <c r="AC188" s="663"/>
    </row>
    <row r="189" spans="1:68" ht="27" customHeight="1" x14ac:dyDescent="0.25">
      <c r="A189" s="54" t="s">
        <v>323</v>
      </c>
      <c r="B189" s="54" t="s">
        <v>324</v>
      </c>
      <c r="C189" s="31">
        <v>4301170013</v>
      </c>
      <c r="D189" s="677">
        <v>4680115886797</v>
      </c>
      <c r="E189" s="678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969" t="s">
        <v>325</v>
      </c>
      <c r="Q189" s="675"/>
      <c r="R189" s="675"/>
      <c r="S189" s="675"/>
      <c r="T189" s="676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97"/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98"/>
      <c r="P190" s="699" t="s">
        <v>87</v>
      </c>
      <c r="Q190" s="700"/>
      <c r="R190" s="700"/>
      <c r="S190" s="700"/>
      <c r="T190" s="700"/>
      <c r="U190" s="700"/>
      <c r="V190" s="701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80"/>
      <c r="B191" s="680"/>
      <c r="C191" s="680"/>
      <c r="D191" s="680"/>
      <c r="E191" s="680"/>
      <c r="F191" s="680"/>
      <c r="G191" s="680"/>
      <c r="H191" s="680"/>
      <c r="I191" s="680"/>
      <c r="J191" s="680"/>
      <c r="K191" s="680"/>
      <c r="L191" s="680"/>
      <c r="M191" s="680"/>
      <c r="N191" s="680"/>
      <c r="O191" s="698"/>
      <c r="P191" s="699" t="s">
        <v>87</v>
      </c>
      <c r="Q191" s="700"/>
      <c r="R191" s="700"/>
      <c r="S191" s="700"/>
      <c r="T191" s="700"/>
      <c r="U191" s="700"/>
      <c r="V191" s="701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706" t="s">
        <v>326</v>
      </c>
      <c r="B192" s="680"/>
      <c r="C192" s="680"/>
      <c r="D192" s="680"/>
      <c r="E192" s="680"/>
      <c r="F192" s="680"/>
      <c r="G192" s="680"/>
      <c r="H192" s="680"/>
      <c r="I192" s="680"/>
      <c r="J192" s="680"/>
      <c r="K192" s="680"/>
      <c r="L192" s="680"/>
      <c r="M192" s="680"/>
      <c r="N192" s="680"/>
      <c r="O192" s="680"/>
      <c r="P192" s="680"/>
      <c r="Q192" s="680"/>
      <c r="R192" s="680"/>
      <c r="S192" s="680"/>
      <c r="T192" s="680"/>
      <c r="U192" s="680"/>
      <c r="V192" s="680"/>
      <c r="W192" s="680"/>
      <c r="X192" s="680"/>
      <c r="Y192" s="680"/>
      <c r="Z192" s="680"/>
      <c r="AA192" s="662"/>
      <c r="AB192" s="662"/>
      <c r="AC192" s="662"/>
    </row>
    <row r="193" spans="1:68" ht="14.25" customHeight="1" x14ac:dyDescent="0.25">
      <c r="A193" s="679" t="s">
        <v>97</v>
      </c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0"/>
      <c r="P193" s="680"/>
      <c r="Q193" s="680"/>
      <c r="R193" s="680"/>
      <c r="S193" s="680"/>
      <c r="T193" s="680"/>
      <c r="U193" s="680"/>
      <c r="V193" s="680"/>
      <c r="W193" s="680"/>
      <c r="X193" s="680"/>
      <c r="Y193" s="680"/>
      <c r="Z193" s="680"/>
      <c r="AA193" s="663"/>
      <c r="AB193" s="663"/>
      <c r="AC193" s="663"/>
    </row>
    <row r="194" spans="1:68" ht="16.5" customHeight="1" x14ac:dyDescent="0.25">
      <c r="A194" s="54" t="s">
        <v>327</v>
      </c>
      <c r="B194" s="54" t="s">
        <v>328</v>
      </c>
      <c r="C194" s="31">
        <v>4301011450</v>
      </c>
      <c r="D194" s="677">
        <v>4680115881402</v>
      </c>
      <c r="E194" s="678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9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5"/>
      <c r="R194" s="675"/>
      <c r="S194" s="675"/>
      <c r="T194" s="676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330</v>
      </c>
      <c r="B195" s="54" t="s">
        <v>331</v>
      </c>
      <c r="C195" s="31">
        <v>4301011768</v>
      </c>
      <c r="D195" s="677">
        <v>4680115881396</v>
      </c>
      <c r="E195" s="678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93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5"/>
      <c r="R195" s="675"/>
      <c r="S195" s="675"/>
      <c r="T195" s="676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97"/>
      <c r="B196" s="680"/>
      <c r="C196" s="680"/>
      <c r="D196" s="680"/>
      <c r="E196" s="680"/>
      <c r="F196" s="680"/>
      <c r="G196" s="680"/>
      <c r="H196" s="680"/>
      <c r="I196" s="680"/>
      <c r="J196" s="680"/>
      <c r="K196" s="680"/>
      <c r="L196" s="680"/>
      <c r="M196" s="680"/>
      <c r="N196" s="680"/>
      <c r="O196" s="698"/>
      <c r="P196" s="699" t="s">
        <v>87</v>
      </c>
      <c r="Q196" s="700"/>
      <c r="R196" s="700"/>
      <c r="S196" s="700"/>
      <c r="T196" s="700"/>
      <c r="U196" s="700"/>
      <c r="V196" s="701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80"/>
      <c r="B197" s="680"/>
      <c r="C197" s="680"/>
      <c r="D197" s="680"/>
      <c r="E197" s="680"/>
      <c r="F197" s="680"/>
      <c r="G197" s="680"/>
      <c r="H197" s="680"/>
      <c r="I197" s="680"/>
      <c r="J197" s="680"/>
      <c r="K197" s="680"/>
      <c r="L197" s="680"/>
      <c r="M197" s="680"/>
      <c r="N197" s="680"/>
      <c r="O197" s="698"/>
      <c r="P197" s="699" t="s">
        <v>87</v>
      </c>
      <c r="Q197" s="700"/>
      <c r="R197" s="700"/>
      <c r="S197" s="700"/>
      <c r="T197" s="700"/>
      <c r="U197" s="700"/>
      <c r="V197" s="701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79" t="s">
        <v>133</v>
      </c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0"/>
      <c r="P198" s="680"/>
      <c r="Q198" s="680"/>
      <c r="R198" s="680"/>
      <c r="S198" s="680"/>
      <c r="T198" s="680"/>
      <c r="U198" s="680"/>
      <c r="V198" s="680"/>
      <c r="W198" s="680"/>
      <c r="X198" s="680"/>
      <c r="Y198" s="680"/>
      <c r="Z198" s="680"/>
      <c r="AA198" s="663"/>
      <c r="AB198" s="663"/>
      <c r="AC198" s="663"/>
    </row>
    <row r="199" spans="1:68" ht="16.5" customHeight="1" x14ac:dyDescent="0.25">
      <c r="A199" s="54" t="s">
        <v>332</v>
      </c>
      <c r="B199" s="54" t="s">
        <v>333</v>
      </c>
      <c r="C199" s="31">
        <v>4301020262</v>
      </c>
      <c r="D199" s="677">
        <v>4680115882935</v>
      </c>
      <c r="E199" s="678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7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5"/>
      <c r="R199" s="675"/>
      <c r="S199" s="675"/>
      <c r="T199" s="676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335</v>
      </c>
      <c r="B200" s="54" t="s">
        <v>336</v>
      </c>
      <c r="C200" s="31">
        <v>4301020220</v>
      </c>
      <c r="D200" s="677">
        <v>4680115880764</v>
      </c>
      <c r="E200" s="678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7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5"/>
      <c r="R200" s="675"/>
      <c r="S200" s="675"/>
      <c r="T200" s="676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97"/>
      <c r="B201" s="680"/>
      <c r="C201" s="680"/>
      <c r="D201" s="680"/>
      <c r="E201" s="680"/>
      <c r="F201" s="680"/>
      <c r="G201" s="680"/>
      <c r="H201" s="680"/>
      <c r="I201" s="680"/>
      <c r="J201" s="680"/>
      <c r="K201" s="680"/>
      <c r="L201" s="680"/>
      <c r="M201" s="680"/>
      <c r="N201" s="680"/>
      <c r="O201" s="698"/>
      <c r="P201" s="699" t="s">
        <v>87</v>
      </c>
      <c r="Q201" s="700"/>
      <c r="R201" s="700"/>
      <c r="S201" s="700"/>
      <c r="T201" s="700"/>
      <c r="U201" s="700"/>
      <c r="V201" s="701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80"/>
      <c r="B202" s="680"/>
      <c r="C202" s="680"/>
      <c r="D202" s="680"/>
      <c r="E202" s="680"/>
      <c r="F202" s="680"/>
      <c r="G202" s="680"/>
      <c r="H202" s="680"/>
      <c r="I202" s="680"/>
      <c r="J202" s="680"/>
      <c r="K202" s="680"/>
      <c r="L202" s="680"/>
      <c r="M202" s="680"/>
      <c r="N202" s="680"/>
      <c r="O202" s="698"/>
      <c r="P202" s="699" t="s">
        <v>87</v>
      </c>
      <c r="Q202" s="700"/>
      <c r="R202" s="700"/>
      <c r="S202" s="700"/>
      <c r="T202" s="700"/>
      <c r="U202" s="700"/>
      <c r="V202" s="701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79" t="s">
        <v>144</v>
      </c>
      <c r="B203" s="680"/>
      <c r="C203" s="680"/>
      <c r="D203" s="680"/>
      <c r="E203" s="680"/>
      <c r="F203" s="680"/>
      <c r="G203" s="680"/>
      <c r="H203" s="680"/>
      <c r="I203" s="680"/>
      <c r="J203" s="680"/>
      <c r="K203" s="680"/>
      <c r="L203" s="680"/>
      <c r="M203" s="680"/>
      <c r="N203" s="680"/>
      <c r="O203" s="680"/>
      <c r="P203" s="680"/>
      <c r="Q203" s="680"/>
      <c r="R203" s="680"/>
      <c r="S203" s="680"/>
      <c r="T203" s="680"/>
      <c r="U203" s="680"/>
      <c r="V203" s="680"/>
      <c r="W203" s="680"/>
      <c r="X203" s="680"/>
      <c r="Y203" s="680"/>
      <c r="Z203" s="680"/>
      <c r="AA203" s="663"/>
      <c r="AB203" s="663"/>
      <c r="AC203" s="663"/>
    </row>
    <row r="204" spans="1:68" ht="27" customHeight="1" x14ac:dyDescent="0.25">
      <c r="A204" s="54" t="s">
        <v>337</v>
      </c>
      <c r="B204" s="54" t="s">
        <v>338</v>
      </c>
      <c r="C204" s="31">
        <v>4301031224</v>
      </c>
      <c r="D204" s="677">
        <v>4680115882683</v>
      </c>
      <c r="E204" s="678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5"/>
      <c r="R204" s="675"/>
      <c r="S204" s="675"/>
      <c r="T204" s="676"/>
      <c r="U204" s="34"/>
      <c r="V204" s="34"/>
      <c r="W204" s="35" t="s">
        <v>68</v>
      </c>
      <c r="X204" s="667">
        <v>200</v>
      </c>
      <c r="Y204" s="668">
        <f t="shared" ref="Y204:Y211" si="31">IFERROR(IF(X204="",0,CEILING((X204/$H204),1)*$H204),"")</f>
        <v>205.20000000000002</v>
      </c>
      <c r="Z204" s="36">
        <f>IFERROR(IF(Y204=0,"",ROUNDUP(Y204/H204,0)*0.00902),"")</f>
        <v>0.34276000000000001</v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207.77777777777777</v>
      </c>
      <c r="BN204" s="64">
        <f t="shared" ref="BN204:BN211" si="33">IFERROR(Y204*I204/H204,"0")</f>
        <v>213.18000000000004</v>
      </c>
      <c r="BO204" s="64">
        <f t="shared" ref="BO204:BO211" si="34">IFERROR(1/J204*(X204/H204),"0")</f>
        <v>0.28058361391694725</v>
      </c>
      <c r="BP204" s="64">
        <f t="shared" ref="BP204:BP211" si="35">IFERROR(1/J204*(Y204/H204),"0")</f>
        <v>0.2878787878787879</v>
      </c>
    </row>
    <row r="205" spans="1:68" ht="27" customHeight="1" x14ac:dyDescent="0.25">
      <c r="A205" s="54" t="s">
        <v>340</v>
      </c>
      <c r="B205" s="54" t="s">
        <v>341</v>
      </c>
      <c r="C205" s="31">
        <v>4301031230</v>
      </c>
      <c r="D205" s="677">
        <v>4680115882690</v>
      </c>
      <c r="E205" s="678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9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5"/>
      <c r="R205" s="675"/>
      <c r="S205" s="675"/>
      <c r="T205" s="676"/>
      <c r="U205" s="34"/>
      <c r="V205" s="34"/>
      <c r="W205" s="35" t="s">
        <v>68</v>
      </c>
      <c r="X205" s="667">
        <v>200</v>
      </c>
      <c r="Y205" s="668">
        <f t="shared" si="31"/>
        <v>205.20000000000002</v>
      </c>
      <c r="Z205" s="36">
        <f>IFERROR(IF(Y205=0,"",ROUNDUP(Y205/H205,0)*0.00902),"")</f>
        <v>0.34276000000000001</v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207.77777777777777</v>
      </c>
      <c r="BN205" s="64">
        <f t="shared" si="33"/>
        <v>213.18000000000004</v>
      </c>
      <c r="BO205" s="64">
        <f t="shared" si="34"/>
        <v>0.28058361391694725</v>
      </c>
      <c r="BP205" s="64">
        <f t="shared" si="35"/>
        <v>0.2878787878787879</v>
      </c>
    </row>
    <row r="206" spans="1:68" ht="27" customHeight="1" x14ac:dyDescent="0.25">
      <c r="A206" s="54" t="s">
        <v>343</v>
      </c>
      <c r="B206" s="54" t="s">
        <v>344</v>
      </c>
      <c r="C206" s="31">
        <v>4301031220</v>
      </c>
      <c r="D206" s="677">
        <v>4680115882669</v>
      </c>
      <c r="E206" s="678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5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5"/>
      <c r="R206" s="675"/>
      <c r="S206" s="675"/>
      <c r="T206" s="676"/>
      <c r="U206" s="34"/>
      <c r="V206" s="34"/>
      <c r="W206" s="35" t="s">
        <v>68</v>
      </c>
      <c r="X206" s="667">
        <v>250</v>
      </c>
      <c r="Y206" s="668">
        <f t="shared" si="31"/>
        <v>253.8</v>
      </c>
      <c r="Z206" s="36">
        <f>IFERROR(IF(Y206=0,"",ROUNDUP(Y206/H206,0)*0.00902),"")</f>
        <v>0.42393999999999998</v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259.72222222222223</v>
      </c>
      <c r="BN206" s="64">
        <f t="shared" si="33"/>
        <v>263.67</v>
      </c>
      <c r="BO206" s="64">
        <f t="shared" si="34"/>
        <v>0.35072951739618402</v>
      </c>
      <c r="BP206" s="64">
        <f t="shared" si="35"/>
        <v>0.35606060606060608</v>
      </c>
    </row>
    <row r="207" spans="1:68" ht="27" customHeight="1" x14ac:dyDescent="0.25">
      <c r="A207" s="54" t="s">
        <v>346</v>
      </c>
      <c r="B207" s="54" t="s">
        <v>347</v>
      </c>
      <c r="C207" s="31">
        <v>4301031221</v>
      </c>
      <c r="D207" s="677">
        <v>4680115882676</v>
      </c>
      <c r="E207" s="678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8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5"/>
      <c r="R207" s="675"/>
      <c r="S207" s="675"/>
      <c r="T207" s="676"/>
      <c r="U207" s="34"/>
      <c r="V207" s="34"/>
      <c r="W207" s="35" t="s">
        <v>68</v>
      </c>
      <c r="X207" s="667">
        <v>250</v>
      </c>
      <c r="Y207" s="668">
        <f t="shared" si="31"/>
        <v>253.8</v>
      </c>
      <c r="Z207" s="36">
        <f>IFERROR(IF(Y207=0,"",ROUNDUP(Y207/H207,0)*0.00902),"")</f>
        <v>0.42393999999999998</v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259.72222222222223</v>
      </c>
      <c r="BN207" s="64">
        <f t="shared" si="33"/>
        <v>263.67</v>
      </c>
      <c r="BO207" s="64">
        <f t="shared" si="34"/>
        <v>0.35072951739618402</v>
      </c>
      <c r="BP207" s="64">
        <f t="shared" si="35"/>
        <v>0.35606060606060608</v>
      </c>
    </row>
    <row r="208" spans="1:68" ht="27" customHeight="1" x14ac:dyDescent="0.25">
      <c r="A208" s="54" t="s">
        <v>349</v>
      </c>
      <c r="B208" s="54" t="s">
        <v>350</v>
      </c>
      <c r="C208" s="31">
        <v>4301031223</v>
      </c>
      <c r="D208" s="677">
        <v>4680115884014</v>
      </c>
      <c r="E208" s="678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9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5"/>
      <c r="R208" s="675"/>
      <c r="S208" s="675"/>
      <c r="T208" s="676"/>
      <c r="U208" s="34"/>
      <c r="V208" s="34"/>
      <c r="W208" s="35" t="s">
        <v>68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4301031222</v>
      </c>
      <c r="D209" s="677">
        <v>4680115884007</v>
      </c>
      <c r="E209" s="678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105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5"/>
      <c r="R209" s="675"/>
      <c r="S209" s="675"/>
      <c r="T209" s="676"/>
      <c r="U209" s="34"/>
      <c r="V209" s="34"/>
      <c r="W209" s="35" t="s">
        <v>68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4301031229</v>
      </c>
      <c r="D210" s="677">
        <v>4680115884038</v>
      </c>
      <c r="E210" s="678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9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5"/>
      <c r="R210" s="675"/>
      <c r="S210" s="675"/>
      <c r="T210" s="676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355</v>
      </c>
      <c r="B211" s="54" t="s">
        <v>356</v>
      </c>
      <c r="C211" s="31">
        <v>4301031225</v>
      </c>
      <c r="D211" s="677">
        <v>4680115884021</v>
      </c>
      <c r="E211" s="678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8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5"/>
      <c r="R211" s="675"/>
      <c r="S211" s="675"/>
      <c r="T211" s="676"/>
      <c r="U211" s="34"/>
      <c r="V211" s="34"/>
      <c r="W211" s="35" t="s">
        <v>68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97"/>
      <c r="B212" s="680"/>
      <c r="C212" s="680"/>
      <c r="D212" s="680"/>
      <c r="E212" s="680"/>
      <c r="F212" s="680"/>
      <c r="G212" s="680"/>
      <c r="H212" s="680"/>
      <c r="I212" s="680"/>
      <c r="J212" s="680"/>
      <c r="K212" s="680"/>
      <c r="L212" s="680"/>
      <c r="M212" s="680"/>
      <c r="N212" s="680"/>
      <c r="O212" s="698"/>
      <c r="P212" s="699" t="s">
        <v>87</v>
      </c>
      <c r="Q212" s="700"/>
      <c r="R212" s="700"/>
      <c r="S212" s="700"/>
      <c r="T212" s="700"/>
      <c r="U212" s="700"/>
      <c r="V212" s="701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166.66666666666666</v>
      </c>
      <c r="Y212" s="669">
        <f>IFERROR(Y204/H204,"0")+IFERROR(Y205/H205,"0")+IFERROR(Y206/H206,"0")+IFERROR(Y207/H207,"0")+IFERROR(Y208/H208,"0")+IFERROR(Y209/H209,"0")+IFERROR(Y210/H210,"0")+IFERROR(Y211/H211,"0")</f>
        <v>170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1.5333999999999999</v>
      </c>
      <c r="AA212" s="670"/>
      <c r="AB212" s="670"/>
      <c r="AC212" s="670"/>
    </row>
    <row r="213" spans="1:68" x14ac:dyDescent="0.2">
      <c r="A213" s="680"/>
      <c r="B213" s="680"/>
      <c r="C213" s="680"/>
      <c r="D213" s="680"/>
      <c r="E213" s="680"/>
      <c r="F213" s="680"/>
      <c r="G213" s="680"/>
      <c r="H213" s="680"/>
      <c r="I213" s="680"/>
      <c r="J213" s="680"/>
      <c r="K213" s="680"/>
      <c r="L213" s="680"/>
      <c r="M213" s="680"/>
      <c r="N213" s="680"/>
      <c r="O213" s="698"/>
      <c r="P213" s="699" t="s">
        <v>87</v>
      </c>
      <c r="Q213" s="700"/>
      <c r="R213" s="700"/>
      <c r="S213" s="700"/>
      <c r="T213" s="700"/>
      <c r="U213" s="700"/>
      <c r="V213" s="701"/>
      <c r="W213" s="37" t="s">
        <v>68</v>
      </c>
      <c r="X213" s="669">
        <f>IFERROR(SUM(X204:X211),"0")</f>
        <v>900</v>
      </c>
      <c r="Y213" s="669">
        <f>IFERROR(SUM(Y204:Y211),"0")</f>
        <v>918</v>
      </c>
      <c r="Z213" s="37"/>
      <c r="AA213" s="670"/>
      <c r="AB213" s="670"/>
      <c r="AC213" s="670"/>
    </row>
    <row r="214" spans="1:68" ht="14.25" customHeight="1" x14ac:dyDescent="0.25">
      <c r="A214" s="679" t="s">
        <v>63</v>
      </c>
      <c r="B214" s="680"/>
      <c r="C214" s="680"/>
      <c r="D214" s="680"/>
      <c r="E214" s="680"/>
      <c r="F214" s="680"/>
      <c r="G214" s="680"/>
      <c r="H214" s="680"/>
      <c r="I214" s="680"/>
      <c r="J214" s="680"/>
      <c r="K214" s="680"/>
      <c r="L214" s="680"/>
      <c r="M214" s="680"/>
      <c r="N214" s="680"/>
      <c r="O214" s="680"/>
      <c r="P214" s="680"/>
      <c r="Q214" s="680"/>
      <c r="R214" s="680"/>
      <c r="S214" s="680"/>
      <c r="T214" s="680"/>
      <c r="U214" s="680"/>
      <c r="V214" s="680"/>
      <c r="W214" s="680"/>
      <c r="X214" s="680"/>
      <c r="Y214" s="680"/>
      <c r="Z214" s="680"/>
      <c r="AA214" s="663"/>
      <c r="AB214" s="663"/>
      <c r="AC214" s="663"/>
    </row>
    <row r="215" spans="1:68" ht="27" customHeight="1" x14ac:dyDescent="0.25">
      <c r="A215" s="54" t="s">
        <v>357</v>
      </c>
      <c r="B215" s="54" t="s">
        <v>358</v>
      </c>
      <c r="C215" s="31">
        <v>4301051408</v>
      </c>
      <c r="D215" s="677">
        <v>4680115881594</v>
      </c>
      <c r="E215" s="678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10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5"/>
      <c r="R215" s="675"/>
      <c r="S215" s="675"/>
      <c r="T215" s="676"/>
      <c r="U215" s="34"/>
      <c r="V215" s="34"/>
      <c r="W215" s="35" t="s">
        <v>68</v>
      </c>
      <c r="X215" s="667">
        <v>250</v>
      </c>
      <c r="Y215" s="668">
        <f t="shared" ref="Y215:Y223" si="36">IFERROR(IF(X215="",0,CEILING((X215/$H215),1)*$H215),"")</f>
        <v>251.1</v>
      </c>
      <c r="Z215" s="36">
        <f>IFERROR(IF(Y215=0,"",ROUNDUP(Y215/H215,0)*0.01898),"")</f>
        <v>0.58838000000000001</v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266.01851851851853</v>
      </c>
      <c r="BN215" s="64">
        <f t="shared" ref="BN215:BN223" si="38">IFERROR(Y215*I215/H215,"0")</f>
        <v>267.18900000000002</v>
      </c>
      <c r="BO215" s="64">
        <f t="shared" ref="BO215:BO223" si="39">IFERROR(1/J215*(X215/H215),"0")</f>
        <v>0.48225308641975312</v>
      </c>
      <c r="BP215" s="64">
        <f t="shared" ref="BP215:BP223" si="40">IFERROR(1/J215*(Y215/H215),"0")</f>
        <v>0.484375</v>
      </c>
    </row>
    <row r="216" spans="1:68" ht="27" customHeight="1" x14ac:dyDescent="0.25">
      <c r="A216" s="54" t="s">
        <v>360</v>
      </c>
      <c r="B216" s="54" t="s">
        <v>361</v>
      </c>
      <c r="C216" s="31">
        <v>4301051411</v>
      </c>
      <c r="D216" s="677">
        <v>4680115881617</v>
      </c>
      <c r="E216" s="678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5"/>
      <c r="R216" s="675"/>
      <c r="S216" s="675"/>
      <c r="T216" s="676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363</v>
      </c>
      <c r="B217" s="54" t="s">
        <v>364</v>
      </c>
      <c r="C217" s="31">
        <v>4301051656</v>
      </c>
      <c r="D217" s="677">
        <v>4680115880573</v>
      </c>
      <c r="E217" s="678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85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5"/>
      <c r="R217" s="675"/>
      <c r="S217" s="675"/>
      <c r="T217" s="676"/>
      <c r="U217" s="34"/>
      <c r="V217" s="34"/>
      <c r="W217" s="35" t="s">
        <v>68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4301051407</v>
      </c>
      <c r="D218" s="677">
        <v>4680115882195</v>
      </c>
      <c r="E218" s="678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7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5"/>
      <c r="R218" s="675"/>
      <c r="S218" s="675"/>
      <c r="T218" s="676"/>
      <c r="U218" s="34"/>
      <c r="V218" s="34"/>
      <c r="W218" s="35" t="s">
        <v>68</v>
      </c>
      <c r="X218" s="667">
        <v>250</v>
      </c>
      <c r="Y218" s="668">
        <f t="shared" si="36"/>
        <v>252</v>
      </c>
      <c r="Z218" s="36">
        <f t="shared" ref="Z218:Z223" si="41">IFERROR(IF(Y218=0,"",ROUNDUP(Y218/H218,0)*0.00651),"")</f>
        <v>0.68354999999999999</v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278.125</v>
      </c>
      <c r="BN218" s="64">
        <f t="shared" si="38"/>
        <v>280.35000000000002</v>
      </c>
      <c r="BO218" s="64">
        <f t="shared" si="39"/>
        <v>0.57234432234432242</v>
      </c>
      <c r="BP218" s="64">
        <f t="shared" si="40"/>
        <v>0.57692307692307698</v>
      </c>
    </row>
    <row r="219" spans="1:68" ht="27" customHeight="1" x14ac:dyDescent="0.25">
      <c r="A219" s="54" t="s">
        <v>368</v>
      </c>
      <c r="B219" s="54" t="s">
        <v>369</v>
      </c>
      <c r="C219" s="31">
        <v>4301051752</v>
      </c>
      <c r="D219" s="677">
        <v>4680115882607</v>
      </c>
      <c r="E219" s="678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9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5"/>
      <c r="R219" s="675"/>
      <c r="S219" s="675"/>
      <c r="T219" s="676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77">
        <v>4680115880092</v>
      </c>
      <c r="E220" s="678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104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5"/>
      <c r="R220" s="675"/>
      <c r="S220" s="675"/>
      <c r="T220" s="676"/>
      <c r="U220" s="34"/>
      <c r="V220" s="34"/>
      <c r="W220" s="35" t="s">
        <v>68</v>
      </c>
      <c r="X220" s="667">
        <v>400</v>
      </c>
      <c r="Y220" s="668">
        <f t="shared" si="36"/>
        <v>400.8</v>
      </c>
      <c r="Z220" s="36">
        <f t="shared" si="41"/>
        <v>1.08717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442</v>
      </c>
      <c r="BN220" s="64">
        <f t="shared" si="38"/>
        <v>442.88400000000007</v>
      </c>
      <c r="BO220" s="64">
        <f t="shared" si="39"/>
        <v>0.91575091575091594</v>
      </c>
      <c r="BP220" s="64">
        <f t="shared" si="40"/>
        <v>0.91758241758241765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77">
        <v>4680115880221</v>
      </c>
      <c r="E221" s="678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5"/>
      <c r="R221" s="675"/>
      <c r="S221" s="675"/>
      <c r="T221" s="676"/>
      <c r="U221" s="34"/>
      <c r="V221" s="34"/>
      <c r="W221" s="35" t="s">
        <v>68</v>
      </c>
      <c r="X221" s="667">
        <v>400</v>
      </c>
      <c r="Y221" s="668">
        <f t="shared" si="36"/>
        <v>400.8</v>
      </c>
      <c r="Z221" s="36">
        <f t="shared" si="41"/>
        <v>1.08717</v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442</v>
      </c>
      <c r="BN221" s="64">
        <f t="shared" si="38"/>
        <v>442.88400000000007</v>
      </c>
      <c r="BO221" s="64">
        <f t="shared" si="39"/>
        <v>0.91575091575091594</v>
      </c>
      <c r="BP221" s="64">
        <f t="shared" si="40"/>
        <v>0.91758241758241765</v>
      </c>
    </row>
    <row r="222" spans="1:68" ht="27" customHeight="1" x14ac:dyDescent="0.25">
      <c r="A222" s="54" t="s">
        <v>375</v>
      </c>
      <c r="B222" s="54" t="s">
        <v>376</v>
      </c>
      <c r="C222" s="31">
        <v>4301051945</v>
      </c>
      <c r="D222" s="677">
        <v>4680115880504</v>
      </c>
      <c r="E222" s="678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82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5"/>
      <c r="R222" s="675"/>
      <c r="S222" s="675"/>
      <c r="T222" s="676"/>
      <c r="U222" s="34"/>
      <c r="V222" s="34"/>
      <c r="W222" s="35" t="s">
        <v>68</v>
      </c>
      <c r="X222" s="667">
        <v>200</v>
      </c>
      <c r="Y222" s="668">
        <f t="shared" si="36"/>
        <v>201.6</v>
      </c>
      <c r="Z222" s="36">
        <f t="shared" si="41"/>
        <v>0.54683999999999999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221</v>
      </c>
      <c r="BN222" s="64">
        <f t="shared" si="38"/>
        <v>222.768</v>
      </c>
      <c r="BO222" s="64">
        <f t="shared" si="39"/>
        <v>0.45787545787545797</v>
      </c>
      <c r="BP222" s="64">
        <f t="shared" si="40"/>
        <v>0.46153846153846156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77">
        <v>4680115882164</v>
      </c>
      <c r="E223" s="678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9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5"/>
      <c r="R223" s="675"/>
      <c r="S223" s="675"/>
      <c r="T223" s="676"/>
      <c r="U223" s="34"/>
      <c r="V223" s="34"/>
      <c r="W223" s="35" t="s">
        <v>68</v>
      </c>
      <c r="X223" s="667">
        <v>250</v>
      </c>
      <c r="Y223" s="668">
        <f t="shared" si="36"/>
        <v>252</v>
      </c>
      <c r="Z223" s="36">
        <f t="shared" si="41"/>
        <v>0.68354999999999999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276.875</v>
      </c>
      <c r="BN223" s="64">
        <f t="shared" si="38"/>
        <v>279.09000000000003</v>
      </c>
      <c r="BO223" s="64">
        <f t="shared" si="39"/>
        <v>0.57234432234432242</v>
      </c>
      <c r="BP223" s="64">
        <f t="shared" si="40"/>
        <v>0.57692307692307698</v>
      </c>
    </row>
    <row r="224" spans="1:68" x14ac:dyDescent="0.2">
      <c r="A224" s="697"/>
      <c r="B224" s="680"/>
      <c r="C224" s="680"/>
      <c r="D224" s="680"/>
      <c r="E224" s="680"/>
      <c r="F224" s="680"/>
      <c r="G224" s="680"/>
      <c r="H224" s="680"/>
      <c r="I224" s="680"/>
      <c r="J224" s="680"/>
      <c r="K224" s="680"/>
      <c r="L224" s="680"/>
      <c r="M224" s="680"/>
      <c r="N224" s="680"/>
      <c r="O224" s="698"/>
      <c r="P224" s="699" t="s">
        <v>87</v>
      </c>
      <c r="Q224" s="700"/>
      <c r="R224" s="700"/>
      <c r="S224" s="700"/>
      <c r="T224" s="700"/>
      <c r="U224" s="700"/>
      <c r="V224" s="701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655.8641975308642</v>
      </c>
      <c r="Y224" s="669">
        <f>IFERROR(Y215/H215,"0")+IFERROR(Y216/H216,"0")+IFERROR(Y217/H217,"0")+IFERROR(Y218/H218,"0")+IFERROR(Y219/H219,"0")+IFERROR(Y220/H220,"0")+IFERROR(Y221/H221,"0")+IFERROR(Y222/H222,"0")+IFERROR(Y223/H223,"0")</f>
        <v>659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4.67666</v>
      </c>
      <c r="AA224" s="670"/>
      <c r="AB224" s="670"/>
      <c r="AC224" s="670"/>
    </row>
    <row r="225" spans="1:68" x14ac:dyDescent="0.2">
      <c r="A225" s="680"/>
      <c r="B225" s="680"/>
      <c r="C225" s="680"/>
      <c r="D225" s="680"/>
      <c r="E225" s="680"/>
      <c r="F225" s="680"/>
      <c r="G225" s="680"/>
      <c r="H225" s="680"/>
      <c r="I225" s="680"/>
      <c r="J225" s="680"/>
      <c r="K225" s="680"/>
      <c r="L225" s="680"/>
      <c r="M225" s="680"/>
      <c r="N225" s="680"/>
      <c r="O225" s="698"/>
      <c r="P225" s="699" t="s">
        <v>87</v>
      </c>
      <c r="Q225" s="700"/>
      <c r="R225" s="700"/>
      <c r="S225" s="700"/>
      <c r="T225" s="700"/>
      <c r="U225" s="700"/>
      <c r="V225" s="701"/>
      <c r="W225" s="37" t="s">
        <v>68</v>
      </c>
      <c r="X225" s="669">
        <f>IFERROR(SUM(X215:X223),"0")</f>
        <v>1750</v>
      </c>
      <c r="Y225" s="669">
        <f>IFERROR(SUM(Y215:Y223),"0")</f>
        <v>1758.3</v>
      </c>
      <c r="Z225" s="37"/>
      <c r="AA225" s="670"/>
      <c r="AB225" s="670"/>
      <c r="AC225" s="670"/>
    </row>
    <row r="226" spans="1:68" ht="14.25" customHeight="1" x14ac:dyDescent="0.25">
      <c r="A226" s="679" t="s">
        <v>170</v>
      </c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0"/>
      <c r="P226" s="680"/>
      <c r="Q226" s="680"/>
      <c r="R226" s="680"/>
      <c r="S226" s="680"/>
      <c r="T226" s="680"/>
      <c r="U226" s="680"/>
      <c r="V226" s="680"/>
      <c r="W226" s="680"/>
      <c r="X226" s="680"/>
      <c r="Y226" s="680"/>
      <c r="Z226" s="680"/>
      <c r="AA226" s="663"/>
      <c r="AB226" s="663"/>
      <c r="AC226" s="663"/>
    </row>
    <row r="227" spans="1:68" ht="27" customHeight="1" x14ac:dyDescent="0.25">
      <c r="A227" s="54" t="s">
        <v>381</v>
      </c>
      <c r="B227" s="54" t="s">
        <v>382</v>
      </c>
      <c r="C227" s="31">
        <v>4301060463</v>
      </c>
      <c r="D227" s="677">
        <v>4680115880818</v>
      </c>
      <c r="E227" s="678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81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5"/>
      <c r="R227" s="675"/>
      <c r="S227" s="675"/>
      <c r="T227" s="676"/>
      <c r="U227" s="34"/>
      <c r="V227" s="34"/>
      <c r="W227" s="35" t="s">
        <v>68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customHeight="1" x14ac:dyDescent="0.25">
      <c r="A228" s="54" t="s">
        <v>384</v>
      </c>
      <c r="B228" s="54" t="s">
        <v>385</v>
      </c>
      <c r="C228" s="31">
        <v>4301060389</v>
      </c>
      <c r="D228" s="677">
        <v>4680115880801</v>
      </c>
      <c r="E228" s="678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73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5"/>
      <c r="R228" s="675"/>
      <c r="S228" s="675"/>
      <c r="T228" s="676"/>
      <c r="U228" s="34"/>
      <c r="V228" s="34"/>
      <c r="W228" s="35" t="s">
        <v>68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697"/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98"/>
      <c r="P229" s="699" t="s">
        <v>87</v>
      </c>
      <c r="Q229" s="700"/>
      <c r="R229" s="700"/>
      <c r="S229" s="700"/>
      <c r="T229" s="700"/>
      <c r="U229" s="700"/>
      <c r="V229" s="701"/>
      <c r="W229" s="37" t="s">
        <v>88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x14ac:dyDescent="0.2">
      <c r="A230" s="680"/>
      <c r="B230" s="680"/>
      <c r="C230" s="680"/>
      <c r="D230" s="680"/>
      <c r="E230" s="680"/>
      <c r="F230" s="680"/>
      <c r="G230" s="680"/>
      <c r="H230" s="680"/>
      <c r="I230" s="680"/>
      <c r="J230" s="680"/>
      <c r="K230" s="680"/>
      <c r="L230" s="680"/>
      <c r="M230" s="680"/>
      <c r="N230" s="680"/>
      <c r="O230" s="698"/>
      <c r="P230" s="699" t="s">
        <v>87</v>
      </c>
      <c r="Q230" s="700"/>
      <c r="R230" s="700"/>
      <c r="S230" s="700"/>
      <c r="T230" s="700"/>
      <c r="U230" s="700"/>
      <c r="V230" s="701"/>
      <c r="W230" s="37" t="s">
        <v>68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customHeight="1" x14ac:dyDescent="0.25">
      <c r="A231" s="706" t="s">
        <v>387</v>
      </c>
      <c r="B231" s="680"/>
      <c r="C231" s="680"/>
      <c r="D231" s="680"/>
      <c r="E231" s="680"/>
      <c r="F231" s="680"/>
      <c r="G231" s="680"/>
      <c r="H231" s="680"/>
      <c r="I231" s="680"/>
      <c r="J231" s="680"/>
      <c r="K231" s="680"/>
      <c r="L231" s="680"/>
      <c r="M231" s="680"/>
      <c r="N231" s="680"/>
      <c r="O231" s="680"/>
      <c r="P231" s="680"/>
      <c r="Q231" s="680"/>
      <c r="R231" s="680"/>
      <c r="S231" s="680"/>
      <c r="T231" s="680"/>
      <c r="U231" s="680"/>
      <c r="V231" s="680"/>
      <c r="W231" s="680"/>
      <c r="X231" s="680"/>
      <c r="Y231" s="680"/>
      <c r="Z231" s="680"/>
      <c r="AA231" s="662"/>
      <c r="AB231" s="662"/>
      <c r="AC231" s="662"/>
    </row>
    <row r="232" spans="1:68" ht="14.25" customHeight="1" x14ac:dyDescent="0.25">
      <c r="A232" s="679" t="s">
        <v>97</v>
      </c>
      <c r="B232" s="680"/>
      <c r="C232" s="680"/>
      <c r="D232" s="680"/>
      <c r="E232" s="680"/>
      <c r="F232" s="680"/>
      <c r="G232" s="680"/>
      <c r="H232" s="680"/>
      <c r="I232" s="680"/>
      <c r="J232" s="680"/>
      <c r="K232" s="680"/>
      <c r="L232" s="680"/>
      <c r="M232" s="680"/>
      <c r="N232" s="680"/>
      <c r="O232" s="680"/>
      <c r="P232" s="680"/>
      <c r="Q232" s="680"/>
      <c r="R232" s="680"/>
      <c r="S232" s="680"/>
      <c r="T232" s="680"/>
      <c r="U232" s="680"/>
      <c r="V232" s="680"/>
      <c r="W232" s="680"/>
      <c r="X232" s="680"/>
      <c r="Y232" s="680"/>
      <c r="Z232" s="680"/>
      <c r="AA232" s="663"/>
      <c r="AB232" s="663"/>
      <c r="AC232" s="663"/>
    </row>
    <row r="233" spans="1:68" ht="27" customHeight="1" x14ac:dyDescent="0.25">
      <c r="A233" s="54" t="s">
        <v>388</v>
      </c>
      <c r="B233" s="54" t="s">
        <v>389</v>
      </c>
      <c r="C233" s="31">
        <v>4301011826</v>
      </c>
      <c r="D233" s="677">
        <v>4680115884137</v>
      </c>
      <c r="E233" s="678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5"/>
      <c r="R233" s="675"/>
      <c r="S233" s="675"/>
      <c r="T233" s="676"/>
      <c r="U233" s="34"/>
      <c r="V233" s="34"/>
      <c r="W233" s="35" t="s">
        <v>68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customHeight="1" x14ac:dyDescent="0.25">
      <c r="A234" s="54" t="s">
        <v>388</v>
      </c>
      <c r="B234" s="54" t="s">
        <v>391</v>
      </c>
      <c r="C234" s="31">
        <v>4301011942</v>
      </c>
      <c r="D234" s="677">
        <v>4680115884137</v>
      </c>
      <c r="E234" s="678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1010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5"/>
      <c r="R234" s="675"/>
      <c r="S234" s="675"/>
      <c r="T234" s="676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4301011724</v>
      </c>
      <c r="D235" s="677">
        <v>4680115884236</v>
      </c>
      <c r="E235" s="678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5"/>
      <c r="R235" s="675"/>
      <c r="S235" s="675"/>
      <c r="T235" s="676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397</v>
      </c>
      <c r="B236" s="54" t="s">
        <v>398</v>
      </c>
      <c r="C236" s="31">
        <v>4301011721</v>
      </c>
      <c r="D236" s="677">
        <v>4680115884175</v>
      </c>
      <c r="E236" s="678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101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5"/>
      <c r="R236" s="675"/>
      <c r="S236" s="675"/>
      <c r="T236" s="676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397</v>
      </c>
      <c r="B237" s="54" t="s">
        <v>400</v>
      </c>
      <c r="C237" s="31">
        <v>4301011941</v>
      </c>
      <c r="D237" s="677">
        <v>4680115884175</v>
      </c>
      <c r="E237" s="678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1024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5"/>
      <c r="R237" s="675"/>
      <c r="S237" s="675"/>
      <c r="T237" s="676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401</v>
      </c>
      <c r="B238" s="54" t="s">
        <v>402</v>
      </c>
      <c r="C238" s="31">
        <v>4301011824</v>
      </c>
      <c r="D238" s="677">
        <v>4680115884144</v>
      </c>
      <c r="E238" s="678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8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5"/>
      <c r="R238" s="675"/>
      <c r="S238" s="675"/>
      <c r="T238" s="676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customHeight="1" x14ac:dyDescent="0.25">
      <c r="A239" s="54" t="s">
        <v>403</v>
      </c>
      <c r="B239" s="54" t="s">
        <v>404</v>
      </c>
      <c r="C239" s="31">
        <v>4301011726</v>
      </c>
      <c r="D239" s="677">
        <v>4680115884182</v>
      </c>
      <c r="E239" s="678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92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5"/>
      <c r="R239" s="675"/>
      <c r="S239" s="675"/>
      <c r="T239" s="676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405</v>
      </c>
      <c r="B240" s="54" t="s">
        <v>406</v>
      </c>
      <c r="C240" s="31">
        <v>4301011722</v>
      </c>
      <c r="D240" s="677">
        <v>4680115884205</v>
      </c>
      <c r="E240" s="678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100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5"/>
      <c r="R240" s="675"/>
      <c r="S240" s="675"/>
      <c r="T240" s="676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97"/>
      <c r="B241" s="680"/>
      <c r="C241" s="680"/>
      <c r="D241" s="680"/>
      <c r="E241" s="680"/>
      <c r="F241" s="680"/>
      <c r="G241" s="680"/>
      <c r="H241" s="680"/>
      <c r="I241" s="680"/>
      <c r="J241" s="680"/>
      <c r="K241" s="680"/>
      <c r="L241" s="680"/>
      <c r="M241" s="680"/>
      <c r="N241" s="680"/>
      <c r="O241" s="698"/>
      <c r="P241" s="699" t="s">
        <v>87</v>
      </c>
      <c r="Q241" s="700"/>
      <c r="R241" s="700"/>
      <c r="S241" s="700"/>
      <c r="T241" s="700"/>
      <c r="U241" s="700"/>
      <c r="V241" s="701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x14ac:dyDescent="0.2">
      <c r="A242" s="680"/>
      <c r="B242" s="680"/>
      <c r="C242" s="680"/>
      <c r="D242" s="680"/>
      <c r="E242" s="680"/>
      <c r="F242" s="680"/>
      <c r="G242" s="680"/>
      <c r="H242" s="680"/>
      <c r="I242" s="680"/>
      <c r="J242" s="680"/>
      <c r="K242" s="680"/>
      <c r="L242" s="680"/>
      <c r="M242" s="680"/>
      <c r="N242" s="680"/>
      <c r="O242" s="698"/>
      <c r="P242" s="699" t="s">
        <v>87</v>
      </c>
      <c r="Q242" s="700"/>
      <c r="R242" s="700"/>
      <c r="S242" s="700"/>
      <c r="T242" s="700"/>
      <c r="U242" s="700"/>
      <c r="V242" s="701"/>
      <c r="W242" s="37" t="s">
        <v>68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customHeight="1" x14ac:dyDescent="0.25">
      <c r="A243" s="679" t="s">
        <v>133</v>
      </c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0"/>
      <c r="P243" s="680"/>
      <c r="Q243" s="680"/>
      <c r="R243" s="680"/>
      <c r="S243" s="680"/>
      <c r="T243" s="680"/>
      <c r="U243" s="680"/>
      <c r="V243" s="680"/>
      <c r="W243" s="680"/>
      <c r="X243" s="680"/>
      <c r="Y243" s="680"/>
      <c r="Z243" s="680"/>
      <c r="AA243" s="663"/>
      <c r="AB243" s="663"/>
      <c r="AC243" s="663"/>
    </row>
    <row r="244" spans="1:68" ht="27" customHeight="1" x14ac:dyDescent="0.25">
      <c r="A244" s="54" t="s">
        <v>407</v>
      </c>
      <c r="B244" s="54" t="s">
        <v>408</v>
      </c>
      <c r="C244" s="31">
        <v>4301020377</v>
      </c>
      <c r="D244" s="677">
        <v>4680115885981</v>
      </c>
      <c r="E244" s="678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1053" t="s">
        <v>409</v>
      </c>
      <c r="Q244" s="675"/>
      <c r="R244" s="675"/>
      <c r="S244" s="675"/>
      <c r="T244" s="676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407</v>
      </c>
      <c r="B245" s="54" t="s">
        <v>411</v>
      </c>
      <c r="C245" s="31">
        <v>4301020340</v>
      </c>
      <c r="D245" s="677">
        <v>4680115885721</v>
      </c>
      <c r="E245" s="678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80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5"/>
      <c r="R245" s="675"/>
      <c r="S245" s="675"/>
      <c r="T245" s="676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97"/>
      <c r="B246" s="680"/>
      <c r="C246" s="680"/>
      <c r="D246" s="680"/>
      <c r="E246" s="680"/>
      <c r="F246" s="680"/>
      <c r="G246" s="680"/>
      <c r="H246" s="680"/>
      <c r="I246" s="680"/>
      <c r="J246" s="680"/>
      <c r="K246" s="680"/>
      <c r="L246" s="680"/>
      <c r="M246" s="680"/>
      <c r="N246" s="680"/>
      <c r="O246" s="698"/>
      <c r="P246" s="699" t="s">
        <v>87</v>
      </c>
      <c r="Q246" s="700"/>
      <c r="R246" s="700"/>
      <c r="S246" s="700"/>
      <c r="T246" s="700"/>
      <c r="U246" s="700"/>
      <c r="V246" s="701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80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98"/>
      <c r="P247" s="699" t="s">
        <v>87</v>
      </c>
      <c r="Q247" s="700"/>
      <c r="R247" s="700"/>
      <c r="S247" s="700"/>
      <c r="T247" s="700"/>
      <c r="U247" s="700"/>
      <c r="V247" s="701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79" t="s">
        <v>412</v>
      </c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0"/>
      <c r="P248" s="680"/>
      <c r="Q248" s="680"/>
      <c r="R248" s="680"/>
      <c r="S248" s="680"/>
      <c r="T248" s="680"/>
      <c r="U248" s="680"/>
      <c r="V248" s="680"/>
      <c r="W248" s="680"/>
      <c r="X248" s="680"/>
      <c r="Y248" s="680"/>
      <c r="Z248" s="680"/>
      <c r="AA248" s="663"/>
      <c r="AB248" s="663"/>
      <c r="AC248" s="663"/>
    </row>
    <row r="249" spans="1:68" ht="27" customHeight="1" x14ac:dyDescent="0.25">
      <c r="A249" s="54" t="s">
        <v>413</v>
      </c>
      <c r="B249" s="54" t="s">
        <v>414</v>
      </c>
      <c r="C249" s="31">
        <v>4301040361</v>
      </c>
      <c r="D249" s="677">
        <v>4680115886803</v>
      </c>
      <c r="E249" s="678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1034" t="s">
        <v>415</v>
      </c>
      <c r="Q249" s="675"/>
      <c r="R249" s="675"/>
      <c r="S249" s="675"/>
      <c r="T249" s="676"/>
      <c r="U249" s="34"/>
      <c r="V249" s="34"/>
      <c r="W249" s="35" t="s">
        <v>68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697"/>
      <c r="B250" s="680"/>
      <c r="C250" s="680"/>
      <c r="D250" s="680"/>
      <c r="E250" s="680"/>
      <c r="F250" s="680"/>
      <c r="G250" s="680"/>
      <c r="H250" s="680"/>
      <c r="I250" s="680"/>
      <c r="J250" s="680"/>
      <c r="K250" s="680"/>
      <c r="L250" s="680"/>
      <c r="M250" s="680"/>
      <c r="N250" s="680"/>
      <c r="O250" s="698"/>
      <c r="P250" s="699" t="s">
        <v>87</v>
      </c>
      <c r="Q250" s="700"/>
      <c r="R250" s="700"/>
      <c r="S250" s="700"/>
      <c r="T250" s="700"/>
      <c r="U250" s="700"/>
      <c r="V250" s="701"/>
      <c r="W250" s="37" t="s">
        <v>88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x14ac:dyDescent="0.2">
      <c r="A251" s="680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98"/>
      <c r="P251" s="699" t="s">
        <v>87</v>
      </c>
      <c r="Q251" s="700"/>
      <c r="R251" s="700"/>
      <c r="S251" s="700"/>
      <c r="T251" s="700"/>
      <c r="U251" s="700"/>
      <c r="V251" s="701"/>
      <c r="W251" s="37" t="s">
        <v>68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customHeight="1" x14ac:dyDescent="0.25">
      <c r="A252" s="679" t="s">
        <v>417</v>
      </c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0"/>
      <c r="P252" s="680"/>
      <c r="Q252" s="680"/>
      <c r="R252" s="680"/>
      <c r="S252" s="680"/>
      <c r="T252" s="680"/>
      <c r="U252" s="680"/>
      <c r="V252" s="680"/>
      <c r="W252" s="680"/>
      <c r="X252" s="680"/>
      <c r="Y252" s="680"/>
      <c r="Z252" s="680"/>
      <c r="AA252" s="663"/>
      <c r="AB252" s="663"/>
      <c r="AC252" s="663"/>
    </row>
    <row r="253" spans="1:68" ht="27" customHeight="1" x14ac:dyDescent="0.25">
      <c r="A253" s="54" t="s">
        <v>418</v>
      </c>
      <c r="B253" s="54" t="s">
        <v>419</v>
      </c>
      <c r="C253" s="31">
        <v>4301041004</v>
      </c>
      <c r="D253" s="677">
        <v>4680115886704</v>
      </c>
      <c r="E253" s="678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754" t="s">
        <v>420</v>
      </c>
      <c r="Q253" s="675"/>
      <c r="R253" s="675"/>
      <c r="S253" s="675"/>
      <c r="T253" s="676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422</v>
      </c>
      <c r="B254" s="54" t="s">
        <v>423</v>
      </c>
      <c r="C254" s="31">
        <v>4301041007</v>
      </c>
      <c r="D254" s="677">
        <v>4680115886735</v>
      </c>
      <c r="E254" s="678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840" t="s">
        <v>424</v>
      </c>
      <c r="Q254" s="675"/>
      <c r="R254" s="675"/>
      <c r="S254" s="675"/>
      <c r="T254" s="676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425</v>
      </c>
      <c r="B255" s="54" t="s">
        <v>426</v>
      </c>
      <c r="C255" s="31">
        <v>4301041006</v>
      </c>
      <c r="D255" s="677">
        <v>4680115886728</v>
      </c>
      <c r="E255" s="678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976" t="s">
        <v>427</v>
      </c>
      <c r="Q255" s="675"/>
      <c r="R255" s="675"/>
      <c r="S255" s="675"/>
      <c r="T255" s="676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428</v>
      </c>
      <c r="B256" s="54" t="s">
        <v>429</v>
      </c>
      <c r="C256" s="31">
        <v>4301041005</v>
      </c>
      <c r="D256" s="677">
        <v>4680115886711</v>
      </c>
      <c r="E256" s="678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844" t="s">
        <v>430</v>
      </c>
      <c r="Q256" s="675"/>
      <c r="R256" s="675"/>
      <c r="S256" s="675"/>
      <c r="T256" s="676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431</v>
      </c>
      <c r="B257" s="54" t="s">
        <v>432</v>
      </c>
      <c r="C257" s="31">
        <v>4301041003</v>
      </c>
      <c r="D257" s="677">
        <v>4680115886681</v>
      </c>
      <c r="E257" s="678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830" t="s">
        <v>433</v>
      </c>
      <c r="Q257" s="675"/>
      <c r="R257" s="675"/>
      <c r="S257" s="675"/>
      <c r="T257" s="676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97"/>
      <c r="B258" s="680"/>
      <c r="C258" s="680"/>
      <c r="D258" s="680"/>
      <c r="E258" s="680"/>
      <c r="F258" s="680"/>
      <c r="G258" s="680"/>
      <c r="H258" s="680"/>
      <c r="I258" s="680"/>
      <c r="J258" s="680"/>
      <c r="K258" s="680"/>
      <c r="L258" s="680"/>
      <c r="M258" s="680"/>
      <c r="N258" s="680"/>
      <c r="O258" s="698"/>
      <c r="P258" s="699" t="s">
        <v>87</v>
      </c>
      <c r="Q258" s="700"/>
      <c r="R258" s="700"/>
      <c r="S258" s="700"/>
      <c r="T258" s="700"/>
      <c r="U258" s="700"/>
      <c r="V258" s="701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80"/>
      <c r="B259" s="680"/>
      <c r="C259" s="680"/>
      <c r="D259" s="680"/>
      <c r="E259" s="680"/>
      <c r="F259" s="680"/>
      <c r="G259" s="680"/>
      <c r="H259" s="680"/>
      <c r="I259" s="680"/>
      <c r="J259" s="680"/>
      <c r="K259" s="680"/>
      <c r="L259" s="680"/>
      <c r="M259" s="680"/>
      <c r="N259" s="680"/>
      <c r="O259" s="698"/>
      <c r="P259" s="699" t="s">
        <v>87</v>
      </c>
      <c r="Q259" s="700"/>
      <c r="R259" s="700"/>
      <c r="S259" s="700"/>
      <c r="T259" s="700"/>
      <c r="U259" s="700"/>
      <c r="V259" s="701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706" t="s">
        <v>434</v>
      </c>
      <c r="B260" s="680"/>
      <c r="C260" s="680"/>
      <c r="D260" s="680"/>
      <c r="E260" s="680"/>
      <c r="F260" s="680"/>
      <c r="G260" s="680"/>
      <c r="H260" s="680"/>
      <c r="I260" s="680"/>
      <c r="J260" s="680"/>
      <c r="K260" s="680"/>
      <c r="L260" s="680"/>
      <c r="M260" s="680"/>
      <c r="N260" s="680"/>
      <c r="O260" s="680"/>
      <c r="P260" s="680"/>
      <c r="Q260" s="680"/>
      <c r="R260" s="680"/>
      <c r="S260" s="680"/>
      <c r="T260" s="680"/>
      <c r="U260" s="680"/>
      <c r="V260" s="680"/>
      <c r="W260" s="680"/>
      <c r="X260" s="680"/>
      <c r="Y260" s="680"/>
      <c r="Z260" s="680"/>
      <c r="AA260" s="662"/>
      <c r="AB260" s="662"/>
      <c r="AC260" s="662"/>
    </row>
    <row r="261" spans="1:68" ht="14.25" customHeight="1" x14ac:dyDescent="0.25">
      <c r="A261" s="679" t="s">
        <v>97</v>
      </c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0"/>
      <c r="P261" s="680"/>
      <c r="Q261" s="680"/>
      <c r="R261" s="680"/>
      <c r="S261" s="680"/>
      <c r="T261" s="680"/>
      <c r="U261" s="680"/>
      <c r="V261" s="680"/>
      <c r="W261" s="680"/>
      <c r="X261" s="680"/>
      <c r="Y261" s="680"/>
      <c r="Z261" s="680"/>
      <c r="AA261" s="663"/>
      <c r="AB261" s="663"/>
      <c r="AC261" s="663"/>
    </row>
    <row r="262" spans="1:68" ht="27" customHeight="1" x14ac:dyDescent="0.25">
      <c r="A262" s="54" t="s">
        <v>435</v>
      </c>
      <c r="B262" s="54" t="s">
        <v>436</v>
      </c>
      <c r="C262" s="31">
        <v>4301011855</v>
      </c>
      <c r="D262" s="677">
        <v>4680115885837</v>
      </c>
      <c r="E262" s="678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75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5"/>
      <c r="R262" s="675"/>
      <c r="S262" s="675"/>
      <c r="T262" s="676"/>
      <c r="U262" s="34"/>
      <c r="V262" s="34"/>
      <c r="W262" s="35" t="s">
        <v>68</v>
      </c>
      <c r="X262" s="667">
        <v>150</v>
      </c>
      <c r="Y262" s="668">
        <f t="shared" ref="Y262:Y267" si="47">IFERROR(IF(X262="",0,CEILING((X262/$H262),1)*$H262),"")</f>
        <v>151.20000000000002</v>
      </c>
      <c r="Z262" s="36">
        <f>IFERROR(IF(Y262=0,"",ROUNDUP(Y262/H262,0)*0.01898),"")</f>
        <v>0.26572000000000001</v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156.04166666666666</v>
      </c>
      <c r="BN262" s="64">
        <f t="shared" ref="BN262:BN267" si="49">IFERROR(Y262*I262/H262,"0")</f>
        <v>157.29000000000002</v>
      </c>
      <c r="BO262" s="64">
        <f t="shared" ref="BO262:BO267" si="50">IFERROR(1/J262*(X262/H262),"0")</f>
        <v>0.21701388888888887</v>
      </c>
      <c r="BP262" s="64">
        <f t="shared" ref="BP262:BP267" si="51">IFERROR(1/J262*(Y262/H262),"0")</f>
        <v>0.21875</v>
      </c>
    </row>
    <row r="263" spans="1:68" ht="27" customHeight="1" x14ac:dyDescent="0.25">
      <c r="A263" s="54" t="s">
        <v>438</v>
      </c>
      <c r="B263" s="54" t="s">
        <v>439</v>
      </c>
      <c r="C263" s="31">
        <v>4301011850</v>
      </c>
      <c r="D263" s="677">
        <v>4680115885806</v>
      </c>
      <c r="E263" s="678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7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5"/>
      <c r="R263" s="675"/>
      <c r="S263" s="675"/>
      <c r="T263" s="676"/>
      <c r="U263" s="34"/>
      <c r="V263" s="34"/>
      <c r="W263" s="35" t="s">
        <v>68</v>
      </c>
      <c r="X263" s="667">
        <v>150</v>
      </c>
      <c r="Y263" s="668">
        <f t="shared" si="47"/>
        <v>151.20000000000002</v>
      </c>
      <c r="Z263" s="36">
        <f>IFERROR(IF(Y263=0,"",ROUNDUP(Y263/H263,0)*0.01898),"")</f>
        <v>0.26572000000000001</v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156.04166666666666</v>
      </c>
      <c r="BN263" s="64">
        <f t="shared" si="49"/>
        <v>157.29000000000002</v>
      </c>
      <c r="BO263" s="64">
        <f t="shared" si="50"/>
        <v>0.21701388888888887</v>
      </c>
      <c r="BP263" s="64">
        <f t="shared" si="51"/>
        <v>0.21875</v>
      </c>
    </row>
    <row r="264" spans="1:68" ht="27" customHeight="1" x14ac:dyDescent="0.25">
      <c r="A264" s="54" t="s">
        <v>438</v>
      </c>
      <c r="B264" s="54" t="s">
        <v>441</v>
      </c>
      <c r="C264" s="31">
        <v>4301011910</v>
      </c>
      <c r="D264" s="677">
        <v>4680115885806</v>
      </c>
      <c r="E264" s="678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927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5"/>
      <c r="R264" s="675"/>
      <c r="S264" s="675"/>
      <c r="T264" s="676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443</v>
      </c>
      <c r="B265" s="54" t="s">
        <v>444</v>
      </c>
      <c r="C265" s="31">
        <v>4301011853</v>
      </c>
      <c r="D265" s="677">
        <v>4680115885851</v>
      </c>
      <c r="E265" s="678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101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5"/>
      <c r="R265" s="675"/>
      <c r="S265" s="675"/>
      <c r="T265" s="676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446</v>
      </c>
      <c r="B266" s="54" t="s">
        <v>447</v>
      </c>
      <c r="C266" s="31">
        <v>4301011852</v>
      </c>
      <c r="D266" s="677">
        <v>4680115885844</v>
      </c>
      <c r="E266" s="678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100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5"/>
      <c r="R266" s="675"/>
      <c r="S266" s="675"/>
      <c r="T266" s="676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449</v>
      </c>
      <c r="B267" s="54" t="s">
        <v>450</v>
      </c>
      <c r="C267" s="31">
        <v>4301011851</v>
      </c>
      <c r="D267" s="677">
        <v>4680115885820</v>
      </c>
      <c r="E267" s="678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9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5"/>
      <c r="R267" s="675"/>
      <c r="S267" s="675"/>
      <c r="T267" s="676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97"/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98"/>
      <c r="P268" s="699" t="s">
        <v>87</v>
      </c>
      <c r="Q268" s="700"/>
      <c r="R268" s="700"/>
      <c r="S268" s="700"/>
      <c r="T268" s="700"/>
      <c r="U268" s="700"/>
      <c r="V268" s="701"/>
      <c r="W268" s="37" t="s">
        <v>88</v>
      </c>
      <c r="X268" s="669">
        <f>IFERROR(X262/H262,"0")+IFERROR(X263/H263,"0")+IFERROR(X264/H264,"0")+IFERROR(X265/H265,"0")+IFERROR(X266/H266,"0")+IFERROR(X267/H267,"0")</f>
        <v>27.777777777777775</v>
      </c>
      <c r="Y268" s="669">
        <f>IFERROR(Y262/H262,"0")+IFERROR(Y263/H263,"0")+IFERROR(Y264/H264,"0")+IFERROR(Y265/H265,"0")+IFERROR(Y266/H266,"0")+IFERROR(Y267/H267,"0")</f>
        <v>28</v>
      </c>
      <c r="Z268" s="669">
        <f>IFERROR(IF(Z262="",0,Z262),"0")+IFERROR(IF(Z263="",0,Z263),"0")+IFERROR(IF(Z264="",0,Z264),"0")+IFERROR(IF(Z265="",0,Z265),"0")+IFERROR(IF(Z266="",0,Z266),"0")+IFERROR(IF(Z267="",0,Z267),"0")</f>
        <v>0.53144000000000002</v>
      </c>
      <c r="AA268" s="670"/>
      <c r="AB268" s="670"/>
      <c r="AC268" s="670"/>
    </row>
    <row r="269" spans="1:68" x14ac:dyDescent="0.2">
      <c r="A269" s="680"/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98"/>
      <c r="P269" s="699" t="s">
        <v>87</v>
      </c>
      <c r="Q269" s="700"/>
      <c r="R269" s="700"/>
      <c r="S269" s="700"/>
      <c r="T269" s="700"/>
      <c r="U269" s="700"/>
      <c r="V269" s="701"/>
      <c r="W269" s="37" t="s">
        <v>68</v>
      </c>
      <c r="X269" s="669">
        <f>IFERROR(SUM(X262:X267),"0")</f>
        <v>300</v>
      </c>
      <c r="Y269" s="669">
        <f>IFERROR(SUM(Y262:Y267),"0")</f>
        <v>302.40000000000003</v>
      </c>
      <c r="Z269" s="37"/>
      <c r="AA269" s="670"/>
      <c r="AB269" s="670"/>
      <c r="AC269" s="670"/>
    </row>
    <row r="270" spans="1:68" ht="16.5" customHeight="1" x14ac:dyDescent="0.25">
      <c r="A270" s="706" t="s">
        <v>452</v>
      </c>
      <c r="B270" s="680"/>
      <c r="C270" s="680"/>
      <c r="D270" s="680"/>
      <c r="E270" s="680"/>
      <c r="F270" s="680"/>
      <c r="G270" s="680"/>
      <c r="H270" s="680"/>
      <c r="I270" s="680"/>
      <c r="J270" s="680"/>
      <c r="K270" s="680"/>
      <c r="L270" s="680"/>
      <c r="M270" s="680"/>
      <c r="N270" s="680"/>
      <c r="O270" s="680"/>
      <c r="P270" s="680"/>
      <c r="Q270" s="680"/>
      <c r="R270" s="680"/>
      <c r="S270" s="680"/>
      <c r="T270" s="680"/>
      <c r="U270" s="680"/>
      <c r="V270" s="680"/>
      <c r="W270" s="680"/>
      <c r="X270" s="680"/>
      <c r="Y270" s="680"/>
      <c r="Z270" s="680"/>
      <c r="AA270" s="662"/>
      <c r="AB270" s="662"/>
      <c r="AC270" s="662"/>
    </row>
    <row r="271" spans="1:68" ht="14.25" customHeight="1" x14ac:dyDescent="0.25">
      <c r="A271" s="679" t="s">
        <v>97</v>
      </c>
      <c r="B271" s="680"/>
      <c r="C271" s="680"/>
      <c r="D271" s="680"/>
      <c r="E271" s="680"/>
      <c r="F271" s="680"/>
      <c r="G271" s="680"/>
      <c r="H271" s="680"/>
      <c r="I271" s="680"/>
      <c r="J271" s="680"/>
      <c r="K271" s="680"/>
      <c r="L271" s="680"/>
      <c r="M271" s="680"/>
      <c r="N271" s="680"/>
      <c r="O271" s="680"/>
      <c r="P271" s="680"/>
      <c r="Q271" s="680"/>
      <c r="R271" s="680"/>
      <c r="S271" s="680"/>
      <c r="T271" s="680"/>
      <c r="U271" s="680"/>
      <c r="V271" s="680"/>
      <c r="W271" s="680"/>
      <c r="X271" s="680"/>
      <c r="Y271" s="680"/>
      <c r="Z271" s="680"/>
      <c r="AA271" s="663"/>
      <c r="AB271" s="663"/>
      <c r="AC271" s="663"/>
    </row>
    <row r="272" spans="1:68" ht="37.5" customHeight="1" x14ac:dyDescent="0.25">
      <c r="A272" s="54" t="s">
        <v>453</v>
      </c>
      <c r="B272" s="54" t="s">
        <v>454</v>
      </c>
      <c r="C272" s="31">
        <v>4301011876</v>
      </c>
      <c r="D272" s="677">
        <v>4680115885707</v>
      </c>
      <c r="E272" s="678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972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5"/>
      <c r="R272" s="675"/>
      <c r="S272" s="675"/>
      <c r="T272" s="676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97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98"/>
      <c r="P273" s="699" t="s">
        <v>87</v>
      </c>
      <c r="Q273" s="700"/>
      <c r="R273" s="700"/>
      <c r="S273" s="700"/>
      <c r="T273" s="700"/>
      <c r="U273" s="700"/>
      <c r="V273" s="701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98"/>
      <c r="P274" s="699" t="s">
        <v>87</v>
      </c>
      <c r="Q274" s="700"/>
      <c r="R274" s="700"/>
      <c r="S274" s="700"/>
      <c r="T274" s="700"/>
      <c r="U274" s="700"/>
      <c r="V274" s="701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706" t="s">
        <v>456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2"/>
      <c r="AB275" s="662"/>
      <c r="AC275" s="662"/>
    </row>
    <row r="276" spans="1:68" ht="14.25" customHeight="1" x14ac:dyDescent="0.25">
      <c r="A276" s="679" t="s">
        <v>97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3"/>
      <c r="AB276" s="663"/>
      <c r="AC276" s="663"/>
    </row>
    <row r="277" spans="1:68" ht="27" customHeight="1" x14ac:dyDescent="0.25">
      <c r="A277" s="54" t="s">
        <v>457</v>
      </c>
      <c r="B277" s="54" t="s">
        <v>458</v>
      </c>
      <c r="C277" s="31">
        <v>4301011223</v>
      </c>
      <c r="D277" s="677">
        <v>4607091383423</v>
      </c>
      <c r="E277" s="678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9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5"/>
      <c r="R277" s="675"/>
      <c r="S277" s="675"/>
      <c r="T277" s="676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459</v>
      </c>
      <c r="B278" s="54" t="s">
        <v>460</v>
      </c>
      <c r="C278" s="31">
        <v>4301012099</v>
      </c>
      <c r="D278" s="677">
        <v>4680115885691</v>
      </c>
      <c r="E278" s="678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7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5"/>
      <c r="R278" s="675"/>
      <c r="S278" s="675"/>
      <c r="T278" s="676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462</v>
      </c>
      <c r="B279" s="54" t="s">
        <v>463</v>
      </c>
      <c r="C279" s="31">
        <v>4301012098</v>
      </c>
      <c r="D279" s="677">
        <v>4680115885660</v>
      </c>
      <c r="E279" s="678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5"/>
      <c r="R279" s="675"/>
      <c r="S279" s="675"/>
      <c r="T279" s="676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465</v>
      </c>
      <c r="B280" s="54" t="s">
        <v>466</v>
      </c>
      <c r="C280" s="31">
        <v>4301012176</v>
      </c>
      <c r="D280" s="677">
        <v>4680115886773</v>
      </c>
      <c r="E280" s="678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943" t="s">
        <v>467</v>
      </c>
      <c r="Q280" s="675"/>
      <c r="R280" s="675"/>
      <c r="S280" s="675"/>
      <c r="T280" s="676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97"/>
      <c r="B281" s="680"/>
      <c r="C281" s="680"/>
      <c r="D281" s="680"/>
      <c r="E281" s="680"/>
      <c r="F281" s="680"/>
      <c r="G281" s="680"/>
      <c r="H281" s="680"/>
      <c r="I281" s="680"/>
      <c r="J281" s="680"/>
      <c r="K281" s="680"/>
      <c r="L281" s="680"/>
      <c r="M281" s="680"/>
      <c r="N281" s="680"/>
      <c r="O281" s="698"/>
      <c r="P281" s="699" t="s">
        <v>87</v>
      </c>
      <c r="Q281" s="700"/>
      <c r="R281" s="700"/>
      <c r="S281" s="700"/>
      <c r="T281" s="700"/>
      <c r="U281" s="700"/>
      <c r="V281" s="701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80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98"/>
      <c r="P282" s="699" t="s">
        <v>87</v>
      </c>
      <c r="Q282" s="700"/>
      <c r="R282" s="700"/>
      <c r="S282" s="700"/>
      <c r="T282" s="700"/>
      <c r="U282" s="700"/>
      <c r="V282" s="701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706" t="s">
        <v>469</v>
      </c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0"/>
      <c r="P283" s="680"/>
      <c r="Q283" s="680"/>
      <c r="R283" s="680"/>
      <c r="S283" s="680"/>
      <c r="T283" s="680"/>
      <c r="U283" s="680"/>
      <c r="V283" s="680"/>
      <c r="W283" s="680"/>
      <c r="X283" s="680"/>
      <c r="Y283" s="680"/>
      <c r="Z283" s="680"/>
      <c r="AA283" s="662"/>
      <c r="AB283" s="662"/>
      <c r="AC283" s="662"/>
    </row>
    <row r="284" spans="1:68" ht="14.25" customHeight="1" x14ac:dyDescent="0.25">
      <c r="A284" s="679" t="s">
        <v>63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3"/>
      <c r="AB284" s="663"/>
      <c r="AC284" s="663"/>
    </row>
    <row r="285" spans="1:68" ht="37.5" customHeight="1" x14ac:dyDescent="0.25">
      <c r="A285" s="54" t="s">
        <v>470</v>
      </c>
      <c r="B285" s="54" t="s">
        <v>471</v>
      </c>
      <c r="C285" s="31">
        <v>4301051940</v>
      </c>
      <c r="D285" s="677">
        <v>4680115881037</v>
      </c>
      <c r="E285" s="678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92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5"/>
      <c r="R285" s="675"/>
      <c r="S285" s="675"/>
      <c r="T285" s="676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473</v>
      </c>
      <c r="B286" s="54" t="s">
        <v>474</v>
      </c>
      <c r="C286" s="31">
        <v>4301051893</v>
      </c>
      <c r="D286" s="677">
        <v>4680115886186</v>
      </c>
      <c r="E286" s="678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9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5"/>
      <c r="R286" s="675"/>
      <c r="S286" s="675"/>
      <c r="T286" s="676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4301051795</v>
      </c>
      <c r="D287" s="677">
        <v>4680115881228</v>
      </c>
      <c r="E287" s="678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97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5"/>
      <c r="R287" s="675"/>
      <c r="S287" s="675"/>
      <c r="T287" s="676"/>
      <c r="U287" s="34"/>
      <c r="V287" s="34"/>
      <c r="W287" s="35" t="s">
        <v>68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customHeight="1" x14ac:dyDescent="0.25">
      <c r="A288" s="54" t="s">
        <v>478</v>
      </c>
      <c r="B288" s="54" t="s">
        <v>479</v>
      </c>
      <c r="C288" s="31">
        <v>4301051388</v>
      </c>
      <c r="D288" s="677">
        <v>4680115881211</v>
      </c>
      <c r="E288" s="678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72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5"/>
      <c r="R288" s="675"/>
      <c r="S288" s="675"/>
      <c r="T288" s="676"/>
      <c r="U288" s="34"/>
      <c r="V288" s="34"/>
      <c r="W288" s="35" t="s">
        <v>68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481</v>
      </c>
      <c r="B289" s="54" t="s">
        <v>482</v>
      </c>
      <c r="C289" s="31">
        <v>4301051386</v>
      </c>
      <c r="D289" s="677">
        <v>4680115881020</v>
      </c>
      <c r="E289" s="678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92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5"/>
      <c r="R289" s="675"/>
      <c r="S289" s="675"/>
      <c r="T289" s="676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97"/>
      <c r="B290" s="680"/>
      <c r="C290" s="680"/>
      <c r="D290" s="680"/>
      <c r="E290" s="680"/>
      <c r="F290" s="680"/>
      <c r="G290" s="680"/>
      <c r="H290" s="680"/>
      <c r="I290" s="680"/>
      <c r="J290" s="680"/>
      <c r="K290" s="680"/>
      <c r="L290" s="680"/>
      <c r="M290" s="680"/>
      <c r="N290" s="680"/>
      <c r="O290" s="698"/>
      <c r="P290" s="699" t="s">
        <v>87</v>
      </c>
      <c r="Q290" s="700"/>
      <c r="R290" s="700"/>
      <c r="S290" s="700"/>
      <c r="T290" s="700"/>
      <c r="U290" s="700"/>
      <c r="V290" s="701"/>
      <c r="W290" s="37" t="s">
        <v>88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x14ac:dyDescent="0.2">
      <c r="A291" s="680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98"/>
      <c r="P291" s="699" t="s">
        <v>87</v>
      </c>
      <c r="Q291" s="700"/>
      <c r="R291" s="700"/>
      <c r="S291" s="700"/>
      <c r="T291" s="700"/>
      <c r="U291" s="700"/>
      <c r="V291" s="701"/>
      <c r="W291" s="37" t="s">
        <v>68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customHeight="1" x14ac:dyDescent="0.25">
      <c r="A292" s="706" t="s">
        <v>483</v>
      </c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0"/>
      <c r="P292" s="680"/>
      <c r="Q292" s="680"/>
      <c r="R292" s="680"/>
      <c r="S292" s="680"/>
      <c r="T292" s="680"/>
      <c r="U292" s="680"/>
      <c r="V292" s="680"/>
      <c r="W292" s="680"/>
      <c r="X292" s="680"/>
      <c r="Y292" s="680"/>
      <c r="Z292" s="680"/>
      <c r="AA292" s="662"/>
      <c r="AB292" s="662"/>
      <c r="AC292" s="662"/>
    </row>
    <row r="293" spans="1:68" ht="14.25" customHeight="1" x14ac:dyDescent="0.25">
      <c r="A293" s="679" t="s">
        <v>97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3"/>
      <c r="AB293" s="663"/>
      <c r="AC293" s="663"/>
    </row>
    <row r="294" spans="1:68" ht="27" customHeight="1" x14ac:dyDescent="0.25">
      <c r="A294" s="54" t="s">
        <v>484</v>
      </c>
      <c r="B294" s="54" t="s">
        <v>485</v>
      </c>
      <c r="C294" s="31">
        <v>4301011306</v>
      </c>
      <c r="D294" s="677">
        <v>4607091389296</v>
      </c>
      <c r="E294" s="678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715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5"/>
      <c r="R294" s="675"/>
      <c r="S294" s="675"/>
      <c r="T294" s="676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97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98"/>
      <c r="P295" s="699" t="s">
        <v>87</v>
      </c>
      <c r="Q295" s="700"/>
      <c r="R295" s="700"/>
      <c r="S295" s="700"/>
      <c r="T295" s="700"/>
      <c r="U295" s="700"/>
      <c r="V295" s="701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98"/>
      <c r="P296" s="699" t="s">
        <v>87</v>
      </c>
      <c r="Q296" s="700"/>
      <c r="R296" s="700"/>
      <c r="S296" s="700"/>
      <c r="T296" s="700"/>
      <c r="U296" s="700"/>
      <c r="V296" s="701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79" t="s">
        <v>144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3"/>
      <c r="AB297" s="663"/>
      <c r="AC297" s="663"/>
    </row>
    <row r="298" spans="1:68" ht="27" customHeight="1" x14ac:dyDescent="0.25">
      <c r="A298" s="54" t="s">
        <v>487</v>
      </c>
      <c r="B298" s="54" t="s">
        <v>488</v>
      </c>
      <c r="C298" s="31">
        <v>4301031307</v>
      </c>
      <c r="D298" s="677">
        <v>4680115880344</v>
      </c>
      <c r="E298" s="678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76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5"/>
      <c r="R298" s="675"/>
      <c r="S298" s="675"/>
      <c r="T298" s="676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97"/>
      <c r="B299" s="680"/>
      <c r="C299" s="680"/>
      <c r="D299" s="680"/>
      <c r="E299" s="680"/>
      <c r="F299" s="680"/>
      <c r="G299" s="680"/>
      <c r="H299" s="680"/>
      <c r="I299" s="680"/>
      <c r="J299" s="680"/>
      <c r="K299" s="680"/>
      <c r="L299" s="680"/>
      <c r="M299" s="680"/>
      <c r="N299" s="680"/>
      <c r="O299" s="698"/>
      <c r="P299" s="699" t="s">
        <v>87</v>
      </c>
      <c r="Q299" s="700"/>
      <c r="R299" s="700"/>
      <c r="S299" s="700"/>
      <c r="T299" s="700"/>
      <c r="U299" s="700"/>
      <c r="V299" s="701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80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98"/>
      <c r="P300" s="699" t="s">
        <v>87</v>
      </c>
      <c r="Q300" s="700"/>
      <c r="R300" s="700"/>
      <c r="S300" s="700"/>
      <c r="T300" s="700"/>
      <c r="U300" s="700"/>
      <c r="V300" s="701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79" t="s">
        <v>63</v>
      </c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0"/>
      <c r="P301" s="680"/>
      <c r="Q301" s="680"/>
      <c r="R301" s="680"/>
      <c r="S301" s="680"/>
      <c r="T301" s="680"/>
      <c r="U301" s="680"/>
      <c r="V301" s="680"/>
      <c r="W301" s="680"/>
      <c r="X301" s="680"/>
      <c r="Y301" s="680"/>
      <c r="Z301" s="680"/>
      <c r="AA301" s="663"/>
      <c r="AB301" s="663"/>
      <c r="AC301" s="663"/>
    </row>
    <row r="302" spans="1:68" ht="27" customHeight="1" x14ac:dyDescent="0.25">
      <c r="A302" s="54" t="s">
        <v>490</v>
      </c>
      <c r="B302" s="54" t="s">
        <v>491</v>
      </c>
      <c r="C302" s="31">
        <v>4301051782</v>
      </c>
      <c r="D302" s="677">
        <v>4680115884618</v>
      </c>
      <c r="E302" s="678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10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5"/>
      <c r="R302" s="675"/>
      <c r="S302" s="675"/>
      <c r="T302" s="676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97"/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98"/>
      <c r="P303" s="699" t="s">
        <v>87</v>
      </c>
      <c r="Q303" s="700"/>
      <c r="R303" s="700"/>
      <c r="S303" s="700"/>
      <c r="T303" s="700"/>
      <c r="U303" s="700"/>
      <c r="V303" s="701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80"/>
      <c r="B304" s="680"/>
      <c r="C304" s="680"/>
      <c r="D304" s="680"/>
      <c r="E304" s="680"/>
      <c r="F304" s="680"/>
      <c r="G304" s="680"/>
      <c r="H304" s="680"/>
      <c r="I304" s="680"/>
      <c r="J304" s="680"/>
      <c r="K304" s="680"/>
      <c r="L304" s="680"/>
      <c r="M304" s="680"/>
      <c r="N304" s="680"/>
      <c r="O304" s="698"/>
      <c r="P304" s="699" t="s">
        <v>87</v>
      </c>
      <c r="Q304" s="700"/>
      <c r="R304" s="700"/>
      <c r="S304" s="700"/>
      <c r="T304" s="700"/>
      <c r="U304" s="700"/>
      <c r="V304" s="701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706" t="s">
        <v>493</v>
      </c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0"/>
      <c r="P305" s="680"/>
      <c r="Q305" s="680"/>
      <c r="R305" s="680"/>
      <c r="S305" s="680"/>
      <c r="T305" s="680"/>
      <c r="U305" s="680"/>
      <c r="V305" s="680"/>
      <c r="W305" s="680"/>
      <c r="X305" s="680"/>
      <c r="Y305" s="680"/>
      <c r="Z305" s="680"/>
      <c r="AA305" s="662"/>
      <c r="AB305" s="662"/>
      <c r="AC305" s="662"/>
    </row>
    <row r="306" spans="1:68" ht="14.25" customHeight="1" x14ac:dyDescent="0.25">
      <c r="A306" s="679" t="s">
        <v>63</v>
      </c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0"/>
      <c r="P306" s="680"/>
      <c r="Q306" s="680"/>
      <c r="R306" s="680"/>
      <c r="S306" s="680"/>
      <c r="T306" s="680"/>
      <c r="U306" s="680"/>
      <c r="V306" s="680"/>
      <c r="W306" s="680"/>
      <c r="X306" s="680"/>
      <c r="Y306" s="680"/>
      <c r="Z306" s="680"/>
      <c r="AA306" s="663"/>
      <c r="AB306" s="663"/>
      <c r="AC306" s="663"/>
    </row>
    <row r="307" spans="1:68" ht="27" customHeight="1" x14ac:dyDescent="0.25">
      <c r="A307" s="54" t="s">
        <v>494</v>
      </c>
      <c r="B307" s="54" t="s">
        <v>495</v>
      </c>
      <c r="C307" s="31">
        <v>4301051277</v>
      </c>
      <c r="D307" s="677">
        <v>4680115880511</v>
      </c>
      <c r="E307" s="678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686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5"/>
      <c r="R307" s="675"/>
      <c r="S307" s="675"/>
      <c r="T307" s="676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97"/>
      <c r="B308" s="680"/>
      <c r="C308" s="680"/>
      <c r="D308" s="680"/>
      <c r="E308" s="680"/>
      <c r="F308" s="680"/>
      <c r="G308" s="680"/>
      <c r="H308" s="680"/>
      <c r="I308" s="680"/>
      <c r="J308" s="680"/>
      <c r="K308" s="680"/>
      <c r="L308" s="680"/>
      <c r="M308" s="680"/>
      <c r="N308" s="680"/>
      <c r="O308" s="698"/>
      <c r="P308" s="699" t="s">
        <v>87</v>
      </c>
      <c r="Q308" s="700"/>
      <c r="R308" s="700"/>
      <c r="S308" s="700"/>
      <c r="T308" s="700"/>
      <c r="U308" s="700"/>
      <c r="V308" s="701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80"/>
      <c r="B309" s="680"/>
      <c r="C309" s="680"/>
      <c r="D309" s="680"/>
      <c r="E309" s="680"/>
      <c r="F309" s="680"/>
      <c r="G309" s="680"/>
      <c r="H309" s="680"/>
      <c r="I309" s="680"/>
      <c r="J309" s="680"/>
      <c r="K309" s="680"/>
      <c r="L309" s="680"/>
      <c r="M309" s="680"/>
      <c r="N309" s="680"/>
      <c r="O309" s="698"/>
      <c r="P309" s="699" t="s">
        <v>87</v>
      </c>
      <c r="Q309" s="700"/>
      <c r="R309" s="700"/>
      <c r="S309" s="700"/>
      <c r="T309" s="700"/>
      <c r="U309" s="700"/>
      <c r="V309" s="701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706" t="s">
        <v>497</v>
      </c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0"/>
      <c r="P310" s="680"/>
      <c r="Q310" s="680"/>
      <c r="R310" s="680"/>
      <c r="S310" s="680"/>
      <c r="T310" s="680"/>
      <c r="U310" s="680"/>
      <c r="V310" s="680"/>
      <c r="W310" s="680"/>
      <c r="X310" s="680"/>
      <c r="Y310" s="680"/>
      <c r="Z310" s="680"/>
      <c r="AA310" s="662"/>
      <c r="AB310" s="662"/>
      <c r="AC310" s="662"/>
    </row>
    <row r="311" spans="1:68" ht="14.25" customHeight="1" x14ac:dyDescent="0.25">
      <c r="A311" s="679" t="s">
        <v>97</v>
      </c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0"/>
      <c r="P311" s="680"/>
      <c r="Q311" s="680"/>
      <c r="R311" s="680"/>
      <c r="S311" s="680"/>
      <c r="T311" s="680"/>
      <c r="U311" s="680"/>
      <c r="V311" s="680"/>
      <c r="W311" s="680"/>
      <c r="X311" s="680"/>
      <c r="Y311" s="680"/>
      <c r="Z311" s="680"/>
      <c r="AA311" s="663"/>
      <c r="AB311" s="663"/>
      <c r="AC311" s="663"/>
    </row>
    <row r="312" spans="1:68" ht="27" customHeight="1" x14ac:dyDescent="0.25">
      <c r="A312" s="54" t="s">
        <v>498</v>
      </c>
      <c r="B312" s="54" t="s">
        <v>499</v>
      </c>
      <c r="C312" s="31">
        <v>4301011594</v>
      </c>
      <c r="D312" s="677">
        <v>4680115883413</v>
      </c>
      <c r="E312" s="678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95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5"/>
      <c r="R312" s="675"/>
      <c r="S312" s="675"/>
      <c r="T312" s="676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97"/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98"/>
      <c r="P313" s="699" t="s">
        <v>87</v>
      </c>
      <c r="Q313" s="700"/>
      <c r="R313" s="700"/>
      <c r="S313" s="700"/>
      <c r="T313" s="700"/>
      <c r="U313" s="700"/>
      <c r="V313" s="701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80"/>
      <c r="B314" s="680"/>
      <c r="C314" s="680"/>
      <c r="D314" s="680"/>
      <c r="E314" s="680"/>
      <c r="F314" s="680"/>
      <c r="G314" s="680"/>
      <c r="H314" s="680"/>
      <c r="I314" s="680"/>
      <c r="J314" s="680"/>
      <c r="K314" s="680"/>
      <c r="L314" s="680"/>
      <c r="M314" s="680"/>
      <c r="N314" s="680"/>
      <c r="O314" s="698"/>
      <c r="P314" s="699" t="s">
        <v>87</v>
      </c>
      <c r="Q314" s="700"/>
      <c r="R314" s="700"/>
      <c r="S314" s="700"/>
      <c r="T314" s="700"/>
      <c r="U314" s="700"/>
      <c r="V314" s="701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79" t="s">
        <v>144</v>
      </c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0"/>
      <c r="P315" s="680"/>
      <c r="Q315" s="680"/>
      <c r="R315" s="680"/>
      <c r="S315" s="680"/>
      <c r="T315" s="680"/>
      <c r="U315" s="680"/>
      <c r="V315" s="680"/>
      <c r="W315" s="680"/>
      <c r="X315" s="680"/>
      <c r="Y315" s="680"/>
      <c r="Z315" s="680"/>
      <c r="AA315" s="663"/>
      <c r="AB315" s="663"/>
      <c r="AC315" s="663"/>
    </row>
    <row r="316" spans="1:68" ht="27" customHeight="1" x14ac:dyDescent="0.25">
      <c r="A316" s="54" t="s">
        <v>500</v>
      </c>
      <c r="B316" s="54" t="s">
        <v>501</v>
      </c>
      <c r="C316" s="31">
        <v>4301031305</v>
      </c>
      <c r="D316" s="677">
        <v>4607091389845</v>
      </c>
      <c r="E316" s="678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103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5"/>
      <c r="R316" s="675"/>
      <c r="S316" s="675"/>
      <c r="T316" s="676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503</v>
      </c>
      <c r="B317" s="54" t="s">
        <v>504</v>
      </c>
      <c r="C317" s="31">
        <v>4301031306</v>
      </c>
      <c r="D317" s="677">
        <v>4680115882881</v>
      </c>
      <c r="E317" s="678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73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5"/>
      <c r="R317" s="675"/>
      <c r="S317" s="675"/>
      <c r="T317" s="676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97"/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98"/>
      <c r="P318" s="699" t="s">
        <v>87</v>
      </c>
      <c r="Q318" s="700"/>
      <c r="R318" s="700"/>
      <c r="S318" s="700"/>
      <c r="T318" s="700"/>
      <c r="U318" s="700"/>
      <c r="V318" s="701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x14ac:dyDescent="0.2">
      <c r="A319" s="680"/>
      <c r="B319" s="680"/>
      <c r="C319" s="680"/>
      <c r="D319" s="680"/>
      <c r="E319" s="680"/>
      <c r="F319" s="680"/>
      <c r="G319" s="680"/>
      <c r="H319" s="680"/>
      <c r="I319" s="680"/>
      <c r="J319" s="680"/>
      <c r="K319" s="680"/>
      <c r="L319" s="680"/>
      <c r="M319" s="680"/>
      <c r="N319" s="680"/>
      <c r="O319" s="698"/>
      <c r="P319" s="699" t="s">
        <v>87</v>
      </c>
      <c r="Q319" s="700"/>
      <c r="R319" s="700"/>
      <c r="S319" s="700"/>
      <c r="T319" s="700"/>
      <c r="U319" s="700"/>
      <c r="V319" s="701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customHeight="1" x14ac:dyDescent="0.25">
      <c r="A320" s="706" t="s">
        <v>505</v>
      </c>
      <c r="B320" s="680"/>
      <c r="C320" s="680"/>
      <c r="D320" s="680"/>
      <c r="E320" s="680"/>
      <c r="F320" s="680"/>
      <c r="G320" s="680"/>
      <c r="H320" s="680"/>
      <c r="I320" s="680"/>
      <c r="J320" s="680"/>
      <c r="K320" s="680"/>
      <c r="L320" s="680"/>
      <c r="M320" s="680"/>
      <c r="N320" s="680"/>
      <c r="O320" s="680"/>
      <c r="P320" s="680"/>
      <c r="Q320" s="680"/>
      <c r="R320" s="680"/>
      <c r="S320" s="680"/>
      <c r="T320" s="680"/>
      <c r="U320" s="680"/>
      <c r="V320" s="680"/>
      <c r="W320" s="680"/>
      <c r="X320" s="680"/>
      <c r="Y320" s="680"/>
      <c r="Z320" s="680"/>
      <c r="AA320" s="662"/>
      <c r="AB320" s="662"/>
      <c r="AC320" s="662"/>
    </row>
    <row r="321" spans="1:68" ht="14.25" customHeight="1" x14ac:dyDescent="0.25">
      <c r="A321" s="679" t="s">
        <v>97</v>
      </c>
      <c r="B321" s="680"/>
      <c r="C321" s="680"/>
      <c r="D321" s="680"/>
      <c r="E321" s="680"/>
      <c r="F321" s="680"/>
      <c r="G321" s="680"/>
      <c r="H321" s="680"/>
      <c r="I321" s="680"/>
      <c r="J321" s="680"/>
      <c r="K321" s="680"/>
      <c r="L321" s="680"/>
      <c r="M321" s="680"/>
      <c r="N321" s="680"/>
      <c r="O321" s="680"/>
      <c r="P321" s="680"/>
      <c r="Q321" s="680"/>
      <c r="R321" s="680"/>
      <c r="S321" s="680"/>
      <c r="T321" s="680"/>
      <c r="U321" s="680"/>
      <c r="V321" s="680"/>
      <c r="W321" s="680"/>
      <c r="X321" s="680"/>
      <c r="Y321" s="680"/>
      <c r="Z321" s="680"/>
      <c r="AA321" s="663"/>
      <c r="AB321" s="663"/>
      <c r="AC321" s="663"/>
    </row>
    <row r="322" spans="1:68" ht="27" customHeight="1" x14ac:dyDescent="0.25">
      <c r="A322" s="54" t="s">
        <v>506</v>
      </c>
      <c r="B322" s="54" t="s">
        <v>507</v>
      </c>
      <c r="C322" s="31">
        <v>4301011662</v>
      </c>
      <c r="D322" s="677">
        <v>4680115883703</v>
      </c>
      <c r="E322" s="678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85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5"/>
      <c r="R322" s="675"/>
      <c r="S322" s="675"/>
      <c r="T322" s="676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97"/>
      <c r="B323" s="680"/>
      <c r="C323" s="680"/>
      <c r="D323" s="680"/>
      <c r="E323" s="680"/>
      <c r="F323" s="680"/>
      <c r="G323" s="680"/>
      <c r="H323" s="680"/>
      <c r="I323" s="680"/>
      <c r="J323" s="680"/>
      <c r="K323" s="680"/>
      <c r="L323" s="680"/>
      <c r="M323" s="680"/>
      <c r="N323" s="680"/>
      <c r="O323" s="698"/>
      <c r="P323" s="699" t="s">
        <v>87</v>
      </c>
      <c r="Q323" s="700"/>
      <c r="R323" s="700"/>
      <c r="S323" s="700"/>
      <c r="T323" s="700"/>
      <c r="U323" s="700"/>
      <c r="V323" s="701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80"/>
      <c r="B324" s="680"/>
      <c r="C324" s="680"/>
      <c r="D324" s="680"/>
      <c r="E324" s="680"/>
      <c r="F324" s="680"/>
      <c r="G324" s="680"/>
      <c r="H324" s="680"/>
      <c r="I324" s="680"/>
      <c r="J324" s="680"/>
      <c r="K324" s="680"/>
      <c r="L324" s="680"/>
      <c r="M324" s="680"/>
      <c r="N324" s="680"/>
      <c r="O324" s="698"/>
      <c r="P324" s="699" t="s">
        <v>87</v>
      </c>
      <c r="Q324" s="700"/>
      <c r="R324" s="700"/>
      <c r="S324" s="700"/>
      <c r="T324" s="700"/>
      <c r="U324" s="700"/>
      <c r="V324" s="701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706" t="s">
        <v>510</v>
      </c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0"/>
      <c r="P325" s="680"/>
      <c r="Q325" s="680"/>
      <c r="R325" s="680"/>
      <c r="S325" s="680"/>
      <c r="T325" s="680"/>
      <c r="U325" s="680"/>
      <c r="V325" s="680"/>
      <c r="W325" s="680"/>
      <c r="X325" s="680"/>
      <c r="Y325" s="680"/>
      <c r="Z325" s="680"/>
      <c r="AA325" s="662"/>
      <c r="AB325" s="662"/>
      <c r="AC325" s="662"/>
    </row>
    <row r="326" spans="1:68" ht="14.25" customHeight="1" x14ac:dyDescent="0.25">
      <c r="A326" s="679" t="s">
        <v>97</v>
      </c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0"/>
      <c r="P326" s="680"/>
      <c r="Q326" s="680"/>
      <c r="R326" s="680"/>
      <c r="S326" s="680"/>
      <c r="T326" s="680"/>
      <c r="U326" s="680"/>
      <c r="V326" s="680"/>
      <c r="W326" s="680"/>
      <c r="X326" s="680"/>
      <c r="Y326" s="680"/>
      <c r="Z326" s="680"/>
      <c r="AA326" s="663"/>
      <c r="AB326" s="663"/>
      <c r="AC326" s="663"/>
    </row>
    <row r="327" spans="1:68" ht="27" customHeight="1" x14ac:dyDescent="0.25">
      <c r="A327" s="54" t="s">
        <v>511</v>
      </c>
      <c r="B327" s="54" t="s">
        <v>512</v>
      </c>
      <c r="C327" s="31">
        <v>4301012024</v>
      </c>
      <c r="D327" s="677">
        <v>4680115885615</v>
      </c>
      <c r="E327" s="678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85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5"/>
      <c r="R327" s="675"/>
      <c r="S327" s="675"/>
      <c r="T327" s="676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514</v>
      </c>
      <c r="B328" s="54" t="s">
        <v>515</v>
      </c>
      <c r="C328" s="31">
        <v>4301012016</v>
      </c>
      <c r="D328" s="677">
        <v>4680115885554</v>
      </c>
      <c r="E328" s="678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10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5"/>
      <c r="R328" s="675"/>
      <c r="S328" s="675"/>
      <c r="T328" s="676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514</v>
      </c>
      <c r="B329" s="54" t="s">
        <v>517</v>
      </c>
      <c r="C329" s="31">
        <v>4301011911</v>
      </c>
      <c r="D329" s="677">
        <v>4680115885554</v>
      </c>
      <c r="E329" s="678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1000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5"/>
      <c r="R329" s="675"/>
      <c r="S329" s="675"/>
      <c r="T329" s="676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519</v>
      </c>
      <c r="B330" s="54" t="s">
        <v>520</v>
      </c>
      <c r="C330" s="31">
        <v>4301011858</v>
      </c>
      <c r="D330" s="677">
        <v>4680115885646</v>
      </c>
      <c r="E330" s="678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86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5"/>
      <c r="R330" s="675"/>
      <c r="S330" s="675"/>
      <c r="T330" s="676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522</v>
      </c>
      <c r="B331" s="54" t="s">
        <v>523</v>
      </c>
      <c r="C331" s="31">
        <v>4301011857</v>
      </c>
      <c r="D331" s="677">
        <v>4680115885622</v>
      </c>
      <c r="E331" s="678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100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5"/>
      <c r="R331" s="675"/>
      <c r="S331" s="675"/>
      <c r="T331" s="676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525</v>
      </c>
      <c r="B332" s="54" t="s">
        <v>526</v>
      </c>
      <c r="C332" s="31">
        <v>4301011859</v>
      </c>
      <c r="D332" s="677">
        <v>4680115885608</v>
      </c>
      <c r="E332" s="678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5"/>
      <c r="R332" s="675"/>
      <c r="S332" s="675"/>
      <c r="T332" s="676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97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98"/>
      <c r="P333" s="699" t="s">
        <v>87</v>
      </c>
      <c r="Q333" s="700"/>
      <c r="R333" s="700"/>
      <c r="S333" s="700"/>
      <c r="T333" s="700"/>
      <c r="U333" s="700"/>
      <c r="V333" s="701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x14ac:dyDescent="0.2">
      <c r="A334" s="680"/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98"/>
      <c r="P334" s="699" t="s">
        <v>87</v>
      </c>
      <c r="Q334" s="700"/>
      <c r="R334" s="700"/>
      <c r="S334" s="700"/>
      <c r="T334" s="700"/>
      <c r="U334" s="700"/>
      <c r="V334" s="701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customHeight="1" x14ac:dyDescent="0.25">
      <c r="A335" s="679" t="s">
        <v>144</v>
      </c>
      <c r="B335" s="680"/>
      <c r="C335" s="680"/>
      <c r="D335" s="680"/>
      <c r="E335" s="680"/>
      <c r="F335" s="680"/>
      <c r="G335" s="680"/>
      <c r="H335" s="680"/>
      <c r="I335" s="680"/>
      <c r="J335" s="680"/>
      <c r="K335" s="680"/>
      <c r="L335" s="680"/>
      <c r="M335" s="680"/>
      <c r="N335" s="680"/>
      <c r="O335" s="680"/>
      <c r="P335" s="680"/>
      <c r="Q335" s="680"/>
      <c r="R335" s="680"/>
      <c r="S335" s="680"/>
      <c r="T335" s="680"/>
      <c r="U335" s="680"/>
      <c r="V335" s="680"/>
      <c r="W335" s="680"/>
      <c r="X335" s="680"/>
      <c r="Y335" s="680"/>
      <c r="Z335" s="680"/>
      <c r="AA335" s="663"/>
      <c r="AB335" s="663"/>
      <c r="AC335" s="663"/>
    </row>
    <row r="336" spans="1:68" ht="27" customHeight="1" x14ac:dyDescent="0.25">
      <c r="A336" s="54" t="s">
        <v>527</v>
      </c>
      <c r="B336" s="54" t="s">
        <v>528</v>
      </c>
      <c r="C336" s="31">
        <v>4301030878</v>
      </c>
      <c r="D336" s="677">
        <v>4607091387193</v>
      </c>
      <c r="E336" s="678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7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5"/>
      <c r="R336" s="675"/>
      <c r="S336" s="675"/>
      <c r="T336" s="676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530</v>
      </c>
      <c r="B337" s="54" t="s">
        <v>531</v>
      </c>
      <c r="C337" s="31">
        <v>4301031153</v>
      </c>
      <c r="D337" s="677">
        <v>4607091387230</v>
      </c>
      <c r="E337" s="678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98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5"/>
      <c r="R337" s="675"/>
      <c r="S337" s="675"/>
      <c r="T337" s="676"/>
      <c r="U337" s="34"/>
      <c r="V337" s="34"/>
      <c r="W337" s="35" t="s">
        <v>68</v>
      </c>
      <c r="X337" s="667">
        <v>70</v>
      </c>
      <c r="Y337" s="668">
        <f>IFERROR(IF(X337="",0,CEILING((X337/$H337),1)*$H337),"")</f>
        <v>71.400000000000006</v>
      </c>
      <c r="Z337" s="36">
        <f>IFERROR(IF(Y337=0,"",ROUNDUP(Y337/H337,0)*0.00902),"")</f>
        <v>0.15334</v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74.499999999999986</v>
      </c>
      <c r="BN337" s="64">
        <f>IFERROR(Y337*I337/H337,"0")</f>
        <v>75.989999999999995</v>
      </c>
      <c r="BO337" s="64">
        <f>IFERROR(1/J337*(X337/H337),"0")</f>
        <v>0.12626262626262624</v>
      </c>
      <c r="BP337" s="64">
        <f>IFERROR(1/J337*(Y337/H337),"0")</f>
        <v>0.12878787878787878</v>
      </c>
    </row>
    <row r="338" spans="1:68" ht="27" customHeight="1" x14ac:dyDescent="0.25">
      <c r="A338" s="54" t="s">
        <v>533</v>
      </c>
      <c r="B338" s="54" t="s">
        <v>534</v>
      </c>
      <c r="C338" s="31">
        <v>4301031154</v>
      </c>
      <c r="D338" s="677">
        <v>4607091387292</v>
      </c>
      <c r="E338" s="678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67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5"/>
      <c r="R338" s="675"/>
      <c r="S338" s="675"/>
      <c r="T338" s="676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536</v>
      </c>
      <c r="B339" s="54" t="s">
        <v>537</v>
      </c>
      <c r="C339" s="31">
        <v>4301031152</v>
      </c>
      <c r="D339" s="677">
        <v>4607091387285</v>
      </c>
      <c r="E339" s="678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99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5"/>
      <c r="R339" s="675"/>
      <c r="S339" s="675"/>
      <c r="T339" s="676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97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98"/>
      <c r="P340" s="699" t="s">
        <v>87</v>
      </c>
      <c r="Q340" s="700"/>
      <c r="R340" s="700"/>
      <c r="S340" s="700"/>
      <c r="T340" s="700"/>
      <c r="U340" s="700"/>
      <c r="V340" s="701"/>
      <c r="W340" s="37" t="s">
        <v>88</v>
      </c>
      <c r="X340" s="669">
        <f>IFERROR(X336/H336,"0")+IFERROR(X337/H337,"0")+IFERROR(X338/H338,"0")+IFERROR(X339/H339,"0")</f>
        <v>16.666666666666664</v>
      </c>
      <c r="Y340" s="669">
        <f>IFERROR(Y336/H336,"0")+IFERROR(Y337/H337,"0")+IFERROR(Y338/H338,"0")+IFERROR(Y339/H339,"0")</f>
        <v>17</v>
      </c>
      <c r="Z340" s="669">
        <f>IFERROR(IF(Z336="",0,Z336),"0")+IFERROR(IF(Z337="",0,Z337),"0")+IFERROR(IF(Z338="",0,Z338),"0")+IFERROR(IF(Z339="",0,Z339),"0")</f>
        <v>0.15334</v>
      </c>
      <c r="AA340" s="670"/>
      <c r="AB340" s="670"/>
      <c r="AC340" s="670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98"/>
      <c r="P341" s="699" t="s">
        <v>87</v>
      </c>
      <c r="Q341" s="700"/>
      <c r="R341" s="700"/>
      <c r="S341" s="700"/>
      <c r="T341" s="700"/>
      <c r="U341" s="700"/>
      <c r="V341" s="701"/>
      <c r="W341" s="37" t="s">
        <v>68</v>
      </c>
      <c r="X341" s="669">
        <f>IFERROR(SUM(X336:X339),"0")</f>
        <v>70</v>
      </c>
      <c r="Y341" s="669">
        <f>IFERROR(SUM(Y336:Y339),"0")</f>
        <v>71.400000000000006</v>
      </c>
      <c r="Z341" s="37"/>
      <c r="AA341" s="670"/>
      <c r="AB341" s="670"/>
      <c r="AC341" s="670"/>
    </row>
    <row r="342" spans="1:68" ht="14.25" customHeight="1" x14ac:dyDescent="0.25">
      <c r="A342" s="679" t="s">
        <v>63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3"/>
      <c r="AB342" s="663"/>
      <c r="AC342" s="663"/>
    </row>
    <row r="343" spans="1:68" ht="27" customHeight="1" x14ac:dyDescent="0.25">
      <c r="A343" s="54" t="s">
        <v>538</v>
      </c>
      <c r="B343" s="54" t="s">
        <v>539</v>
      </c>
      <c r="C343" s="31">
        <v>4301051100</v>
      </c>
      <c r="D343" s="677">
        <v>4607091387766</v>
      </c>
      <c r="E343" s="678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8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5"/>
      <c r="R343" s="675"/>
      <c r="S343" s="675"/>
      <c r="T343" s="676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541</v>
      </c>
      <c r="B344" s="54" t="s">
        <v>542</v>
      </c>
      <c r="C344" s="31">
        <v>4301051818</v>
      </c>
      <c r="D344" s="677">
        <v>4607091387957</v>
      </c>
      <c r="E344" s="678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5"/>
      <c r="R344" s="675"/>
      <c r="S344" s="675"/>
      <c r="T344" s="676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544</v>
      </c>
      <c r="B345" s="54" t="s">
        <v>545</v>
      </c>
      <c r="C345" s="31">
        <v>4301051819</v>
      </c>
      <c r="D345" s="677">
        <v>4607091387964</v>
      </c>
      <c r="E345" s="678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82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5"/>
      <c r="R345" s="675"/>
      <c r="S345" s="675"/>
      <c r="T345" s="676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4301051734</v>
      </c>
      <c r="D346" s="677">
        <v>4680115884588</v>
      </c>
      <c r="E346" s="678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79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5"/>
      <c r="R346" s="675"/>
      <c r="S346" s="675"/>
      <c r="T346" s="676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550</v>
      </c>
      <c r="B347" s="54" t="s">
        <v>551</v>
      </c>
      <c r="C347" s="31">
        <v>4301051578</v>
      </c>
      <c r="D347" s="677">
        <v>4607091387513</v>
      </c>
      <c r="E347" s="678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76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5"/>
      <c r="R347" s="675"/>
      <c r="S347" s="675"/>
      <c r="T347" s="676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97"/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98"/>
      <c r="P348" s="699" t="s">
        <v>87</v>
      </c>
      <c r="Q348" s="700"/>
      <c r="R348" s="700"/>
      <c r="S348" s="700"/>
      <c r="T348" s="700"/>
      <c r="U348" s="700"/>
      <c r="V348" s="701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x14ac:dyDescent="0.2">
      <c r="A349" s="680"/>
      <c r="B349" s="680"/>
      <c r="C349" s="680"/>
      <c r="D349" s="680"/>
      <c r="E349" s="680"/>
      <c r="F349" s="680"/>
      <c r="G349" s="680"/>
      <c r="H349" s="680"/>
      <c r="I349" s="680"/>
      <c r="J349" s="680"/>
      <c r="K349" s="680"/>
      <c r="L349" s="680"/>
      <c r="M349" s="680"/>
      <c r="N349" s="680"/>
      <c r="O349" s="698"/>
      <c r="P349" s="699" t="s">
        <v>87</v>
      </c>
      <c r="Q349" s="700"/>
      <c r="R349" s="700"/>
      <c r="S349" s="700"/>
      <c r="T349" s="700"/>
      <c r="U349" s="700"/>
      <c r="V349" s="701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customHeight="1" x14ac:dyDescent="0.25">
      <c r="A350" s="679" t="s">
        <v>170</v>
      </c>
      <c r="B350" s="680"/>
      <c r="C350" s="680"/>
      <c r="D350" s="680"/>
      <c r="E350" s="680"/>
      <c r="F350" s="680"/>
      <c r="G350" s="680"/>
      <c r="H350" s="680"/>
      <c r="I350" s="680"/>
      <c r="J350" s="680"/>
      <c r="K350" s="680"/>
      <c r="L350" s="680"/>
      <c r="M350" s="680"/>
      <c r="N350" s="680"/>
      <c r="O350" s="680"/>
      <c r="P350" s="680"/>
      <c r="Q350" s="680"/>
      <c r="R350" s="680"/>
      <c r="S350" s="680"/>
      <c r="T350" s="680"/>
      <c r="U350" s="680"/>
      <c r="V350" s="680"/>
      <c r="W350" s="680"/>
      <c r="X350" s="680"/>
      <c r="Y350" s="680"/>
      <c r="Z350" s="680"/>
      <c r="AA350" s="663"/>
      <c r="AB350" s="663"/>
      <c r="AC350" s="663"/>
    </row>
    <row r="351" spans="1:68" ht="27" customHeight="1" x14ac:dyDescent="0.25">
      <c r="A351" s="54" t="s">
        <v>553</v>
      </c>
      <c r="B351" s="54" t="s">
        <v>554</v>
      </c>
      <c r="C351" s="31">
        <v>4301060387</v>
      </c>
      <c r="D351" s="677">
        <v>4607091380880</v>
      </c>
      <c r="E351" s="678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9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5"/>
      <c r="R351" s="675"/>
      <c r="S351" s="675"/>
      <c r="T351" s="676"/>
      <c r="U351" s="34"/>
      <c r="V351" s="34"/>
      <c r="W351" s="35" t="s">
        <v>68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556</v>
      </c>
      <c r="B352" s="54" t="s">
        <v>557</v>
      </c>
      <c r="C352" s="31">
        <v>4301060406</v>
      </c>
      <c r="D352" s="677">
        <v>4607091384482</v>
      </c>
      <c r="E352" s="678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95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5"/>
      <c r="R352" s="675"/>
      <c r="S352" s="675"/>
      <c r="T352" s="676"/>
      <c r="U352" s="34"/>
      <c r="V352" s="34"/>
      <c r="W352" s="35" t="s">
        <v>68</v>
      </c>
      <c r="X352" s="667">
        <v>400</v>
      </c>
      <c r="Y352" s="668">
        <f>IFERROR(IF(X352="",0,CEILING((X352/$H352),1)*$H352),"")</f>
        <v>405.59999999999997</v>
      </c>
      <c r="Z352" s="36">
        <f>IFERROR(IF(Y352=0,"",ROUNDUP(Y352/H352,0)*0.01898),"")</f>
        <v>0.98696000000000006</v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426.6153846153847</v>
      </c>
      <c r="BN352" s="64">
        <f>IFERROR(Y352*I352/H352,"0")</f>
        <v>432.58800000000002</v>
      </c>
      <c r="BO352" s="64">
        <f>IFERROR(1/J352*(X352/H352),"0")</f>
        <v>0.80128205128205132</v>
      </c>
      <c r="BP352" s="64">
        <f>IFERROR(1/J352*(Y352/H352),"0")</f>
        <v>0.8125</v>
      </c>
    </row>
    <row r="353" spans="1:68" ht="16.5" customHeight="1" x14ac:dyDescent="0.25">
      <c r="A353" s="54" t="s">
        <v>559</v>
      </c>
      <c r="B353" s="54" t="s">
        <v>560</v>
      </c>
      <c r="C353" s="31">
        <v>4301060484</v>
      </c>
      <c r="D353" s="677">
        <v>4607091380897</v>
      </c>
      <c r="E353" s="678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9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5"/>
      <c r="R353" s="675"/>
      <c r="S353" s="675"/>
      <c r="T353" s="676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97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98"/>
      <c r="P354" s="699" t="s">
        <v>87</v>
      </c>
      <c r="Q354" s="700"/>
      <c r="R354" s="700"/>
      <c r="S354" s="700"/>
      <c r="T354" s="700"/>
      <c r="U354" s="700"/>
      <c r="V354" s="701"/>
      <c r="W354" s="37" t="s">
        <v>88</v>
      </c>
      <c r="X354" s="669">
        <f>IFERROR(X351/H351,"0")+IFERROR(X352/H352,"0")+IFERROR(X353/H353,"0")</f>
        <v>51.282051282051285</v>
      </c>
      <c r="Y354" s="669">
        <f>IFERROR(Y351/H351,"0")+IFERROR(Y352/H352,"0")+IFERROR(Y353/H353,"0")</f>
        <v>52</v>
      </c>
      <c r="Z354" s="669">
        <f>IFERROR(IF(Z351="",0,Z351),"0")+IFERROR(IF(Z352="",0,Z352),"0")+IFERROR(IF(Z353="",0,Z353),"0")</f>
        <v>0.98696000000000006</v>
      </c>
      <c r="AA354" s="670"/>
      <c r="AB354" s="670"/>
      <c r="AC354" s="670"/>
    </row>
    <row r="355" spans="1:68" x14ac:dyDescent="0.2">
      <c r="A355" s="680"/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98"/>
      <c r="P355" s="699" t="s">
        <v>87</v>
      </c>
      <c r="Q355" s="700"/>
      <c r="R355" s="700"/>
      <c r="S355" s="700"/>
      <c r="T355" s="700"/>
      <c r="U355" s="700"/>
      <c r="V355" s="701"/>
      <c r="W355" s="37" t="s">
        <v>68</v>
      </c>
      <c r="X355" s="669">
        <f>IFERROR(SUM(X351:X353),"0")</f>
        <v>400</v>
      </c>
      <c r="Y355" s="669">
        <f>IFERROR(SUM(Y351:Y353),"0")</f>
        <v>405.59999999999997</v>
      </c>
      <c r="Z355" s="37"/>
      <c r="AA355" s="670"/>
      <c r="AB355" s="670"/>
      <c r="AC355" s="670"/>
    </row>
    <row r="356" spans="1:68" ht="14.25" customHeight="1" x14ac:dyDescent="0.25">
      <c r="A356" s="679" t="s">
        <v>89</v>
      </c>
      <c r="B356" s="680"/>
      <c r="C356" s="680"/>
      <c r="D356" s="680"/>
      <c r="E356" s="680"/>
      <c r="F356" s="680"/>
      <c r="G356" s="680"/>
      <c r="H356" s="680"/>
      <c r="I356" s="680"/>
      <c r="J356" s="680"/>
      <c r="K356" s="680"/>
      <c r="L356" s="680"/>
      <c r="M356" s="680"/>
      <c r="N356" s="680"/>
      <c r="O356" s="680"/>
      <c r="P356" s="680"/>
      <c r="Q356" s="680"/>
      <c r="R356" s="680"/>
      <c r="S356" s="680"/>
      <c r="T356" s="680"/>
      <c r="U356" s="680"/>
      <c r="V356" s="680"/>
      <c r="W356" s="680"/>
      <c r="X356" s="680"/>
      <c r="Y356" s="680"/>
      <c r="Z356" s="680"/>
      <c r="AA356" s="663"/>
      <c r="AB356" s="663"/>
      <c r="AC356" s="663"/>
    </row>
    <row r="357" spans="1:68" ht="27" customHeight="1" x14ac:dyDescent="0.25">
      <c r="A357" s="54" t="s">
        <v>562</v>
      </c>
      <c r="B357" s="54" t="s">
        <v>563</v>
      </c>
      <c r="C357" s="31">
        <v>4301032055</v>
      </c>
      <c r="D357" s="677">
        <v>4680115886476</v>
      </c>
      <c r="E357" s="678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741" t="s">
        <v>564</v>
      </c>
      <c r="Q357" s="675"/>
      <c r="R357" s="675"/>
      <c r="S357" s="675"/>
      <c r="T357" s="676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566</v>
      </c>
      <c r="B358" s="54" t="s">
        <v>567</v>
      </c>
      <c r="C358" s="31">
        <v>4301030232</v>
      </c>
      <c r="D358" s="677">
        <v>4607091388374</v>
      </c>
      <c r="E358" s="678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937" t="s">
        <v>568</v>
      </c>
      <c r="Q358" s="675"/>
      <c r="R358" s="675"/>
      <c r="S358" s="675"/>
      <c r="T358" s="676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570</v>
      </c>
      <c r="B359" s="54" t="s">
        <v>571</v>
      </c>
      <c r="C359" s="31">
        <v>4301032015</v>
      </c>
      <c r="D359" s="677">
        <v>4607091383102</v>
      </c>
      <c r="E359" s="678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79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5"/>
      <c r="R359" s="675"/>
      <c r="S359" s="675"/>
      <c r="T359" s="676"/>
      <c r="U359" s="34"/>
      <c r="V359" s="34"/>
      <c r="W359" s="35" t="s">
        <v>68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573</v>
      </c>
      <c r="B360" s="54" t="s">
        <v>574</v>
      </c>
      <c r="C360" s="31">
        <v>4301030233</v>
      </c>
      <c r="D360" s="677">
        <v>4607091388404</v>
      </c>
      <c r="E360" s="678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70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5"/>
      <c r="R360" s="675"/>
      <c r="S360" s="675"/>
      <c r="T360" s="676"/>
      <c r="U360" s="34"/>
      <c r="V360" s="34"/>
      <c r="W360" s="35" t="s">
        <v>68</v>
      </c>
      <c r="X360" s="667">
        <v>100</v>
      </c>
      <c r="Y360" s="668">
        <f>IFERROR(IF(X360="",0,CEILING((X360/$H360),1)*$H360),"")</f>
        <v>102</v>
      </c>
      <c r="Z360" s="36">
        <f>IFERROR(IF(Y360=0,"",ROUNDUP(Y360/H360,0)*0.00651),"")</f>
        <v>0.26040000000000002</v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112.94117647058825</v>
      </c>
      <c r="BN360" s="64">
        <f>IFERROR(Y360*I360/H360,"0")</f>
        <v>115.2</v>
      </c>
      <c r="BO360" s="64">
        <f>IFERROR(1/J360*(X360/H360),"0")</f>
        <v>0.21547080370609786</v>
      </c>
      <c r="BP360" s="64">
        <f>IFERROR(1/J360*(Y360/H360),"0")</f>
        <v>0.2197802197802198</v>
      </c>
    </row>
    <row r="361" spans="1:68" x14ac:dyDescent="0.2">
      <c r="A361" s="697"/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98"/>
      <c r="P361" s="699" t="s">
        <v>87</v>
      </c>
      <c r="Q361" s="700"/>
      <c r="R361" s="700"/>
      <c r="S361" s="700"/>
      <c r="T361" s="700"/>
      <c r="U361" s="700"/>
      <c r="V361" s="701"/>
      <c r="W361" s="37" t="s">
        <v>88</v>
      </c>
      <c r="X361" s="669">
        <f>IFERROR(X357/H357,"0")+IFERROR(X358/H358,"0")+IFERROR(X359/H359,"0")+IFERROR(X360/H360,"0")</f>
        <v>39.215686274509807</v>
      </c>
      <c r="Y361" s="669">
        <f>IFERROR(Y357/H357,"0")+IFERROR(Y358/H358,"0")+IFERROR(Y359/H359,"0")+IFERROR(Y360/H360,"0")</f>
        <v>40</v>
      </c>
      <c r="Z361" s="669">
        <f>IFERROR(IF(Z357="",0,Z357),"0")+IFERROR(IF(Z358="",0,Z358),"0")+IFERROR(IF(Z359="",0,Z359),"0")+IFERROR(IF(Z360="",0,Z360),"0")</f>
        <v>0.26040000000000002</v>
      </c>
      <c r="AA361" s="670"/>
      <c r="AB361" s="670"/>
      <c r="AC361" s="670"/>
    </row>
    <row r="362" spans="1:68" x14ac:dyDescent="0.2">
      <c r="A362" s="680"/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98"/>
      <c r="P362" s="699" t="s">
        <v>87</v>
      </c>
      <c r="Q362" s="700"/>
      <c r="R362" s="700"/>
      <c r="S362" s="700"/>
      <c r="T362" s="700"/>
      <c r="U362" s="700"/>
      <c r="V362" s="701"/>
      <c r="W362" s="37" t="s">
        <v>68</v>
      </c>
      <c r="X362" s="669">
        <f>IFERROR(SUM(X357:X360),"0")</f>
        <v>100</v>
      </c>
      <c r="Y362" s="669">
        <f>IFERROR(SUM(Y357:Y360),"0")</f>
        <v>102</v>
      </c>
      <c r="Z362" s="37"/>
      <c r="AA362" s="670"/>
      <c r="AB362" s="670"/>
      <c r="AC362" s="670"/>
    </row>
    <row r="363" spans="1:68" ht="14.25" customHeight="1" x14ac:dyDescent="0.25">
      <c r="A363" s="679" t="s">
        <v>575</v>
      </c>
      <c r="B363" s="680"/>
      <c r="C363" s="680"/>
      <c r="D363" s="680"/>
      <c r="E363" s="680"/>
      <c r="F363" s="680"/>
      <c r="G363" s="680"/>
      <c r="H363" s="680"/>
      <c r="I363" s="680"/>
      <c r="J363" s="680"/>
      <c r="K363" s="680"/>
      <c r="L363" s="680"/>
      <c r="M363" s="680"/>
      <c r="N363" s="680"/>
      <c r="O363" s="680"/>
      <c r="P363" s="680"/>
      <c r="Q363" s="680"/>
      <c r="R363" s="680"/>
      <c r="S363" s="680"/>
      <c r="T363" s="680"/>
      <c r="U363" s="680"/>
      <c r="V363" s="680"/>
      <c r="W363" s="680"/>
      <c r="X363" s="680"/>
      <c r="Y363" s="680"/>
      <c r="Z363" s="680"/>
      <c r="AA363" s="663"/>
      <c r="AB363" s="663"/>
      <c r="AC363" s="663"/>
    </row>
    <row r="364" spans="1:68" ht="16.5" customHeight="1" x14ac:dyDescent="0.25">
      <c r="A364" s="54" t="s">
        <v>576</v>
      </c>
      <c r="B364" s="54" t="s">
        <v>577</v>
      </c>
      <c r="C364" s="31">
        <v>4301180007</v>
      </c>
      <c r="D364" s="677">
        <v>4680115881808</v>
      </c>
      <c r="E364" s="678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7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5"/>
      <c r="R364" s="675"/>
      <c r="S364" s="675"/>
      <c r="T364" s="676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580</v>
      </c>
      <c r="B365" s="54" t="s">
        <v>581</v>
      </c>
      <c r="C365" s="31">
        <v>4301180006</v>
      </c>
      <c r="D365" s="677">
        <v>4680115881822</v>
      </c>
      <c r="E365" s="678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9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5"/>
      <c r="R365" s="675"/>
      <c r="S365" s="675"/>
      <c r="T365" s="676"/>
      <c r="U365" s="34"/>
      <c r="V365" s="34"/>
      <c r="W365" s="35" t="s">
        <v>68</v>
      </c>
      <c r="X365" s="667">
        <v>20</v>
      </c>
      <c r="Y365" s="668">
        <f>IFERROR(IF(X365="",0,CEILING((X365/$H365),1)*$H365),"")</f>
        <v>20</v>
      </c>
      <c r="Z365" s="36">
        <f>IFERROR(IF(Y365=0,"",ROUNDUP(Y365/H365,0)*0.00474),"")</f>
        <v>4.7400000000000005E-2</v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22.400000000000002</v>
      </c>
      <c r="BN365" s="64">
        <f>IFERROR(Y365*I365/H365,"0")</f>
        <v>22.400000000000002</v>
      </c>
      <c r="BO365" s="64">
        <f>IFERROR(1/J365*(X365/H365),"0")</f>
        <v>4.2016806722689072E-2</v>
      </c>
      <c r="BP365" s="64">
        <f>IFERROR(1/J365*(Y365/H365),"0")</f>
        <v>4.2016806722689072E-2</v>
      </c>
    </row>
    <row r="366" spans="1:68" ht="27" customHeight="1" x14ac:dyDescent="0.25">
      <c r="A366" s="54" t="s">
        <v>582</v>
      </c>
      <c r="B366" s="54" t="s">
        <v>583</v>
      </c>
      <c r="C366" s="31">
        <v>4301180001</v>
      </c>
      <c r="D366" s="677">
        <v>4680115880016</v>
      </c>
      <c r="E366" s="678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10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5"/>
      <c r="R366" s="675"/>
      <c r="S366" s="675"/>
      <c r="T366" s="676"/>
      <c r="U366" s="34"/>
      <c r="V366" s="34"/>
      <c r="W366" s="35" t="s">
        <v>68</v>
      </c>
      <c r="X366" s="667">
        <v>20</v>
      </c>
      <c r="Y366" s="668">
        <f>IFERROR(IF(X366="",0,CEILING((X366/$H366),1)*$H366),"")</f>
        <v>20</v>
      </c>
      <c r="Z366" s="36">
        <f>IFERROR(IF(Y366=0,"",ROUNDUP(Y366/H366,0)*0.00474),"")</f>
        <v>4.7400000000000005E-2</v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22.400000000000002</v>
      </c>
      <c r="BN366" s="64">
        <f>IFERROR(Y366*I366/H366,"0")</f>
        <v>22.400000000000002</v>
      </c>
      <c r="BO366" s="64">
        <f>IFERROR(1/J366*(X366/H366),"0")</f>
        <v>4.2016806722689072E-2</v>
      </c>
      <c r="BP366" s="64">
        <f>IFERROR(1/J366*(Y366/H366),"0")</f>
        <v>4.2016806722689072E-2</v>
      </c>
    </row>
    <row r="367" spans="1:68" x14ac:dyDescent="0.2">
      <c r="A367" s="697"/>
      <c r="B367" s="680"/>
      <c r="C367" s="680"/>
      <c r="D367" s="680"/>
      <c r="E367" s="680"/>
      <c r="F367" s="680"/>
      <c r="G367" s="680"/>
      <c r="H367" s="680"/>
      <c r="I367" s="680"/>
      <c r="J367" s="680"/>
      <c r="K367" s="680"/>
      <c r="L367" s="680"/>
      <c r="M367" s="680"/>
      <c r="N367" s="680"/>
      <c r="O367" s="698"/>
      <c r="P367" s="699" t="s">
        <v>87</v>
      </c>
      <c r="Q367" s="700"/>
      <c r="R367" s="700"/>
      <c r="S367" s="700"/>
      <c r="T367" s="700"/>
      <c r="U367" s="700"/>
      <c r="V367" s="701"/>
      <c r="W367" s="37" t="s">
        <v>88</v>
      </c>
      <c r="X367" s="669">
        <f>IFERROR(X364/H364,"0")+IFERROR(X365/H365,"0")+IFERROR(X366/H366,"0")</f>
        <v>20</v>
      </c>
      <c r="Y367" s="669">
        <f>IFERROR(Y364/H364,"0")+IFERROR(Y365/H365,"0")+IFERROR(Y366/H366,"0")</f>
        <v>20</v>
      </c>
      <c r="Z367" s="669">
        <f>IFERROR(IF(Z364="",0,Z364),"0")+IFERROR(IF(Z365="",0,Z365),"0")+IFERROR(IF(Z366="",0,Z366),"0")</f>
        <v>9.4800000000000009E-2</v>
      </c>
      <c r="AA367" s="670"/>
      <c r="AB367" s="670"/>
      <c r="AC367" s="670"/>
    </row>
    <row r="368" spans="1:68" x14ac:dyDescent="0.2">
      <c r="A368" s="680"/>
      <c r="B368" s="680"/>
      <c r="C368" s="680"/>
      <c r="D368" s="680"/>
      <c r="E368" s="680"/>
      <c r="F368" s="680"/>
      <c r="G368" s="680"/>
      <c r="H368" s="680"/>
      <c r="I368" s="680"/>
      <c r="J368" s="680"/>
      <c r="K368" s="680"/>
      <c r="L368" s="680"/>
      <c r="M368" s="680"/>
      <c r="N368" s="680"/>
      <c r="O368" s="698"/>
      <c r="P368" s="699" t="s">
        <v>87</v>
      </c>
      <c r="Q368" s="700"/>
      <c r="R368" s="700"/>
      <c r="S368" s="700"/>
      <c r="T368" s="700"/>
      <c r="U368" s="700"/>
      <c r="V368" s="701"/>
      <c r="W368" s="37" t="s">
        <v>68</v>
      </c>
      <c r="X368" s="669">
        <f>IFERROR(SUM(X364:X366),"0")</f>
        <v>40</v>
      </c>
      <c r="Y368" s="669">
        <f>IFERROR(SUM(Y364:Y366),"0")</f>
        <v>40</v>
      </c>
      <c r="Z368" s="37"/>
      <c r="AA368" s="670"/>
      <c r="AB368" s="670"/>
      <c r="AC368" s="670"/>
    </row>
    <row r="369" spans="1:68" ht="16.5" customHeight="1" x14ac:dyDescent="0.25">
      <c r="A369" s="706" t="s">
        <v>584</v>
      </c>
      <c r="B369" s="680"/>
      <c r="C369" s="680"/>
      <c r="D369" s="680"/>
      <c r="E369" s="680"/>
      <c r="F369" s="680"/>
      <c r="G369" s="680"/>
      <c r="H369" s="680"/>
      <c r="I369" s="680"/>
      <c r="J369" s="680"/>
      <c r="K369" s="680"/>
      <c r="L369" s="680"/>
      <c r="M369" s="680"/>
      <c r="N369" s="680"/>
      <c r="O369" s="680"/>
      <c r="P369" s="680"/>
      <c r="Q369" s="680"/>
      <c r="R369" s="680"/>
      <c r="S369" s="680"/>
      <c r="T369" s="680"/>
      <c r="U369" s="680"/>
      <c r="V369" s="680"/>
      <c r="W369" s="680"/>
      <c r="X369" s="680"/>
      <c r="Y369" s="680"/>
      <c r="Z369" s="680"/>
      <c r="AA369" s="662"/>
      <c r="AB369" s="662"/>
      <c r="AC369" s="662"/>
    </row>
    <row r="370" spans="1:68" ht="14.25" customHeight="1" x14ac:dyDescent="0.25">
      <c r="A370" s="679" t="s">
        <v>144</v>
      </c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0"/>
      <c r="P370" s="680"/>
      <c r="Q370" s="680"/>
      <c r="R370" s="680"/>
      <c r="S370" s="680"/>
      <c r="T370" s="680"/>
      <c r="U370" s="680"/>
      <c r="V370" s="680"/>
      <c r="W370" s="680"/>
      <c r="X370" s="680"/>
      <c r="Y370" s="680"/>
      <c r="Z370" s="680"/>
      <c r="AA370" s="663"/>
      <c r="AB370" s="663"/>
      <c r="AC370" s="663"/>
    </row>
    <row r="371" spans="1:68" ht="27" customHeight="1" x14ac:dyDescent="0.25">
      <c r="A371" s="54" t="s">
        <v>585</v>
      </c>
      <c r="B371" s="54" t="s">
        <v>586</v>
      </c>
      <c r="C371" s="31">
        <v>4301031066</v>
      </c>
      <c r="D371" s="677">
        <v>4607091383836</v>
      </c>
      <c r="E371" s="678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935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5"/>
      <c r="R371" s="675"/>
      <c r="S371" s="675"/>
      <c r="T371" s="676"/>
      <c r="U371" s="34"/>
      <c r="V371" s="34"/>
      <c r="W371" s="35" t="s">
        <v>68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697"/>
      <c r="B372" s="680"/>
      <c r="C372" s="680"/>
      <c r="D372" s="680"/>
      <c r="E372" s="680"/>
      <c r="F372" s="680"/>
      <c r="G372" s="680"/>
      <c r="H372" s="680"/>
      <c r="I372" s="680"/>
      <c r="J372" s="680"/>
      <c r="K372" s="680"/>
      <c r="L372" s="680"/>
      <c r="M372" s="680"/>
      <c r="N372" s="680"/>
      <c r="O372" s="698"/>
      <c r="P372" s="699" t="s">
        <v>87</v>
      </c>
      <c r="Q372" s="700"/>
      <c r="R372" s="700"/>
      <c r="S372" s="700"/>
      <c r="T372" s="700"/>
      <c r="U372" s="700"/>
      <c r="V372" s="701"/>
      <c r="W372" s="37" t="s">
        <v>88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x14ac:dyDescent="0.2">
      <c r="A373" s="680"/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98"/>
      <c r="P373" s="699" t="s">
        <v>87</v>
      </c>
      <c r="Q373" s="700"/>
      <c r="R373" s="700"/>
      <c r="S373" s="700"/>
      <c r="T373" s="700"/>
      <c r="U373" s="700"/>
      <c r="V373" s="701"/>
      <c r="W373" s="37" t="s">
        <v>68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customHeight="1" x14ac:dyDescent="0.25">
      <c r="A374" s="679" t="s">
        <v>63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3"/>
      <c r="AB374" s="663"/>
      <c r="AC374" s="663"/>
    </row>
    <row r="375" spans="1:68" ht="27" customHeight="1" x14ac:dyDescent="0.25">
      <c r="A375" s="54" t="s">
        <v>588</v>
      </c>
      <c r="B375" s="54" t="s">
        <v>589</v>
      </c>
      <c r="C375" s="31">
        <v>4301051489</v>
      </c>
      <c r="D375" s="677">
        <v>4607091387919</v>
      </c>
      <c r="E375" s="678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87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5"/>
      <c r="R375" s="675"/>
      <c r="S375" s="675"/>
      <c r="T375" s="676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591</v>
      </c>
      <c r="B376" s="54" t="s">
        <v>592</v>
      </c>
      <c r="C376" s="31">
        <v>4301051461</v>
      </c>
      <c r="D376" s="677">
        <v>4680115883604</v>
      </c>
      <c r="E376" s="678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5"/>
      <c r="R376" s="675"/>
      <c r="S376" s="675"/>
      <c r="T376" s="676"/>
      <c r="U376" s="34"/>
      <c r="V376" s="34"/>
      <c r="W376" s="35" t="s">
        <v>68</v>
      </c>
      <c r="X376" s="667">
        <v>200</v>
      </c>
      <c r="Y376" s="668">
        <f>IFERROR(IF(X376="",0,CEILING((X376/$H376),1)*$H376),"")</f>
        <v>201.60000000000002</v>
      </c>
      <c r="Z376" s="36">
        <f>IFERROR(IF(Y376=0,"",ROUNDUP(Y376/H376,0)*0.00651),"")</f>
        <v>0.62495999999999996</v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223.99999999999997</v>
      </c>
      <c r="BN376" s="64">
        <f>IFERROR(Y376*I376/H376,"0")</f>
        <v>225.792</v>
      </c>
      <c r="BO376" s="64">
        <f>IFERROR(1/J376*(X376/H376),"0")</f>
        <v>0.52328623757195192</v>
      </c>
      <c r="BP376" s="64">
        <f>IFERROR(1/J376*(Y376/H376),"0")</f>
        <v>0.52747252747252749</v>
      </c>
    </row>
    <row r="377" spans="1:68" ht="27" customHeight="1" x14ac:dyDescent="0.25">
      <c r="A377" s="54" t="s">
        <v>594</v>
      </c>
      <c r="B377" s="54" t="s">
        <v>595</v>
      </c>
      <c r="C377" s="31">
        <v>4301051864</v>
      </c>
      <c r="D377" s="677">
        <v>4680115883567</v>
      </c>
      <c r="E377" s="678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5"/>
      <c r="R377" s="675"/>
      <c r="S377" s="675"/>
      <c r="T377" s="676"/>
      <c r="U377" s="34"/>
      <c r="V377" s="34"/>
      <c r="W377" s="35" t="s">
        <v>68</v>
      </c>
      <c r="X377" s="667">
        <v>100</v>
      </c>
      <c r="Y377" s="668">
        <f>IFERROR(IF(X377="",0,CEILING((X377/$H377),1)*$H377),"")</f>
        <v>100.80000000000001</v>
      </c>
      <c r="Z377" s="36">
        <f>IFERROR(IF(Y377=0,"",ROUNDUP(Y377/H377,0)*0.00651),"")</f>
        <v>0.31247999999999998</v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111.42857142857143</v>
      </c>
      <c r="BN377" s="64">
        <f>IFERROR(Y377*I377/H377,"0")</f>
        <v>112.32000000000001</v>
      </c>
      <c r="BO377" s="64">
        <f>IFERROR(1/J377*(X377/H377),"0")</f>
        <v>0.26164311878597596</v>
      </c>
      <c r="BP377" s="64">
        <f>IFERROR(1/J377*(Y377/H377),"0")</f>
        <v>0.26373626373626374</v>
      </c>
    </row>
    <row r="378" spans="1:68" x14ac:dyDescent="0.2">
      <c r="A378" s="697"/>
      <c r="B378" s="680"/>
      <c r="C378" s="680"/>
      <c r="D378" s="680"/>
      <c r="E378" s="680"/>
      <c r="F378" s="680"/>
      <c r="G378" s="680"/>
      <c r="H378" s="680"/>
      <c r="I378" s="680"/>
      <c r="J378" s="680"/>
      <c r="K378" s="680"/>
      <c r="L378" s="680"/>
      <c r="M378" s="680"/>
      <c r="N378" s="680"/>
      <c r="O378" s="698"/>
      <c r="P378" s="699" t="s">
        <v>87</v>
      </c>
      <c r="Q378" s="700"/>
      <c r="R378" s="700"/>
      <c r="S378" s="700"/>
      <c r="T378" s="700"/>
      <c r="U378" s="700"/>
      <c r="V378" s="701"/>
      <c r="W378" s="37" t="s">
        <v>88</v>
      </c>
      <c r="X378" s="669">
        <f>IFERROR(X375/H375,"0")+IFERROR(X376/H376,"0")+IFERROR(X377/H377,"0")</f>
        <v>142.85714285714286</v>
      </c>
      <c r="Y378" s="669">
        <f>IFERROR(Y375/H375,"0")+IFERROR(Y376/H376,"0")+IFERROR(Y377/H377,"0")</f>
        <v>144</v>
      </c>
      <c r="Z378" s="669">
        <f>IFERROR(IF(Z375="",0,Z375),"0")+IFERROR(IF(Z376="",0,Z376),"0")+IFERROR(IF(Z377="",0,Z377),"0")</f>
        <v>0.93743999999999994</v>
      </c>
      <c r="AA378" s="670"/>
      <c r="AB378" s="670"/>
      <c r="AC378" s="670"/>
    </row>
    <row r="379" spans="1:68" x14ac:dyDescent="0.2">
      <c r="A379" s="680"/>
      <c r="B379" s="680"/>
      <c r="C379" s="680"/>
      <c r="D379" s="680"/>
      <c r="E379" s="680"/>
      <c r="F379" s="680"/>
      <c r="G379" s="680"/>
      <c r="H379" s="680"/>
      <c r="I379" s="680"/>
      <c r="J379" s="680"/>
      <c r="K379" s="680"/>
      <c r="L379" s="680"/>
      <c r="M379" s="680"/>
      <c r="N379" s="680"/>
      <c r="O379" s="698"/>
      <c r="P379" s="699" t="s">
        <v>87</v>
      </c>
      <c r="Q379" s="700"/>
      <c r="R379" s="700"/>
      <c r="S379" s="700"/>
      <c r="T379" s="700"/>
      <c r="U379" s="700"/>
      <c r="V379" s="701"/>
      <c r="W379" s="37" t="s">
        <v>68</v>
      </c>
      <c r="X379" s="669">
        <f>IFERROR(SUM(X375:X377),"0")</f>
        <v>300</v>
      </c>
      <c r="Y379" s="669">
        <f>IFERROR(SUM(Y375:Y377),"0")</f>
        <v>302.40000000000003</v>
      </c>
      <c r="Z379" s="37"/>
      <c r="AA379" s="670"/>
      <c r="AB379" s="670"/>
      <c r="AC379" s="670"/>
    </row>
    <row r="380" spans="1:68" ht="27.75" customHeight="1" x14ac:dyDescent="0.2">
      <c r="A380" s="836" t="s">
        <v>597</v>
      </c>
      <c r="B380" s="837"/>
      <c r="C380" s="837"/>
      <c r="D380" s="837"/>
      <c r="E380" s="837"/>
      <c r="F380" s="837"/>
      <c r="G380" s="837"/>
      <c r="H380" s="837"/>
      <c r="I380" s="837"/>
      <c r="J380" s="837"/>
      <c r="K380" s="837"/>
      <c r="L380" s="837"/>
      <c r="M380" s="837"/>
      <c r="N380" s="837"/>
      <c r="O380" s="837"/>
      <c r="P380" s="837"/>
      <c r="Q380" s="837"/>
      <c r="R380" s="837"/>
      <c r="S380" s="837"/>
      <c r="T380" s="837"/>
      <c r="U380" s="837"/>
      <c r="V380" s="837"/>
      <c r="W380" s="837"/>
      <c r="X380" s="837"/>
      <c r="Y380" s="837"/>
      <c r="Z380" s="837"/>
      <c r="AA380" s="48"/>
      <c r="AB380" s="48"/>
      <c r="AC380" s="48"/>
    </row>
    <row r="381" spans="1:68" ht="16.5" customHeight="1" x14ac:dyDescent="0.25">
      <c r="A381" s="706" t="s">
        <v>598</v>
      </c>
      <c r="B381" s="680"/>
      <c r="C381" s="680"/>
      <c r="D381" s="680"/>
      <c r="E381" s="680"/>
      <c r="F381" s="680"/>
      <c r="G381" s="680"/>
      <c r="H381" s="680"/>
      <c r="I381" s="680"/>
      <c r="J381" s="680"/>
      <c r="K381" s="680"/>
      <c r="L381" s="680"/>
      <c r="M381" s="680"/>
      <c r="N381" s="680"/>
      <c r="O381" s="680"/>
      <c r="P381" s="680"/>
      <c r="Q381" s="680"/>
      <c r="R381" s="680"/>
      <c r="S381" s="680"/>
      <c r="T381" s="680"/>
      <c r="U381" s="680"/>
      <c r="V381" s="680"/>
      <c r="W381" s="680"/>
      <c r="X381" s="680"/>
      <c r="Y381" s="680"/>
      <c r="Z381" s="680"/>
      <c r="AA381" s="662"/>
      <c r="AB381" s="662"/>
      <c r="AC381" s="662"/>
    </row>
    <row r="382" spans="1:68" ht="14.25" customHeight="1" x14ac:dyDescent="0.25">
      <c r="A382" s="679" t="s">
        <v>97</v>
      </c>
      <c r="B382" s="680"/>
      <c r="C382" s="680"/>
      <c r="D382" s="680"/>
      <c r="E382" s="680"/>
      <c r="F382" s="680"/>
      <c r="G382" s="680"/>
      <c r="H382" s="680"/>
      <c r="I382" s="680"/>
      <c r="J382" s="680"/>
      <c r="K382" s="680"/>
      <c r="L382" s="680"/>
      <c r="M382" s="680"/>
      <c r="N382" s="680"/>
      <c r="O382" s="680"/>
      <c r="P382" s="680"/>
      <c r="Q382" s="680"/>
      <c r="R382" s="680"/>
      <c r="S382" s="680"/>
      <c r="T382" s="680"/>
      <c r="U382" s="680"/>
      <c r="V382" s="680"/>
      <c r="W382" s="680"/>
      <c r="X382" s="680"/>
      <c r="Y382" s="680"/>
      <c r="Z382" s="680"/>
      <c r="AA382" s="663"/>
      <c r="AB382" s="663"/>
      <c r="AC382" s="663"/>
    </row>
    <row r="383" spans="1:68" ht="37.5" customHeight="1" x14ac:dyDescent="0.25">
      <c r="A383" s="54" t="s">
        <v>599</v>
      </c>
      <c r="B383" s="54" t="s">
        <v>600</v>
      </c>
      <c r="C383" s="31">
        <v>4301011869</v>
      </c>
      <c r="D383" s="677">
        <v>4680115884847</v>
      </c>
      <c r="E383" s="678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7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5"/>
      <c r="R383" s="675"/>
      <c r="S383" s="675"/>
      <c r="T383" s="676"/>
      <c r="U383" s="34"/>
      <c r="V383" s="34"/>
      <c r="W383" s="35" t="s">
        <v>68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IFERROR(IF(Y383=0,"",ROUNDUP(Y383/H383,0)*0.02175),"")</f>
        <v/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27" customHeight="1" x14ac:dyDescent="0.25">
      <c r="A384" s="54" t="s">
        <v>599</v>
      </c>
      <c r="B384" s="54" t="s">
        <v>602</v>
      </c>
      <c r="C384" s="31">
        <v>4301011946</v>
      </c>
      <c r="D384" s="677">
        <v>4680115884847</v>
      </c>
      <c r="E384" s="678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105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5"/>
      <c r="R384" s="675"/>
      <c r="S384" s="675"/>
      <c r="T384" s="676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604</v>
      </c>
      <c r="B385" s="54" t="s">
        <v>605</v>
      </c>
      <c r="C385" s="31">
        <v>4301011870</v>
      </c>
      <c r="D385" s="677">
        <v>4680115884854</v>
      </c>
      <c r="E385" s="678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5"/>
      <c r="R385" s="675"/>
      <c r="S385" s="675"/>
      <c r="T385" s="676"/>
      <c r="U385" s="34"/>
      <c r="V385" s="34"/>
      <c r="W385" s="35" t="s">
        <v>68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604</v>
      </c>
      <c r="B386" s="54" t="s">
        <v>607</v>
      </c>
      <c r="C386" s="31">
        <v>4301011947</v>
      </c>
      <c r="D386" s="677">
        <v>4680115884854</v>
      </c>
      <c r="E386" s="678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1039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5"/>
      <c r="R386" s="675"/>
      <c r="S386" s="675"/>
      <c r="T386" s="676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608</v>
      </c>
      <c r="B387" s="54" t="s">
        <v>609</v>
      </c>
      <c r="C387" s="31">
        <v>4301011832</v>
      </c>
      <c r="D387" s="677">
        <v>4607091383997</v>
      </c>
      <c r="E387" s="678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92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5"/>
      <c r="R387" s="675"/>
      <c r="S387" s="675"/>
      <c r="T387" s="676"/>
      <c r="U387" s="34"/>
      <c r="V387" s="34"/>
      <c r="W387" s="35" t="s">
        <v>68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customHeight="1" x14ac:dyDescent="0.25">
      <c r="A388" s="54" t="s">
        <v>611</v>
      </c>
      <c r="B388" s="54" t="s">
        <v>612</v>
      </c>
      <c r="C388" s="31">
        <v>4301011867</v>
      </c>
      <c r="D388" s="677">
        <v>4680115884830</v>
      </c>
      <c r="E388" s="678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84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5"/>
      <c r="R388" s="675"/>
      <c r="S388" s="675"/>
      <c r="T388" s="676"/>
      <c r="U388" s="34"/>
      <c r="V388" s="34"/>
      <c r="W388" s="35" t="s">
        <v>68</v>
      </c>
      <c r="X388" s="667">
        <v>500</v>
      </c>
      <c r="Y388" s="668">
        <f t="shared" si="57"/>
        <v>510</v>
      </c>
      <c r="Z388" s="36">
        <f>IFERROR(IF(Y388=0,"",ROUNDUP(Y388/H388,0)*0.02175),"")</f>
        <v>0.73949999999999994</v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516</v>
      </c>
      <c r="BN388" s="64">
        <f t="shared" si="59"/>
        <v>526.32000000000005</v>
      </c>
      <c r="BO388" s="64">
        <f t="shared" si="60"/>
        <v>0.69444444444444442</v>
      </c>
      <c r="BP388" s="64">
        <f t="shared" si="61"/>
        <v>0.70833333333333326</v>
      </c>
    </row>
    <row r="389" spans="1:68" ht="27" customHeight="1" x14ac:dyDescent="0.25">
      <c r="A389" s="54" t="s">
        <v>611</v>
      </c>
      <c r="B389" s="54" t="s">
        <v>614</v>
      </c>
      <c r="C389" s="31">
        <v>4301011943</v>
      </c>
      <c r="D389" s="677">
        <v>4680115884830</v>
      </c>
      <c r="E389" s="678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105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5"/>
      <c r="R389" s="675"/>
      <c r="S389" s="675"/>
      <c r="T389" s="676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615</v>
      </c>
      <c r="B390" s="54" t="s">
        <v>616</v>
      </c>
      <c r="C390" s="31">
        <v>4301011433</v>
      </c>
      <c r="D390" s="677">
        <v>4680115882638</v>
      </c>
      <c r="E390" s="678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8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5"/>
      <c r="R390" s="675"/>
      <c r="S390" s="675"/>
      <c r="T390" s="676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618</v>
      </c>
      <c r="B391" s="54" t="s">
        <v>619</v>
      </c>
      <c r="C391" s="31">
        <v>4301011952</v>
      </c>
      <c r="D391" s="677">
        <v>4680115884922</v>
      </c>
      <c r="E391" s="678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104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5"/>
      <c r="R391" s="675"/>
      <c r="S391" s="675"/>
      <c r="T391" s="676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620</v>
      </c>
      <c r="B392" s="54" t="s">
        <v>621</v>
      </c>
      <c r="C392" s="31">
        <v>4301011868</v>
      </c>
      <c r="D392" s="677">
        <v>4680115884861</v>
      </c>
      <c r="E392" s="678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103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5"/>
      <c r="R392" s="675"/>
      <c r="S392" s="675"/>
      <c r="T392" s="676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97"/>
      <c r="B393" s="680"/>
      <c r="C393" s="680"/>
      <c r="D393" s="680"/>
      <c r="E393" s="680"/>
      <c r="F393" s="680"/>
      <c r="G393" s="680"/>
      <c r="H393" s="680"/>
      <c r="I393" s="680"/>
      <c r="J393" s="680"/>
      <c r="K393" s="680"/>
      <c r="L393" s="680"/>
      <c r="M393" s="680"/>
      <c r="N393" s="680"/>
      <c r="O393" s="698"/>
      <c r="P393" s="699" t="s">
        <v>87</v>
      </c>
      <c r="Q393" s="700"/>
      <c r="R393" s="700"/>
      <c r="S393" s="700"/>
      <c r="T393" s="700"/>
      <c r="U393" s="700"/>
      <c r="V393" s="701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33.333333333333336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34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0.73949999999999994</v>
      </c>
      <c r="AA393" s="670"/>
      <c r="AB393" s="670"/>
      <c r="AC393" s="670"/>
    </row>
    <row r="394" spans="1:68" x14ac:dyDescent="0.2">
      <c r="A394" s="680"/>
      <c r="B394" s="680"/>
      <c r="C394" s="680"/>
      <c r="D394" s="680"/>
      <c r="E394" s="680"/>
      <c r="F394" s="680"/>
      <c r="G394" s="680"/>
      <c r="H394" s="680"/>
      <c r="I394" s="680"/>
      <c r="J394" s="680"/>
      <c r="K394" s="680"/>
      <c r="L394" s="680"/>
      <c r="M394" s="680"/>
      <c r="N394" s="680"/>
      <c r="O394" s="698"/>
      <c r="P394" s="699" t="s">
        <v>87</v>
      </c>
      <c r="Q394" s="700"/>
      <c r="R394" s="700"/>
      <c r="S394" s="700"/>
      <c r="T394" s="700"/>
      <c r="U394" s="700"/>
      <c r="V394" s="701"/>
      <c r="W394" s="37" t="s">
        <v>68</v>
      </c>
      <c r="X394" s="669">
        <f>IFERROR(SUM(X383:X392),"0")</f>
        <v>500</v>
      </c>
      <c r="Y394" s="669">
        <f>IFERROR(SUM(Y383:Y392),"0")</f>
        <v>510</v>
      </c>
      <c r="Z394" s="37"/>
      <c r="AA394" s="670"/>
      <c r="AB394" s="670"/>
      <c r="AC394" s="670"/>
    </row>
    <row r="395" spans="1:68" ht="14.25" customHeight="1" x14ac:dyDescent="0.25">
      <c r="A395" s="679" t="s">
        <v>133</v>
      </c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0"/>
      <c r="P395" s="680"/>
      <c r="Q395" s="680"/>
      <c r="R395" s="680"/>
      <c r="S395" s="680"/>
      <c r="T395" s="680"/>
      <c r="U395" s="680"/>
      <c r="V395" s="680"/>
      <c r="W395" s="680"/>
      <c r="X395" s="680"/>
      <c r="Y395" s="680"/>
      <c r="Z395" s="680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77">
        <v>4607091383980</v>
      </c>
      <c r="E396" s="678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8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5"/>
      <c r="R396" s="675"/>
      <c r="S396" s="675"/>
      <c r="T396" s="676"/>
      <c r="U396" s="34"/>
      <c r="V396" s="34"/>
      <c r="W396" s="35" t="s">
        <v>68</v>
      </c>
      <c r="X396" s="667">
        <v>700</v>
      </c>
      <c r="Y396" s="668">
        <f>IFERROR(IF(X396="",0,CEILING((X396/$H396),1)*$H396),"")</f>
        <v>705</v>
      </c>
      <c r="Z396" s="36">
        <f>IFERROR(IF(Y396=0,"",ROUNDUP(Y396/H396,0)*0.02175),"")</f>
        <v>1.0222499999999999</v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722.4</v>
      </c>
      <c r="BN396" s="64">
        <f>IFERROR(Y396*I396/H396,"0")</f>
        <v>727.56</v>
      </c>
      <c r="BO396" s="64">
        <f>IFERROR(1/J396*(X396/H396),"0")</f>
        <v>0.9722222222222221</v>
      </c>
      <c r="BP396" s="64">
        <f>IFERROR(1/J396*(Y396/H396),"0")</f>
        <v>0.97916666666666663</v>
      </c>
    </row>
    <row r="397" spans="1:68" ht="16.5" customHeight="1" x14ac:dyDescent="0.25">
      <c r="A397" s="54" t="s">
        <v>625</v>
      </c>
      <c r="B397" s="54" t="s">
        <v>626</v>
      </c>
      <c r="C397" s="31">
        <v>4301020179</v>
      </c>
      <c r="D397" s="677">
        <v>4607091384178</v>
      </c>
      <c r="E397" s="678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9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5"/>
      <c r="R397" s="675"/>
      <c r="S397" s="675"/>
      <c r="T397" s="676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97"/>
      <c r="B398" s="680"/>
      <c r="C398" s="680"/>
      <c r="D398" s="680"/>
      <c r="E398" s="680"/>
      <c r="F398" s="680"/>
      <c r="G398" s="680"/>
      <c r="H398" s="680"/>
      <c r="I398" s="680"/>
      <c r="J398" s="680"/>
      <c r="K398" s="680"/>
      <c r="L398" s="680"/>
      <c r="M398" s="680"/>
      <c r="N398" s="680"/>
      <c r="O398" s="698"/>
      <c r="P398" s="699" t="s">
        <v>87</v>
      </c>
      <c r="Q398" s="700"/>
      <c r="R398" s="700"/>
      <c r="S398" s="700"/>
      <c r="T398" s="700"/>
      <c r="U398" s="700"/>
      <c r="V398" s="701"/>
      <c r="W398" s="37" t="s">
        <v>88</v>
      </c>
      <c r="X398" s="669">
        <f>IFERROR(X396/H396,"0")+IFERROR(X397/H397,"0")</f>
        <v>46.666666666666664</v>
      </c>
      <c r="Y398" s="669">
        <f>IFERROR(Y396/H396,"0")+IFERROR(Y397/H397,"0")</f>
        <v>47</v>
      </c>
      <c r="Z398" s="669">
        <f>IFERROR(IF(Z396="",0,Z396),"0")+IFERROR(IF(Z397="",0,Z397),"0")</f>
        <v>1.0222499999999999</v>
      </c>
      <c r="AA398" s="670"/>
      <c r="AB398" s="670"/>
      <c r="AC398" s="670"/>
    </row>
    <row r="399" spans="1:68" x14ac:dyDescent="0.2">
      <c r="A399" s="680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98"/>
      <c r="P399" s="699" t="s">
        <v>87</v>
      </c>
      <c r="Q399" s="700"/>
      <c r="R399" s="700"/>
      <c r="S399" s="700"/>
      <c r="T399" s="700"/>
      <c r="U399" s="700"/>
      <c r="V399" s="701"/>
      <c r="W399" s="37" t="s">
        <v>68</v>
      </c>
      <c r="X399" s="669">
        <f>IFERROR(SUM(X396:X397),"0")</f>
        <v>700</v>
      </c>
      <c r="Y399" s="669">
        <f>IFERROR(SUM(Y396:Y397),"0")</f>
        <v>705</v>
      </c>
      <c r="Z399" s="37"/>
      <c r="AA399" s="670"/>
      <c r="AB399" s="670"/>
      <c r="AC399" s="670"/>
    </row>
    <row r="400" spans="1:68" ht="14.25" customHeight="1" x14ac:dyDescent="0.25">
      <c r="A400" s="679" t="s">
        <v>63</v>
      </c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0"/>
      <c r="P400" s="680"/>
      <c r="Q400" s="680"/>
      <c r="R400" s="680"/>
      <c r="S400" s="680"/>
      <c r="T400" s="680"/>
      <c r="U400" s="680"/>
      <c r="V400" s="680"/>
      <c r="W400" s="680"/>
      <c r="X400" s="680"/>
      <c r="Y400" s="680"/>
      <c r="Z400" s="680"/>
      <c r="AA400" s="663"/>
      <c r="AB400" s="663"/>
      <c r="AC400" s="663"/>
    </row>
    <row r="401" spans="1:68" ht="27" customHeight="1" x14ac:dyDescent="0.25">
      <c r="A401" s="54" t="s">
        <v>627</v>
      </c>
      <c r="B401" s="54" t="s">
        <v>628</v>
      </c>
      <c r="C401" s="31">
        <v>4301051903</v>
      </c>
      <c r="D401" s="677">
        <v>4607091383928</v>
      </c>
      <c r="E401" s="678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991" t="s">
        <v>629</v>
      </c>
      <c r="Q401" s="675"/>
      <c r="R401" s="675"/>
      <c r="S401" s="675"/>
      <c r="T401" s="676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631</v>
      </c>
      <c r="B402" s="54" t="s">
        <v>632</v>
      </c>
      <c r="C402" s="31">
        <v>4301051897</v>
      </c>
      <c r="D402" s="677">
        <v>4607091384260</v>
      </c>
      <c r="E402" s="678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990" t="s">
        <v>633</v>
      </c>
      <c r="Q402" s="675"/>
      <c r="R402" s="675"/>
      <c r="S402" s="675"/>
      <c r="T402" s="676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697"/>
      <c r="B403" s="680"/>
      <c r="C403" s="680"/>
      <c r="D403" s="680"/>
      <c r="E403" s="680"/>
      <c r="F403" s="680"/>
      <c r="G403" s="680"/>
      <c r="H403" s="680"/>
      <c r="I403" s="680"/>
      <c r="J403" s="680"/>
      <c r="K403" s="680"/>
      <c r="L403" s="680"/>
      <c r="M403" s="680"/>
      <c r="N403" s="680"/>
      <c r="O403" s="698"/>
      <c r="P403" s="699" t="s">
        <v>87</v>
      </c>
      <c r="Q403" s="700"/>
      <c r="R403" s="700"/>
      <c r="S403" s="700"/>
      <c r="T403" s="700"/>
      <c r="U403" s="700"/>
      <c r="V403" s="701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x14ac:dyDescent="0.2">
      <c r="A404" s="680"/>
      <c r="B404" s="680"/>
      <c r="C404" s="680"/>
      <c r="D404" s="680"/>
      <c r="E404" s="680"/>
      <c r="F404" s="680"/>
      <c r="G404" s="680"/>
      <c r="H404" s="680"/>
      <c r="I404" s="680"/>
      <c r="J404" s="680"/>
      <c r="K404" s="680"/>
      <c r="L404" s="680"/>
      <c r="M404" s="680"/>
      <c r="N404" s="680"/>
      <c r="O404" s="698"/>
      <c r="P404" s="699" t="s">
        <v>87</v>
      </c>
      <c r="Q404" s="700"/>
      <c r="R404" s="700"/>
      <c r="S404" s="700"/>
      <c r="T404" s="700"/>
      <c r="U404" s="700"/>
      <c r="V404" s="701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customHeight="1" x14ac:dyDescent="0.25">
      <c r="A405" s="679" t="s">
        <v>170</v>
      </c>
      <c r="B405" s="680"/>
      <c r="C405" s="680"/>
      <c r="D405" s="680"/>
      <c r="E405" s="680"/>
      <c r="F405" s="680"/>
      <c r="G405" s="680"/>
      <c r="H405" s="680"/>
      <c r="I405" s="680"/>
      <c r="J405" s="680"/>
      <c r="K405" s="680"/>
      <c r="L405" s="680"/>
      <c r="M405" s="680"/>
      <c r="N405" s="680"/>
      <c r="O405" s="680"/>
      <c r="P405" s="680"/>
      <c r="Q405" s="680"/>
      <c r="R405" s="680"/>
      <c r="S405" s="680"/>
      <c r="T405" s="680"/>
      <c r="U405" s="680"/>
      <c r="V405" s="680"/>
      <c r="W405" s="680"/>
      <c r="X405" s="680"/>
      <c r="Y405" s="680"/>
      <c r="Z405" s="680"/>
      <c r="AA405" s="663"/>
      <c r="AB405" s="663"/>
      <c r="AC405" s="663"/>
    </row>
    <row r="406" spans="1:68" ht="27" customHeight="1" x14ac:dyDescent="0.25">
      <c r="A406" s="54" t="s">
        <v>635</v>
      </c>
      <c r="B406" s="54" t="s">
        <v>636</v>
      </c>
      <c r="C406" s="31">
        <v>4301060439</v>
      </c>
      <c r="D406" s="677">
        <v>4607091384673</v>
      </c>
      <c r="E406" s="678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932" t="s">
        <v>637</v>
      </c>
      <c r="Q406" s="675"/>
      <c r="R406" s="675"/>
      <c r="S406" s="675"/>
      <c r="T406" s="676"/>
      <c r="U406" s="34"/>
      <c r="V406" s="34"/>
      <c r="W406" s="35" t="s">
        <v>68</v>
      </c>
      <c r="X406" s="667">
        <v>200</v>
      </c>
      <c r="Y406" s="668">
        <f>IFERROR(IF(X406="",0,CEILING((X406/$H406),1)*$H406),"")</f>
        <v>207</v>
      </c>
      <c r="Z406" s="36">
        <f>IFERROR(IF(Y406=0,"",ROUNDUP(Y406/H406,0)*0.01898),"")</f>
        <v>0.43653999999999998</v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211.53333333333333</v>
      </c>
      <c r="BN406" s="64">
        <f>IFERROR(Y406*I406/H406,"0")</f>
        <v>218.93700000000001</v>
      </c>
      <c r="BO406" s="64">
        <f>IFERROR(1/J406*(X406/H406),"0")</f>
        <v>0.34722222222222221</v>
      </c>
      <c r="BP406" s="64">
        <f>IFERROR(1/J406*(Y406/H406),"0")</f>
        <v>0.359375</v>
      </c>
    </row>
    <row r="407" spans="1:68" x14ac:dyDescent="0.2">
      <c r="A407" s="697"/>
      <c r="B407" s="680"/>
      <c r="C407" s="680"/>
      <c r="D407" s="680"/>
      <c r="E407" s="680"/>
      <c r="F407" s="680"/>
      <c r="G407" s="680"/>
      <c r="H407" s="680"/>
      <c r="I407" s="680"/>
      <c r="J407" s="680"/>
      <c r="K407" s="680"/>
      <c r="L407" s="680"/>
      <c r="M407" s="680"/>
      <c r="N407" s="680"/>
      <c r="O407" s="698"/>
      <c r="P407" s="699" t="s">
        <v>87</v>
      </c>
      <c r="Q407" s="700"/>
      <c r="R407" s="700"/>
      <c r="S407" s="700"/>
      <c r="T407" s="700"/>
      <c r="U407" s="700"/>
      <c r="V407" s="701"/>
      <c r="W407" s="37" t="s">
        <v>88</v>
      </c>
      <c r="X407" s="669">
        <f>IFERROR(X406/H406,"0")</f>
        <v>22.222222222222221</v>
      </c>
      <c r="Y407" s="669">
        <f>IFERROR(Y406/H406,"0")</f>
        <v>23</v>
      </c>
      <c r="Z407" s="669">
        <f>IFERROR(IF(Z406="",0,Z406),"0")</f>
        <v>0.43653999999999998</v>
      </c>
      <c r="AA407" s="670"/>
      <c r="AB407" s="670"/>
      <c r="AC407" s="670"/>
    </row>
    <row r="408" spans="1:68" x14ac:dyDescent="0.2">
      <c r="A408" s="680"/>
      <c r="B408" s="680"/>
      <c r="C408" s="680"/>
      <c r="D408" s="680"/>
      <c r="E408" s="680"/>
      <c r="F408" s="680"/>
      <c r="G408" s="680"/>
      <c r="H408" s="680"/>
      <c r="I408" s="680"/>
      <c r="J408" s="680"/>
      <c r="K408" s="680"/>
      <c r="L408" s="680"/>
      <c r="M408" s="680"/>
      <c r="N408" s="680"/>
      <c r="O408" s="698"/>
      <c r="P408" s="699" t="s">
        <v>87</v>
      </c>
      <c r="Q408" s="700"/>
      <c r="R408" s="700"/>
      <c r="S408" s="700"/>
      <c r="T408" s="700"/>
      <c r="U408" s="700"/>
      <c r="V408" s="701"/>
      <c r="W408" s="37" t="s">
        <v>68</v>
      </c>
      <c r="X408" s="669">
        <f>IFERROR(SUM(X406:X406),"0")</f>
        <v>200</v>
      </c>
      <c r="Y408" s="669">
        <f>IFERROR(SUM(Y406:Y406),"0")</f>
        <v>207</v>
      </c>
      <c r="Z408" s="37"/>
      <c r="AA408" s="670"/>
      <c r="AB408" s="670"/>
      <c r="AC408" s="670"/>
    </row>
    <row r="409" spans="1:68" ht="16.5" customHeight="1" x14ac:dyDescent="0.25">
      <c r="A409" s="706" t="s">
        <v>639</v>
      </c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0"/>
      <c r="P409" s="680"/>
      <c r="Q409" s="680"/>
      <c r="R409" s="680"/>
      <c r="S409" s="680"/>
      <c r="T409" s="680"/>
      <c r="U409" s="680"/>
      <c r="V409" s="680"/>
      <c r="W409" s="680"/>
      <c r="X409" s="680"/>
      <c r="Y409" s="680"/>
      <c r="Z409" s="680"/>
      <c r="AA409" s="662"/>
      <c r="AB409" s="662"/>
      <c r="AC409" s="662"/>
    </row>
    <row r="410" spans="1:68" ht="14.25" customHeight="1" x14ac:dyDescent="0.25">
      <c r="A410" s="679" t="s">
        <v>97</v>
      </c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0"/>
      <c r="P410" s="680"/>
      <c r="Q410" s="680"/>
      <c r="R410" s="680"/>
      <c r="S410" s="680"/>
      <c r="T410" s="680"/>
      <c r="U410" s="680"/>
      <c r="V410" s="680"/>
      <c r="W410" s="680"/>
      <c r="X410" s="680"/>
      <c r="Y410" s="680"/>
      <c r="Z410" s="680"/>
      <c r="AA410" s="663"/>
      <c r="AB410" s="663"/>
      <c r="AC410" s="663"/>
    </row>
    <row r="411" spans="1:68" ht="27" customHeight="1" x14ac:dyDescent="0.25">
      <c r="A411" s="54" t="s">
        <v>640</v>
      </c>
      <c r="B411" s="54" t="s">
        <v>641</v>
      </c>
      <c r="C411" s="31">
        <v>4301011483</v>
      </c>
      <c r="D411" s="677">
        <v>4680115881907</v>
      </c>
      <c r="E411" s="678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944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5"/>
      <c r="R411" s="675"/>
      <c r="S411" s="675"/>
      <c r="T411" s="676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640</v>
      </c>
      <c r="B412" s="54" t="s">
        <v>643</v>
      </c>
      <c r="C412" s="31">
        <v>4301011873</v>
      </c>
      <c r="D412" s="677">
        <v>4680115881907</v>
      </c>
      <c r="E412" s="678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76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5"/>
      <c r="R412" s="675"/>
      <c r="S412" s="675"/>
      <c r="T412" s="676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645</v>
      </c>
      <c r="B413" s="54" t="s">
        <v>646</v>
      </c>
      <c r="C413" s="31">
        <v>4301011874</v>
      </c>
      <c r="D413" s="677">
        <v>4680115884892</v>
      </c>
      <c r="E413" s="678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99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5"/>
      <c r="R413" s="675"/>
      <c r="S413" s="675"/>
      <c r="T413" s="676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648</v>
      </c>
      <c r="B414" s="54" t="s">
        <v>649</v>
      </c>
      <c r="C414" s="31">
        <v>4301011875</v>
      </c>
      <c r="D414" s="677">
        <v>4680115884885</v>
      </c>
      <c r="E414" s="678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5"/>
      <c r="R414" s="675"/>
      <c r="S414" s="675"/>
      <c r="T414" s="676"/>
      <c r="U414" s="34"/>
      <c r="V414" s="34"/>
      <c r="W414" s="35" t="s">
        <v>68</v>
      </c>
      <c r="X414" s="667">
        <v>400</v>
      </c>
      <c r="Y414" s="668">
        <f>IFERROR(IF(X414="",0,CEILING((X414/$H414),1)*$H414),"")</f>
        <v>408</v>
      </c>
      <c r="Z414" s="36">
        <f>IFERROR(IF(Y414=0,"",ROUNDUP(Y414/H414,0)*0.01898),"")</f>
        <v>0.64532</v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414.5</v>
      </c>
      <c r="BN414" s="64">
        <f>IFERROR(Y414*I414/H414,"0")</f>
        <v>422.79</v>
      </c>
      <c r="BO414" s="64">
        <f>IFERROR(1/J414*(X414/H414),"0")</f>
        <v>0.52083333333333337</v>
      </c>
      <c r="BP414" s="64">
        <f>IFERROR(1/J414*(Y414/H414),"0")</f>
        <v>0.53125</v>
      </c>
    </row>
    <row r="415" spans="1:68" ht="37.5" customHeight="1" x14ac:dyDescent="0.25">
      <c r="A415" s="54" t="s">
        <v>650</v>
      </c>
      <c r="B415" s="54" t="s">
        <v>651</v>
      </c>
      <c r="C415" s="31">
        <v>4301011871</v>
      </c>
      <c r="D415" s="677">
        <v>4680115884908</v>
      </c>
      <c r="E415" s="678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7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5"/>
      <c r="R415" s="675"/>
      <c r="S415" s="675"/>
      <c r="T415" s="676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97"/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98"/>
      <c r="P416" s="699" t="s">
        <v>87</v>
      </c>
      <c r="Q416" s="700"/>
      <c r="R416" s="700"/>
      <c r="S416" s="700"/>
      <c r="T416" s="700"/>
      <c r="U416" s="700"/>
      <c r="V416" s="701"/>
      <c r="W416" s="37" t="s">
        <v>88</v>
      </c>
      <c r="X416" s="669">
        <f>IFERROR(X411/H411,"0")+IFERROR(X412/H412,"0")+IFERROR(X413/H413,"0")+IFERROR(X414/H414,"0")+IFERROR(X415/H415,"0")</f>
        <v>33.333333333333336</v>
      </c>
      <c r="Y416" s="669">
        <f>IFERROR(Y411/H411,"0")+IFERROR(Y412/H412,"0")+IFERROR(Y413/H413,"0")+IFERROR(Y414/H414,"0")+IFERROR(Y415/H415,"0")</f>
        <v>34</v>
      </c>
      <c r="Z416" s="669">
        <f>IFERROR(IF(Z411="",0,Z411),"0")+IFERROR(IF(Z412="",0,Z412),"0")+IFERROR(IF(Z413="",0,Z413),"0")+IFERROR(IF(Z414="",0,Z414),"0")+IFERROR(IF(Z415="",0,Z415),"0")</f>
        <v>0.64532</v>
      </c>
      <c r="AA416" s="670"/>
      <c r="AB416" s="670"/>
      <c r="AC416" s="670"/>
    </row>
    <row r="417" spans="1:68" x14ac:dyDescent="0.2">
      <c r="A417" s="680"/>
      <c r="B417" s="680"/>
      <c r="C417" s="680"/>
      <c r="D417" s="680"/>
      <c r="E417" s="680"/>
      <c r="F417" s="680"/>
      <c r="G417" s="680"/>
      <c r="H417" s="680"/>
      <c r="I417" s="680"/>
      <c r="J417" s="680"/>
      <c r="K417" s="680"/>
      <c r="L417" s="680"/>
      <c r="M417" s="680"/>
      <c r="N417" s="680"/>
      <c r="O417" s="698"/>
      <c r="P417" s="699" t="s">
        <v>87</v>
      </c>
      <c r="Q417" s="700"/>
      <c r="R417" s="700"/>
      <c r="S417" s="700"/>
      <c r="T417" s="700"/>
      <c r="U417" s="700"/>
      <c r="V417" s="701"/>
      <c r="W417" s="37" t="s">
        <v>68</v>
      </c>
      <c r="X417" s="669">
        <f>IFERROR(SUM(X411:X415),"0")</f>
        <v>400</v>
      </c>
      <c r="Y417" s="669">
        <f>IFERROR(SUM(Y411:Y415),"0")</f>
        <v>408</v>
      </c>
      <c r="Z417" s="37"/>
      <c r="AA417" s="670"/>
      <c r="AB417" s="670"/>
      <c r="AC417" s="670"/>
    </row>
    <row r="418" spans="1:68" ht="14.25" customHeight="1" x14ac:dyDescent="0.25">
      <c r="A418" s="679" t="s">
        <v>144</v>
      </c>
      <c r="B418" s="680"/>
      <c r="C418" s="680"/>
      <c r="D418" s="680"/>
      <c r="E418" s="680"/>
      <c r="F418" s="680"/>
      <c r="G418" s="680"/>
      <c r="H418" s="680"/>
      <c r="I418" s="680"/>
      <c r="J418" s="680"/>
      <c r="K418" s="680"/>
      <c r="L418" s="680"/>
      <c r="M418" s="680"/>
      <c r="N418" s="680"/>
      <c r="O418" s="680"/>
      <c r="P418" s="680"/>
      <c r="Q418" s="680"/>
      <c r="R418" s="680"/>
      <c r="S418" s="680"/>
      <c r="T418" s="680"/>
      <c r="U418" s="680"/>
      <c r="V418" s="680"/>
      <c r="W418" s="680"/>
      <c r="X418" s="680"/>
      <c r="Y418" s="680"/>
      <c r="Z418" s="680"/>
      <c r="AA418" s="663"/>
      <c r="AB418" s="663"/>
      <c r="AC418" s="663"/>
    </row>
    <row r="419" spans="1:68" ht="27" customHeight="1" x14ac:dyDescent="0.25">
      <c r="A419" s="54" t="s">
        <v>652</v>
      </c>
      <c r="B419" s="54" t="s">
        <v>653</v>
      </c>
      <c r="C419" s="31">
        <v>4301031303</v>
      </c>
      <c r="D419" s="677">
        <v>4607091384802</v>
      </c>
      <c r="E419" s="678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96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5"/>
      <c r="R419" s="675"/>
      <c r="S419" s="675"/>
      <c r="T419" s="676"/>
      <c r="U419" s="34"/>
      <c r="V419" s="34"/>
      <c r="W419" s="35" t="s">
        <v>68</v>
      </c>
      <c r="X419" s="667">
        <v>50</v>
      </c>
      <c r="Y419" s="668">
        <f>IFERROR(IF(X419="",0,CEILING((X419/$H419),1)*$H419),"")</f>
        <v>52.56</v>
      </c>
      <c r="Z419" s="36">
        <f>IFERROR(IF(Y419=0,"",ROUNDUP(Y419/H419,0)*0.00902),"")</f>
        <v>0.10824</v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53.082191780821923</v>
      </c>
      <c r="BN419" s="64">
        <f>IFERROR(Y419*I419/H419,"0")</f>
        <v>55.800000000000004</v>
      </c>
      <c r="BO419" s="64">
        <f>IFERROR(1/J419*(X419/H419),"0")</f>
        <v>8.6481250864812509E-2</v>
      </c>
      <c r="BP419" s="64">
        <f>IFERROR(1/J419*(Y419/H419),"0")</f>
        <v>9.0909090909090912E-2</v>
      </c>
    </row>
    <row r="420" spans="1:68" x14ac:dyDescent="0.2">
      <c r="A420" s="697"/>
      <c r="B420" s="680"/>
      <c r="C420" s="680"/>
      <c r="D420" s="680"/>
      <c r="E420" s="680"/>
      <c r="F420" s="680"/>
      <c r="G420" s="680"/>
      <c r="H420" s="680"/>
      <c r="I420" s="680"/>
      <c r="J420" s="680"/>
      <c r="K420" s="680"/>
      <c r="L420" s="680"/>
      <c r="M420" s="680"/>
      <c r="N420" s="680"/>
      <c r="O420" s="698"/>
      <c r="P420" s="699" t="s">
        <v>87</v>
      </c>
      <c r="Q420" s="700"/>
      <c r="R420" s="700"/>
      <c r="S420" s="700"/>
      <c r="T420" s="700"/>
      <c r="U420" s="700"/>
      <c r="V420" s="701"/>
      <c r="W420" s="37" t="s">
        <v>88</v>
      </c>
      <c r="X420" s="669">
        <f>IFERROR(X419/H419,"0")</f>
        <v>11.415525114155251</v>
      </c>
      <c r="Y420" s="669">
        <f>IFERROR(Y419/H419,"0")</f>
        <v>12</v>
      </c>
      <c r="Z420" s="669">
        <f>IFERROR(IF(Z419="",0,Z419),"0")</f>
        <v>0.10824</v>
      </c>
      <c r="AA420" s="670"/>
      <c r="AB420" s="670"/>
      <c r="AC420" s="670"/>
    </row>
    <row r="421" spans="1:68" x14ac:dyDescent="0.2">
      <c r="A421" s="680"/>
      <c r="B421" s="680"/>
      <c r="C421" s="680"/>
      <c r="D421" s="680"/>
      <c r="E421" s="680"/>
      <c r="F421" s="680"/>
      <c r="G421" s="680"/>
      <c r="H421" s="680"/>
      <c r="I421" s="680"/>
      <c r="J421" s="680"/>
      <c r="K421" s="680"/>
      <c r="L421" s="680"/>
      <c r="M421" s="680"/>
      <c r="N421" s="680"/>
      <c r="O421" s="698"/>
      <c r="P421" s="699" t="s">
        <v>87</v>
      </c>
      <c r="Q421" s="700"/>
      <c r="R421" s="700"/>
      <c r="S421" s="700"/>
      <c r="T421" s="700"/>
      <c r="U421" s="700"/>
      <c r="V421" s="701"/>
      <c r="W421" s="37" t="s">
        <v>68</v>
      </c>
      <c r="X421" s="669">
        <f>IFERROR(SUM(X419:X419),"0")</f>
        <v>50</v>
      </c>
      <c r="Y421" s="669">
        <f>IFERROR(SUM(Y419:Y419),"0")</f>
        <v>52.56</v>
      </c>
      <c r="Z421" s="37"/>
      <c r="AA421" s="670"/>
      <c r="AB421" s="670"/>
      <c r="AC421" s="670"/>
    </row>
    <row r="422" spans="1:68" ht="14.25" customHeight="1" x14ac:dyDescent="0.25">
      <c r="A422" s="679" t="s">
        <v>63</v>
      </c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0"/>
      <c r="P422" s="680"/>
      <c r="Q422" s="680"/>
      <c r="R422" s="680"/>
      <c r="S422" s="680"/>
      <c r="T422" s="680"/>
      <c r="U422" s="680"/>
      <c r="V422" s="680"/>
      <c r="W422" s="680"/>
      <c r="X422" s="680"/>
      <c r="Y422" s="680"/>
      <c r="Z422" s="680"/>
      <c r="AA422" s="663"/>
      <c r="AB422" s="663"/>
      <c r="AC422" s="663"/>
    </row>
    <row r="423" spans="1:68" ht="27" customHeight="1" x14ac:dyDescent="0.25">
      <c r="A423" s="54" t="s">
        <v>655</v>
      </c>
      <c r="B423" s="54" t="s">
        <v>656</v>
      </c>
      <c r="C423" s="31">
        <v>4301051899</v>
      </c>
      <c r="D423" s="677">
        <v>4607091384246</v>
      </c>
      <c r="E423" s="678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9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5"/>
      <c r="R423" s="675"/>
      <c r="S423" s="675"/>
      <c r="T423" s="676"/>
      <c r="U423" s="34"/>
      <c r="V423" s="34"/>
      <c r="W423" s="35" t="s">
        <v>68</v>
      </c>
      <c r="X423" s="667">
        <v>1200</v>
      </c>
      <c r="Y423" s="668">
        <f>IFERROR(IF(X423="",0,CEILING((X423/$H423),1)*$H423),"")</f>
        <v>1206</v>
      </c>
      <c r="Z423" s="36">
        <f>IFERROR(IF(Y423=0,"",ROUNDUP(Y423/H423,0)*0.01898),"")</f>
        <v>2.54332</v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1269.1999999999998</v>
      </c>
      <c r="BN423" s="64">
        <f>IFERROR(Y423*I423/H423,"0")</f>
        <v>1275.546</v>
      </c>
      <c r="BO423" s="64">
        <f>IFERROR(1/J423*(X423/H423),"0")</f>
        <v>2.0833333333333335</v>
      </c>
      <c r="BP423" s="64">
        <f>IFERROR(1/J423*(Y423/H423),"0")</f>
        <v>2.09375</v>
      </c>
    </row>
    <row r="424" spans="1:68" ht="27" customHeight="1" x14ac:dyDescent="0.25">
      <c r="A424" s="54" t="s">
        <v>658</v>
      </c>
      <c r="B424" s="54" t="s">
        <v>659</v>
      </c>
      <c r="C424" s="31">
        <v>4301051297</v>
      </c>
      <c r="D424" s="677">
        <v>4607091384253</v>
      </c>
      <c r="E424" s="678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973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5"/>
      <c r="R424" s="675"/>
      <c r="S424" s="675"/>
      <c r="T424" s="676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658</v>
      </c>
      <c r="B425" s="54" t="s">
        <v>661</v>
      </c>
      <c r="C425" s="31">
        <v>4301051660</v>
      </c>
      <c r="D425" s="677">
        <v>4607091384253</v>
      </c>
      <c r="E425" s="678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91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5"/>
      <c r="R425" s="675"/>
      <c r="S425" s="675"/>
      <c r="T425" s="676"/>
      <c r="U425" s="34"/>
      <c r="V425" s="34"/>
      <c r="W425" s="35" t="s">
        <v>68</v>
      </c>
      <c r="X425" s="667">
        <v>350</v>
      </c>
      <c r="Y425" s="668">
        <f>IFERROR(IF(X425="",0,CEILING((X425/$H425),1)*$H425),"")</f>
        <v>350.4</v>
      </c>
      <c r="Z425" s="36">
        <f>IFERROR(IF(Y425=0,"",ROUNDUP(Y425/H425,0)*0.00651),"")</f>
        <v>0.95045999999999997</v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388.50000000000006</v>
      </c>
      <c r="BN425" s="64">
        <f>IFERROR(Y425*I425/H425,"0")</f>
        <v>388.94400000000002</v>
      </c>
      <c r="BO425" s="64">
        <f>IFERROR(1/J425*(X425/H425),"0")</f>
        <v>0.80128205128205143</v>
      </c>
      <c r="BP425" s="64">
        <f>IFERROR(1/J425*(Y425/H425),"0")</f>
        <v>0.80219780219780223</v>
      </c>
    </row>
    <row r="426" spans="1:68" ht="27" customHeight="1" x14ac:dyDescent="0.25">
      <c r="A426" s="54" t="s">
        <v>662</v>
      </c>
      <c r="B426" s="54" t="s">
        <v>663</v>
      </c>
      <c r="C426" s="31">
        <v>4301051444</v>
      </c>
      <c r="D426" s="677">
        <v>4680115881969</v>
      </c>
      <c r="E426" s="678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97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5"/>
      <c r="R426" s="675"/>
      <c r="S426" s="675"/>
      <c r="T426" s="676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97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98"/>
      <c r="P427" s="699" t="s">
        <v>87</v>
      </c>
      <c r="Q427" s="700"/>
      <c r="R427" s="700"/>
      <c r="S427" s="700"/>
      <c r="T427" s="700"/>
      <c r="U427" s="700"/>
      <c r="V427" s="701"/>
      <c r="W427" s="37" t="s">
        <v>88</v>
      </c>
      <c r="X427" s="669">
        <f>IFERROR(X423/H423,"0")+IFERROR(X424/H424,"0")+IFERROR(X425/H425,"0")+IFERROR(X426/H426,"0")</f>
        <v>279.16666666666669</v>
      </c>
      <c r="Y427" s="669">
        <f>IFERROR(Y423/H423,"0")+IFERROR(Y424/H424,"0")+IFERROR(Y425/H425,"0")+IFERROR(Y426/H426,"0")</f>
        <v>280</v>
      </c>
      <c r="Z427" s="669">
        <f>IFERROR(IF(Z423="",0,Z423),"0")+IFERROR(IF(Z424="",0,Z424),"0")+IFERROR(IF(Z425="",0,Z425),"0")+IFERROR(IF(Z426="",0,Z426),"0")</f>
        <v>3.4937800000000001</v>
      </c>
      <c r="AA427" s="670"/>
      <c r="AB427" s="670"/>
      <c r="AC427" s="670"/>
    </row>
    <row r="428" spans="1:68" x14ac:dyDescent="0.2">
      <c r="A428" s="680"/>
      <c r="B428" s="680"/>
      <c r="C428" s="680"/>
      <c r="D428" s="680"/>
      <c r="E428" s="680"/>
      <c r="F428" s="680"/>
      <c r="G428" s="680"/>
      <c r="H428" s="680"/>
      <c r="I428" s="680"/>
      <c r="J428" s="680"/>
      <c r="K428" s="680"/>
      <c r="L428" s="680"/>
      <c r="M428" s="680"/>
      <c r="N428" s="680"/>
      <c r="O428" s="698"/>
      <c r="P428" s="699" t="s">
        <v>87</v>
      </c>
      <c r="Q428" s="700"/>
      <c r="R428" s="700"/>
      <c r="S428" s="700"/>
      <c r="T428" s="700"/>
      <c r="U428" s="700"/>
      <c r="V428" s="701"/>
      <c r="W428" s="37" t="s">
        <v>68</v>
      </c>
      <c r="X428" s="669">
        <f>IFERROR(SUM(X423:X426),"0")</f>
        <v>1550</v>
      </c>
      <c r="Y428" s="669">
        <f>IFERROR(SUM(Y423:Y426),"0")</f>
        <v>1556.4</v>
      </c>
      <c r="Z428" s="37"/>
      <c r="AA428" s="670"/>
      <c r="AB428" s="670"/>
      <c r="AC428" s="670"/>
    </row>
    <row r="429" spans="1:68" ht="14.25" customHeight="1" x14ac:dyDescent="0.25">
      <c r="A429" s="679" t="s">
        <v>170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3"/>
      <c r="AB429" s="663"/>
      <c r="AC429" s="663"/>
    </row>
    <row r="430" spans="1:68" ht="27" customHeight="1" x14ac:dyDescent="0.25">
      <c r="A430" s="54" t="s">
        <v>665</v>
      </c>
      <c r="B430" s="54" t="s">
        <v>666</v>
      </c>
      <c r="C430" s="31">
        <v>4301060441</v>
      </c>
      <c r="D430" s="677">
        <v>4607091389357</v>
      </c>
      <c r="E430" s="678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782" t="s">
        <v>667</v>
      </c>
      <c r="Q430" s="675"/>
      <c r="R430" s="675"/>
      <c r="S430" s="675"/>
      <c r="T430" s="676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97"/>
      <c r="B431" s="680"/>
      <c r="C431" s="680"/>
      <c r="D431" s="680"/>
      <c r="E431" s="680"/>
      <c r="F431" s="680"/>
      <c r="G431" s="680"/>
      <c r="H431" s="680"/>
      <c r="I431" s="680"/>
      <c r="J431" s="680"/>
      <c r="K431" s="680"/>
      <c r="L431" s="680"/>
      <c r="M431" s="680"/>
      <c r="N431" s="680"/>
      <c r="O431" s="698"/>
      <c r="P431" s="699" t="s">
        <v>87</v>
      </c>
      <c r="Q431" s="700"/>
      <c r="R431" s="700"/>
      <c r="S431" s="700"/>
      <c r="T431" s="700"/>
      <c r="U431" s="700"/>
      <c r="V431" s="701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80"/>
      <c r="B432" s="680"/>
      <c r="C432" s="680"/>
      <c r="D432" s="680"/>
      <c r="E432" s="680"/>
      <c r="F432" s="680"/>
      <c r="G432" s="680"/>
      <c r="H432" s="680"/>
      <c r="I432" s="680"/>
      <c r="J432" s="680"/>
      <c r="K432" s="680"/>
      <c r="L432" s="680"/>
      <c r="M432" s="680"/>
      <c r="N432" s="680"/>
      <c r="O432" s="698"/>
      <c r="P432" s="699" t="s">
        <v>87</v>
      </c>
      <c r="Q432" s="700"/>
      <c r="R432" s="700"/>
      <c r="S432" s="700"/>
      <c r="T432" s="700"/>
      <c r="U432" s="700"/>
      <c r="V432" s="701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836" t="s">
        <v>669</v>
      </c>
      <c r="B433" s="837"/>
      <c r="C433" s="837"/>
      <c r="D433" s="837"/>
      <c r="E433" s="837"/>
      <c r="F433" s="837"/>
      <c r="G433" s="837"/>
      <c r="H433" s="837"/>
      <c r="I433" s="837"/>
      <c r="J433" s="837"/>
      <c r="K433" s="837"/>
      <c r="L433" s="837"/>
      <c r="M433" s="837"/>
      <c r="N433" s="837"/>
      <c r="O433" s="837"/>
      <c r="P433" s="837"/>
      <c r="Q433" s="837"/>
      <c r="R433" s="837"/>
      <c r="S433" s="837"/>
      <c r="T433" s="837"/>
      <c r="U433" s="837"/>
      <c r="V433" s="837"/>
      <c r="W433" s="837"/>
      <c r="X433" s="837"/>
      <c r="Y433" s="837"/>
      <c r="Z433" s="837"/>
      <c r="AA433" s="48"/>
      <c r="AB433" s="48"/>
      <c r="AC433" s="48"/>
    </row>
    <row r="434" spans="1:68" ht="16.5" customHeight="1" x14ac:dyDescent="0.25">
      <c r="A434" s="706" t="s">
        <v>670</v>
      </c>
      <c r="B434" s="680"/>
      <c r="C434" s="680"/>
      <c r="D434" s="680"/>
      <c r="E434" s="680"/>
      <c r="F434" s="680"/>
      <c r="G434" s="680"/>
      <c r="H434" s="680"/>
      <c r="I434" s="680"/>
      <c r="J434" s="680"/>
      <c r="K434" s="680"/>
      <c r="L434" s="680"/>
      <c r="M434" s="680"/>
      <c r="N434" s="680"/>
      <c r="O434" s="680"/>
      <c r="P434" s="680"/>
      <c r="Q434" s="680"/>
      <c r="R434" s="680"/>
      <c r="S434" s="680"/>
      <c r="T434" s="680"/>
      <c r="U434" s="680"/>
      <c r="V434" s="680"/>
      <c r="W434" s="680"/>
      <c r="X434" s="680"/>
      <c r="Y434" s="680"/>
      <c r="Z434" s="680"/>
      <c r="AA434" s="662"/>
      <c r="AB434" s="662"/>
      <c r="AC434" s="662"/>
    </row>
    <row r="435" spans="1:68" ht="14.25" customHeight="1" x14ac:dyDescent="0.25">
      <c r="A435" s="679" t="s">
        <v>144</v>
      </c>
      <c r="B435" s="680"/>
      <c r="C435" s="680"/>
      <c r="D435" s="680"/>
      <c r="E435" s="680"/>
      <c r="F435" s="680"/>
      <c r="G435" s="680"/>
      <c r="H435" s="680"/>
      <c r="I435" s="680"/>
      <c r="J435" s="680"/>
      <c r="K435" s="680"/>
      <c r="L435" s="680"/>
      <c r="M435" s="680"/>
      <c r="N435" s="680"/>
      <c r="O435" s="680"/>
      <c r="P435" s="680"/>
      <c r="Q435" s="680"/>
      <c r="R435" s="680"/>
      <c r="S435" s="680"/>
      <c r="T435" s="680"/>
      <c r="U435" s="680"/>
      <c r="V435" s="680"/>
      <c r="W435" s="680"/>
      <c r="X435" s="680"/>
      <c r="Y435" s="680"/>
      <c r="Z435" s="680"/>
      <c r="AA435" s="663"/>
      <c r="AB435" s="663"/>
      <c r="AC435" s="663"/>
    </row>
    <row r="436" spans="1:68" ht="27" customHeight="1" x14ac:dyDescent="0.25">
      <c r="A436" s="54" t="s">
        <v>671</v>
      </c>
      <c r="B436" s="54" t="s">
        <v>672</v>
      </c>
      <c r="C436" s="31">
        <v>4301031405</v>
      </c>
      <c r="D436" s="677">
        <v>4680115886100</v>
      </c>
      <c r="E436" s="678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713" t="s">
        <v>673</v>
      </c>
      <c r="Q436" s="675"/>
      <c r="R436" s="675"/>
      <c r="S436" s="675"/>
      <c r="T436" s="676"/>
      <c r="U436" s="34"/>
      <c r="V436" s="34"/>
      <c r="W436" s="35" t="s">
        <v>68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customHeight="1" x14ac:dyDescent="0.25">
      <c r="A437" s="54" t="s">
        <v>675</v>
      </c>
      <c r="B437" s="54" t="s">
        <v>676</v>
      </c>
      <c r="C437" s="31">
        <v>4301031406</v>
      </c>
      <c r="D437" s="677">
        <v>4680115886117</v>
      </c>
      <c r="E437" s="678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1055" t="s">
        <v>677</v>
      </c>
      <c r="Q437" s="675"/>
      <c r="R437" s="675"/>
      <c r="S437" s="675"/>
      <c r="T437" s="676"/>
      <c r="U437" s="34"/>
      <c r="V437" s="34"/>
      <c r="W437" s="35" t="s">
        <v>68</v>
      </c>
      <c r="X437" s="667">
        <v>70</v>
      </c>
      <c r="Y437" s="668">
        <f t="shared" si="62"/>
        <v>70.2</v>
      </c>
      <c r="Z437" s="36">
        <f>IFERROR(IF(Y437=0,"",ROUNDUP(Y437/H437,0)*0.00902),"")</f>
        <v>0.11726</v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72.722222222222229</v>
      </c>
      <c r="BN437" s="64">
        <f t="shared" si="64"/>
        <v>72.930000000000007</v>
      </c>
      <c r="BO437" s="64">
        <f t="shared" si="65"/>
        <v>9.8204264870931535E-2</v>
      </c>
      <c r="BP437" s="64">
        <f t="shared" si="66"/>
        <v>9.8484848484848481E-2</v>
      </c>
    </row>
    <row r="438" spans="1:68" ht="27" customHeight="1" x14ac:dyDescent="0.25">
      <c r="A438" s="54" t="s">
        <v>675</v>
      </c>
      <c r="B438" s="54" t="s">
        <v>679</v>
      </c>
      <c r="C438" s="31">
        <v>4301031382</v>
      </c>
      <c r="D438" s="677">
        <v>4680115886117</v>
      </c>
      <c r="E438" s="678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909" t="s">
        <v>677</v>
      </c>
      <c r="Q438" s="675"/>
      <c r="R438" s="675"/>
      <c r="S438" s="675"/>
      <c r="T438" s="676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680</v>
      </c>
      <c r="B439" s="54" t="s">
        <v>681</v>
      </c>
      <c r="C439" s="31">
        <v>4301031402</v>
      </c>
      <c r="D439" s="677">
        <v>4680115886124</v>
      </c>
      <c r="E439" s="678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758" t="s">
        <v>682</v>
      </c>
      <c r="Q439" s="675"/>
      <c r="R439" s="675"/>
      <c r="S439" s="675"/>
      <c r="T439" s="676"/>
      <c r="U439" s="34"/>
      <c r="V439" s="34"/>
      <c r="W439" s="35" t="s">
        <v>68</v>
      </c>
      <c r="X439" s="667">
        <v>100</v>
      </c>
      <c r="Y439" s="668">
        <f t="shared" si="62"/>
        <v>102.60000000000001</v>
      </c>
      <c r="Z439" s="36">
        <f>IFERROR(IF(Y439=0,"",ROUNDUP(Y439/H439,0)*0.00902),"")</f>
        <v>0.17138</v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103.88888888888889</v>
      </c>
      <c r="BN439" s="64">
        <f t="shared" si="64"/>
        <v>106.59000000000002</v>
      </c>
      <c r="BO439" s="64">
        <f t="shared" si="65"/>
        <v>0.14029180695847362</v>
      </c>
      <c r="BP439" s="64">
        <f t="shared" si="66"/>
        <v>0.14393939393939395</v>
      </c>
    </row>
    <row r="440" spans="1:68" ht="27" customHeight="1" x14ac:dyDescent="0.25">
      <c r="A440" s="54" t="s">
        <v>684</v>
      </c>
      <c r="B440" s="54" t="s">
        <v>685</v>
      </c>
      <c r="C440" s="31">
        <v>4301031366</v>
      </c>
      <c r="D440" s="677">
        <v>4680115883147</v>
      </c>
      <c r="E440" s="678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76" t="s">
        <v>686</v>
      </c>
      <c r="Q440" s="675"/>
      <c r="R440" s="675"/>
      <c r="S440" s="675"/>
      <c r="T440" s="676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684</v>
      </c>
      <c r="B441" s="54" t="s">
        <v>687</v>
      </c>
      <c r="C441" s="31">
        <v>4301031335</v>
      </c>
      <c r="D441" s="677">
        <v>4680115883147</v>
      </c>
      <c r="E441" s="678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63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5"/>
      <c r="R441" s="675"/>
      <c r="S441" s="675"/>
      <c r="T441" s="676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688</v>
      </c>
      <c r="B442" s="54" t="s">
        <v>689</v>
      </c>
      <c r="C442" s="31">
        <v>4301031362</v>
      </c>
      <c r="D442" s="677">
        <v>4607091384338</v>
      </c>
      <c r="E442" s="678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94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5"/>
      <c r="R442" s="675"/>
      <c r="S442" s="675"/>
      <c r="T442" s="676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690</v>
      </c>
      <c r="B443" s="54" t="s">
        <v>691</v>
      </c>
      <c r="C443" s="31">
        <v>4301031361</v>
      </c>
      <c r="D443" s="677">
        <v>4607091389524</v>
      </c>
      <c r="E443" s="678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103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5"/>
      <c r="R443" s="675"/>
      <c r="S443" s="675"/>
      <c r="T443" s="676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customHeight="1" x14ac:dyDescent="0.25">
      <c r="A444" s="54" t="s">
        <v>693</v>
      </c>
      <c r="B444" s="54" t="s">
        <v>694</v>
      </c>
      <c r="C444" s="31">
        <v>4301031364</v>
      </c>
      <c r="D444" s="677">
        <v>4680115883161</v>
      </c>
      <c r="E444" s="678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687" t="s">
        <v>695</v>
      </c>
      <c r="Q444" s="675"/>
      <c r="R444" s="675"/>
      <c r="S444" s="675"/>
      <c r="T444" s="676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693</v>
      </c>
      <c r="B445" s="54" t="s">
        <v>697</v>
      </c>
      <c r="C445" s="31">
        <v>4301031337</v>
      </c>
      <c r="D445" s="677">
        <v>4680115883161</v>
      </c>
      <c r="E445" s="678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1052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5"/>
      <c r="R445" s="675"/>
      <c r="S445" s="675"/>
      <c r="T445" s="676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698</v>
      </c>
      <c r="B446" s="54" t="s">
        <v>699</v>
      </c>
      <c r="C446" s="31">
        <v>4301031358</v>
      </c>
      <c r="D446" s="677">
        <v>4607091389531</v>
      </c>
      <c r="E446" s="678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8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5"/>
      <c r="R446" s="675"/>
      <c r="S446" s="675"/>
      <c r="T446" s="676"/>
      <c r="U446" s="34"/>
      <c r="V446" s="34"/>
      <c r="W446" s="35" t="s">
        <v>68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customHeight="1" x14ac:dyDescent="0.25">
      <c r="A447" s="54" t="s">
        <v>701</v>
      </c>
      <c r="B447" s="54" t="s">
        <v>702</v>
      </c>
      <c r="C447" s="31">
        <v>4301031360</v>
      </c>
      <c r="D447" s="677">
        <v>4607091384345</v>
      </c>
      <c r="E447" s="678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7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5"/>
      <c r="R447" s="675"/>
      <c r="S447" s="675"/>
      <c r="T447" s="676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97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98"/>
      <c r="P448" s="699" t="s">
        <v>87</v>
      </c>
      <c r="Q448" s="700"/>
      <c r="R448" s="700"/>
      <c r="S448" s="700"/>
      <c r="T448" s="700"/>
      <c r="U448" s="700"/>
      <c r="V448" s="701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31.481481481481481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32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0.28864000000000001</v>
      </c>
      <c r="AA448" s="670"/>
      <c r="AB448" s="670"/>
      <c r="AC448" s="670"/>
    </row>
    <row r="449" spans="1:68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98"/>
      <c r="P449" s="699" t="s">
        <v>87</v>
      </c>
      <c r="Q449" s="700"/>
      <c r="R449" s="700"/>
      <c r="S449" s="700"/>
      <c r="T449" s="700"/>
      <c r="U449" s="700"/>
      <c r="V449" s="701"/>
      <c r="W449" s="37" t="s">
        <v>68</v>
      </c>
      <c r="X449" s="669">
        <f>IFERROR(SUM(X436:X447),"0")</f>
        <v>170</v>
      </c>
      <c r="Y449" s="669">
        <f>IFERROR(SUM(Y436:Y447),"0")</f>
        <v>172.8</v>
      </c>
      <c r="Z449" s="37"/>
      <c r="AA449" s="670"/>
      <c r="AB449" s="670"/>
      <c r="AC449" s="670"/>
    </row>
    <row r="450" spans="1:68" ht="14.25" customHeight="1" x14ac:dyDescent="0.25">
      <c r="A450" s="679" t="s">
        <v>63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3"/>
      <c r="AB450" s="663"/>
      <c r="AC450" s="663"/>
    </row>
    <row r="451" spans="1:68" ht="27" customHeight="1" x14ac:dyDescent="0.25">
      <c r="A451" s="54" t="s">
        <v>703</v>
      </c>
      <c r="B451" s="54" t="s">
        <v>704</v>
      </c>
      <c r="C451" s="31">
        <v>4301051284</v>
      </c>
      <c r="D451" s="677">
        <v>4607091384352</v>
      </c>
      <c r="E451" s="678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5"/>
      <c r="R451" s="675"/>
      <c r="S451" s="675"/>
      <c r="T451" s="676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706</v>
      </c>
      <c r="B452" s="54" t="s">
        <v>707</v>
      </c>
      <c r="C452" s="31">
        <v>4301051431</v>
      </c>
      <c r="D452" s="677">
        <v>4607091389654</v>
      </c>
      <c r="E452" s="678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104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5"/>
      <c r="R452" s="675"/>
      <c r="S452" s="675"/>
      <c r="T452" s="676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97"/>
      <c r="B453" s="680"/>
      <c r="C453" s="680"/>
      <c r="D453" s="680"/>
      <c r="E453" s="680"/>
      <c r="F453" s="680"/>
      <c r="G453" s="680"/>
      <c r="H453" s="680"/>
      <c r="I453" s="680"/>
      <c r="J453" s="680"/>
      <c r="K453" s="680"/>
      <c r="L453" s="680"/>
      <c r="M453" s="680"/>
      <c r="N453" s="680"/>
      <c r="O453" s="698"/>
      <c r="P453" s="699" t="s">
        <v>87</v>
      </c>
      <c r="Q453" s="700"/>
      <c r="R453" s="700"/>
      <c r="S453" s="700"/>
      <c r="T453" s="700"/>
      <c r="U453" s="700"/>
      <c r="V453" s="701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80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98"/>
      <c r="P454" s="699" t="s">
        <v>87</v>
      </c>
      <c r="Q454" s="700"/>
      <c r="R454" s="700"/>
      <c r="S454" s="700"/>
      <c r="T454" s="700"/>
      <c r="U454" s="700"/>
      <c r="V454" s="701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706" t="s">
        <v>709</v>
      </c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0"/>
      <c r="P455" s="680"/>
      <c r="Q455" s="680"/>
      <c r="R455" s="680"/>
      <c r="S455" s="680"/>
      <c r="T455" s="680"/>
      <c r="U455" s="680"/>
      <c r="V455" s="680"/>
      <c r="W455" s="680"/>
      <c r="X455" s="680"/>
      <c r="Y455" s="680"/>
      <c r="Z455" s="680"/>
      <c r="AA455" s="662"/>
      <c r="AB455" s="662"/>
      <c r="AC455" s="662"/>
    </row>
    <row r="456" spans="1:68" ht="14.25" customHeight="1" x14ac:dyDescent="0.25">
      <c r="A456" s="679" t="s">
        <v>133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3"/>
      <c r="AB456" s="663"/>
      <c r="AC456" s="663"/>
    </row>
    <row r="457" spans="1:68" ht="27" customHeight="1" x14ac:dyDescent="0.25">
      <c r="A457" s="54" t="s">
        <v>710</v>
      </c>
      <c r="B457" s="54" t="s">
        <v>711</v>
      </c>
      <c r="C457" s="31">
        <v>4301020319</v>
      </c>
      <c r="D457" s="677">
        <v>4680115885240</v>
      </c>
      <c r="E457" s="678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104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5"/>
      <c r="R457" s="675"/>
      <c r="S457" s="675"/>
      <c r="T457" s="676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713</v>
      </c>
      <c r="B458" s="54" t="s">
        <v>714</v>
      </c>
      <c r="C458" s="31">
        <v>4301020315</v>
      </c>
      <c r="D458" s="677">
        <v>4607091389364</v>
      </c>
      <c r="E458" s="678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1019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5"/>
      <c r="R458" s="675"/>
      <c r="S458" s="675"/>
      <c r="T458" s="676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97"/>
      <c r="B459" s="680"/>
      <c r="C459" s="680"/>
      <c r="D459" s="680"/>
      <c r="E459" s="680"/>
      <c r="F459" s="680"/>
      <c r="G459" s="680"/>
      <c r="H459" s="680"/>
      <c r="I459" s="680"/>
      <c r="J459" s="680"/>
      <c r="K459" s="680"/>
      <c r="L459" s="680"/>
      <c r="M459" s="680"/>
      <c r="N459" s="680"/>
      <c r="O459" s="698"/>
      <c r="P459" s="699" t="s">
        <v>87</v>
      </c>
      <c r="Q459" s="700"/>
      <c r="R459" s="700"/>
      <c r="S459" s="700"/>
      <c r="T459" s="700"/>
      <c r="U459" s="700"/>
      <c r="V459" s="701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80"/>
      <c r="B460" s="680"/>
      <c r="C460" s="680"/>
      <c r="D460" s="680"/>
      <c r="E460" s="680"/>
      <c r="F460" s="680"/>
      <c r="G460" s="680"/>
      <c r="H460" s="680"/>
      <c r="I460" s="680"/>
      <c r="J460" s="680"/>
      <c r="K460" s="680"/>
      <c r="L460" s="680"/>
      <c r="M460" s="680"/>
      <c r="N460" s="680"/>
      <c r="O460" s="698"/>
      <c r="P460" s="699" t="s">
        <v>87</v>
      </c>
      <c r="Q460" s="700"/>
      <c r="R460" s="700"/>
      <c r="S460" s="700"/>
      <c r="T460" s="700"/>
      <c r="U460" s="700"/>
      <c r="V460" s="701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79" t="s">
        <v>144</v>
      </c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0"/>
      <c r="P461" s="680"/>
      <c r="Q461" s="680"/>
      <c r="R461" s="680"/>
      <c r="S461" s="680"/>
      <c r="T461" s="680"/>
      <c r="U461" s="680"/>
      <c r="V461" s="680"/>
      <c r="W461" s="680"/>
      <c r="X461" s="680"/>
      <c r="Y461" s="680"/>
      <c r="Z461" s="680"/>
      <c r="AA461" s="663"/>
      <c r="AB461" s="663"/>
      <c r="AC461" s="663"/>
    </row>
    <row r="462" spans="1:68" ht="27" customHeight="1" x14ac:dyDescent="0.25">
      <c r="A462" s="54" t="s">
        <v>716</v>
      </c>
      <c r="B462" s="54" t="s">
        <v>717</v>
      </c>
      <c r="C462" s="31">
        <v>4301031403</v>
      </c>
      <c r="D462" s="677">
        <v>4680115886094</v>
      </c>
      <c r="E462" s="678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816" t="s">
        <v>718</v>
      </c>
      <c r="Q462" s="675"/>
      <c r="R462" s="675"/>
      <c r="S462" s="675"/>
      <c r="T462" s="676"/>
      <c r="U462" s="34"/>
      <c r="V462" s="34"/>
      <c r="W462" s="35" t="s">
        <v>68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720</v>
      </c>
      <c r="B463" s="54" t="s">
        <v>721</v>
      </c>
      <c r="C463" s="31">
        <v>4301031363</v>
      </c>
      <c r="D463" s="677">
        <v>4607091389425</v>
      </c>
      <c r="E463" s="678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77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5"/>
      <c r="R463" s="675"/>
      <c r="S463" s="675"/>
      <c r="T463" s="676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723</v>
      </c>
      <c r="B464" s="54" t="s">
        <v>724</v>
      </c>
      <c r="C464" s="31">
        <v>4301031373</v>
      </c>
      <c r="D464" s="677">
        <v>4680115880771</v>
      </c>
      <c r="E464" s="678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988" t="s">
        <v>725</v>
      </c>
      <c r="Q464" s="675"/>
      <c r="R464" s="675"/>
      <c r="S464" s="675"/>
      <c r="T464" s="676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727</v>
      </c>
      <c r="B465" s="54" t="s">
        <v>728</v>
      </c>
      <c r="C465" s="31">
        <v>4301031359</v>
      </c>
      <c r="D465" s="677">
        <v>4607091389500</v>
      </c>
      <c r="E465" s="678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7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5"/>
      <c r="R465" s="675"/>
      <c r="S465" s="675"/>
      <c r="T465" s="676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97"/>
      <c r="B466" s="680"/>
      <c r="C466" s="680"/>
      <c r="D466" s="680"/>
      <c r="E466" s="680"/>
      <c r="F466" s="680"/>
      <c r="G466" s="680"/>
      <c r="H466" s="680"/>
      <c r="I466" s="680"/>
      <c r="J466" s="680"/>
      <c r="K466" s="680"/>
      <c r="L466" s="680"/>
      <c r="M466" s="680"/>
      <c r="N466" s="680"/>
      <c r="O466" s="698"/>
      <c r="P466" s="699" t="s">
        <v>87</v>
      </c>
      <c r="Q466" s="700"/>
      <c r="R466" s="700"/>
      <c r="S466" s="700"/>
      <c r="T466" s="700"/>
      <c r="U466" s="700"/>
      <c r="V466" s="701"/>
      <c r="W466" s="37" t="s">
        <v>88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x14ac:dyDescent="0.2">
      <c r="A467" s="680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98"/>
      <c r="P467" s="699" t="s">
        <v>87</v>
      </c>
      <c r="Q467" s="700"/>
      <c r="R467" s="700"/>
      <c r="S467" s="700"/>
      <c r="T467" s="700"/>
      <c r="U467" s="700"/>
      <c r="V467" s="701"/>
      <c r="W467" s="37" t="s">
        <v>68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customHeight="1" x14ac:dyDescent="0.25">
      <c r="A468" s="706" t="s">
        <v>729</v>
      </c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0"/>
      <c r="P468" s="680"/>
      <c r="Q468" s="680"/>
      <c r="R468" s="680"/>
      <c r="S468" s="680"/>
      <c r="T468" s="680"/>
      <c r="U468" s="680"/>
      <c r="V468" s="680"/>
      <c r="W468" s="680"/>
      <c r="X468" s="680"/>
      <c r="Y468" s="680"/>
      <c r="Z468" s="680"/>
      <c r="AA468" s="662"/>
      <c r="AB468" s="662"/>
      <c r="AC468" s="662"/>
    </row>
    <row r="469" spans="1:68" ht="14.25" customHeight="1" x14ac:dyDescent="0.25">
      <c r="A469" s="679" t="s">
        <v>144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3"/>
      <c r="AB469" s="663"/>
      <c r="AC469" s="663"/>
    </row>
    <row r="470" spans="1:68" ht="27" customHeight="1" x14ac:dyDescent="0.25">
      <c r="A470" s="54" t="s">
        <v>730</v>
      </c>
      <c r="B470" s="54" t="s">
        <v>731</v>
      </c>
      <c r="C470" s="31">
        <v>4301031294</v>
      </c>
      <c r="D470" s="677">
        <v>4680115885189</v>
      </c>
      <c r="E470" s="678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788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5"/>
      <c r="R470" s="675"/>
      <c r="S470" s="675"/>
      <c r="T470" s="676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733</v>
      </c>
      <c r="B471" s="54" t="s">
        <v>734</v>
      </c>
      <c r="C471" s="31">
        <v>4301031347</v>
      </c>
      <c r="D471" s="677">
        <v>4680115885110</v>
      </c>
      <c r="E471" s="678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1007" t="s">
        <v>735</v>
      </c>
      <c r="Q471" s="675"/>
      <c r="R471" s="675"/>
      <c r="S471" s="675"/>
      <c r="T471" s="676"/>
      <c r="U471" s="34"/>
      <c r="V471" s="34"/>
      <c r="W471" s="35" t="s">
        <v>68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97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98"/>
      <c r="P472" s="699" t="s">
        <v>87</v>
      </c>
      <c r="Q472" s="700"/>
      <c r="R472" s="700"/>
      <c r="S472" s="700"/>
      <c r="T472" s="700"/>
      <c r="U472" s="700"/>
      <c r="V472" s="701"/>
      <c r="W472" s="37" t="s">
        <v>88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98"/>
      <c r="P473" s="699" t="s">
        <v>87</v>
      </c>
      <c r="Q473" s="700"/>
      <c r="R473" s="700"/>
      <c r="S473" s="700"/>
      <c r="T473" s="700"/>
      <c r="U473" s="700"/>
      <c r="V473" s="701"/>
      <c r="W473" s="37" t="s">
        <v>68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customHeight="1" x14ac:dyDescent="0.25">
      <c r="A474" s="706" t="s">
        <v>737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2"/>
      <c r="AB474" s="662"/>
      <c r="AC474" s="662"/>
    </row>
    <row r="475" spans="1:68" ht="14.25" customHeight="1" x14ac:dyDescent="0.25">
      <c r="A475" s="679" t="s">
        <v>144</v>
      </c>
      <c r="B475" s="680"/>
      <c r="C475" s="680"/>
      <c r="D475" s="680"/>
      <c r="E475" s="680"/>
      <c r="F475" s="680"/>
      <c r="G475" s="680"/>
      <c r="H475" s="680"/>
      <c r="I475" s="680"/>
      <c r="J475" s="680"/>
      <c r="K475" s="680"/>
      <c r="L475" s="680"/>
      <c r="M475" s="680"/>
      <c r="N475" s="680"/>
      <c r="O475" s="680"/>
      <c r="P475" s="680"/>
      <c r="Q475" s="680"/>
      <c r="R475" s="680"/>
      <c r="S475" s="680"/>
      <c r="T475" s="680"/>
      <c r="U475" s="680"/>
      <c r="V475" s="680"/>
      <c r="W475" s="680"/>
      <c r="X475" s="680"/>
      <c r="Y475" s="680"/>
      <c r="Z475" s="680"/>
      <c r="AA475" s="663"/>
      <c r="AB475" s="663"/>
      <c r="AC475" s="663"/>
    </row>
    <row r="476" spans="1:68" ht="27" customHeight="1" x14ac:dyDescent="0.25">
      <c r="A476" s="54" t="s">
        <v>738</v>
      </c>
      <c r="B476" s="54" t="s">
        <v>739</v>
      </c>
      <c r="C476" s="31">
        <v>4301031261</v>
      </c>
      <c r="D476" s="677">
        <v>4680115885103</v>
      </c>
      <c r="E476" s="678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996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5"/>
      <c r="R476" s="675"/>
      <c r="S476" s="675"/>
      <c r="T476" s="676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97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98"/>
      <c r="P477" s="699" t="s">
        <v>87</v>
      </c>
      <c r="Q477" s="700"/>
      <c r="R477" s="700"/>
      <c r="S477" s="700"/>
      <c r="T477" s="700"/>
      <c r="U477" s="700"/>
      <c r="V477" s="701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80"/>
      <c r="B478" s="680"/>
      <c r="C478" s="680"/>
      <c r="D478" s="680"/>
      <c r="E478" s="680"/>
      <c r="F478" s="680"/>
      <c r="G478" s="680"/>
      <c r="H478" s="680"/>
      <c r="I478" s="680"/>
      <c r="J478" s="680"/>
      <c r="K478" s="680"/>
      <c r="L478" s="680"/>
      <c r="M478" s="680"/>
      <c r="N478" s="680"/>
      <c r="O478" s="698"/>
      <c r="P478" s="699" t="s">
        <v>87</v>
      </c>
      <c r="Q478" s="700"/>
      <c r="R478" s="700"/>
      <c r="S478" s="700"/>
      <c r="T478" s="700"/>
      <c r="U478" s="700"/>
      <c r="V478" s="701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79" t="s">
        <v>170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3"/>
      <c r="AB479" s="663"/>
      <c r="AC479" s="663"/>
    </row>
    <row r="480" spans="1:68" ht="27" customHeight="1" x14ac:dyDescent="0.25">
      <c r="A480" s="54" t="s">
        <v>741</v>
      </c>
      <c r="B480" s="54" t="s">
        <v>742</v>
      </c>
      <c r="C480" s="31">
        <v>4301060412</v>
      </c>
      <c r="D480" s="677">
        <v>4680115885509</v>
      </c>
      <c r="E480" s="678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942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5"/>
      <c r="R480" s="675"/>
      <c r="S480" s="675"/>
      <c r="T480" s="676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97"/>
      <c r="B481" s="680"/>
      <c r="C481" s="680"/>
      <c r="D481" s="680"/>
      <c r="E481" s="680"/>
      <c r="F481" s="680"/>
      <c r="G481" s="680"/>
      <c r="H481" s="680"/>
      <c r="I481" s="680"/>
      <c r="J481" s="680"/>
      <c r="K481" s="680"/>
      <c r="L481" s="680"/>
      <c r="M481" s="680"/>
      <c r="N481" s="680"/>
      <c r="O481" s="698"/>
      <c r="P481" s="699" t="s">
        <v>87</v>
      </c>
      <c r="Q481" s="700"/>
      <c r="R481" s="700"/>
      <c r="S481" s="700"/>
      <c r="T481" s="700"/>
      <c r="U481" s="700"/>
      <c r="V481" s="701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80"/>
      <c r="B482" s="680"/>
      <c r="C482" s="680"/>
      <c r="D482" s="680"/>
      <c r="E482" s="680"/>
      <c r="F482" s="680"/>
      <c r="G482" s="680"/>
      <c r="H482" s="680"/>
      <c r="I482" s="680"/>
      <c r="J482" s="680"/>
      <c r="K482" s="680"/>
      <c r="L482" s="680"/>
      <c r="M482" s="680"/>
      <c r="N482" s="680"/>
      <c r="O482" s="698"/>
      <c r="P482" s="699" t="s">
        <v>87</v>
      </c>
      <c r="Q482" s="700"/>
      <c r="R482" s="700"/>
      <c r="S482" s="700"/>
      <c r="T482" s="700"/>
      <c r="U482" s="700"/>
      <c r="V482" s="701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836" t="s">
        <v>744</v>
      </c>
      <c r="B483" s="837"/>
      <c r="C483" s="837"/>
      <c r="D483" s="837"/>
      <c r="E483" s="837"/>
      <c r="F483" s="837"/>
      <c r="G483" s="837"/>
      <c r="H483" s="837"/>
      <c r="I483" s="837"/>
      <c r="J483" s="837"/>
      <c r="K483" s="837"/>
      <c r="L483" s="837"/>
      <c r="M483" s="837"/>
      <c r="N483" s="837"/>
      <c r="O483" s="837"/>
      <c r="P483" s="837"/>
      <c r="Q483" s="837"/>
      <c r="R483" s="837"/>
      <c r="S483" s="837"/>
      <c r="T483" s="837"/>
      <c r="U483" s="837"/>
      <c r="V483" s="837"/>
      <c r="W483" s="837"/>
      <c r="X483" s="837"/>
      <c r="Y483" s="837"/>
      <c r="Z483" s="837"/>
      <c r="AA483" s="48"/>
      <c r="AB483" s="48"/>
      <c r="AC483" s="48"/>
    </row>
    <row r="484" spans="1:68" ht="16.5" customHeight="1" x14ac:dyDescent="0.25">
      <c r="A484" s="706" t="s">
        <v>744</v>
      </c>
      <c r="B484" s="680"/>
      <c r="C484" s="680"/>
      <c r="D484" s="680"/>
      <c r="E484" s="680"/>
      <c r="F484" s="680"/>
      <c r="G484" s="680"/>
      <c r="H484" s="680"/>
      <c r="I484" s="680"/>
      <c r="J484" s="680"/>
      <c r="K484" s="680"/>
      <c r="L484" s="680"/>
      <c r="M484" s="680"/>
      <c r="N484" s="680"/>
      <c r="O484" s="680"/>
      <c r="P484" s="680"/>
      <c r="Q484" s="680"/>
      <c r="R484" s="680"/>
      <c r="S484" s="680"/>
      <c r="T484" s="680"/>
      <c r="U484" s="680"/>
      <c r="V484" s="680"/>
      <c r="W484" s="680"/>
      <c r="X484" s="680"/>
      <c r="Y484" s="680"/>
      <c r="Z484" s="680"/>
      <c r="AA484" s="662"/>
      <c r="AB484" s="662"/>
      <c r="AC484" s="662"/>
    </row>
    <row r="485" spans="1:68" ht="14.25" customHeight="1" x14ac:dyDescent="0.25">
      <c r="A485" s="679" t="s">
        <v>97</v>
      </c>
      <c r="B485" s="680"/>
      <c r="C485" s="680"/>
      <c r="D485" s="680"/>
      <c r="E485" s="680"/>
      <c r="F485" s="680"/>
      <c r="G485" s="680"/>
      <c r="H485" s="680"/>
      <c r="I485" s="680"/>
      <c r="J485" s="680"/>
      <c r="K485" s="680"/>
      <c r="L485" s="680"/>
      <c r="M485" s="680"/>
      <c r="N485" s="680"/>
      <c r="O485" s="680"/>
      <c r="P485" s="680"/>
      <c r="Q485" s="680"/>
      <c r="R485" s="680"/>
      <c r="S485" s="680"/>
      <c r="T485" s="680"/>
      <c r="U485" s="680"/>
      <c r="V485" s="680"/>
      <c r="W485" s="680"/>
      <c r="X485" s="680"/>
      <c r="Y485" s="680"/>
      <c r="Z485" s="680"/>
      <c r="AA485" s="663"/>
      <c r="AB485" s="663"/>
      <c r="AC485" s="663"/>
    </row>
    <row r="486" spans="1:68" ht="27" customHeight="1" x14ac:dyDescent="0.25">
      <c r="A486" s="54" t="s">
        <v>745</v>
      </c>
      <c r="B486" s="54" t="s">
        <v>746</v>
      </c>
      <c r="C486" s="31">
        <v>4301011795</v>
      </c>
      <c r="D486" s="677">
        <v>4607091389067</v>
      </c>
      <c r="E486" s="678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7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5"/>
      <c r="R486" s="675"/>
      <c r="S486" s="675"/>
      <c r="T486" s="676"/>
      <c r="U486" s="34"/>
      <c r="V486" s="34"/>
      <c r="W486" s="35" t="s">
        <v>68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4301011961</v>
      </c>
      <c r="D487" s="677">
        <v>4680115885271</v>
      </c>
      <c r="E487" s="678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84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5"/>
      <c r="R487" s="675"/>
      <c r="S487" s="675"/>
      <c r="T487" s="676"/>
      <c r="U487" s="34"/>
      <c r="V487" s="34"/>
      <c r="W487" s="35" t="s">
        <v>68</v>
      </c>
      <c r="X487" s="667">
        <v>500</v>
      </c>
      <c r="Y487" s="668">
        <f t="shared" si="68"/>
        <v>501.6</v>
      </c>
      <c r="Z487" s="36">
        <f t="shared" si="69"/>
        <v>1.1362000000000001</v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534.09090909090912</v>
      </c>
      <c r="BN487" s="64">
        <f t="shared" si="71"/>
        <v>535.79999999999995</v>
      </c>
      <c r="BO487" s="64">
        <f t="shared" si="72"/>
        <v>0.91054778554778548</v>
      </c>
      <c r="BP487" s="64">
        <f t="shared" si="73"/>
        <v>0.91346153846153855</v>
      </c>
    </row>
    <row r="488" spans="1:68" ht="27" customHeight="1" x14ac:dyDescent="0.25">
      <c r="A488" s="54" t="s">
        <v>751</v>
      </c>
      <c r="B488" s="54" t="s">
        <v>752</v>
      </c>
      <c r="C488" s="31">
        <v>4301011376</v>
      </c>
      <c r="D488" s="677">
        <v>4680115885226</v>
      </c>
      <c r="E488" s="678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7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5"/>
      <c r="R488" s="675"/>
      <c r="S488" s="675"/>
      <c r="T488" s="676"/>
      <c r="U488" s="34"/>
      <c r="V488" s="34"/>
      <c r="W488" s="35" t="s">
        <v>68</v>
      </c>
      <c r="X488" s="667">
        <v>1500</v>
      </c>
      <c r="Y488" s="668">
        <f t="shared" si="68"/>
        <v>1504.8000000000002</v>
      </c>
      <c r="Z488" s="36">
        <f t="shared" si="69"/>
        <v>3.4085999999999999</v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1602.2727272727273</v>
      </c>
      <c r="BN488" s="64">
        <f t="shared" si="71"/>
        <v>1607.3999999999999</v>
      </c>
      <c r="BO488" s="64">
        <f t="shared" si="72"/>
        <v>2.7316433566433567</v>
      </c>
      <c r="BP488" s="64">
        <f t="shared" si="73"/>
        <v>2.7403846153846154</v>
      </c>
    </row>
    <row r="489" spans="1:68" ht="16.5" customHeight="1" x14ac:dyDescent="0.25">
      <c r="A489" s="54" t="s">
        <v>754</v>
      </c>
      <c r="B489" s="54" t="s">
        <v>755</v>
      </c>
      <c r="C489" s="31">
        <v>4301011774</v>
      </c>
      <c r="D489" s="677">
        <v>4680115884502</v>
      </c>
      <c r="E489" s="678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5"/>
      <c r="R489" s="675"/>
      <c r="S489" s="675"/>
      <c r="T489" s="676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4301011771</v>
      </c>
      <c r="D490" s="677">
        <v>4607091389104</v>
      </c>
      <c r="E490" s="678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79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5"/>
      <c r="R490" s="675"/>
      <c r="S490" s="675"/>
      <c r="T490" s="676"/>
      <c r="U490" s="34"/>
      <c r="V490" s="34"/>
      <c r="W490" s="35" t="s">
        <v>68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customHeight="1" x14ac:dyDescent="0.25">
      <c r="A491" s="54" t="s">
        <v>760</v>
      </c>
      <c r="B491" s="54" t="s">
        <v>761</v>
      </c>
      <c r="C491" s="31">
        <v>4301011799</v>
      </c>
      <c r="D491" s="677">
        <v>4680115884519</v>
      </c>
      <c r="E491" s="678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83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5"/>
      <c r="R491" s="675"/>
      <c r="S491" s="675"/>
      <c r="T491" s="676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763</v>
      </c>
      <c r="B492" s="54" t="s">
        <v>764</v>
      </c>
      <c r="C492" s="31">
        <v>4301012125</v>
      </c>
      <c r="D492" s="677">
        <v>4680115886391</v>
      </c>
      <c r="E492" s="678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983" t="s">
        <v>765</v>
      </c>
      <c r="Q492" s="675"/>
      <c r="R492" s="675"/>
      <c r="S492" s="675"/>
      <c r="T492" s="676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767</v>
      </c>
      <c r="C493" s="31">
        <v>4301011778</v>
      </c>
      <c r="D493" s="677">
        <v>4680115880603</v>
      </c>
      <c r="E493" s="678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93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5"/>
      <c r="R493" s="675"/>
      <c r="S493" s="675"/>
      <c r="T493" s="676"/>
      <c r="U493" s="34"/>
      <c r="V493" s="34"/>
      <c r="W493" s="35" t="s">
        <v>68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766</v>
      </c>
      <c r="B494" s="54" t="s">
        <v>768</v>
      </c>
      <c r="C494" s="31">
        <v>4301012035</v>
      </c>
      <c r="D494" s="677">
        <v>4680115880603</v>
      </c>
      <c r="E494" s="678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9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5"/>
      <c r="R494" s="675"/>
      <c r="S494" s="675"/>
      <c r="T494" s="676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769</v>
      </c>
      <c r="B495" s="54" t="s">
        <v>770</v>
      </c>
      <c r="C495" s="31">
        <v>4301012036</v>
      </c>
      <c r="D495" s="677">
        <v>4680115882782</v>
      </c>
      <c r="E495" s="678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5"/>
      <c r="R495" s="675"/>
      <c r="S495" s="675"/>
      <c r="T495" s="676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771</v>
      </c>
      <c r="B496" s="54" t="s">
        <v>772</v>
      </c>
      <c r="C496" s="31">
        <v>4301012055</v>
      </c>
      <c r="D496" s="677">
        <v>4680115886469</v>
      </c>
      <c r="E496" s="678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905" t="s">
        <v>773</v>
      </c>
      <c r="Q496" s="675"/>
      <c r="R496" s="675"/>
      <c r="S496" s="675"/>
      <c r="T496" s="676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774</v>
      </c>
      <c r="B497" s="54" t="s">
        <v>775</v>
      </c>
      <c r="C497" s="31">
        <v>4301012057</v>
      </c>
      <c r="D497" s="677">
        <v>4680115886483</v>
      </c>
      <c r="E497" s="678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723" t="s">
        <v>776</v>
      </c>
      <c r="Q497" s="675"/>
      <c r="R497" s="675"/>
      <c r="S497" s="675"/>
      <c r="T497" s="676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777</v>
      </c>
      <c r="B498" s="54" t="s">
        <v>778</v>
      </c>
      <c r="C498" s="31">
        <v>4301012050</v>
      </c>
      <c r="D498" s="677">
        <v>4680115885479</v>
      </c>
      <c r="E498" s="678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952" t="s">
        <v>779</v>
      </c>
      <c r="Q498" s="675"/>
      <c r="R498" s="675"/>
      <c r="S498" s="675"/>
      <c r="T498" s="676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780</v>
      </c>
      <c r="B499" s="54" t="s">
        <v>781</v>
      </c>
      <c r="C499" s="31">
        <v>4301011784</v>
      </c>
      <c r="D499" s="677">
        <v>4607091389982</v>
      </c>
      <c r="E499" s="678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731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5"/>
      <c r="R499" s="675"/>
      <c r="S499" s="675"/>
      <c r="T499" s="676"/>
      <c r="U499" s="34"/>
      <c r="V499" s="34"/>
      <c r="W499" s="35" t="s">
        <v>68</v>
      </c>
      <c r="X499" s="667">
        <v>400</v>
      </c>
      <c r="Y499" s="668">
        <f t="shared" si="68"/>
        <v>403.2</v>
      </c>
      <c r="Z499" s="36">
        <f>IFERROR(IF(Y499=0,"",ROUNDUP(Y499/H499,0)*0.00902),"")</f>
        <v>1.01024</v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423.33333333333331</v>
      </c>
      <c r="BN499" s="64">
        <f t="shared" si="71"/>
        <v>426.71999999999997</v>
      </c>
      <c r="BO499" s="64">
        <f t="shared" si="72"/>
        <v>0.84175084175084181</v>
      </c>
      <c r="BP499" s="64">
        <f t="shared" si="73"/>
        <v>0.84848484848484851</v>
      </c>
    </row>
    <row r="500" spans="1:68" ht="27" customHeight="1" x14ac:dyDescent="0.25">
      <c r="A500" s="54" t="s">
        <v>780</v>
      </c>
      <c r="B500" s="54" t="s">
        <v>782</v>
      </c>
      <c r="C500" s="31">
        <v>4301012034</v>
      </c>
      <c r="D500" s="677">
        <v>4607091389982</v>
      </c>
      <c r="E500" s="678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6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5"/>
      <c r="R500" s="675"/>
      <c r="S500" s="675"/>
      <c r="T500" s="676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783</v>
      </c>
      <c r="B501" s="54" t="s">
        <v>784</v>
      </c>
      <c r="C501" s="31">
        <v>4301012058</v>
      </c>
      <c r="D501" s="677">
        <v>4680115886490</v>
      </c>
      <c r="E501" s="678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922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5"/>
      <c r="R501" s="675"/>
      <c r="S501" s="675"/>
      <c r="T501" s="676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97"/>
      <c r="B502" s="680"/>
      <c r="C502" s="680"/>
      <c r="D502" s="680"/>
      <c r="E502" s="680"/>
      <c r="F502" s="680"/>
      <c r="G502" s="680"/>
      <c r="H502" s="680"/>
      <c r="I502" s="680"/>
      <c r="J502" s="680"/>
      <c r="K502" s="680"/>
      <c r="L502" s="680"/>
      <c r="M502" s="680"/>
      <c r="N502" s="680"/>
      <c r="O502" s="698"/>
      <c r="P502" s="699" t="s">
        <v>87</v>
      </c>
      <c r="Q502" s="700"/>
      <c r="R502" s="700"/>
      <c r="S502" s="700"/>
      <c r="T502" s="700"/>
      <c r="U502" s="700"/>
      <c r="V502" s="701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489.89898989898984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492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5.55504</v>
      </c>
      <c r="AA502" s="670"/>
      <c r="AB502" s="670"/>
      <c r="AC502" s="670"/>
    </row>
    <row r="503" spans="1:68" x14ac:dyDescent="0.2">
      <c r="A503" s="680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98"/>
      <c r="P503" s="699" t="s">
        <v>87</v>
      </c>
      <c r="Q503" s="700"/>
      <c r="R503" s="700"/>
      <c r="S503" s="700"/>
      <c r="T503" s="700"/>
      <c r="U503" s="700"/>
      <c r="V503" s="701"/>
      <c r="W503" s="37" t="s">
        <v>68</v>
      </c>
      <c r="X503" s="669">
        <f>IFERROR(SUM(X486:X501),"0")</f>
        <v>2400</v>
      </c>
      <c r="Y503" s="669">
        <f>IFERROR(SUM(Y486:Y501),"0")</f>
        <v>2409.6</v>
      </c>
      <c r="Z503" s="37"/>
      <c r="AA503" s="670"/>
      <c r="AB503" s="670"/>
      <c r="AC503" s="670"/>
    </row>
    <row r="504" spans="1:68" ht="14.25" customHeight="1" x14ac:dyDescent="0.25">
      <c r="A504" s="679" t="s">
        <v>133</v>
      </c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0"/>
      <c r="P504" s="680"/>
      <c r="Q504" s="680"/>
      <c r="R504" s="680"/>
      <c r="S504" s="680"/>
      <c r="T504" s="680"/>
      <c r="U504" s="680"/>
      <c r="V504" s="680"/>
      <c r="W504" s="680"/>
      <c r="X504" s="680"/>
      <c r="Y504" s="680"/>
      <c r="Z504" s="680"/>
      <c r="AA504" s="663"/>
      <c r="AB504" s="663"/>
      <c r="AC504" s="663"/>
    </row>
    <row r="505" spans="1:68" ht="16.5" customHeight="1" x14ac:dyDescent="0.25">
      <c r="A505" s="54" t="s">
        <v>785</v>
      </c>
      <c r="B505" s="54" t="s">
        <v>786</v>
      </c>
      <c r="C505" s="31">
        <v>4301020222</v>
      </c>
      <c r="D505" s="677">
        <v>4607091388930</v>
      </c>
      <c r="E505" s="678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70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5"/>
      <c r="R505" s="675"/>
      <c r="S505" s="675"/>
      <c r="T505" s="676"/>
      <c r="U505" s="34"/>
      <c r="V505" s="34"/>
      <c r="W505" s="35" t="s">
        <v>68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customHeight="1" x14ac:dyDescent="0.25">
      <c r="A506" s="54" t="s">
        <v>785</v>
      </c>
      <c r="B506" s="54" t="s">
        <v>788</v>
      </c>
      <c r="C506" s="31">
        <v>4301020334</v>
      </c>
      <c r="D506" s="677">
        <v>4607091388930</v>
      </c>
      <c r="E506" s="678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865" t="s">
        <v>789</v>
      </c>
      <c r="Q506" s="675"/>
      <c r="R506" s="675"/>
      <c r="S506" s="675"/>
      <c r="T506" s="676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791</v>
      </c>
      <c r="B507" s="54" t="s">
        <v>792</v>
      </c>
      <c r="C507" s="31">
        <v>4301020384</v>
      </c>
      <c r="D507" s="677">
        <v>4680115886407</v>
      </c>
      <c r="E507" s="678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710" t="s">
        <v>793</v>
      </c>
      <c r="Q507" s="675"/>
      <c r="R507" s="675"/>
      <c r="S507" s="675"/>
      <c r="T507" s="676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794</v>
      </c>
      <c r="B508" s="54" t="s">
        <v>795</v>
      </c>
      <c r="C508" s="31">
        <v>4301020385</v>
      </c>
      <c r="D508" s="677">
        <v>4680115880054</v>
      </c>
      <c r="E508" s="678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986" t="s">
        <v>796</v>
      </c>
      <c r="Q508" s="675"/>
      <c r="R508" s="675"/>
      <c r="S508" s="675"/>
      <c r="T508" s="676"/>
      <c r="U508" s="34"/>
      <c r="V508" s="34"/>
      <c r="W508" s="35" t="s">
        <v>68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97"/>
      <c r="B509" s="680"/>
      <c r="C509" s="680"/>
      <c r="D509" s="680"/>
      <c r="E509" s="680"/>
      <c r="F509" s="680"/>
      <c r="G509" s="680"/>
      <c r="H509" s="680"/>
      <c r="I509" s="680"/>
      <c r="J509" s="680"/>
      <c r="K509" s="680"/>
      <c r="L509" s="680"/>
      <c r="M509" s="680"/>
      <c r="N509" s="680"/>
      <c r="O509" s="698"/>
      <c r="P509" s="699" t="s">
        <v>87</v>
      </c>
      <c r="Q509" s="700"/>
      <c r="R509" s="700"/>
      <c r="S509" s="700"/>
      <c r="T509" s="700"/>
      <c r="U509" s="700"/>
      <c r="V509" s="701"/>
      <c r="W509" s="37" t="s">
        <v>88</v>
      </c>
      <c r="X509" s="669">
        <f>IFERROR(X505/H505,"0")+IFERROR(X506/H506,"0")+IFERROR(X507/H507,"0")+IFERROR(X508/H508,"0")</f>
        <v>0</v>
      </c>
      <c r="Y509" s="669">
        <f>IFERROR(Y505/H505,"0")+IFERROR(Y506/H506,"0")+IFERROR(Y507/H507,"0")+IFERROR(Y508/H508,"0")</f>
        <v>0</v>
      </c>
      <c r="Z509" s="669">
        <f>IFERROR(IF(Z505="",0,Z505),"0")+IFERROR(IF(Z506="",0,Z506),"0")+IFERROR(IF(Z507="",0,Z507),"0")+IFERROR(IF(Z508="",0,Z508),"0")</f>
        <v>0</v>
      </c>
      <c r="AA509" s="670"/>
      <c r="AB509" s="670"/>
      <c r="AC509" s="670"/>
    </row>
    <row r="510" spans="1:68" x14ac:dyDescent="0.2">
      <c r="A510" s="680"/>
      <c r="B510" s="680"/>
      <c r="C510" s="680"/>
      <c r="D510" s="680"/>
      <c r="E510" s="680"/>
      <c r="F510" s="680"/>
      <c r="G510" s="680"/>
      <c r="H510" s="680"/>
      <c r="I510" s="680"/>
      <c r="J510" s="680"/>
      <c r="K510" s="680"/>
      <c r="L510" s="680"/>
      <c r="M510" s="680"/>
      <c r="N510" s="680"/>
      <c r="O510" s="698"/>
      <c r="P510" s="699" t="s">
        <v>87</v>
      </c>
      <c r="Q510" s="700"/>
      <c r="R510" s="700"/>
      <c r="S510" s="700"/>
      <c r="T510" s="700"/>
      <c r="U510" s="700"/>
      <c r="V510" s="701"/>
      <c r="W510" s="37" t="s">
        <v>68</v>
      </c>
      <c r="X510" s="669">
        <f>IFERROR(SUM(X505:X508),"0")</f>
        <v>0</v>
      </c>
      <c r="Y510" s="669">
        <f>IFERROR(SUM(Y505:Y508),"0")</f>
        <v>0</v>
      </c>
      <c r="Z510" s="37"/>
      <c r="AA510" s="670"/>
      <c r="AB510" s="670"/>
      <c r="AC510" s="670"/>
    </row>
    <row r="511" spans="1:68" ht="14.25" customHeight="1" x14ac:dyDescent="0.25">
      <c r="A511" s="679" t="s">
        <v>144</v>
      </c>
      <c r="B511" s="680"/>
      <c r="C511" s="680"/>
      <c r="D511" s="680"/>
      <c r="E511" s="680"/>
      <c r="F511" s="680"/>
      <c r="G511" s="680"/>
      <c r="H511" s="680"/>
      <c r="I511" s="680"/>
      <c r="J511" s="680"/>
      <c r="K511" s="680"/>
      <c r="L511" s="680"/>
      <c r="M511" s="680"/>
      <c r="N511" s="680"/>
      <c r="O511" s="680"/>
      <c r="P511" s="680"/>
      <c r="Q511" s="680"/>
      <c r="R511" s="680"/>
      <c r="S511" s="680"/>
      <c r="T511" s="680"/>
      <c r="U511" s="680"/>
      <c r="V511" s="680"/>
      <c r="W511" s="680"/>
      <c r="X511" s="680"/>
      <c r="Y511" s="680"/>
      <c r="Z511" s="680"/>
      <c r="AA511" s="663"/>
      <c r="AB511" s="663"/>
      <c r="AC511" s="663"/>
    </row>
    <row r="512" spans="1:68" ht="27" customHeight="1" x14ac:dyDescent="0.25">
      <c r="A512" s="54" t="s">
        <v>797</v>
      </c>
      <c r="B512" s="54" t="s">
        <v>798</v>
      </c>
      <c r="C512" s="31">
        <v>4301031349</v>
      </c>
      <c r="D512" s="677">
        <v>4680115883116</v>
      </c>
      <c r="E512" s="678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841" t="s">
        <v>799</v>
      </c>
      <c r="Q512" s="675"/>
      <c r="R512" s="675"/>
      <c r="S512" s="675"/>
      <c r="T512" s="676"/>
      <c r="U512" s="34"/>
      <c r="V512" s="34"/>
      <c r="W512" s="35" t="s">
        <v>68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customHeight="1" x14ac:dyDescent="0.25">
      <c r="A513" s="54" t="s">
        <v>801</v>
      </c>
      <c r="B513" s="54" t="s">
        <v>802</v>
      </c>
      <c r="C513" s="31">
        <v>4301031350</v>
      </c>
      <c r="D513" s="677">
        <v>4680115883093</v>
      </c>
      <c r="E513" s="678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930" t="s">
        <v>803</v>
      </c>
      <c r="Q513" s="675"/>
      <c r="R513" s="675"/>
      <c r="S513" s="675"/>
      <c r="T513" s="676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4301031353</v>
      </c>
      <c r="D514" s="677">
        <v>4680115883109</v>
      </c>
      <c r="E514" s="678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93" t="s">
        <v>807</v>
      </c>
      <c r="Q514" s="675"/>
      <c r="R514" s="675"/>
      <c r="S514" s="675"/>
      <c r="T514" s="676"/>
      <c r="U514" s="34"/>
      <c r="V514" s="34"/>
      <c r="W514" s="35" t="s">
        <v>68</v>
      </c>
      <c r="X514" s="667">
        <v>700</v>
      </c>
      <c r="Y514" s="668">
        <f t="shared" si="74"/>
        <v>702.24</v>
      </c>
      <c r="Z514" s="36">
        <f>IFERROR(IF(Y514=0,"",ROUNDUP(Y514/H514,0)*0.01196),"")</f>
        <v>1.5906800000000001</v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747.72727272727275</v>
      </c>
      <c r="BN514" s="64">
        <f t="shared" si="76"/>
        <v>750.11999999999989</v>
      </c>
      <c r="BO514" s="64">
        <f t="shared" si="77"/>
        <v>1.2747668997668997</v>
      </c>
      <c r="BP514" s="64">
        <f t="shared" si="78"/>
        <v>1.278846153846154</v>
      </c>
    </row>
    <row r="515" spans="1:68" ht="27" customHeight="1" x14ac:dyDescent="0.25">
      <c r="A515" s="54" t="s">
        <v>809</v>
      </c>
      <c r="B515" s="54" t="s">
        <v>810</v>
      </c>
      <c r="C515" s="31">
        <v>4301031409</v>
      </c>
      <c r="D515" s="677">
        <v>4680115886438</v>
      </c>
      <c r="E515" s="678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742" t="s">
        <v>811</v>
      </c>
      <c r="Q515" s="675"/>
      <c r="R515" s="675"/>
      <c r="S515" s="675"/>
      <c r="T515" s="676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812</v>
      </c>
      <c r="B516" s="54" t="s">
        <v>813</v>
      </c>
      <c r="C516" s="31">
        <v>4301031419</v>
      </c>
      <c r="D516" s="677">
        <v>4680115882072</v>
      </c>
      <c r="E516" s="678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81" t="s">
        <v>814</v>
      </c>
      <c r="Q516" s="675"/>
      <c r="R516" s="675"/>
      <c r="S516" s="675"/>
      <c r="T516" s="676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customHeight="1" x14ac:dyDescent="0.25">
      <c r="A517" s="54" t="s">
        <v>812</v>
      </c>
      <c r="B517" s="54" t="s">
        <v>815</v>
      </c>
      <c r="C517" s="31">
        <v>4301031351</v>
      </c>
      <c r="D517" s="677">
        <v>4680115882072</v>
      </c>
      <c r="E517" s="678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868" t="s">
        <v>816</v>
      </c>
      <c r="Q517" s="675"/>
      <c r="R517" s="675"/>
      <c r="S517" s="675"/>
      <c r="T517" s="676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812</v>
      </c>
      <c r="B518" s="54" t="s">
        <v>817</v>
      </c>
      <c r="C518" s="31">
        <v>4301031383</v>
      </c>
      <c r="D518" s="677">
        <v>4680115882072</v>
      </c>
      <c r="E518" s="678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104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5"/>
      <c r="R518" s="675"/>
      <c r="S518" s="675"/>
      <c r="T518" s="676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819</v>
      </c>
      <c r="B519" s="54" t="s">
        <v>820</v>
      </c>
      <c r="C519" s="31">
        <v>4301031418</v>
      </c>
      <c r="D519" s="677">
        <v>4680115882102</v>
      </c>
      <c r="E519" s="678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918" t="s">
        <v>821</v>
      </c>
      <c r="Q519" s="675"/>
      <c r="R519" s="675"/>
      <c r="S519" s="675"/>
      <c r="T519" s="676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822</v>
      </c>
      <c r="B520" s="54" t="s">
        <v>823</v>
      </c>
      <c r="C520" s="31">
        <v>4301031253</v>
      </c>
      <c r="D520" s="677">
        <v>4680115882096</v>
      </c>
      <c r="E520" s="678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103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5"/>
      <c r="R520" s="675"/>
      <c r="S520" s="675"/>
      <c r="T520" s="676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822</v>
      </c>
      <c r="B521" s="54" t="s">
        <v>825</v>
      </c>
      <c r="C521" s="31">
        <v>4301031417</v>
      </c>
      <c r="D521" s="677">
        <v>4680115882096</v>
      </c>
      <c r="E521" s="678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1014" t="s">
        <v>826</v>
      </c>
      <c r="Q521" s="675"/>
      <c r="R521" s="675"/>
      <c r="S521" s="675"/>
      <c r="T521" s="676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822</v>
      </c>
      <c r="B522" s="54" t="s">
        <v>827</v>
      </c>
      <c r="C522" s="31">
        <v>4301031384</v>
      </c>
      <c r="D522" s="677">
        <v>4680115882096</v>
      </c>
      <c r="E522" s="678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100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5"/>
      <c r="R522" s="675"/>
      <c r="S522" s="675"/>
      <c r="T522" s="676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97"/>
      <c r="B523" s="680"/>
      <c r="C523" s="680"/>
      <c r="D523" s="680"/>
      <c r="E523" s="680"/>
      <c r="F523" s="680"/>
      <c r="G523" s="680"/>
      <c r="H523" s="680"/>
      <c r="I523" s="680"/>
      <c r="J523" s="680"/>
      <c r="K523" s="680"/>
      <c r="L523" s="680"/>
      <c r="M523" s="680"/>
      <c r="N523" s="680"/>
      <c r="O523" s="698"/>
      <c r="P523" s="699" t="s">
        <v>87</v>
      </c>
      <c r="Q523" s="700"/>
      <c r="R523" s="700"/>
      <c r="S523" s="700"/>
      <c r="T523" s="700"/>
      <c r="U523" s="700"/>
      <c r="V523" s="701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132.57575757575756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133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1.5906800000000001</v>
      </c>
      <c r="AA523" s="670"/>
      <c r="AB523" s="670"/>
      <c r="AC523" s="670"/>
    </row>
    <row r="524" spans="1:68" x14ac:dyDescent="0.2">
      <c r="A524" s="680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98"/>
      <c r="P524" s="699" t="s">
        <v>87</v>
      </c>
      <c r="Q524" s="700"/>
      <c r="R524" s="700"/>
      <c r="S524" s="700"/>
      <c r="T524" s="700"/>
      <c r="U524" s="700"/>
      <c r="V524" s="701"/>
      <c r="W524" s="37" t="s">
        <v>68</v>
      </c>
      <c r="X524" s="669">
        <f>IFERROR(SUM(X512:X522),"0")</f>
        <v>700</v>
      </c>
      <c r="Y524" s="669">
        <f>IFERROR(SUM(Y512:Y522),"0")</f>
        <v>702.24</v>
      </c>
      <c r="Z524" s="37"/>
      <c r="AA524" s="670"/>
      <c r="AB524" s="670"/>
      <c r="AC524" s="670"/>
    </row>
    <row r="525" spans="1:68" ht="14.25" customHeight="1" x14ac:dyDescent="0.25">
      <c r="A525" s="679" t="s">
        <v>63</v>
      </c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0"/>
      <c r="P525" s="680"/>
      <c r="Q525" s="680"/>
      <c r="R525" s="680"/>
      <c r="S525" s="680"/>
      <c r="T525" s="680"/>
      <c r="U525" s="680"/>
      <c r="V525" s="680"/>
      <c r="W525" s="680"/>
      <c r="X525" s="680"/>
      <c r="Y525" s="680"/>
      <c r="Z525" s="680"/>
      <c r="AA525" s="663"/>
      <c r="AB525" s="663"/>
      <c r="AC525" s="663"/>
    </row>
    <row r="526" spans="1:68" ht="16.5" customHeight="1" x14ac:dyDescent="0.25">
      <c r="A526" s="54" t="s">
        <v>828</v>
      </c>
      <c r="B526" s="54" t="s">
        <v>829</v>
      </c>
      <c r="C526" s="31">
        <v>4301051232</v>
      </c>
      <c r="D526" s="677">
        <v>4607091383409</v>
      </c>
      <c r="E526" s="678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84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5"/>
      <c r="R526" s="675"/>
      <c r="S526" s="675"/>
      <c r="T526" s="676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831</v>
      </c>
      <c r="B527" s="54" t="s">
        <v>832</v>
      </c>
      <c r="C527" s="31">
        <v>4301051231</v>
      </c>
      <c r="D527" s="677">
        <v>4607091383416</v>
      </c>
      <c r="E527" s="678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100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5"/>
      <c r="R527" s="675"/>
      <c r="S527" s="675"/>
      <c r="T527" s="676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834</v>
      </c>
      <c r="B528" s="54" t="s">
        <v>835</v>
      </c>
      <c r="C528" s="31">
        <v>4301051064</v>
      </c>
      <c r="D528" s="677">
        <v>4680115883536</v>
      </c>
      <c r="E528" s="678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71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5"/>
      <c r="R528" s="675"/>
      <c r="S528" s="675"/>
      <c r="T528" s="676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97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98"/>
      <c r="P529" s="699" t="s">
        <v>87</v>
      </c>
      <c r="Q529" s="700"/>
      <c r="R529" s="700"/>
      <c r="S529" s="700"/>
      <c r="T529" s="700"/>
      <c r="U529" s="700"/>
      <c r="V529" s="701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98"/>
      <c r="P530" s="699" t="s">
        <v>87</v>
      </c>
      <c r="Q530" s="700"/>
      <c r="R530" s="700"/>
      <c r="S530" s="700"/>
      <c r="T530" s="700"/>
      <c r="U530" s="700"/>
      <c r="V530" s="701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79" t="s">
        <v>170</v>
      </c>
      <c r="B531" s="680"/>
      <c r="C531" s="680"/>
      <c r="D531" s="680"/>
      <c r="E531" s="680"/>
      <c r="F531" s="680"/>
      <c r="G531" s="680"/>
      <c r="H531" s="680"/>
      <c r="I531" s="680"/>
      <c r="J531" s="680"/>
      <c r="K531" s="680"/>
      <c r="L531" s="680"/>
      <c r="M531" s="680"/>
      <c r="N531" s="680"/>
      <c r="O531" s="680"/>
      <c r="P531" s="680"/>
      <c r="Q531" s="680"/>
      <c r="R531" s="680"/>
      <c r="S531" s="680"/>
      <c r="T531" s="680"/>
      <c r="U531" s="680"/>
      <c r="V531" s="680"/>
      <c r="W531" s="680"/>
      <c r="X531" s="680"/>
      <c r="Y531" s="680"/>
      <c r="Z531" s="680"/>
      <c r="AA531" s="663"/>
      <c r="AB531" s="663"/>
      <c r="AC531" s="663"/>
    </row>
    <row r="532" spans="1:68" ht="37.5" customHeight="1" x14ac:dyDescent="0.25">
      <c r="A532" s="54" t="s">
        <v>837</v>
      </c>
      <c r="B532" s="54" t="s">
        <v>838</v>
      </c>
      <c r="C532" s="31">
        <v>4301060436</v>
      </c>
      <c r="D532" s="677">
        <v>4680115885936</v>
      </c>
      <c r="E532" s="678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846" t="s">
        <v>839</v>
      </c>
      <c r="Q532" s="675"/>
      <c r="R532" s="675"/>
      <c r="S532" s="675"/>
      <c r="T532" s="676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97"/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98"/>
      <c r="P533" s="699" t="s">
        <v>87</v>
      </c>
      <c r="Q533" s="700"/>
      <c r="R533" s="700"/>
      <c r="S533" s="700"/>
      <c r="T533" s="700"/>
      <c r="U533" s="700"/>
      <c r="V533" s="701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80"/>
      <c r="B534" s="680"/>
      <c r="C534" s="680"/>
      <c r="D534" s="680"/>
      <c r="E534" s="680"/>
      <c r="F534" s="680"/>
      <c r="G534" s="680"/>
      <c r="H534" s="680"/>
      <c r="I534" s="680"/>
      <c r="J534" s="680"/>
      <c r="K534" s="680"/>
      <c r="L534" s="680"/>
      <c r="M534" s="680"/>
      <c r="N534" s="680"/>
      <c r="O534" s="698"/>
      <c r="P534" s="699" t="s">
        <v>87</v>
      </c>
      <c r="Q534" s="700"/>
      <c r="R534" s="700"/>
      <c r="S534" s="700"/>
      <c r="T534" s="700"/>
      <c r="U534" s="700"/>
      <c r="V534" s="701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836" t="s">
        <v>841</v>
      </c>
      <c r="B535" s="837"/>
      <c r="C535" s="837"/>
      <c r="D535" s="837"/>
      <c r="E535" s="837"/>
      <c r="F535" s="837"/>
      <c r="G535" s="837"/>
      <c r="H535" s="837"/>
      <c r="I535" s="837"/>
      <c r="J535" s="837"/>
      <c r="K535" s="837"/>
      <c r="L535" s="837"/>
      <c r="M535" s="837"/>
      <c r="N535" s="837"/>
      <c r="O535" s="837"/>
      <c r="P535" s="837"/>
      <c r="Q535" s="837"/>
      <c r="R535" s="837"/>
      <c r="S535" s="837"/>
      <c r="T535" s="837"/>
      <c r="U535" s="837"/>
      <c r="V535" s="837"/>
      <c r="W535" s="837"/>
      <c r="X535" s="837"/>
      <c r="Y535" s="837"/>
      <c r="Z535" s="837"/>
      <c r="AA535" s="48"/>
      <c r="AB535" s="48"/>
      <c r="AC535" s="48"/>
    </row>
    <row r="536" spans="1:68" ht="16.5" customHeight="1" x14ac:dyDescent="0.25">
      <c r="A536" s="706" t="s">
        <v>841</v>
      </c>
      <c r="B536" s="680"/>
      <c r="C536" s="680"/>
      <c r="D536" s="680"/>
      <c r="E536" s="680"/>
      <c r="F536" s="680"/>
      <c r="G536" s="680"/>
      <c r="H536" s="680"/>
      <c r="I536" s="680"/>
      <c r="J536" s="680"/>
      <c r="K536" s="680"/>
      <c r="L536" s="680"/>
      <c r="M536" s="680"/>
      <c r="N536" s="680"/>
      <c r="O536" s="680"/>
      <c r="P536" s="680"/>
      <c r="Q536" s="680"/>
      <c r="R536" s="680"/>
      <c r="S536" s="680"/>
      <c r="T536" s="680"/>
      <c r="U536" s="680"/>
      <c r="V536" s="680"/>
      <c r="W536" s="680"/>
      <c r="X536" s="680"/>
      <c r="Y536" s="680"/>
      <c r="Z536" s="680"/>
      <c r="AA536" s="662"/>
      <c r="AB536" s="662"/>
      <c r="AC536" s="662"/>
    </row>
    <row r="537" spans="1:68" ht="14.25" customHeight="1" x14ac:dyDescent="0.25">
      <c r="A537" s="679" t="s">
        <v>97</v>
      </c>
      <c r="B537" s="680"/>
      <c r="C537" s="680"/>
      <c r="D537" s="680"/>
      <c r="E537" s="680"/>
      <c r="F537" s="680"/>
      <c r="G537" s="680"/>
      <c r="H537" s="680"/>
      <c r="I537" s="680"/>
      <c r="J537" s="680"/>
      <c r="K537" s="680"/>
      <c r="L537" s="680"/>
      <c r="M537" s="680"/>
      <c r="N537" s="680"/>
      <c r="O537" s="680"/>
      <c r="P537" s="680"/>
      <c r="Q537" s="680"/>
      <c r="R537" s="680"/>
      <c r="S537" s="680"/>
      <c r="T537" s="680"/>
      <c r="U537" s="680"/>
      <c r="V537" s="680"/>
      <c r="W537" s="680"/>
      <c r="X537" s="680"/>
      <c r="Y537" s="680"/>
      <c r="Z537" s="680"/>
      <c r="AA537" s="663"/>
      <c r="AB537" s="663"/>
      <c r="AC537" s="663"/>
    </row>
    <row r="538" spans="1:68" ht="27" customHeight="1" x14ac:dyDescent="0.25">
      <c r="A538" s="54" t="s">
        <v>842</v>
      </c>
      <c r="B538" s="54" t="s">
        <v>843</v>
      </c>
      <c r="C538" s="31">
        <v>4301011763</v>
      </c>
      <c r="D538" s="677">
        <v>4640242181011</v>
      </c>
      <c r="E538" s="678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78" t="s">
        <v>844</v>
      </c>
      <c r="Q538" s="675"/>
      <c r="R538" s="675"/>
      <c r="S538" s="675"/>
      <c r="T538" s="676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846</v>
      </c>
      <c r="B539" s="54" t="s">
        <v>847</v>
      </c>
      <c r="C539" s="31">
        <v>4301011585</v>
      </c>
      <c r="D539" s="677">
        <v>4640242180441</v>
      </c>
      <c r="E539" s="678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994" t="s">
        <v>848</v>
      </c>
      <c r="Q539" s="675"/>
      <c r="R539" s="675"/>
      <c r="S539" s="675"/>
      <c r="T539" s="676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850</v>
      </c>
      <c r="B540" s="54" t="s">
        <v>851</v>
      </c>
      <c r="C540" s="31">
        <v>4301011584</v>
      </c>
      <c r="D540" s="677">
        <v>4640242180564</v>
      </c>
      <c r="E540" s="678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62" t="s">
        <v>852</v>
      </c>
      <c r="Q540" s="675"/>
      <c r="R540" s="675"/>
      <c r="S540" s="675"/>
      <c r="T540" s="676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854</v>
      </c>
      <c r="B541" s="54" t="s">
        <v>855</v>
      </c>
      <c r="C541" s="31">
        <v>4301011762</v>
      </c>
      <c r="D541" s="677">
        <v>4640242180922</v>
      </c>
      <c r="E541" s="678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824" t="s">
        <v>856</v>
      </c>
      <c r="Q541" s="675"/>
      <c r="R541" s="675"/>
      <c r="S541" s="675"/>
      <c r="T541" s="676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858</v>
      </c>
      <c r="B542" s="54" t="s">
        <v>859</v>
      </c>
      <c r="C542" s="31">
        <v>4301011551</v>
      </c>
      <c r="D542" s="677">
        <v>4640242180038</v>
      </c>
      <c r="E542" s="678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1009" t="s">
        <v>860</v>
      </c>
      <c r="Q542" s="675"/>
      <c r="R542" s="675"/>
      <c r="S542" s="675"/>
      <c r="T542" s="676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861</v>
      </c>
      <c r="B543" s="54" t="s">
        <v>862</v>
      </c>
      <c r="C543" s="31">
        <v>4301011765</v>
      </c>
      <c r="D543" s="677">
        <v>4640242181172</v>
      </c>
      <c r="E543" s="678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82" t="s">
        <v>863</v>
      </c>
      <c r="Q543" s="675"/>
      <c r="R543" s="675"/>
      <c r="S543" s="675"/>
      <c r="T543" s="676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97"/>
      <c r="B544" s="680"/>
      <c r="C544" s="680"/>
      <c r="D544" s="680"/>
      <c r="E544" s="680"/>
      <c r="F544" s="680"/>
      <c r="G544" s="680"/>
      <c r="H544" s="680"/>
      <c r="I544" s="680"/>
      <c r="J544" s="680"/>
      <c r="K544" s="680"/>
      <c r="L544" s="680"/>
      <c r="M544" s="680"/>
      <c r="N544" s="680"/>
      <c r="O544" s="698"/>
      <c r="P544" s="699" t="s">
        <v>87</v>
      </c>
      <c r="Q544" s="700"/>
      <c r="R544" s="700"/>
      <c r="S544" s="700"/>
      <c r="T544" s="700"/>
      <c r="U544" s="700"/>
      <c r="V544" s="701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80"/>
      <c r="B545" s="680"/>
      <c r="C545" s="680"/>
      <c r="D545" s="680"/>
      <c r="E545" s="680"/>
      <c r="F545" s="680"/>
      <c r="G545" s="680"/>
      <c r="H545" s="680"/>
      <c r="I545" s="680"/>
      <c r="J545" s="680"/>
      <c r="K545" s="680"/>
      <c r="L545" s="680"/>
      <c r="M545" s="680"/>
      <c r="N545" s="680"/>
      <c r="O545" s="698"/>
      <c r="P545" s="699" t="s">
        <v>87</v>
      </c>
      <c r="Q545" s="700"/>
      <c r="R545" s="700"/>
      <c r="S545" s="700"/>
      <c r="T545" s="700"/>
      <c r="U545" s="700"/>
      <c r="V545" s="701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79" t="s">
        <v>133</v>
      </c>
      <c r="B546" s="680"/>
      <c r="C546" s="680"/>
      <c r="D546" s="680"/>
      <c r="E546" s="680"/>
      <c r="F546" s="680"/>
      <c r="G546" s="680"/>
      <c r="H546" s="680"/>
      <c r="I546" s="680"/>
      <c r="J546" s="680"/>
      <c r="K546" s="680"/>
      <c r="L546" s="680"/>
      <c r="M546" s="680"/>
      <c r="N546" s="680"/>
      <c r="O546" s="680"/>
      <c r="P546" s="680"/>
      <c r="Q546" s="680"/>
      <c r="R546" s="680"/>
      <c r="S546" s="680"/>
      <c r="T546" s="680"/>
      <c r="U546" s="680"/>
      <c r="V546" s="680"/>
      <c r="W546" s="680"/>
      <c r="X546" s="680"/>
      <c r="Y546" s="680"/>
      <c r="Z546" s="680"/>
      <c r="AA546" s="663"/>
      <c r="AB546" s="663"/>
      <c r="AC546" s="663"/>
    </row>
    <row r="547" spans="1:68" ht="27" customHeight="1" x14ac:dyDescent="0.25">
      <c r="A547" s="54" t="s">
        <v>864</v>
      </c>
      <c r="B547" s="54" t="s">
        <v>865</v>
      </c>
      <c r="C547" s="31">
        <v>4301020269</v>
      </c>
      <c r="D547" s="677">
        <v>4640242180519</v>
      </c>
      <c r="E547" s="678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800" t="s">
        <v>866</v>
      </c>
      <c r="Q547" s="675"/>
      <c r="R547" s="675"/>
      <c r="S547" s="675"/>
      <c r="T547" s="676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864</v>
      </c>
      <c r="B548" s="54" t="s">
        <v>868</v>
      </c>
      <c r="C548" s="31">
        <v>4301020400</v>
      </c>
      <c r="D548" s="677">
        <v>4640242180519</v>
      </c>
      <c r="E548" s="678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951" t="s">
        <v>869</v>
      </c>
      <c r="Q548" s="675"/>
      <c r="R548" s="675"/>
      <c r="S548" s="675"/>
      <c r="T548" s="676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871</v>
      </c>
      <c r="B549" s="54" t="s">
        <v>872</v>
      </c>
      <c r="C549" s="31">
        <v>4301020260</v>
      </c>
      <c r="D549" s="677">
        <v>4640242180526</v>
      </c>
      <c r="E549" s="678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1043" t="s">
        <v>873</v>
      </c>
      <c r="Q549" s="675"/>
      <c r="R549" s="675"/>
      <c r="S549" s="675"/>
      <c r="T549" s="676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874</v>
      </c>
      <c r="B550" s="54" t="s">
        <v>875</v>
      </c>
      <c r="C550" s="31">
        <v>4301020309</v>
      </c>
      <c r="D550" s="677">
        <v>4640242180090</v>
      </c>
      <c r="E550" s="678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1023" t="s">
        <v>876</v>
      </c>
      <c r="Q550" s="675"/>
      <c r="R550" s="675"/>
      <c r="S550" s="675"/>
      <c r="T550" s="676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878</v>
      </c>
      <c r="B551" s="54" t="s">
        <v>879</v>
      </c>
      <c r="C551" s="31">
        <v>4301020295</v>
      </c>
      <c r="D551" s="677">
        <v>4640242181363</v>
      </c>
      <c r="E551" s="678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791" t="s">
        <v>880</v>
      </c>
      <c r="Q551" s="675"/>
      <c r="R551" s="675"/>
      <c r="S551" s="675"/>
      <c r="T551" s="676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97"/>
      <c r="B552" s="680"/>
      <c r="C552" s="680"/>
      <c r="D552" s="680"/>
      <c r="E552" s="680"/>
      <c r="F552" s="680"/>
      <c r="G552" s="680"/>
      <c r="H552" s="680"/>
      <c r="I552" s="680"/>
      <c r="J552" s="680"/>
      <c r="K552" s="680"/>
      <c r="L552" s="680"/>
      <c r="M552" s="680"/>
      <c r="N552" s="680"/>
      <c r="O552" s="698"/>
      <c r="P552" s="699" t="s">
        <v>87</v>
      </c>
      <c r="Q552" s="700"/>
      <c r="R552" s="700"/>
      <c r="S552" s="700"/>
      <c r="T552" s="700"/>
      <c r="U552" s="700"/>
      <c r="V552" s="701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80"/>
      <c r="B553" s="680"/>
      <c r="C553" s="680"/>
      <c r="D553" s="680"/>
      <c r="E553" s="680"/>
      <c r="F553" s="680"/>
      <c r="G553" s="680"/>
      <c r="H553" s="680"/>
      <c r="I553" s="680"/>
      <c r="J553" s="680"/>
      <c r="K553" s="680"/>
      <c r="L553" s="680"/>
      <c r="M553" s="680"/>
      <c r="N553" s="680"/>
      <c r="O553" s="698"/>
      <c r="P553" s="699" t="s">
        <v>87</v>
      </c>
      <c r="Q553" s="700"/>
      <c r="R553" s="700"/>
      <c r="S553" s="700"/>
      <c r="T553" s="700"/>
      <c r="U553" s="700"/>
      <c r="V553" s="701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79" t="s">
        <v>144</v>
      </c>
      <c r="B554" s="680"/>
      <c r="C554" s="680"/>
      <c r="D554" s="680"/>
      <c r="E554" s="680"/>
      <c r="F554" s="680"/>
      <c r="G554" s="680"/>
      <c r="H554" s="680"/>
      <c r="I554" s="680"/>
      <c r="J554" s="680"/>
      <c r="K554" s="680"/>
      <c r="L554" s="680"/>
      <c r="M554" s="680"/>
      <c r="N554" s="680"/>
      <c r="O554" s="680"/>
      <c r="P554" s="680"/>
      <c r="Q554" s="680"/>
      <c r="R554" s="680"/>
      <c r="S554" s="680"/>
      <c r="T554" s="680"/>
      <c r="U554" s="680"/>
      <c r="V554" s="680"/>
      <c r="W554" s="680"/>
      <c r="X554" s="680"/>
      <c r="Y554" s="680"/>
      <c r="Z554" s="680"/>
      <c r="AA554" s="663"/>
      <c r="AB554" s="663"/>
      <c r="AC554" s="663"/>
    </row>
    <row r="555" spans="1:68" ht="27" customHeight="1" x14ac:dyDescent="0.25">
      <c r="A555" s="54" t="s">
        <v>881</v>
      </c>
      <c r="B555" s="54" t="s">
        <v>882</v>
      </c>
      <c r="C555" s="31">
        <v>4301031280</v>
      </c>
      <c r="D555" s="677">
        <v>4640242180816</v>
      </c>
      <c r="E555" s="678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796" t="s">
        <v>883</v>
      </c>
      <c r="Q555" s="675"/>
      <c r="R555" s="675"/>
      <c r="S555" s="675"/>
      <c r="T555" s="676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885</v>
      </c>
      <c r="B556" s="54" t="s">
        <v>886</v>
      </c>
      <c r="C556" s="31">
        <v>4301031244</v>
      </c>
      <c r="D556" s="677">
        <v>4640242180595</v>
      </c>
      <c r="E556" s="678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964" t="s">
        <v>887</v>
      </c>
      <c r="Q556" s="675"/>
      <c r="R556" s="675"/>
      <c r="S556" s="675"/>
      <c r="T556" s="676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889</v>
      </c>
      <c r="B557" s="54" t="s">
        <v>890</v>
      </c>
      <c r="C557" s="31">
        <v>4301031289</v>
      </c>
      <c r="D557" s="677">
        <v>4640242181615</v>
      </c>
      <c r="E557" s="678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784" t="s">
        <v>891</v>
      </c>
      <c r="Q557" s="675"/>
      <c r="R557" s="675"/>
      <c r="S557" s="675"/>
      <c r="T557" s="676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893</v>
      </c>
      <c r="B558" s="54" t="s">
        <v>894</v>
      </c>
      <c r="C558" s="31">
        <v>4301031285</v>
      </c>
      <c r="D558" s="677">
        <v>4640242181639</v>
      </c>
      <c r="E558" s="678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88" t="s">
        <v>895</v>
      </c>
      <c r="Q558" s="675"/>
      <c r="R558" s="675"/>
      <c r="S558" s="675"/>
      <c r="T558" s="676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897</v>
      </c>
      <c r="B559" s="54" t="s">
        <v>898</v>
      </c>
      <c r="C559" s="31">
        <v>4301031287</v>
      </c>
      <c r="D559" s="677">
        <v>4640242181622</v>
      </c>
      <c r="E559" s="678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847" t="s">
        <v>899</v>
      </c>
      <c r="Q559" s="675"/>
      <c r="R559" s="675"/>
      <c r="S559" s="675"/>
      <c r="T559" s="676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901</v>
      </c>
      <c r="B560" s="54" t="s">
        <v>902</v>
      </c>
      <c r="C560" s="31">
        <v>4301031203</v>
      </c>
      <c r="D560" s="677">
        <v>4640242180908</v>
      </c>
      <c r="E560" s="678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785" t="s">
        <v>903</v>
      </c>
      <c r="Q560" s="675"/>
      <c r="R560" s="675"/>
      <c r="S560" s="675"/>
      <c r="T560" s="676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904</v>
      </c>
      <c r="B561" s="54" t="s">
        <v>905</v>
      </c>
      <c r="C561" s="31">
        <v>4301031200</v>
      </c>
      <c r="D561" s="677">
        <v>4640242180489</v>
      </c>
      <c r="E561" s="678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852" t="s">
        <v>906</v>
      </c>
      <c r="Q561" s="675"/>
      <c r="R561" s="675"/>
      <c r="S561" s="675"/>
      <c r="T561" s="676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97"/>
      <c r="B562" s="680"/>
      <c r="C562" s="680"/>
      <c r="D562" s="680"/>
      <c r="E562" s="680"/>
      <c r="F562" s="680"/>
      <c r="G562" s="680"/>
      <c r="H562" s="680"/>
      <c r="I562" s="680"/>
      <c r="J562" s="680"/>
      <c r="K562" s="680"/>
      <c r="L562" s="680"/>
      <c r="M562" s="680"/>
      <c r="N562" s="680"/>
      <c r="O562" s="698"/>
      <c r="P562" s="699" t="s">
        <v>87</v>
      </c>
      <c r="Q562" s="700"/>
      <c r="R562" s="700"/>
      <c r="S562" s="700"/>
      <c r="T562" s="700"/>
      <c r="U562" s="700"/>
      <c r="V562" s="701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80"/>
      <c r="B563" s="680"/>
      <c r="C563" s="680"/>
      <c r="D563" s="680"/>
      <c r="E563" s="680"/>
      <c r="F563" s="680"/>
      <c r="G563" s="680"/>
      <c r="H563" s="680"/>
      <c r="I563" s="680"/>
      <c r="J563" s="680"/>
      <c r="K563" s="680"/>
      <c r="L563" s="680"/>
      <c r="M563" s="680"/>
      <c r="N563" s="680"/>
      <c r="O563" s="698"/>
      <c r="P563" s="699" t="s">
        <v>87</v>
      </c>
      <c r="Q563" s="700"/>
      <c r="R563" s="700"/>
      <c r="S563" s="700"/>
      <c r="T563" s="700"/>
      <c r="U563" s="700"/>
      <c r="V563" s="701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79" t="s">
        <v>63</v>
      </c>
      <c r="B564" s="680"/>
      <c r="C564" s="680"/>
      <c r="D564" s="680"/>
      <c r="E564" s="680"/>
      <c r="F564" s="680"/>
      <c r="G564" s="680"/>
      <c r="H564" s="680"/>
      <c r="I564" s="680"/>
      <c r="J564" s="680"/>
      <c r="K564" s="680"/>
      <c r="L564" s="680"/>
      <c r="M564" s="680"/>
      <c r="N564" s="680"/>
      <c r="O564" s="680"/>
      <c r="P564" s="680"/>
      <c r="Q564" s="680"/>
      <c r="R564" s="680"/>
      <c r="S564" s="680"/>
      <c r="T564" s="680"/>
      <c r="U564" s="680"/>
      <c r="V564" s="680"/>
      <c r="W564" s="680"/>
      <c r="X564" s="680"/>
      <c r="Y564" s="680"/>
      <c r="Z564" s="680"/>
      <c r="AA564" s="663"/>
      <c r="AB564" s="663"/>
      <c r="AC564" s="663"/>
    </row>
    <row r="565" spans="1:68" ht="27" customHeight="1" x14ac:dyDescent="0.25">
      <c r="A565" s="54" t="s">
        <v>907</v>
      </c>
      <c r="B565" s="54" t="s">
        <v>908</v>
      </c>
      <c r="C565" s="31">
        <v>4301052046</v>
      </c>
      <c r="D565" s="677">
        <v>4640242180533</v>
      </c>
      <c r="E565" s="678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1002" t="s">
        <v>909</v>
      </c>
      <c r="Q565" s="675"/>
      <c r="R565" s="675"/>
      <c r="S565" s="675"/>
      <c r="T565" s="676"/>
      <c r="U565" s="34"/>
      <c r="V565" s="34"/>
      <c r="W565" s="35" t="s">
        <v>68</v>
      </c>
      <c r="X565" s="667">
        <v>400</v>
      </c>
      <c r="Y565" s="668">
        <f>IFERROR(IF(X565="",0,CEILING((X565/$H565),1)*$H565),"")</f>
        <v>405</v>
      </c>
      <c r="Z565" s="36">
        <f>IFERROR(IF(Y565=0,"",ROUNDUP(Y565/H565,0)*0.01898),"")</f>
        <v>0.85409999999999997</v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423.06666666666666</v>
      </c>
      <c r="BN565" s="64">
        <f>IFERROR(Y565*I565/H565,"0")</f>
        <v>428.35500000000002</v>
      </c>
      <c r="BO565" s="64">
        <f>IFERROR(1/J565*(X565/H565),"0")</f>
        <v>0.69444444444444442</v>
      </c>
      <c r="BP565" s="64">
        <f>IFERROR(1/J565*(Y565/H565),"0")</f>
        <v>0.703125</v>
      </c>
    </row>
    <row r="566" spans="1:68" ht="27" customHeight="1" x14ac:dyDescent="0.25">
      <c r="A566" s="54" t="s">
        <v>907</v>
      </c>
      <c r="B566" s="54" t="s">
        <v>911</v>
      </c>
      <c r="C566" s="31">
        <v>4301051887</v>
      </c>
      <c r="D566" s="677">
        <v>4640242180533</v>
      </c>
      <c r="E566" s="678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879" t="s">
        <v>909</v>
      </c>
      <c r="Q566" s="675"/>
      <c r="R566" s="675"/>
      <c r="S566" s="675"/>
      <c r="T566" s="676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912</v>
      </c>
      <c r="B567" s="54" t="s">
        <v>913</v>
      </c>
      <c r="C567" s="31">
        <v>4301051933</v>
      </c>
      <c r="D567" s="677">
        <v>4640242180540</v>
      </c>
      <c r="E567" s="678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806" t="s">
        <v>914</v>
      </c>
      <c r="Q567" s="675"/>
      <c r="R567" s="675"/>
      <c r="S567" s="675"/>
      <c r="T567" s="676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916</v>
      </c>
      <c r="B568" s="54" t="s">
        <v>917</v>
      </c>
      <c r="C568" s="31">
        <v>4301051920</v>
      </c>
      <c r="D568" s="677">
        <v>4640242181233</v>
      </c>
      <c r="E568" s="678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724" t="s">
        <v>918</v>
      </c>
      <c r="Q568" s="675"/>
      <c r="R568" s="675"/>
      <c r="S568" s="675"/>
      <c r="T568" s="676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919</v>
      </c>
      <c r="B569" s="54" t="s">
        <v>920</v>
      </c>
      <c r="C569" s="31">
        <v>4301051921</v>
      </c>
      <c r="D569" s="677">
        <v>4640242181226</v>
      </c>
      <c r="E569" s="678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811" t="s">
        <v>921</v>
      </c>
      <c r="Q569" s="675"/>
      <c r="R569" s="675"/>
      <c r="S569" s="675"/>
      <c r="T569" s="676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97"/>
      <c r="B570" s="680"/>
      <c r="C570" s="680"/>
      <c r="D570" s="680"/>
      <c r="E570" s="680"/>
      <c r="F570" s="680"/>
      <c r="G570" s="680"/>
      <c r="H570" s="680"/>
      <c r="I570" s="680"/>
      <c r="J570" s="680"/>
      <c r="K570" s="680"/>
      <c r="L570" s="680"/>
      <c r="M570" s="680"/>
      <c r="N570" s="680"/>
      <c r="O570" s="698"/>
      <c r="P570" s="699" t="s">
        <v>87</v>
      </c>
      <c r="Q570" s="700"/>
      <c r="R570" s="700"/>
      <c r="S570" s="700"/>
      <c r="T570" s="700"/>
      <c r="U570" s="700"/>
      <c r="V570" s="701"/>
      <c r="W570" s="37" t="s">
        <v>88</v>
      </c>
      <c r="X570" s="669">
        <f>IFERROR(X565/H565,"0")+IFERROR(X566/H566,"0")+IFERROR(X567/H567,"0")+IFERROR(X568/H568,"0")+IFERROR(X569/H569,"0")</f>
        <v>44.444444444444443</v>
      </c>
      <c r="Y570" s="669">
        <f>IFERROR(Y565/H565,"0")+IFERROR(Y566/H566,"0")+IFERROR(Y567/H567,"0")+IFERROR(Y568/H568,"0")+IFERROR(Y569/H569,"0")</f>
        <v>45</v>
      </c>
      <c r="Z570" s="669">
        <f>IFERROR(IF(Z565="",0,Z565),"0")+IFERROR(IF(Z566="",0,Z566),"0")+IFERROR(IF(Z567="",0,Z567),"0")+IFERROR(IF(Z568="",0,Z568),"0")+IFERROR(IF(Z569="",0,Z569),"0")</f>
        <v>0.85409999999999997</v>
      </c>
      <c r="AA570" s="670"/>
      <c r="AB570" s="670"/>
      <c r="AC570" s="670"/>
    </row>
    <row r="571" spans="1:68" x14ac:dyDescent="0.2">
      <c r="A571" s="680"/>
      <c r="B571" s="680"/>
      <c r="C571" s="680"/>
      <c r="D571" s="680"/>
      <c r="E571" s="680"/>
      <c r="F571" s="680"/>
      <c r="G571" s="680"/>
      <c r="H571" s="680"/>
      <c r="I571" s="680"/>
      <c r="J571" s="680"/>
      <c r="K571" s="680"/>
      <c r="L571" s="680"/>
      <c r="M571" s="680"/>
      <c r="N571" s="680"/>
      <c r="O571" s="698"/>
      <c r="P571" s="699" t="s">
        <v>87</v>
      </c>
      <c r="Q571" s="700"/>
      <c r="R571" s="700"/>
      <c r="S571" s="700"/>
      <c r="T571" s="700"/>
      <c r="U571" s="700"/>
      <c r="V571" s="701"/>
      <c r="W571" s="37" t="s">
        <v>68</v>
      </c>
      <c r="X571" s="669">
        <f>IFERROR(SUM(X565:X569),"0")</f>
        <v>400</v>
      </c>
      <c r="Y571" s="669">
        <f>IFERROR(SUM(Y565:Y569),"0")</f>
        <v>405</v>
      </c>
      <c r="Z571" s="37"/>
      <c r="AA571" s="670"/>
      <c r="AB571" s="670"/>
      <c r="AC571" s="670"/>
    </row>
    <row r="572" spans="1:68" ht="14.25" customHeight="1" x14ac:dyDescent="0.25">
      <c r="A572" s="679" t="s">
        <v>170</v>
      </c>
      <c r="B572" s="680"/>
      <c r="C572" s="680"/>
      <c r="D572" s="680"/>
      <c r="E572" s="680"/>
      <c r="F572" s="680"/>
      <c r="G572" s="680"/>
      <c r="H572" s="680"/>
      <c r="I572" s="680"/>
      <c r="J572" s="680"/>
      <c r="K572" s="680"/>
      <c r="L572" s="680"/>
      <c r="M572" s="680"/>
      <c r="N572" s="680"/>
      <c r="O572" s="680"/>
      <c r="P572" s="680"/>
      <c r="Q572" s="680"/>
      <c r="R572" s="680"/>
      <c r="S572" s="680"/>
      <c r="T572" s="680"/>
      <c r="U572" s="680"/>
      <c r="V572" s="680"/>
      <c r="W572" s="680"/>
      <c r="X572" s="680"/>
      <c r="Y572" s="680"/>
      <c r="Z572" s="680"/>
      <c r="AA572" s="663"/>
      <c r="AB572" s="663"/>
      <c r="AC572" s="663"/>
    </row>
    <row r="573" spans="1:68" ht="27" customHeight="1" x14ac:dyDescent="0.25">
      <c r="A573" s="54" t="s">
        <v>922</v>
      </c>
      <c r="B573" s="54" t="s">
        <v>923</v>
      </c>
      <c r="C573" s="31">
        <v>4301060496</v>
      </c>
      <c r="D573" s="677">
        <v>4640242180120</v>
      </c>
      <c r="E573" s="678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989" t="s">
        <v>924</v>
      </c>
      <c r="Q573" s="675"/>
      <c r="R573" s="675"/>
      <c r="S573" s="675"/>
      <c r="T573" s="676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922</v>
      </c>
      <c r="B574" s="54" t="s">
        <v>926</v>
      </c>
      <c r="C574" s="31">
        <v>4301060485</v>
      </c>
      <c r="D574" s="677">
        <v>4640242180120</v>
      </c>
      <c r="E574" s="678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941" t="s">
        <v>927</v>
      </c>
      <c r="Q574" s="675"/>
      <c r="R574" s="675"/>
      <c r="S574" s="675"/>
      <c r="T574" s="676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928</v>
      </c>
      <c r="B575" s="54" t="s">
        <v>929</v>
      </c>
      <c r="C575" s="31">
        <v>4301060498</v>
      </c>
      <c r="D575" s="677">
        <v>4640242180137</v>
      </c>
      <c r="E575" s="678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789" t="s">
        <v>930</v>
      </c>
      <c r="Q575" s="675"/>
      <c r="R575" s="675"/>
      <c r="S575" s="675"/>
      <c r="T575" s="676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928</v>
      </c>
      <c r="B576" s="54" t="s">
        <v>932</v>
      </c>
      <c r="C576" s="31">
        <v>4301060486</v>
      </c>
      <c r="D576" s="677">
        <v>4640242180137</v>
      </c>
      <c r="E576" s="678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777" t="s">
        <v>933</v>
      </c>
      <c r="Q576" s="675"/>
      <c r="R576" s="675"/>
      <c r="S576" s="675"/>
      <c r="T576" s="676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97"/>
      <c r="B577" s="680"/>
      <c r="C577" s="680"/>
      <c r="D577" s="680"/>
      <c r="E577" s="680"/>
      <c r="F577" s="680"/>
      <c r="G577" s="680"/>
      <c r="H577" s="680"/>
      <c r="I577" s="680"/>
      <c r="J577" s="680"/>
      <c r="K577" s="680"/>
      <c r="L577" s="680"/>
      <c r="M577" s="680"/>
      <c r="N577" s="680"/>
      <c r="O577" s="698"/>
      <c r="P577" s="699" t="s">
        <v>87</v>
      </c>
      <c r="Q577" s="700"/>
      <c r="R577" s="700"/>
      <c r="S577" s="700"/>
      <c r="T577" s="700"/>
      <c r="U577" s="700"/>
      <c r="V577" s="701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80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98"/>
      <c r="P578" s="699" t="s">
        <v>87</v>
      </c>
      <c r="Q578" s="700"/>
      <c r="R578" s="700"/>
      <c r="S578" s="700"/>
      <c r="T578" s="700"/>
      <c r="U578" s="700"/>
      <c r="V578" s="701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706" t="s">
        <v>934</v>
      </c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0"/>
      <c r="P579" s="680"/>
      <c r="Q579" s="680"/>
      <c r="R579" s="680"/>
      <c r="S579" s="680"/>
      <c r="T579" s="680"/>
      <c r="U579" s="680"/>
      <c r="V579" s="680"/>
      <c r="W579" s="680"/>
      <c r="X579" s="680"/>
      <c r="Y579" s="680"/>
      <c r="Z579" s="680"/>
      <c r="AA579" s="662"/>
      <c r="AB579" s="662"/>
      <c r="AC579" s="662"/>
    </row>
    <row r="580" spans="1:68" ht="14.25" customHeight="1" x14ac:dyDescent="0.25">
      <c r="A580" s="679" t="s">
        <v>97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3"/>
      <c r="AB580" s="663"/>
      <c r="AC580" s="663"/>
    </row>
    <row r="581" spans="1:68" ht="27" customHeight="1" x14ac:dyDescent="0.25">
      <c r="A581" s="54" t="s">
        <v>935</v>
      </c>
      <c r="B581" s="54" t="s">
        <v>936</v>
      </c>
      <c r="C581" s="31">
        <v>4301011951</v>
      </c>
      <c r="D581" s="677">
        <v>4640242180045</v>
      </c>
      <c r="E581" s="678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917" t="s">
        <v>937</v>
      </c>
      <c r="Q581" s="675"/>
      <c r="R581" s="675"/>
      <c r="S581" s="675"/>
      <c r="T581" s="676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97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98"/>
      <c r="P582" s="699" t="s">
        <v>87</v>
      </c>
      <c r="Q582" s="700"/>
      <c r="R582" s="700"/>
      <c r="S582" s="700"/>
      <c r="T582" s="700"/>
      <c r="U582" s="700"/>
      <c r="V582" s="701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98"/>
      <c r="P583" s="699" t="s">
        <v>87</v>
      </c>
      <c r="Q583" s="700"/>
      <c r="R583" s="700"/>
      <c r="S583" s="700"/>
      <c r="T583" s="700"/>
      <c r="U583" s="700"/>
      <c r="V583" s="701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79" t="s">
        <v>133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3"/>
      <c r="AB584" s="663"/>
      <c r="AC584" s="663"/>
    </row>
    <row r="585" spans="1:68" ht="27" customHeight="1" x14ac:dyDescent="0.25">
      <c r="A585" s="54" t="s">
        <v>939</v>
      </c>
      <c r="B585" s="54" t="s">
        <v>940</v>
      </c>
      <c r="C585" s="31">
        <v>4301020314</v>
      </c>
      <c r="D585" s="677">
        <v>4640242180090</v>
      </c>
      <c r="E585" s="678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948" t="s">
        <v>941</v>
      </c>
      <c r="Q585" s="675"/>
      <c r="R585" s="675"/>
      <c r="S585" s="675"/>
      <c r="T585" s="676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97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98"/>
      <c r="P586" s="699" t="s">
        <v>87</v>
      </c>
      <c r="Q586" s="700"/>
      <c r="R586" s="700"/>
      <c r="S586" s="700"/>
      <c r="T586" s="700"/>
      <c r="U586" s="700"/>
      <c r="V586" s="701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98"/>
      <c r="P587" s="699" t="s">
        <v>87</v>
      </c>
      <c r="Q587" s="700"/>
      <c r="R587" s="700"/>
      <c r="S587" s="700"/>
      <c r="T587" s="700"/>
      <c r="U587" s="700"/>
      <c r="V587" s="701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79" t="s">
        <v>144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3"/>
      <c r="AB588" s="663"/>
      <c r="AC588" s="663"/>
    </row>
    <row r="589" spans="1:68" ht="27" customHeight="1" x14ac:dyDescent="0.25">
      <c r="A589" s="54" t="s">
        <v>943</v>
      </c>
      <c r="B589" s="54" t="s">
        <v>944</v>
      </c>
      <c r="C589" s="31">
        <v>4301031321</v>
      </c>
      <c r="D589" s="677">
        <v>4640242180076</v>
      </c>
      <c r="E589" s="678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725" t="s">
        <v>945</v>
      </c>
      <c r="Q589" s="675"/>
      <c r="R589" s="675"/>
      <c r="S589" s="675"/>
      <c r="T589" s="676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97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98"/>
      <c r="P590" s="699" t="s">
        <v>87</v>
      </c>
      <c r="Q590" s="700"/>
      <c r="R590" s="700"/>
      <c r="S590" s="700"/>
      <c r="T590" s="700"/>
      <c r="U590" s="700"/>
      <c r="V590" s="701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98"/>
      <c r="P591" s="699" t="s">
        <v>87</v>
      </c>
      <c r="Q591" s="700"/>
      <c r="R591" s="700"/>
      <c r="S591" s="700"/>
      <c r="T591" s="700"/>
      <c r="U591" s="700"/>
      <c r="V591" s="701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79" t="s">
        <v>63</v>
      </c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680"/>
      <c r="P592" s="680"/>
      <c r="Q592" s="680"/>
      <c r="R592" s="680"/>
      <c r="S592" s="680"/>
      <c r="T592" s="680"/>
      <c r="U592" s="680"/>
      <c r="V592" s="680"/>
      <c r="W592" s="680"/>
      <c r="X592" s="680"/>
      <c r="Y592" s="680"/>
      <c r="Z592" s="680"/>
      <c r="AA592" s="663"/>
      <c r="AB592" s="663"/>
      <c r="AC592" s="663"/>
    </row>
    <row r="593" spans="1:68" ht="27" customHeight="1" x14ac:dyDescent="0.25">
      <c r="A593" s="54" t="s">
        <v>947</v>
      </c>
      <c r="B593" s="54" t="s">
        <v>948</v>
      </c>
      <c r="C593" s="31">
        <v>4301051914</v>
      </c>
      <c r="D593" s="677">
        <v>4640242180113</v>
      </c>
      <c r="E593" s="678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925" t="s">
        <v>949</v>
      </c>
      <c r="Q593" s="675"/>
      <c r="R593" s="675"/>
      <c r="S593" s="675"/>
      <c r="T593" s="676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97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698"/>
      <c r="P594" s="699" t="s">
        <v>87</v>
      </c>
      <c r="Q594" s="700"/>
      <c r="R594" s="700"/>
      <c r="S594" s="700"/>
      <c r="T594" s="700"/>
      <c r="U594" s="700"/>
      <c r="V594" s="701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698"/>
      <c r="P595" s="699" t="s">
        <v>87</v>
      </c>
      <c r="Q595" s="700"/>
      <c r="R595" s="700"/>
      <c r="S595" s="700"/>
      <c r="T595" s="700"/>
      <c r="U595" s="700"/>
      <c r="V595" s="701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691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692"/>
      <c r="P596" s="671" t="s">
        <v>951</v>
      </c>
      <c r="Q596" s="672"/>
      <c r="R596" s="672"/>
      <c r="S596" s="672"/>
      <c r="T596" s="672"/>
      <c r="U596" s="672"/>
      <c r="V596" s="673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15230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15381.199999999999</v>
      </c>
      <c r="Z596" s="37"/>
      <c r="AA596" s="670"/>
      <c r="AB596" s="670"/>
      <c r="AC596" s="670"/>
    </row>
    <row r="597" spans="1:68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692"/>
      <c r="P597" s="671" t="s">
        <v>952</v>
      </c>
      <c r="Q597" s="672"/>
      <c r="R597" s="672"/>
      <c r="S597" s="672"/>
      <c r="T597" s="672"/>
      <c r="U597" s="672"/>
      <c r="V597" s="673"/>
      <c r="W597" s="37" t="s">
        <v>68</v>
      </c>
      <c r="X597" s="669">
        <f>IFERROR(SUM(BM22:BM593),"0")</f>
        <v>16222.720005873049</v>
      </c>
      <c r="Y597" s="669">
        <f>IFERROR(SUM(BN22:BN593),"0")</f>
        <v>16382.146999999997</v>
      </c>
      <c r="Z597" s="37"/>
      <c r="AA597" s="670"/>
      <c r="AB597" s="670"/>
      <c r="AC597" s="670"/>
    </row>
    <row r="598" spans="1:68" x14ac:dyDescent="0.2">
      <c r="A598" s="680"/>
      <c r="B598" s="680"/>
      <c r="C598" s="680"/>
      <c r="D598" s="680"/>
      <c r="E598" s="680"/>
      <c r="F598" s="680"/>
      <c r="G598" s="680"/>
      <c r="H598" s="680"/>
      <c r="I598" s="680"/>
      <c r="J598" s="680"/>
      <c r="K598" s="680"/>
      <c r="L598" s="680"/>
      <c r="M598" s="680"/>
      <c r="N598" s="680"/>
      <c r="O598" s="692"/>
      <c r="P598" s="671" t="s">
        <v>953</v>
      </c>
      <c r="Q598" s="672"/>
      <c r="R598" s="672"/>
      <c r="S598" s="672"/>
      <c r="T598" s="672"/>
      <c r="U598" s="672"/>
      <c r="V598" s="673"/>
      <c r="W598" s="37" t="s">
        <v>954</v>
      </c>
      <c r="X598" s="38">
        <f>ROUNDUP(SUM(BO22:BO593),0)</f>
        <v>28</v>
      </c>
      <c r="Y598" s="38">
        <f>ROUNDUP(SUM(BP22:BP593),0)</f>
        <v>28</v>
      </c>
      <c r="Z598" s="37"/>
      <c r="AA598" s="670"/>
      <c r="AB598" s="670"/>
      <c r="AC598" s="670"/>
    </row>
    <row r="599" spans="1:68" x14ac:dyDescent="0.2">
      <c r="A599" s="680"/>
      <c r="B599" s="680"/>
      <c r="C599" s="680"/>
      <c r="D599" s="680"/>
      <c r="E599" s="680"/>
      <c r="F599" s="680"/>
      <c r="G599" s="680"/>
      <c r="H599" s="680"/>
      <c r="I599" s="680"/>
      <c r="J599" s="680"/>
      <c r="K599" s="680"/>
      <c r="L599" s="680"/>
      <c r="M599" s="680"/>
      <c r="N599" s="680"/>
      <c r="O599" s="692"/>
      <c r="P599" s="671" t="s">
        <v>955</v>
      </c>
      <c r="Q599" s="672"/>
      <c r="R599" s="672"/>
      <c r="S599" s="672"/>
      <c r="T599" s="672"/>
      <c r="U599" s="672"/>
      <c r="V599" s="673"/>
      <c r="W599" s="37" t="s">
        <v>68</v>
      </c>
      <c r="X599" s="669">
        <f>GrossWeightTotal+PalletQtyTotal*25</f>
        <v>16922.720005873049</v>
      </c>
      <c r="Y599" s="669">
        <f>GrossWeightTotalR+PalletQtyTotalR*25</f>
        <v>17082.146999999997</v>
      </c>
      <c r="Z599" s="37"/>
      <c r="AA599" s="670"/>
      <c r="AB599" s="670"/>
      <c r="AC599" s="670"/>
    </row>
    <row r="600" spans="1:68" x14ac:dyDescent="0.2">
      <c r="A600" s="680"/>
      <c r="B600" s="680"/>
      <c r="C600" s="680"/>
      <c r="D600" s="680"/>
      <c r="E600" s="680"/>
      <c r="F600" s="680"/>
      <c r="G600" s="680"/>
      <c r="H600" s="680"/>
      <c r="I600" s="680"/>
      <c r="J600" s="680"/>
      <c r="K600" s="680"/>
      <c r="L600" s="680"/>
      <c r="M600" s="680"/>
      <c r="N600" s="680"/>
      <c r="O600" s="692"/>
      <c r="P600" s="671" t="s">
        <v>956</v>
      </c>
      <c r="Q600" s="672"/>
      <c r="R600" s="672"/>
      <c r="S600" s="672"/>
      <c r="T600" s="672"/>
      <c r="U600" s="672"/>
      <c r="V600" s="673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3168.9030013271213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3194</v>
      </c>
      <c r="Z600" s="37"/>
      <c r="AA600" s="670"/>
      <c r="AB600" s="670"/>
      <c r="AC600" s="670"/>
    </row>
    <row r="601" spans="1:68" ht="14.25" customHeight="1" x14ac:dyDescent="0.2">
      <c r="A601" s="680"/>
      <c r="B601" s="680"/>
      <c r="C601" s="680"/>
      <c r="D601" s="680"/>
      <c r="E601" s="680"/>
      <c r="F601" s="680"/>
      <c r="G601" s="680"/>
      <c r="H601" s="680"/>
      <c r="I601" s="680"/>
      <c r="J601" s="680"/>
      <c r="K601" s="680"/>
      <c r="L601" s="680"/>
      <c r="M601" s="680"/>
      <c r="N601" s="680"/>
      <c r="O601" s="692"/>
      <c r="P601" s="671" t="s">
        <v>957</v>
      </c>
      <c r="Q601" s="672"/>
      <c r="R601" s="672"/>
      <c r="S601" s="672"/>
      <c r="T601" s="672"/>
      <c r="U601" s="672"/>
      <c r="V601" s="673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33.220610000000001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733" t="s">
        <v>95</v>
      </c>
      <c r="D603" s="734"/>
      <c r="E603" s="734"/>
      <c r="F603" s="734"/>
      <c r="G603" s="734"/>
      <c r="H603" s="735"/>
      <c r="I603" s="733" t="s">
        <v>279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33" t="s">
        <v>597</v>
      </c>
      <c r="X603" s="735"/>
      <c r="Y603" s="733" t="s">
        <v>669</v>
      </c>
      <c r="Z603" s="734"/>
      <c r="AA603" s="734"/>
      <c r="AB603" s="735"/>
      <c r="AC603" s="664" t="s">
        <v>744</v>
      </c>
      <c r="AD603" s="733" t="s">
        <v>841</v>
      </c>
      <c r="AE603" s="735"/>
      <c r="AF603" s="665"/>
    </row>
    <row r="604" spans="1:68" ht="14.25" customHeight="1" thickTop="1" x14ac:dyDescent="0.2">
      <c r="A604" s="804" t="s">
        <v>960</v>
      </c>
      <c r="B604" s="733" t="s">
        <v>62</v>
      </c>
      <c r="C604" s="733" t="s">
        <v>96</v>
      </c>
      <c r="D604" s="733" t="s">
        <v>115</v>
      </c>
      <c r="E604" s="733" t="s">
        <v>178</v>
      </c>
      <c r="F604" s="733" t="s">
        <v>209</v>
      </c>
      <c r="G604" s="733" t="s">
        <v>252</v>
      </c>
      <c r="H604" s="733" t="s">
        <v>95</v>
      </c>
      <c r="I604" s="733" t="s">
        <v>280</v>
      </c>
      <c r="J604" s="733" t="s">
        <v>326</v>
      </c>
      <c r="K604" s="733" t="s">
        <v>387</v>
      </c>
      <c r="L604" s="733" t="s">
        <v>434</v>
      </c>
      <c r="M604" s="733" t="s">
        <v>452</v>
      </c>
      <c r="N604" s="665"/>
      <c r="O604" s="733" t="s">
        <v>456</v>
      </c>
      <c r="P604" s="733" t="s">
        <v>469</v>
      </c>
      <c r="Q604" s="733" t="s">
        <v>483</v>
      </c>
      <c r="R604" s="733" t="s">
        <v>493</v>
      </c>
      <c r="S604" s="733" t="s">
        <v>497</v>
      </c>
      <c r="T604" s="733" t="s">
        <v>505</v>
      </c>
      <c r="U604" s="733" t="s">
        <v>510</v>
      </c>
      <c r="V604" s="733" t="s">
        <v>584</v>
      </c>
      <c r="W604" s="733" t="s">
        <v>598</v>
      </c>
      <c r="X604" s="733" t="s">
        <v>639</v>
      </c>
      <c r="Y604" s="733" t="s">
        <v>670</v>
      </c>
      <c r="Z604" s="733" t="s">
        <v>709</v>
      </c>
      <c r="AA604" s="733" t="s">
        <v>729</v>
      </c>
      <c r="AB604" s="733" t="s">
        <v>737</v>
      </c>
      <c r="AC604" s="733" t="s">
        <v>744</v>
      </c>
      <c r="AD604" s="733" t="s">
        <v>841</v>
      </c>
      <c r="AE604" s="733" t="s">
        <v>934</v>
      </c>
      <c r="AF604" s="665"/>
    </row>
    <row r="605" spans="1:68" ht="13.5" customHeight="1" thickBot="1" x14ac:dyDescent="0.25">
      <c r="A605" s="805"/>
      <c r="B605" s="743"/>
      <c r="C605" s="743"/>
      <c r="D605" s="743"/>
      <c r="E605" s="743"/>
      <c r="F605" s="743"/>
      <c r="G605" s="743"/>
      <c r="H605" s="743"/>
      <c r="I605" s="743"/>
      <c r="J605" s="743"/>
      <c r="K605" s="743"/>
      <c r="L605" s="743"/>
      <c r="M605" s="743"/>
      <c r="N605" s="665"/>
      <c r="O605" s="743"/>
      <c r="P605" s="743"/>
      <c r="Q605" s="743"/>
      <c r="R605" s="743"/>
      <c r="S605" s="743"/>
      <c r="T605" s="743"/>
      <c r="U605" s="743"/>
      <c r="V605" s="743"/>
      <c r="W605" s="743"/>
      <c r="X605" s="743"/>
      <c r="Y605" s="743"/>
      <c r="Z605" s="743"/>
      <c r="AA605" s="743"/>
      <c r="AB605" s="743"/>
      <c r="AC605" s="743"/>
      <c r="AD605" s="743"/>
      <c r="AE605" s="743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510.40000000000003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407.70000000000005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1363.5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1516.5</v>
      </c>
      <c r="G606" s="46">
        <f>IFERROR(Y135*1,"0")+IFERROR(Y136*1,"0")+IFERROR(Y140*1,"0")+IFERROR(Y141*1,"0")+IFERROR(Y145*1,"0")+IFERROR(Y146*1,"0")</f>
        <v>403.20000000000005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151.20000000000002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2676.2999999999997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302.40000000000003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619</v>
      </c>
      <c r="V606" s="46">
        <f>IFERROR(Y371*1,"0")+IFERROR(Y375*1,"0")+IFERROR(Y376*1,"0")+IFERROR(Y377*1,"0")</f>
        <v>302.40000000000003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1422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2016.96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172.8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3111.84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405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365:E365"/>
    <mergeCell ref="P91:V91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2025-04-30T06:19:30Z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