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och\"/>
    </mc:Choice>
  </mc:AlternateContent>
  <xr:revisionPtr revIDLastSave="0" documentId="13_ncr:1_{A37CE670-09DC-45B7-97A1-F792437CF60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02" i="1" l="1"/>
  <c r="X591" i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Y47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Y461" i="1" s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Z602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Y422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Y385" i="1" s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Y365" i="1"/>
  <c r="X365" i="1"/>
  <c r="X364" i="1"/>
  <c r="BP363" i="1"/>
  <c r="BO363" i="1"/>
  <c r="BN363" i="1"/>
  <c r="BM363" i="1"/>
  <c r="Z363" i="1"/>
  <c r="Z364" i="1" s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BP357" i="1" s="1"/>
  <c r="P357" i="1"/>
  <c r="BP356" i="1"/>
  <c r="BO356" i="1"/>
  <c r="BN356" i="1"/>
  <c r="BM356" i="1"/>
  <c r="Z356" i="1"/>
  <c r="Y356" i="1"/>
  <c r="Y360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BP351" i="1" s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Y346" i="1" s="1"/>
  <c r="P343" i="1"/>
  <c r="X341" i="1"/>
  <c r="X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Y340" i="1" s="1"/>
  <c r="P335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U602" i="1" s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602" i="1" s="1"/>
  <c r="P255" i="1"/>
  <c r="X252" i="1"/>
  <c r="X251" i="1"/>
  <c r="BO250" i="1"/>
  <c r="BM250" i="1"/>
  <c r="Y250" i="1"/>
  <c r="Y251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Y239" i="1" s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Y221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H602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BP119" i="1"/>
  <c r="BO119" i="1"/>
  <c r="BN119" i="1"/>
  <c r="BM119" i="1"/>
  <c r="Z119" i="1"/>
  <c r="Y119" i="1"/>
  <c r="Y128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2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2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N67" i="1"/>
  <c r="BM67" i="1"/>
  <c r="Z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2" i="1" s="1"/>
  <c r="P37" i="1"/>
  <c r="X33" i="1"/>
  <c r="X32" i="1"/>
  <c r="BO31" i="1"/>
  <c r="BM31" i="1"/>
  <c r="Y31" i="1"/>
  <c r="Y33" i="1" s="1"/>
  <c r="P31" i="1"/>
  <c r="X29" i="1"/>
  <c r="X592" i="1" s="1"/>
  <c r="X28" i="1"/>
  <c r="X596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602" i="1"/>
  <c r="X593" i="1"/>
  <c r="X594" i="1"/>
  <c r="Z23" i="1"/>
  <c r="Z28" i="1" s="1"/>
  <c r="BN23" i="1"/>
  <c r="Z24" i="1"/>
  <c r="BN24" i="1"/>
  <c r="Z25" i="1"/>
  <c r="BN25" i="1"/>
  <c r="Z27" i="1"/>
  <c r="BN27" i="1"/>
  <c r="Y28" i="1"/>
  <c r="Z31" i="1"/>
  <c r="Z32" i="1" s="1"/>
  <c r="BN31" i="1"/>
  <c r="BP31" i="1"/>
  <c r="Y32" i="1"/>
  <c r="Z37" i="1"/>
  <c r="BN37" i="1"/>
  <c r="BP37" i="1"/>
  <c r="Z39" i="1"/>
  <c r="BN39" i="1"/>
  <c r="Y42" i="1"/>
  <c r="D602" i="1"/>
  <c r="Z50" i="1"/>
  <c r="Z55" i="1" s="1"/>
  <c r="BN50" i="1"/>
  <c r="Z52" i="1"/>
  <c r="BN52" i="1"/>
  <c r="Z54" i="1"/>
  <c r="BN54" i="1"/>
  <c r="Y55" i="1"/>
  <c r="Z58" i="1"/>
  <c r="BN58" i="1"/>
  <c r="BP58" i="1"/>
  <c r="Z60" i="1"/>
  <c r="BN60" i="1"/>
  <c r="Y63" i="1"/>
  <c r="Y68" i="1"/>
  <c r="Z66" i="1"/>
  <c r="Z68" i="1" s="1"/>
  <c r="BN66" i="1"/>
  <c r="Y69" i="1"/>
  <c r="Y77" i="1"/>
  <c r="Y78" i="1"/>
  <c r="BP71" i="1"/>
  <c r="BN71" i="1"/>
  <c r="Z71" i="1"/>
  <c r="F9" i="1"/>
  <c r="J9" i="1"/>
  <c r="Y29" i="1"/>
  <c r="Y41" i="1"/>
  <c r="Y56" i="1"/>
  <c r="BP73" i="1"/>
  <c r="Y594" i="1" s="1"/>
  <c r="BN73" i="1"/>
  <c r="Y593" i="1" s="1"/>
  <c r="Y595" i="1" s="1"/>
  <c r="Z73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Y184" i="1"/>
  <c r="Y194" i="1"/>
  <c r="Y198" i="1"/>
  <c r="Y210" i="1"/>
  <c r="Y222" i="1"/>
  <c r="Y226" i="1"/>
  <c r="Y244" i="1"/>
  <c r="Y252" i="1"/>
  <c r="Y261" i="1"/>
  <c r="Y273" i="1"/>
  <c r="Y282" i="1"/>
  <c r="Y311" i="1"/>
  <c r="Y316" i="1"/>
  <c r="Y325" i="1"/>
  <c r="Y333" i="1"/>
  <c r="Y341" i="1"/>
  <c r="Y347" i="1"/>
  <c r="Y353" i="1"/>
  <c r="Y359" i="1"/>
  <c r="Y370" i="1"/>
  <c r="BP367" i="1"/>
  <c r="BN367" i="1"/>
  <c r="Z367" i="1"/>
  <c r="BP377" i="1"/>
  <c r="BN377" i="1"/>
  <c r="Z377" i="1"/>
  <c r="BP381" i="1"/>
  <c r="BN381" i="1"/>
  <c r="Z381" i="1"/>
  <c r="BP389" i="1"/>
  <c r="BN389" i="1"/>
  <c r="Z389" i="1"/>
  <c r="Z390" i="1" s="1"/>
  <c r="Y391" i="1"/>
  <c r="Y399" i="1"/>
  <c r="BP398" i="1"/>
  <c r="BN398" i="1"/>
  <c r="Z398" i="1"/>
  <c r="Z399" i="1" s="1"/>
  <c r="Y400" i="1"/>
  <c r="Y408" i="1"/>
  <c r="BP403" i="1"/>
  <c r="BN403" i="1"/>
  <c r="Z403" i="1"/>
  <c r="X602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6" i="1" s="1"/>
  <c r="BP485" i="1"/>
  <c r="BN485" i="1"/>
  <c r="Z485" i="1"/>
  <c r="BP488" i="1"/>
  <c r="BN488" i="1"/>
  <c r="Z488" i="1"/>
  <c r="BP495" i="1"/>
  <c r="BN495" i="1"/>
  <c r="Z495" i="1"/>
  <c r="Y497" i="1"/>
  <c r="Y503" i="1"/>
  <c r="BP499" i="1"/>
  <c r="BN499" i="1"/>
  <c r="Z499" i="1"/>
  <c r="BP501" i="1"/>
  <c r="BN501" i="1"/>
  <c r="Z501" i="1"/>
  <c r="BP512" i="1"/>
  <c r="BN512" i="1"/>
  <c r="Z512" i="1"/>
  <c r="Z74" i="1"/>
  <c r="BN74" i="1"/>
  <c r="Z76" i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21" i="1"/>
  <c r="Z128" i="1" s="1"/>
  <c r="BN121" i="1"/>
  <c r="Z124" i="1"/>
  <c r="BN124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Z161" i="1" s="1"/>
  <c r="BN157" i="1"/>
  <c r="BP157" i="1"/>
  <c r="Z159" i="1"/>
  <c r="BN159" i="1"/>
  <c r="I602" i="1"/>
  <c r="Y172" i="1"/>
  <c r="Z175" i="1"/>
  <c r="Z183" i="1" s="1"/>
  <c r="BN175" i="1"/>
  <c r="Z177" i="1"/>
  <c r="BN177" i="1"/>
  <c r="Z180" i="1"/>
  <c r="BN180" i="1"/>
  <c r="Z182" i="1"/>
  <c r="BN182" i="1"/>
  <c r="J602" i="1"/>
  <c r="Z192" i="1"/>
  <c r="Z193" i="1" s="1"/>
  <c r="BN192" i="1"/>
  <c r="Y193" i="1"/>
  <c r="Z196" i="1"/>
  <c r="Z198" i="1" s="1"/>
  <c r="BN196" i="1"/>
  <c r="BP196" i="1"/>
  <c r="Z202" i="1"/>
  <c r="Z209" i="1" s="1"/>
  <c r="BN202" i="1"/>
  <c r="Z204" i="1"/>
  <c r="BN204" i="1"/>
  <c r="Z206" i="1"/>
  <c r="BN206" i="1"/>
  <c r="Z208" i="1"/>
  <c r="BN208" i="1"/>
  <c r="Z212" i="1"/>
  <c r="Z221" i="1" s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K602" i="1"/>
  <c r="Z231" i="1"/>
  <c r="Z238" i="1" s="1"/>
  <c r="BN231" i="1"/>
  <c r="Z233" i="1"/>
  <c r="BN233" i="1"/>
  <c r="Z235" i="1"/>
  <c r="BN235" i="1"/>
  <c r="Z237" i="1"/>
  <c r="BN237" i="1"/>
  <c r="Y238" i="1"/>
  <c r="Z242" i="1"/>
  <c r="Z243" i="1" s="1"/>
  <c r="BN242" i="1"/>
  <c r="Z250" i="1"/>
  <c r="Z251" i="1" s="1"/>
  <c r="BN250" i="1"/>
  <c r="BP250" i="1"/>
  <c r="Z255" i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Y274" i="1"/>
  <c r="P602" i="1"/>
  <c r="Z278" i="1"/>
  <c r="Z282" i="1" s="1"/>
  <c r="BN278" i="1"/>
  <c r="Z280" i="1"/>
  <c r="BN280" i="1"/>
  <c r="Y283" i="1"/>
  <c r="Y288" i="1"/>
  <c r="Y301" i="1"/>
  <c r="S602" i="1"/>
  <c r="Y306" i="1"/>
  <c r="Z309" i="1"/>
  <c r="Z310" i="1" s="1"/>
  <c r="BN309" i="1"/>
  <c r="Z314" i="1"/>
  <c r="Z315" i="1" s="1"/>
  <c r="BN314" i="1"/>
  <c r="BP314" i="1"/>
  <c r="Y315" i="1"/>
  <c r="Z319" i="1"/>
  <c r="Z325" i="1" s="1"/>
  <c r="BN319" i="1"/>
  <c r="BP319" i="1"/>
  <c r="Z321" i="1"/>
  <c r="BN321" i="1"/>
  <c r="Z323" i="1"/>
  <c r="BN323" i="1"/>
  <c r="Y326" i="1"/>
  <c r="Z329" i="1"/>
  <c r="Z332" i="1" s="1"/>
  <c r="BN329" i="1"/>
  <c r="Z331" i="1"/>
  <c r="BN331" i="1"/>
  <c r="Z335" i="1"/>
  <c r="Z340" i="1" s="1"/>
  <c r="BN335" i="1"/>
  <c r="BP335" i="1"/>
  <c r="Z337" i="1"/>
  <c r="BN337" i="1"/>
  <c r="Z339" i="1"/>
  <c r="BN339" i="1"/>
  <c r="Z343" i="1"/>
  <c r="BN343" i="1"/>
  <c r="BP343" i="1"/>
  <c r="Z345" i="1"/>
  <c r="BN345" i="1"/>
  <c r="Z351" i="1"/>
  <c r="Z353" i="1" s="1"/>
  <c r="BN351" i="1"/>
  <c r="Z357" i="1"/>
  <c r="Z359" i="1" s="1"/>
  <c r="BN357" i="1"/>
  <c r="V602" i="1"/>
  <c r="Y364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Y413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447" i="1" s="1"/>
  <c r="BP458" i="1"/>
  <c r="BN458" i="1"/>
  <c r="Z458" i="1"/>
  <c r="Z460" i="1" s="1"/>
  <c r="BP483" i="1"/>
  <c r="BN483" i="1"/>
  <c r="Z483" i="1"/>
  <c r="BP486" i="1"/>
  <c r="BN486" i="1"/>
  <c r="Z486" i="1"/>
  <c r="BP493" i="1"/>
  <c r="BN493" i="1"/>
  <c r="Z493" i="1"/>
  <c r="BP500" i="1"/>
  <c r="BN500" i="1"/>
  <c r="Z500" i="1"/>
  <c r="BP502" i="1"/>
  <c r="BN502" i="1"/>
  <c r="Z502" i="1"/>
  <c r="Y504" i="1"/>
  <c r="BP511" i="1"/>
  <c r="BN511" i="1"/>
  <c r="Z511" i="1"/>
  <c r="Z518" i="1" s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453" i="1"/>
  <c r="Y467" i="1"/>
  <c r="AC602" i="1"/>
  <c r="Y496" i="1"/>
  <c r="Y518" i="1"/>
  <c r="Z515" i="1"/>
  <c r="BN515" i="1"/>
  <c r="Z516" i="1"/>
  <c r="BN516" i="1"/>
  <c r="BP523" i="1"/>
  <c r="BN523" i="1"/>
  <c r="Z523" i="1"/>
  <c r="Y525" i="1"/>
  <c r="Y529" i="1"/>
  <c r="BP527" i="1"/>
  <c r="BN527" i="1"/>
  <c r="Z527" i="1"/>
  <c r="Z529" i="1" s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566" i="1" l="1"/>
  <c r="Z385" i="1"/>
  <c r="Z442" i="1"/>
  <c r="Z370" i="1"/>
  <c r="Z77" i="1"/>
  <c r="Z62" i="1"/>
  <c r="Z41" i="1"/>
  <c r="Z597" i="1" s="1"/>
  <c r="Z548" i="1"/>
  <c r="Z524" i="1"/>
  <c r="Z346" i="1"/>
  <c r="Z261" i="1"/>
  <c r="Z102" i="1"/>
  <c r="Z90" i="1"/>
  <c r="Z503" i="1"/>
  <c r="Z408" i="1"/>
  <c r="Y592" i="1"/>
  <c r="Y596" i="1"/>
  <c r="X595" i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<sst xmlns="http://schemas.openxmlformats.org/spreadsheetml/2006/main" count="2737" uniqueCount="969">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</sst>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1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45771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 t="s">
        <v>19</v>
      </c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20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57"/>
      <c r="R10" s="858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1"/>
      <c r="R11" s="802"/>
      <c r="U11" s="24" t="s">
        <v>27</v>
      </c>
      <c r="V11" s="966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30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32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36</v>
      </c>
      <c r="B17" s="704" t="s">
        <v>37</v>
      </c>
      <c r="C17" s="821" t="s">
        <v>38</v>
      </c>
      <c r="D17" s="704" t="s">
        <v>39</v>
      </c>
      <c r="E17" s="777"/>
      <c r="F17" s="704" t="s">
        <v>40</v>
      </c>
      <c r="G17" s="704" t="s">
        <v>41</v>
      </c>
      <c r="H17" s="704" t="s">
        <v>42</v>
      </c>
      <c r="I17" s="704" t="s">
        <v>43</v>
      </c>
      <c r="J17" s="704" t="s">
        <v>44</v>
      </c>
      <c r="K17" s="704" t="s">
        <v>45</v>
      </c>
      <c r="L17" s="704" t="s">
        <v>46</v>
      </c>
      <c r="M17" s="704" t="s">
        <v>47</v>
      </c>
      <c r="N17" s="704" t="s">
        <v>48</v>
      </c>
      <c r="O17" s="704" t="s">
        <v>49</v>
      </c>
      <c r="P17" s="704" t="s">
        <v>50</v>
      </c>
      <c r="Q17" s="776"/>
      <c r="R17" s="776"/>
      <c r="S17" s="776"/>
      <c r="T17" s="777"/>
      <c r="U17" s="1040" t="s">
        <v>51</v>
      </c>
      <c r="V17" s="805"/>
      <c r="W17" s="704" t="s">
        <v>52</v>
      </c>
      <c r="X17" s="704" t="s">
        <v>53</v>
      </c>
      <c r="Y17" s="1041" t="s">
        <v>54</v>
      </c>
      <c r="Z17" s="941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9"/>
      <c r="AF17" s="1000"/>
      <c r="AG17" s="66"/>
      <c r="BD17" s="65" t="s">
        <v>60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61</v>
      </c>
      <c r="V18" s="67" t="s">
        <v>62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450</v>
      </c>
      <c r="Y37" s="666">
        <f>IFERROR(IF(X37="",0,CEILING((X37/$H37),1)*$H37),"")</f>
        <v>453.6</v>
      </c>
      <c r="Z37" s="36">
        <f>IFERROR(IF(Y37=0,"",ROUNDUP(Y37/H37,0)*0.01898),"")</f>
        <v>0.79715999999999998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468.12499999999994</v>
      </c>
      <c r="BN37" s="64">
        <f>IFERROR(Y37*I37/H37,"0")</f>
        <v>471.86999999999995</v>
      </c>
      <c r="BO37" s="64">
        <f>IFERROR(1/J37*(X37/H37),"0")</f>
        <v>0.65104166666666663</v>
      </c>
      <c r="BP37" s="64">
        <f>IFERROR(1/J37*(Y37/H37),"0")</f>
        <v>0.65625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320</v>
      </c>
      <c r="Y38" s="666">
        <f>IFERROR(IF(X38="",0,CEILING((X38/$H38),1)*$H38),"")</f>
        <v>320</v>
      </c>
      <c r="Z38" s="36">
        <f>IFERROR(IF(Y38=0,"",ROUNDUP(Y38/H38,0)*0.00902),"")</f>
        <v>0.72160000000000002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336.8</v>
      </c>
      <c r="BN38" s="64">
        <f>IFERROR(Y38*I38/H38,"0")</f>
        <v>336.8</v>
      </c>
      <c r="BO38" s="64">
        <f>IFERROR(1/J38*(X38/H38),"0")</f>
        <v>0.60606060606060608</v>
      </c>
      <c r="BP38" s="64">
        <f>IFERROR(1/J38*(Y38/H38),"0")</f>
        <v>0.60606060606060608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121.66666666666666</v>
      </c>
      <c r="Y41" s="667">
        <f>IFERROR(Y37/H37,"0")+IFERROR(Y38/H38,"0")+IFERROR(Y39/H39,"0")+IFERROR(Y40/H40,"0")</f>
        <v>122</v>
      </c>
      <c r="Z41" s="667">
        <f>IFERROR(IF(Z37="",0,Z37),"0")+IFERROR(IF(Z38="",0,Z38),"0")+IFERROR(IF(Z39="",0,Z39),"0")+IFERROR(IF(Z40="",0,Z40),"0")</f>
        <v>1.5187599999999999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770</v>
      </c>
      <c r="Y42" s="667">
        <f>IFERROR(SUM(Y37:Y40),"0")</f>
        <v>773.6</v>
      </c>
      <c r="Z42" s="37"/>
      <c r="AA42" s="668"/>
      <c r="AB42" s="668"/>
      <c r="AC42" s="668"/>
    </row>
    <row r="43" spans="1:68" ht="14.25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50</v>
      </c>
      <c r="Y50" s="666">
        <f t="shared" si="6"/>
        <v>54</v>
      </c>
      <c r="Z50" s="36">
        <f>IFERROR(IF(Y50=0,"",ROUNDUP(Y50/H50,0)*0.01898),"")</f>
        <v>9.4899999999999998E-2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52.013888888888886</v>
      </c>
      <c r="BN50" s="64">
        <f t="shared" si="8"/>
        <v>56.17499999999999</v>
      </c>
      <c r="BO50" s="64">
        <f t="shared" si="9"/>
        <v>7.2337962962962965E-2</v>
      </c>
      <c r="BP50" s="64">
        <f t="shared" si="10"/>
        <v>7.8125E-2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405</v>
      </c>
      <c r="Y54" s="666">
        <f t="shared" si="6"/>
        <v>405</v>
      </c>
      <c r="Z54" s="36">
        <f>IFERROR(IF(Y54=0,"",ROUNDUP(Y54/H54,0)*0.00902),"")</f>
        <v>0.81180000000000008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423.9</v>
      </c>
      <c r="BN54" s="64">
        <f t="shared" si="8"/>
        <v>423.9</v>
      </c>
      <c r="BO54" s="64">
        <f t="shared" si="9"/>
        <v>0.68181818181818188</v>
      </c>
      <c r="BP54" s="64">
        <f t="shared" si="10"/>
        <v>0.68181818181818188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94.629629629629633</v>
      </c>
      <c r="Y55" s="667">
        <f>IFERROR(Y49/H49,"0")+IFERROR(Y50/H50,"0")+IFERROR(Y51/H51,"0")+IFERROR(Y52/H52,"0")+IFERROR(Y53/H53,"0")+IFERROR(Y54/H54,"0")</f>
        <v>95</v>
      </c>
      <c r="Z55" s="667">
        <f>IFERROR(IF(Z49="",0,Z49),"0")+IFERROR(IF(Z50="",0,Z50),"0")+IFERROR(IF(Z51="",0,Z51),"0")+IFERROR(IF(Z52="",0,Z52),"0")+IFERROR(IF(Z53="",0,Z53),"0")+IFERROR(IF(Z54="",0,Z54),"0")</f>
        <v>0.90670000000000006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455</v>
      </c>
      <c r="Y56" s="667">
        <f>IFERROR(SUM(Y49:Y54),"0")</f>
        <v>459</v>
      </c>
      <c r="Z56" s="37"/>
      <c r="AA56" s="668"/>
      <c r="AB56" s="668"/>
      <c r="AC56" s="668"/>
    </row>
    <row r="57" spans="1:68" ht="14.25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300</v>
      </c>
      <c r="Y58" s="666">
        <f>IFERROR(IF(X58="",0,CEILING((X58/$H58),1)*$H58),"")</f>
        <v>302.40000000000003</v>
      </c>
      <c r="Z58" s="36">
        <f>IFERROR(IF(Y58=0,"",ROUNDUP(Y58/H58,0)*0.01898),"")</f>
        <v>0.53144000000000002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312.08333333333331</v>
      </c>
      <c r="BN58" s="64">
        <f>IFERROR(Y58*I58/H58,"0")</f>
        <v>314.58000000000004</v>
      </c>
      <c r="BO58" s="64">
        <f>IFERROR(1/J58*(X58/H58),"0")</f>
        <v>0.43402777777777773</v>
      </c>
      <c r="BP58" s="64">
        <f>IFERROR(1/J58*(Y58/H58),"0")</f>
        <v>0.4375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247.5</v>
      </c>
      <c r="Y61" s="666">
        <f>IFERROR(IF(X61="",0,CEILING((X61/$H61),1)*$H61),"")</f>
        <v>248.4</v>
      </c>
      <c r="Z61" s="36">
        <f>IFERROR(IF(Y61=0,"",ROUNDUP(Y61/H61,0)*0.00651),"")</f>
        <v>0.59892000000000001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263.99999999999994</v>
      </c>
      <c r="BN61" s="64">
        <f>IFERROR(Y61*I61/H61,"0")</f>
        <v>264.95999999999998</v>
      </c>
      <c r="BO61" s="64">
        <f>IFERROR(1/J61*(X61/H61),"0")</f>
        <v>0.50366300366300365</v>
      </c>
      <c r="BP61" s="64">
        <f>IFERROR(1/J61*(Y61/H61),"0")</f>
        <v>0.50549450549450559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119.44444444444443</v>
      </c>
      <c r="Y62" s="667">
        <f>IFERROR(Y58/H58,"0")+IFERROR(Y59/H59,"0")+IFERROR(Y60/H60,"0")+IFERROR(Y61/H61,"0")</f>
        <v>120</v>
      </c>
      <c r="Z62" s="667">
        <f>IFERROR(IF(Z58="",0,Z58),"0")+IFERROR(IF(Z59="",0,Z59),"0")+IFERROR(IF(Z60="",0,Z60),"0")+IFERROR(IF(Z61="",0,Z61),"0")</f>
        <v>1.13036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547.5</v>
      </c>
      <c r="Y63" s="667">
        <f>IFERROR(SUM(Y58:Y61),"0")</f>
        <v>550.80000000000007</v>
      </c>
      <c r="Z63" s="37"/>
      <c r="AA63" s="668"/>
      <c r="AB63" s="668"/>
      <c r="AC63" s="668"/>
    </row>
    <row r="64" spans="1:68" ht="14.25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250</v>
      </c>
      <c r="Y87" s="666">
        <f>IFERROR(IF(X87="",0,CEILING((X87/$H87),1)*$H87),"")</f>
        <v>259.20000000000005</v>
      </c>
      <c r="Z87" s="36">
        <f>IFERROR(IF(Y87=0,"",ROUNDUP(Y87/H87,0)*0.01898),"")</f>
        <v>0.45552000000000004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260.0694444444444</v>
      </c>
      <c r="BN87" s="64">
        <f>IFERROR(Y87*I87/H87,"0")</f>
        <v>269.64000000000004</v>
      </c>
      <c r="BO87" s="64">
        <f>IFERROR(1/J87*(X87/H87),"0")</f>
        <v>0.36168981481481477</v>
      </c>
      <c r="BP87" s="64">
        <f>IFERROR(1/J87*(Y87/H87),"0")</f>
        <v>0.37500000000000006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315</v>
      </c>
      <c r="Y89" s="666">
        <f>IFERROR(IF(X89="",0,CEILING((X89/$H89),1)*$H89),"")</f>
        <v>315</v>
      </c>
      <c r="Z89" s="36">
        <f>IFERROR(IF(Y89=0,"",ROUNDUP(Y89/H89,0)*0.00902),"")</f>
        <v>0.63139999999999996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329.70000000000005</v>
      </c>
      <c r="BN89" s="64">
        <f>IFERROR(Y89*I89/H89,"0")</f>
        <v>329.70000000000005</v>
      </c>
      <c r="BO89" s="64">
        <f>IFERROR(1/J89*(X89/H89),"0")</f>
        <v>0.53030303030303028</v>
      </c>
      <c r="BP89" s="64">
        <f>IFERROR(1/J89*(Y89/H89),"0")</f>
        <v>0.53030303030303028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93.148148148148152</v>
      </c>
      <c r="Y90" s="667">
        <f>IFERROR(Y87/H87,"0")+IFERROR(Y88/H88,"0")+IFERROR(Y89/H89,"0")</f>
        <v>94</v>
      </c>
      <c r="Z90" s="667">
        <f>IFERROR(IF(Z87="",0,Z87),"0")+IFERROR(IF(Z88="",0,Z88),"0")+IFERROR(IF(Z89="",0,Z89),"0")</f>
        <v>1.0869200000000001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565</v>
      </c>
      <c r="Y91" s="667">
        <f>IFERROR(SUM(Y87:Y89),"0")</f>
        <v>574.20000000000005</v>
      </c>
      <c r="Z91" s="37"/>
      <c r="AA91" s="668"/>
      <c r="AB91" s="668"/>
      <c r="AC91" s="668"/>
    </row>
    <row r="92" spans="1:68" ht="14.25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100</v>
      </c>
      <c r="Y93" s="666">
        <f t="shared" ref="Y93:Y101" si="16">IFERROR(IF(X93="",0,CEILING((X93/$H93),1)*$H93),"")</f>
        <v>100.80000000000001</v>
      </c>
      <c r="Z93" s="36">
        <f>IFERROR(IF(Y93=0,"",ROUNDUP(Y93/H93,0)*0.01898),"")</f>
        <v>0.22776000000000002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106.17857142857143</v>
      </c>
      <c r="BN93" s="64">
        <f t="shared" ref="BN93:BN101" si="18">IFERROR(Y93*I93/H93,"0")</f>
        <v>107.02800000000001</v>
      </c>
      <c r="BO93" s="64">
        <f t="shared" ref="BO93:BO101" si="19">IFERROR(1/J93*(X93/H93),"0")</f>
        <v>0.18601190476190477</v>
      </c>
      <c r="BP93" s="64">
        <f t="shared" ref="BP93:BP101" si="20">IFERROR(1/J93*(Y93/H93),"0")</f>
        <v>0.1875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3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2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4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115.5</v>
      </c>
      <c r="Y99" s="666">
        <f t="shared" si="16"/>
        <v>116.82</v>
      </c>
      <c r="Z99" s="36">
        <f>IFERROR(IF(Y99=0,"",ROUNDUP(Y99/H99,0)*0.00651),"")</f>
        <v>0.38408999999999999</v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130.54999999999998</v>
      </c>
      <c r="BN99" s="64">
        <f t="shared" si="18"/>
        <v>132.042</v>
      </c>
      <c r="BO99" s="64">
        <f t="shared" si="19"/>
        <v>0.32051282051282054</v>
      </c>
      <c r="BP99" s="64">
        <f t="shared" si="20"/>
        <v>0.32417582417582419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70.238095238095241</v>
      </c>
      <c r="Y102" s="667">
        <f>IFERROR(Y93/H93,"0")+IFERROR(Y94/H94,"0")+IFERROR(Y95/H95,"0")+IFERROR(Y96/H96,"0")+IFERROR(Y97/H97,"0")+IFERROR(Y98/H98,"0")+IFERROR(Y99/H99,"0")+IFERROR(Y100/H100,"0")+IFERROR(Y101/H101,"0")</f>
        <v>71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0.61185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215.5</v>
      </c>
      <c r="Y103" s="667">
        <f>IFERROR(SUM(Y93:Y101),"0")</f>
        <v>217.62</v>
      </c>
      <c r="Z103" s="37"/>
      <c r="AA103" s="668"/>
      <c r="AB103" s="668"/>
      <c r="AC103" s="668"/>
    </row>
    <row r="104" spans="1:68" ht="16.5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80</v>
      </c>
      <c r="Y106" s="666">
        <f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83.222222222222214</v>
      </c>
      <c r="BN106" s="64">
        <f>IFERROR(Y106*I106/H106,"0")</f>
        <v>89.88</v>
      </c>
      <c r="BO106" s="64">
        <f>IFERROR(1/J106*(X106/H106),"0")</f>
        <v>0.11574074074074073</v>
      </c>
      <c r="BP106" s="64">
        <f>IFERROR(1/J106*(Y106/H106),"0")</f>
        <v>0.125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112.5</v>
      </c>
      <c r="Y107" s="666">
        <f>IFERROR(IF(X107="",0,CEILING((X107/$H107),1)*$H107),"")</f>
        <v>112.5</v>
      </c>
      <c r="Z107" s="36">
        <f>IFERROR(IF(Y107=0,"",ROUNDUP(Y107/H107,0)*0.00902),"")</f>
        <v>0.27060000000000001</v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118.8</v>
      </c>
      <c r="BN107" s="64">
        <f>IFERROR(Y107*I107/H107,"0")</f>
        <v>118.8</v>
      </c>
      <c r="BO107" s="64">
        <f>IFERROR(1/J107*(X107/H107),"0")</f>
        <v>0.22727272727272729</v>
      </c>
      <c r="BP107" s="64">
        <f>IFERROR(1/J107*(Y107/H107),"0")</f>
        <v>0.22727272727272729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37.407407407407405</v>
      </c>
      <c r="Y110" s="667">
        <f>IFERROR(Y106/H106,"0")+IFERROR(Y107/H107,"0")+IFERROR(Y108/H108,"0")+IFERROR(Y109/H109,"0")</f>
        <v>38</v>
      </c>
      <c r="Z110" s="667">
        <f>IFERROR(IF(Z106="",0,Z106),"0")+IFERROR(IF(Z107="",0,Z107),"0")+IFERROR(IF(Z108="",0,Z108),"0")+IFERROR(IF(Z109="",0,Z109),"0")</f>
        <v>0.42244000000000004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192.5</v>
      </c>
      <c r="Y111" s="667">
        <f>IFERROR(SUM(Y106:Y109),"0")</f>
        <v>198.9</v>
      </c>
      <c r="Z111" s="37"/>
      <c r="AA111" s="668"/>
      <c r="AB111" s="668"/>
      <c r="AC111" s="668"/>
    </row>
    <row r="112" spans="1:68" ht="14.25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9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80</v>
      </c>
      <c r="Y121" s="666">
        <f t="shared" si="21"/>
        <v>84</v>
      </c>
      <c r="Z121" s="36">
        <f>IFERROR(IF(Y121=0,"",ROUNDUP(Y121/H121,0)*0.01898),"")</f>
        <v>0.1898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84.885714285714272</v>
      </c>
      <c r="BN121" s="64">
        <f t="shared" si="23"/>
        <v>89.13</v>
      </c>
      <c r="BO121" s="64">
        <f t="shared" si="24"/>
        <v>0.14880952380952381</v>
      </c>
      <c r="BP121" s="64">
        <f t="shared" si="25"/>
        <v>0.15625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132</v>
      </c>
      <c r="Y122" s="666">
        <f t="shared" si="21"/>
        <v>132.66</v>
      </c>
      <c r="Z122" s="36">
        <f t="shared" ref="Z122:Z127" si="26">IFERROR(IF(Y122=0,"",ROUNDUP(Y122/H122,0)*0.00651),"")</f>
        <v>0.43617</v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148.4</v>
      </c>
      <c r="BN122" s="64">
        <f t="shared" si="23"/>
        <v>149.142</v>
      </c>
      <c r="BO122" s="64">
        <f t="shared" si="24"/>
        <v>0.36630036630036633</v>
      </c>
      <c r="BP122" s="64">
        <f t="shared" si="25"/>
        <v>0.36813186813186816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7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76.19047619047619</v>
      </c>
      <c r="Y128" s="667">
        <f>IFERROR(Y119/H119,"0")+IFERROR(Y120/H120,"0")+IFERROR(Y121/H121,"0")+IFERROR(Y122/H122,"0")+IFERROR(Y123/H123,"0")+IFERROR(Y124/H124,"0")+IFERROR(Y125/H125,"0")+IFERROR(Y126/H126,"0")+IFERROR(Y127/H127,"0")</f>
        <v>77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0.62597000000000003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212</v>
      </c>
      <c r="Y129" s="667">
        <f>IFERROR(SUM(Y119:Y127),"0")</f>
        <v>216.66</v>
      </c>
      <c r="Z129" s="37"/>
      <c r="AA129" s="668"/>
      <c r="AB129" s="668"/>
      <c r="AC129" s="668"/>
    </row>
    <row r="130" spans="1:68" ht="14.25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88</v>
      </c>
      <c r="Y153" s="666">
        <f>IFERROR(IF(X153="",0,CEILING((X153/$H153),1)*$H153),"")</f>
        <v>88</v>
      </c>
      <c r="Z153" s="36">
        <f>IFERROR(IF(Y153=0,"",ROUNDUP(Y153/H153,0)*0.00902),"")</f>
        <v>0.19844000000000001</v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92.62</v>
      </c>
      <c r="BN153" s="64">
        <f>IFERROR(Y153*I153/H153,"0")</f>
        <v>92.62</v>
      </c>
      <c r="BO153" s="64">
        <f>IFERROR(1/J153*(X153/H153),"0")</f>
        <v>0.16666666666666669</v>
      </c>
      <c r="BP153" s="64">
        <f>IFERROR(1/J153*(Y153/H153),"0")</f>
        <v>0.16666666666666669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22</v>
      </c>
      <c r="Y154" s="667">
        <f>IFERROR(Y153/H153,"0")</f>
        <v>22</v>
      </c>
      <c r="Z154" s="667">
        <f>IFERROR(IF(Z153="",0,Z153),"0")</f>
        <v>0.19844000000000001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88</v>
      </c>
      <c r="Y155" s="667">
        <f>IFERROR(SUM(Y153:Y153),"0")</f>
        <v>88</v>
      </c>
      <c r="Z155" s="37"/>
      <c r="AA155" s="668"/>
      <c r="AB155" s="668"/>
      <c r="AC155" s="668"/>
    </row>
    <row r="156" spans="1:68" ht="14.25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40</v>
      </c>
      <c r="Y157" s="666">
        <f>IFERROR(IF(X157="",0,CEILING((X157/$H157),1)*$H157),"")</f>
        <v>45</v>
      </c>
      <c r="Z157" s="36">
        <f>IFERROR(IF(Y157=0,"",ROUNDUP(Y157/H157,0)*0.01898),"")</f>
        <v>9.4899999999999998E-2</v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42.6</v>
      </c>
      <c r="BN157" s="64">
        <f>IFERROR(Y157*I157/H157,"0")</f>
        <v>47.925000000000004</v>
      </c>
      <c r="BO157" s="64">
        <f>IFERROR(1/J157*(X157/H157),"0")</f>
        <v>6.9444444444444448E-2</v>
      </c>
      <c r="BP157" s="64">
        <f>IFERROR(1/J157*(Y157/H157),"0")</f>
        <v>7.8125E-2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4.4444444444444446</v>
      </c>
      <c r="Y161" s="667">
        <f>IFERROR(Y157/H157,"0")+IFERROR(Y158/H158,"0")+IFERROR(Y159/H159,"0")+IFERROR(Y160/H160,"0")</f>
        <v>5</v>
      </c>
      <c r="Z161" s="667">
        <f>IFERROR(IF(Z157="",0,Z157),"0")+IFERROR(IF(Z158="",0,Z158),"0")+IFERROR(IF(Z159="",0,Z159),"0")+IFERROR(IF(Z160="",0,Z160),"0")</f>
        <v>9.4899999999999998E-2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40</v>
      </c>
      <c r="Y162" s="667">
        <f>IFERROR(SUM(Y157:Y160),"0")</f>
        <v>45</v>
      </c>
      <c r="Z162" s="37"/>
      <c r="AA162" s="668"/>
      <c r="AB162" s="668"/>
      <c r="AC162" s="668"/>
    </row>
    <row r="163" spans="1:68" ht="14.25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70</v>
      </c>
      <c r="Y177" s="666">
        <f t="shared" si="27"/>
        <v>71.400000000000006</v>
      </c>
      <c r="Z177" s="36">
        <f>IFERROR(IF(Y177=0,"",ROUNDUP(Y177/H177,0)*0.00502),"")</f>
        <v>0.17068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74.333333333333329</v>
      </c>
      <c r="BN177" s="64">
        <f t="shared" si="29"/>
        <v>75.820000000000007</v>
      </c>
      <c r="BO177" s="64">
        <f t="shared" si="30"/>
        <v>0.14245014245014245</v>
      </c>
      <c r="BP177" s="64">
        <f t="shared" si="31"/>
        <v>0.14529914529914531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70</v>
      </c>
      <c r="Y178" s="666">
        <f t="shared" si="27"/>
        <v>71.400000000000006</v>
      </c>
      <c r="Z178" s="36">
        <f>IFERROR(IF(Y178=0,"",ROUNDUP(Y178/H178,0)*0.00502),"")</f>
        <v>0.17068</v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74.333333333333329</v>
      </c>
      <c r="BN178" s="64">
        <f t="shared" si="29"/>
        <v>75.820000000000007</v>
      </c>
      <c r="BO178" s="64">
        <f t="shared" si="30"/>
        <v>0.14245014245014245</v>
      </c>
      <c r="BP178" s="64">
        <f t="shared" si="31"/>
        <v>0.14529914529914531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157.5</v>
      </c>
      <c r="Y180" s="666">
        <f t="shared" si="27"/>
        <v>157.5</v>
      </c>
      <c r="Z180" s="36">
        <f>IFERROR(IF(Y180=0,"",ROUNDUP(Y180/H180,0)*0.00502),"")</f>
        <v>0.3765</v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165</v>
      </c>
      <c r="BN180" s="64">
        <f t="shared" si="29"/>
        <v>165</v>
      </c>
      <c r="BO180" s="64">
        <f t="shared" si="30"/>
        <v>0.32051282051282054</v>
      </c>
      <c r="BP180" s="64">
        <f t="shared" si="31"/>
        <v>0.32051282051282054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141.66666666666666</v>
      </c>
      <c r="Y183" s="667">
        <f>IFERROR(Y174/H174,"0")+IFERROR(Y175/H175,"0")+IFERROR(Y176/H176,"0")+IFERROR(Y177/H177,"0")+IFERROR(Y178/H178,"0")+IFERROR(Y179/H179,"0")+IFERROR(Y180/H180,"0")+IFERROR(Y181/H181,"0")+IFERROR(Y182/H182,"0")</f>
        <v>143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0.71785999999999994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297.5</v>
      </c>
      <c r="Y184" s="667">
        <f>IFERROR(SUM(Y174:Y182),"0")</f>
        <v>300.3</v>
      </c>
      <c r="Z184" s="37"/>
      <c r="AA184" s="668"/>
      <c r="AB184" s="668"/>
      <c r="AC184" s="668"/>
    </row>
    <row r="185" spans="1:68" ht="14.25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7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12</v>
      </c>
      <c r="Y205" s="666">
        <f t="shared" si="32"/>
        <v>12.6</v>
      </c>
      <c r="Z205" s="36">
        <f>IFERROR(IF(Y205=0,"",ROUNDUP(Y205/H205,0)*0.00502),"")</f>
        <v>3.5140000000000005E-2</v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12.866666666666667</v>
      </c>
      <c r="BN205" s="64">
        <f t="shared" si="34"/>
        <v>13.509999999999998</v>
      </c>
      <c r="BO205" s="64">
        <f t="shared" si="35"/>
        <v>2.8490028490028491E-2</v>
      </c>
      <c r="BP205" s="64">
        <f t="shared" si="36"/>
        <v>2.9914529914529919E-2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24</v>
      </c>
      <c r="Y206" s="666">
        <f t="shared" si="32"/>
        <v>25.2</v>
      </c>
      <c r="Z206" s="36">
        <f>IFERROR(IF(Y206=0,"",ROUNDUP(Y206/H206,0)*0.00502),"")</f>
        <v>7.0280000000000009E-2</v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25.333333333333329</v>
      </c>
      <c r="BN206" s="64">
        <f t="shared" si="34"/>
        <v>26.599999999999998</v>
      </c>
      <c r="BO206" s="64">
        <f t="shared" si="35"/>
        <v>5.6980056980056981E-2</v>
      </c>
      <c r="BP206" s="64">
        <f t="shared" si="36"/>
        <v>5.9829059829059839E-2</v>
      </c>
    </row>
    <row r="207" spans="1:68" ht="27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45</v>
      </c>
      <c r="Y208" s="666">
        <f t="shared" si="32"/>
        <v>45</v>
      </c>
      <c r="Z208" s="36">
        <f>IFERROR(IF(Y208=0,"",ROUNDUP(Y208/H208,0)*0.00502),"")</f>
        <v>0.1255</v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47.5</v>
      </c>
      <c r="BN208" s="64">
        <f t="shared" si="34"/>
        <v>47.5</v>
      </c>
      <c r="BO208" s="64">
        <f t="shared" si="35"/>
        <v>0.10683760683760685</v>
      </c>
      <c r="BP208" s="64">
        <f t="shared" si="36"/>
        <v>0.10683760683760685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45</v>
      </c>
      <c r="Y209" s="667">
        <f>IFERROR(Y201/H201,"0")+IFERROR(Y202/H202,"0")+IFERROR(Y203/H203,"0")+IFERROR(Y204/H204,"0")+IFERROR(Y205/H205,"0")+IFERROR(Y206/H206,"0")+IFERROR(Y207/H207,"0")+IFERROR(Y208/H208,"0")</f>
        <v>46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0.23092000000000001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81</v>
      </c>
      <c r="Y210" s="667">
        <f>IFERROR(SUM(Y201:Y208),"0")</f>
        <v>82.8</v>
      </c>
      <c r="Z210" s="37"/>
      <c r="AA210" s="668"/>
      <c r="AB210" s="668"/>
      <c r="AC210" s="668"/>
    </row>
    <row r="211" spans="1:68" ht="14.25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120</v>
      </c>
      <c r="Y215" s="666">
        <f t="shared" si="37"/>
        <v>120</v>
      </c>
      <c r="Z215" s="36">
        <f t="shared" ref="Z215:Z220" si="42">IFERROR(IF(Y215=0,"",ROUNDUP(Y215/H215,0)*0.00651),"")</f>
        <v>0.32550000000000001</v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133.5</v>
      </c>
      <c r="BN215" s="64">
        <f t="shared" si="39"/>
        <v>133.5</v>
      </c>
      <c r="BO215" s="64">
        <f t="shared" si="40"/>
        <v>0.27472527472527475</v>
      </c>
      <c r="BP215" s="64">
        <f t="shared" si="41"/>
        <v>0.27472527472527475</v>
      </c>
    </row>
    <row r="216" spans="1:68" ht="27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240</v>
      </c>
      <c r="Y217" s="666">
        <f t="shared" si="37"/>
        <v>240</v>
      </c>
      <c r="Z217" s="36">
        <f t="shared" si="42"/>
        <v>0.65100000000000002</v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265.20000000000005</v>
      </c>
      <c r="BN217" s="64">
        <f t="shared" si="39"/>
        <v>265.20000000000005</v>
      </c>
      <c r="BO217" s="64">
        <f t="shared" si="40"/>
        <v>0.5494505494505495</v>
      </c>
      <c r="BP217" s="64">
        <f t="shared" si="41"/>
        <v>0.5494505494505495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120</v>
      </c>
      <c r="Y218" s="666">
        <f t="shared" si="37"/>
        <v>120</v>
      </c>
      <c r="Z218" s="36">
        <f t="shared" si="42"/>
        <v>0.32550000000000001</v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132.60000000000002</v>
      </c>
      <c r="BN218" s="64">
        <f t="shared" si="39"/>
        <v>132.60000000000002</v>
      </c>
      <c r="BO218" s="64">
        <f t="shared" si="40"/>
        <v>0.27472527472527475</v>
      </c>
      <c r="BP218" s="64">
        <f t="shared" si="41"/>
        <v>0.27472527472527475</v>
      </c>
    </row>
    <row r="219" spans="1:68" ht="27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80</v>
      </c>
      <c r="Y220" s="666">
        <f t="shared" si="37"/>
        <v>81.599999999999994</v>
      </c>
      <c r="Z220" s="36">
        <f t="shared" si="42"/>
        <v>0.22134000000000001</v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88.6</v>
      </c>
      <c r="BN220" s="64">
        <f t="shared" si="39"/>
        <v>90.371999999999986</v>
      </c>
      <c r="BO220" s="64">
        <f t="shared" si="40"/>
        <v>0.18315018315018317</v>
      </c>
      <c r="BP220" s="64">
        <f t="shared" si="41"/>
        <v>0.18681318681318682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233.33333333333334</v>
      </c>
      <c r="Y221" s="667">
        <f>IFERROR(Y212/H212,"0")+IFERROR(Y213/H213,"0")+IFERROR(Y214/H214,"0")+IFERROR(Y215/H215,"0")+IFERROR(Y216/H216,"0")+IFERROR(Y217/H217,"0")+IFERROR(Y218/H218,"0")+IFERROR(Y219/H219,"0")+IFERROR(Y220/H220,"0")</f>
        <v>234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1.5233400000000001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560</v>
      </c>
      <c r="Y222" s="667">
        <f>IFERROR(SUM(Y212:Y220),"0")</f>
        <v>561.6</v>
      </c>
      <c r="Z222" s="37"/>
      <c r="AA222" s="668"/>
      <c r="AB222" s="668"/>
      <c r="AC222" s="668"/>
    </row>
    <row r="223" spans="1:68" ht="14.25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7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1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80</v>
      </c>
      <c r="Y255" s="666">
        <f t="shared" ref="Y255:Y260" si="48">IFERROR(IF(X255="",0,CEILING((X255/$H255),1)*$H255),"")</f>
        <v>86.4</v>
      </c>
      <c r="Z255" s="36">
        <f>IFERROR(IF(Y255=0,"",ROUNDUP(Y255/H255,0)*0.01898),"")</f>
        <v>0.15184</v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83.222222222222214</v>
      </c>
      <c r="BN255" s="64">
        <f t="shared" ref="BN255:BN260" si="50">IFERROR(Y255*I255/H255,"0")</f>
        <v>89.88</v>
      </c>
      <c r="BO255" s="64">
        <f t="shared" ref="BO255:BO260" si="51">IFERROR(1/J255*(X255/H255),"0")</f>
        <v>0.11574074074074073</v>
      </c>
      <c r="BP255" s="64">
        <f t="shared" ref="BP255:BP260" si="52">IFERROR(1/J255*(Y255/H255),"0")</f>
        <v>0.125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200</v>
      </c>
      <c r="Y256" s="666">
        <f t="shared" si="48"/>
        <v>205.20000000000002</v>
      </c>
      <c r="Z256" s="36">
        <f>IFERROR(IF(Y256=0,"",ROUNDUP(Y256/H256,0)*0.01898),"")</f>
        <v>0.36062</v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208.05555555555554</v>
      </c>
      <c r="BN256" s="64">
        <f t="shared" si="50"/>
        <v>213.46499999999997</v>
      </c>
      <c r="BO256" s="64">
        <f t="shared" si="51"/>
        <v>0.28935185185185186</v>
      </c>
      <c r="BP256" s="64">
        <f t="shared" si="52"/>
        <v>0.296875</v>
      </c>
    </row>
    <row r="257" spans="1:68" ht="27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25.925925925925924</v>
      </c>
      <c r="Y261" s="667">
        <f>IFERROR(Y255/H255,"0")+IFERROR(Y256/H256,"0")+IFERROR(Y257/H257,"0")+IFERROR(Y258/H258,"0")+IFERROR(Y259/H259,"0")+IFERROR(Y260/H260,"0")</f>
        <v>27</v>
      </c>
      <c r="Z261" s="667">
        <f>IFERROR(IF(Z255="",0,Z255),"0")+IFERROR(IF(Z256="",0,Z256),"0")+IFERROR(IF(Z257="",0,Z257),"0")+IFERROR(IF(Z258="",0,Z258),"0")+IFERROR(IF(Z259="",0,Z259),"0")+IFERROR(IF(Z260="",0,Z260),"0")</f>
        <v>0.51246000000000003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280</v>
      </c>
      <c r="Y262" s="667">
        <f>IFERROR(SUM(Y255:Y260),"0")</f>
        <v>291.60000000000002</v>
      </c>
      <c r="Z262" s="37"/>
      <c r="AA262" s="668"/>
      <c r="AB262" s="668"/>
      <c r="AC262" s="668"/>
    </row>
    <row r="263" spans="1:68" ht="16.5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62.999999999999993</v>
      </c>
      <c r="Y308" s="666">
        <f>IFERROR(IF(X308="",0,CEILING((X308/$H308),1)*$H308),"")</f>
        <v>63</v>
      </c>
      <c r="Z308" s="36">
        <f>IFERROR(IF(Y308=0,"",ROUNDUP(Y308/H308,0)*0.00502),"")</f>
        <v>0.15060000000000001</v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66</v>
      </c>
      <c r="BN308" s="64">
        <f>IFERROR(Y308*I308/H308,"0")</f>
        <v>66.000000000000014</v>
      </c>
      <c r="BO308" s="64">
        <f>IFERROR(1/J308*(X308/H308),"0")</f>
        <v>0.12820512820512819</v>
      </c>
      <c r="BP308" s="64">
        <f>IFERROR(1/J308*(Y308/H308),"0")</f>
        <v>0.12820512820512822</v>
      </c>
    </row>
    <row r="309" spans="1:68" ht="27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29.999999999999996</v>
      </c>
      <c r="Y310" s="667">
        <f>IFERROR(Y308/H308,"0")+IFERROR(Y309/H309,"0")</f>
        <v>30</v>
      </c>
      <c r="Z310" s="667">
        <f>IFERROR(IF(Z308="",0,Z308),"0")+IFERROR(IF(Z309="",0,Z309),"0")</f>
        <v>0.15060000000000001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62.999999999999993</v>
      </c>
      <c r="Y311" s="667">
        <f>IFERROR(SUM(Y308:Y309),"0")</f>
        <v>63</v>
      </c>
      <c r="Z311" s="37"/>
      <c r="AA311" s="668"/>
      <c r="AB311" s="668"/>
      <c r="AC311" s="668"/>
    </row>
    <row r="312" spans="1:68" ht="16.5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450</v>
      </c>
      <c r="Y320" s="666">
        <f t="shared" si="53"/>
        <v>453.6</v>
      </c>
      <c r="Z320" s="36">
        <f>IFERROR(IF(Y320=0,"",ROUNDUP(Y320/H320,0)*0.01898),"")</f>
        <v>0.79715999999999998</v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468.12499999999994</v>
      </c>
      <c r="BN320" s="64">
        <f t="shared" si="55"/>
        <v>471.86999999999995</v>
      </c>
      <c r="BO320" s="64">
        <f t="shared" si="56"/>
        <v>0.65104166666666663</v>
      </c>
      <c r="BP320" s="64">
        <f t="shared" si="57"/>
        <v>0.65625</v>
      </c>
    </row>
    <row r="321" spans="1:68" ht="27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120</v>
      </c>
      <c r="Y322" s="666">
        <f t="shared" si="53"/>
        <v>129.60000000000002</v>
      </c>
      <c r="Z322" s="36">
        <f>IFERROR(IF(Y322=0,"",ROUNDUP(Y322/H322,0)*0.01898),"")</f>
        <v>0.22776000000000002</v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124.83333333333331</v>
      </c>
      <c r="BN322" s="64">
        <f t="shared" si="55"/>
        <v>134.82000000000002</v>
      </c>
      <c r="BO322" s="64">
        <f t="shared" si="56"/>
        <v>0.1736111111111111</v>
      </c>
      <c r="BP322" s="64">
        <f t="shared" si="57"/>
        <v>0.18750000000000003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32</v>
      </c>
      <c r="Y323" s="666">
        <f t="shared" si="53"/>
        <v>32</v>
      </c>
      <c r="Z323" s="36">
        <f>IFERROR(IF(Y323=0,"",ROUNDUP(Y323/H323,0)*0.00902),"")</f>
        <v>7.2160000000000002E-2</v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33.68</v>
      </c>
      <c r="BN323" s="64">
        <f t="shared" si="55"/>
        <v>33.68</v>
      </c>
      <c r="BO323" s="64">
        <f t="shared" si="56"/>
        <v>6.0606060606060608E-2</v>
      </c>
      <c r="BP323" s="64">
        <f t="shared" si="57"/>
        <v>6.0606060606060608E-2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60.777777777777771</v>
      </c>
      <c r="Y325" s="667">
        <f>IFERROR(Y319/H319,"0")+IFERROR(Y320/H320,"0")+IFERROR(Y321/H321,"0")+IFERROR(Y322/H322,"0")+IFERROR(Y323/H323,"0")+IFERROR(Y324/H324,"0")</f>
        <v>62</v>
      </c>
      <c r="Z325" s="667">
        <f>IFERROR(IF(Z319="",0,Z319),"0")+IFERROR(IF(Z320="",0,Z320),"0")+IFERROR(IF(Z321="",0,Z321),"0")+IFERROR(IF(Z322="",0,Z322),"0")+IFERROR(IF(Z323="",0,Z323),"0")+IFERROR(IF(Z324="",0,Z324),"0")</f>
        <v>1.0970800000000001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602</v>
      </c>
      <c r="Y326" s="667">
        <f>IFERROR(SUM(Y319:Y324),"0")</f>
        <v>615.20000000000005</v>
      </c>
      <c r="Z326" s="37"/>
      <c r="AA326" s="668"/>
      <c r="AB326" s="668"/>
      <c r="AC326" s="668"/>
    </row>
    <row r="327" spans="1:68" ht="14.25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130</v>
      </c>
      <c r="Y328" s="666">
        <f>IFERROR(IF(X328="",0,CEILING((X328/$H328),1)*$H328),"")</f>
        <v>130.20000000000002</v>
      </c>
      <c r="Z328" s="36">
        <f>IFERROR(IF(Y328=0,"",ROUNDUP(Y328/H328,0)*0.00902),"")</f>
        <v>0.27961999999999998</v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138.35714285714286</v>
      </c>
      <c r="BN328" s="64">
        <f>IFERROR(Y328*I328/H328,"0")</f>
        <v>138.57</v>
      </c>
      <c r="BO328" s="64">
        <f>IFERROR(1/J328*(X328/H328),"0")</f>
        <v>0.23448773448773449</v>
      </c>
      <c r="BP328" s="64">
        <f>IFERROR(1/J328*(Y328/H328),"0")</f>
        <v>0.23484848484848489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100</v>
      </c>
      <c r="Y329" s="666">
        <f>IFERROR(IF(X329="",0,CEILING((X329/$H329),1)*$H329),"")</f>
        <v>100.80000000000001</v>
      </c>
      <c r="Z329" s="36">
        <f>IFERROR(IF(Y329=0,"",ROUNDUP(Y329/H329,0)*0.00902),"")</f>
        <v>0.21648000000000001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106.42857142857143</v>
      </c>
      <c r="BN329" s="64">
        <f>IFERROR(Y329*I329/H329,"0")</f>
        <v>107.28</v>
      </c>
      <c r="BO329" s="64">
        <f>IFERROR(1/J329*(X329/H329),"0")</f>
        <v>0.18037518037518038</v>
      </c>
      <c r="BP329" s="64">
        <f>IFERROR(1/J329*(Y329/H329),"0")</f>
        <v>0.18181818181818182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54.761904761904759</v>
      </c>
      <c r="Y332" s="667">
        <f>IFERROR(Y328/H328,"0")+IFERROR(Y329/H329,"0")+IFERROR(Y330/H330,"0")+IFERROR(Y331/H331,"0")</f>
        <v>55</v>
      </c>
      <c r="Z332" s="667">
        <f>IFERROR(IF(Z328="",0,Z328),"0")+IFERROR(IF(Z329="",0,Z329),"0")+IFERROR(IF(Z330="",0,Z330),"0")+IFERROR(IF(Z331="",0,Z331),"0")</f>
        <v>0.49609999999999999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230</v>
      </c>
      <c r="Y333" s="667">
        <f>IFERROR(SUM(Y328:Y331),"0")</f>
        <v>231.00000000000003</v>
      </c>
      <c r="Z333" s="37"/>
      <c r="AA333" s="668"/>
      <c r="AB333" s="668"/>
      <c r="AC333" s="668"/>
    </row>
    <row r="334" spans="1:68" ht="14.25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400</v>
      </c>
      <c r="Y335" s="666">
        <f>IFERROR(IF(X335="",0,CEILING((X335/$H335),1)*$H335),"")</f>
        <v>405.59999999999997</v>
      </c>
      <c r="Z335" s="36">
        <f>IFERROR(IF(Y335=0,"",ROUNDUP(Y335/H335,0)*0.01898),"")</f>
        <v>0.98696000000000006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426.30769230769238</v>
      </c>
      <c r="BN335" s="64">
        <f>IFERROR(Y335*I335/H335,"0")</f>
        <v>432.27599999999995</v>
      </c>
      <c r="BO335" s="64">
        <f>IFERROR(1/J335*(X335/H335),"0")</f>
        <v>0.80128205128205132</v>
      </c>
      <c r="BP335" s="64">
        <f>IFERROR(1/J335*(Y335/H335),"0")</f>
        <v>0.8125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175</v>
      </c>
      <c r="Y338" s="666">
        <f>IFERROR(IF(X338="",0,CEILING((X338/$H338),1)*$H338),"")</f>
        <v>177</v>
      </c>
      <c r="Z338" s="36">
        <f>IFERROR(IF(Y338=0,"",ROUNDUP(Y338/H338,0)*0.00651),"")</f>
        <v>0.38408999999999999</v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189.35</v>
      </c>
      <c r="BN338" s="64">
        <f>IFERROR(Y338*I338/H338,"0")</f>
        <v>191.51400000000001</v>
      </c>
      <c r="BO338" s="64">
        <f>IFERROR(1/J338*(X338/H338),"0")</f>
        <v>0.32051282051282054</v>
      </c>
      <c r="BP338" s="64">
        <f>IFERROR(1/J338*(Y338/H338),"0")</f>
        <v>0.32417582417582419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109.61538461538461</v>
      </c>
      <c r="Y340" s="667">
        <f>IFERROR(Y335/H335,"0")+IFERROR(Y336/H336,"0")+IFERROR(Y337/H337,"0")+IFERROR(Y338/H338,"0")+IFERROR(Y339/H339,"0")</f>
        <v>111</v>
      </c>
      <c r="Z340" s="667">
        <f>IFERROR(IF(Z335="",0,Z335),"0")+IFERROR(IF(Z336="",0,Z336),"0")+IFERROR(IF(Z337="",0,Z337),"0")+IFERROR(IF(Z338="",0,Z338),"0")+IFERROR(IF(Z339="",0,Z339),"0")</f>
        <v>1.3710500000000001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575</v>
      </c>
      <c r="Y341" s="667">
        <f>IFERROR(SUM(Y335:Y339),"0")</f>
        <v>582.59999999999991</v>
      </c>
      <c r="Z341" s="37"/>
      <c r="AA341" s="668"/>
      <c r="AB341" s="668"/>
      <c r="AC341" s="668"/>
    </row>
    <row r="342" spans="1:68" ht="14.25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140</v>
      </c>
      <c r="Y343" s="666">
        <f>IFERROR(IF(X343="",0,CEILING((X343/$H343),1)*$H343),"")</f>
        <v>142.80000000000001</v>
      </c>
      <c r="Z343" s="36">
        <f>IFERROR(IF(Y343=0,"",ROUNDUP(Y343/H343,0)*0.01898),"")</f>
        <v>0.32266</v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148.65</v>
      </c>
      <c r="BN343" s="64">
        <f>IFERROR(Y343*I343/H343,"0")</f>
        <v>151.62300000000002</v>
      </c>
      <c r="BO343" s="64">
        <f>IFERROR(1/J343*(X343/H343),"0")</f>
        <v>0.26041666666666663</v>
      </c>
      <c r="BP343" s="64">
        <f>IFERROR(1/J343*(Y343/H343),"0")</f>
        <v>0.265625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100</v>
      </c>
      <c r="Y344" s="666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106.65384615384617</v>
      </c>
      <c r="BN344" s="64">
        <f>IFERROR(Y344*I344/H344,"0")</f>
        <v>108.14700000000001</v>
      </c>
      <c r="BO344" s="64">
        <f>IFERROR(1/J344*(X344/H344),"0")</f>
        <v>0.20032051282051283</v>
      </c>
      <c r="BP344" s="64">
        <f>IFERROR(1/J344*(Y344/H344),"0")</f>
        <v>0.203125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40</v>
      </c>
      <c r="Y345" s="666">
        <f>IFERROR(IF(X345="",0,CEILING((X345/$H345),1)*$H345),"")</f>
        <v>42</v>
      </c>
      <c r="Z345" s="36">
        <f>IFERROR(IF(Y345=0,"",ROUNDUP(Y345/H345,0)*0.01898),"")</f>
        <v>9.4899999999999998E-2</v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42.471428571428568</v>
      </c>
      <c r="BN345" s="64">
        <f>IFERROR(Y345*I345/H345,"0")</f>
        <v>44.594999999999999</v>
      </c>
      <c r="BO345" s="64">
        <f>IFERROR(1/J345*(X345/H345),"0")</f>
        <v>7.4404761904761904E-2</v>
      </c>
      <c r="BP345" s="64">
        <f>IFERROR(1/J345*(Y345/H345),"0")</f>
        <v>7.8125E-2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34.249084249084248</v>
      </c>
      <c r="Y346" s="667">
        <f>IFERROR(Y343/H343,"0")+IFERROR(Y344/H344,"0")+IFERROR(Y345/H345,"0")</f>
        <v>35</v>
      </c>
      <c r="Z346" s="667">
        <f>IFERROR(IF(Z343="",0,Z343),"0")+IFERROR(IF(Z344="",0,Z344),"0")+IFERROR(IF(Z345="",0,Z345),"0")</f>
        <v>0.6643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280</v>
      </c>
      <c r="Y347" s="667">
        <f>IFERROR(SUM(Y343:Y345),"0")</f>
        <v>286.2</v>
      </c>
      <c r="Z347" s="37"/>
      <c r="AA347" s="668"/>
      <c r="AB347" s="668"/>
      <c r="AC347" s="668"/>
    </row>
    <row r="348" spans="1:68" ht="14.25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7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68</v>
      </c>
      <c r="Y352" s="666">
        <f>IFERROR(IF(X352="",0,CEILING((X352/$H352),1)*$H352),"")</f>
        <v>68.849999999999994</v>
      </c>
      <c r="Z352" s="36">
        <f>IFERROR(IF(Y352=0,"",ROUNDUP(Y352/H352,0)*0.00651),"")</f>
        <v>0.17577000000000001</v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76.800000000000011</v>
      </c>
      <c r="BN352" s="64">
        <f>IFERROR(Y352*I352/H352,"0")</f>
        <v>77.760000000000005</v>
      </c>
      <c r="BO352" s="64">
        <f>IFERROR(1/J352*(X352/H352),"0")</f>
        <v>0.14652014652014653</v>
      </c>
      <c r="BP352" s="64">
        <f>IFERROR(1/J352*(Y352/H352),"0")</f>
        <v>0.14835164835164835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26.666666666666668</v>
      </c>
      <c r="Y353" s="667">
        <f>IFERROR(Y349/H349,"0")+IFERROR(Y350/H350,"0")+IFERROR(Y351/H351,"0")+IFERROR(Y352/H352,"0")</f>
        <v>27</v>
      </c>
      <c r="Z353" s="667">
        <f>IFERROR(IF(Z349="",0,Z349),"0")+IFERROR(IF(Z350="",0,Z350),"0")+IFERROR(IF(Z351="",0,Z351),"0")+IFERROR(IF(Z352="",0,Z352),"0")</f>
        <v>0.17577000000000001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68</v>
      </c>
      <c r="Y354" s="667">
        <f>IFERROR(SUM(Y349:Y352),"0")</f>
        <v>68.849999999999994</v>
      </c>
      <c r="Z354" s="37"/>
      <c r="AA354" s="668"/>
      <c r="AB354" s="668"/>
      <c r="AC354" s="668"/>
    </row>
    <row r="355" spans="1:68" ht="14.25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30</v>
      </c>
      <c r="Y356" s="666">
        <f>IFERROR(IF(X356="",0,CEILING((X356/$H356),1)*$H356),"")</f>
        <v>30</v>
      </c>
      <c r="Z356" s="36">
        <f>IFERROR(IF(Y356=0,"",ROUNDUP(Y356/H356,0)*0.00474),"")</f>
        <v>7.110000000000001E-2</v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33.6</v>
      </c>
      <c r="BN356" s="64">
        <f>IFERROR(Y356*I356/H356,"0")</f>
        <v>33.6</v>
      </c>
      <c r="BO356" s="64">
        <f>IFERROR(1/J356*(X356/H356),"0")</f>
        <v>6.3025210084033612E-2</v>
      </c>
      <c r="BP356" s="64">
        <f>IFERROR(1/J356*(Y356/H356),"0")</f>
        <v>6.3025210084033612E-2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30</v>
      </c>
      <c r="Y357" s="666">
        <f>IFERROR(IF(X357="",0,CEILING((X357/$H357),1)*$H357),"")</f>
        <v>30</v>
      </c>
      <c r="Z357" s="36">
        <f>IFERROR(IF(Y357=0,"",ROUNDUP(Y357/H357,0)*0.00474),"")</f>
        <v>7.110000000000001E-2</v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33.6</v>
      </c>
      <c r="BN357" s="64">
        <f>IFERROR(Y357*I357/H357,"0")</f>
        <v>33.6</v>
      </c>
      <c r="BO357" s="64">
        <f>IFERROR(1/J357*(X357/H357),"0")</f>
        <v>6.3025210084033612E-2</v>
      </c>
      <c r="BP357" s="64">
        <f>IFERROR(1/J357*(Y357/H357),"0")</f>
        <v>6.3025210084033612E-2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30</v>
      </c>
      <c r="Y358" s="666">
        <f>IFERROR(IF(X358="",0,CEILING((X358/$H358),1)*$H358),"")</f>
        <v>30</v>
      </c>
      <c r="Z358" s="36">
        <f>IFERROR(IF(Y358=0,"",ROUNDUP(Y358/H358,0)*0.00474),"")</f>
        <v>7.110000000000001E-2</v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33.6</v>
      </c>
      <c r="BN358" s="64">
        <f>IFERROR(Y358*I358/H358,"0")</f>
        <v>33.6</v>
      </c>
      <c r="BO358" s="64">
        <f>IFERROR(1/J358*(X358/H358),"0")</f>
        <v>6.3025210084033612E-2</v>
      </c>
      <c r="BP358" s="64">
        <f>IFERROR(1/J358*(Y358/H358),"0")</f>
        <v>6.3025210084033612E-2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45</v>
      </c>
      <c r="Y359" s="667">
        <f>IFERROR(Y356/H356,"0")+IFERROR(Y357/H357,"0")+IFERROR(Y358/H358,"0")</f>
        <v>45</v>
      </c>
      <c r="Z359" s="667">
        <f>IFERROR(IF(Z356="",0,Z356),"0")+IFERROR(IF(Z357="",0,Z357),"0")+IFERROR(IF(Z358="",0,Z358),"0")</f>
        <v>0.21330000000000005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90</v>
      </c>
      <c r="Y360" s="667">
        <f>IFERROR(SUM(Y356:Y358),"0")</f>
        <v>90</v>
      </c>
      <c r="Z360" s="37"/>
      <c r="AA360" s="668"/>
      <c r="AB360" s="668"/>
      <c r="AC360" s="668"/>
    </row>
    <row r="361" spans="1:68" ht="16.5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105</v>
      </c>
      <c r="Y368" s="666">
        <f>IFERROR(IF(X368="",0,CEILING((X368/$H368),1)*$H368),"")</f>
        <v>105</v>
      </c>
      <c r="Z368" s="36">
        <f>IFERROR(IF(Y368=0,"",ROUNDUP(Y368/H368,0)*0.00651),"")</f>
        <v>0.32550000000000001</v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117.59999999999998</v>
      </c>
      <c r="BN368" s="64">
        <f>IFERROR(Y368*I368/H368,"0")</f>
        <v>117.59999999999998</v>
      </c>
      <c r="BO368" s="64">
        <f>IFERROR(1/J368*(X368/H368),"0")</f>
        <v>0.27472527472527475</v>
      </c>
      <c r="BP368" s="64">
        <f>IFERROR(1/J368*(Y368/H368),"0")</f>
        <v>0.27472527472527475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175</v>
      </c>
      <c r="Y369" s="666">
        <f>IFERROR(IF(X369="",0,CEILING((X369/$H369),1)*$H369),"")</f>
        <v>176.4</v>
      </c>
      <c r="Z369" s="36">
        <f>IFERROR(IF(Y369=0,"",ROUNDUP(Y369/H369,0)*0.00651),"")</f>
        <v>0.54683999999999999</v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195</v>
      </c>
      <c r="BN369" s="64">
        <f>IFERROR(Y369*I369/H369,"0")</f>
        <v>196.56</v>
      </c>
      <c r="BO369" s="64">
        <f>IFERROR(1/J369*(X369/H369),"0")</f>
        <v>0.45787545787545786</v>
      </c>
      <c r="BP369" s="64">
        <f>IFERROR(1/J369*(Y369/H369),"0")</f>
        <v>0.46153846153846156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133.33333333333331</v>
      </c>
      <c r="Y370" s="667">
        <f>IFERROR(Y367/H367,"0")+IFERROR(Y368/H368,"0")+IFERROR(Y369/H369,"0")</f>
        <v>134</v>
      </c>
      <c r="Z370" s="667">
        <f>IFERROR(IF(Z367="",0,Z367),"0")+IFERROR(IF(Z368="",0,Z368),"0")+IFERROR(IF(Z369="",0,Z369),"0")</f>
        <v>0.87234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280</v>
      </c>
      <c r="Y371" s="667">
        <f>IFERROR(SUM(Y367:Y369),"0")</f>
        <v>281.39999999999998</v>
      </c>
      <c r="Z371" s="37"/>
      <c r="AA371" s="668"/>
      <c r="AB371" s="668"/>
      <c r="AC371" s="668"/>
    </row>
    <row r="372" spans="1:68" ht="27.75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350</v>
      </c>
      <c r="Y375" s="666">
        <f t="shared" ref="Y375:Y384" si="58">IFERROR(IF(X375="",0,CEILING((X375/$H375),1)*$H375),"")</f>
        <v>360</v>
      </c>
      <c r="Z375" s="36">
        <f>IFERROR(IF(Y375=0,"",ROUNDUP(Y375/H375,0)*0.02175),"")</f>
        <v>0.52200000000000002</v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361.2</v>
      </c>
      <c r="BN375" s="64">
        <f t="shared" ref="BN375:BN384" si="60">IFERROR(Y375*I375/H375,"0")</f>
        <v>371.52000000000004</v>
      </c>
      <c r="BO375" s="64">
        <f t="shared" ref="BO375:BO384" si="61">IFERROR(1/J375*(X375/H375),"0")</f>
        <v>0.48611111111111105</v>
      </c>
      <c r="BP375" s="64">
        <f t="shared" ref="BP375:BP384" si="62">IFERROR(1/J375*(Y375/H375),"0")</f>
        <v>0.5</v>
      </c>
    </row>
    <row r="376" spans="1:68" ht="27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400</v>
      </c>
      <c r="Y377" s="666">
        <f t="shared" si="58"/>
        <v>405</v>
      </c>
      <c r="Z377" s="36">
        <f>IFERROR(IF(Y377=0,"",ROUNDUP(Y377/H377,0)*0.02175),"")</f>
        <v>0.58724999999999994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412.8</v>
      </c>
      <c r="BN377" s="64">
        <f t="shared" si="60"/>
        <v>417.96000000000004</v>
      </c>
      <c r="BO377" s="64">
        <f t="shared" si="61"/>
        <v>0.55555555555555558</v>
      </c>
      <c r="BP377" s="64">
        <f t="shared" si="62"/>
        <v>0.5625</v>
      </c>
    </row>
    <row r="378" spans="1:68" ht="27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150</v>
      </c>
      <c r="Y379" s="666">
        <f t="shared" si="58"/>
        <v>150</v>
      </c>
      <c r="Z379" s="36">
        <f>IFERROR(IF(Y379=0,"",ROUNDUP(Y379/H379,0)*0.02175),"")</f>
        <v>0.21749999999999997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154.80000000000001</v>
      </c>
      <c r="BN379" s="64">
        <f t="shared" si="60"/>
        <v>154.80000000000001</v>
      </c>
      <c r="BO379" s="64">
        <f t="shared" si="61"/>
        <v>0.20833333333333331</v>
      </c>
      <c r="BP379" s="64">
        <f t="shared" si="62"/>
        <v>0.20833333333333331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35</v>
      </c>
      <c r="Y383" s="666">
        <f t="shared" si="58"/>
        <v>35</v>
      </c>
      <c r="Z383" s="36">
        <f>IFERROR(IF(Y383=0,"",ROUNDUP(Y383/H383,0)*0.00902),"")</f>
        <v>6.3140000000000002E-2</v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36.47</v>
      </c>
      <c r="BN383" s="64">
        <f t="shared" si="60"/>
        <v>36.47</v>
      </c>
      <c r="BO383" s="64">
        <f t="shared" si="61"/>
        <v>5.3030303030303032E-2</v>
      </c>
      <c r="BP383" s="64">
        <f t="shared" si="62"/>
        <v>5.3030303030303032E-2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60</v>
      </c>
      <c r="Y384" s="666">
        <f t="shared" si="58"/>
        <v>60</v>
      </c>
      <c r="Z384" s="36">
        <f>IFERROR(IF(Y384=0,"",ROUNDUP(Y384/H384,0)*0.00902),"")</f>
        <v>0.10824</v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62.52</v>
      </c>
      <c r="BN384" s="64">
        <f t="shared" si="60"/>
        <v>62.52</v>
      </c>
      <c r="BO384" s="64">
        <f t="shared" si="61"/>
        <v>9.0909090909090912E-2</v>
      </c>
      <c r="BP384" s="64">
        <f t="shared" si="62"/>
        <v>9.0909090909090912E-2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79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80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1.4981299999999997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995</v>
      </c>
      <c r="Y386" s="667">
        <f>IFERROR(SUM(Y375:Y384),"0")</f>
        <v>1010</v>
      </c>
      <c r="Z386" s="37"/>
      <c r="AA386" s="668"/>
      <c r="AB386" s="668"/>
      <c r="AC386" s="668"/>
    </row>
    <row r="387" spans="1:68" ht="14.25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500</v>
      </c>
      <c r="Y388" s="666">
        <f>IFERROR(IF(X388="",0,CEILING((X388/$H388),1)*$H388),"")</f>
        <v>510</v>
      </c>
      <c r="Z388" s="36">
        <f>IFERROR(IF(Y388=0,"",ROUNDUP(Y388/H388,0)*0.02175),"")</f>
        <v>0.73949999999999994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516</v>
      </c>
      <c r="BN388" s="64">
        <f>IFERROR(Y388*I388/H388,"0")</f>
        <v>526.32000000000005</v>
      </c>
      <c r="BO388" s="64">
        <f>IFERROR(1/J388*(X388/H388),"0")</f>
        <v>0.69444444444444442</v>
      </c>
      <c r="BP388" s="64">
        <f>IFERROR(1/J388*(Y388/H388),"0")</f>
        <v>0.70833333333333326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33.333333333333336</v>
      </c>
      <c r="Y390" s="667">
        <f>IFERROR(Y388/H388,"0")+IFERROR(Y389/H389,"0")</f>
        <v>34</v>
      </c>
      <c r="Z390" s="667">
        <f>IFERROR(IF(Z388="",0,Z388),"0")+IFERROR(IF(Z389="",0,Z389),"0")</f>
        <v>0.73949999999999994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500</v>
      </c>
      <c r="Y391" s="667">
        <f>IFERROR(SUM(Y388:Y389),"0")</f>
        <v>510</v>
      </c>
      <c r="Z391" s="37"/>
      <c r="AA391" s="668"/>
      <c r="AB391" s="668"/>
      <c r="AC391" s="668"/>
    </row>
    <row r="392" spans="1:68" ht="14.25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4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0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60</v>
      </c>
      <c r="Y398" s="666">
        <f>IFERROR(IF(X398="",0,CEILING((X398/$H398),1)*$H398),"")</f>
        <v>63</v>
      </c>
      <c r="Z398" s="36">
        <f>IFERROR(IF(Y398=0,"",ROUNDUP(Y398/H398,0)*0.01898),"")</f>
        <v>0.13286000000000001</v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63.46</v>
      </c>
      <c r="BN398" s="64">
        <f>IFERROR(Y398*I398/H398,"0")</f>
        <v>66.632999999999996</v>
      </c>
      <c r="BO398" s="64">
        <f>IFERROR(1/J398*(X398/H398),"0")</f>
        <v>0.10416666666666667</v>
      </c>
      <c r="BP398" s="64">
        <f>IFERROR(1/J398*(Y398/H398),"0")</f>
        <v>0.109375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6.666666666666667</v>
      </c>
      <c r="Y399" s="667">
        <f>IFERROR(Y398/H398,"0")</f>
        <v>7</v>
      </c>
      <c r="Z399" s="667">
        <f>IFERROR(IF(Z398="",0,Z398),"0")</f>
        <v>0.13286000000000001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60</v>
      </c>
      <c r="Y400" s="667">
        <f>IFERROR(SUM(Y398:Y398),"0")</f>
        <v>63</v>
      </c>
      <c r="Z400" s="37"/>
      <c r="AA400" s="668"/>
      <c r="AB400" s="668"/>
      <c r="AC400" s="668"/>
    </row>
    <row r="401" spans="1:68" ht="16.5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6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104</v>
      </c>
      <c r="Y418" s="666">
        <f>IFERROR(IF(X418="",0,CEILING((X418/$H418),1)*$H418),"")</f>
        <v>105.6</v>
      </c>
      <c r="Z418" s="36">
        <f>IFERROR(IF(Y418=0,"",ROUNDUP(Y418/H418,0)*0.00651),"")</f>
        <v>0.28644000000000003</v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115.44000000000003</v>
      </c>
      <c r="BN418" s="64">
        <f>IFERROR(Y418*I418/H418,"0")</f>
        <v>117.21600000000001</v>
      </c>
      <c r="BO418" s="64">
        <f>IFERROR(1/J418*(X418/H418),"0")</f>
        <v>0.23809523809523814</v>
      </c>
      <c r="BP418" s="64">
        <f>IFERROR(1/J418*(Y418/H418),"0")</f>
        <v>0.24175824175824179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43.333333333333336</v>
      </c>
      <c r="Y421" s="667">
        <f>IFERROR(Y416/H416,"0")+IFERROR(Y417/H417,"0")+IFERROR(Y418/H418,"0")+IFERROR(Y419/H419,"0")+IFERROR(Y420/H420,"0")</f>
        <v>44</v>
      </c>
      <c r="Z421" s="667">
        <f>IFERROR(IF(Z416="",0,Z416),"0")+IFERROR(IF(Z417="",0,Z417),"0")+IFERROR(IF(Z418="",0,Z418),"0")+IFERROR(IF(Z419="",0,Z419),"0")+IFERROR(IF(Z420="",0,Z420),"0")</f>
        <v>0.28644000000000003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104</v>
      </c>
      <c r="Y422" s="667">
        <f>IFERROR(SUM(Y416:Y420),"0")</f>
        <v>105.6</v>
      </c>
      <c r="Z422" s="37"/>
      <c r="AA422" s="668"/>
      <c r="AB422" s="668"/>
      <c r="AC422" s="668"/>
    </row>
    <row r="423" spans="1:68" ht="14.25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5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1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9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3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8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52.5</v>
      </c>
      <c r="Y440" s="666">
        <f t="shared" si="63"/>
        <v>52.5</v>
      </c>
      <c r="Z440" s="36">
        <f t="shared" si="68"/>
        <v>0.1255</v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55.75</v>
      </c>
      <c r="BN440" s="64">
        <f t="shared" si="65"/>
        <v>55.75</v>
      </c>
      <c r="BO440" s="64">
        <f t="shared" si="66"/>
        <v>0.10683760683760685</v>
      </c>
      <c r="BP440" s="64">
        <f t="shared" si="67"/>
        <v>0.10683760683760685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25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25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0.1255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52.5</v>
      </c>
      <c r="Y443" s="667">
        <f>IFERROR(SUM(Y430:Y441),"0")</f>
        <v>52.5</v>
      </c>
      <c r="Z443" s="37"/>
      <c r="AA443" s="668"/>
      <c r="AB443" s="668"/>
      <c r="AC443" s="668"/>
    </row>
    <row r="444" spans="1:68" ht="14.25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1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3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40</v>
      </c>
      <c r="Y480" s="666">
        <f t="shared" ref="Y480:Y495" si="69">IFERROR(IF(X480="",0,CEILING((X480/$H480),1)*$H480),"")</f>
        <v>42.24</v>
      </c>
      <c r="Z480" s="36">
        <f t="shared" ref="Z480:Z485" si="70">IFERROR(IF(Y480=0,"",ROUNDUP(Y480/H480,0)*0.01196),"")</f>
        <v>9.5680000000000001E-2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42.727272727272727</v>
      </c>
      <c r="BN480" s="64">
        <f t="shared" ref="BN480:BN495" si="72">IFERROR(Y480*I480/H480,"0")</f>
        <v>45.12</v>
      </c>
      <c r="BO480" s="64">
        <f t="shared" ref="BO480:BO495" si="73">IFERROR(1/J480*(X480/H480),"0")</f>
        <v>7.2843822843822847E-2</v>
      </c>
      <c r="BP480" s="64">
        <f t="shared" ref="BP480:BP495" si="74">IFERROR(1/J480*(Y480/H480),"0")</f>
        <v>7.6923076923076927E-2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20</v>
      </c>
      <c r="Y482" s="666">
        <f t="shared" si="69"/>
        <v>21.12</v>
      </c>
      <c r="Z482" s="36">
        <f t="shared" si="70"/>
        <v>4.7840000000000001E-2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21.363636363636363</v>
      </c>
      <c r="BN482" s="64">
        <f t="shared" si="72"/>
        <v>22.56</v>
      </c>
      <c r="BO482" s="64">
        <f t="shared" si="73"/>
        <v>3.6421911421911424E-2</v>
      </c>
      <c r="BP482" s="64">
        <f t="shared" si="74"/>
        <v>3.8461538461538464E-2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20</v>
      </c>
      <c r="Y484" s="666">
        <f t="shared" si="69"/>
        <v>21.12</v>
      </c>
      <c r="Z484" s="36">
        <f t="shared" si="70"/>
        <v>4.7840000000000001E-2</v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21.363636363636363</v>
      </c>
      <c r="BN484" s="64">
        <f t="shared" si="72"/>
        <v>22.56</v>
      </c>
      <c r="BO484" s="64">
        <f t="shared" si="73"/>
        <v>3.6421911421911424E-2</v>
      </c>
      <c r="BP484" s="64">
        <f t="shared" si="74"/>
        <v>3.8461538461538464E-2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0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3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15.15151515151515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16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0.19136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80</v>
      </c>
      <c r="Y497" s="667">
        <f>IFERROR(SUM(Y480:Y495),"0")</f>
        <v>84.48</v>
      </c>
      <c r="Z497" s="37"/>
      <c r="AA497" s="668"/>
      <c r="AB497" s="668"/>
      <c r="AC497" s="668"/>
    </row>
    <row r="498" spans="1:68" ht="14.25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20</v>
      </c>
      <c r="Y499" s="666">
        <f>IFERROR(IF(X499="",0,CEILING((X499/$H499),1)*$H499),"")</f>
        <v>21.12</v>
      </c>
      <c r="Z499" s="36">
        <f>IFERROR(IF(Y499=0,"",ROUNDUP(Y499/H499,0)*0.01196),"")</f>
        <v>4.7840000000000001E-2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21.363636363636363</v>
      </c>
      <c r="BN499" s="64">
        <f>IFERROR(Y499*I499/H499,"0")</f>
        <v>22.56</v>
      </c>
      <c r="BO499" s="64">
        <f>IFERROR(1/J499*(X499/H499),"0")</f>
        <v>3.6421911421911424E-2</v>
      </c>
      <c r="BP499" s="64">
        <f>IFERROR(1/J499*(Y499/H499),"0")</f>
        <v>3.8461538461538464E-2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46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3.7878787878787876</v>
      </c>
      <c r="Y503" s="667">
        <f>IFERROR(Y499/H499,"0")+IFERROR(Y500/H500,"0")+IFERROR(Y501/H501,"0")+IFERROR(Y502/H502,"0")</f>
        <v>4</v>
      </c>
      <c r="Z503" s="667">
        <f>IFERROR(IF(Z499="",0,Z499),"0")+IFERROR(IF(Z500="",0,Z500),"0")+IFERROR(IF(Z501="",0,Z501),"0")+IFERROR(IF(Z502="",0,Z502),"0")</f>
        <v>4.7840000000000001E-2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20</v>
      </c>
      <c r="Y504" s="667">
        <f>IFERROR(SUM(Y499:Y502),"0")</f>
        <v>21.12</v>
      </c>
      <c r="Z504" s="37"/>
      <c r="AA504" s="668"/>
      <c r="AB504" s="668"/>
      <c r="AC504" s="668"/>
    </row>
    <row r="505" spans="1:68" ht="14.25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8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10</v>
      </c>
      <c r="Y506" s="666">
        <f t="shared" ref="Y506:Y517" si="75">IFERROR(IF(X506="",0,CEILING((X506/$H506),1)*$H506),"")</f>
        <v>10.56</v>
      </c>
      <c r="Z506" s="36">
        <f>IFERROR(IF(Y506=0,"",ROUNDUP(Y506/H506,0)*0.01196),"")</f>
        <v>2.392E-2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10.681818181818182</v>
      </c>
      <c r="BN506" s="64">
        <f t="shared" ref="BN506:BN517" si="77">IFERROR(Y506*I506/H506,"0")</f>
        <v>11.28</v>
      </c>
      <c r="BO506" s="64">
        <f t="shared" ref="BO506:BO517" si="78">IFERROR(1/J506*(X506/H506),"0")</f>
        <v>1.8210955710955712E-2</v>
      </c>
      <c r="BP506" s="64">
        <f t="shared" ref="BP506:BP517" si="79">IFERROR(1/J506*(Y506/H506),"0")</f>
        <v>1.9230769230769232E-2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5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20</v>
      </c>
      <c r="Y508" s="666">
        <f t="shared" si="75"/>
        <v>21.12</v>
      </c>
      <c r="Z508" s="36">
        <f>IFERROR(IF(Y508=0,"",ROUNDUP(Y508/H508,0)*0.01196),"")</f>
        <v>4.7840000000000001E-2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21.363636363636363</v>
      </c>
      <c r="BN508" s="64">
        <f t="shared" si="77"/>
        <v>22.56</v>
      </c>
      <c r="BO508" s="64">
        <f t="shared" si="78"/>
        <v>3.6421911421911424E-2</v>
      </c>
      <c r="BP508" s="64">
        <f t="shared" si="79"/>
        <v>3.8461538461538464E-2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06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33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2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60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5.6818181818181817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6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7.1760000000000004E-2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30</v>
      </c>
      <c r="Y519" s="667">
        <f>IFERROR(SUM(Y506:Y517),"0")</f>
        <v>31.68</v>
      </c>
      <c r="Z519" s="37"/>
      <c r="AA519" s="668"/>
      <c r="AB519" s="668"/>
      <c r="AC519" s="668"/>
    </row>
    <row r="520" spans="1:68" ht="14.25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1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4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89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48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2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89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4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6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1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0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64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2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4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49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2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69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78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843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5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943</v>
      </c>
      <c r="Q592" s="804"/>
      <c r="R592" s="804"/>
      <c r="S592" s="804"/>
      <c r="T592" s="804"/>
      <c r="U592" s="804"/>
      <c r="V592" s="805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8333.5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8456.7100000000009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944</v>
      </c>
      <c r="Q593" s="804"/>
      <c r="R593" s="804"/>
      <c r="S593" s="804"/>
      <c r="T593" s="804"/>
      <c r="U593" s="804"/>
      <c r="V593" s="805"/>
      <c r="W593" s="37" t="s">
        <v>69</v>
      </c>
      <c r="X593" s="667">
        <f>IFERROR(SUM(BM22:BM589),"0")</f>
        <v>8822.8532700632713</v>
      </c>
      <c r="Y593" s="667">
        <f>IFERROR(SUM(BN22:BN589),"0")</f>
        <v>8952.3830000000034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945</v>
      </c>
      <c r="Q594" s="804"/>
      <c r="R594" s="804"/>
      <c r="S594" s="804"/>
      <c r="T594" s="804"/>
      <c r="U594" s="804"/>
      <c r="V594" s="805"/>
      <c r="W594" s="37" t="s">
        <v>946</v>
      </c>
      <c r="X594" s="38">
        <f>ROUNDUP(SUM(BO22:BO589),0)</f>
        <v>15</v>
      </c>
      <c r="Y594" s="38">
        <f>ROUNDUP(SUM(BP22:BP589),0)</f>
        <v>16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947</v>
      </c>
      <c r="Q595" s="804"/>
      <c r="R595" s="804"/>
      <c r="S595" s="804"/>
      <c r="T595" s="804"/>
      <c r="U595" s="804"/>
      <c r="V595" s="805"/>
      <c r="W595" s="37" t="s">
        <v>69</v>
      </c>
      <c r="X595" s="667">
        <f>GrossWeightTotal+PalletQtyTotal*25</f>
        <v>9197.8532700632713</v>
      </c>
      <c r="Y595" s="667">
        <f>GrossWeightTotalR+PalletQtyTotalR*25</f>
        <v>9352.3830000000034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948</v>
      </c>
      <c r="Q596" s="804"/>
      <c r="R596" s="804"/>
      <c r="S596" s="804"/>
      <c r="T596" s="804"/>
      <c r="U596" s="804"/>
      <c r="V596" s="805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1791.453934953935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1809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949</v>
      </c>
      <c r="Q597" s="804"/>
      <c r="R597" s="804"/>
      <c r="S597" s="804"/>
      <c r="T597" s="804"/>
      <c r="U597" s="804"/>
      <c r="V597" s="805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17.714850000000002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698"/>
      <c r="E599" s="698"/>
      <c r="F599" s="698"/>
      <c r="G599" s="698"/>
      <c r="H599" s="699"/>
      <c r="I599" s="675" t="s">
        <v>288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578</v>
      </c>
      <c r="X599" s="699"/>
      <c r="Y599" s="675" t="s">
        <v>656</v>
      </c>
      <c r="Z599" s="698"/>
      <c r="AA599" s="698"/>
      <c r="AB599" s="699"/>
      <c r="AC599" s="662" t="s">
        <v>731</v>
      </c>
      <c r="AD599" s="675" t="s">
        <v>833</v>
      </c>
      <c r="AE599" s="699"/>
      <c r="AF599" s="663"/>
    </row>
    <row r="600" spans="1:32" ht="14.25" customHeight="1" thickTop="1" x14ac:dyDescent="0.2">
      <c r="A600" s="987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773.6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1009.8000000000001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791.81999999999994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415.55999999999995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133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300.3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644.4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291.60000000000002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63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1873.85</v>
      </c>
      <c r="V602" s="46">
        <f>IFERROR(Y363*1,"0")+IFERROR(Y367*1,"0")+IFERROR(Y368*1,"0")+IFERROR(Y369*1,"0")</f>
        <v>281.39999999999998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1583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105.6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52.5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137.28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2025-04-18T10:39:59Z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