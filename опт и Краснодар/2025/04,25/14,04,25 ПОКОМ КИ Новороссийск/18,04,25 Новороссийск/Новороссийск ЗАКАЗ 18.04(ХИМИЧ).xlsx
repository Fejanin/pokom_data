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опт и Краснодар\2025\04,25\14,04,25 ПОКОМ КИ Новороссийск\18,04,25 Новороссийск\"/>
    </mc:Choice>
  </mc:AlternateContent>
  <xr:revisionPtr revIDLastSave="0" documentId="13_ncr:1_{152F5A07-DE68-44B3-9D87-E9F42C775D6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TDSheet!$C$7:$H$92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2" i="1" l="1"/>
  <c r="I68" i="1" l="1"/>
  <c r="I87" i="1" l="1"/>
  <c r="I86" i="1"/>
  <c r="I85" i="1"/>
  <c r="I84" i="1"/>
  <c r="I83" i="1"/>
  <c r="I82" i="1"/>
  <c r="I81" i="1"/>
  <c r="I79" i="1"/>
  <c r="I78" i="1"/>
  <c r="I76" i="1"/>
  <c r="I75" i="1"/>
  <c r="I74" i="1"/>
  <c r="I72" i="1"/>
  <c r="I71" i="1"/>
  <c r="I69" i="1"/>
  <c r="I67" i="1"/>
  <c r="I66" i="1"/>
  <c r="I63" i="1"/>
  <c r="I62" i="1"/>
  <c r="I61" i="1"/>
  <c r="I60" i="1"/>
  <c r="I59" i="1"/>
  <c r="I58" i="1"/>
  <c r="I57" i="1"/>
  <c r="I56" i="1"/>
  <c r="I55" i="1"/>
  <c r="I53" i="1"/>
  <c r="I51" i="1"/>
  <c r="I50" i="1"/>
  <c r="I49" i="1"/>
  <c r="I48" i="1"/>
  <c r="I45" i="1"/>
  <c r="I44" i="1"/>
  <c r="I43" i="1"/>
  <c r="I41" i="1"/>
  <c r="I40" i="1"/>
  <c r="I39" i="1"/>
  <c r="I38" i="1"/>
  <c r="I37" i="1"/>
  <c r="I36" i="1"/>
  <c r="I34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8" i="1"/>
  <c r="I14" i="1"/>
  <c r="I12" i="1"/>
  <c r="I11" i="1"/>
  <c r="I10" i="1"/>
  <c r="I8" i="1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8" i="1"/>
  <c r="H92" i="1" l="1"/>
</calcChain>
</file>

<file path=xl/sharedStrings.xml><?xml version="1.0" encoding="utf-8"?>
<sst xmlns="http://schemas.openxmlformats.org/spreadsheetml/2006/main" count="96" uniqueCount="95">
  <si>
    <t>Параметры:</t>
  </si>
  <si>
    <t>Отбор:</t>
  </si>
  <si>
    <t>Номенклатура</t>
  </si>
  <si>
    <t>Итого</t>
  </si>
  <si>
    <t>по заказам</t>
  </si>
  <si>
    <t>реализация</t>
  </si>
  <si>
    <t>Заказано вес</t>
  </si>
  <si>
    <t>Отгружено вес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</si>
  <si>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</si>
  <si>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</si>
  <si>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</si>
  <si>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</si>
  <si>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</si>
  <si>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</si>
  <si>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</si>
  <si>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</si>
  <si>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</si>
  <si>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</si>
  <si>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</si>
  <si>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102  Сосиски Ганноверские, амилюкс МГС, 0.6кг, ТМ Стародворье 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</si>
  <si>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</si>
  <si>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</si>
  <si>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</si>
  <si>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</si>
  <si>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</si>
  <si>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</si>
  <si>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</si>
  <si>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</si>
  <si>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</si>
  <si>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</si>
  <si>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</si>
  <si>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</si>
  <si>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</si>
  <si>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</si>
  <si>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</si>
  <si>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</si>
  <si>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</si>
  <si>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</si>
  <si>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</si>
  <si>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</si>
  <si>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</si>
  <si>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</si>
  <si>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</si>
  <si>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</si>
  <si>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</si>
  <si>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</si>
  <si>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</si>
  <si>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</si>
  <si>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</si>
  <si>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</si>
  <si>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</si>
  <si>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</si>
  <si>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</si>
  <si>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</si>
  <si>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</si>
  <si>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</si>
  <si>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</si>
  <si>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</si>
  <si>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</si>
  <si>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</si>
  <si>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</si>
  <si>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</si>
  <si>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</si>
  <si>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</si>
  <si>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</si>
  <si>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360  Колбаса Салями Финская, Вязанка фиброуз в/у 0.35кг, ТМ Стародворские колбасы ПОКОМ 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</si>
  <si>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</si>
  <si>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</si>
  <si>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</si>
  <si>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</si>
  <si>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</si>
  <si>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</si>
  <si>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</si>
  <si>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</si>
  <si>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</si>
  <si>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</si>
  <si>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</si>
  <si>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</si>
  <si>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</si>
  <si>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</si>
  <si>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</si>
  <si>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</si>
  <si>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</si>
  <si>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</si>
  <si>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</si>
  <si>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</si>
  <si>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</si>
  <si>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</si>
  <si>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</si>
  <si>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</si>
  <si>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ТОВАР В ПУТИ</t>
  </si>
  <si>
    <t>в наличии на складе</t>
  </si>
  <si>
    <t>Заказ</t>
  </si>
  <si>
    <t>ЗАКАЗ КГ</t>
  </si>
  <si>
    <t>464  Колбаса Стародворская Традиционная со шпиком оболочке полиамид ТМ Стародворье.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</si>
</sst>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8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5" fontId="1" fillId="2" borderId="6" xfId="0" applyNumberFormat="1" applyFont="1" applyFill="1" applyBorder="1" applyAlignment="1">
      <alignment horizontal="right" vertical="top"/>
    </xf>
    <xf numFmtId="0" fontId="0" fillId="0" borderId="5" xfId="0" applyBorder="1"/>
    <xf numFmtId="0" fontId="4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0" fillId="0" borderId="7" xfId="0" applyBorder="1"/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right" vertical="top"/>
    </xf>
    <xf numFmtId="164" fontId="0" fillId="4" borderId="6" xfId="0" applyNumberFormat="1" applyFill="1" applyBorder="1" applyAlignment="1">
      <alignment horizontal="right" vertical="top"/>
    </xf>
    <xf numFmtId="0" fontId="0" fillId="4" borderId="5" xfId="0" applyFill="1" applyBorder="1"/>
    <xf numFmtId="0" fontId="0" fillId="4" borderId="7" xfId="0" applyFill="1" applyBorder="1"/>
    <xf numFmtId="0" fontId="0" fillId="4" borderId="0" xfId="0" applyFill="1"/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horizontal="right" vertical="top"/>
    </xf>
    <xf numFmtId="164" fontId="0" fillId="5" borderId="6" xfId="0" applyNumberFormat="1" applyFill="1" applyBorder="1" applyAlignment="1">
      <alignment horizontal="right" vertical="top"/>
    </xf>
    <xf numFmtId="0" fontId="0" fillId="5" borderId="5" xfId="0" applyFill="1" applyBorder="1"/>
    <xf numFmtId="0" fontId="0" fillId="5" borderId="7" xfId="0" applyFill="1" applyBorder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&#1055;&#1054;&#1050;&#1054;&#1052;/pokom_data/&#1086;&#1087;&#1090;%20&#1080;%20&#1050;&#1088;&#1072;&#1089;&#1085;&#1086;&#1076;&#1072;&#1088;/2025/04,25/14,04,25%20&#1055;&#1054;&#1050;&#1054;&#1052;%20&#1050;&#1048;%20&#1053;&#1086;&#1074;&#1086;&#1088;&#1086;&#1089;&#1089;&#1080;&#1081;&#1089;&#1082;/&#1076;&#1074;%2014,04,25%20&#1085;&#1088;&#1088;&#1089;&#1095;%20&#1087;&#1086;&#1082;%20&#1082;&#1080;%20&#1086;&#1090;%20&#1061;&#1080;&#1084;&#1080;&#109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5163.2690000000011</v>
          </cell>
          <cell r="F5">
            <v>11785.064000000004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36.295000000000002</v>
          </cell>
          <cell r="D6">
            <v>289.72699999999998</v>
          </cell>
          <cell r="E6">
            <v>50.253999999999998</v>
          </cell>
          <cell r="F6">
            <v>274.40600000000001</v>
          </cell>
          <cell r="G6">
            <v>1</v>
          </cell>
          <cell r="H6">
            <v>50</v>
          </cell>
          <cell r="I6" t="str">
            <v>матрица</v>
          </cell>
        </row>
        <row r="7">
          <cell r="A7" t="str">
            <v xml:space="preserve"> 012  Колбаса Сервелат Столичный, Вязанка фиброуз в/у, ПОКОМ</v>
          </cell>
          <cell r="B7" t="str">
            <v>кг</v>
          </cell>
          <cell r="C7">
            <v>118.276</v>
          </cell>
          <cell r="E7">
            <v>16.399000000000001</v>
          </cell>
          <cell r="F7">
            <v>93.805000000000007</v>
          </cell>
          <cell r="G7">
            <v>1</v>
          </cell>
          <cell r="H7">
            <v>40</v>
          </cell>
          <cell r="I7" t="str">
            <v>матрица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-5.0380000000000003</v>
          </cell>
          <cell r="D8">
            <v>86.29</v>
          </cell>
          <cell r="E8">
            <v>62.22</v>
          </cell>
          <cell r="F8">
            <v>17.681999999999999</v>
          </cell>
          <cell r="G8">
            <v>1</v>
          </cell>
          <cell r="H8">
            <v>45</v>
          </cell>
          <cell r="I8" t="str">
            <v>матрица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-3.8010000000000002</v>
          </cell>
          <cell r="D9">
            <v>82.563000000000002</v>
          </cell>
          <cell r="E9">
            <v>45.792000000000002</v>
          </cell>
          <cell r="F9">
            <v>32.982999999999997</v>
          </cell>
          <cell r="G9">
            <v>1</v>
          </cell>
          <cell r="H9">
            <v>45</v>
          </cell>
          <cell r="I9" t="str">
            <v>матрица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-10.446999999999999</v>
          </cell>
          <cell r="D10">
            <v>400</v>
          </cell>
          <cell r="E10">
            <v>71.400000000000006</v>
          </cell>
          <cell r="F10">
            <v>309.15300000000002</v>
          </cell>
          <cell r="G10">
            <v>0.4</v>
          </cell>
          <cell r="H10">
            <v>50</v>
          </cell>
          <cell r="I10" t="str">
            <v>матрица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-8</v>
          </cell>
          <cell r="D11">
            <v>241</v>
          </cell>
          <cell r="E11">
            <v>71</v>
          </cell>
          <cell r="F11">
            <v>157</v>
          </cell>
          <cell r="G11">
            <v>0.45</v>
          </cell>
          <cell r="H11">
            <v>45</v>
          </cell>
          <cell r="I11" t="str">
            <v>матрица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-5</v>
          </cell>
          <cell r="D12">
            <v>372</v>
          </cell>
          <cell r="E12">
            <v>40</v>
          </cell>
          <cell r="F12">
            <v>323</v>
          </cell>
          <cell r="G12">
            <v>0.33</v>
          </cell>
          <cell r="H12">
            <v>45</v>
          </cell>
          <cell r="I12" t="str">
            <v>матрица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E13">
            <v>34</v>
          </cell>
          <cell r="F13">
            <v>-38</v>
          </cell>
          <cell r="G13">
            <v>0</v>
          </cell>
          <cell r="H13" t="e">
            <v>#N/A</v>
          </cell>
          <cell r="I13" t="str">
            <v>не в матрице</v>
          </cell>
        </row>
        <row r="14">
          <cell r="A14" t="str">
            <v xml:space="preserve"> 034  Сосиски Рубленые, Вязанка вискофан МГС, 0.5кг, ПОКОМ</v>
          </cell>
          <cell r="B14" t="str">
            <v>шт</v>
          </cell>
          <cell r="C14">
            <v>9</v>
          </cell>
          <cell r="E14">
            <v>10</v>
          </cell>
          <cell r="F14">
            <v>-1</v>
          </cell>
          <cell r="G14">
            <v>0.5</v>
          </cell>
          <cell r="H14">
            <v>40</v>
          </cell>
          <cell r="I14" t="str">
            <v>матрица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15</v>
          </cell>
          <cell r="D15">
            <v>90</v>
          </cell>
          <cell r="E15">
            <v>24</v>
          </cell>
          <cell r="F15">
            <v>78</v>
          </cell>
          <cell r="G15">
            <v>0.17</v>
          </cell>
          <cell r="H15">
            <v>180</v>
          </cell>
          <cell r="I15" t="str">
            <v>матрица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D16">
            <v>120</v>
          </cell>
          <cell r="E16">
            <v>105</v>
          </cell>
          <cell r="F16">
            <v>11</v>
          </cell>
          <cell r="G16">
            <v>0.3</v>
          </cell>
          <cell r="H16">
            <v>40</v>
          </cell>
          <cell r="I16" t="str">
            <v>матрица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D17">
            <v>105</v>
          </cell>
          <cell r="E17">
            <v>38</v>
          </cell>
          <cell r="F17">
            <v>66</v>
          </cell>
          <cell r="G17">
            <v>0.17</v>
          </cell>
          <cell r="H17">
            <v>180</v>
          </cell>
          <cell r="I17" t="str">
            <v>матрица</v>
          </cell>
        </row>
        <row r="18">
          <cell r="A18" t="str">
            <v xml:space="preserve"> 092  Сосиски Баварские с сыром,  0.42кг,ПОКОМ</v>
          </cell>
          <cell r="B18" t="str">
            <v>шт</v>
          </cell>
          <cell r="E18">
            <v>1</v>
          </cell>
          <cell r="F18">
            <v>-1</v>
          </cell>
          <cell r="G18">
            <v>0</v>
          </cell>
          <cell r="H18" t="e">
            <v>#N/A</v>
          </cell>
          <cell r="I18" t="str">
            <v>не в матрице</v>
          </cell>
        </row>
        <row r="19">
          <cell r="A19" t="str">
            <v xml:space="preserve"> 094  Сосиски Баварские,  0.35кг, ТМ Колбасный стандарт ПОКОМ</v>
          </cell>
          <cell r="B19" t="str">
            <v>шт</v>
          </cell>
          <cell r="E19">
            <v>4</v>
          </cell>
          <cell r="F19">
            <v>-4</v>
          </cell>
          <cell r="G19">
            <v>0</v>
          </cell>
          <cell r="H19" t="e">
            <v>#N/A</v>
          </cell>
          <cell r="I19" t="str">
            <v>не в матрице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</v>
          </cell>
          <cell r="D20">
            <v>60</v>
          </cell>
          <cell r="E20">
            <v>8</v>
          </cell>
          <cell r="F20">
            <v>54</v>
          </cell>
          <cell r="G20">
            <v>0.35</v>
          </cell>
          <cell r="H20">
            <v>50</v>
          </cell>
          <cell r="I20" t="str">
            <v>матрица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33.863999999999997</v>
          </cell>
          <cell r="D21">
            <v>10.53</v>
          </cell>
          <cell r="E21">
            <v>37.939</v>
          </cell>
          <cell r="F21">
            <v>6.4550000000000001</v>
          </cell>
          <cell r="G21">
            <v>1</v>
          </cell>
          <cell r="H21">
            <v>55</v>
          </cell>
          <cell r="I21" t="str">
            <v>матрица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158.95099999999999</v>
          </cell>
          <cell r="D22">
            <v>508.50799999999998</v>
          </cell>
          <cell r="E22">
            <v>269.79700000000003</v>
          </cell>
          <cell r="F22">
            <v>392.65800000000002</v>
          </cell>
          <cell r="G22">
            <v>1</v>
          </cell>
          <cell r="H22">
            <v>50</v>
          </cell>
          <cell r="I22" t="str">
            <v>матрица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3.1139999999999999</v>
          </cell>
          <cell r="D23">
            <v>32.19</v>
          </cell>
          <cell r="E23">
            <v>13.231</v>
          </cell>
          <cell r="F23">
            <v>22.073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5.05</v>
          </cell>
          <cell r="D24">
            <v>299.625</v>
          </cell>
          <cell r="E24">
            <v>80.117999999999995</v>
          </cell>
          <cell r="F24">
            <v>219.54400000000001</v>
          </cell>
          <cell r="G24">
            <v>1</v>
          </cell>
          <cell r="H24">
            <v>60</v>
          </cell>
          <cell r="I24" t="str">
            <v>матрица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9.6950000000000003</v>
          </cell>
          <cell r="D25">
            <v>26.39</v>
          </cell>
          <cell r="E25">
            <v>10.571999999999999</v>
          </cell>
          <cell r="F25">
            <v>25.513000000000002</v>
          </cell>
          <cell r="G25">
            <v>1</v>
          </cell>
          <cell r="H25">
            <v>60</v>
          </cell>
          <cell r="I25" t="str">
            <v>матрица</v>
          </cell>
        </row>
        <row r="26">
          <cell r="A26" t="str">
            <v xml:space="preserve"> 230  Колбаса Молочная Особая ТМ Особый рецепт, п/а, ВЕС. ПОКОМ</v>
          </cell>
          <cell r="B26" t="str">
            <v>кг</v>
          </cell>
          <cell r="E26">
            <v>5.016</v>
          </cell>
          <cell r="F26">
            <v>-5.016</v>
          </cell>
          <cell r="G26">
            <v>0</v>
          </cell>
          <cell r="H26" t="e">
            <v>#N/A</v>
          </cell>
          <cell r="I26" t="str">
            <v>не в матрице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 t="str">
            <v>кг</v>
          </cell>
          <cell r="C27">
            <v>-9.7000000000000003E-2</v>
          </cell>
          <cell r="D27">
            <v>31.42</v>
          </cell>
          <cell r="E27">
            <v>6.8849999999999998</v>
          </cell>
          <cell r="F27">
            <v>24.437999999999999</v>
          </cell>
          <cell r="G27">
            <v>1</v>
          </cell>
          <cell r="H27">
            <v>70</v>
          </cell>
          <cell r="I27" t="str">
            <v>матрица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38.947000000000003</v>
          </cell>
          <cell r="D28">
            <v>47.585000000000001</v>
          </cell>
          <cell r="E28">
            <v>26.300999999999998</v>
          </cell>
          <cell r="F28">
            <v>59.359000000000002</v>
          </cell>
          <cell r="G28">
            <v>1</v>
          </cell>
          <cell r="H28">
            <v>70</v>
          </cell>
          <cell r="I28" t="str">
            <v>матрица</v>
          </cell>
        </row>
        <row r="29">
          <cell r="A29" t="str">
            <v xml:space="preserve"> 243  Колбаса Сервелат Зернистый, ВЕС.  ПОКОМ</v>
          </cell>
          <cell r="B29" t="str">
            <v>кг</v>
          </cell>
          <cell r="C29">
            <v>16.173999999999999</v>
          </cell>
          <cell r="D29">
            <v>118.98</v>
          </cell>
          <cell r="E29">
            <v>73.075000000000003</v>
          </cell>
          <cell r="F29">
            <v>61.396999999999998</v>
          </cell>
          <cell r="G29">
            <v>1</v>
          </cell>
          <cell r="H29">
            <v>35</v>
          </cell>
          <cell r="I29" t="str">
            <v>матрица</v>
          </cell>
        </row>
        <row r="30">
          <cell r="A30" t="str">
            <v xml:space="preserve"> 244  Колбаса Сервелат Кремлевский, ВЕС. ПОКОМ</v>
          </cell>
          <cell r="B30" t="str">
            <v>кг</v>
          </cell>
          <cell r="C30">
            <v>7.4050000000000002</v>
          </cell>
          <cell r="E30">
            <v>19.963000000000001</v>
          </cell>
          <cell r="F30">
            <v>68.461000000000013</v>
          </cell>
          <cell r="G30">
            <v>1</v>
          </cell>
          <cell r="H30">
            <v>40</v>
          </cell>
          <cell r="I30" t="str">
            <v>матрица</v>
          </cell>
        </row>
        <row r="31">
          <cell r="A31" t="str">
            <v xml:space="preserve"> 247  Сардельки Нежные, ВЕС.  ПОКОМ</v>
          </cell>
          <cell r="B31" t="str">
            <v>кг</v>
          </cell>
          <cell r="C31">
            <v>-0.16500000000000001</v>
          </cell>
          <cell r="D31">
            <v>85.923000000000002</v>
          </cell>
          <cell r="E31">
            <v>87.83</v>
          </cell>
          <cell r="F31">
            <v>-2.0720000000000001</v>
          </cell>
          <cell r="G31">
            <v>1</v>
          </cell>
          <cell r="H31">
            <v>30</v>
          </cell>
          <cell r="I31" t="str">
            <v>матрица</v>
          </cell>
        </row>
        <row r="32">
          <cell r="A32" t="str">
            <v xml:space="preserve"> 248  Сардельки Сочные ТМ Особый рецепт,   ПОКОМ</v>
          </cell>
          <cell r="B32" t="str">
            <v>кг</v>
          </cell>
          <cell r="D32">
            <v>82.745999999999995</v>
          </cell>
          <cell r="E32">
            <v>26.181000000000001</v>
          </cell>
          <cell r="F32">
            <v>55.021000000000001</v>
          </cell>
          <cell r="G32">
            <v>1</v>
          </cell>
          <cell r="H32">
            <v>30</v>
          </cell>
          <cell r="I32" t="str">
            <v>матрица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B33" t="str">
            <v>кг</v>
          </cell>
          <cell r="C33">
            <v>-0.32400000000000001</v>
          </cell>
          <cell r="D33">
            <v>198.60599999999999</v>
          </cell>
          <cell r="E33">
            <v>98.188999999999993</v>
          </cell>
          <cell r="F33">
            <v>92.194999999999993</v>
          </cell>
          <cell r="G33">
            <v>1</v>
          </cell>
          <cell r="H33">
            <v>30</v>
          </cell>
          <cell r="I33" t="str">
            <v>матрица</v>
          </cell>
        </row>
        <row r="34">
          <cell r="A34" t="str">
            <v xml:space="preserve"> 253  Сосиски Ганноверские   ПОКОМ</v>
          </cell>
          <cell r="B34" t="str">
            <v>кг</v>
          </cell>
          <cell r="C34">
            <v>-3.7959999999999998</v>
          </cell>
          <cell r="D34">
            <v>1706.4059999999999</v>
          </cell>
          <cell r="E34">
            <v>547.53800000000001</v>
          </cell>
          <cell r="F34">
            <v>1136.0820000000001</v>
          </cell>
          <cell r="G34">
            <v>1</v>
          </cell>
          <cell r="H34">
            <v>40</v>
          </cell>
          <cell r="I34" t="str">
            <v>матрица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B35" t="str">
            <v>кг</v>
          </cell>
          <cell r="C35">
            <v>0.89100000000000001</v>
          </cell>
          <cell r="D35">
            <v>87.606999999999999</v>
          </cell>
          <cell r="E35">
            <v>86.218000000000004</v>
          </cell>
          <cell r="F35">
            <v>2.2370000000000001</v>
          </cell>
          <cell r="G35">
            <v>1</v>
          </cell>
          <cell r="H35">
            <v>40</v>
          </cell>
          <cell r="I35" t="str">
            <v>матрица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-2.298</v>
          </cell>
          <cell r="D36">
            <v>79.352000000000004</v>
          </cell>
          <cell r="E36">
            <v>61.661999999999999</v>
          </cell>
          <cell r="F36">
            <v>8.1170000000000009</v>
          </cell>
          <cell r="G36">
            <v>1</v>
          </cell>
          <cell r="H36">
            <v>30</v>
          </cell>
          <cell r="I36" t="str">
            <v>матрица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-8</v>
          </cell>
          <cell r="D37">
            <v>108</v>
          </cell>
          <cell r="E37">
            <v>15</v>
          </cell>
          <cell r="F37">
            <v>83</v>
          </cell>
          <cell r="G37">
            <v>0.35</v>
          </cell>
          <cell r="H37">
            <v>40</v>
          </cell>
          <cell r="I37" t="str">
            <v>матрица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-7</v>
          </cell>
          <cell r="D38">
            <v>474</v>
          </cell>
          <cell r="E38">
            <v>49</v>
          </cell>
          <cell r="F38">
            <v>400</v>
          </cell>
          <cell r="G38">
            <v>0.4</v>
          </cell>
          <cell r="H38">
            <v>45</v>
          </cell>
          <cell r="I38" t="str">
            <v>матрица</v>
          </cell>
        </row>
        <row r="39">
          <cell r="A39" t="str">
            <v xml:space="preserve"> 277  Колбаса Мясорубская ТМ Стародворье с сочной грудинкой , 0,35 кг срез  ПОКОМ</v>
          </cell>
          <cell r="B39" t="str">
            <v>шт</v>
          </cell>
          <cell r="E39">
            <v>5</v>
          </cell>
          <cell r="F39">
            <v>-5</v>
          </cell>
          <cell r="G39">
            <v>0</v>
          </cell>
          <cell r="H39" t="e">
            <v>#N/A</v>
          </cell>
          <cell r="I39" t="str">
            <v>не в матрице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-4</v>
          </cell>
          <cell r="D40">
            <v>288</v>
          </cell>
          <cell r="E40">
            <v>42</v>
          </cell>
          <cell r="F40">
            <v>229</v>
          </cell>
          <cell r="G40">
            <v>0.4</v>
          </cell>
          <cell r="H40">
            <v>45</v>
          </cell>
          <cell r="I40" t="str">
            <v>матрица</v>
          </cell>
        </row>
        <row r="41">
          <cell r="A41" t="str">
            <v xml:space="preserve"> 279  Колбаса Докторский гарант, Вязанка вектор, 0,4 кг.  ПОКОМ</v>
          </cell>
          <cell r="B41" t="str">
            <v>шт</v>
          </cell>
          <cell r="C41">
            <v>-3</v>
          </cell>
          <cell r="D41">
            <v>170</v>
          </cell>
          <cell r="E41">
            <v>23</v>
          </cell>
          <cell r="F41">
            <v>140</v>
          </cell>
          <cell r="G41">
            <v>0.4</v>
          </cell>
          <cell r="H41">
            <v>50</v>
          </cell>
          <cell r="I41" t="str">
            <v>матрица</v>
          </cell>
        </row>
        <row r="42">
          <cell r="A42" t="str">
            <v xml:space="preserve"> 281  Сосиски Молочные для завтрака ТМ Особый рецепт, 0,4кг  ПОКОМ</v>
          </cell>
          <cell r="B42" t="str">
            <v>шт</v>
          </cell>
          <cell r="C42">
            <v>-3</v>
          </cell>
          <cell r="D42">
            <v>168</v>
          </cell>
          <cell r="E42">
            <v>40</v>
          </cell>
          <cell r="F42">
            <v>115</v>
          </cell>
          <cell r="G42">
            <v>0.4</v>
          </cell>
          <cell r="H42">
            <v>40</v>
          </cell>
          <cell r="I42" t="str">
            <v>матрица</v>
          </cell>
        </row>
        <row r="43">
          <cell r="A43" t="str">
            <v xml:space="preserve"> 284  Сосиски Молокуши миникушай ТМ Вязанка, 0.45кг, ПОКОМ</v>
          </cell>
          <cell r="B43" t="str">
            <v>шт</v>
          </cell>
          <cell r="E43">
            <v>2</v>
          </cell>
          <cell r="F43">
            <v>-2</v>
          </cell>
          <cell r="G43">
            <v>0</v>
          </cell>
          <cell r="H43" t="e">
            <v>#N/A</v>
          </cell>
          <cell r="I43" t="str">
            <v>не в матрице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B44" t="str">
            <v>шт</v>
          </cell>
          <cell r="C44">
            <v>-8</v>
          </cell>
          <cell r="D44">
            <v>180</v>
          </cell>
          <cell r="E44">
            <v>24</v>
          </cell>
          <cell r="F44">
            <v>137</v>
          </cell>
          <cell r="G44">
            <v>0.1</v>
          </cell>
          <cell r="H44">
            <v>730</v>
          </cell>
          <cell r="I44" t="str">
            <v>матрица</v>
          </cell>
        </row>
        <row r="45">
          <cell r="A45" t="str">
            <v xml:space="preserve"> 291  Сосиски Молокуши миникушай ТМ Вязанка, 0.33кг, ПОКОМ</v>
          </cell>
          <cell r="B45" t="str">
            <v>шт</v>
          </cell>
          <cell r="C45">
            <v>-8</v>
          </cell>
          <cell r="D45">
            <v>180</v>
          </cell>
          <cell r="E45">
            <v>88</v>
          </cell>
          <cell r="F45">
            <v>75</v>
          </cell>
          <cell r="G45">
            <v>0.33</v>
          </cell>
          <cell r="H45">
            <v>45</v>
          </cell>
          <cell r="I45" t="str">
            <v>матрица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B46" t="str">
            <v>шт</v>
          </cell>
          <cell r="C46">
            <v>-15</v>
          </cell>
          <cell r="D46">
            <v>198</v>
          </cell>
          <cell r="E46">
            <v>74</v>
          </cell>
          <cell r="F46">
            <v>96</v>
          </cell>
          <cell r="G46">
            <v>0.35</v>
          </cell>
          <cell r="H46">
            <v>40</v>
          </cell>
          <cell r="I46" t="str">
            <v>матрица</v>
          </cell>
        </row>
        <row r="47">
          <cell r="A47" t="str">
            <v xml:space="preserve"> 303  Колбаса Мясорубская ТМ Стародворье с рубленой грудинкой в/у 0,4 кг срез  ПОКОМ</v>
          </cell>
          <cell r="B47" t="str">
            <v>шт</v>
          </cell>
          <cell r="E47">
            <v>2</v>
          </cell>
          <cell r="F47">
            <v>-2</v>
          </cell>
          <cell r="G47">
            <v>0</v>
          </cell>
          <cell r="H47" t="e">
            <v>#N/A</v>
          </cell>
          <cell r="I47" t="str">
            <v>не в матрице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11.88</v>
          </cell>
          <cell r="D48">
            <v>21.503</v>
          </cell>
          <cell r="E48">
            <v>10.637</v>
          </cell>
          <cell r="F48">
            <v>22.745999999999999</v>
          </cell>
          <cell r="G48">
            <v>1</v>
          </cell>
          <cell r="H48">
            <v>40</v>
          </cell>
          <cell r="I48" t="str">
            <v>матрица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-12</v>
          </cell>
          <cell r="D49">
            <v>120</v>
          </cell>
          <cell r="E49">
            <v>38</v>
          </cell>
          <cell r="F49">
            <v>66</v>
          </cell>
          <cell r="G49">
            <v>0.35</v>
          </cell>
          <cell r="H49">
            <v>40</v>
          </cell>
          <cell r="I49" t="str">
            <v>матрица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-12</v>
          </cell>
          <cell r="D50">
            <v>318</v>
          </cell>
          <cell r="E50">
            <v>74</v>
          </cell>
          <cell r="F50">
            <v>220</v>
          </cell>
          <cell r="G50">
            <v>0.35</v>
          </cell>
          <cell r="H50">
            <v>40</v>
          </cell>
          <cell r="I50" t="str">
            <v>матрица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332.93299999999999</v>
          </cell>
          <cell r="D51">
            <v>138.58799999999999</v>
          </cell>
          <cell r="E51">
            <v>139.85499999999999</v>
          </cell>
          <cell r="F51">
            <v>333.01100000000002</v>
          </cell>
          <cell r="G51">
            <v>1</v>
          </cell>
          <cell r="H51">
            <v>50</v>
          </cell>
          <cell r="I51" t="str">
            <v>матрица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18.992000000000001</v>
          </cell>
          <cell r="D52">
            <v>239.79400000000001</v>
          </cell>
          <cell r="E52">
            <v>36.552</v>
          </cell>
          <cell r="F52">
            <v>219.511</v>
          </cell>
          <cell r="G52">
            <v>1</v>
          </cell>
          <cell r="H52">
            <v>50</v>
          </cell>
          <cell r="I52" t="str">
            <v>матрица</v>
          </cell>
        </row>
        <row r="53">
          <cell r="A53" t="str">
            <v xml:space="preserve"> 317 Колбаса Сервелат Рижский ТМ Зареченские, ВЕС  ПОКОМ</v>
          </cell>
          <cell r="B53" t="str">
            <v>кг</v>
          </cell>
          <cell r="C53">
            <v>-0.21</v>
          </cell>
          <cell r="D53">
            <v>34.143999999999998</v>
          </cell>
          <cell r="F53">
            <v>33.933999999999997</v>
          </cell>
          <cell r="G53">
            <v>1</v>
          </cell>
          <cell r="H53">
            <v>40</v>
          </cell>
          <cell r="I53" t="str">
            <v>матрица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-18</v>
          </cell>
          <cell r="D54">
            <v>860</v>
          </cell>
          <cell r="E54">
            <v>147</v>
          </cell>
          <cell r="F54">
            <v>668</v>
          </cell>
          <cell r="G54">
            <v>0.45</v>
          </cell>
          <cell r="H54">
            <v>50</v>
          </cell>
          <cell r="I54" t="str">
            <v>матрица</v>
          </cell>
        </row>
        <row r="55">
          <cell r="A55" t="str">
            <v xml:space="preserve"> 321  Колбаса Сервелат Пражский ТМ Зареченские, ВЕС ПОКОМ</v>
          </cell>
          <cell r="B55" t="str">
            <v>кг</v>
          </cell>
          <cell r="C55">
            <v>2.9990000000000001</v>
          </cell>
          <cell r="D55">
            <v>72.900999999999996</v>
          </cell>
          <cell r="E55">
            <v>1.4450000000000001</v>
          </cell>
          <cell r="F55">
            <v>74.454999999999998</v>
          </cell>
          <cell r="G55">
            <v>1</v>
          </cell>
          <cell r="H55">
            <v>40</v>
          </cell>
          <cell r="I55" t="str">
            <v>матрица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-10</v>
          </cell>
          <cell r="D56">
            <v>612</v>
          </cell>
          <cell r="E56">
            <v>108</v>
          </cell>
          <cell r="F56">
            <v>470</v>
          </cell>
          <cell r="G56">
            <v>0.45</v>
          </cell>
          <cell r="H56">
            <v>50</v>
          </cell>
          <cell r="I56" t="str">
            <v>матрица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-2</v>
          </cell>
          <cell r="D57">
            <v>300</v>
          </cell>
          <cell r="E57">
            <v>56</v>
          </cell>
          <cell r="F57">
            <v>230</v>
          </cell>
          <cell r="G57">
            <v>0.45</v>
          </cell>
          <cell r="H57">
            <v>50</v>
          </cell>
          <cell r="I57" t="str">
            <v>матрица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89.224999999999994</v>
          </cell>
          <cell r="D58">
            <v>483.67599999999999</v>
          </cell>
          <cell r="E58">
            <v>136.52199999999999</v>
          </cell>
          <cell r="F58">
            <v>433.72699999999998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 xml:space="preserve"> 333  Колбаса Балыковая, Вязанка фиброуз в/у, ВЕС ПОКОМ</v>
          </cell>
          <cell r="B59" t="str">
            <v>кг</v>
          </cell>
          <cell r="C59">
            <v>7.0369999999999999</v>
          </cell>
          <cell r="D59">
            <v>35.829000000000001</v>
          </cell>
          <cell r="E59">
            <v>3.5920000000000001</v>
          </cell>
          <cell r="F59">
            <v>39.274000000000001</v>
          </cell>
          <cell r="G59">
            <v>1</v>
          </cell>
          <cell r="H59">
            <v>40</v>
          </cell>
          <cell r="I59" t="str">
            <v>матрица</v>
          </cell>
        </row>
        <row r="60">
          <cell r="A60" t="str">
            <v xml:space="preserve"> 334  Паштет Любительский ТМ Стародворье ламистер 0,1 кг  ПОКОМ</v>
          </cell>
          <cell r="B60" t="str">
            <v>шт</v>
          </cell>
          <cell r="C60">
            <v>-1</v>
          </cell>
          <cell r="D60">
            <v>160</v>
          </cell>
          <cell r="E60">
            <v>20</v>
          </cell>
          <cell r="F60">
            <v>132</v>
          </cell>
          <cell r="G60">
            <v>0.1</v>
          </cell>
          <cell r="H60">
            <v>730</v>
          </cell>
          <cell r="I60" t="str">
            <v>матрица</v>
          </cell>
        </row>
        <row r="61">
          <cell r="A61" t="str">
            <v xml:space="preserve"> 335  Колбаса Сливушка ТМ Вязанка. ВЕС.  ПОКОМ </v>
          </cell>
          <cell r="B61" t="str">
            <v>кг</v>
          </cell>
          <cell r="C61">
            <v>1.2999999999999999E-2</v>
          </cell>
          <cell r="D61">
            <v>42.677999999999997</v>
          </cell>
          <cell r="E61">
            <v>38.720999999999997</v>
          </cell>
          <cell r="F61">
            <v>7.976</v>
          </cell>
          <cell r="G61">
            <v>1</v>
          </cell>
          <cell r="H61">
            <v>50</v>
          </cell>
          <cell r="I61" t="str">
            <v>матрица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-1</v>
          </cell>
          <cell r="D62">
            <v>160</v>
          </cell>
          <cell r="E62">
            <v>21</v>
          </cell>
          <cell r="F62">
            <v>131</v>
          </cell>
          <cell r="G62">
            <v>0.1</v>
          </cell>
          <cell r="H62">
            <v>730</v>
          </cell>
          <cell r="I62" t="str">
            <v>матрица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E63">
            <v>3</v>
          </cell>
          <cell r="F63">
            <v>-3</v>
          </cell>
          <cell r="G63">
            <v>0</v>
          </cell>
          <cell r="H63" t="e">
            <v>#N/A</v>
          </cell>
          <cell r="I63" t="str">
            <v>не в матрице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-1</v>
          </cell>
          <cell r="D64">
            <v>186</v>
          </cell>
          <cell r="E64">
            <v>42</v>
          </cell>
          <cell r="F64">
            <v>132</v>
          </cell>
          <cell r="G64">
            <v>0.4</v>
          </cell>
          <cell r="H64">
            <v>40</v>
          </cell>
          <cell r="I64" t="str">
            <v>матрица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</v>
          </cell>
          <cell r="D65">
            <v>108</v>
          </cell>
          <cell r="E65">
            <v>32</v>
          </cell>
          <cell r="F65">
            <v>71</v>
          </cell>
          <cell r="G65">
            <v>0.4</v>
          </cell>
          <cell r="H65">
            <v>40</v>
          </cell>
          <cell r="I65" t="str">
            <v>матрица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-6.6000000000000003E-2</v>
          </cell>
          <cell r="D66">
            <v>48.746000000000002</v>
          </cell>
          <cell r="E66">
            <v>17.065000000000001</v>
          </cell>
          <cell r="F66">
            <v>31.614999999999998</v>
          </cell>
          <cell r="G66">
            <v>1</v>
          </cell>
          <cell r="H66">
            <v>40</v>
          </cell>
          <cell r="I66" t="str">
            <v>матрица</v>
          </cell>
        </row>
        <row r="67">
          <cell r="A67" t="str">
            <v xml:space="preserve"> 410  Сосиски Баварские с сыром ТМ Стародворье 0,35 кг. ПОКОМ</v>
          </cell>
          <cell r="B67" t="str">
            <v>шт</v>
          </cell>
          <cell r="C67">
            <v>-7</v>
          </cell>
          <cell r="D67">
            <v>439</v>
          </cell>
          <cell r="E67">
            <v>122</v>
          </cell>
          <cell r="F67">
            <v>298</v>
          </cell>
          <cell r="G67">
            <v>0.35</v>
          </cell>
          <cell r="H67">
            <v>40</v>
          </cell>
          <cell r="I67" t="str">
            <v>матрица</v>
          </cell>
        </row>
        <row r="68">
          <cell r="A68" t="str">
            <v xml:space="preserve"> 412  Сосиски Баварские ТМ Стародворье 0,35 кг ПОКОМ</v>
          </cell>
          <cell r="B68" t="str">
            <v>шт</v>
          </cell>
          <cell r="C68">
            <v>-19</v>
          </cell>
          <cell r="D68">
            <v>894</v>
          </cell>
          <cell r="E68">
            <v>152</v>
          </cell>
          <cell r="F68">
            <v>697</v>
          </cell>
          <cell r="G68">
            <v>0.35</v>
          </cell>
          <cell r="H68">
            <v>45</v>
          </cell>
          <cell r="I68" t="str">
            <v>матрица</v>
          </cell>
        </row>
        <row r="69">
          <cell r="A69" t="str">
            <v xml:space="preserve"> 433 Колбаса Стародворская со шпиком  в оболочке полиамид. ТМ Стародворье ВЕС ПОКОМ</v>
          </cell>
          <cell r="B69" t="str">
            <v>кг</v>
          </cell>
          <cell r="C69">
            <v>13.541</v>
          </cell>
          <cell r="D69">
            <v>106.12</v>
          </cell>
          <cell r="E69">
            <v>34.828000000000003</v>
          </cell>
          <cell r="F69">
            <v>84.832999999999998</v>
          </cell>
          <cell r="G69">
            <v>0</v>
          </cell>
          <cell r="H69">
            <v>55</v>
          </cell>
          <cell r="I69" t="str">
            <v>не в матрице</v>
          </cell>
        </row>
        <row r="70">
          <cell r="A70" t="str">
            <v xml:space="preserve"> 434  Колбаса Сервелат Кремлевский в вакуумной упаковке ТМ Стародворье.ВЕС  ПОКОМ</v>
          </cell>
          <cell r="B70" t="str">
            <v>кг</v>
          </cell>
          <cell r="D70">
            <v>81.019000000000005</v>
          </cell>
          <cell r="F70">
            <v>81.019000000000005</v>
          </cell>
          <cell r="G70">
            <v>0</v>
          </cell>
          <cell r="H70" t="e">
            <v>#N/A</v>
          </cell>
          <cell r="I70" t="str">
            <v>не в матрице</v>
          </cell>
        </row>
        <row r="71">
          <cell r="A71" t="str">
            <v xml:space="preserve"> 449  Колбаса Дугушка Стародворская ВЕС ТС Дугушка ПОКОМ</v>
          </cell>
          <cell r="B71" t="str">
            <v>кг</v>
          </cell>
          <cell r="C71">
            <v>25.364999999999998</v>
          </cell>
          <cell r="E71">
            <v>11.086</v>
          </cell>
          <cell r="F71">
            <v>14.279</v>
          </cell>
          <cell r="G71">
            <v>1</v>
          </cell>
          <cell r="H71">
            <v>60</v>
          </cell>
          <cell r="I71" t="str">
            <v>матрица</v>
          </cell>
        </row>
        <row r="72">
          <cell r="A72" t="str">
            <v xml:space="preserve"> 452  Колбаса Со шпиком ВЕС большой батон ТМ Особый рецепт  ПОКОМ</v>
          </cell>
          <cell r="B72" t="str">
            <v>кг</v>
          </cell>
          <cell r="C72">
            <v>92.686999999999998</v>
          </cell>
          <cell r="D72">
            <v>566.54100000000005</v>
          </cell>
          <cell r="E72">
            <v>173.34700000000001</v>
          </cell>
          <cell r="F72">
            <v>473.40600000000001</v>
          </cell>
          <cell r="G72">
            <v>1</v>
          </cell>
          <cell r="H72">
            <v>60</v>
          </cell>
          <cell r="I72" t="str">
            <v>матрица</v>
          </cell>
        </row>
        <row r="73">
          <cell r="A73" t="str">
            <v xml:space="preserve"> 456  Колбаса Филейная ТМ Особый рецепт ВЕС большой батон  ПОКОМ</v>
          </cell>
          <cell r="B73" t="str">
            <v>кг</v>
          </cell>
          <cell r="C73">
            <v>117.262</v>
          </cell>
          <cell r="D73">
            <v>494.726</v>
          </cell>
          <cell r="E73">
            <v>189.41</v>
          </cell>
          <cell r="F73">
            <v>422.58800000000002</v>
          </cell>
          <cell r="G73">
            <v>1</v>
          </cell>
          <cell r="H73">
            <v>60</v>
          </cell>
          <cell r="I73" t="str">
            <v>матрица</v>
          </cell>
        </row>
        <row r="74">
          <cell r="A74" t="str">
            <v xml:space="preserve"> 457  Колбаса Молочная ТМ Особый рецепт ВЕС большой батон  ПОКОМ</v>
          </cell>
          <cell r="B74" t="str">
            <v>кг</v>
          </cell>
          <cell r="C74">
            <v>81.555999999999997</v>
          </cell>
          <cell r="D74">
            <v>333.31400000000002</v>
          </cell>
          <cell r="E74">
            <v>111.447</v>
          </cell>
          <cell r="F74">
            <v>298.52099999999996</v>
          </cell>
          <cell r="G74">
            <v>1</v>
          </cell>
          <cell r="H74">
            <v>60</v>
          </cell>
          <cell r="I74" t="str">
            <v>матрица</v>
          </cell>
        </row>
        <row r="75">
          <cell r="A75" t="str">
            <v xml:space="preserve"> 460  Колбаса Стародворская Традиционная ВЕС ТМ Стародворье в оболочке полиамид. ПОКОМ</v>
          </cell>
          <cell r="B75" t="str">
            <v>кг</v>
          </cell>
          <cell r="C75">
            <v>162.179</v>
          </cell>
          <cell r="D75">
            <v>409.923</v>
          </cell>
          <cell r="E75">
            <v>236.95</v>
          </cell>
          <cell r="F75">
            <v>335.20299999999997</v>
          </cell>
          <cell r="G75">
            <v>1</v>
          </cell>
          <cell r="H75">
            <v>55</v>
          </cell>
          <cell r="I75" t="str">
            <v>матрица</v>
          </cell>
        </row>
        <row r="76">
          <cell r="A76" t="str">
            <v xml:space="preserve"> 462  Колбаса Со шпиком ТМ Особый рецепт в оболочке полиамид 0,5 кг. ПОКОМ</v>
          </cell>
          <cell r="B76" t="str">
            <v>шт</v>
          </cell>
          <cell r="C76">
            <v>4</v>
          </cell>
          <cell r="D76">
            <v>50</v>
          </cell>
          <cell r="E76">
            <v>20</v>
          </cell>
          <cell r="F76">
            <v>32</v>
          </cell>
          <cell r="G76">
            <v>0.5</v>
          </cell>
          <cell r="H76">
            <v>60</v>
          </cell>
          <cell r="I76" t="str">
            <v>матрица</v>
          </cell>
        </row>
        <row r="77">
          <cell r="A77" t="str">
            <v xml:space="preserve"> 463  Колбаса Молочная Традиционнаяв оболочке полиамид.ТМ Стародворье. ВЕС ПОКОМ</v>
          </cell>
          <cell r="B77" t="str">
            <v>кг</v>
          </cell>
          <cell r="C77">
            <v>3.7930000000000001</v>
          </cell>
          <cell r="D77">
            <v>139.61000000000001</v>
          </cell>
          <cell r="E77">
            <v>16.058</v>
          </cell>
          <cell r="F77">
            <v>125.989</v>
          </cell>
          <cell r="G77">
            <v>1</v>
          </cell>
          <cell r="H77">
            <v>55</v>
          </cell>
          <cell r="I77" t="str">
            <v>матрица</v>
          </cell>
        </row>
        <row r="78">
          <cell r="A78" t="str">
            <v xml:space="preserve"> 466  Сосиски Ганноверские в оболочке амицел в модиф. газовой среде 0,5 кг ТМ Стародворье. ПОКОМ</v>
          </cell>
          <cell r="B78" t="str">
            <v>шт</v>
          </cell>
          <cell r="C78">
            <v>-21.696000000000002</v>
          </cell>
          <cell r="D78">
            <v>278</v>
          </cell>
          <cell r="E78">
            <v>78</v>
          </cell>
          <cell r="F78">
            <v>159.304</v>
          </cell>
          <cell r="G78">
            <v>0.5</v>
          </cell>
          <cell r="H78">
            <v>40</v>
          </cell>
          <cell r="I78" t="str">
            <v>матрица</v>
          </cell>
        </row>
        <row r="79">
          <cell r="A79" t="str">
            <v xml:space="preserve"> 467  Колбаса Филейная 0,5кг ТМ Особый рецепт  ПОКОМ</v>
          </cell>
          <cell r="B79" t="str">
            <v>шт</v>
          </cell>
          <cell r="C79">
            <v>-2</v>
          </cell>
          <cell r="D79">
            <v>90</v>
          </cell>
          <cell r="E79">
            <v>41</v>
          </cell>
          <cell r="F79">
            <v>45</v>
          </cell>
          <cell r="G79">
            <v>0.5</v>
          </cell>
          <cell r="H79">
            <v>60</v>
          </cell>
          <cell r="I79" t="str">
            <v>матрица</v>
          </cell>
        </row>
        <row r="80">
          <cell r="A80" t="str">
            <v xml:space="preserve"> 468  Колбаса Стародворская Традиционная ТМ Стародворье в оболочке полиамид 0,4 кг. ПОКОМ</v>
          </cell>
          <cell r="B80" t="str">
            <v>шт</v>
          </cell>
          <cell r="C80">
            <v>-7</v>
          </cell>
          <cell r="D80">
            <v>143</v>
          </cell>
          <cell r="E80">
            <v>133</v>
          </cell>
          <cell r="F80">
            <v>-4</v>
          </cell>
          <cell r="G80">
            <v>0.4</v>
          </cell>
          <cell r="H80">
            <v>55</v>
          </cell>
          <cell r="I80" t="str">
            <v>матрица</v>
          </cell>
        </row>
        <row r="81">
          <cell r="A81" t="str">
            <v xml:space="preserve"> 469  Колбаса Филедворская по-стародворски ТМ Стародворье в оболочке полиамид.ВЕС  ПОКОМ </v>
          </cell>
          <cell r="B81" t="str">
            <v>кг</v>
          </cell>
          <cell r="C81">
            <v>10.983000000000001</v>
          </cell>
          <cell r="D81">
            <v>203.74100000000001</v>
          </cell>
          <cell r="E81">
            <v>60.265000000000001</v>
          </cell>
          <cell r="F81">
            <v>154.459</v>
          </cell>
          <cell r="G81">
            <v>1</v>
          </cell>
          <cell r="H81">
            <v>55</v>
          </cell>
          <cell r="I81" t="str">
            <v>матрица</v>
          </cell>
        </row>
        <row r="82">
          <cell r="A82" t="str">
            <v xml:space="preserve"> 483  Колбаса Молочная Традиционная ТМ Стародворье в оболочке полиамид 0,4 кг. ПОКОМ </v>
          </cell>
          <cell r="B82" t="str">
            <v>шт</v>
          </cell>
          <cell r="C82">
            <v>4</v>
          </cell>
          <cell r="D82">
            <v>110</v>
          </cell>
          <cell r="E82">
            <v>38</v>
          </cell>
          <cell r="F82">
            <v>72</v>
          </cell>
          <cell r="G82">
            <v>0.4</v>
          </cell>
          <cell r="H82">
            <v>55</v>
          </cell>
          <cell r="I82" t="str">
            <v>матрица</v>
          </cell>
        </row>
        <row r="83">
          <cell r="A83" t="str">
            <v xml:space="preserve"> 485  Колбаса Молочная по-стародворски ТМ Стародворье в оболочке полиамид. ВЕС ПОКОМ </v>
          </cell>
          <cell r="B83" t="str">
            <v>кг</v>
          </cell>
          <cell r="C83">
            <v>-4.09</v>
          </cell>
          <cell r="D83">
            <v>107.06100000000001</v>
          </cell>
          <cell r="E83">
            <v>48.081000000000003</v>
          </cell>
          <cell r="F83">
            <v>54.89</v>
          </cell>
          <cell r="G83">
            <v>1</v>
          </cell>
          <cell r="H83">
            <v>55</v>
          </cell>
          <cell r="I83" t="str">
            <v>матрица</v>
          </cell>
        </row>
        <row r="84">
          <cell r="A84" t="str">
            <v xml:space="preserve"> 495  Колбаса Сочинка по-европейски с сочной грудинкой 0,3кг ТМ Стародворье  ПОКОМ</v>
          </cell>
          <cell r="B84" t="str">
            <v>шт</v>
          </cell>
          <cell r="C84">
            <v>-3</v>
          </cell>
          <cell r="D84">
            <v>121</v>
          </cell>
          <cell r="E84">
            <v>88</v>
          </cell>
          <cell r="F84">
            <v>21</v>
          </cell>
          <cell r="G84">
            <v>0.3</v>
          </cell>
          <cell r="H84">
            <v>40</v>
          </cell>
          <cell r="I84" t="str">
            <v>матрица</v>
          </cell>
        </row>
        <row r="85">
          <cell r="A85" t="str">
            <v xml:space="preserve"> 496  Колбаса Сочинка по-фински с сочным окроком 0,3кг ТМ Стародворье  ПОКОМ</v>
          </cell>
          <cell r="B85" t="str">
            <v>шт</v>
          </cell>
          <cell r="C85">
            <v>1</v>
          </cell>
          <cell r="D85">
            <v>104</v>
          </cell>
          <cell r="E85">
            <v>46</v>
          </cell>
          <cell r="F85">
            <v>50</v>
          </cell>
          <cell r="G85">
            <v>0.3</v>
          </cell>
          <cell r="H85">
            <v>40</v>
          </cell>
          <cell r="I85" t="str">
            <v>матрица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 t="str">
            <v>шт</v>
          </cell>
          <cell r="C86">
            <v>32</v>
          </cell>
          <cell r="D86">
            <v>78</v>
          </cell>
          <cell r="E86">
            <v>40</v>
          </cell>
          <cell r="F86">
            <v>67</v>
          </cell>
          <cell r="G86">
            <v>0.3</v>
          </cell>
          <cell r="H86">
            <v>40</v>
          </cell>
          <cell r="I86" t="str">
            <v>матрица</v>
          </cell>
        </row>
        <row r="87">
          <cell r="A87" t="str">
            <v>298  Колбаса Сливушка ТМ Вязанка, 0,375кг,  ПОКОМ</v>
          </cell>
          <cell r="B87" t="str">
            <v>шт</v>
          </cell>
          <cell r="C87">
            <v>-7</v>
          </cell>
          <cell r="D87">
            <v>300</v>
          </cell>
          <cell r="E87">
            <v>128</v>
          </cell>
          <cell r="F87">
            <v>146</v>
          </cell>
          <cell r="G87">
            <v>0.375</v>
          </cell>
          <cell r="H87">
            <v>50</v>
          </cell>
          <cell r="I87" t="str">
            <v>матрица</v>
          </cell>
        </row>
        <row r="88">
          <cell r="A88" t="str">
            <v>464  Колбаса Стародворская Традиционная со шпиком оболочке полиамид ТМ Стародворье.</v>
          </cell>
          <cell r="B88" t="str">
            <v>кг</v>
          </cell>
          <cell r="E88">
            <v>34.828000000000003</v>
          </cell>
          <cell r="F88">
            <v>84.832999999999998</v>
          </cell>
          <cell r="G88">
            <v>1</v>
          </cell>
          <cell r="H88">
            <v>55</v>
          </cell>
          <cell r="I88" t="str">
            <v>матрица</v>
          </cell>
        </row>
        <row r="89">
          <cell r="A89" t="str">
            <v>БОНУС_ 307  Колбаса Сервелат Мясорубский с мелкорубленным окороком 0,35 кг срез ТМ Стародворье</v>
          </cell>
          <cell r="B89" t="str">
            <v>шт</v>
          </cell>
          <cell r="E89">
            <v>16</v>
          </cell>
          <cell r="F89">
            <v>-17</v>
          </cell>
          <cell r="G89">
            <v>0</v>
          </cell>
          <cell r="H89" t="e">
            <v>#N/A</v>
          </cell>
          <cell r="I89" t="str">
            <v>бонус</v>
          </cell>
        </row>
        <row r="90">
          <cell r="A90" t="str">
            <v>БОНУС_ 319  Колбаса вареная Филейская ТМ Вязанка ТС Классическая, 0,45 кг. ПОКОМ</v>
          </cell>
          <cell r="B90" t="str">
            <v>шт</v>
          </cell>
          <cell r="E90">
            <v>13</v>
          </cell>
          <cell r="F90">
            <v>-15</v>
          </cell>
          <cell r="G90">
            <v>0</v>
          </cell>
          <cell r="H90" t="e">
            <v>#N/A</v>
          </cell>
          <cell r="I90" t="str">
            <v>бонус</v>
          </cell>
        </row>
        <row r="91">
          <cell r="A91" t="str">
            <v>БОНУС_412  Сосиски Баварские ТМ Стародворье 0,35 кг ПОКОМ</v>
          </cell>
          <cell r="B91" t="str">
            <v>шт</v>
          </cell>
          <cell r="E91">
            <v>11</v>
          </cell>
          <cell r="F91">
            <v>-15</v>
          </cell>
          <cell r="G91">
            <v>0</v>
          </cell>
          <cell r="H91" t="e">
            <v>#N/A</v>
          </cell>
          <cell r="I91" t="str">
            <v>бонус</v>
          </cell>
        </row>
        <row r="92">
          <cell r="A92" t="str">
            <v>Докторская Стародворская вес</v>
          </cell>
        </row>
        <row r="93">
          <cell r="A93" t="str">
            <v>Колбаса вареная Мусульманская халяль ТМ Вязанка вектор ф/в 0,4 кг НД Узбекистан АК</v>
          </cell>
          <cell r="B93" t="str">
            <v>шт</v>
          </cell>
          <cell r="G93">
            <v>0.4</v>
          </cell>
          <cell r="H93" t="e">
            <v>#N/A</v>
          </cell>
          <cell r="I93" t="str">
            <v>матрица</v>
          </cell>
        </row>
        <row r="94">
          <cell r="A94" t="str">
            <v>П/к колбасы «Аль-Ислами халяль» ф/в 0,35 фиброуз ТМ «Вязанка»</v>
          </cell>
          <cell r="B94" t="str">
            <v>шт</v>
          </cell>
          <cell r="G94">
            <v>0.35</v>
          </cell>
          <cell r="H94" t="e">
            <v>#N/A</v>
          </cell>
          <cell r="I94" t="str">
            <v>матрица</v>
          </cell>
        </row>
        <row r="95">
          <cell r="A95" t="str">
            <v>Сосиски Восточные халяль ТМ Вязанка полиамид в/у ф/в 0,33 кг НД Узбекистан АК</v>
          </cell>
          <cell r="B95" t="str">
            <v>шт</v>
          </cell>
          <cell r="G95">
            <v>0.33</v>
          </cell>
          <cell r="H95" t="e">
            <v>#N/A</v>
          </cell>
          <cell r="I95" t="str">
            <v>матрица</v>
          </cell>
        </row>
        <row r="96">
          <cell r="A96" t="str">
            <v>Вареные колбасы «Филейная Оригинальная» Весовой п/а ТМ «Особый рецепт» большой батон</v>
          </cell>
          <cell r="B96" t="str">
            <v>кг</v>
          </cell>
          <cell r="G96">
            <v>1</v>
          </cell>
          <cell r="H96" t="e">
            <v>#N/A</v>
          </cell>
          <cell r="I96" t="str">
            <v>матрица</v>
          </cell>
        </row>
        <row r="97">
          <cell r="A97" t="str">
            <v>Вареные колбасы «Нежная» НТУ Весовые П/а ТМ «Зареченские»</v>
          </cell>
          <cell r="B97" t="str">
            <v>кг</v>
          </cell>
          <cell r="G97">
            <v>1</v>
          </cell>
          <cell r="H97" t="e">
            <v>#N/A</v>
          </cell>
          <cell r="I97" t="str">
            <v>матрица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I92"/>
  <sheetViews>
    <sheetView tabSelected="1" topLeftCell="A78" zoomScale="124" zoomScaleNormal="124" workbookViewId="0">
      <selection activeCell="I98" sqref="I98"/>
    </sheetView>
  </sheetViews>
  <sheetFormatPr defaultColWidth="10.6640625" defaultRowHeight="11.25" outlineLevelRow="1" x14ac:dyDescent="0.2"/>
  <cols>
    <col min="1" max="1" width="86.6640625" customWidth="1"/>
    <col min="2" max="2" width="14.1640625" customWidth="1"/>
    <col min="3" max="3" width="12.6640625" customWidth="1"/>
    <col min="4" max="4" width="14.33203125" customWidth="1"/>
    <col min="5" max="5" width="19.83203125" customWidth="1"/>
    <col min="6" max="6" width="18.5" customWidth="1"/>
    <col min="7" max="7" width="12.83203125" customWidth="1"/>
    <col min="8" max="8" width="14.33203125" customWidth="1"/>
  </cols>
  <sheetData>
    <row r="1" spans="1:9" ht="9.9499999999999993" customHeight="1" x14ac:dyDescent="0.2"/>
    <row r="2" spans="1:9" ht="12.75" customHeight="1" outlineLevel="1" x14ac:dyDescent="0.2">
      <c r="A2" s="1" t="s">
        <v>0</v>
      </c>
      <c r="B2" s="1"/>
      <c r="C2" s="1"/>
    </row>
    <row r="3" spans="1:9" ht="24.75" customHeight="1" outlineLevel="1" x14ac:dyDescent="0.2">
      <c r="A3" s="1" t="s">
        <v>1</v>
      </c>
      <c r="B3" s="1"/>
    </row>
    <row r="4" spans="1:9" ht="9.9499999999999993" customHeight="1" x14ac:dyDescent="0.2"/>
    <row r="5" spans="1:9" ht="12.75" customHeight="1" x14ac:dyDescent="0.2">
      <c r="A5" s="33" t="s">
        <v>2</v>
      </c>
      <c r="B5" s="8"/>
      <c r="C5" s="36" t="s">
        <v>3</v>
      </c>
      <c r="D5" s="36"/>
    </row>
    <row r="6" spans="1:9" ht="12.75" customHeight="1" x14ac:dyDescent="0.2">
      <c r="A6" s="34"/>
      <c r="B6" s="9"/>
      <c r="C6" s="2" t="s">
        <v>4</v>
      </c>
      <c r="D6" s="2" t="s">
        <v>5</v>
      </c>
    </row>
    <row r="7" spans="1:9" ht="24.75" customHeight="1" x14ac:dyDescent="0.2">
      <c r="A7" s="35"/>
      <c r="B7" s="10"/>
      <c r="C7" s="3" t="s">
        <v>6</v>
      </c>
      <c r="D7" s="11" t="s">
        <v>7</v>
      </c>
      <c r="E7" s="12" t="s">
        <v>90</v>
      </c>
      <c r="F7" s="13" t="s">
        <v>91</v>
      </c>
      <c r="G7" s="20" t="s">
        <v>92</v>
      </c>
      <c r="H7" s="20" t="s">
        <v>93</v>
      </c>
    </row>
    <row r="8" spans="1:9" ht="11.25" customHeight="1" x14ac:dyDescent="0.2">
      <c r="A8" s="4" t="s">
        <v>8</v>
      </c>
      <c r="B8" s="4">
        <v>1</v>
      </c>
      <c r="C8" s="5">
        <v>214.1</v>
      </c>
      <c r="D8" s="14">
        <v>204.279</v>
      </c>
      <c r="E8" s="18"/>
      <c r="F8" s="21">
        <v>84.7</v>
      </c>
      <c r="G8" s="18">
        <v>450</v>
      </c>
      <c r="H8" s="18">
        <f>G8*B8</f>
        <v>450</v>
      </c>
      <c r="I8" t="str">
        <f>VLOOKUP(A8,[1]Sheet!$A:$I,9,0)</f>
        <v>матрица</v>
      </c>
    </row>
    <row r="9" spans="1:9" ht="11.25" hidden="1" customHeight="1" x14ac:dyDescent="0.2">
      <c r="A9" s="4" t="s">
        <v>9</v>
      </c>
      <c r="B9" s="4">
        <v>1</v>
      </c>
      <c r="C9" s="5">
        <v>35</v>
      </c>
      <c r="D9" s="14">
        <v>30.004999999999999</v>
      </c>
      <c r="E9" s="18"/>
      <c r="F9" s="21">
        <v>80.471999999999994</v>
      </c>
      <c r="G9" s="18"/>
      <c r="H9" s="18">
        <f t="shared" ref="H9:H73" si="0">G9*B9</f>
        <v>0</v>
      </c>
    </row>
    <row r="10" spans="1:9" ht="11.25" customHeight="1" x14ac:dyDescent="0.2">
      <c r="A10" s="4" t="s">
        <v>10</v>
      </c>
      <c r="B10" s="4">
        <v>1</v>
      </c>
      <c r="C10" s="5">
        <v>40.700000000000003</v>
      </c>
      <c r="D10" s="14">
        <v>33.887</v>
      </c>
      <c r="E10" s="18">
        <v>102.67</v>
      </c>
      <c r="F10" s="21">
        <v>1.3480000000000001</v>
      </c>
      <c r="G10" s="18">
        <v>100</v>
      </c>
      <c r="H10" s="18">
        <f t="shared" si="0"/>
        <v>100</v>
      </c>
      <c r="I10" t="str">
        <f>VLOOKUP(A10,[1]Sheet!$A:$I,9,0)</f>
        <v>матрица</v>
      </c>
    </row>
    <row r="11" spans="1:9" ht="11.25" customHeight="1" x14ac:dyDescent="0.2">
      <c r="A11" s="4" t="s">
        <v>11</v>
      </c>
      <c r="B11" s="4">
        <v>1</v>
      </c>
      <c r="C11" s="5">
        <v>43.5</v>
      </c>
      <c r="D11" s="14">
        <v>41.344999999999999</v>
      </c>
      <c r="E11" s="18">
        <v>96.597999999999999</v>
      </c>
      <c r="F11" s="21">
        <v>10.8</v>
      </c>
      <c r="G11" s="18">
        <v>80</v>
      </c>
      <c r="H11" s="18">
        <f t="shared" si="0"/>
        <v>80</v>
      </c>
      <c r="I11" t="str">
        <f>VLOOKUP(A11,[1]Sheet!$A:$I,9,0)</f>
        <v>матрица</v>
      </c>
    </row>
    <row r="12" spans="1:9" ht="11.25" customHeight="1" x14ac:dyDescent="0.2">
      <c r="A12" s="4" t="s">
        <v>12</v>
      </c>
      <c r="B12" s="4">
        <v>0.4</v>
      </c>
      <c r="C12" s="5">
        <v>146.4</v>
      </c>
      <c r="D12" s="14">
        <v>143.6</v>
      </c>
      <c r="E12" s="18"/>
      <c r="F12" s="21">
        <v>12</v>
      </c>
      <c r="G12" s="18">
        <v>800</v>
      </c>
      <c r="H12" s="18">
        <f t="shared" si="0"/>
        <v>320</v>
      </c>
      <c r="I12" t="str">
        <f>VLOOKUP(A12,[1]Sheet!$A:$I,9,0)</f>
        <v>матрица</v>
      </c>
    </row>
    <row r="13" spans="1:9" ht="11.25" hidden="1" customHeight="1" x14ac:dyDescent="0.2">
      <c r="A13" s="19" t="s">
        <v>13</v>
      </c>
      <c r="B13" s="19">
        <v>0.45</v>
      </c>
      <c r="C13" s="5">
        <v>95.85</v>
      </c>
      <c r="D13" s="14">
        <v>79.2</v>
      </c>
      <c r="E13" s="18">
        <v>30</v>
      </c>
      <c r="F13" s="21">
        <v>10</v>
      </c>
      <c r="G13" s="18"/>
      <c r="H13" s="18">
        <f t="shared" si="0"/>
        <v>0</v>
      </c>
    </row>
    <row r="14" spans="1:9" ht="21.75" customHeight="1" x14ac:dyDescent="0.2">
      <c r="A14" s="4" t="s">
        <v>14</v>
      </c>
      <c r="B14" s="4">
        <v>0.33</v>
      </c>
      <c r="C14" s="5">
        <v>102.3</v>
      </c>
      <c r="D14" s="14">
        <v>98.01</v>
      </c>
      <c r="E14" s="18"/>
      <c r="F14" s="21">
        <v>18</v>
      </c>
      <c r="G14" s="18">
        <v>400</v>
      </c>
      <c r="H14" s="18">
        <f t="shared" si="0"/>
        <v>132</v>
      </c>
      <c r="I14" t="str">
        <f>VLOOKUP(A14,[1]Sheet!$A:$I,9,0)</f>
        <v>матрица</v>
      </c>
    </row>
    <row r="15" spans="1:9" ht="11.25" hidden="1" customHeight="1" x14ac:dyDescent="0.2">
      <c r="A15" s="19" t="s">
        <v>15</v>
      </c>
      <c r="B15" s="19">
        <v>0.45</v>
      </c>
      <c r="C15" s="5">
        <v>18</v>
      </c>
      <c r="D15" s="14">
        <v>14.4</v>
      </c>
      <c r="E15" s="18"/>
      <c r="F15" s="21">
        <v>0</v>
      </c>
      <c r="G15" s="18"/>
      <c r="H15" s="18">
        <f t="shared" si="0"/>
        <v>0</v>
      </c>
    </row>
    <row r="16" spans="1:9" ht="21.75" hidden="1" customHeight="1" x14ac:dyDescent="0.2">
      <c r="A16" s="4" t="s">
        <v>16</v>
      </c>
      <c r="B16" s="4">
        <v>0.17</v>
      </c>
      <c r="C16" s="5">
        <v>12.41</v>
      </c>
      <c r="D16" s="14">
        <v>12.41</v>
      </c>
      <c r="E16" s="18"/>
      <c r="F16" s="21">
        <v>14</v>
      </c>
      <c r="G16" s="18"/>
      <c r="H16" s="18">
        <f t="shared" si="0"/>
        <v>0</v>
      </c>
    </row>
    <row r="17" spans="1:9" ht="11.25" hidden="1" customHeight="1" x14ac:dyDescent="0.2">
      <c r="A17" s="4" t="s">
        <v>17</v>
      </c>
      <c r="B17" s="4">
        <v>0.3</v>
      </c>
      <c r="C17" s="5">
        <v>14.7</v>
      </c>
      <c r="D17" s="14">
        <v>10.199999999999999</v>
      </c>
      <c r="E17" s="18">
        <v>222</v>
      </c>
      <c r="F17" s="21">
        <v>4</v>
      </c>
      <c r="G17" s="18"/>
      <c r="H17" s="18">
        <f t="shared" si="0"/>
        <v>0</v>
      </c>
    </row>
    <row r="18" spans="1:9" ht="11.25" customHeight="1" x14ac:dyDescent="0.2">
      <c r="A18" s="4" t="s">
        <v>18</v>
      </c>
      <c r="B18" s="4">
        <v>0.17</v>
      </c>
      <c r="C18" s="5">
        <v>22.44</v>
      </c>
      <c r="D18" s="14">
        <v>17.34</v>
      </c>
      <c r="E18" s="18">
        <v>60</v>
      </c>
      <c r="F18" s="21">
        <v>6</v>
      </c>
      <c r="G18" s="18">
        <v>400</v>
      </c>
      <c r="H18" s="18">
        <f t="shared" si="0"/>
        <v>68</v>
      </c>
      <c r="I18" t="str">
        <f>VLOOKUP(A18,[1]Sheet!$A:$I,9,0)</f>
        <v>матрица</v>
      </c>
    </row>
    <row r="19" spans="1:9" ht="11.25" hidden="1" customHeight="1" x14ac:dyDescent="0.2">
      <c r="A19" s="19" t="s">
        <v>19</v>
      </c>
      <c r="B19" s="19">
        <v>0.6</v>
      </c>
      <c r="C19" s="5">
        <v>2.4</v>
      </c>
      <c r="D19" s="15"/>
      <c r="E19" s="18"/>
      <c r="F19" s="21">
        <v>0</v>
      </c>
      <c r="G19" s="18"/>
      <c r="H19" s="18">
        <f t="shared" si="0"/>
        <v>0</v>
      </c>
    </row>
    <row r="20" spans="1:9" ht="21.75" customHeight="1" x14ac:dyDescent="0.2">
      <c r="A20" s="4" t="s">
        <v>20</v>
      </c>
      <c r="B20" s="4">
        <v>0.35</v>
      </c>
      <c r="C20" s="5">
        <v>22.75</v>
      </c>
      <c r="D20" s="14">
        <v>19.95</v>
      </c>
      <c r="E20" s="18">
        <v>84</v>
      </c>
      <c r="F20" s="21">
        <v>0</v>
      </c>
      <c r="G20" s="18">
        <v>150</v>
      </c>
      <c r="H20" s="18">
        <f t="shared" si="0"/>
        <v>52.5</v>
      </c>
      <c r="I20" t="str">
        <f>VLOOKUP(A20,[1]Sheet!$A:$I,9,0)</f>
        <v>матрица</v>
      </c>
    </row>
    <row r="21" spans="1:9" ht="11.25" customHeight="1" x14ac:dyDescent="0.2">
      <c r="A21" s="4" t="s">
        <v>21</v>
      </c>
      <c r="B21" s="4">
        <v>1</v>
      </c>
      <c r="C21" s="5">
        <v>34.200000000000003</v>
      </c>
      <c r="D21" s="14">
        <v>23.864999999999998</v>
      </c>
      <c r="E21" s="18">
        <v>84.88</v>
      </c>
      <c r="F21" s="21">
        <v>0</v>
      </c>
      <c r="G21" s="18">
        <v>20</v>
      </c>
      <c r="H21" s="18">
        <f t="shared" si="0"/>
        <v>20</v>
      </c>
      <c r="I21" t="str">
        <f>VLOOKUP(A21,[1]Sheet!$A:$I,9,0)</f>
        <v>матрица</v>
      </c>
    </row>
    <row r="22" spans="1:9" ht="11.25" customHeight="1" x14ac:dyDescent="0.2">
      <c r="A22" s="4" t="s">
        <v>22</v>
      </c>
      <c r="B22" s="4">
        <v>1</v>
      </c>
      <c r="C22" s="5">
        <v>382.6</v>
      </c>
      <c r="D22" s="14">
        <v>377.07</v>
      </c>
      <c r="E22" s="18">
        <v>484.84800000000001</v>
      </c>
      <c r="F22" s="21">
        <v>100</v>
      </c>
      <c r="G22" s="18">
        <v>500</v>
      </c>
      <c r="H22" s="18">
        <f t="shared" si="0"/>
        <v>500</v>
      </c>
      <c r="I22" t="str">
        <f>VLOOKUP(A22,[1]Sheet!$A:$I,9,0)</f>
        <v>матрица</v>
      </c>
    </row>
    <row r="23" spans="1:9" ht="11.25" customHeight="1" x14ac:dyDescent="0.2">
      <c r="A23" s="4" t="s">
        <v>23</v>
      </c>
      <c r="B23" s="4">
        <v>1</v>
      </c>
      <c r="C23" s="5">
        <v>22.9</v>
      </c>
      <c r="D23" s="14">
        <v>23.218</v>
      </c>
      <c r="E23" s="18">
        <v>31.37</v>
      </c>
      <c r="F23" s="21">
        <v>2.7</v>
      </c>
      <c r="G23" s="18">
        <v>40</v>
      </c>
      <c r="H23" s="18">
        <f t="shared" si="0"/>
        <v>40</v>
      </c>
      <c r="I23" t="str">
        <f>VLOOKUP(A23,[1]Sheet!$A:$I,9,0)</f>
        <v>матрица</v>
      </c>
    </row>
    <row r="24" spans="1:9" ht="11.25" customHeight="1" x14ac:dyDescent="0.2">
      <c r="A24" s="4" t="s">
        <v>24</v>
      </c>
      <c r="B24" s="4">
        <v>1</v>
      </c>
      <c r="C24" s="5">
        <v>128.5</v>
      </c>
      <c r="D24" s="14">
        <v>122.386</v>
      </c>
      <c r="E24" s="18">
        <v>671.84799999999996</v>
      </c>
      <c r="F24" s="21">
        <v>80</v>
      </c>
      <c r="G24" s="18">
        <v>150</v>
      </c>
      <c r="H24" s="18">
        <f t="shared" si="0"/>
        <v>150</v>
      </c>
      <c r="I24" t="str">
        <f>VLOOKUP(A24,[1]Sheet!$A:$I,9,0)</f>
        <v>матрица</v>
      </c>
    </row>
    <row r="25" spans="1:9" ht="11.25" customHeight="1" x14ac:dyDescent="0.2">
      <c r="A25" s="4" t="s">
        <v>25</v>
      </c>
      <c r="B25" s="4">
        <v>1</v>
      </c>
      <c r="C25" s="5">
        <v>17.600000000000001</v>
      </c>
      <c r="D25" s="14">
        <v>17.609000000000002</v>
      </c>
      <c r="E25" s="18">
        <v>21.29</v>
      </c>
      <c r="F25" s="21">
        <v>7.15</v>
      </c>
      <c r="G25" s="18">
        <v>20</v>
      </c>
      <c r="H25" s="18">
        <f t="shared" si="0"/>
        <v>20</v>
      </c>
      <c r="I25" t="str">
        <f>VLOOKUP(A25,[1]Sheet!$A:$I,9,0)</f>
        <v>матрица</v>
      </c>
    </row>
    <row r="26" spans="1:9" ht="11.25" customHeight="1" x14ac:dyDescent="0.2">
      <c r="A26" s="4" t="s">
        <v>26</v>
      </c>
      <c r="B26" s="4">
        <v>1</v>
      </c>
      <c r="C26" s="5">
        <v>20.6</v>
      </c>
      <c r="D26" s="14">
        <v>20.984000000000002</v>
      </c>
      <c r="E26" s="18">
        <v>41.93</v>
      </c>
      <c r="F26" s="21">
        <v>0.9</v>
      </c>
      <c r="G26" s="18">
        <v>10</v>
      </c>
      <c r="H26" s="18">
        <f t="shared" si="0"/>
        <v>10</v>
      </c>
      <c r="I26" t="str">
        <f>VLOOKUP(A26,[1]Sheet!$A:$I,9,0)</f>
        <v>матрица</v>
      </c>
    </row>
    <row r="27" spans="1:9" ht="11.25" customHeight="1" x14ac:dyDescent="0.2">
      <c r="A27" s="4" t="s">
        <v>27</v>
      </c>
      <c r="B27" s="4">
        <v>1</v>
      </c>
      <c r="C27" s="5">
        <v>36.65</v>
      </c>
      <c r="D27" s="14">
        <v>36.026000000000003</v>
      </c>
      <c r="E27" s="18">
        <v>26.332999999999998</v>
      </c>
      <c r="F27" s="21">
        <v>26.4</v>
      </c>
      <c r="G27" s="18">
        <v>20</v>
      </c>
      <c r="H27" s="18">
        <f t="shared" si="0"/>
        <v>20</v>
      </c>
      <c r="I27" t="str">
        <f>VLOOKUP(A27,[1]Sheet!$A:$I,9,0)</f>
        <v>матрица</v>
      </c>
    </row>
    <row r="28" spans="1:9" ht="11.25" customHeight="1" x14ac:dyDescent="0.2">
      <c r="A28" s="4" t="s">
        <v>28</v>
      </c>
      <c r="B28" s="4">
        <v>1</v>
      </c>
      <c r="C28" s="5">
        <v>98.4</v>
      </c>
      <c r="D28" s="14">
        <v>93.019000000000005</v>
      </c>
      <c r="E28" s="18">
        <v>84.510999999999996</v>
      </c>
      <c r="F28" s="21">
        <v>4.12</v>
      </c>
      <c r="G28" s="18">
        <v>130</v>
      </c>
      <c r="H28" s="18">
        <f t="shared" si="0"/>
        <v>130</v>
      </c>
      <c r="I28" t="str">
        <f>VLOOKUP(A28,[1]Sheet!$A:$I,9,0)</f>
        <v>матрица</v>
      </c>
    </row>
    <row r="29" spans="1:9" ht="11.25" customHeight="1" x14ac:dyDescent="0.2">
      <c r="A29" s="4" t="s">
        <v>29</v>
      </c>
      <c r="B29" s="4">
        <v>1</v>
      </c>
      <c r="C29" s="5">
        <v>14</v>
      </c>
      <c r="D29" s="14">
        <v>12.8</v>
      </c>
      <c r="E29" s="18">
        <v>42.475999999999999</v>
      </c>
      <c r="F29" s="21">
        <v>5.0149999999999997</v>
      </c>
      <c r="G29" s="18">
        <v>100</v>
      </c>
      <c r="H29" s="18">
        <f t="shared" si="0"/>
        <v>100</v>
      </c>
      <c r="I29" t="str">
        <f>VLOOKUP(A29,[1]Sheet!$A:$I,9,0)</f>
        <v>матрица</v>
      </c>
    </row>
    <row r="30" spans="1:9" ht="11.25" customHeight="1" x14ac:dyDescent="0.2">
      <c r="A30" s="4" t="s">
        <v>30</v>
      </c>
      <c r="B30" s="4">
        <v>1</v>
      </c>
      <c r="C30" s="5">
        <v>3.9</v>
      </c>
      <c r="D30" s="15"/>
      <c r="E30" s="18">
        <v>182.40199999999999</v>
      </c>
      <c r="F30" s="21">
        <v>0</v>
      </c>
      <c r="G30" s="18">
        <v>140</v>
      </c>
      <c r="H30" s="18">
        <f t="shared" si="0"/>
        <v>140</v>
      </c>
      <c r="I30" t="str">
        <f>VLOOKUP(A30,[1]Sheet!$A:$I,9,0)</f>
        <v>матрица</v>
      </c>
    </row>
    <row r="31" spans="1:9" ht="11.25" customHeight="1" x14ac:dyDescent="0.2">
      <c r="A31" s="4" t="s">
        <v>31</v>
      </c>
      <c r="B31" s="4">
        <v>1</v>
      </c>
      <c r="C31" s="5">
        <v>46.5</v>
      </c>
      <c r="D31" s="14">
        <v>52.662999999999997</v>
      </c>
      <c r="E31" s="18">
        <v>63.582000000000001</v>
      </c>
      <c r="F31" s="21">
        <v>7.45</v>
      </c>
      <c r="G31" s="18">
        <v>60</v>
      </c>
      <c r="H31" s="18">
        <f t="shared" si="0"/>
        <v>60</v>
      </c>
      <c r="I31" t="str">
        <f>VLOOKUP(A31,[1]Sheet!$A:$I,9,0)</f>
        <v>матрица</v>
      </c>
    </row>
    <row r="32" spans="1:9" ht="11.25" customHeight="1" x14ac:dyDescent="0.2">
      <c r="A32" s="4" t="s">
        <v>32</v>
      </c>
      <c r="B32" s="4">
        <v>1</v>
      </c>
      <c r="C32" s="5">
        <v>133</v>
      </c>
      <c r="D32" s="14">
        <v>121.03400000000001</v>
      </c>
      <c r="E32" s="18">
        <v>189.81200000000001</v>
      </c>
      <c r="F32" s="21">
        <v>2.641</v>
      </c>
      <c r="G32" s="18">
        <v>100</v>
      </c>
      <c r="H32" s="18">
        <f t="shared" si="0"/>
        <v>100</v>
      </c>
      <c r="I32" t="str">
        <f>VLOOKUP(A32,[1]Sheet!$A:$I,9,0)</f>
        <v>матрица</v>
      </c>
    </row>
    <row r="33" spans="1:9" ht="11.25" hidden="1" customHeight="1" x14ac:dyDescent="0.2">
      <c r="A33" s="4" t="s">
        <v>33</v>
      </c>
      <c r="B33" s="4">
        <v>1</v>
      </c>
      <c r="C33" s="5">
        <v>1.3</v>
      </c>
      <c r="D33" s="15"/>
      <c r="E33" s="18"/>
      <c r="F33" s="21">
        <v>0</v>
      </c>
      <c r="G33" s="18"/>
      <c r="H33" s="18">
        <f t="shared" si="0"/>
        <v>0</v>
      </c>
    </row>
    <row r="34" spans="1:9" ht="11.25" customHeight="1" x14ac:dyDescent="0.2">
      <c r="A34" s="4" t="s">
        <v>34</v>
      </c>
      <c r="B34" s="4">
        <v>1</v>
      </c>
      <c r="C34" s="6">
        <v>1085.5999999999999</v>
      </c>
      <c r="D34" s="16">
        <v>1097.74</v>
      </c>
      <c r="E34" s="18">
        <v>1750.538</v>
      </c>
      <c r="F34" s="21">
        <v>269.45</v>
      </c>
      <c r="G34" s="18">
        <v>400</v>
      </c>
      <c r="H34" s="18">
        <f t="shared" si="0"/>
        <v>400</v>
      </c>
      <c r="I34" t="str">
        <f>VLOOKUP(A34,[1]Sheet!$A:$I,9,0)</f>
        <v>матрица</v>
      </c>
    </row>
    <row r="35" spans="1:9" ht="21.75" hidden="1" customHeight="1" x14ac:dyDescent="0.2">
      <c r="A35" s="4" t="s">
        <v>35</v>
      </c>
      <c r="B35" s="4">
        <v>1</v>
      </c>
      <c r="C35" s="5">
        <v>31.4</v>
      </c>
      <c r="D35" s="14">
        <v>17.39</v>
      </c>
      <c r="E35" s="18">
        <v>175.708</v>
      </c>
      <c r="F35" s="21">
        <v>2.948</v>
      </c>
      <c r="G35" s="18"/>
      <c r="H35" s="18">
        <f t="shared" si="0"/>
        <v>0</v>
      </c>
    </row>
    <row r="36" spans="1:9" ht="11.25" customHeight="1" x14ac:dyDescent="0.2">
      <c r="A36" s="4" t="s">
        <v>36</v>
      </c>
      <c r="B36" s="4">
        <v>1</v>
      </c>
      <c r="C36" s="5">
        <v>45.6</v>
      </c>
      <c r="D36" s="14">
        <v>31.503</v>
      </c>
      <c r="E36" s="18">
        <v>197.50399999999999</v>
      </c>
      <c r="F36" s="21">
        <v>0</v>
      </c>
      <c r="G36" s="18">
        <v>40</v>
      </c>
      <c r="H36" s="18">
        <f t="shared" si="0"/>
        <v>40</v>
      </c>
      <c r="I36" t="str">
        <f>VLOOKUP(A36,[1]Sheet!$A:$I,9,0)</f>
        <v>матрица</v>
      </c>
    </row>
    <row r="37" spans="1:9" ht="11.25" customHeight="1" x14ac:dyDescent="0.2">
      <c r="A37" s="4" t="s">
        <v>37</v>
      </c>
      <c r="B37" s="4">
        <v>0.35</v>
      </c>
      <c r="C37" s="5">
        <v>48.65</v>
      </c>
      <c r="D37" s="14">
        <v>34.65</v>
      </c>
      <c r="E37" s="18">
        <v>54</v>
      </c>
      <c r="F37" s="21">
        <v>0</v>
      </c>
      <c r="G37" s="18">
        <v>180</v>
      </c>
      <c r="H37" s="18">
        <f t="shared" si="0"/>
        <v>62.999999999999993</v>
      </c>
      <c r="I37" t="str">
        <f>VLOOKUP(A37,[1]Sheet!$A:$I,9,0)</f>
        <v>матрица</v>
      </c>
    </row>
    <row r="38" spans="1:9" ht="11.25" customHeight="1" x14ac:dyDescent="0.2">
      <c r="A38" s="4" t="s">
        <v>38</v>
      </c>
      <c r="B38" s="4">
        <v>0.4</v>
      </c>
      <c r="C38" s="5">
        <v>168.8</v>
      </c>
      <c r="D38" s="14">
        <v>165.2</v>
      </c>
      <c r="E38" s="18">
        <v>102</v>
      </c>
      <c r="F38" s="21">
        <v>18</v>
      </c>
      <c r="G38" s="18">
        <v>600</v>
      </c>
      <c r="H38" s="18">
        <f t="shared" si="0"/>
        <v>240</v>
      </c>
      <c r="I38" t="str">
        <f>VLOOKUP(A38,[1]Sheet!$A:$I,9,0)</f>
        <v>матрица</v>
      </c>
    </row>
    <row r="39" spans="1:9" ht="11.25" customHeight="1" x14ac:dyDescent="0.2">
      <c r="A39" s="4" t="s">
        <v>39</v>
      </c>
      <c r="B39" s="4">
        <v>0.4</v>
      </c>
      <c r="C39" s="5">
        <v>133.6</v>
      </c>
      <c r="D39" s="14">
        <v>105.2</v>
      </c>
      <c r="E39" s="18">
        <v>198</v>
      </c>
      <c r="F39" s="21">
        <v>12</v>
      </c>
      <c r="G39" s="18">
        <v>300</v>
      </c>
      <c r="H39" s="18">
        <f t="shared" si="0"/>
        <v>120</v>
      </c>
      <c r="I39" t="str">
        <f>VLOOKUP(A39,[1]Sheet!$A:$I,9,0)</f>
        <v>матрица</v>
      </c>
    </row>
    <row r="40" spans="1:9" ht="11.25" customHeight="1" x14ac:dyDescent="0.2">
      <c r="A40" s="4" t="s">
        <v>40</v>
      </c>
      <c r="B40" s="4">
        <v>0.4</v>
      </c>
      <c r="C40" s="5">
        <v>65.599999999999994</v>
      </c>
      <c r="D40" s="14">
        <v>60</v>
      </c>
      <c r="E40" s="18"/>
      <c r="F40" s="21">
        <v>3</v>
      </c>
      <c r="G40" s="18">
        <v>220</v>
      </c>
      <c r="H40" s="18">
        <f t="shared" si="0"/>
        <v>88</v>
      </c>
      <c r="I40" t="str">
        <f>VLOOKUP(A40,[1]Sheet!$A:$I,9,0)</f>
        <v>матрица</v>
      </c>
    </row>
    <row r="41" spans="1:9" ht="11.25" customHeight="1" x14ac:dyDescent="0.2">
      <c r="A41" s="4" t="s">
        <v>41</v>
      </c>
      <c r="B41" s="4">
        <v>0.4</v>
      </c>
      <c r="C41" s="5">
        <v>81.2</v>
      </c>
      <c r="D41" s="14">
        <v>59.6</v>
      </c>
      <c r="E41" s="18">
        <v>120</v>
      </c>
      <c r="F41" s="21">
        <v>5</v>
      </c>
      <c r="G41" s="18">
        <v>260</v>
      </c>
      <c r="H41" s="18">
        <f t="shared" si="0"/>
        <v>104</v>
      </c>
      <c r="I41" t="str">
        <f>VLOOKUP(A41,[1]Sheet!$A:$I,9,0)</f>
        <v>матрица</v>
      </c>
    </row>
    <row r="42" spans="1:9" ht="11.25" hidden="1" customHeight="1" x14ac:dyDescent="0.2">
      <c r="A42" s="4" t="s">
        <v>42</v>
      </c>
      <c r="B42" s="4">
        <v>1</v>
      </c>
      <c r="C42" s="5">
        <v>1.3</v>
      </c>
      <c r="D42" s="15"/>
      <c r="E42" s="18"/>
      <c r="F42" s="21">
        <v>0</v>
      </c>
      <c r="G42" s="18"/>
      <c r="H42" s="18">
        <f t="shared" si="0"/>
        <v>0</v>
      </c>
    </row>
    <row r="43" spans="1:9" ht="11.25" customHeight="1" x14ac:dyDescent="0.2">
      <c r="A43" s="4" t="s">
        <v>43</v>
      </c>
      <c r="B43" s="4">
        <v>0.1</v>
      </c>
      <c r="C43" s="5">
        <v>19.7</v>
      </c>
      <c r="D43" s="14">
        <v>16.5</v>
      </c>
      <c r="E43" s="18">
        <v>200</v>
      </c>
      <c r="F43" s="21">
        <v>8</v>
      </c>
      <c r="G43" s="18">
        <v>300</v>
      </c>
      <c r="H43" s="18">
        <f t="shared" si="0"/>
        <v>30</v>
      </c>
      <c r="I43" t="str">
        <f>VLOOKUP(A43,[1]Sheet!$A:$I,9,0)</f>
        <v>матрица</v>
      </c>
    </row>
    <row r="44" spans="1:9" ht="11.25" customHeight="1" x14ac:dyDescent="0.2">
      <c r="A44" s="4" t="s">
        <v>44</v>
      </c>
      <c r="B44" s="4">
        <v>0.33</v>
      </c>
      <c r="C44" s="5">
        <v>40.26</v>
      </c>
      <c r="D44" s="14">
        <v>37.29</v>
      </c>
      <c r="E44" s="18">
        <v>252</v>
      </c>
      <c r="F44" s="21">
        <v>0</v>
      </c>
      <c r="G44" s="18">
        <v>350</v>
      </c>
      <c r="H44" s="18">
        <f t="shared" si="0"/>
        <v>115.5</v>
      </c>
      <c r="I44" t="str">
        <f>VLOOKUP(A44,[1]Sheet!$A:$I,9,0)</f>
        <v>матрица</v>
      </c>
    </row>
    <row r="45" spans="1:9" ht="21.75" customHeight="1" x14ac:dyDescent="0.2">
      <c r="A45" s="4" t="s">
        <v>45</v>
      </c>
      <c r="B45" s="4">
        <v>0.35</v>
      </c>
      <c r="C45" s="5">
        <v>58.1</v>
      </c>
      <c r="D45" s="14">
        <v>49.127000000000002</v>
      </c>
      <c r="E45" s="18">
        <v>252</v>
      </c>
      <c r="F45" s="21">
        <v>12</v>
      </c>
      <c r="G45" s="18">
        <v>200</v>
      </c>
      <c r="H45" s="18">
        <f t="shared" si="0"/>
        <v>70</v>
      </c>
      <c r="I45" t="str">
        <f>VLOOKUP(A45,[1]Sheet!$A:$I,9,0)</f>
        <v>матрица</v>
      </c>
    </row>
    <row r="46" spans="1:9" ht="11.25" hidden="1" customHeight="1" x14ac:dyDescent="0.2">
      <c r="A46" s="4" t="s">
        <v>46</v>
      </c>
      <c r="B46" s="4">
        <v>0.4</v>
      </c>
      <c r="C46" s="5">
        <v>2.4</v>
      </c>
      <c r="D46" s="15"/>
      <c r="E46" s="18"/>
      <c r="F46" s="21"/>
      <c r="G46" s="18"/>
      <c r="H46" s="18">
        <f t="shared" si="0"/>
        <v>0</v>
      </c>
    </row>
    <row r="47" spans="1:9" ht="21.75" hidden="1" customHeight="1" x14ac:dyDescent="0.2">
      <c r="A47" s="4" t="s">
        <v>47</v>
      </c>
      <c r="B47" s="4">
        <v>1</v>
      </c>
      <c r="C47" s="5">
        <v>20.3</v>
      </c>
      <c r="D47" s="14">
        <v>17.172999999999998</v>
      </c>
      <c r="E47" s="18">
        <v>34.28</v>
      </c>
      <c r="F47" s="21">
        <v>7.88</v>
      </c>
      <c r="G47" s="18"/>
      <c r="H47" s="18">
        <f t="shared" si="0"/>
        <v>0</v>
      </c>
    </row>
    <row r="48" spans="1:9" ht="21.75" customHeight="1" x14ac:dyDescent="0.2">
      <c r="A48" s="4" t="s">
        <v>48</v>
      </c>
      <c r="B48" s="4">
        <v>0.35</v>
      </c>
      <c r="C48" s="5">
        <v>44.1</v>
      </c>
      <c r="D48" s="14">
        <v>38.85</v>
      </c>
      <c r="E48" s="18">
        <v>156</v>
      </c>
      <c r="F48" s="21">
        <v>20</v>
      </c>
      <c r="G48" s="18">
        <v>200</v>
      </c>
      <c r="H48" s="18">
        <f t="shared" si="0"/>
        <v>70</v>
      </c>
      <c r="I48" t="str">
        <f>VLOOKUP(A48,[1]Sheet!$A:$I,9,0)</f>
        <v>матрица</v>
      </c>
    </row>
    <row r="49" spans="1:9" ht="21.75" customHeight="1" x14ac:dyDescent="0.2">
      <c r="A49" s="4" t="s">
        <v>49</v>
      </c>
      <c r="B49" s="4">
        <v>0.35</v>
      </c>
      <c r="C49" s="5">
        <v>106.05</v>
      </c>
      <c r="D49" s="14">
        <v>77.831000000000003</v>
      </c>
      <c r="E49" s="18">
        <v>156</v>
      </c>
      <c r="F49" s="21">
        <v>16</v>
      </c>
      <c r="G49" s="18">
        <v>450</v>
      </c>
      <c r="H49" s="18">
        <f t="shared" si="0"/>
        <v>157.5</v>
      </c>
      <c r="I49" t="str">
        <f>VLOOKUP(A49,[1]Sheet!$A:$I,9,0)</f>
        <v>матрица</v>
      </c>
    </row>
    <row r="50" spans="1:9" ht="11.25" customHeight="1" x14ac:dyDescent="0.2">
      <c r="A50" s="4" t="s">
        <v>50</v>
      </c>
      <c r="B50" s="4">
        <v>1</v>
      </c>
      <c r="C50" s="5">
        <v>179.1</v>
      </c>
      <c r="D50" s="14">
        <v>179.08699999999999</v>
      </c>
      <c r="E50" s="18">
        <v>194.006</v>
      </c>
      <c r="F50" s="21">
        <v>42.884</v>
      </c>
      <c r="G50" s="18">
        <v>300</v>
      </c>
      <c r="H50" s="18">
        <f t="shared" si="0"/>
        <v>300</v>
      </c>
      <c r="I50" t="str">
        <f>VLOOKUP(A50,[1]Sheet!$A:$I,9,0)</f>
        <v>матрица</v>
      </c>
    </row>
    <row r="51" spans="1:9" ht="11.25" customHeight="1" x14ac:dyDescent="0.2">
      <c r="A51" s="4" t="s">
        <v>51</v>
      </c>
      <c r="B51" s="4">
        <v>1</v>
      </c>
      <c r="C51" s="5">
        <v>152.69999999999999</v>
      </c>
      <c r="D51" s="14">
        <v>143.88200000000001</v>
      </c>
      <c r="E51" s="18">
        <v>141.70699999999999</v>
      </c>
      <c r="F51" s="21">
        <v>83.4</v>
      </c>
      <c r="G51" s="18">
        <v>250</v>
      </c>
      <c r="H51" s="18">
        <f t="shared" si="0"/>
        <v>250</v>
      </c>
      <c r="I51" t="str">
        <f>VLOOKUP(A51,[1]Sheet!$A:$I,9,0)</f>
        <v>матрица</v>
      </c>
    </row>
    <row r="52" spans="1:9" ht="11.25" hidden="1" customHeight="1" x14ac:dyDescent="0.2">
      <c r="A52" s="4" t="s">
        <v>52</v>
      </c>
      <c r="B52" s="4">
        <v>1</v>
      </c>
      <c r="C52" s="5">
        <v>16.75</v>
      </c>
      <c r="D52" s="14">
        <v>17.239999999999998</v>
      </c>
      <c r="E52" s="18">
        <v>42.213999999999999</v>
      </c>
      <c r="F52" s="21">
        <v>27.18</v>
      </c>
      <c r="G52" s="18"/>
      <c r="H52" s="18">
        <f t="shared" si="0"/>
        <v>0</v>
      </c>
    </row>
    <row r="53" spans="1:9" ht="11.25" customHeight="1" x14ac:dyDescent="0.2">
      <c r="A53" s="4" t="s">
        <v>53</v>
      </c>
      <c r="B53" s="4">
        <v>0.45</v>
      </c>
      <c r="C53" s="5">
        <v>248.4</v>
      </c>
      <c r="D53" s="14">
        <v>240.3</v>
      </c>
      <c r="E53" s="18"/>
      <c r="F53" s="21">
        <v>224</v>
      </c>
      <c r="G53" s="18">
        <v>900</v>
      </c>
      <c r="H53" s="18">
        <f t="shared" si="0"/>
        <v>405</v>
      </c>
      <c r="I53" t="str">
        <f>VLOOKUP(A53,[1]Sheet!$A:$I,9,0)</f>
        <v>матрица</v>
      </c>
    </row>
    <row r="54" spans="1:9" ht="11.25" hidden="1" customHeight="1" x14ac:dyDescent="0.2">
      <c r="A54" s="4" t="s">
        <v>54</v>
      </c>
      <c r="B54" s="4">
        <v>1</v>
      </c>
      <c r="C54" s="5">
        <v>22.95</v>
      </c>
      <c r="D54" s="14">
        <v>22.908999999999999</v>
      </c>
      <c r="E54" s="18">
        <v>43.107999999999997</v>
      </c>
      <c r="F54" s="21">
        <v>38</v>
      </c>
      <c r="G54" s="18"/>
      <c r="H54" s="18">
        <f t="shared" si="0"/>
        <v>0</v>
      </c>
    </row>
    <row r="55" spans="1:9" ht="11.25" customHeight="1" x14ac:dyDescent="0.2">
      <c r="A55" s="4" t="s">
        <v>55</v>
      </c>
      <c r="B55" s="4">
        <v>0.45</v>
      </c>
      <c r="C55" s="5">
        <v>220.95</v>
      </c>
      <c r="D55" s="14">
        <v>211.05</v>
      </c>
      <c r="E55" s="18">
        <v>180</v>
      </c>
      <c r="F55" s="21">
        <v>83</v>
      </c>
      <c r="G55" s="18">
        <v>700</v>
      </c>
      <c r="H55" s="18">
        <f t="shared" si="0"/>
        <v>315</v>
      </c>
      <c r="I55" t="str">
        <f>VLOOKUP(A55,[1]Sheet!$A:$I,9,0)</f>
        <v>матрица</v>
      </c>
    </row>
    <row r="56" spans="1:9" ht="11.25" customHeight="1" x14ac:dyDescent="0.2">
      <c r="A56" s="4" t="s">
        <v>56</v>
      </c>
      <c r="B56" s="4">
        <v>0.45</v>
      </c>
      <c r="C56" s="5">
        <v>119.7</v>
      </c>
      <c r="D56" s="14">
        <v>114.75</v>
      </c>
      <c r="E56" s="18">
        <v>102</v>
      </c>
      <c r="F56" s="21">
        <v>40</v>
      </c>
      <c r="G56" s="18">
        <v>550</v>
      </c>
      <c r="H56" s="18">
        <f t="shared" si="0"/>
        <v>247.5</v>
      </c>
      <c r="I56" t="str">
        <f>VLOOKUP(A56,[1]Sheet!$A:$I,9,0)</f>
        <v>матрица</v>
      </c>
    </row>
    <row r="57" spans="1:9" ht="11.25" customHeight="1" x14ac:dyDescent="0.2">
      <c r="A57" s="4" t="s">
        <v>57</v>
      </c>
      <c r="B57" s="4">
        <v>1</v>
      </c>
      <c r="C57" s="5">
        <v>275.8</v>
      </c>
      <c r="D57" s="14">
        <v>273.56799999999998</v>
      </c>
      <c r="E57" s="18">
        <v>479.1</v>
      </c>
      <c r="F57" s="21">
        <v>206.154</v>
      </c>
      <c r="G57" s="18">
        <v>50</v>
      </c>
      <c r="H57" s="18">
        <f t="shared" si="0"/>
        <v>50</v>
      </c>
      <c r="I57" t="str">
        <f>VLOOKUP(A57,[1]Sheet!$A:$I,9,0)</f>
        <v>матрица</v>
      </c>
    </row>
    <row r="58" spans="1:9" ht="11.25" customHeight="1" x14ac:dyDescent="0.2">
      <c r="A58" s="4" t="s">
        <v>58</v>
      </c>
      <c r="B58" s="4">
        <v>1</v>
      </c>
      <c r="C58" s="5">
        <v>37.5</v>
      </c>
      <c r="D58" s="14">
        <v>35.963999999999999</v>
      </c>
      <c r="E58" s="18"/>
      <c r="F58" s="21">
        <v>7.0709999999999997</v>
      </c>
      <c r="G58" s="18">
        <v>40</v>
      </c>
      <c r="H58" s="18">
        <f t="shared" si="0"/>
        <v>40</v>
      </c>
      <c r="I58" t="str">
        <f>VLOOKUP(A58,[1]Sheet!$A:$I,9,0)</f>
        <v>матрица</v>
      </c>
    </row>
    <row r="59" spans="1:9" ht="11.25" customHeight="1" x14ac:dyDescent="0.2">
      <c r="A59" s="4" t="s">
        <v>59</v>
      </c>
      <c r="B59" s="4">
        <v>0.1</v>
      </c>
      <c r="C59" s="5">
        <v>15.7</v>
      </c>
      <c r="D59" s="14">
        <v>14.8</v>
      </c>
      <c r="E59" s="18">
        <v>200</v>
      </c>
      <c r="F59" s="21">
        <v>4</v>
      </c>
      <c r="G59" s="18">
        <v>300</v>
      </c>
      <c r="H59" s="18">
        <f t="shared" si="0"/>
        <v>30</v>
      </c>
      <c r="I59" t="str">
        <f>VLOOKUP(A59,[1]Sheet!$A:$I,9,0)</f>
        <v>матрица</v>
      </c>
    </row>
    <row r="60" spans="1:9" ht="11.25" customHeight="1" x14ac:dyDescent="0.2">
      <c r="A60" s="4" t="s">
        <v>60</v>
      </c>
      <c r="B60" s="4">
        <v>1</v>
      </c>
      <c r="C60" s="5">
        <v>18.399999999999999</v>
      </c>
      <c r="D60" s="14">
        <v>13.382999999999999</v>
      </c>
      <c r="E60" s="18">
        <v>137.94300000000001</v>
      </c>
      <c r="F60" s="21">
        <v>0</v>
      </c>
      <c r="G60" s="18">
        <v>80</v>
      </c>
      <c r="H60" s="18">
        <f t="shared" si="0"/>
        <v>80</v>
      </c>
      <c r="I60" t="str">
        <f>VLOOKUP(A60,[1]Sheet!$A:$I,9,0)</f>
        <v>матрица</v>
      </c>
    </row>
    <row r="61" spans="1:9" ht="11.25" customHeight="1" x14ac:dyDescent="0.2">
      <c r="A61" s="4" t="s">
        <v>61</v>
      </c>
      <c r="B61" s="4">
        <v>0.1</v>
      </c>
      <c r="C61" s="5">
        <v>16.100000000000001</v>
      </c>
      <c r="D61" s="14">
        <v>14.5</v>
      </c>
      <c r="E61" s="18">
        <v>200</v>
      </c>
      <c r="F61" s="21">
        <v>4</v>
      </c>
      <c r="G61" s="18">
        <v>300</v>
      </c>
      <c r="H61" s="18">
        <f t="shared" si="0"/>
        <v>30</v>
      </c>
      <c r="I61" t="str">
        <f>VLOOKUP(A61,[1]Sheet!$A:$I,9,0)</f>
        <v>матрица</v>
      </c>
    </row>
    <row r="62" spans="1:9" ht="11.25" customHeight="1" x14ac:dyDescent="0.2">
      <c r="A62" s="4" t="s">
        <v>62</v>
      </c>
      <c r="B62" s="4">
        <v>0.4</v>
      </c>
      <c r="C62" s="5">
        <v>90</v>
      </c>
      <c r="D62" s="14">
        <v>67.599999999999994</v>
      </c>
      <c r="E62" s="18">
        <v>204</v>
      </c>
      <c r="F62" s="21">
        <v>7</v>
      </c>
      <c r="G62" s="18">
        <v>300</v>
      </c>
      <c r="H62" s="18">
        <f t="shared" si="0"/>
        <v>120</v>
      </c>
      <c r="I62" t="str">
        <f>VLOOKUP(A62,[1]Sheet!$A:$I,9,0)</f>
        <v>матрица</v>
      </c>
    </row>
    <row r="63" spans="1:9" ht="11.25" customHeight="1" x14ac:dyDescent="0.2">
      <c r="A63" s="4" t="s">
        <v>63</v>
      </c>
      <c r="B63" s="4">
        <v>0.4</v>
      </c>
      <c r="C63" s="5">
        <v>48.4</v>
      </c>
      <c r="D63" s="14">
        <v>36.4</v>
      </c>
      <c r="E63" s="18">
        <v>204</v>
      </c>
      <c r="F63" s="21">
        <v>6</v>
      </c>
      <c r="G63" s="18">
        <v>200</v>
      </c>
      <c r="H63" s="18">
        <f t="shared" si="0"/>
        <v>80</v>
      </c>
      <c r="I63" t="str">
        <f>VLOOKUP(A63,[1]Sheet!$A:$I,9,0)</f>
        <v>матрица</v>
      </c>
    </row>
    <row r="64" spans="1:9" ht="11.25" hidden="1" customHeight="1" x14ac:dyDescent="0.2">
      <c r="A64" s="4" t="s">
        <v>64</v>
      </c>
      <c r="B64" s="4">
        <v>1</v>
      </c>
      <c r="C64" s="5">
        <v>23.1</v>
      </c>
      <c r="D64" s="14">
        <v>22.637</v>
      </c>
      <c r="E64" s="18">
        <v>43.545000000000002</v>
      </c>
      <c r="F64" s="21">
        <v>13.75</v>
      </c>
      <c r="G64" s="18"/>
      <c r="H64" s="18">
        <f t="shared" si="0"/>
        <v>0</v>
      </c>
    </row>
    <row r="65" spans="1:9" ht="21.75" hidden="1" customHeight="1" x14ac:dyDescent="0.2">
      <c r="A65" s="19" t="s">
        <v>65</v>
      </c>
      <c r="B65" s="4">
        <v>0.35</v>
      </c>
      <c r="C65" s="5">
        <v>0.35</v>
      </c>
      <c r="D65" s="15"/>
      <c r="E65" s="18"/>
      <c r="F65" s="21">
        <v>0</v>
      </c>
      <c r="G65" s="18"/>
      <c r="H65" s="18">
        <f t="shared" si="0"/>
        <v>0</v>
      </c>
    </row>
    <row r="66" spans="1:9" ht="11.25" customHeight="1" x14ac:dyDescent="0.2">
      <c r="A66" s="4" t="s">
        <v>66</v>
      </c>
      <c r="B66" s="4">
        <v>0.35</v>
      </c>
      <c r="C66" s="5">
        <v>127.4</v>
      </c>
      <c r="D66" s="14">
        <v>114.45</v>
      </c>
      <c r="E66" s="18">
        <v>300</v>
      </c>
      <c r="F66" s="21">
        <v>24</v>
      </c>
      <c r="G66" s="18">
        <v>500</v>
      </c>
      <c r="H66" s="18">
        <f t="shared" si="0"/>
        <v>175</v>
      </c>
      <c r="I66" t="str">
        <f>VLOOKUP(A66,[1]Sheet!$A:$I,9,0)</f>
        <v>матрица</v>
      </c>
    </row>
    <row r="67" spans="1:9" ht="11.25" customHeight="1" x14ac:dyDescent="0.2">
      <c r="A67" s="4" t="s">
        <v>67</v>
      </c>
      <c r="B67" s="4">
        <v>0.35</v>
      </c>
      <c r="C67" s="5">
        <v>194.25</v>
      </c>
      <c r="D67" s="14">
        <v>189.7</v>
      </c>
      <c r="E67" s="18">
        <v>204</v>
      </c>
      <c r="F67" s="21">
        <v>191</v>
      </c>
      <c r="G67" s="18">
        <v>300</v>
      </c>
      <c r="H67" s="18">
        <f t="shared" si="0"/>
        <v>105</v>
      </c>
      <c r="I67" t="str">
        <f>VLOOKUP(A67,[1]Sheet!$A:$I,9,0)</f>
        <v>матрица</v>
      </c>
    </row>
    <row r="68" spans="1:9" ht="11.25" customHeight="1" x14ac:dyDescent="0.2">
      <c r="A68" s="28" t="s">
        <v>94</v>
      </c>
      <c r="B68" s="28"/>
      <c r="C68" s="29"/>
      <c r="D68" s="30"/>
      <c r="E68" s="31"/>
      <c r="F68" s="32"/>
      <c r="G68" s="31">
        <v>120</v>
      </c>
      <c r="H68" s="31">
        <v>120</v>
      </c>
      <c r="I68" t="str">
        <f>VLOOKUP(A68,[1]Sheet!$A:$I,9,0)</f>
        <v>матрица</v>
      </c>
    </row>
    <row r="69" spans="1:9" ht="21.75" customHeight="1" x14ac:dyDescent="0.2">
      <c r="A69" s="22" t="s">
        <v>68</v>
      </c>
      <c r="B69" s="22">
        <v>1</v>
      </c>
      <c r="C69" s="23">
        <v>76.900000000000006</v>
      </c>
      <c r="D69" s="24">
        <v>63.762999999999998</v>
      </c>
      <c r="E69" s="25"/>
      <c r="F69" s="26">
        <v>34.43</v>
      </c>
      <c r="G69" s="25"/>
      <c r="H69" s="25">
        <v>0</v>
      </c>
      <c r="I69" s="27" t="str">
        <f>VLOOKUP(A69,[1]Sheet!$A:$I,9,0)</f>
        <v>не в матрице</v>
      </c>
    </row>
    <row r="70" spans="1:9" ht="21.75" hidden="1" customHeight="1" x14ac:dyDescent="0.2">
      <c r="A70" s="19" t="s">
        <v>69</v>
      </c>
      <c r="B70" s="19">
        <v>1</v>
      </c>
      <c r="C70" s="5">
        <v>72.150000000000006</v>
      </c>
      <c r="D70" s="14">
        <v>69.537999999999997</v>
      </c>
      <c r="E70" s="18"/>
      <c r="F70" s="21">
        <v>0</v>
      </c>
      <c r="G70" s="18"/>
      <c r="H70" s="18">
        <f t="shared" si="0"/>
        <v>0</v>
      </c>
    </row>
    <row r="71" spans="1:9" ht="11.25" customHeight="1" x14ac:dyDescent="0.2">
      <c r="A71" s="4" t="s">
        <v>70</v>
      </c>
      <c r="B71" s="4">
        <v>1</v>
      </c>
      <c r="C71" s="5">
        <v>12.2</v>
      </c>
      <c r="D71" s="14">
        <v>11.895</v>
      </c>
      <c r="E71" s="18"/>
      <c r="F71" s="21">
        <v>2.7</v>
      </c>
      <c r="G71" s="18">
        <v>20</v>
      </c>
      <c r="H71" s="18">
        <f t="shared" si="0"/>
        <v>20</v>
      </c>
      <c r="I71" t="str">
        <f>VLOOKUP(A71,[1]Sheet!$A:$I,9,0)</f>
        <v>матрица</v>
      </c>
    </row>
    <row r="72" spans="1:9" ht="11.25" customHeight="1" x14ac:dyDescent="0.2">
      <c r="A72" s="4" t="s">
        <v>71</v>
      </c>
      <c r="B72" s="4">
        <v>1</v>
      </c>
      <c r="C72" s="5">
        <v>320.5</v>
      </c>
      <c r="D72" s="14">
        <v>306.08800000000002</v>
      </c>
      <c r="E72" s="18">
        <v>149.59</v>
      </c>
      <c r="F72" s="21">
        <v>241.53</v>
      </c>
      <c r="G72" s="18">
        <v>400</v>
      </c>
      <c r="H72" s="18">
        <f t="shared" si="0"/>
        <v>400</v>
      </c>
      <c r="I72" t="str">
        <f>VLOOKUP(A72,[1]Sheet!$A:$I,9,0)</f>
        <v>матрица</v>
      </c>
    </row>
    <row r="73" spans="1:9" ht="11.25" hidden="1" customHeight="1" x14ac:dyDescent="0.2">
      <c r="A73" s="4" t="s">
        <v>72</v>
      </c>
      <c r="B73" s="4">
        <v>1</v>
      </c>
      <c r="C73" s="5">
        <v>299.7</v>
      </c>
      <c r="D73" s="14">
        <v>272.36099999999999</v>
      </c>
      <c r="E73" s="18"/>
      <c r="F73" s="21">
        <v>207</v>
      </c>
      <c r="G73" s="18"/>
      <c r="H73" s="18">
        <f t="shared" si="0"/>
        <v>0</v>
      </c>
    </row>
    <row r="74" spans="1:9" ht="11.25" customHeight="1" x14ac:dyDescent="0.2">
      <c r="A74" s="4" t="s">
        <v>73</v>
      </c>
      <c r="B74" s="4">
        <v>1</v>
      </c>
      <c r="C74" s="5">
        <v>216.5</v>
      </c>
      <c r="D74" s="14">
        <v>203.792</v>
      </c>
      <c r="E74" s="18">
        <v>104.82</v>
      </c>
      <c r="F74" s="21">
        <v>117.093</v>
      </c>
      <c r="G74" s="18">
        <v>350</v>
      </c>
      <c r="H74" s="18">
        <f t="shared" ref="H74:H91" si="1">G74*B74</f>
        <v>350</v>
      </c>
      <c r="I74" t="str">
        <f>VLOOKUP(A74,[1]Sheet!$A:$I,9,0)</f>
        <v>матрица</v>
      </c>
    </row>
    <row r="75" spans="1:9" ht="21.75" customHeight="1" x14ac:dyDescent="0.2">
      <c r="A75" s="4" t="s">
        <v>74</v>
      </c>
      <c r="B75" s="4">
        <v>1</v>
      </c>
      <c r="C75" s="5">
        <v>338.5</v>
      </c>
      <c r="D75" s="14">
        <v>334.20600000000002</v>
      </c>
      <c r="E75" s="18">
        <v>388.97899999999998</v>
      </c>
      <c r="F75" s="21">
        <v>72.540000000000006</v>
      </c>
      <c r="G75" s="18">
        <v>450</v>
      </c>
      <c r="H75" s="18">
        <f t="shared" si="1"/>
        <v>450</v>
      </c>
      <c r="I75" t="str">
        <f>VLOOKUP(A75,[1]Sheet!$A:$I,9,0)</f>
        <v>матрица</v>
      </c>
    </row>
    <row r="76" spans="1:9" ht="11.25" customHeight="1" x14ac:dyDescent="0.2">
      <c r="A76" s="4" t="s">
        <v>75</v>
      </c>
      <c r="B76" s="4">
        <v>0.5</v>
      </c>
      <c r="C76" s="5">
        <v>28</v>
      </c>
      <c r="D76" s="14">
        <v>15</v>
      </c>
      <c r="E76" s="18">
        <v>50</v>
      </c>
      <c r="F76" s="21">
        <v>2</v>
      </c>
      <c r="G76" s="18">
        <v>70</v>
      </c>
      <c r="H76" s="18">
        <f t="shared" si="1"/>
        <v>35</v>
      </c>
      <c r="I76" t="str">
        <f>VLOOKUP(A76,[1]Sheet!$A:$I,9,0)</f>
        <v>матрица</v>
      </c>
    </row>
    <row r="77" spans="1:9" ht="21.75" hidden="1" customHeight="1" x14ac:dyDescent="0.2">
      <c r="A77" s="4" t="s">
        <v>76</v>
      </c>
      <c r="B77" s="4">
        <v>1</v>
      </c>
      <c r="C77" s="5">
        <v>87.6</v>
      </c>
      <c r="D77" s="14">
        <v>87.174000000000007</v>
      </c>
      <c r="E77" s="18">
        <v>161.70599999999999</v>
      </c>
      <c r="F77" s="21">
        <v>32.31</v>
      </c>
      <c r="G77" s="18"/>
      <c r="H77" s="18">
        <f t="shared" si="1"/>
        <v>0</v>
      </c>
    </row>
    <row r="78" spans="1:9" ht="21.75" customHeight="1" x14ac:dyDescent="0.2">
      <c r="A78" s="4" t="s">
        <v>77</v>
      </c>
      <c r="B78" s="4">
        <v>0.5</v>
      </c>
      <c r="C78" s="5">
        <v>119</v>
      </c>
      <c r="D78" s="14">
        <v>102</v>
      </c>
      <c r="E78" s="18">
        <v>282</v>
      </c>
      <c r="F78" s="21">
        <v>10</v>
      </c>
      <c r="G78" s="18">
        <v>350</v>
      </c>
      <c r="H78" s="18">
        <f t="shared" si="1"/>
        <v>175</v>
      </c>
      <c r="I78" t="str">
        <f>VLOOKUP(A78,[1]Sheet!$A:$I,9,0)</f>
        <v>матрица</v>
      </c>
    </row>
    <row r="79" spans="1:9" ht="11.25" customHeight="1" x14ac:dyDescent="0.2">
      <c r="A79" s="4" t="s">
        <v>78</v>
      </c>
      <c r="B79" s="4">
        <v>0.5</v>
      </c>
      <c r="C79" s="5">
        <v>43.5</v>
      </c>
      <c r="D79" s="14">
        <v>28</v>
      </c>
      <c r="E79" s="18">
        <v>120</v>
      </c>
      <c r="F79" s="21">
        <v>2</v>
      </c>
      <c r="G79" s="18">
        <v>120</v>
      </c>
      <c r="H79" s="18">
        <f t="shared" si="1"/>
        <v>60</v>
      </c>
      <c r="I79" t="str">
        <f>VLOOKUP(A79,[1]Sheet!$A:$I,9,0)</f>
        <v>матрица</v>
      </c>
    </row>
    <row r="80" spans="1:9" ht="21.75" hidden="1" customHeight="1" x14ac:dyDescent="0.2">
      <c r="A80" s="4" t="s">
        <v>79</v>
      </c>
      <c r="B80" s="4">
        <v>0.4</v>
      </c>
      <c r="C80" s="5">
        <v>18</v>
      </c>
      <c r="D80" s="14">
        <v>12</v>
      </c>
      <c r="E80" s="18">
        <v>250</v>
      </c>
      <c r="F80" s="21">
        <v>1</v>
      </c>
      <c r="G80" s="18"/>
      <c r="H80" s="18">
        <f t="shared" si="1"/>
        <v>0</v>
      </c>
    </row>
    <row r="81" spans="1:9" ht="21.75" customHeight="1" x14ac:dyDescent="0.2">
      <c r="A81" s="4" t="s">
        <v>80</v>
      </c>
      <c r="B81" s="4">
        <v>1</v>
      </c>
      <c r="C81" s="5">
        <v>172.8</v>
      </c>
      <c r="D81" s="14">
        <v>170.55</v>
      </c>
      <c r="E81" s="18">
        <v>217.16800000000001</v>
      </c>
      <c r="F81" s="21">
        <v>34.9</v>
      </c>
      <c r="G81" s="18">
        <v>200</v>
      </c>
      <c r="H81" s="18">
        <f t="shared" si="1"/>
        <v>200</v>
      </c>
      <c r="I81" t="str">
        <f>VLOOKUP(A81,[1]Sheet!$A:$I,9,0)</f>
        <v>матрица</v>
      </c>
    </row>
    <row r="82" spans="1:9" ht="21.75" customHeight="1" x14ac:dyDescent="0.2">
      <c r="A82" s="4" t="s">
        <v>81</v>
      </c>
      <c r="B82" s="4">
        <v>0.4</v>
      </c>
      <c r="C82" s="5">
        <v>42.4</v>
      </c>
      <c r="D82" s="14">
        <v>36</v>
      </c>
      <c r="E82" s="18">
        <v>180</v>
      </c>
      <c r="F82" s="21">
        <v>7</v>
      </c>
      <c r="G82" s="18">
        <v>80</v>
      </c>
      <c r="H82" s="18">
        <f t="shared" si="1"/>
        <v>32</v>
      </c>
      <c r="I82" t="str">
        <f>VLOOKUP(A82,[1]Sheet!$A:$I,9,0)</f>
        <v>матрица</v>
      </c>
    </row>
    <row r="83" spans="1:9" ht="21.75" customHeight="1" x14ac:dyDescent="0.2">
      <c r="A83" s="4" t="s">
        <v>82</v>
      </c>
      <c r="B83" s="4">
        <v>1</v>
      </c>
      <c r="C83" s="5">
        <v>67.8</v>
      </c>
      <c r="D83" s="14">
        <v>65.790999999999997</v>
      </c>
      <c r="E83" s="18">
        <v>75.265000000000001</v>
      </c>
      <c r="F83" s="21">
        <v>12.15</v>
      </c>
      <c r="G83" s="18">
        <v>80</v>
      </c>
      <c r="H83" s="18">
        <f t="shared" si="1"/>
        <v>80</v>
      </c>
      <c r="I83" t="str">
        <f>VLOOKUP(A83,[1]Sheet!$A:$I,9,0)</f>
        <v>матрица</v>
      </c>
    </row>
    <row r="84" spans="1:9" ht="21.75" customHeight="1" x14ac:dyDescent="0.2">
      <c r="A84" s="4" t="s">
        <v>83</v>
      </c>
      <c r="B84" s="4">
        <v>0.3</v>
      </c>
      <c r="C84" s="5">
        <v>27</v>
      </c>
      <c r="D84" s="14">
        <v>17.100000000000001</v>
      </c>
      <c r="E84" s="18">
        <v>204</v>
      </c>
      <c r="F84" s="21">
        <v>7</v>
      </c>
      <c r="G84" s="18">
        <v>40</v>
      </c>
      <c r="H84" s="18">
        <f t="shared" si="1"/>
        <v>12</v>
      </c>
      <c r="I84" t="str">
        <f>VLOOKUP(A84,[1]Sheet!$A:$I,9,0)</f>
        <v>матрица</v>
      </c>
    </row>
    <row r="85" spans="1:9" ht="11.25" customHeight="1" x14ac:dyDescent="0.2">
      <c r="A85" s="4" t="s">
        <v>84</v>
      </c>
      <c r="B85" s="4">
        <v>0.3</v>
      </c>
      <c r="C85" s="5">
        <v>26.1</v>
      </c>
      <c r="D85" s="14">
        <v>20.399999999999999</v>
      </c>
      <c r="E85" s="18">
        <v>102</v>
      </c>
      <c r="F85" s="21">
        <v>9</v>
      </c>
      <c r="G85" s="18">
        <v>80</v>
      </c>
      <c r="H85" s="18">
        <f t="shared" si="1"/>
        <v>24</v>
      </c>
      <c r="I85" t="str">
        <f>VLOOKUP(A85,[1]Sheet!$A:$I,9,0)</f>
        <v>матрица</v>
      </c>
    </row>
    <row r="86" spans="1:9" ht="11.25" customHeight="1" x14ac:dyDescent="0.2">
      <c r="A86" s="4" t="s">
        <v>85</v>
      </c>
      <c r="B86" s="4">
        <v>0.3</v>
      </c>
      <c r="C86" s="5">
        <v>36</v>
      </c>
      <c r="D86" s="14">
        <v>19.2</v>
      </c>
      <c r="E86" s="18">
        <v>102</v>
      </c>
      <c r="F86" s="21">
        <v>3</v>
      </c>
      <c r="G86" s="18">
        <v>150</v>
      </c>
      <c r="H86" s="18">
        <f t="shared" si="1"/>
        <v>45</v>
      </c>
      <c r="I86" t="str">
        <f>VLOOKUP(A86,[1]Sheet!$A:$I,9,0)</f>
        <v>матрица</v>
      </c>
    </row>
    <row r="87" spans="1:9" ht="11.25" customHeight="1" x14ac:dyDescent="0.2">
      <c r="A87" s="4" t="s">
        <v>86</v>
      </c>
      <c r="B87" s="4">
        <v>0.375</v>
      </c>
      <c r="C87" s="5">
        <v>96.75</v>
      </c>
      <c r="D87" s="14">
        <v>72.75</v>
      </c>
      <c r="E87" s="18">
        <v>190</v>
      </c>
      <c r="F87" s="21">
        <v>0</v>
      </c>
      <c r="G87" s="18">
        <v>300</v>
      </c>
      <c r="H87" s="18">
        <f t="shared" si="1"/>
        <v>112.5</v>
      </c>
      <c r="I87" t="str">
        <f>VLOOKUP(A87,[1]Sheet!$A:$I,9,0)</f>
        <v>матрица</v>
      </c>
    </row>
    <row r="88" spans="1:9" ht="21.75" hidden="1" customHeight="1" x14ac:dyDescent="0.2">
      <c r="A88" s="4" t="s">
        <v>87</v>
      </c>
      <c r="B88" s="4">
        <v>0.35</v>
      </c>
      <c r="C88" s="5">
        <v>7.7</v>
      </c>
      <c r="D88" s="14">
        <v>7.7</v>
      </c>
      <c r="E88" s="18"/>
      <c r="F88" s="21">
        <v>0</v>
      </c>
      <c r="G88" s="18"/>
      <c r="H88" s="18">
        <f t="shared" si="1"/>
        <v>0</v>
      </c>
    </row>
    <row r="89" spans="1:9" ht="21.75" hidden="1" customHeight="1" x14ac:dyDescent="0.2">
      <c r="A89" s="4" t="s">
        <v>88</v>
      </c>
      <c r="B89" s="4">
        <v>0.45</v>
      </c>
      <c r="C89" s="5">
        <v>18.45</v>
      </c>
      <c r="D89" s="14">
        <v>18</v>
      </c>
      <c r="E89" s="18"/>
      <c r="F89" s="21">
        <v>0</v>
      </c>
      <c r="G89" s="18"/>
      <c r="H89" s="18">
        <f t="shared" si="1"/>
        <v>0</v>
      </c>
    </row>
    <row r="90" spans="1:9" ht="11.25" hidden="1" customHeight="1" x14ac:dyDescent="0.2">
      <c r="A90" s="4" t="s">
        <v>89</v>
      </c>
      <c r="B90" s="4">
        <v>0.35</v>
      </c>
      <c r="C90" s="5">
        <v>17.850000000000001</v>
      </c>
      <c r="D90" s="14">
        <v>17.850000000000001</v>
      </c>
      <c r="E90" s="18"/>
      <c r="F90" s="21">
        <v>0</v>
      </c>
      <c r="G90" s="18"/>
      <c r="H90" s="18">
        <f t="shared" si="1"/>
        <v>0</v>
      </c>
    </row>
    <row r="91" spans="1:9" ht="12.75" hidden="1" customHeight="1" x14ac:dyDescent="0.2">
      <c r="A91" s="2" t="s">
        <v>3</v>
      </c>
      <c r="B91" s="2"/>
      <c r="C91" s="7">
        <v>7616.31</v>
      </c>
      <c r="D91" s="17">
        <v>7076.732</v>
      </c>
      <c r="E91" s="18"/>
      <c r="F91" s="21"/>
      <c r="G91" s="18"/>
      <c r="H91" s="18">
        <f t="shared" si="1"/>
        <v>0</v>
      </c>
    </row>
    <row r="92" spans="1:9" ht="9.9499999999999993" customHeight="1" x14ac:dyDescent="0.2">
      <c r="G92" s="18">
        <f>SUM(G8:G91)</f>
        <v>14750</v>
      </c>
      <c r="H92" s="18">
        <f>SUM(H8:H91)</f>
        <v>8333.5</v>
      </c>
    </row>
  </sheetData>
  <autoFilter ref="C7:H92" xr:uid="{28D9A321-3508-4689-B07F-1F62C8D5937F}">
    <filterColumn colId="5">
      <filters>
        <filter val="10"/>
        <filter val="100"/>
        <filter val="104"/>
        <filter val="105"/>
        <filter val="112,5"/>
        <filter val="115,5"/>
        <filter val="12"/>
        <filter val="120"/>
        <filter val="130"/>
        <filter val="132"/>
        <filter val="140"/>
        <filter val="150"/>
        <filter val="157,5"/>
        <filter val="175"/>
        <filter val="20"/>
        <filter val="200"/>
        <filter val="24"/>
        <filter val="240"/>
        <filter val="247,5"/>
        <filter val="250"/>
        <filter val="30"/>
        <filter val="300"/>
        <filter val="315"/>
        <filter val="32"/>
        <filter val="320"/>
        <filter val="35"/>
        <filter val="350"/>
        <filter val="40"/>
        <filter val="400"/>
        <filter val="405"/>
        <filter val="45"/>
        <filter val="450"/>
        <filter val="50"/>
        <filter val="500"/>
        <filter val="52,5"/>
        <filter val="60"/>
        <filter val="63"/>
        <filter val="68"/>
        <filter val="70"/>
        <filter val="80"/>
        <filter val="8333,5"/>
        <filter val="88"/>
      </filters>
    </filterColumn>
  </autoFilter>
  <mergeCells count="2">
    <mergeCell ref="A5:A7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User1</dc:creator>
  <cp:keywords/>
  <dc:description/>
  <cp:lastModifiedBy>Uaer4</cp:lastModifiedBy>
  <cp:revision>1</cp:revision>
  <cp:lastPrinted>2025-04-18T08:18:13Z</cp:lastPrinted>
  <dcterms:created xsi:type="dcterms:W3CDTF">2025-04-18T08:18:13Z</dcterms:created>
  <dcterms:modified xsi:type="dcterms:W3CDTF">2025-04-18T10:49:32Z</dcterms:modified>
</cp:coreProperties>
</file>