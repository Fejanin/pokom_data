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8,04,25 ПОКОМ ЗПФ Сочи\"/>
    </mc:Choice>
  </mc:AlternateContent>
  <xr:revisionPtr revIDLastSave="0" documentId="13_ncr:1_{28A07395-E486-4863-9D20-31D6A810A0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1" i="1" l="1"/>
  <c r="AG14" i="1"/>
  <c r="F47" i="1"/>
  <c r="E47" i="1"/>
  <c r="O47" i="1" s="1"/>
  <c r="F37" i="1"/>
  <c r="F34" i="1"/>
  <c r="E34" i="1"/>
  <c r="E15" i="1"/>
  <c r="O15" i="1" s="1"/>
  <c r="F15" i="1"/>
  <c r="F13" i="1"/>
  <c r="O7" i="1"/>
  <c r="U7" i="1" s="1"/>
  <c r="O8" i="1"/>
  <c r="T8" i="1" s="1"/>
  <c r="O9" i="1"/>
  <c r="U9" i="1" s="1"/>
  <c r="O10" i="1"/>
  <c r="T10" i="1" s="1"/>
  <c r="O11" i="1"/>
  <c r="O12" i="1"/>
  <c r="U12" i="1" s="1"/>
  <c r="O13" i="1"/>
  <c r="O14" i="1"/>
  <c r="U14" i="1" s="1"/>
  <c r="O16" i="1"/>
  <c r="U16" i="1" s="1"/>
  <c r="O17" i="1"/>
  <c r="U17" i="1" s="1"/>
  <c r="O18" i="1"/>
  <c r="U18" i="1" s="1"/>
  <c r="O19" i="1"/>
  <c r="U19" i="1" s="1"/>
  <c r="O20" i="1"/>
  <c r="O21" i="1"/>
  <c r="U21" i="1" s="1"/>
  <c r="O22" i="1"/>
  <c r="P22" i="1" s="1"/>
  <c r="O23" i="1"/>
  <c r="U23" i="1" s="1"/>
  <c r="O24" i="1"/>
  <c r="O25" i="1"/>
  <c r="U25" i="1" s="1"/>
  <c r="O26" i="1"/>
  <c r="O27" i="1"/>
  <c r="U27" i="1" s="1"/>
  <c r="O28" i="1"/>
  <c r="O29" i="1"/>
  <c r="U29" i="1" s="1"/>
  <c r="O30" i="1"/>
  <c r="O31" i="1"/>
  <c r="U31" i="1" s="1"/>
  <c r="O32" i="1"/>
  <c r="O33" i="1"/>
  <c r="U33" i="1" s="1"/>
  <c r="O35" i="1"/>
  <c r="U35" i="1" s="1"/>
  <c r="O36" i="1"/>
  <c r="U36" i="1" s="1"/>
  <c r="O37" i="1"/>
  <c r="P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8" i="1"/>
  <c r="O49" i="1"/>
  <c r="U49" i="1" s="1"/>
  <c r="O50" i="1"/>
  <c r="O51" i="1"/>
  <c r="U51" i="1" s="1"/>
  <c r="O52" i="1"/>
  <c r="O53" i="1"/>
  <c r="U53" i="1" s="1"/>
  <c r="O54" i="1"/>
  <c r="U54" i="1" s="1"/>
  <c r="O55" i="1"/>
  <c r="U55" i="1" s="1"/>
  <c r="O56" i="1"/>
  <c r="U56" i="1" s="1"/>
  <c r="O57" i="1"/>
  <c r="U57" i="1" s="1"/>
  <c r="O58" i="1"/>
  <c r="U58" i="1" s="1"/>
  <c r="O59" i="1"/>
  <c r="U59" i="1" s="1"/>
  <c r="O6" i="1"/>
  <c r="U6" i="1" s="1"/>
  <c r="K59" i="1"/>
  <c r="K58" i="1"/>
  <c r="K57" i="1"/>
  <c r="K56" i="1"/>
  <c r="K55" i="1"/>
  <c r="K54" i="1"/>
  <c r="AI53" i="1"/>
  <c r="AG53" i="1"/>
  <c r="Q53" i="1"/>
  <c r="T53" i="1" s="1"/>
  <c r="K53" i="1"/>
  <c r="K52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AI18" i="1"/>
  <c r="AJ18" i="1" s="1"/>
  <c r="AG18" i="1"/>
  <c r="Q18" i="1"/>
  <c r="K18" i="1"/>
  <c r="K17" i="1"/>
  <c r="K16" i="1"/>
  <c r="AI14" i="1"/>
  <c r="AM14" i="1" s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P15" i="1" l="1"/>
  <c r="AI15" i="1" s="1"/>
  <c r="AM15" i="1" s="1"/>
  <c r="P12" i="1"/>
  <c r="AG12" i="1" s="1"/>
  <c r="P16" i="1"/>
  <c r="AG16" i="1" s="1"/>
  <c r="P54" i="1"/>
  <c r="AI54" i="1" s="1"/>
  <c r="AG37" i="1"/>
  <c r="AI37" i="1"/>
  <c r="AM37" i="1" s="1"/>
  <c r="P27" i="1"/>
  <c r="AI27" i="1" s="1"/>
  <c r="P13" i="1"/>
  <c r="P21" i="1"/>
  <c r="AI21" i="1" s="1"/>
  <c r="Q21" i="1" s="1"/>
  <c r="T21" i="1" s="1"/>
  <c r="P45" i="1"/>
  <c r="P58" i="1"/>
  <c r="AI58" i="1" s="1"/>
  <c r="Q58" i="1" s="1"/>
  <c r="T58" i="1" s="1"/>
  <c r="AI47" i="1"/>
  <c r="Q47" i="1" s="1"/>
  <c r="T47" i="1" s="1"/>
  <c r="AG47" i="1"/>
  <c r="AI16" i="1"/>
  <c r="Q16" i="1" s="1"/>
  <c r="T16" i="1" s="1"/>
  <c r="AI25" i="1"/>
  <c r="Q25" i="1" s="1"/>
  <c r="T25" i="1" s="1"/>
  <c r="AG25" i="1"/>
  <c r="AI29" i="1"/>
  <c r="Q29" i="1" s="1"/>
  <c r="T29" i="1" s="1"/>
  <c r="AG29" i="1"/>
  <c r="AI33" i="1"/>
  <c r="Q33" i="1" s="1"/>
  <c r="T33" i="1" s="1"/>
  <c r="AG33" i="1"/>
  <c r="AI49" i="1"/>
  <c r="Q49" i="1" s="1"/>
  <c r="T49" i="1" s="1"/>
  <c r="AG49" i="1"/>
  <c r="AG58" i="1"/>
  <c r="Q14" i="1"/>
  <c r="T14" i="1" s="1"/>
  <c r="AI41" i="1"/>
  <c r="AJ41" i="1" s="1"/>
  <c r="U52" i="1"/>
  <c r="P52" i="1"/>
  <c r="U50" i="1"/>
  <c r="U48" i="1"/>
  <c r="P48" i="1"/>
  <c r="U32" i="1"/>
  <c r="P32" i="1"/>
  <c r="U30" i="1"/>
  <c r="P30" i="1"/>
  <c r="U28" i="1"/>
  <c r="U26" i="1"/>
  <c r="U24" i="1"/>
  <c r="U22" i="1"/>
  <c r="U20" i="1"/>
  <c r="P20" i="1"/>
  <c r="U11" i="1"/>
  <c r="P11" i="1"/>
  <c r="AI19" i="1"/>
  <c r="Q19" i="1" s="1"/>
  <c r="T19" i="1" s="1"/>
  <c r="AG19" i="1"/>
  <c r="AI23" i="1"/>
  <c r="Q23" i="1" s="1"/>
  <c r="T23" i="1" s="1"/>
  <c r="AG23" i="1"/>
  <c r="AI31" i="1"/>
  <c r="Q31" i="1" s="1"/>
  <c r="T31" i="1" s="1"/>
  <c r="AG31" i="1"/>
  <c r="AI51" i="1"/>
  <c r="AM51" i="1" s="1"/>
  <c r="AG51" i="1"/>
  <c r="P44" i="1"/>
  <c r="P46" i="1"/>
  <c r="P55" i="1"/>
  <c r="P57" i="1"/>
  <c r="U15" i="1"/>
  <c r="U47" i="1"/>
  <c r="U37" i="1"/>
  <c r="T7" i="1"/>
  <c r="T18" i="1"/>
  <c r="U13" i="1"/>
  <c r="T6" i="1"/>
  <c r="T9" i="1"/>
  <c r="U10" i="1"/>
  <c r="U8" i="1"/>
  <c r="K47" i="1"/>
  <c r="E5" i="1"/>
  <c r="K34" i="1"/>
  <c r="F5" i="1"/>
  <c r="O34" i="1"/>
  <c r="K15" i="1"/>
  <c r="AJ14" i="1"/>
  <c r="AJ53" i="1"/>
  <c r="AG15" i="1" l="1"/>
  <c r="AM16" i="1"/>
  <c r="AJ15" i="1"/>
  <c r="AM49" i="1"/>
  <c r="Q15" i="1"/>
  <c r="T15" i="1" s="1"/>
  <c r="AM25" i="1"/>
  <c r="AJ37" i="1"/>
  <c r="AM29" i="1"/>
  <c r="AI12" i="1"/>
  <c r="Q12" i="1" s="1"/>
  <c r="T12" i="1" s="1"/>
  <c r="AG21" i="1"/>
  <c r="AJ51" i="1"/>
  <c r="AJ16" i="1"/>
  <c r="AG27" i="1"/>
  <c r="AG54" i="1"/>
  <c r="Q37" i="1"/>
  <c r="T37" i="1" s="1"/>
  <c r="Q27" i="1"/>
  <c r="T27" i="1" s="1"/>
  <c r="AJ27" i="1"/>
  <c r="Q54" i="1"/>
  <c r="T54" i="1" s="1"/>
  <c r="AM54" i="1"/>
  <c r="AJ54" i="1"/>
  <c r="AG45" i="1"/>
  <c r="AI45" i="1"/>
  <c r="AG13" i="1"/>
  <c r="AI13" i="1"/>
  <c r="AJ19" i="1"/>
  <c r="K5" i="1"/>
  <c r="AM58" i="1"/>
  <c r="Q51" i="1"/>
  <c r="T51" i="1" s="1"/>
  <c r="AM33" i="1"/>
  <c r="AM27" i="1"/>
  <c r="AM21" i="1"/>
  <c r="AJ47" i="1"/>
  <c r="AJ31" i="1"/>
  <c r="AJ23" i="1"/>
  <c r="AM47" i="1"/>
  <c r="AM31" i="1"/>
  <c r="AM23" i="1"/>
  <c r="AM19" i="1"/>
  <c r="O5" i="1"/>
  <c r="P34" i="1"/>
  <c r="P5" i="1" s="1"/>
  <c r="AI57" i="1"/>
  <c r="AG57" i="1"/>
  <c r="AG46" i="1"/>
  <c r="AI46" i="1"/>
  <c r="AG42" i="1"/>
  <c r="AI42" i="1"/>
  <c r="AG38" i="1"/>
  <c r="AI38" i="1"/>
  <c r="AI17" i="1"/>
  <c r="AG17" i="1"/>
  <c r="AG43" i="1"/>
  <c r="AI43" i="1"/>
  <c r="AG35" i="1"/>
  <c r="AI35" i="1"/>
  <c r="AM12" i="1"/>
  <c r="AJ49" i="1"/>
  <c r="AJ33" i="1"/>
  <c r="AJ29" i="1"/>
  <c r="AJ25" i="1"/>
  <c r="AJ21" i="1"/>
  <c r="AJ58" i="1"/>
  <c r="AI59" i="1"/>
  <c r="AG59" i="1"/>
  <c r="AI55" i="1"/>
  <c r="AG55" i="1"/>
  <c r="AI44" i="1"/>
  <c r="AG44" i="1"/>
  <c r="AI40" i="1"/>
  <c r="AG40" i="1"/>
  <c r="AI36" i="1"/>
  <c r="AG36" i="1"/>
  <c r="AI56" i="1"/>
  <c r="AG56" i="1"/>
  <c r="AG39" i="1"/>
  <c r="AI39" i="1"/>
  <c r="AI11" i="1"/>
  <c r="AG11" i="1"/>
  <c r="AI20" i="1"/>
  <c r="AG20" i="1"/>
  <c r="AI22" i="1"/>
  <c r="AG22" i="1"/>
  <c r="AI24" i="1"/>
  <c r="AG24" i="1"/>
  <c r="AI26" i="1"/>
  <c r="AG26" i="1"/>
  <c r="AI28" i="1"/>
  <c r="AG28" i="1"/>
  <c r="AI30" i="1"/>
  <c r="AG30" i="1"/>
  <c r="AI32" i="1"/>
  <c r="AG32" i="1"/>
  <c r="AI48" i="1"/>
  <c r="AG48" i="1"/>
  <c r="AI50" i="1"/>
  <c r="AG50" i="1"/>
  <c r="AI52" i="1"/>
  <c r="AG52" i="1"/>
  <c r="AM41" i="1"/>
  <c r="Q41" i="1"/>
  <c r="T41" i="1" s="1"/>
  <c r="U34" i="1"/>
  <c r="AJ12" i="1" l="1"/>
  <c r="AM13" i="1"/>
  <c r="Q13" i="1"/>
  <c r="T13" i="1" s="1"/>
  <c r="AJ13" i="1"/>
  <c r="Q45" i="1"/>
  <c r="T45" i="1" s="1"/>
  <c r="AJ45" i="1"/>
  <c r="AM45" i="1"/>
  <c r="AM52" i="1"/>
  <c r="Q52" i="1"/>
  <c r="T52" i="1" s="1"/>
  <c r="AJ52" i="1"/>
  <c r="AM50" i="1"/>
  <c r="Q50" i="1"/>
  <c r="T50" i="1" s="1"/>
  <c r="AJ50" i="1"/>
  <c r="AM48" i="1"/>
  <c r="Q48" i="1"/>
  <c r="T48" i="1" s="1"/>
  <c r="AJ48" i="1"/>
  <c r="AM32" i="1"/>
  <c r="Q32" i="1"/>
  <c r="T32" i="1" s="1"/>
  <c r="AJ32" i="1"/>
  <c r="AM30" i="1"/>
  <c r="Q30" i="1"/>
  <c r="T30" i="1" s="1"/>
  <c r="AJ30" i="1"/>
  <c r="AM28" i="1"/>
  <c r="Q28" i="1"/>
  <c r="T28" i="1" s="1"/>
  <c r="AJ28" i="1"/>
  <c r="AM26" i="1"/>
  <c r="Q26" i="1"/>
  <c r="T26" i="1" s="1"/>
  <c r="AJ26" i="1"/>
  <c r="AM24" i="1"/>
  <c r="Q24" i="1"/>
  <c r="T24" i="1" s="1"/>
  <c r="AJ24" i="1"/>
  <c r="AM22" i="1"/>
  <c r="Q22" i="1"/>
  <c r="T22" i="1" s="1"/>
  <c r="AJ22" i="1"/>
  <c r="AM20" i="1"/>
  <c r="Q20" i="1"/>
  <c r="T20" i="1" s="1"/>
  <c r="AJ20" i="1"/>
  <c r="AM39" i="1"/>
  <c r="Q39" i="1"/>
  <c r="T39" i="1" s="1"/>
  <c r="AJ39" i="1"/>
  <c r="AM17" i="1"/>
  <c r="Q17" i="1"/>
  <c r="T17" i="1" s="1"/>
  <c r="AJ17" i="1"/>
  <c r="AM57" i="1"/>
  <c r="Q57" i="1"/>
  <c r="T57" i="1" s="1"/>
  <c r="AJ57" i="1"/>
  <c r="Q11" i="1"/>
  <c r="AM11" i="1"/>
  <c r="AJ11" i="1"/>
  <c r="Q56" i="1"/>
  <c r="T56" i="1" s="1"/>
  <c r="AJ56" i="1"/>
  <c r="AM56" i="1"/>
  <c r="AM36" i="1"/>
  <c r="Q36" i="1"/>
  <c r="T36" i="1" s="1"/>
  <c r="AJ36" i="1"/>
  <c r="AM40" i="1"/>
  <c r="Q40" i="1"/>
  <c r="T40" i="1" s="1"/>
  <c r="AJ40" i="1"/>
  <c r="AM44" i="1"/>
  <c r="Q44" i="1"/>
  <c r="T44" i="1" s="1"/>
  <c r="AJ44" i="1"/>
  <c r="AM55" i="1"/>
  <c r="Q55" i="1"/>
  <c r="T55" i="1" s="1"/>
  <c r="AJ55" i="1"/>
  <c r="AM59" i="1"/>
  <c r="Q59" i="1"/>
  <c r="T59" i="1" s="1"/>
  <c r="AJ59" i="1"/>
  <c r="AM35" i="1"/>
  <c r="Q35" i="1"/>
  <c r="T35" i="1" s="1"/>
  <c r="AJ35" i="1"/>
  <c r="AM43" i="1"/>
  <c r="Q43" i="1"/>
  <c r="T43" i="1" s="1"/>
  <c r="AJ43" i="1"/>
  <c r="AM38" i="1"/>
  <c r="Q38" i="1"/>
  <c r="T38" i="1" s="1"/>
  <c r="AJ38" i="1"/>
  <c r="AM42" i="1"/>
  <c r="Q42" i="1"/>
  <c r="T42" i="1" s="1"/>
  <c r="AJ42" i="1"/>
  <c r="AM46" i="1"/>
  <c r="Q46" i="1"/>
  <c r="T46" i="1" s="1"/>
  <c r="AJ46" i="1"/>
  <c r="AG34" i="1"/>
  <c r="AG5" i="1" s="1"/>
  <c r="AI34" i="1"/>
  <c r="AI5" i="1" s="1"/>
  <c r="AM34" i="1" l="1"/>
  <c r="AM5" i="1" s="1"/>
  <c r="Q34" i="1"/>
  <c r="T34" i="1" s="1"/>
  <c r="AJ34" i="1"/>
  <c r="AJ5" i="1" s="1"/>
  <c r="T11" i="1"/>
  <c r="Q5" i="1" l="1"/>
</calcChain>
</file>

<file path=xl/sharedStrings.xml><?xml version="1.0" encoding="utf-8"?>
<sst xmlns="http://schemas.openxmlformats.org/spreadsheetml/2006/main" count="251" uniqueCount="105">
  <si>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</si>
  <si>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</si>
  <si>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</si>
  <si>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</si>
  <si>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</si>
  <si>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</si>
  <si>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</si>
  <si>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</si>
  <si>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</si>
  <si>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</si>
  <si>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</si>
  <si>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</si>
  <si>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</si>
  <si>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</si>
  <si>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</si>
  <si>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</si>
  <si>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</si>
  <si>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</si>
  <si>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</si>
  <si>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</si>
  <si>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</si>
  <si>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</si>
  <si>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</si>
  <si>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</si>
  <si>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</si>
  <si>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</si>
  <si>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</si>
  <si>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</si>
  <si>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</si>
  <si>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</si>
  <si>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</si>
  <si>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08,04,</t>
  </si>
  <si>
    <t>27,03,</t>
  </si>
  <si>
    <t>20,03,</t>
  </si>
  <si>
    <t>13,03,</t>
  </si>
  <si>
    <t>06,03,</t>
  </si>
  <si>
    <t>27,02,</t>
  </si>
  <si>
    <t>20,02,</t>
  </si>
  <si>
    <t>05,02,</t>
  </si>
  <si>
    <t>29,01,</t>
  </si>
  <si>
    <t>22,01,</t>
  </si>
  <si>
    <t>15,01,</t>
  </si>
  <si>
    <t>БОНУС_Готовые чебупели с ветчиной и сыром Горячая штучка 0,3кг зам  ПОКОМ</t>
  </si>
  <si>
    <t>шт</t>
  </si>
  <si>
    <t>бонус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</si>
  <si>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</si>
  <si>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</si>
  <si>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БОНУС_Пельмени Медвежьи ушки с фермерскими сливками 0,4 кг. ТМ Стародворье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</si>
  <si>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</si>
  <si>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</si>
  <si>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в матрице</t>
  </si>
  <si>
    <t>нужно увеличить продажи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</si>
  <si>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</si>
  <si>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</si>
  <si>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</si>
  <si>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нужно увеличить продажи!!!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</si>
  <si>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</si>
  <si>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</si>
  <si>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</si>
  <si>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</si>
  <si>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кг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</si>
  <si>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</si>
  <si>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</si>
  <si>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</si>
  <si>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</si>
  <si>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0,25 кг зам  ПОКОМ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</si>
  <si>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</si>
  <si>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</si>
  <si>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</si>
  <si>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</si>
  <si>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</si>
  <si>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</si>
  <si>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</si>
  <si>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</si>
  <si>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</si>
  <si>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есть ли потребность???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</si>
  <si>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</si>
  <si>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</si>
  <si>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</si>
  <si>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</si>
  <si>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</si>
  <si>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</si>
  <si>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</si>
  <si>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</si>
  <si>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</si>
  <si>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</si>
  <si>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</si>
  <si>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</si>
  <si>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</si>
  <si>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</si>
  <si>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</si>
  <si>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</si>
  <si>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</si>
  <si>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</si>
  <si>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Хрустящие крылышки острые к пиву ТМ Горячая штучка 0,3кг зам  ПОКОМ</t>
  </si>
  <si>
    <t>Чебупай сочное яблоко ТМ Горячая штучка 0,2 кг зам.  ПОКОМ</t>
  </si>
  <si>
    <t>Чебупай спелая вишня ТМ Горячая штучка 0,2 кг зам.  ПОКОМ</t>
  </si>
  <si>
    <t>нет в бланке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</si>
  <si>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</si>
  <si>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</si>
  <si>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</si>
  <si>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</si>
  <si>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</si>
  <si>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Чебуречище ТМ Горячая штучка .0,14 кг зам.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</si>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</sst>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7" fillId="7" borderId="1" xfId="1" applyNumberFormat="1" applyFont="1" applyFill="1"/>
    <xf numFmtId="164" fontId="7" fillId="7" borderId="2" xfId="1" applyNumberFormat="1" applyFont="1" applyFill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5" borderId="1" xfId="1" applyNumberFormat="1" applyFill="1"/>
    <xf numFmtId="165" fontId="0" fillId="0" borderId="0" xfId="0" applyNumberFormat="1" applyBorder="1"/>
    <xf numFmtId="164" fontId="6" fillId="8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2" sqref="AF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8554687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0.42578125" customWidth="1"/>
    <col min="33" max="33" width="6" customWidth="1"/>
    <col min="34" max="34" width="6" style="9" customWidth="1"/>
    <col min="35" max="35" width="6" style="24" customWidth="1"/>
    <col min="36" max="36" width="6" customWidth="1"/>
    <col min="37" max="38" width="5" customWidth="1"/>
    <col min="39" max="39" width="6" style="24" customWidth="1"/>
    <col min="40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20"/>
      <c r="AJ1" s="1"/>
      <c r="AK1" s="1"/>
      <c r="AL1" s="1"/>
      <c r="AM1" s="2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20"/>
      <c r="AJ2" s="1"/>
      <c r="AK2" s="1"/>
      <c r="AL2" s="1"/>
      <c r="AM2" s="2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21" t="s">
        <v>25</v>
      </c>
      <c r="AJ3" s="2" t="s">
        <v>26</v>
      </c>
      <c r="AK3" s="2" t="s">
        <v>27</v>
      </c>
      <c r="AL3" s="2" t="s">
        <v>28</v>
      </c>
      <c r="AM3" s="2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20"/>
      <c r="AJ4" s="1"/>
      <c r="AK4" s="1"/>
      <c r="AL4" s="1"/>
      <c r="AM4" s="2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SUM(E6:E493)</f>
        <v>3413.7</v>
      </c>
      <c r="F5" s="4">
        <f>SUM(F6:F493)</f>
        <v>14747.599999999999</v>
      </c>
      <c r="G5" s="7"/>
      <c r="H5" s="1"/>
      <c r="I5" s="1"/>
      <c r="J5" s="4">
        <f t="shared" ref="J5:R5" si="0">SUM(J6:J493)</f>
        <v>3484.7</v>
      </c>
      <c r="K5" s="4">
        <f t="shared" si="0"/>
        <v>-71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682.74000000000012</v>
      </c>
      <c r="P5" s="4">
        <f t="shared" si="0"/>
        <v>3735.8</v>
      </c>
      <c r="Q5" s="4">
        <f t="shared" si="0"/>
        <v>4140</v>
      </c>
      <c r="R5" s="4">
        <f t="shared" si="0"/>
        <v>0</v>
      </c>
      <c r="S5" s="1"/>
      <c r="T5" s="1"/>
      <c r="U5" s="1"/>
      <c r="V5" s="4">
        <f t="shared" ref="V5:AE5" si="1">SUM(V6:V493)</f>
        <v>543.36</v>
      </c>
      <c r="W5" s="4">
        <f t="shared" si="1"/>
        <v>441.53999999999996</v>
      </c>
      <c r="X5" s="4">
        <f t="shared" si="1"/>
        <v>1337.76</v>
      </c>
      <c r="Y5" s="4">
        <f t="shared" si="1"/>
        <v>595.4799999999999</v>
      </c>
      <c r="Z5" s="4">
        <f t="shared" si="1"/>
        <v>661.90000000000009</v>
      </c>
      <c r="AA5" s="4">
        <f t="shared" si="1"/>
        <v>578.52</v>
      </c>
      <c r="AB5" s="4">
        <f t="shared" si="1"/>
        <v>467.3</v>
      </c>
      <c r="AC5" s="4">
        <f t="shared" si="1"/>
        <v>507.64000000000016</v>
      </c>
      <c r="AD5" s="4">
        <f t="shared" si="1"/>
        <v>1064.1799999999998</v>
      </c>
      <c r="AE5" s="4">
        <f t="shared" si="1"/>
        <v>1731.52</v>
      </c>
      <c r="AF5" s="1"/>
      <c r="AG5" s="4">
        <f>SUM(AG6:AG493)</f>
        <v>1162.8900000000001</v>
      </c>
      <c r="AH5" s="7"/>
      <c r="AI5" s="22">
        <f>SUM(AI6:AI493)</f>
        <v>390</v>
      </c>
      <c r="AJ5" s="4">
        <f>SUM(AJ6:AJ493)</f>
        <v>1364.04</v>
      </c>
      <c r="AK5" s="1"/>
      <c r="AL5" s="1"/>
      <c r="AM5" s="22">
        <f>SUM(AM6:AM493)</f>
        <v>4.6856532356532359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5" t="s">
        <v>42</v>
      </c>
      <c r="B6" s="26" t="s">
        <v>43</v>
      </c>
      <c r="C6" s="26">
        <v>-81</v>
      </c>
      <c r="D6" s="26"/>
      <c r="E6" s="26"/>
      <c r="F6" s="15">
        <v>-81</v>
      </c>
      <c r="G6" s="27">
        <v>0</v>
      </c>
      <c r="H6" s="26">
        <v>180</v>
      </c>
      <c r="I6" s="26" t="s">
        <v>44</v>
      </c>
      <c r="J6" s="26"/>
      <c r="K6" s="26">
        <f t="shared" ref="K6:K37" si="2">E6-J6</f>
        <v>0</v>
      </c>
      <c r="L6" s="26"/>
      <c r="M6" s="26"/>
      <c r="N6" s="26"/>
      <c r="O6" s="26">
        <f>E6/5</f>
        <v>0</v>
      </c>
      <c r="P6" s="28"/>
      <c r="Q6" s="28"/>
      <c r="R6" s="28"/>
      <c r="S6" s="26"/>
      <c r="T6" s="26" t="e">
        <f>(F6+Q6)/O6</f>
        <v>#DIV/0!</v>
      </c>
      <c r="U6" s="26" t="e">
        <f>F6/O6</f>
        <v>#DIV/0!</v>
      </c>
      <c r="V6" s="26">
        <v>14.4</v>
      </c>
      <c r="W6" s="26">
        <v>11.6</v>
      </c>
      <c r="X6" s="26">
        <v>13.8</v>
      </c>
      <c r="Y6" s="26">
        <v>12</v>
      </c>
      <c r="Z6" s="26">
        <v>24.2</v>
      </c>
      <c r="AA6" s="26">
        <v>12.2</v>
      </c>
      <c r="AB6" s="26">
        <v>13.4</v>
      </c>
      <c r="AC6" s="26">
        <v>0</v>
      </c>
      <c r="AD6" s="26">
        <v>0</v>
      </c>
      <c r="AE6" s="26">
        <v>0</v>
      </c>
      <c r="AF6" s="26" t="s">
        <v>44</v>
      </c>
      <c r="AG6" s="26"/>
      <c r="AH6" s="27"/>
      <c r="AI6" s="29"/>
      <c r="AJ6" s="26"/>
      <c r="AK6" s="26"/>
      <c r="AL6" s="26"/>
      <c r="AM6" s="29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5" t="s">
        <v>45</v>
      </c>
      <c r="B7" s="26" t="s">
        <v>43</v>
      </c>
      <c r="C7" s="26"/>
      <c r="D7" s="26"/>
      <c r="E7" s="15">
        <v>65</v>
      </c>
      <c r="F7" s="15">
        <v>-74</v>
      </c>
      <c r="G7" s="27">
        <v>0</v>
      </c>
      <c r="H7" s="26">
        <v>180</v>
      </c>
      <c r="I7" s="26" t="s">
        <v>44</v>
      </c>
      <c r="J7" s="26">
        <v>65</v>
      </c>
      <c r="K7" s="26">
        <f t="shared" si="2"/>
        <v>0</v>
      </c>
      <c r="L7" s="26"/>
      <c r="M7" s="26"/>
      <c r="N7" s="26"/>
      <c r="O7" s="26">
        <f t="shared" ref="O7:O59" si="3">E7/5</f>
        <v>13</v>
      </c>
      <c r="P7" s="28"/>
      <c r="Q7" s="28"/>
      <c r="R7" s="28"/>
      <c r="S7" s="26"/>
      <c r="T7" s="26">
        <f t="shared" ref="T7:T59" si="4">(F7+Q7)/O7</f>
        <v>-5.6923076923076925</v>
      </c>
      <c r="U7" s="26">
        <f t="shared" ref="U7:U59" si="5">F7/O7</f>
        <v>-5.6923076923076925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 t="s">
        <v>44</v>
      </c>
      <c r="AG7" s="26"/>
      <c r="AH7" s="27"/>
      <c r="AI7" s="29"/>
      <c r="AJ7" s="26"/>
      <c r="AK7" s="26"/>
      <c r="AL7" s="26"/>
      <c r="AM7" s="29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5" t="s">
        <v>46</v>
      </c>
      <c r="B8" s="26" t="s">
        <v>43</v>
      </c>
      <c r="C8" s="26">
        <v>-1</v>
      </c>
      <c r="D8" s="26"/>
      <c r="E8" s="15">
        <v>27</v>
      </c>
      <c r="F8" s="15">
        <v>-49</v>
      </c>
      <c r="G8" s="27">
        <v>0</v>
      </c>
      <c r="H8" s="26">
        <v>180</v>
      </c>
      <c r="I8" s="26" t="s">
        <v>44</v>
      </c>
      <c r="J8" s="26">
        <v>27</v>
      </c>
      <c r="K8" s="26">
        <f t="shared" si="2"/>
        <v>0</v>
      </c>
      <c r="L8" s="26"/>
      <c r="M8" s="26"/>
      <c r="N8" s="26"/>
      <c r="O8" s="26">
        <f t="shared" si="3"/>
        <v>5.4</v>
      </c>
      <c r="P8" s="28"/>
      <c r="Q8" s="28"/>
      <c r="R8" s="28"/>
      <c r="S8" s="26"/>
      <c r="T8" s="26">
        <f t="shared" si="4"/>
        <v>-9.0740740740740726</v>
      </c>
      <c r="U8" s="26">
        <f t="shared" si="5"/>
        <v>-9.0740740740740726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 t="s">
        <v>44</v>
      </c>
      <c r="AG8" s="26"/>
      <c r="AH8" s="27"/>
      <c r="AI8" s="29"/>
      <c r="AJ8" s="26"/>
      <c r="AK8" s="26"/>
      <c r="AL8" s="26"/>
      <c r="AM8" s="29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25" t="s">
        <v>47</v>
      </c>
      <c r="B9" s="26" t="s">
        <v>43</v>
      </c>
      <c r="C9" s="26">
        <v>-2</v>
      </c>
      <c r="D9" s="26"/>
      <c r="E9" s="26"/>
      <c r="F9" s="15">
        <v>-2</v>
      </c>
      <c r="G9" s="27">
        <v>0</v>
      </c>
      <c r="H9" s="26">
        <v>180</v>
      </c>
      <c r="I9" s="26" t="s">
        <v>44</v>
      </c>
      <c r="J9" s="26"/>
      <c r="K9" s="26">
        <f t="shared" si="2"/>
        <v>0</v>
      </c>
      <c r="L9" s="26"/>
      <c r="M9" s="26"/>
      <c r="N9" s="26"/>
      <c r="O9" s="26">
        <f t="shared" si="3"/>
        <v>0</v>
      </c>
      <c r="P9" s="28"/>
      <c r="Q9" s="28"/>
      <c r="R9" s="28"/>
      <c r="S9" s="26"/>
      <c r="T9" s="26" t="e">
        <f t="shared" si="4"/>
        <v>#DIV/0!</v>
      </c>
      <c r="U9" s="26" t="e">
        <f t="shared" si="5"/>
        <v>#DIV/0!</v>
      </c>
      <c r="V9" s="26">
        <v>0</v>
      </c>
      <c r="W9" s="26">
        <v>2.8</v>
      </c>
      <c r="X9" s="26">
        <v>8.6</v>
      </c>
      <c r="Y9" s="26">
        <v>4.8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 t="s">
        <v>44</v>
      </c>
      <c r="AG9" s="26"/>
      <c r="AH9" s="27"/>
      <c r="AI9" s="29"/>
      <c r="AJ9" s="26"/>
      <c r="AK9" s="26"/>
      <c r="AL9" s="26"/>
      <c r="AM9" s="29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5" t="s">
        <v>48</v>
      </c>
      <c r="B10" s="26" t="s">
        <v>43</v>
      </c>
      <c r="C10" s="26">
        <v>-28</v>
      </c>
      <c r="D10" s="26"/>
      <c r="E10" s="15">
        <v>20</v>
      </c>
      <c r="F10" s="15">
        <v>-50</v>
      </c>
      <c r="G10" s="27">
        <v>0</v>
      </c>
      <c r="H10" s="26">
        <v>180</v>
      </c>
      <c r="I10" s="26" t="s">
        <v>44</v>
      </c>
      <c r="J10" s="26">
        <v>20</v>
      </c>
      <c r="K10" s="26">
        <f t="shared" si="2"/>
        <v>0</v>
      </c>
      <c r="L10" s="26"/>
      <c r="M10" s="26"/>
      <c r="N10" s="26"/>
      <c r="O10" s="26">
        <f t="shared" si="3"/>
        <v>4</v>
      </c>
      <c r="P10" s="28"/>
      <c r="Q10" s="28"/>
      <c r="R10" s="28"/>
      <c r="S10" s="26"/>
      <c r="T10" s="26">
        <f t="shared" si="4"/>
        <v>-12.5</v>
      </c>
      <c r="U10" s="26">
        <f t="shared" si="5"/>
        <v>-12.5</v>
      </c>
      <c r="V10" s="26">
        <v>10.4</v>
      </c>
      <c r="W10" s="26">
        <v>7.8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 t="s">
        <v>44</v>
      </c>
      <c r="AG10" s="26"/>
      <c r="AH10" s="27"/>
      <c r="AI10" s="29"/>
      <c r="AJ10" s="26"/>
      <c r="AK10" s="26"/>
      <c r="AL10" s="26"/>
      <c r="AM10" s="29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49</v>
      </c>
      <c r="B11" s="1" t="s">
        <v>43</v>
      </c>
      <c r="C11" s="1">
        <v>209</v>
      </c>
      <c r="D11" s="1">
        <v>1</v>
      </c>
      <c r="E11" s="1">
        <v>75</v>
      </c>
      <c r="F11" s="1">
        <v>128</v>
      </c>
      <c r="G11" s="7">
        <v>0.3</v>
      </c>
      <c r="H11" s="1">
        <v>180</v>
      </c>
      <c r="I11" s="1" t="s">
        <v>50</v>
      </c>
      <c r="J11" s="1">
        <v>76</v>
      </c>
      <c r="K11" s="1">
        <f t="shared" si="2"/>
        <v>-1</v>
      </c>
      <c r="L11" s="1"/>
      <c r="M11" s="1"/>
      <c r="N11" s="1"/>
      <c r="O11" s="1">
        <f t="shared" si="3"/>
        <v>15</v>
      </c>
      <c r="P11" s="5">
        <f>20*O11-F11</f>
        <v>172</v>
      </c>
      <c r="Q11" s="5">
        <f t="shared" ref="Q11:Q42" si="6">AH11*AI11</f>
        <v>168</v>
      </c>
      <c r="R11" s="5"/>
      <c r="S11" s="1"/>
      <c r="T11" s="1">
        <f t="shared" si="4"/>
        <v>19.733333333333334</v>
      </c>
      <c r="U11" s="1">
        <f t="shared" si="5"/>
        <v>8.5333333333333332</v>
      </c>
      <c r="V11" s="1">
        <v>9.1999999999999993</v>
      </c>
      <c r="W11" s="1">
        <v>5.4</v>
      </c>
      <c r="X11" s="1">
        <v>48.8</v>
      </c>
      <c r="Y11" s="1">
        <v>6.6</v>
      </c>
      <c r="Z11" s="1">
        <v>6.6</v>
      </c>
      <c r="AA11" s="1">
        <v>15</v>
      </c>
      <c r="AB11" s="1">
        <v>9.8000000000000007</v>
      </c>
      <c r="AC11" s="1">
        <v>5.8</v>
      </c>
      <c r="AD11" s="1">
        <v>21.9</v>
      </c>
      <c r="AE11" s="1">
        <v>72</v>
      </c>
      <c r="AF11" s="1"/>
      <c r="AG11" s="1">
        <f>G11*P11</f>
        <v>51.6</v>
      </c>
      <c r="AH11" s="7">
        <v>12</v>
      </c>
      <c r="AI11" s="20">
        <f>MROUND(P11, AH11*AK11)/AH11</f>
        <v>14</v>
      </c>
      <c r="AJ11" s="1">
        <f>AI11*AH11*G11</f>
        <v>50.4</v>
      </c>
      <c r="AK11" s="1">
        <v>14</v>
      </c>
      <c r="AL11" s="1">
        <v>70</v>
      </c>
      <c r="AM11" s="20">
        <f t="shared" ref="AM11:AM42" si="7">AI11/AL11</f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43</v>
      </c>
      <c r="C12" s="1">
        <v>208</v>
      </c>
      <c r="D12" s="1">
        <v>2</v>
      </c>
      <c r="E12" s="1">
        <v>48</v>
      </c>
      <c r="F12" s="1">
        <v>147</v>
      </c>
      <c r="G12" s="7">
        <v>0.3</v>
      </c>
      <c r="H12" s="1">
        <v>180</v>
      </c>
      <c r="I12" s="1" t="s">
        <v>50</v>
      </c>
      <c r="J12" s="1">
        <v>48</v>
      </c>
      <c r="K12" s="1">
        <f t="shared" si="2"/>
        <v>0</v>
      </c>
      <c r="L12" s="1"/>
      <c r="M12" s="1"/>
      <c r="N12" s="1"/>
      <c r="O12" s="1">
        <f t="shared" si="3"/>
        <v>9.6</v>
      </c>
      <c r="P12" s="5">
        <f>25*O12-F12</f>
        <v>93</v>
      </c>
      <c r="Q12" s="5">
        <f t="shared" si="6"/>
        <v>168</v>
      </c>
      <c r="R12" s="5"/>
      <c r="S12" s="1"/>
      <c r="T12" s="1">
        <f t="shared" si="4"/>
        <v>32.8125</v>
      </c>
      <c r="U12" s="1">
        <f t="shared" si="5"/>
        <v>15.3125</v>
      </c>
      <c r="V12" s="1">
        <v>10.4</v>
      </c>
      <c r="W12" s="1">
        <v>8.1999999999999993</v>
      </c>
      <c r="X12" s="1">
        <v>66.2</v>
      </c>
      <c r="Y12" s="1">
        <v>13.2</v>
      </c>
      <c r="Z12" s="1">
        <v>18</v>
      </c>
      <c r="AA12" s="1">
        <v>14.2</v>
      </c>
      <c r="AB12" s="1">
        <v>14.4</v>
      </c>
      <c r="AC12" s="1">
        <v>8.6</v>
      </c>
      <c r="AD12" s="1">
        <v>30.6</v>
      </c>
      <c r="AE12" s="1">
        <v>49.2</v>
      </c>
      <c r="AF12" s="1"/>
      <c r="AG12" s="1">
        <f>G12*P12</f>
        <v>27.9</v>
      </c>
      <c r="AH12" s="7">
        <v>12</v>
      </c>
      <c r="AI12" s="20">
        <f>MROUND(P12, AH12*AK12)/AH12</f>
        <v>14</v>
      </c>
      <c r="AJ12" s="1">
        <f>AI12*AH12*G12</f>
        <v>50.4</v>
      </c>
      <c r="AK12" s="1">
        <v>14</v>
      </c>
      <c r="AL12" s="1">
        <v>70</v>
      </c>
      <c r="AM12" s="20">
        <f t="shared" si="7"/>
        <v>0.2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43</v>
      </c>
      <c r="C13" s="1">
        <v>130</v>
      </c>
      <c r="D13" s="1"/>
      <c r="E13" s="1">
        <v>49</v>
      </c>
      <c r="F13" s="15">
        <f>81+F6</f>
        <v>0</v>
      </c>
      <c r="G13" s="7">
        <v>0.3</v>
      </c>
      <c r="H13" s="1">
        <v>180</v>
      </c>
      <c r="I13" s="1" t="s">
        <v>50</v>
      </c>
      <c r="J13" s="1">
        <v>151</v>
      </c>
      <c r="K13" s="1">
        <f t="shared" si="2"/>
        <v>-102</v>
      </c>
      <c r="L13" s="1"/>
      <c r="M13" s="1"/>
      <c r="N13" s="1"/>
      <c r="O13" s="1">
        <f t="shared" si="3"/>
        <v>9.8000000000000007</v>
      </c>
      <c r="P13" s="5">
        <f t="shared" ref="P12:P17" si="8">20*O13-F13</f>
        <v>196</v>
      </c>
      <c r="Q13" s="5">
        <f t="shared" si="6"/>
        <v>168</v>
      </c>
      <c r="R13" s="5"/>
      <c r="S13" s="1"/>
      <c r="T13" s="1">
        <f t="shared" si="4"/>
        <v>17.142857142857142</v>
      </c>
      <c r="U13" s="1">
        <f t="shared" si="5"/>
        <v>0</v>
      </c>
      <c r="V13" s="1">
        <v>34</v>
      </c>
      <c r="W13" s="1">
        <v>18.8</v>
      </c>
      <c r="X13" s="1">
        <v>64.400000000000006</v>
      </c>
      <c r="Y13" s="1">
        <v>33</v>
      </c>
      <c r="Z13" s="1">
        <v>9</v>
      </c>
      <c r="AA13" s="1">
        <v>18.2</v>
      </c>
      <c r="AB13" s="1">
        <v>35.6</v>
      </c>
      <c r="AC13" s="1">
        <v>13.6</v>
      </c>
      <c r="AD13" s="1">
        <v>32.4</v>
      </c>
      <c r="AE13" s="1">
        <v>49.8</v>
      </c>
      <c r="AF13" s="1"/>
      <c r="AG13" s="1">
        <f>G13*P13</f>
        <v>58.8</v>
      </c>
      <c r="AH13" s="7">
        <v>12</v>
      </c>
      <c r="AI13" s="20">
        <f>MROUND(P13, AH13*AK13)/AH13</f>
        <v>14</v>
      </c>
      <c r="AJ13" s="1">
        <f>AI13*AH13*G13</f>
        <v>50.4</v>
      </c>
      <c r="AK13" s="1">
        <v>14</v>
      </c>
      <c r="AL13" s="1">
        <v>70</v>
      </c>
      <c r="AM13" s="20">
        <f t="shared" si="7"/>
        <v>0.2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43</v>
      </c>
      <c r="C14" s="1">
        <v>622</v>
      </c>
      <c r="D14" s="1"/>
      <c r="E14" s="1">
        <v>42</v>
      </c>
      <c r="F14" s="1">
        <v>570</v>
      </c>
      <c r="G14" s="7">
        <v>0.3</v>
      </c>
      <c r="H14" s="1">
        <v>180</v>
      </c>
      <c r="I14" s="1" t="s">
        <v>50</v>
      </c>
      <c r="J14" s="1">
        <v>42</v>
      </c>
      <c r="K14" s="1">
        <f t="shared" si="2"/>
        <v>0</v>
      </c>
      <c r="L14" s="1"/>
      <c r="M14" s="1"/>
      <c r="N14" s="1"/>
      <c r="O14" s="1">
        <f t="shared" si="3"/>
        <v>8.4</v>
      </c>
      <c r="P14" s="5"/>
      <c r="Q14" s="5">
        <f t="shared" si="6"/>
        <v>0</v>
      </c>
      <c r="R14" s="5"/>
      <c r="S14" s="1"/>
      <c r="T14" s="1">
        <f t="shared" si="4"/>
        <v>67.857142857142861</v>
      </c>
      <c r="U14" s="1">
        <f t="shared" si="5"/>
        <v>67.857142857142861</v>
      </c>
      <c r="V14" s="1">
        <v>2.6</v>
      </c>
      <c r="W14" s="1">
        <v>4.2</v>
      </c>
      <c r="X14" s="1">
        <v>5.8</v>
      </c>
      <c r="Y14" s="1">
        <v>6.8</v>
      </c>
      <c r="Z14" s="1">
        <v>8.6</v>
      </c>
      <c r="AA14" s="1">
        <v>6.4</v>
      </c>
      <c r="AB14" s="1">
        <v>9.6</v>
      </c>
      <c r="AC14" s="1">
        <v>6.2</v>
      </c>
      <c r="AD14" s="1">
        <v>13.5</v>
      </c>
      <c r="AE14" s="1">
        <v>23.1</v>
      </c>
      <c r="AF14" s="16" t="s">
        <v>55</v>
      </c>
      <c r="AG14" s="1">
        <f>G14*P14</f>
        <v>0</v>
      </c>
      <c r="AH14" s="7">
        <v>12</v>
      </c>
      <c r="AI14" s="20">
        <f>MROUND(P14, AH14*AK14)/AH14</f>
        <v>0</v>
      </c>
      <c r="AJ14" s="1">
        <f>AI14*AH14*G14</f>
        <v>0</v>
      </c>
      <c r="AK14" s="1">
        <v>14</v>
      </c>
      <c r="AL14" s="1">
        <v>70</v>
      </c>
      <c r="AM14" s="20">
        <f t="shared" si="7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43</v>
      </c>
      <c r="C15" s="1">
        <v>110</v>
      </c>
      <c r="D15" s="1">
        <v>1</v>
      </c>
      <c r="E15" s="15">
        <f>57+E7</f>
        <v>122</v>
      </c>
      <c r="F15" s="15">
        <f>53+F7</f>
        <v>-21</v>
      </c>
      <c r="G15" s="7">
        <v>0.3</v>
      </c>
      <c r="H15" s="1">
        <v>180</v>
      </c>
      <c r="I15" s="1" t="s">
        <v>50</v>
      </c>
      <c r="J15" s="1">
        <v>58</v>
      </c>
      <c r="K15" s="1">
        <f t="shared" si="2"/>
        <v>64</v>
      </c>
      <c r="L15" s="1"/>
      <c r="M15" s="1"/>
      <c r="N15" s="1"/>
      <c r="O15" s="1">
        <f t="shared" si="3"/>
        <v>24.4</v>
      </c>
      <c r="P15" s="5">
        <f>17*O15-F15</f>
        <v>435.79999999999995</v>
      </c>
      <c r="Q15" s="5">
        <f t="shared" si="6"/>
        <v>504</v>
      </c>
      <c r="R15" s="5"/>
      <c r="S15" s="1"/>
      <c r="T15" s="1">
        <f>(F15+Q15)/O15</f>
        <v>19.795081967213115</v>
      </c>
      <c r="U15" s="1">
        <f t="shared" si="5"/>
        <v>-0.8606557377049181</v>
      </c>
      <c r="V15" s="1">
        <v>13.8</v>
      </c>
      <c r="W15" s="1">
        <v>10.6</v>
      </c>
      <c r="X15" s="1">
        <v>63.8</v>
      </c>
      <c r="Y15" s="1">
        <v>10.6</v>
      </c>
      <c r="Z15" s="1">
        <v>27.6</v>
      </c>
      <c r="AA15" s="1">
        <v>8.4</v>
      </c>
      <c r="AB15" s="1">
        <v>0</v>
      </c>
      <c r="AC15" s="1">
        <v>22.6</v>
      </c>
      <c r="AD15" s="1">
        <v>37.200000000000003</v>
      </c>
      <c r="AE15" s="1">
        <v>59.7</v>
      </c>
      <c r="AF15" s="1"/>
      <c r="AG15" s="1">
        <f>G15*P15</f>
        <v>130.73999999999998</v>
      </c>
      <c r="AH15" s="7">
        <v>12</v>
      </c>
      <c r="AI15" s="20">
        <f>MROUND(P15, AH15*AK15)/AH15</f>
        <v>42</v>
      </c>
      <c r="AJ15" s="1">
        <f>AI15*AH15*G15</f>
        <v>151.19999999999999</v>
      </c>
      <c r="AK15" s="1">
        <v>14</v>
      </c>
      <c r="AL15" s="1">
        <v>70</v>
      </c>
      <c r="AM15" s="20">
        <f t="shared" si="7"/>
        <v>0.6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43</v>
      </c>
      <c r="C16" s="1">
        <v>687</v>
      </c>
      <c r="D16" s="1"/>
      <c r="E16" s="1">
        <v>195</v>
      </c>
      <c r="F16" s="1">
        <v>490</v>
      </c>
      <c r="G16" s="7">
        <v>0.09</v>
      </c>
      <c r="H16" s="1">
        <v>180</v>
      </c>
      <c r="I16" s="1" t="s">
        <v>50</v>
      </c>
      <c r="J16" s="1">
        <v>195</v>
      </c>
      <c r="K16" s="1">
        <f t="shared" si="2"/>
        <v>0</v>
      </c>
      <c r="L16" s="1"/>
      <c r="M16" s="1"/>
      <c r="N16" s="1"/>
      <c r="O16" s="1">
        <f t="shared" si="3"/>
        <v>39</v>
      </c>
      <c r="P16" s="5">
        <f t="shared" si="8"/>
        <v>290</v>
      </c>
      <c r="Q16" s="5">
        <f t="shared" si="6"/>
        <v>336</v>
      </c>
      <c r="R16" s="5"/>
      <c r="S16" s="1"/>
      <c r="T16" s="1">
        <f t="shared" si="4"/>
        <v>21.179487179487179</v>
      </c>
      <c r="U16" s="1">
        <f t="shared" si="5"/>
        <v>12.564102564102564</v>
      </c>
      <c r="V16" s="1">
        <v>13.2</v>
      </c>
      <c r="W16" s="1">
        <v>11</v>
      </c>
      <c r="X16" s="1">
        <v>15.2</v>
      </c>
      <c r="Y16" s="1">
        <v>2.6</v>
      </c>
      <c r="Z16" s="1">
        <v>16.8</v>
      </c>
      <c r="AA16" s="1">
        <v>15</v>
      </c>
      <c r="AB16" s="1">
        <v>25.2</v>
      </c>
      <c r="AC16" s="1">
        <v>6.6</v>
      </c>
      <c r="AD16" s="1">
        <v>6.57</v>
      </c>
      <c r="AE16" s="1">
        <v>10.08</v>
      </c>
      <c r="AF16" s="1"/>
      <c r="AG16" s="1">
        <f>G16*P16</f>
        <v>26.099999999999998</v>
      </c>
      <c r="AH16" s="7">
        <v>24</v>
      </c>
      <c r="AI16" s="20">
        <f>MROUND(P16, AH16*AK16)/AH16</f>
        <v>14</v>
      </c>
      <c r="AJ16" s="1">
        <f>AI16*AH16*G16</f>
        <v>30.24</v>
      </c>
      <c r="AK16" s="1">
        <v>14</v>
      </c>
      <c r="AL16" s="1">
        <v>126</v>
      </c>
      <c r="AM16" s="20">
        <f t="shared" si="7"/>
        <v>0.1111111111111111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43</v>
      </c>
      <c r="C17" s="1">
        <v>573</v>
      </c>
      <c r="D17" s="1"/>
      <c r="E17" s="1">
        <v>29</v>
      </c>
      <c r="F17" s="1">
        <v>538</v>
      </c>
      <c r="G17" s="7">
        <v>0.36</v>
      </c>
      <c r="H17" s="1">
        <v>180</v>
      </c>
      <c r="I17" s="1" t="s">
        <v>50</v>
      </c>
      <c r="J17" s="1">
        <v>29</v>
      </c>
      <c r="K17" s="1">
        <f t="shared" si="2"/>
        <v>0</v>
      </c>
      <c r="L17" s="1"/>
      <c r="M17" s="1"/>
      <c r="N17" s="1"/>
      <c r="O17" s="1">
        <f t="shared" si="3"/>
        <v>5.8</v>
      </c>
      <c r="P17" s="5"/>
      <c r="Q17" s="5">
        <f t="shared" si="6"/>
        <v>0</v>
      </c>
      <c r="R17" s="5"/>
      <c r="S17" s="1"/>
      <c r="T17" s="1">
        <f t="shared" si="4"/>
        <v>92.758620689655174</v>
      </c>
      <c r="U17" s="1">
        <f t="shared" si="5"/>
        <v>92.758620689655174</v>
      </c>
      <c r="V17" s="1">
        <v>4.2</v>
      </c>
      <c r="W17" s="1">
        <v>4.2</v>
      </c>
      <c r="X17" s="1">
        <v>5</v>
      </c>
      <c r="Y17" s="1">
        <v>9.6</v>
      </c>
      <c r="Z17" s="1">
        <v>6.8</v>
      </c>
      <c r="AA17" s="1">
        <v>4.2</v>
      </c>
      <c r="AB17" s="1">
        <v>6</v>
      </c>
      <c r="AC17" s="1">
        <v>5.8</v>
      </c>
      <c r="AD17" s="1">
        <v>11.16</v>
      </c>
      <c r="AE17" s="1">
        <v>15.48</v>
      </c>
      <c r="AF17" s="16" t="s">
        <v>55</v>
      </c>
      <c r="AG17" s="1">
        <f>G17*P17</f>
        <v>0</v>
      </c>
      <c r="AH17" s="7">
        <v>10</v>
      </c>
      <c r="AI17" s="20">
        <f>MROUND(P17, AH17*AK17)/AH17</f>
        <v>0</v>
      </c>
      <c r="AJ17" s="1">
        <f>AI17*AH17*G17</f>
        <v>0</v>
      </c>
      <c r="AK17" s="1">
        <v>14</v>
      </c>
      <c r="AL17" s="1">
        <v>70</v>
      </c>
      <c r="AM17" s="20">
        <f t="shared" si="7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0" t="s">
        <v>59</v>
      </c>
      <c r="B18" s="10" t="s">
        <v>60</v>
      </c>
      <c r="C18" s="10">
        <v>74</v>
      </c>
      <c r="D18" s="10"/>
      <c r="E18" s="10"/>
      <c r="F18" s="10">
        <v>74</v>
      </c>
      <c r="G18" s="13">
        <v>0</v>
      </c>
      <c r="H18" s="10">
        <v>180</v>
      </c>
      <c r="I18" s="10" t="s">
        <v>50</v>
      </c>
      <c r="J18" s="10">
        <v>5.5</v>
      </c>
      <c r="K18" s="10">
        <f t="shared" si="2"/>
        <v>-5.5</v>
      </c>
      <c r="L18" s="10"/>
      <c r="M18" s="10"/>
      <c r="N18" s="10"/>
      <c r="O18" s="10">
        <f t="shared" si="3"/>
        <v>0</v>
      </c>
      <c r="P18" s="14"/>
      <c r="Q18" s="14">
        <f t="shared" si="6"/>
        <v>0</v>
      </c>
      <c r="R18" s="14"/>
      <c r="S18" s="10"/>
      <c r="T18" s="10" t="e">
        <f t="shared" si="4"/>
        <v>#DIV/0!</v>
      </c>
      <c r="U18" s="10" t="e">
        <f t="shared" si="5"/>
        <v>#DIV/0!</v>
      </c>
      <c r="V18" s="10">
        <v>0</v>
      </c>
      <c r="W18" s="10">
        <v>0</v>
      </c>
      <c r="X18" s="10">
        <v>0</v>
      </c>
      <c r="Y18" s="10">
        <v>0</v>
      </c>
      <c r="Z18" s="10">
        <v>1.1000000000000001</v>
      </c>
      <c r="AA18" s="10">
        <v>1.1000000000000001</v>
      </c>
      <c r="AB18" s="10">
        <v>0</v>
      </c>
      <c r="AC18" s="10">
        <v>0</v>
      </c>
      <c r="AD18" s="10">
        <v>0</v>
      </c>
      <c r="AE18" s="10">
        <v>5.5</v>
      </c>
      <c r="AF18" s="12" t="s">
        <v>104</v>
      </c>
      <c r="AG18" s="10">
        <f>G18*P18</f>
        <v>0</v>
      </c>
      <c r="AH18" s="13">
        <v>5.5</v>
      </c>
      <c r="AI18" s="23">
        <f>MROUND(P18, AH18*AK18)/AH18</f>
        <v>0</v>
      </c>
      <c r="AJ18" s="10">
        <f>AI18*AH18*G18</f>
        <v>0</v>
      </c>
      <c r="AK18" s="10">
        <v>12</v>
      </c>
      <c r="AL18" s="10"/>
      <c r="AM18" s="23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43</v>
      </c>
      <c r="C19" s="1">
        <v>486</v>
      </c>
      <c r="D19" s="1"/>
      <c r="E19" s="1">
        <v>43</v>
      </c>
      <c r="F19" s="1">
        <v>436</v>
      </c>
      <c r="G19" s="7">
        <v>0.25</v>
      </c>
      <c r="H19" s="1">
        <v>180</v>
      </c>
      <c r="I19" s="1" t="s">
        <v>50</v>
      </c>
      <c r="J19" s="1">
        <v>43</v>
      </c>
      <c r="K19" s="1">
        <f t="shared" si="2"/>
        <v>0</v>
      </c>
      <c r="L19" s="1"/>
      <c r="M19" s="1"/>
      <c r="N19" s="1"/>
      <c r="O19" s="1">
        <f t="shared" si="3"/>
        <v>8.6</v>
      </c>
      <c r="P19" s="5"/>
      <c r="Q19" s="5">
        <f t="shared" si="6"/>
        <v>0</v>
      </c>
      <c r="R19" s="5"/>
      <c r="S19" s="1"/>
      <c r="T19" s="1">
        <f t="shared" si="4"/>
        <v>50.697674418604656</v>
      </c>
      <c r="U19" s="1">
        <f t="shared" si="5"/>
        <v>50.697674418604656</v>
      </c>
      <c r="V19" s="1">
        <v>7.2</v>
      </c>
      <c r="W19" s="1">
        <v>5.4</v>
      </c>
      <c r="X19" s="1">
        <v>53.8</v>
      </c>
      <c r="Y19" s="1">
        <v>10</v>
      </c>
      <c r="Z19" s="1">
        <v>8.8000000000000007</v>
      </c>
      <c r="AA19" s="1">
        <v>6</v>
      </c>
      <c r="AB19" s="1">
        <v>9.6</v>
      </c>
      <c r="AC19" s="1">
        <v>8</v>
      </c>
      <c r="AD19" s="1">
        <v>19.75</v>
      </c>
      <c r="AE19" s="1">
        <v>35.25</v>
      </c>
      <c r="AF19" s="16" t="s">
        <v>55</v>
      </c>
      <c r="AG19" s="1">
        <f>G19*P19</f>
        <v>0</v>
      </c>
      <c r="AH19" s="7">
        <v>12</v>
      </c>
      <c r="AI19" s="20">
        <f>MROUND(P19, AH19*AK19)/AH19</f>
        <v>0</v>
      </c>
      <c r="AJ19" s="1">
        <f>AI19*AH19*G19</f>
        <v>0</v>
      </c>
      <c r="AK19" s="1">
        <v>14</v>
      </c>
      <c r="AL19" s="1">
        <v>70</v>
      </c>
      <c r="AM19" s="20">
        <f t="shared" si="7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43</v>
      </c>
      <c r="C20" s="1">
        <v>341</v>
      </c>
      <c r="D20" s="1"/>
      <c r="E20" s="1">
        <v>99</v>
      </c>
      <c r="F20" s="1">
        <v>227</v>
      </c>
      <c r="G20" s="7">
        <v>0.25</v>
      </c>
      <c r="H20" s="1">
        <v>180</v>
      </c>
      <c r="I20" s="1" t="s">
        <v>50</v>
      </c>
      <c r="J20" s="1">
        <v>99</v>
      </c>
      <c r="K20" s="1">
        <f t="shared" si="2"/>
        <v>0</v>
      </c>
      <c r="L20" s="1"/>
      <c r="M20" s="1"/>
      <c r="N20" s="1"/>
      <c r="O20" s="1">
        <f t="shared" si="3"/>
        <v>19.8</v>
      </c>
      <c r="P20" s="5">
        <f t="shared" ref="P19:P52" si="9">20*O20-F20</f>
        <v>169</v>
      </c>
      <c r="Q20" s="5">
        <f t="shared" si="6"/>
        <v>168</v>
      </c>
      <c r="R20" s="5"/>
      <c r="S20" s="1"/>
      <c r="T20" s="1">
        <f t="shared" si="4"/>
        <v>19.949494949494948</v>
      </c>
      <c r="U20" s="1">
        <f t="shared" si="5"/>
        <v>11.464646464646464</v>
      </c>
      <c r="V20" s="1">
        <v>10</v>
      </c>
      <c r="W20" s="1">
        <v>8.8000000000000007</v>
      </c>
      <c r="X20" s="1">
        <v>57.6</v>
      </c>
      <c r="Y20" s="1">
        <v>10.4</v>
      </c>
      <c r="Z20" s="1">
        <v>13.8</v>
      </c>
      <c r="AA20" s="1">
        <v>11.6</v>
      </c>
      <c r="AB20" s="1">
        <v>13.2</v>
      </c>
      <c r="AC20" s="1">
        <v>11.6</v>
      </c>
      <c r="AD20" s="1">
        <v>16.75</v>
      </c>
      <c r="AE20" s="1">
        <v>41</v>
      </c>
      <c r="AF20" s="1"/>
      <c r="AG20" s="1">
        <f>G20*P20</f>
        <v>42.25</v>
      </c>
      <c r="AH20" s="7">
        <v>12</v>
      </c>
      <c r="AI20" s="20">
        <f>MROUND(P20, AH20*AK20)/AH20</f>
        <v>14</v>
      </c>
      <c r="AJ20" s="1">
        <f>AI20*AH20*G20</f>
        <v>42</v>
      </c>
      <c r="AK20" s="1">
        <v>14</v>
      </c>
      <c r="AL20" s="1">
        <v>70</v>
      </c>
      <c r="AM20" s="20">
        <f t="shared" si="7"/>
        <v>0.2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60</v>
      </c>
      <c r="C21" s="1">
        <v>18.5</v>
      </c>
      <c r="D21" s="1"/>
      <c r="E21" s="1">
        <v>3.7</v>
      </c>
      <c r="F21" s="1">
        <v>14.8</v>
      </c>
      <c r="G21" s="7">
        <v>1</v>
      </c>
      <c r="H21" s="1">
        <v>180</v>
      </c>
      <c r="I21" s="1" t="s">
        <v>50</v>
      </c>
      <c r="J21" s="1">
        <v>3.7</v>
      </c>
      <c r="K21" s="1">
        <f t="shared" si="2"/>
        <v>0</v>
      </c>
      <c r="L21" s="1"/>
      <c r="M21" s="1"/>
      <c r="N21" s="1"/>
      <c r="O21" s="1">
        <f t="shared" si="3"/>
        <v>0.74</v>
      </c>
      <c r="P21" s="5">
        <f t="shared" si="9"/>
        <v>0</v>
      </c>
      <c r="Q21" s="5">
        <f t="shared" si="6"/>
        <v>0</v>
      </c>
      <c r="R21" s="5"/>
      <c r="S21" s="1"/>
      <c r="T21" s="1">
        <f t="shared" si="4"/>
        <v>20</v>
      </c>
      <c r="U21" s="1">
        <f t="shared" si="5"/>
        <v>20</v>
      </c>
      <c r="V21" s="1">
        <v>0.74</v>
      </c>
      <c r="W21" s="1">
        <v>0.74</v>
      </c>
      <c r="X21" s="1">
        <v>1.48</v>
      </c>
      <c r="Y21" s="1">
        <v>0.74</v>
      </c>
      <c r="Z21" s="1">
        <v>2.2200000000000002</v>
      </c>
      <c r="AA21" s="1">
        <v>0.74</v>
      </c>
      <c r="AB21" s="1">
        <v>0.74</v>
      </c>
      <c r="AC21" s="1">
        <v>1.48</v>
      </c>
      <c r="AD21" s="1">
        <v>11.1</v>
      </c>
      <c r="AE21" s="1">
        <v>7.4</v>
      </c>
      <c r="AF21" s="11" t="s">
        <v>51</v>
      </c>
      <c r="AG21" s="1">
        <f>G21*P21</f>
        <v>0</v>
      </c>
      <c r="AH21" s="7">
        <v>3.7</v>
      </c>
      <c r="AI21" s="20">
        <f>MROUND(P21, AH21*AK21)/AH21</f>
        <v>0</v>
      </c>
      <c r="AJ21" s="1">
        <f>AI21*AH21*G21</f>
        <v>0</v>
      </c>
      <c r="AK21" s="1">
        <v>14</v>
      </c>
      <c r="AL21" s="1">
        <v>126</v>
      </c>
      <c r="AM21" s="20">
        <f t="shared" si="7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43</v>
      </c>
      <c r="C22" s="1">
        <v>186</v>
      </c>
      <c r="D22" s="1"/>
      <c r="E22" s="1">
        <v>121</v>
      </c>
      <c r="F22" s="1">
        <v>62</v>
      </c>
      <c r="G22" s="7">
        <v>0.25</v>
      </c>
      <c r="H22" s="1">
        <v>180</v>
      </c>
      <c r="I22" s="1" t="s">
        <v>50</v>
      </c>
      <c r="J22" s="1">
        <v>121</v>
      </c>
      <c r="K22" s="1">
        <f t="shared" si="2"/>
        <v>0</v>
      </c>
      <c r="L22" s="1"/>
      <c r="M22" s="1"/>
      <c r="N22" s="1"/>
      <c r="O22" s="1">
        <f t="shared" si="3"/>
        <v>24.2</v>
      </c>
      <c r="P22" s="5">
        <f t="shared" si="9"/>
        <v>422</v>
      </c>
      <c r="Q22" s="5">
        <f t="shared" si="6"/>
        <v>420</v>
      </c>
      <c r="R22" s="5"/>
      <c r="S22" s="1"/>
      <c r="T22" s="1">
        <f t="shared" si="4"/>
        <v>19.917355371900825</v>
      </c>
      <c r="U22" s="1">
        <f t="shared" si="5"/>
        <v>2.5619834710743801</v>
      </c>
      <c r="V22" s="1">
        <v>4.5999999999999996</v>
      </c>
      <c r="W22" s="1">
        <v>7.4</v>
      </c>
      <c r="X22" s="1">
        <v>45.2</v>
      </c>
      <c r="Y22" s="1">
        <v>10.4</v>
      </c>
      <c r="Z22" s="1">
        <v>16.8</v>
      </c>
      <c r="AA22" s="1">
        <v>6</v>
      </c>
      <c r="AB22" s="1">
        <v>6.4</v>
      </c>
      <c r="AC22" s="1">
        <v>19.399999999999999</v>
      </c>
      <c r="AD22" s="1">
        <v>6.25</v>
      </c>
      <c r="AE22" s="1">
        <v>41</v>
      </c>
      <c r="AF22" s="1"/>
      <c r="AG22" s="1">
        <f>G22*P22</f>
        <v>105.5</v>
      </c>
      <c r="AH22" s="7">
        <v>6</v>
      </c>
      <c r="AI22" s="20">
        <f>MROUND(P22, AH22*AK22)/AH22</f>
        <v>70</v>
      </c>
      <c r="AJ22" s="1">
        <f>AI22*AH22*G22</f>
        <v>105</v>
      </c>
      <c r="AK22" s="1">
        <v>14</v>
      </c>
      <c r="AL22" s="1">
        <v>140</v>
      </c>
      <c r="AM22" s="20">
        <f t="shared" si="7"/>
        <v>0.5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65</v>
      </c>
      <c r="B23" s="1" t="s">
        <v>43</v>
      </c>
      <c r="C23" s="1">
        <v>400</v>
      </c>
      <c r="D23" s="1"/>
      <c r="E23" s="1">
        <v>26</v>
      </c>
      <c r="F23" s="1">
        <v>345</v>
      </c>
      <c r="G23" s="7">
        <v>0.25</v>
      </c>
      <c r="H23" s="1">
        <v>180</v>
      </c>
      <c r="I23" s="1" t="s">
        <v>50</v>
      </c>
      <c r="J23" s="1">
        <v>26</v>
      </c>
      <c r="K23" s="1">
        <f t="shared" si="2"/>
        <v>0</v>
      </c>
      <c r="L23" s="1"/>
      <c r="M23" s="1"/>
      <c r="N23" s="1"/>
      <c r="O23" s="1">
        <f t="shared" si="3"/>
        <v>5.2</v>
      </c>
      <c r="P23" s="5"/>
      <c r="Q23" s="5">
        <f t="shared" si="6"/>
        <v>0</v>
      </c>
      <c r="R23" s="5"/>
      <c r="S23" s="1"/>
      <c r="T23" s="1">
        <f t="shared" si="4"/>
        <v>66.34615384615384</v>
      </c>
      <c r="U23" s="1">
        <f t="shared" si="5"/>
        <v>66.34615384615384</v>
      </c>
      <c r="V23" s="1">
        <v>2.4</v>
      </c>
      <c r="W23" s="1">
        <v>3.6</v>
      </c>
      <c r="X23" s="1">
        <v>54.4</v>
      </c>
      <c r="Y23" s="1">
        <v>5</v>
      </c>
      <c r="Z23" s="1">
        <v>7</v>
      </c>
      <c r="AA23" s="1">
        <v>5.2</v>
      </c>
      <c r="AB23" s="1">
        <v>6.8</v>
      </c>
      <c r="AC23" s="1">
        <v>5.4</v>
      </c>
      <c r="AD23" s="1">
        <v>4.75</v>
      </c>
      <c r="AE23" s="1">
        <v>16.25</v>
      </c>
      <c r="AF23" s="16" t="s">
        <v>55</v>
      </c>
      <c r="AG23" s="1">
        <f>G23*P23</f>
        <v>0</v>
      </c>
      <c r="AH23" s="7">
        <v>6</v>
      </c>
      <c r="AI23" s="20">
        <f>MROUND(P23, AH23*AK23)/AH23</f>
        <v>0</v>
      </c>
      <c r="AJ23" s="1">
        <f>AI23*AH23*G23</f>
        <v>0</v>
      </c>
      <c r="AK23" s="1">
        <v>14</v>
      </c>
      <c r="AL23" s="1">
        <v>140</v>
      </c>
      <c r="AM23" s="20">
        <f t="shared" si="7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66</v>
      </c>
      <c r="B24" s="1" t="s">
        <v>43</v>
      </c>
      <c r="C24" s="1">
        <v>433</v>
      </c>
      <c r="D24" s="1">
        <v>3</v>
      </c>
      <c r="E24" s="1">
        <v>33</v>
      </c>
      <c r="F24" s="1">
        <v>394</v>
      </c>
      <c r="G24" s="7">
        <v>0.25</v>
      </c>
      <c r="H24" s="1">
        <v>180</v>
      </c>
      <c r="I24" s="1" t="s">
        <v>50</v>
      </c>
      <c r="J24" s="1">
        <v>35</v>
      </c>
      <c r="K24" s="1">
        <f t="shared" si="2"/>
        <v>-2</v>
      </c>
      <c r="L24" s="1"/>
      <c r="M24" s="1"/>
      <c r="N24" s="1"/>
      <c r="O24" s="1">
        <f t="shared" si="3"/>
        <v>6.6</v>
      </c>
      <c r="P24" s="5"/>
      <c r="Q24" s="5">
        <f t="shared" si="6"/>
        <v>0</v>
      </c>
      <c r="R24" s="5"/>
      <c r="S24" s="1"/>
      <c r="T24" s="1">
        <f t="shared" si="4"/>
        <v>59.696969696969703</v>
      </c>
      <c r="U24" s="1">
        <f t="shared" si="5"/>
        <v>59.696969696969703</v>
      </c>
      <c r="V24" s="1">
        <v>14</v>
      </c>
      <c r="W24" s="1">
        <v>7.6</v>
      </c>
      <c r="X24" s="1">
        <v>15.2</v>
      </c>
      <c r="Y24" s="1">
        <v>17</v>
      </c>
      <c r="Z24" s="1">
        <v>15.4</v>
      </c>
      <c r="AA24" s="1">
        <v>4.2</v>
      </c>
      <c r="AB24" s="1">
        <v>12.2</v>
      </c>
      <c r="AC24" s="1">
        <v>19</v>
      </c>
      <c r="AD24" s="1">
        <v>19.25</v>
      </c>
      <c r="AE24" s="1">
        <v>25.25</v>
      </c>
      <c r="AF24" s="16" t="s">
        <v>55</v>
      </c>
      <c r="AG24" s="1">
        <f>G24*P24</f>
        <v>0</v>
      </c>
      <c r="AH24" s="7">
        <v>12</v>
      </c>
      <c r="AI24" s="20">
        <f>MROUND(P24, AH24*AK24)/AH24</f>
        <v>0</v>
      </c>
      <c r="AJ24" s="1">
        <f>AI24*AH24*G24</f>
        <v>0</v>
      </c>
      <c r="AK24" s="1">
        <v>14</v>
      </c>
      <c r="AL24" s="1">
        <v>70</v>
      </c>
      <c r="AM24" s="20">
        <f t="shared" si="7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67</v>
      </c>
      <c r="B25" s="1" t="s">
        <v>43</v>
      </c>
      <c r="C25" s="1">
        <v>575</v>
      </c>
      <c r="D25" s="1"/>
      <c r="E25" s="1">
        <v>28</v>
      </c>
      <c r="F25" s="1">
        <v>540</v>
      </c>
      <c r="G25" s="7">
        <v>0.25</v>
      </c>
      <c r="H25" s="1">
        <v>180</v>
      </c>
      <c r="I25" s="1" t="s">
        <v>50</v>
      </c>
      <c r="J25" s="1">
        <v>28</v>
      </c>
      <c r="K25" s="1">
        <f t="shared" si="2"/>
        <v>0</v>
      </c>
      <c r="L25" s="1"/>
      <c r="M25" s="1"/>
      <c r="N25" s="1"/>
      <c r="O25" s="1">
        <f t="shared" si="3"/>
        <v>5.6</v>
      </c>
      <c r="P25" s="5"/>
      <c r="Q25" s="5">
        <f t="shared" si="6"/>
        <v>0</v>
      </c>
      <c r="R25" s="5"/>
      <c r="S25" s="1"/>
      <c r="T25" s="1">
        <f t="shared" si="4"/>
        <v>96.428571428571431</v>
      </c>
      <c r="U25" s="1">
        <f t="shared" si="5"/>
        <v>96.428571428571431</v>
      </c>
      <c r="V25" s="1">
        <v>5.8</v>
      </c>
      <c r="W25" s="1">
        <v>5.8</v>
      </c>
      <c r="X25" s="1">
        <v>10.199999999999999</v>
      </c>
      <c r="Y25" s="1">
        <v>10.4</v>
      </c>
      <c r="Z25" s="1">
        <v>12</v>
      </c>
      <c r="AA25" s="1">
        <v>5.4</v>
      </c>
      <c r="AB25" s="1">
        <v>9.4</v>
      </c>
      <c r="AC25" s="1">
        <v>13.8</v>
      </c>
      <c r="AD25" s="1">
        <v>11.75</v>
      </c>
      <c r="AE25" s="1">
        <v>41.5</v>
      </c>
      <c r="AF25" s="16" t="s">
        <v>55</v>
      </c>
      <c r="AG25" s="1">
        <f>G25*P25</f>
        <v>0</v>
      </c>
      <c r="AH25" s="7">
        <v>12</v>
      </c>
      <c r="AI25" s="20">
        <f>MROUND(P25, AH25*AK25)/AH25</f>
        <v>0</v>
      </c>
      <c r="AJ25" s="1">
        <f>AI25*AH25*G25</f>
        <v>0</v>
      </c>
      <c r="AK25" s="1">
        <v>14</v>
      </c>
      <c r="AL25" s="1">
        <v>70</v>
      </c>
      <c r="AM25" s="20">
        <f t="shared" si="7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68</v>
      </c>
      <c r="B26" s="1" t="s">
        <v>43</v>
      </c>
      <c r="C26" s="1">
        <v>317</v>
      </c>
      <c r="D26" s="1"/>
      <c r="E26" s="1">
        <v>34</v>
      </c>
      <c r="F26" s="1">
        <v>271</v>
      </c>
      <c r="G26" s="7">
        <v>0.25</v>
      </c>
      <c r="H26" s="1">
        <v>180</v>
      </c>
      <c r="I26" s="1" t="s">
        <v>50</v>
      </c>
      <c r="J26" s="1">
        <v>34</v>
      </c>
      <c r="K26" s="1">
        <f t="shared" si="2"/>
        <v>0</v>
      </c>
      <c r="L26" s="1"/>
      <c r="M26" s="1"/>
      <c r="N26" s="1"/>
      <c r="O26" s="1">
        <f t="shared" si="3"/>
        <v>6.8</v>
      </c>
      <c r="P26" s="5"/>
      <c r="Q26" s="5">
        <f t="shared" si="6"/>
        <v>0</v>
      </c>
      <c r="R26" s="5"/>
      <c r="S26" s="1"/>
      <c r="T26" s="1">
        <f t="shared" si="4"/>
        <v>39.852941176470587</v>
      </c>
      <c r="U26" s="1">
        <f t="shared" si="5"/>
        <v>39.852941176470587</v>
      </c>
      <c r="V26" s="1">
        <v>5.6</v>
      </c>
      <c r="W26" s="1">
        <v>5.8</v>
      </c>
      <c r="X26" s="1">
        <v>5.4</v>
      </c>
      <c r="Y26" s="1">
        <v>7.6</v>
      </c>
      <c r="Z26" s="1">
        <v>3</v>
      </c>
      <c r="AA26" s="1">
        <v>4.2</v>
      </c>
      <c r="AB26" s="1">
        <v>10.4</v>
      </c>
      <c r="AC26" s="1">
        <v>9.1999999999999993</v>
      </c>
      <c r="AD26" s="1">
        <v>8.75</v>
      </c>
      <c r="AE26" s="1">
        <v>14.25</v>
      </c>
      <c r="AF26" s="16" t="s">
        <v>55</v>
      </c>
      <c r="AG26" s="1">
        <f>G26*P26</f>
        <v>0</v>
      </c>
      <c r="AH26" s="7">
        <v>12</v>
      </c>
      <c r="AI26" s="20">
        <f>MROUND(P26, AH26*AK26)/AH26</f>
        <v>0</v>
      </c>
      <c r="AJ26" s="1">
        <f>AI26*AH26*G26</f>
        <v>0</v>
      </c>
      <c r="AK26" s="1">
        <v>14</v>
      </c>
      <c r="AL26" s="1">
        <v>70</v>
      </c>
      <c r="AM26" s="20">
        <f t="shared" si="7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69</v>
      </c>
      <c r="B27" s="1" t="s">
        <v>60</v>
      </c>
      <c r="C27" s="1">
        <v>24</v>
      </c>
      <c r="D27" s="1"/>
      <c r="E27" s="1">
        <v>12</v>
      </c>
      <c r="F27" s="1">
        <v>12</v>
      </c>
      <c r="G27" s="7">
        <v>1</v>
      </c>
      <c r="H27" s="1">
        <v>180</v>
      </c>
      <c r="I27" s="1" t="s">
        <v>50</v>
      </c>
      <c r="J27" s="1">
        <v>12</v>
      </c>
      <c r="K27" s="1">
        <f t="shared" si="2"/>
        <v>0</v>
      </c>
      <c r="L27" s="1"/>
      <c r="M27" s="1"/>
      <c r="N27" s="1"/>
      <c r="O27" s="1">
        <f t="shared" si="3"/>
        <v>2.4</v>
      </c>
      <c r="P27" s="5">
        <f t="shared" si="9"/>
        <v>36</v>
      </c>
      <c r="Q27" s="5">
        <f t="shared" si="6"/>
        <v>72</v>
      </c>
      <c r="R27" s="5"/>
      <c r="S27" s="1"/>
      <c r="T27" s="1">
        <f t="shared" si="4"/>
        <v>35</v>
      </c>
      <c r="U27" s="1">
        <f t="shared" si="5"/>
        <v>5</v>
      </c>
      <c r="V27" s="1">
        <v>3.6</v>
      </c>
      <c r="W27" s="1">
        <v>4.8</v>
      </c>
      <c r="X27" s="1">
        <v>1.2</v>
      </c>
      <c r="Y27" s="1">
        <v>0</v>
      </c>
      <c r="Z27" s="1">
        <v>2.4</v>
      </c>
      <c r="AA27" s="1">
        <v>0</v>
      </c>
      <c r="AB27" s="1">
        <v>1.2</v>
      </c>
      <c r="AC27" s="1">
        <v>3.6</v>
      </c>
      <c r="AD27" s="1">
        <v>12</v>
      </c>
      <c r="AE27" s="1">
        <v>18</v>
      </c>
      <c r="AF27" s="1"/>
      <c r="AG27" s="1">
        <f>G27*P27</f>
        <v>36</v>
      </c>
      <c r="AH27" s="7">
        <v>6</v>
      </c>
      <c r="AI27" s="20">
        <f>MROUND(P27, AH27*AK27)/AH27</f>
        <v>12</v>
      </c>
      <c r="AJ27" s="1">
        <f>AI27*AH27*G27</f>
        <v>72</v>
      </c>
      <c r="AK27" s="1">
        <v>12</v>
      </c>
      <c r="AL27" s="1">
        <v>84</v>
      </c>
      <c r="AM27" s="20">
        <f t="shared" si="7"/>
        <v>0.14285714285714285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70</v>
      </c>
      <c r="B28" s="1" t="s">
        <v>43</v>
      </c>
      <c r="C28" s="1">
        <v>376</v>
      </c>
      <c r="D28" s="1"/>
      <c r="E28" s="1">
        <v>45</v>
      </c>
      <c r="F28" s="1">
        <v>326</v>
      </c>
      <c r="G28" s="7">
        <v>0.25</v>
      </c>
      <c r="H28" s="1">
        <v>180</v>
      </c>
      <c r="I28" s="1" t="s">
        <v>50</v>
      </c>
      <c r="J28" s="1">
        <v>45</v>
      </c>
      <c r="K28" s="1">
        <f t="shared" si="2"/>
        <v>0</v>
      </c>
      <c r="L28" s="1"/>
      <c r="M28" s="1"/>
      <c r="N28" s="1"/>
      <c r="O28" s="1">
        <f t="shared" si="3"/>
        <v>9</v>
      </c>
      <c r="P28" s="5"/>
      <c r="Q28" s="5">
        <f t="shared" si="6"/>
        <v>0</v>
      </c>
      <c r="R28" s="5"/>
      <c r="S28" s="1"/>
      <c r="T28" s="1">
        <f t="shared" si="4"/>
        <v>36.222222222222221</v>
      </c>
      <c r="U28" s="1">
        <f t="shared" si="5"/>
        <v>36.222222222222221</v>
      </c>
      <c r="V28" s="1">
        <v>12.8</v>
      </c>
      <c r="W28" s="1">
        <v>7.4</v>
      </c>
      <c r="X28" s="1">
        <v>13</v>
      </c>
      <c r="Y28" s="1">
        <v>17.600000000000001</v>
      </c>
      <c r="Z28" s="1">
        <v>16.399999999999999</v>
      </c>
      <c r="AA28" s="1">
        <v>9.1999999999999993</v>
      </c>
      <c r="AB28" s="1">
        <v>12.4</v>
      </c>
      <c r="AC28" s="1">
        <v>1.8</v>
      </c>
      <c r="AD28" s="1">
        <v>22.25</v>
      </c>
      <c r="AE28" s="1">
        <v>60.5</v>
      </c>
      <c r="AF28" s="16" t="s">
        <v>55</v>
      </c>
      <c r="AG28" s="1">
        <f>G28*P28</f>
        <v>0</v>
      </c>
      <c r="AH28" s="7">
        <v>12</v>
      </c>
      <c r="AI28" s="20">
        <f>MROUND(P28, AH28*AK28)/AH28</f>
        <v>0</v>
      </c>
      <c r="AJ28" s="1">
        <f>AI28*AH28*G28</f>
        <v>0</v>
      </c>
      <c r="AK28" s="1">
        <v>14</v>
      </c>
      <c r="AL28" s="1">
        <v>70</v>
      </c>
      <c r="AM28" s="20">
        <f t="shared" si="7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71</v>
      </c>
      <c r="B29" s="1" t="s">
        <v>43</v>
      </c>
      <c r="C29" s="1">
        <v>242</v>
      </c>
      <c r="D29" s="1"/>
      <c r="E29" s="1"/>
      <c r="F29" s="1">
        <v>242</v>
      </c>
      <c r="G29" s="7">
        <v>0.4</v>
      </c>
      <c r="H29" s="1">
        <v>180</v>
      </c>
      <c r="I29" s="1" t="s">
        <v>50</v>
      </c>
      <c r="J29" s="1">
        <v>23</v>
      </c>
      <c r="K29" s="1">
        <f t="shared" si="2"/>
        <v>-23</v>
      </c>
      <c r="L29" s="1"/>
      <c r="M29" s="1"/>
      <c r="N29" s="1"/>
      <c r="O29" s="1">
        <f t="shared" si="3"/>
        <v>0</v>
      </c>
      <c r="P29" s="5"/>
      <c r="Q29" s="5">
        <f t="shared" si="6"/>
        <v>0</v>
      </c>
      <c r="R29" s="5"/>
      <c r="S29" s="1"/>
      <c r="T29" s="1" t="e">
        <f t="shared" si="4"/>
        <v>#DIV/0!</v>
      </c>
      <c r="U29" s="1" t="e">
        <f t="shared" si="5"/>
        <v>#DIV/0!</v>
      </c>
      <c r="V29" s="1">
        <v>-0.2</v>
      </c>
      <c r="W29" s="1">
        <v>0</v>
      </c>
      <c r="X29" s="1">
        <v>0.2</v>
      </c>
      <c r="Y29" s="1">
        <v>4.4000000000000004</v>
      </c>
      <c r="Z29" s="1">
        <v>1.2</v>
      </c>
      <c r="AA29" s="1">
        <v>2</v>
      </c>
      <c r="AB29" s="1">
        <v>4</v>
      </c>
      <c r="AC29" s="1">
        <v>10.199999999999999</v>
      </c>
      <c r="AD29" s="1">
        <v>2.4</v>
      </c>
      <c r="AE29" s="1">
        <v>27.2</v>
      </c>
      <c r="AF29" s="16" t="s">
        <v>55</v>
      </c>
      <c r="AG29" s="1">
        <f>G29*P29</f>
        <v>0</v>
      </c>
      <c r="AH29" s="7">
        <v>16</v>
      </c>
      <c r="AI29" s="20">
        <f>MROUND(P29, AH29*AK29)/AH29</f>
        <v>0</v>
      </c>
      <c r="AJ29" s="1">
        <f>AI29*AH29*G29</f>
        <v>0</v>
      </c>
      <c r="AK29" s="1">
        <v>12</v>
      </c>
      <c r="AL29" s="1">
        <v>84</v>
      </c>
      <c r="AM29" s="20">
        <f t="shared" si="7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72</v>
      </c>
      <c r="B30" s="1" t="s">
        <v>43</v>
      </c>
      <c r="C30" s="1">
        <v>166</v>
      </c>
      <c r="D30" s="1">
        <v>5</v>
      </c>
      <c r="E30" s="1">
        <v>46</v>
      </c>
      <c r="F30" s="1">
        <v>101</v>
      </c>
      <c r="G30" s="7">
        <v>0.7</v>
      </c>
      <c r="H30" s="1">
        <v>180</v>
      </c>
      <c r="I30" s="1" t="s">
        <v>50</v>
      </c>
      <c r="J30" s="1">
        <v>51</v>
      </c>
      <c r="K30" s="1">
        <f t="shared" si="2"/>
        <v>-5</v>
      </c>
      <c r="L30" s="1"/>
      <c r="M30" s="1"/>
      <c r="N30" s="1"/>
      <c r="O30" s="1">
        <f t="shared" si="3"/>
        <v>9.1999999999999993</v>
      </c>
      <c r="P30" s="5">
        <f t="shared" si="9"/>
        <v>83</v>
      </c>
      <c r="Q30" s="5">
        <f t="shared" si="6"/>
        <v>120</v>
      </c>
      <c r="R30" s="5"/>
      <c r="S30" s="1"/>
      <c r="T30" s="1">
        <f t="shared" si="4"/>
        <v>24.021739130434785</v>
      </c>
      <c r="U30" s="1">
        <f t="shared" si="5"/>
        <v>10.978260869565219</v>
      </c>
      <c r="V30" s="1">
        <v>3</v>
      </c>
      <c r="W30" s="1">
        <v>0.6</v>
      </c>
      <c r="X30" s="1">
        <v>7.8</v>
      </c>
      <c r="Y30" s="1">
        <v>7</v>
      </c>
      <c r="Z30" s="1">
        <v>1.6</v>
      </c>
      <c r="AA30" s="1">
        <v>5.2</v>
      </c>
      <c r="AB30" s="1">
        <v>2.2000000000000002</v>
      </c>
      <c r="AC30" s="1">
        <v>1.6</v>
      </c>
      <c r="AD30" s="1">
        <v>7</v>
      </c>
      <c r="AE30" s="1">
        <v>32.9</v>
      </c>
      <c r="AF30" s="1"/>
      <c r="AG30" s="1">
        <f>G30*P30</f>
        <v>58.099999999999994</v>
      </c>
      <c r="AH30" s="7">
        <v>10</v>
      </c>
      <c r="AI30" s="20">
        <f>MROUND(P30, AH30*AK30)/AH30</f>
        <v>12</v>
      </c>
      <c r="AJ30" s="1">
        <f>AI30*AH30*G30</f>
        <v>84</v>
      </c>
      <c r="AK30" s="1">
        <v>12</v>
      </c>
      <c r="AL30" s="1">
        <v>84</v>
      </c>
      <c r="AM30" s="20">
        <f t="shared" si="7"/>
        <v>0.14285714285714285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60</v>
      </c>
      <c r="C31" s="1">
        <v>92.2</v>
      </c>
      <c r="D31" s="1"/>
      <c r="E31" s="1">
        <v>10.8</v>
      </c>
      <c r="F31" s="1">
        <v>81.400000000000006</v>
      </c>
      <c r="G31" s="7">
        <v>1</v>
      </c>
      <c r="H31" s="1">
        <v>180</v>
      </c>
      <c r="I31" s="1" t="s">
        <v>50</v>
      </c>
      <c r="J31" s="1">
        <v>10.8</v>
      </c>
      <c r="K31" s="1">
        <f t="shared" si="2"/>
        <v>0</v>
      </c>
      <c r="L31" s="1"/>
      <c r="M31" s="1"/>
      <c r="N31" s="1"/>
      <c r="O31" s="1">
        <f t="shared" si="3"/>
        <v>2.16</v>
      </c>
      <c r="P31" s="5"/>
      <c r="Q31" s="5">
        <f t="shared" si="6"/>
        <v>0</v>
      </c>
      <c r="R31" s="5"/>
      <c r="S31" s="1"/>
      <c r="T31" s="1">
        <f t="shared" si="4"/>
        <v>37.685185185185183</v>
      </c>
      <c r="U31" s="1">
        <f t="shared" si="5"/>
        <v>37.685185185185183</v>
      </c>
      <c r="V31" s="1">
        <v>0.54</v>
      </c>
      <c r="W31" s="1">
        <v>0.54</v>
      </c>
      <c r="X31" s="1">
        <v>0.54</v>
      </c>
      <c r="Y31" s="1">
        <v>0</v>
      </c>
      <c r="Z31" s="1">
        <v>0.54</v>
      </c>
      <c r="AA31" s="1">
        <v>0.54</v>
      </c>
      <c r="AB31" s="1">
        <v>0</v>
      </c>
      <c r="AC31" s="1">
        <v>0</v>
      </c>
      <c r="AD31" s="1">
        <v>5.4</v>
      </c>
      <c r="AE31" s="1">
        <v>0</v>
      </c>
      <c r="AF31" s="16" t="s">
        <v>55</v>
      </c>
      <c r="AG31" s="1">
        <f>G31*P31</f>
        <v>0</v>
      </c>
      <c r="AH31" s="7">
        <v>2.7</v>
      </c>
      <c r="AI31" s="20">
        <f>MROUND(P31, AH31*AK31)/AH31</f>
        <v>0</v>
      </c>
      <c r="AJ31" s="1">
        <f>AI31*AH31*G31</f>
        <v>0</v>
      </c>
      <c r="AK31" s="1">
        <v>18</v>
      </c>
      <c r="AL31" s="1">
        <v>234</v>
      </c>
      <c r="AM31" s="20">
        <f t="shared" si="7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7" t="s">
        <v>74</v>
      </c>
      <c r="B32" s="1" t="s">
        <v>60</v>
      </c>
      <c r="C32" s="1"/>
      <c r="D32" s="1"/>
      <c r="E32" s="1"/>
      <c r="F32" s="1"/>
      <c r="G32" s="7">
        <v>1</v>
      </c>
      <c r="H32" s="1">
        <v>180</v>
      </c>
      <c r="I32" s="1" t="s">
        <v>50</v>
      </c>
      <c r="J32" s="1"/>
      <c r="K32" s="1">
        <f t="shared" si="2"/>
        <v>0</v>
      </c>
      <c r="L32" s="1"/>
      <c r="M32" s="1"/>
      <c r="N32" s="1"/>
      <c r="O32" s="1">
        <f t="shared" si="3"/>
        <v>0</v>
      </c>
      <c r="P32" s="19">
        <f t="shared" si="9"/>
        <v>0</v>
      </c>
      <c r="Q32" s="5">
        <f t="shared" si="6"/>
        <v>0</v>
      </c>
      <c r="R32" s="5"/>
      <c r="S32" s="1"/>
      <c r="T32" s="1" t="e">
        <f t="shared" si="4"/>
        <v>#DIV/0!</v>
      </c>
      <c r="U32" s="1" t="e">
        <f t="shared" si="5"/>
        <v>#DIV/0!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2</v>
      </c>
      <c r="AB32" s="1">
        <v>1</v>
      </c>
      <c r="AC32" s="1">
        <v>1</v>
      </c>
      <c r="AD32" s="1">
        <v>0</v>
      </c>
      <c r="AE32" s="1">
        <v>20</v>
      </c>
      <c r="AF32" s="18" t="s">
        <v>75</v>
      </c>
      <c r="AG32" s="1">
        <f>G32*P32</f>
        <v>0</v>
      </c>
      <c r="AH32" s="7">
        <v>5</v>
      </c>
      <c r="AI32" s="20">
        <f>MROUND(P32, AH32*AK32)/AH32</f>
        <v>0</v>
      </c>
      <c r="AJ32" s="1">
        <f>AI32*AH32*G32</f>
        <v>0</v>
      </c>
      <c r="AK32" s="1">
        <v>12</v>
      </c>
      <c r="AL32" s="1">
        <v>144</v>
      </c>
      <c r="AM32" s="20">
        <f t="shared" si="7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76</v>
      </c>
      <c r="B33" s="1" t="s">
        <v>43</v>
      </c>
      <c r="C33" s="1">
        <v>320</v>
      </c>
      <c r="D33" s="1">
        <v>4</v>
      </c>
      <c r="E33" s="1">
        <v>30</v>
      </c>
      <c r="F33" s="1">
        <v>272</v>
      </c>
      <c r="G33" s="7">
        <v>0.4</v>
      </c>
      <c r="H33" s="1">
        <v>180</v>
      </c>
      <c r="I33" s="1" t="s">
        <v>50</v>
      </c>
      <c r="J33" s="1">
        <v>34</v>
      </c>
      <c r="K33" s="1">
        <f t="shared" si="2"/>
        <v>-4</v>
      </c>
      <c r="L33" s="1"/>
      <c r="M33" s="1"/>
      <c r="N33" s="1"/>
      <c r="O33" s="1">
        <f t="shared" si="3"/>
        <v>6</v>
      </c>
      <c r="P33" s="5"/>
      <c r="Q33" s="5">
        <f t="shared" si="6"/>
        <v>0</v>
      </c>
      <c r="R33" s="5"/>
      <c r="S33" s="1"/>
      <c r="T33" s="1">
        <f t="shared" si="4"/>
        <v>45.333333333333336</v>
      </c>
      <c r="U33" s="1">
        <f t="shared" si="5"/>
        <v>45.333333333333336</v>
      </c>
      <c r="V33" s="1">
        <v>6.8</v>
      </c>
      <c r="W33" s="1">
        <v>4</v>
      </c>
      <c r="X33" s="1">
        <v>35.6</v>
      </c>
      <c r="Y33" s="1">
        <v>19</v>
      </c>
      <c r="Z33" s="1">
        <v>5</v>
      </c>
      <c r="AA33" s="1">
        <v>14</v>
      </c>
      <c r="AB33" s="1">
        <v>7</v>
      </c>
      <c r="AC33" s="1">
        <v>14</v>
      </c>
      <c r="AD33" s="1">
        <v>24.4</v>
      </c>
      <c r="AE33" s="1">
        <v>43.2</v>
      </c>
      <c r="AF33" s="16" t="s">
        <v>55</v>
      </c>
      <c r="AG33" s="1">
        <f>G33*P33</f>
        <v>0</v>
      </c>
      <c r="AH33" s="7">
        <v>16</v>
      </c>
      <c r="AI33" s="20">
        <f>MROUND(P33, AH33*AK33)/AH33</f>
        <v>0</v>
      </c>
      <c r="AJ33" s="1">
        <f>AI33*AH33*G33</f>
        <v>0</v>
      </c>
      <c r="AK33" s="1">
        <v>12</v>
      </c>
      <c r="AL33" s="1">
        <v>84</v>
      </c>
      <c r="AM33" s="20">
        <f t="shared" si="7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77</v>
      </c>
      <c r="B34" s="1" t="s">
        <v>43</v>
      </c>
      <c r="C34" s="1">
        <v>166</v>
      </c>
      <c r="D34" s="1">
        <v>7</v>
      </c>
      <c r="E34" s="15">
        <f>41+E8</f>
        <v>68</v>
      </c>
      <c r="F34" s="15">
        <f>113+F8</f>
        <v>64</v>
      </c>
      <c r="G34" s="7">
        <v>0.7</v>
      </c>
      <c r="H34" s="1">
        <v>180</v>
      </c>
      <c r="I34" s="1" t="s">
        <v>50</v>
      </c>
      <c r="J34" s="1">
        <v>48</v>
      </c>
      <c r="K34" s="1">
        <f t="shared" si="2"/>
        <v>20</v>
      </c>
      <c r="L34" s="1"/>
      <c r="M34" s="1"/>
      <c r="N34" s="1"/>
      <c r="O34" s="1">
        <f t="shared" si="3"/>
        <v>13.6</v>
      </c>
      <c r="P34" s="5">
        <f t="shared" si="9"/>
        <v>208</v>
      </c>
      <c r="Q34" s="5">
        <f t="shared" si="6"/>
        <v>240</v>
      </c>
      <c r="R34" s="5"/>
      <c r="S34" s="1"/>
      <c r="T34" s="1">
        <f t="shared" si="4"/>
        <v>22.352941176470591</v>
      </c>
      <c r="U34" s="1">
        <f t="shared" si="5"/>
        <v>4.7058823529411766</v>
      </c>
      <c r="V34" s="1">
        <v>7.6</v>
      </c>
      <c r="W34" s="1">
        <v>5</v>
      </c>
      <c r="X34" s="1">
        <v>40.200000000000003</v>
      </c>
      <c r="Y34" s="1">
        <v>18</v>
      </c>
      <c r="Z34" s="1">
        <v>7.4</v>
      </c>
      <c r="AA34" s="1">
        <v>12.4</v>
      </c>
      <c r="AB34" s="1">
        <v>5.8</v>
      </c>
      <c r="AC34" s="1">
        <v>8</v>
      </c>
      <c r="AD34" s="1">
        <v>40.6</v>
      </c>
      <c r="AE34" s="1">
        <v>45.5</v>
      </c>
      <c r="AF34" s="1"/>
      <c r="AG34" s="1">
        <f>G34*P34</f>
        <v>145.6</v>
      </c>
      <c r="AH34" s="7">
        <v>10</v>
      </c>
      <c r="AI34" s="20">
        <f>MROUND(P34, AH34*AK34)/AH34</f>
        <v>24</v>
      </c>
      <c r="AJ34" s="1">
        <f>AI34*AH34*G34</f>
        <v>168</v>
      </c>
      <c r="AK34" s="1">
        <v>12</v>
      </c>
      <c r="AL34" s="1">
        <v>84</v>
      </c>
      <c r="AM34" s="20">
        <f t="shared" si="7"/>
        <v>0.2857142857142857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78</v>
      </c>
      <c r="B35" s="1" t="s">
        <v>43</v>
      </c>
      <c r="C35" s="1">
        <v>473</v>
      </c>
      <c r="D35" s="1"/>
      <c r="E35" s="1">
        <v>29</v>
      </c>
      <c r="F35" s="1">
        <v>426</v>
      </c>
      <c r="G35" s="7">
        <v>0.4</v>
      </c>
      <c r="H35" s="1">
        <v>180</v>
      </c>
      <c r="I35" s="1" t="s">
        <v>50</v>
      </c>
      <c r="J35" s="1">
        <v>29</v>
      </c>
      <c r="K35" s="1">
        <f t="shared" si="2"/>
        <v>0</v>
      </c>
      <c r="L35" s="1"/>
      <c r="M35" s="1"/>
      <c r="N35" s="1"/>
      <c r="O35" s="1">
        <f t="shared" si="3"/>
        <v>5.8</v>
      </c>
      <c r="P35" s="5"/>
      <c r="Q35" s="5">
        <f t="shared" si="6"/>
        <v>0</v>
      </c>
      <c r="R35" s="5"/>
      <c r="S35" s="1"/>
      <c r="T35" s="1">
        <f t="shared" si="4"/>
        <v>73.448275862068968</v>
      </c>
      <c r="U35" s="1">
        <f t="shared" si="5"/>
        <v>73.448275862068968</v>
      </c>
      <c r="V35" s="1">
        <v>7.2</v>
      </c>
      <c r="W35" s="1">
        <v>4.8</v>
      </c>
      <c r="X35" s="1">
        <v>29.4</v>
      </c>
      <c r="Y35" s="1">
        <v>14.6</v>
      </c>
      <c r="Z35" s="1">
        <v>8.1999999999999993</v>
      </c>
      <c r="AA35" s="1">
        <v>11.2</v>
      </c>
      <c r="AB35" s="1">
        <v>6.8</v>
      </c>
      <c r="AC35" s="1">
        <v>11.2</v>
      </c>
      <c r="AD35" s="1">
        <v>12.8</v>
      </c>
      <c r="AE35" s="1">
        <v>60.8</v>
      </c>
      <c r="AF35" s="16" t="s">
        <v>55</v>
      </c>
      <c r="AG35" s="1">
        <f>G35*P35</f>
        <v>0</v>
      </c>
      <c r="AH35" s="7">
        <v>16</v>
      </c>
      <c r="AI35" s="20">
        <f>MROUND(P35, AH35*AK35)/AH35</f>
        <v>0</v>
      </c>
      <c r="AJ35" s="1">
        <f>AI35*AH35*G35</f>
        <v>0</v>
      </c>
      <c r="AK35" s="1">
        <v>12</v>
      </c>
      <c r="AL35" s="1">
        <v>84</v>
      </c>
      <c r="AM35" s="20">
        <f t="shared" si="7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43</v>
      </c>
      <c r="C36" s="1">
        <v>226</v>
      </c>
      <c r="D36" s="1"/>
      <c r="E36" s="1">
        <v>38</v>
      </c>
      <c r="F36" s="1">
        <v>171</v>
      </c>
      <c r="G36" s="7">
        <v>0.7</v>
      </c>
      <c r="H36" s="1">
        <v>180</v>
      </c>
      <c r="I36" s="1" t="s">
        <v>50</v>
      </c>
      <c r="J36" s="1">
        <v>38</v>
      </c>
      <c r="K36" s="1">
        <f t="shared" si="2"/>
        <v>0</v>
      </c>
      <c r="L36" s="1"/>
      <c r="M36" s="1"/>
      <c r="N36" s="1"/>
      <c r="O36" s="1">
        <f t="shared" si="3"/>
        <v>7.6</v>
      </c>
      <c r="P36" s="5"/>
      <c r="Q36" s="5">
        <f t="shared" si="6"/>
        <v>0</v>
      </c>
      <c r="R36" s="5"/>
      <c r="S36" s="1"/>
      <c r="T36" s="1">
        <f t="shared" si="4"/>
        <v>22.5</v>
      </c>
      <c r="U36" s="1">
        <f t="shared" si="5"/>
        <v>22.5</v>
      </c>
      <c r="V36" s="1">
        <v>12</v>
      </c>
      <c r="W36" s="1">
        <v>4</v>
      </c>
      <c r="X36" s="1">
        <v>36.6</v>
      </c>
      <c r="Y36" s="1">
        <v>16.8</v>
      </c>
      <c r="Z36" s="1">
        <v>14.6</v>
      </c>
      <c r="AA36" s="1">
        <v>9.4</v>
      </c>
      <c r="AB36" s="1">
        <v>9.4</v>
      </c>
      <c r="AC36" s="1">
        <v>8.6</v>
      </c>
      <c r="AD36" s="1">
        <v>46.9</v>
      </c>
      <c r="AE36" s="1">
        <v>93.1</v>
      </c>
      <c r="AF36" s="16" t="s">
        <v>55</v>
      </c>
      <c r="AG36" s="1">
        <f>G36*P36</f>
        <v>0</v>
      </c>
      <c r="AH36" s="7">
        <v>10</v>
      </c>
      <c r="AI36" s="20">
        <f>MROUND(P36, AH36*AK36)/AH36</f>
        <v>0</v>
      </c>
      <c r="AJ36" s="1">
        <f>AI36*AH36*G36</f>
        <v>0</v>
      </c>
      <c r="AK36" s="1">
        <v>12</v>
      </c>
      <c r="AL36" s="1">
        <v>84</v>
      </c>
      <c r="AM36" s="20">
        <f t="shared" si="7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7" t="s">
        <v>80</v>
      </c>
      <c r="B37" s="1" t="s">
        <v>43</v>
      </c>
      <c r="C37" s="1">
        <v>2</v>
      </c>
      <c r="D37" s="1"/>
      <c r="E37" s="1"/>
      <c r="F37" s="15">
        <f>2+F9</f>
        <v>0</v>
      </c>
      <c r="G37" s="7">
        <v>0.4</v>
      </c>
      <c r="H37" s="1">
        <v>180</v>
      </c>
      <c r="I37" s="1" t="s">
        <v>50</v>
      </c>
      <c r="J37" s="1">
        <v>3</v>
      </c>
      <c r="K37" s="1">
        <f t="shared" si="2"/>
        <v>-3</v>
      </c>
      <c r="L37" s="1"/>
      <c r="M37" s="1"/>
      <c r="N37" s="1"/>
      <c r="O37" s="1">
        <f t="shared" si="3"/>
        <v>0</v>
      </c>
      <c r="P37" s="19">
        <f t="shared" si="9"/>
        <v>0</v>
      </c>
      <c r="Q37" s="5">
        <f t="shared" si="6"/>
        <v>0</v>
      </c>
      <c r="R37" s="5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0.2</v>
      </c>
      <c r="X37" s="1">
        <v>14.8</v>
      </c>
      <c r="Y37" s="1">
        <v>8</v>
      </c>
      <c r="Z37" s="1">
        <v>4.2</v>
      </c>
      <c r="AA37" s="1">
        <v>0.6</v>
      </c>
      <c r="AB37" s="1">
        <v>2.4</v>
      </c>
      <c r="AC37" s="1">
        <v>1.8</v>
      </c>
      <c r="AD37" s="1">
        <v>4.8</v>
      </c>
      <c r="AE37" s="1">
        <v>17.2</v>
      </c>
      <c r="AF37" s="18" t="s">
        <v>75</v>
      </c>
      <c r="AG37" s="1">
        <f>G37*P37</f>
        <v>0</v>
      </c>
      <c r="AH37" s="7">
        <v>16</v>
      </c>
      <c r="AI37" s="20">
        <f>MROUND(P37, AH37*AK37)/AH37</f>
        <v>0</v>
      </c>
      <c r="AJ37" s="1">
        <f>AI37*AH37*G37</f>
        <v>0</v>
      </c>
      <c r="AK37" s="1">
        <v>12</v>
      </c>
      <c r="AL37" s="1">
        <v>84</v>
      </c>
      <c r="AM37" s="20">
        <f t="shared" si="7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43</v>
      </c>
      <c r="C38" s="1">
        <v>132</v>
      </c>
      <c r="D38" s="1"/>
      <c r="E38" s="1">
        <v>3</v>
      </c>
      <c r="F38" s="1">
        <v>126</v>
      </c>
      <c r="G38" s="7">
        <v>0.7</v>
      </c>
      <c r="H38" s="1">
        <v>180</v>
      </c>
      <c r="I38" s="1" t="s">
        <v>50</v>
      </c>
      <c r="J38" s="1">
        <v>6</v>
      </c>
      <c r="K38" s="1">
        <f t="shared" ref="K38:K59" si="10">E38-J38</f>
        <v>-3</v>
      </c>
      <c r="L38" s="1"/>
      <c r="M38" s="1"/>
      <c r="N38" s="1"/>
      <c r="O38" s="1">
        <f t="shared" si="3"/>
        <v>0.6</v>
      </c>
      <c r="P38" s="5"/>
      <c r="Q38" s="5">
        <f t="shared" si="6"/>
        <v>0</v>
      </c>
      <c r="R38" s="5"/>
      <c r="S38" s="1"/>
      <c r="T38" s="1">
        <f t="shared" si="4"/>
        <v>210</v>
      </c>
      <c r="U38" s="1">
        <f t="shared" si="5"/>
        <v>210</v>
      </c>
      <c r="V38" s="1">
        <v>1.2</v>
      </c>
      <c r="W38" s="1">
        <v>0</v>
      </c>
      <c r="X38" s="1">
        <v>2.6</v>
      </c>
      <c r="Y38" s="1">
        <v>2.4</v>
      </c>
      <c r="Z38" s="1">
        <v>3</v>
      </c>
      <c r="AA38" s="1">
        <v>1.2</v>
      </c>
      <c r="AB38" s="1">
        <v>2</v>
      </c>
      <c r="AC38" s="1">
        <v>0.4</v>
      </c>
      <c r="AD38" s="1">
        <v>4.9000000000000004</v>
      </c>
      <c r="AE38" s="1">
        <v>4.2</v>
      </c>
      <c r="AF38" s="16" t="s">
        <v>55</v>
      </c>
      <c r="AG38" s="1">
        <f>G38*P38</f>
        <v>0</v>
      </c>
      <c r="AH38" s="7">
        <v>8</v>
      </c>
      <c r="AI38" s="20">
        <f>MROUND(P38, AH38*AK38)/AH38</f>
        <v>0</v>
      </c>
      <c r="AJ38" s="1">
        <f>AI38*AH38*G38</f>
        <v>0</v>
      </c>
      <c r="AK38" s="1">
        <v>12</v>
      </c>
      <c r="AL38" s="1">
        <v>84</v>
      </c>
      <c r="AM38" s="20">
        <f t="shared" si="7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43</v>
      </c>
      <c r="C39" s="1">
        <v>358</v>
      </c>
      <c r="D39" s="1"/>
      <c r="E39" s="1">
        <v>40</v>
      </c>
      <c r="F39" s="1">
        <v>308</v>
      </c>
      <c r="G39" s="7">
        <v>0.7</v>
      </c>
      <c r="H39" s="1">
        <v>180</v>
      </c>
      <c r="I39" s="1" t="s">
        <v>50</v>
      </c>
      <c r="J39" s="1">
        <v>40</v>
      </c>
      <c r="K39" s="1">
        <f t="shared" si="10"/>
        <v>0</v>
      </c>
      <c r="L39" s="1"/>
      <c r="M39" s="1"/>
      <c r="N39" s="1"/>
      <c r="O39" s="1">
        <f t="shared" si="3"/>
        <v>8</v>
      </c>
      <c r="P39" s="5"/>
      <c r="Q39" s="5">
        <f t="shared" si="6"/>
        <v>0</v>
      </c>
      <c r="R39" s="5"/>
      <c r="S39" s="1"/>
      <c r="T39" s="1">
        <f t="shared" si="4"/>
        <v>38.5</v>
      </c>
      <c r="U39" s="1">
        <f t="shared" si="5"/>
        <v>38.5</v>
      </c>
      <c r="V39" s="1">
        <v>5.8</v>
      </c>
      <c r="W39" s="1">
        <v>6</v>
      </c>
      <c r="X39" s="1">
        <v>43.2</v>
      </c>
      <c r="Y39" s="1">
        <v>9.4</v>
      </c>
      <c r="Z39" s="1">
        <v>8</v>
      </c>
      <c r="AA39" s="1">
        <v>6.8</v>
      </c>
      <c r="AB39" s="1">
        <v>7.8</v>
      </c>
      <c r="AC39" s="1">
        <v>8.1999999999999993</v>
      </c>
      <c r="AD39" s="1">
        <v>33.6</v>
      </c>
      <c r="AE39" s="1">
        <v>22.4</v>
      </c>
      <c r="AF39" s="16" t="s">
        <v>55</v>
      </c>
      <c r="AG39" s="1">
        <f>G39*P39</f>
        <v>0</v>
      </c>
      <c r="AH39" s="7">
        <v>8</v>
      </c>
      <c r="AI39" s="20">
        <f>MROUND(P39, AH39*AK39)/AH39</f>
        <v>0</v>
      </c>
      <c r="AJ39" s="1">
        <f>AI39*AH39*G39</f>
        <v>0</v>
      </c>
      <c r="AK39" s="1">
        <v>12</v>
      </c>
      <c r="AL39" s="1">
        <v>84</v>
      </c>
      <c r="AM39" s="20">
        <f t="shared" si="7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43</v>
      </c>
      <c r="C40" s="1">
        <v>9</v>
      </c>
      <c r="D40" s="1">
        <v>1</v>
      </c>
      <c r="E40" s="1"/>
      <c r="F40" s="1">
        <v>9</v>
      </c>
      <c r="G40" s="7">
        <v>0.9</v>
      </c>
      <c r="H40" s="1">
        <v>180</v>
      </c>
      <c r="I40" s="1" t="s">
        <v>50</v>
      </c>
      <c r="J40" s="1">
        <v>5</v>
      </c>
      <c r="K40" s="1">
        <f t="shared" si="10"/>
        <v>-5</v>
      </c>
      <c r="L40" s="1"/>
      <c r="M40" s="1"/>
      <c r="N40" s="1"/>
      <c r="O40" s="1">
        <f t="shared" si="3"/>
        <v>0</v>
      </c>
      <c r="P40" s="5"/>
      <c r="Q40" s="5">
        <f t="shared" si="6"/>
        <v>0</v>
      </c>
      <c r="R40" s="5"/>
      <c r="S40" s="1"/>
      <c r="T40" s="1" t="e">
        <f t="shared" si="4"/>
        <v>#DIV/0!</v>
      </c>
      <c r="U40" s="1" t="e">
        <f t="shared" si="5"/>
        <v>#DIV/0!</v>
      </c>
      <c r="V40" s="1">
        <v>0.6</v>
      </c>
      <c r="W40" s="1">
        <v>3</v>
      </c>
      <c r="X40" s="1">
        <v>4.8</v>
      </c>
      <c r="Y40" s="1">
        <v>1.4</v>
      </c>
      <c r="Z40" s="1">
        <v>0.6</v>
      </c>
      <c r="AA40" s="1">
        <v>1.4</v>
      </c>
      <c r="AB40" s="1">
        <v>1.6</v>
      </c>
      <c r="AC40" s="1">
        <v>1</v>
      </c>
      <c r="AD40" s="1">
        <v>13.5</v>
      </c>
      <c r="AE40" s="1">
        <v>5.4</v>
      </c>
      <c r="AF40" s="16" t="s">
        <v>55</v>
      </c>
      <c r="AG40" s="1">
        <f>G40*P40</f>
        <v>0</v>
      </c>
      <c r="AH40" s="7">
        <v>8</v>
      </c>
      <c r="AI40" s="20">
        <f>MROUND(P40, AH40*AK40)/AH40</f>
        <v>0</v>
      </c>
      <c r="AJ40" s="1">
        <f>AI40*AH40*G40</f>
        <v>0</v>
      </c>
      <c r="AK40" s="1">
        <v>12</v>
      </c>
      <c r="AL40" s="1">
        <v>84</v>
      </c>
      <c r="AM40" s="20">
        <f t="shared" si="7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43</v>
      </c>
      <c r="C41" s="1">
        <v>189</v>
      </c>
      <c r="D41" s="1"/>
      <c r="E41" s="1">
        <v>6</v>
      </c>
      <c r="F41" s="1">
        <v>183</v>
      </c>
      <c r="G41" s="7">
        <v>0.43</v>
      </c>
      <c r="H41" s="1">
        <v>180</v>
      </c>
      <c r="I41" s="1" t="s">
        <v>50</v>
      </c>
      <c r="J41" s="1">
        <v>6</v>
      </c>
      <c r="K41" s="1">
        <f t="shared" si="10"/>
        <v>0</v>
      </c>
      <c r="L41" s="1"/>
      <c r="M41" s="1"/>
      <c r="N41" s="1"/>
      <c r="O41" s="1">
        <f t="shared" si="3"/>
        <v>1.2</v>
      </c>
      <c r="P41" s="5"/>
      <c r="Q41" s="5">
        <f t="shared" si="6"/>
        <v>0</v>
      </c>
      <c r="R41" s="5"/>
      <c r="S41" s="1"/>
      <c r="T41" s="1">
        <f t="shared" si="4"/>
        <v>152.5</v>
      </c>
      <c r="U41" s="1">
        <f t="shared" si="5"/>
        <v>152.5</v>
      </c>
      <c r="V41" s="1">
        <v>0.8</v>
      </c>
      <c r="W41" s="1">
        <v>1</v>
      </c>
      <c r="X41" s="1">
        <v>0</v>
      </c>
      <c r="Y41" s="1">
        <v>0.4</v>
      </c>
      <c r="Z41" s="1">
        <v>0</v>
      </c>
      <c r="AA41" s="1">
        <v>0</v>
      </c>
      <c r="AB41" s="1">
        <v>-0.2</v>
      </c>
      <c r="AC41" s="1">
        <v>0</v>
      </c>
      <c r="AD41" s="1">
        <v>0</v>
      </c>
      <c r="AE41" s="1">
        <v>-0.86</v>
      </c>
      <c r="AF41" s="16" t="s">
        <v>55</v>
      </c>
      <c r="AG41" s="1">
        <f>G41*P41</f>
        <v>0</v>
      </c>
      <c r="AH41" s="7">
        <v>16</v>
      </c>
      <c r="AI41" s="20">
        <f>MROUND(P41, AH41*AK41)/AH41</f>
        <v>0</v>
      </c>
      <c r="AJ41" s="1">
        <f>AI41*AH41*G41</f>
        <v>0</v>
      </c>
      <c r="AK41" s="1">
        <v>12</v>
      </c>
      <c r="AL41" s="1">
        <v>84</v>
      </c>
      <c r="AM41" s="20">
        <f t="shared" si="7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43</v>
      </c>
      <c r="C42" s="1">
        <v>41</v>
      </c>
      <c r="D42" s="1">
        <v>2</v>
      </c>
      <c r="E42" s="1"/>
      <c r="F42" s="1">
        <v>41</v>
      </c>
      <c r="G42" s="7">
        <v>0.9</v>
      </c>
      <c r="H42" s="1">
        <v>180</v>
      </c>
      <c r="I42" s="1" t="s">
        <v>50</v>
      </c>
      <c r="J42" s="1">
        <v>5</v>
      </c>
      <c r="K42" s="1">
        <f t="shared" si="10"/>
        <v>-5</v>
      </c>
      <c r="L42" s="1"/>
      <c r="M42" s="1"/>
      <c r="N42" s="1"/>
      <c r="O42" s="1">
        <f t="shared" si="3"/>
        <v>0</v>
      </c>
      <c r="P42" s="5"/>
      <c r="Q42" s="5">
        <f t="shared" si="6"/>
        <v>0</v>
      </c>
      <c r="R42" s="5"/>
      <c r="S42" s="1"/>
      <c r="T42" s="1" t="e">
        <f t="shared" si="4"/>
        <v>#DIV/0!</v>
      </c>
      <c r="U42" s="1" t="e">
        <f t="shared" si="5"/>
        <v>#DIV/0!</v>
      </c>
      <c r="V42" s="1">
        <v>0.4</v>
      </c>
      <c r="W42" s="1">
        <v>1.2</v>
      </c>
      <c r="X42" s="1">
        <v>0.6</v>
      </c>
      <c r="Y42" s="1">
        <v>1.4</v>
      </c>
      <c r="Z42" s="1">
        <v>1</v>
      </c>
      <c r="AA42" s="1">
        <v>1</v>
      </c>
      <c r="AB42" s="1">
        <v>1.8</v>
      </c>
      <c r="AC42" s="1">
        <v>2</v>
      </c>
      <c r="AD42" s="1">
        <v>4.5</v>
      </c>
      <c r="AE42" s="1">
        <v>8.1</v>
      </c>
      <c r="AF42" s="16" t="s">
        <v>55</v>
      </c>
      <c r="AG42" s="1">
        <f>G42*P42</f>
        <v>0</v>
      </c>
      <c r="AH42" s="7">
        <v>8</v>
      </c>
      <c r="AI42" s="20">
        <f>MROUND(P42, AH42*AK42)/AH42</f>
        <v>0</v>
      </c>
      <c r="AJ42" s="1">
        <f>AI42*AH42*G42</f>
        <v>0</v>
      </c>
      <c r="AK42" s="1">
        <v>12</v>
      </c>
      <c r="AL42" s="1">
        <v>84</v>
      </c>
      <c r="AM42" s="20">
        <f t="shared" si="7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43</v>
      </c>
      <c r="C43" s="1">
        <v>117</v>
      </c>
      <c r="D43" s="1"/>
      <c r="E43" s="1">
        <v>3</v>
      </c>
      <c r="F43" s="1">
        <v>108</v>
      </c>
      <c r="G43" s="7">
        <v>0.43</v>
      </c>
      <c r="H43" s="1">
        <v>180</v>
      </c>
      <c r="I43" s="1" t="s">
        <v>50</v>
      </c>
      <c r="J43" s="1">
        <v>3</v>
      </c>
      <c r="K43" s="1">
        <f t="shared" si="10"/>
        <v>0</v>
      </c>
      <c r="L43" s="1"/>
      <c r="M43" s="1"/>
      <c r="N43" s="1"/>
      <c r="O43" s="1">
        <f t="shared" si="3"/>
        <v>0.6</v>
      </c>
      <c r="P43" s="5"/>
      <c r="Q43" s="5">
        <f t="shared" ref="Q43:Q59" si="11">AH43*AI43</f>
        <v>0</v>
      </c>
      <c r="R43" s="5"/>
      <c r="S43" s="1"/>
      <c r="T43" s="1">
        <f t="shared" si="4"/>
        <v>180</v>
      </c>
      <c r="U43" s="1">
        <f t="shared" si="5"/>
        <v>180</v>
      </c>
      <c r="V43" s="1">
        <v>0.6</v>
      </c>
      <c r="W43" s="1">
        <v>0.4</v>
      </c>
      <c r="X43" s="1">
        <v>3.4</v>
      </c>
      <c r="Y43" s="1">
        <v>4.5999999999999996</v>
      </c>
      <c r="Z43" s="1">
        <v>0.6</v>
      </c>
      <c r="AA43" s="1">
        <v>1.2</v>
      </c>
      <c r="AB43" s="1">
        <v>2.4</v>
      </c>
      <c r="AC43" s="1">
        <v>1.4</v>
      </c>
      <c r="AD43" s="1">
        <v>0.86</v>
      </c>
      <c r="AE43" s="1">
        <v>1.29</v>
      </c>
      <c r="AF43" s="16" t="s">
        <v>55</v>
      </c>
      <c r="AG43" s="1">
        <f>G43*P43</f>
        <v>0</v>
      </c>
      <c r="AH43" s="7">
        <v>16</v>
      </c>
      <c r="AI43" s="20">
        <f>MROUND(P43, AH43*AK43)/AH43</f>
        <v>0</v>
      </c>
      <c r="AJ43" s="1">
        <f>AI43*AH43*G43</f>
        <v>0</v>
      </c>
      <c r="AK43" s="1">
        <v>12</v>
      </c>
      <c r="AL43" s="1">
        <v>84</v>
      </c>
      <c r="AM43" s="20">
        <f t="shared" ref="AM43:AM74" si="12">AI43/AL43</f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87</v>
      </c>
      <c r="B44" s="1" t="s">
        <v>60</v>
      </c>
      <c r="C44" s="1">
        <v>20</v>
      </c>
      <c r="D44" s="1"/>
      <c r="E44" s="1">
        <v>10</v>
      </c>
      <c r="F44" s="1">
        <v>10</v>
      </c>
      <c r="G44" s="7">
        <v>1</v>
      </c>
      <c r="H44" s="1">
        <v>180</v>
      </c>
      <c r="I44" s="1" t="s">
        <v>50</v>
      </c>
      <c r="J44" s="1">
        <v>10</v>
      </c>
      <c r="K44" s="1">
        <f t="shared" si="10"/>
        <v>0</v>
      </c>
      <c r="L44" s="1"/>
      <c r="M44" s="1"/>
      <c r="N44" s="1"/>
      <c r="O44" s="1">
        <f t="shared" si="3"/>
        <v>2</v>
      </c>
      <c r="P44" s="5">
        <f t="shared" si="9"/>
        <v>30</v>
      </c>
      <c r="Q44" s="5">
        <f t="shared" si="11"/>
        <v>60</v>
      </c>
      <c r="R44" s="5"/>
      <c r="S44" s="1"/>
      <c r="T44" s="1">
        <f t="shared" si="4"/>
        <v>35</v>
      </c>
      <c r="U44" s="1">
        <f t="shared" si="5"/>
        <v>5</v>
      </c>
      <c r="V44" s="1">
        <v>1</v>
      </c>
      <c r="W44" s="1">
        <v>0</v>
      </c>
      <c r="X44" s="1">
        <v>0</v>
      </c>
      <c r="Y44" s="1">
        <v>1</v>
      </c>
      <c r="Z44" s="1">
        <v>1</v>
      </c>
      <c r="AA44" s="1">
        <v>3</v>
      </c>
      <c r="AB44" s="1">
        <v>0</v>
      </c>
      <c r="AC44" s="1">
        <v>0</v>
      </c>
      <c r="AD44" s="1">
        <v>10</v>
      </c>
      <c r="AE44" s="1">
        <v>10</v>
      </c>
      <c r="AF44" s="1"/>
      <c r="AG44" s="1">
        <f>G44*P44</f>
        <v>30</v>
      </c>
      <c r="AH44" s="7">
        <v>5</v>
      </c>
      <c r="AI44" s="20">
        <f>MROUND(P44, AH44*AK44)/AH44</f>
        <v>12</v>
      </c>
      <c r="AJ44" s="1">
        <f>AI44*AH44*G44</f>
        <v>60</v>
      </c>
      <c r="AK44" s="1">
        <v>12</v>
      </c>
      <c r="AL44" s="1">
        <v>144</v>
      </c>
      <c r="AM44" s="20">
        <f t="shared" si="12"/>
        <v>8.3333333333333329E-2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88</v>
      </c>
      <c r="B45" s="1" t="s">
        <v>43</v>
      </c>
      <c r="C45" s="1">
        <v>87</v>
      </c>
      <c r="D45" s="1"/>
      <c r="E45" s="1">
        <v>24</v>
      </c>
      <c r="F45" s="1">
        <v>63</v>
      </c>
      <c r="G45" s="7">
        <v>1</v>
      </c>
      <c r="H45" s="1">
        <v>180</v>
      </c>
      <c r="I45" s="1" t="s">
        <v>50</v>
      </c>
      <c r="J45" s="1">
        <v>22</v>
      </c>
      <c r="K45" s="1">
        <f t="shared" si="10"/>
        <v>2</v>
      </c>
      <c r="L45" s="1"/>
      <c r="M45" s="1"/>
      <c r="N45" s="1"/>
      <c r="O45" s="1">
        <f t="shared" si="3"/>
        <v>4.8</v>
      </c>
      <c r="P45" s="5">
        <f t="shared" si="9"/>
        <v>33</v>
      </c>
      <c r="Q45" s="5">
        <f t="shared" si="11"/>
        <v>60</v>
      </c>
      <c r="R45" s="5"/>
      <c r="S45" s="1"/>
      <c r="T45" s="1">
        <f t="shared" si="4"/>
        <v>25.625</v>
      </c>
      <c r="U45" s="1">
        <f t="shared" si="5"/>
        <v>13.125</v>
      </c>
      <c r="V45" s="1">
        <v>4.2</v>
      </c>
      <c r="W45" s="1">
        <v>4</v>
      </c>
      <c r="X45" s="1">
        <v>1.2</v>
      </c>
      <c r="Y45" s="1">
        <v>2</v>
      </c>
      <c r="Z45" s="1">
        <v>5</v>
      </c>
      <c r="AA45" s="1">
        <v>1.4</v>
      </c>
      <c r="AB45" s="1">
        <v>1.4</v>
      </c>
      <c r="AC45" s="1">
        <v>0.4</v>
      </c>
      <c r="AD45" s="1">
        <v>16</v>
      </c>
      <c r="AE45" s="1">
        <v>21</v>
      </c>
      <c r="AF45" s="1"/>
      <c r="AG45" s="1">
        <f>G45*P45</f>
        <v>33</v>
      </c>
      <c r="AH45" s="7">
        <v>5</v>
      </c>
      <c r="AI45" s="20">
        <f>MROUND(P45, AH45*AK45)/AH45</f>
        <v>12</v>
      </c>
      <c r="AJ45" s="1">
        <f>AI45*AH45*G45</f>
        <v>60</v>
      </c>
      <c r="AK45" s="1">
        <v>12</v>
      </c>
      <c r="AL45" s="1">
        <v>84</v>
      </c>
      <c r="AM45" s="20">
        <f t="shared" si="12"/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7" t="s">
        <v>89</v>
      </c>
      <c r="B46" s="1" t="s">
        <v>60</v>
      </c>
      <c r="C46" s="1"/>
      <c r="D46" s="1"/>
      <c r="E46" s="1"/>
      <c r="F46" s="1"/>
      <c r="G46" s="7">
        <v>1</v>
      </c>
      <c r="H46" s="1">
        <v>180</v>
      </c>
      <c r="I46" s="1" t="s">
        <v>50</v>
      </c>
      <c r="J46" s="1">
        <v>18.5</v>
      </c>
      <c r="K46" s="1">
        <f t="shared" si="10"/>
        <v>-18.5</v>
      </c>
      <c r="L46" s="1"/>
      <c r="M46" s="1"/>
      <c r="N46" s="1"/>
      <c r="O46" s="1">
        <f t="shared" si="3"/>
        <v>0</v>
      </c>
      <c r="P46" s="19">
        <f t="shared" si="9"/>
        <v>0</v>
      </c>
      <c r="Q46" s="5">
        <f t="shared" si="11"/>
        <v>0</v>
      </c>
      <c r="R46" s="5"/>
      <c r="S46" s="1"/>
      <c r="T46" s="1" t="e">
        <f t="shared" si="4"/>
        <v>#DIV/0!</v>
      </c>
      <c r="U46" s="1" t="e">
        <f t="shared" si="5"/>
        <v>#DIV/0!</v>
      </c>
      <c r="V46" s="1">
        <v>0</v>
      </c>
      <c r="W46" s="1">
        <v>0.74</v>
      </c>
      <c r="X46" s="1">
        <v>0.74</v>
      </c>
      <c r="Y46" s="1">
        <v>0.74</v>
      </c>
      <c r="Z46" s="1">
        <v>2.2200000000000002</v>
      </c>
      <c r="AA46" s="1">
        <v>0</v>
      </c>
      <c r="AB46" s="1">
        <v>0.74</v>
      </c>
      <c r="AC46" s="1">
        <v>0</v>
      </c>
      <c r="AD46" s="1">
        <v>7.4</v>
      </c>
      <c r="AE46" s="1">
        <v>11.1</v>
      </c>
      <c r="AF46" s="18" t="s">
        <v>75</v>
      </c>
      <c r="AG46" s="1">
        <f>G46*P46</f>
        <v>0</v>
      </c>
      <c r="AH46" s="7">
        <v>3.7</v>
      </c>
      <c r="AI46" s="20">
        <f>MROUND(P46, AH46*AK46)/AH46</f>
        <v>0</v>
      </c>
      <c r="AJ46" s="1">
        <f>AI46*AH46*G46</f>
        <v>0</v>
      </c>
      <c r="AK46" s="1">
        <v>14</v>
      </c>
      <c r="AL46" s="1">
        <v>126</v>
      </c>
      <c r="AM46" s="20">
        <f t="shared" si="12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90</v>
      </c>
      <c r="B47" s="1" t="s">
        <v>43</v>
      </c>
      <c r="C47" s="1">
        <v>549</v>
      </c>
      <c r="D47" s="1"/>
      <c r="E47" s="15">
        <f>65+E10</f>
        <v>85</v>
      </c>
      <c r="F47" s="15">
        <f>466+F10</f>
        <v>416</v>
      </c>
      <c r="G47" s="7">
        <v>0.09</v>
      </c>
      <c r="H47" s="1">
        <v>180</v>
      </c>
      <c r="I47" s="1" t="s">
        <v>50</v>
      </c>
      <c r="J47" s="1">
        <v>65</v>
      </c>
      <c r="K47" s="1">
        <f t="shared" si="10"/>
        <v>20</v>
      </c>
      <c r="L47" s="1"/>
      <c r="M47" s="1"/>
      <c r="N47" s="1"/>
      <c r="O47" s="1">
        <f t="shared" si="3"/>
        <v>17</v>
      </c>
      <c r="P47" s="5"/>
      <c r="Q47" s="5">
        <f t="shared" si="11"/>
        <v>0</v>
      </c>
      <c r="R47" s="5"/>
      <c r="S47" s="1"/>
      <c r="T47" s="1">
        <f t="shared" si="4"/>
        <v>24.470588235294116</v>
      </c>
      <c r="U47" s="1">
        <f t="shared" si="5"/>
        <v>24.470588235294116</v>
      </c>
      <c r="V47" s="1">
        <v>28</v>
      </c>
      <c r="W47" s="1">
        <v>17.600000000000001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6" t="s">
        <v>55</v>
      </c>
      <c r="AG47" s="1">
        <f>G47*P47</f>
        <v>0</v>
      </c>
      <c r="AH47" s="7">
        <v>30</v>
      </c>
      <c r="AI47" s="20">
        <f>MROUND(P47, AH47*AK47)/AH47</f>
        <v>0</v>
      </c>
      <c r="AJ47" s="1">
        <f>AI47*AH47*G47</f>
        <v>0</v>
      </c>
      <c r="AK47" s="1">
        <v>14</v>
      </c>
      <c r="AL47" s="1">
        <v>126</v>
      </c>
      <c r="AM47" s="20">
        <f t="shared" si="12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91</v>
      </c>
      <c r="B48" s="1" t="s">
        <v>43</v>
      </c>
      <c r="C48" s="1">
        <v>417</v>
      </c>
      <c r="D48" s="1"/>
      <c r="E48" s="1">
        <v>101</v>
      </c>
      <c r="F48" s="1">
        <v>287</v>
      </c>
      <c r="G48" s="7">
        <v>0.25</v>
      </c>
      <c r="H48" s="1">
        <v>180</v>
      </c>
      <c r="I48" s="1" t="s">
        <v>50</v>
      </c>
      <c r="J48" s="1">
        <v>101</v>
      </c>
      <c r="K48" s="1">
        <f t="shared" si="10"/>
        <v>0</v>
      </c>
      <c r="L48" s="1"/>
      <c r="M48" s="1"/>
      <c r="N48" s="1"/>
      <c r="O48" s="1">
        <f t="shared" si="3"/>
        <v>20.2</v>
      </c>
      <c r="P48" s="5">
        <f t="shared" si="9"/>
        <v>117</v>
      </c>
      <c r="Q48" s="5">
        <f t="shared" si="11"/>
        <v>168</v>
      </c>
      <c r="R48" s="5"/>
      <c r="S48" s="1"/>
      <c r="T48" s="1">
        <f t="shared" si="4"/>
        <v>22.524752475247524</v>
      </c>
      <c r="U48" s="1">
        <f t="shared" si="5"/>
        <v>14.207920792079209</v>
      </c>
      <c r="V48" s="1">
        <v>11.6</v>
      </c>
      <c r="W48" s="1">
        <v>16.399999999999999</v>
      </c>
      <c r="X48" s="1">
        <v>65</v>
      </c>
      <c r="Y48" s="1">
        <v>20.399999999999999</v>
      </c>
      <c r="Z48" s="1">
        <v>25.6</v>
      </c>
      <c r="AA48" s="1">
        <v>31</v>
      </c>
      <c r="AB48" s="1">
        <v>0</v>
      </c>
      <c r="AC48" s="1">
        <v>6.8</v>
      </c>
      <c r="AD48" s="1">
        <v>10.75</v>
      </c>
      <c r="AE48" s="1">
        <v>65.25</v>
      </c>
      <c r="AF48" s="1"/>
      <c r="AG48" s="1">
        <f>G48*P48</f>
        <v>29.25</v>
      </c>
      <c r="AH48" s="7">
        <v>12</v>
      </c>
      <c r="AI48" s="20">
        <f>MROUND(P48, AH48*AK48)/AH48</f>
        <v>14</v>
      </c>
      <c r="AJ48" s="1">
        <f>AI48*AH48*G48</f>
        <v>42</v>
      </c>
      <c r="AK48" s="1">
        <v>14</v>
      </c>
      <c r="AL48" s="1">
        <v>70</v>
      </c>
      <c r="AM48" s="20">
        <f t="shared" si="12"/>
        <v>0.2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92</v>
      </c>
      <c r="B49" s="1" t="s">
        <v>43</v>
      </c>
      <c r="C49" s="1">
        <v>367</v>
      </c>
      <c r="D49" s="1"/>
      <c r="E49" s="1">
        <v>30</v>
      </c>
      <c r="F49" s="1">
        <v>333</v>
      </c>
      <c r="G49" s="7">
        <v>0.3</v>
      </c>
      <c r="H49" s="1">
        <v>180</v>
      </c>
      <c r="I49" s="1" t="s">
        <v>50</v>
      </c>
      <c r="J49" s="1">
        <v>30</v>
      </c>
      <c r="K49" s="1">
        <f t="shared" si="10"/>
        <v>0</v>
      </c>
      <c r="L49" s="1"/>
      <c r="M49" s="1"/>
      <c r="N49" s="1"/>
      <c r="O49" s="1">
        <f t="shared" si="3"/>
        <v>6</v>
      </c>
      <c r="P49" s="5"/>
      <c r="Q49" s="5">
        <f t="shared" si="11"/>
        <v>0</v>
      </c>
      <c r="R49" s="5"/>
      <c r="S49" s="1"/>
      <c r="T49" s="1">
        <f t="shared" si="4"/>
        <v>55.5</v>
      </c>
      <c r="U49" s="1">
        <f t="shared" si="5"/>
        <v>55.5</v>
      </c>
      <c r="V49" s="1">
        <v>6.4</v>
      </c>
      <c r="W49" s="1">
        <v>6.8</v>
      </c>
      <c r="X49" s="1">
        <v>56.4</v>
      </c>
      <c r="Y49" s="1">
        <v>10.199999999999999</v>
      </c>
      <c r="Z49" s="1">
        <v>11.8</v>
      </c>
      <c r="AA49" s="1">
        <v>6.8</v>
      </c>
      <c r="AB49" s="1">
        <v>7.2</v>
      </c>
      <c r="AC49" s="1">
        <v>8.8000000000000007</v>
      </c>
      <c r="AD49" s="1">
        <v>21</v>
      </c>
      <c r="AE49" s="1">
        <v>37.5</v>
      </c>
      <c r="AF49" s="16" t="s">
        <v>55</v>
      </c>
      <c r="AG49" s="1">
        <f>G49*P49</f>
        <v>0</v>
      </c>
      <c r="AH49" s="7">
        <v>12</v>
      </c>
      <c r="AI49" s="20">
        <f>MROUND(P49, AH49*AK49)/AH49</f>
        <v>0</v>
      </c>
      <c r="AJ49" s="1">
        <f>AI49*AH49*G49</f>
        <v>0</v>
      </c>
      <c r="AK49" s="1">
        <v>14</v>
      </c>
      <c r="AL49" s="1">
        <v>70</v>
      </c>
      <c r="AM49" s="20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93</v>
      </c>
      <c r="B50" s="1" t="s">
        <v>60</v>
      </c>
      <c r="C50" s="1">
        <v>66.599999999999994</v>
      </c>
      <c r="D50" s="1"/>
      <c r="E50" s="1">
        <v>7.2</v>
      </c>
      <c r="F50" s="1">
        <v>59.4</v>
      </c>
      <c r="G50" s="7">
        <v>1</v>
      </c>
      <c r="H50" s="1">
        <v>180</v>
      </c>
      <c r="I50" s="1" t="s">
        <v>50</v>
      </c>
      <c r="J50" s="1">
        <v>7.2</v>
      </c>
      <c r="K50" s="1">
        <f t="shared" si="10"/>
        <v>0</v>
      </c>
      <c r="L50" s="1"/>
      <c r="M50" s="1"/>
      <c r="N50" s="1"/>
      <c r="O50" s="1">
        <f t="shared" si="3"/>
        <v>1.44</v>
      </c>
      <c r="P50" s="5"/>
      <c r="Q50" s="5">
        <f t="shared" si="11"/>
        <v>0</v>
      </c>
      <c r="R50" s="5"/>
      <c r="S50" s="1"/>
      <c r="T50" s="1">
        <f t="shared" si="4"/>
        <v>41.25</v>
      </c>
      <c r="U50" s="1">
        <f t="shared" si="5"/>
        <v>41.25</v>
      </c>
      <c r="V50" s="1">
        <v>1.08</v>
      </c>
      <c r="W50" s="1">
        <v>0.72</v>
      </c>
      <c r="X50" s="1">
        <v>0.72</v>
      </c>
      <c r="Y50" s="1">
        <v>0.72</v>
      </c>
      <c r="Z50" s="1">
        <v>0</v>
      </c>
      <c r="AA50" s="1">
        <v>0.4</v>
      </c>
      <c r="AB50" s="1">
        <v>0</v>
      </c>
      <c r="AC50" s="1">
        <v>0</v>
      </c>
      <c r="AD50" s="1">
        <v>0</v>
      </c>
      <c r="AE50" s="1">
        <v>0</v>
      </c>
      <c r="AF50" s="16" t="s">
        <v>55</v>
      </c>
      <c r="AG50" s="1">
        <f>G50*P50</f>
        <v>0</v>
      </c>
      <c r="AH50" s="7">
        <v>1.8</v>
      </c>
      <c r="AI50" s="20">
        <f>MROUND(P50, AH50*AK50)/AH50</f>
        <v>0</v>
      </c>
      <c r="AJ50" s="1">
        <f>AI50*AH50*G50</f>
        <v>0</v>
      </c>
      <c r="AK50" s="1">
        <v>18</v>
      </c>
      <c r="AL50" s="1">
        <v>234</v>
      </c>
      <c r="AM50" s="20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94</v>
      </c>
      <c r="B51" s="1" t="s">
        <v>43</v>
      </c>
      <c r="C51" s="1">
        <v>682</v>
      </c>
      <c r="D51" s="1"/>
      <c r="E51" s="1">
        <v>43</v>
      </c>
      <c r="F51" s="1">
        <v>628</v>
      </c>
      <c r="G51" s="7">
        <v>0.3</v>
      </c>
      <c r="H51" s="1">
        <v>180</v>
      </c>
      <c r="I51" s="1" t="s">
        <v>50</v>
      </c>
      <c r="J51" s="1">
        <v>43</v>
      </c>
      <c r="K51" s="1">
        <f t="shared" si="10"/>
        <v>0</v>
      </c>
      <c r="L51" s="1"/>
      <c r="M51" s="1"/>
      <c r="N51" s="1"/>
      <c r="O51" s="1">
        <f t="shared" si="3"/>
        <v>8.6</v>
      </c>
      <c r="P51" s="5"/>
      <c r="Q51" s="5">
        <f t="shared" si="11"/>
        <v>0</v>
      </c>
      <c r="R51" s="5"/>
      <c r="S51" s="1"/>
      <c r="T51" s="1">
        <f t="shared" si="4"/>
        <v>73.023255813953497</v>
      </c>
      <c r="U51" s="1">
        <f t="shared" si="5"/>
        <v>73.023255813953497</v>
      </c>
      <c r="V51" s="1">
        <v>8.8000000000000007</v>
      </c>
      <c r="W51" s="1">
        <v>9</v>
      </c>
      <c r="X51" s="1">
        <v>58.4</v>
      </c>
      <c r="Y51" s="1">
        <v>6.6</v>
      </c>
      <c r="Z51" s="1">
        <v>12.6</v>
      </c>
      <c r="AA51" s="1">
        <v>6.6</v>
      </c>
      <c r="AB51" s="1">
        <v>21.2</v>
      </c>
      <c r="AC51" s="1">
        <v>15.2</v>
      </c>
      <c r="AD51" s="1">
        <v>34.5</v>
      </c>
      <c r="AE51" s="1">
        <v>52.2</v>
      </c>
      <c r="AF51" s="16" t="s">
        <v>55</v>
      </c>
      <c r="AG51" s="1">
        <f>G51*P51</f>
        <v>0</v>
      </c>
      <c r="AH51" s="7">
        <v>12</v>
      </c>
      <c r="AI51" s="20">
        <f>MROUND(P51, AH51*AK51)/AH51</f>
        <v>0</v>
      </c>
      <c r="AJ51" s="1">
        <f>AI51*AH51*G51</f>
        <v>0</v>
      </c>
      <c r="AK51" s="1">
        <v>14</v>
      </c>
      <c r="AL51" s="1">
        <v>70</v>
      </c>
      <c r="AM51" s="20">
        <f t="shared" si="12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95</v>
      </c>
      <c r="B52" s="1" t="s">
        <v>43</v>
      </c>
      <c r="C52" s="1">
        <v>124</v>
      </c>
      <c r="D52" s="1"/>
      <c r="E52" s="1">
        <v>34</v>
      </c>
      <c r="F52" s="1">
        <v>90</v>
      </c>
      <c r="G52" s="7">
        <v>0.2</v>
      </c>
      <c r="H52" s="1">
        <v>365</v>
      </c>
      <c r="I52" s="1" t="s">
        <v>50</v>
      </c>
      <c r="J52" s="1">
        <v>34</v>
      </c>
      <c r="K52" s="1">
        <f t="shared" si="10"/>
        <v>0</v>
      </c>
      <c r="L52" s="1"/>
      <c r="M52" s="1"/>
      <c r="N52" s="1"/>
      <c r="O52" s="1">
        <f t="shared" si="3"/>
        <v>6.8</v>
      </c>
      <c r="P52" s="5">
        <f t="shared" si="9"/>
        <v>46</v>
      </c>
      <c r="Q52" s="5">
        <f t="shared" si="11"/>
        <v>60</v>
      </c>
      <c r="R52" s="5"/>
      <c r="S52" s="1"/>
      <c r="T52" s="1">
        <f t="shared" si="4"/>
        <v>22.058823529411764</v>
      </c>
      <c r="U52" s="1">
        <f t="shared" si="5"/>
        <v>13.23529411764706</v>
      </c>
      <c r="V52" s="1">
        <v>0</v>
      </c>
      <c r="W52" s="1">
        <v>3.2</v>
      </c>
      <c r="X52" s="1">
        <v>3.4</v>
      </c>
      <c r="Y52" s="1">
        <v>5.4</v>
      </c>
      <c r="Z52" s="1">
        <v>2.6</v>
      </c>
      <c r="AA52" s="1">
        <v>1.4</v>
      </c>
      <c r="AB52" s="1">
        <v>1.2</v>
      </c>
      <c r="AC52" s="1">
        <v>3.6</v>
      </c>
      <c r="AD52" s="1">
        <v>2.4</v>
      </c>
      <c r="AE52" s="1">
        <v>3.8</v>
      </c>
      <c r="AF52" s="1"/>
      <c r="AG52" s="1">
        <f>G52*P52</f>
        <v>9.2000000000000011</v>
      </c>
      <c r="AH52" s="7">
        <v>6</v>
      </c>
      <c r="AI52" s="20">
        <f>MROUND(P52, AH52*AK52)/AH52</f>
        <v>10</v>
      </c>
      <c r="AJ52" s="1">
        <f>AI52*AH52*G52</f>
        <v>12</v>
      </c>
      <c r="AK52" s="1">
        <v>10</v>
      </c>
      <c r="AL52" s="1">
        <v>130</v>
      </c>
      <c r="AM52" s="20">
        <f t="shared" si="12"/>
        <v>7.6923076923076927E-2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96</v>
      </c>
      <c r="B53" s="10" t="s">
        <v>43</v>
      </c>
      <c r="C53" s="10"/>
      <c r="D53" s="10"/>
      <c r="E53" s="10"/>
      <c r="F53" s="10"/>
      <c r="G53" s="13">
        <v>0</v>
      </c>
      <c r="H53" s="10">
        <v>365</v>
      </c>
      <c r="I53" s="10" t="s">
        <v>50</v>
      </c>
      <c r="J53" s="10"/>
      <c r="K53" s="10">
        <f t="shared" si="10"/>
        <v>0</v>
      </c>
      <c r="L53" s="10"/>
      <c r="M53" s="10"/>
      <c r="N53" s="10"/>
      <c r="O53" s="10">
        <f t="shared" si="3"/>
        <v>0</v>
      </c>
      <c r="P53" s="14"/>
      <c r="Q53" s="14">
        <f t="shared" si="11"/>
        <v>0</v>
      </c>
      <c r="R53" s="14"/>
      <c r="S53" s="10"/>
      <c r="T53" s="10" t="e">
        <f t="shared" si="4"/>
        <v>#DIV/0!</v>
      </c>
      <c r="U53" s="10" t="e">
        <f t="shared" si="5"/>
        <v>#DIV/0!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 t="s">
        <v>97</v>
      </c>
      <c r="AG53" s="10">
        <f>G53*P53</f>
        <v>0</v>
      </c>
      <c r="AH53" s="13">
        <v>6</v>
      </c>
      <c r="AI53" s="23">
        <f>MROUND(P53, AH53*AK53)/AH53</f>
        <v>0</v>
      </c>
      <c r="AJ53" s="10">
        <f>AI53*AH53*G53</f>
        <v>0</v>
      </c>
      <c r="AK53" s="10">
        <v>10</v>
      </c>
      <c r="AL53" s="10"/>
      <c r="AM53" s="23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43</v>
      </c>
      <c r="C54" s="1">
        <v>4056</v>
      </c>
      <c r="D54" s="1"/>
      <c r="E54" s="1">
        <v>920</v>
      </c>
      <c r="F54" s="1">
        <v>3128</v>
      </c>
      <c r="G54" s="7">
        <v>0.3</v>
      </c>
      <c r="H54" s="1">
        <v>180</v>
      </c>
      <c r="I54" s="1" t="s">
        <v>50</v>
      </c>
      <c r="J54" s="1">
        <v>920</v>
      </c>
      <c r="K54" s="1">
        <f t="shared" si="10"/>
        <v>0</v>
      </c>
      <c r="L54" s="1"/>
      <c r="M54" s="1"/>
      <c r="N54" s="1"/>
      <c r="O54" s="1">
        <f t="shared" si="3"/>
        <v>184</v>
      </c>
      <c r="P54" s="5">
        <f t="shared" ref="P54:P59" si="13">20*O54-F54</f>
        <v>552</v>
      </c>
      <c r="Q54" s="5">
        <f t="shared" si="11"/>
        <v>588</v>
      </c>
      <c r="R54" s="5"/>
      <c r="S54" s="1"/>
      <c r="T54" s="1">
        <f t="shared" si="4"/>
        <v>20.195652173913043</v>
      </c>
      <c r="U54" s="1">
        <f t="shared" si="5"/>
        <v>17</v>
      </c>
      <c r="V54" s="1">
        <v>123</v>
      </c>
      <c r="W54" s="1">
        <v>84.4</v>
      </c>
      <c r="X54" s="1">
        <v>155.19999999999999</v>
      </c>
      <c r="Y54" s="1">
        <v>130.6</v>
      </c>
      <c r="Z54" s="1">
        <v>170.6</v>
      </c>
      <c r="AA54" s="1">
        <v>170.4</v>
      </c>
      <c r="AB54" s="1">
        <v>117</v>
      </c>
      <c r="AC54" s="1">
        <v>128.6</v>
      </c>
      <c r="AD54" s="1">
        <v>322.8</v>
      </c>
      <c r="AE54" s="1">
        <v>241.5</v>
      </c>
      <c r="AF54" s="1"/>
      <c r="AG54" s="1">
        <f>G54*P54</f>
        <v>165.6</v>
      </c>
      <c r="AH54" s="7">
        <v>14</v>
      </c>
      <c r="AI54" s="20">
        <f>MROUND(P54, AH54*AK54)/AH54</f>
        <v>42</v>
      </c>
      <c r="AJ54" s="1">
        <f>AI54*AH54*G54</f>
        <v>176.4</v>
      </c>
      <c r="AK54" s="1">
        <v>14</v>
      </c>
      <c r="AL54" s="1">
        <v>70</v>
      </c>
      <c r="AM54" s="20">
        <f t="shared" si="12"/>
        <v>0.6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43</v>
      </c>
      <c r="C55" s="1">
        <v>1117</v>
      </c>
      <c r="D55" s="1"/>
      <c r="E55" s="1">
        <v>385</v>
      </c>
      <c r="F55" s="1">
        <v>687</v>
      </c>
      <c r="G55" s="7">
        <v>0.25</v>
      </c>
      <c r="H55" s="1">
        <v>180</v>
      </c>
      <c r="I55" s="1" t="s">
        <v>50</v>
      </c>
      <c r="J55" s="1">
        <v>385</v>
      </c>
      <c r="K55" s="1">
        <f t="shared" si="10"/>
        <v>0</v>
      </c>
      <c r="L55" s="1"/>
      <c r="M55" s="1"/>
      <c r="N55" s="1"/>
      <c r="O55" s="1">
        <f t="shared" si="3"/>
        <v>77</v>
      </c>
      <c r="P55" s="5">
        <f t="shared" si="13"/>
        <v>853</v>
      </c>
      <c r="Q55" s="5">
        <f t="shared" si="11"/>
        <v>840</v>
      </c>
      <c r="R55" s="5"/>
      <c r="S55" s="1"/>
      <c r="T55" s="1">
        <f t="shared" si="4"/>
        <v>19.831168831168831</v>
      </c>
      <c r="U55" s="1">
        <f t="shared" si="5"/>
        <v>8.9220779220779214</v>
      </c>
      <c r="V55" s="1">
        <v>57</v>
      </c>
      <c r="W55" s="1">
        <v>54.8</v>
      </c>
      <c r="X55" s="1">
        <v>124.2</v>
      </c>
      <c r="Y55" s="1">
        <v>56.2</v>
      </c>
      <c r="Z55" s="1">
        <v>71.8</v>
      </c>
      <c r="AA55" s="1">
        <v>68.599999999999994</v>
      </c>
      <c r="AB55" s="1">
        <v>0</v>
      </c>
      <c r="AC55" s="1">
        <v>54.8</v>
      </c>
      <c r="AD55" s="1">
        <v>79.75</v>
      </c>
      <c r="AE55" s="1">
        <v>141.5</v>
      </c>
      <c r="AF55" s="1"/>
      <c r="AG55" s="1">
        <f>G55*P55</f>
        <v>213.25</v>
      </c>
      <c r="AH55" s="7">
        <v>12</v>
      </c>
      <c r="AI55" s="20">
        <f>MROUND(P55, AH55*AK55)/AH55</f>
        <v>70</v>
      </c>
      <c r="AJ55" s="1">
        <f>AI55*AH55*G55</f>
        <v>210</v>
      </c>
      <c r="AK55" s="1">
        <v>14</v>
      </c>
      <c r="AL55" s="1">
        <v>70</v>
      </c>
      <c r="AM55" s="20">
        <f t="shared" si="12"/>
        <v>1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43</v>
      </c>
      <c r="C56" s="1">
        <v>1221</v>
      </c>
      <c r="D56" s="1"/>
      <c r="E56" s="1">
        <v>186</v>
      </c>
      <c r="F56" s="1">
        <v>1010</v>
      </c>
      <c r="G56" s="7">
        <v>0.25</v>
      </c>
      <c r="H56" s="1">
        <v>180</v>
      </c>
      <c r="I56" s="1" t="s">
        <v>50</v>
      </c>
      <c r="J56" s="1">
        <v>186</v>
      </c>
      <c r="K56" s="1">
        <f t="shared" si="10"/>
        <v>0</v>
      </c>
      <c r="L56" s="1"/>
      <c r="M56" s="1"/>
      <c r="N56" s="1"/>
      <c r="O56" s="1">
        <f t="shared" si="3"/>
        <v>37.200000000000003</v>
      </c>
      <c r="P56" s="5"/>
      <c r="Q56" s="5">
        <f t="shared" si="11"/>
        <v>0</v>
      </c>
      <c r="R56" s="5"/>
      <c r="S56" s="1"/>
      <c r="T56" s="1">
        <f t="shared" si="4"/>
        <v>27.1505376344086</v>
      </c>
      <c r="U56" s="1">
        <f t="shared" si="5"/>
        <v>27.1505376344086</v>
      </c>
      <c r="V56" s="1">
        <v>37</v>
      </c>
      <c r="W56" s="1">
        <v>30.8</v>
      </c>
      <c r="X56" s="1">
        <v>92.8</v>
      </c>
      <c r="Y56" s="1">
        <v>36.4</v>
      </c>
      <c r="Z56" s="1">
        <v>42.6</v>
      </c>
      <c r="AA56" s="1">
        <v>48.4</v>
      </c>
      <c r="AB56" s="1">
        <v>52.4</v>
      </c>
      <c r="AC56" s="1">
        <v>21.8</v>
      </c>
      <c r="AD56" s="1">
        <v>46.25</v>
      </c>
      <c r="AE56" s="1">
        <v>124.5</v>
      </c>
      <c r="AF56" s="16" t="s">
        <v>55</v>
      </c>
      <c r="AG56" s="1">
        <f>G56*P56</f>
        <v>0</v>
      </c>
      <c r="AH56" s="7">
        <v>12</v>
      </c>
      <c r="AI56" s="20">
        <f>MROUND(P56, AH56*AK56)/AH56</f>
        <v>0</v>
      </c>
      <c r="AJ56" s="1">
        <f>AI56*AH56*G56</f>
        <v>0</v>
      </c>
      <c r="AK56" s="1">
        <v>14</v>
      </c>
      <c r="AL56" s="1">
        <v>70</v>
      </c>
      <c r="AM56" s="20">
        <f t="shared" si="12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7" t="s">
        <v>101</v>
      </c>
      <c r="B57" s="1" t="s">
        <v>60</v>
      </c>
      <c r="C57" s="1"/>
      <c r="D57" s="1"/>
      <c r="E57" s="1"/>
      <c r="F57" s="1"/>
      <c r="G57" s="7">
        <v>1</v>
      </c>
      <c r="H57" s="1">
        <v>180</v>
      </c>
      <c r="I57" s="1" t="s">
        <v>50</v>
      </c>
      <c r="J57" s="1"/>
      <c r="K57" s="1">
        <f t="shared" si="10"/>
        <v>0</v>
      </c>
      <c r="L57" s="1"/>
      <c r="M57" s="1"/>
      <c r="N57" s="1"/>
      <c r="O57" s="1">
        <f t="shared" si="3"/>
        <v>0</v>
      </c>
      <c r="P57" s="19">
        <f t="shared" si="13"/>
        <v>0</v>
      </c>
      <c r="Q57" s="5">
        <f t="shared" si="11"/>
        <v>0</v>
      </c>
      <c r="R57" s="5"/>
      <c r="S57" s="1"/>
      <c r="T57" s="1" t="e">
        <f t="shared" si="4"/>
        <v>#DIV/0!</v>
      </c>
      <c r="U57" s="1" t="e">
        <f t="shared" si="5"/>
        <v>#DIV/0!</v>
      </c>
      <c r="V57" s="1">
        <v>0</v>
      </c>
      <c r="W57" s="1">
        <v>7</v>
      </c>
      <c r="X57" s="1">
        <v>1.08</v>
      </c>
      <c r="Y57" s="1">
        <v>1.08</v>
      </c>
      <c r="Z57" s="1">
        <v>1.62</v>
      </c>
      <c r="AA57" s="1">
        <v>2.14</v>
      </c>
      <c r="AB57" s="1">
        <v>1.62</v>
      </c>
      <c r="AC57" s="1">
        <v>2.16</v>
      </c>
      <c r="AD57" s="1">
        <v>8.1</v>
      </c>
      <c r="AE57" s="1">
        <v>45.9</v>
      </c>
      <c r="AF57" s="18" t="s">
        <v>75</v>
      </c>
      <c r="AG57" s="1">
        <f>G57*P57</f>
        <v>0</v>
      </c>
      <c r="AH57" s="7">
        <v>2.7</v>
      </c>
      <c r="AI57" s="20">
        <f>MROUND(P57, AH57*AK57)/AH57</f>
        <v>0</v>
      </c>
      <c r="AJ57" s="1">
        <f>AI57*AH57*G57</f>
        <v>0</v>
      </c>
      <c r="AK57" s="1">
        <v>14</v>
      </c>
      <c r="AL57" s="1">
        <v>126</v>
      </c>
      <c r="AM57" s="20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7" t="s">
        <v>102</v>
      </c>
      <c r="B58" s="1" t="s">
        <v>60</v>
      </c>
      <c r="C58" s="1"/>
      <c r="D58" s="1"/>
      <c r="E58" s="1"/>
      <c r="F58" s="1"/>
      <c r="G58" s="7">
        <v>1</v>
      </c>
      <c r="H58" s="1">
        <v>180</v>
      </c>
      <c r="I58" s="1" t="s">
        <v>50</v>
      </c>
      <c r="J58" s="1"/>
      <c r="K58" s="1">
        <f t="shared" si="10"/>
        <v>0</v>
      </c>
      <c r="L58" s="1"/>
      <c r="M58" s="1"/>
      <c r="N58" s="1"/>
      <c r="O58" s="1">
        <f t="shared" si="3"/>
        <v>0</v>
      </c>
      <c r="P58" s="19">
        <f t="shared" si="13"/>
        <v>0</v>
      </c>
      <c r="Q58" s="5">
        <f t="shared" si="11"/>
        <v>0</v>
      </c>
      <c r="R58" s="5"/>
      <c r="S58" s="1"/>
      <c r="T58" s="1" t="e">
        <f t="shared" si="4"/>
        <v>#DIV/0!</v>
      </c>
      <c r="U58" s="1" t="e">
        <f t="shared" si="5"/>
        <v>#DIV/0!</v>
      </c>
      <c r="V58" s="1">
        <v>0</v>
      </c>
      <c r="W58" s="1">
        <v>0</v>
      </c>
      <c r="X58" s="1">
        <v>1</v>
      </c>
      <c r="Y58" s="1">
        <v>1</v>
      </c>
      <c r="Z58" s="1">
        <v>0</v>
      </c>
      <c r="AA58" s="1">
        <v>0</v>
      </c>
      <c r="AB58" s="1">
        <v>0</v>
      </c>
      <c r="AC58" s="1">
        <v>2</v>
      </c>
      <c r="AD58" s="1">
        <v>0</v>
      </c>
      <c r="AE58" s="1">
        <v>5</v>
      </c>
      <c r="AF58" s="18" t="s">
        <v>75</v>
      </c>
      <c r="AG58" s="1">
        <f>G58*P58</f>
        <v>0</v>
      </c>
      <c r="AH58" s="7">
        <v>5</v>
      </c>
      <c r="AI58" s="20">
        <f>MROUND(P58, AH58*AK58)/AH58</f>
        <v>0</v>
      </c>
      <c r="AJ58" s="1">
        <f>AI58*AH58*G58</f>
        <v>0</v>
      </c>
      <c r="AK58" s="1">
        <v>12</v>
      </c>
      <c r="AL58" s="1">
        <v>84</v>
      </c>
      <c r="AM58" s="20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43</v>
      </c>
      <c r="C59" s="1">
        <v>1826</v>
      </c>
      <c r="D59" s="1"/>
      <c r="E59" s="1">
        <v>198</v>
      </c>
      <c r="F59" s="1">
        <v>1606</v>
      </c>
      <c r="G59" s="7">
        <v>0.14000000000000001</v>
      </c>
      <c r="H59" s="1">
        <v>180</v>
      </c>
      <c r="I59" s="1" t="s">
        <v>50</v>
      </c>
      <c r="J59" s="1">
        <v>198</v>
      </c>
      <c r="K59" s="1">
        <f t="shared" si="10"/>
        <v>0</v>
      </c>
      <c r="L59" s="1"/>
      <c r="M59" s="1"/>
      <c r="N59" s="1"/>
      <c r="O59" s="1">
        <f t="shared" si="3"/>
        <v>39.6</v>
      </c>
      <c r="P59" s="5"/>
      <c r="Q59" s="5">
        <f t="shared" si="11"/>
        <v>0</v>
      </c>
      <c r="R59" s="5"/>
      <c r="S59" s="1"/>
      <c r="T59" s="1">
        <f t="shared" si="4"/>
        <v>40.555555555555557</v>
      </c>
      <c r="U59" s="1">
        <f t="shared" si="5"/>
        <v>40.555555555555557</v>
      </c>
      <c r="V59" s="1">
        <v>40</v>
      </c>
      <c r="W59" s="1">
        <v>33.4</v>
      </c>
      <c r="X59" s="1">
        <v>6.8</v>
      </c>
      <c r="Y59" s="1">
        <v>27.4</v>
      </c>
      <c r="Z59" s="1">
        <v>42</v>
      </c>
      <c r="AA59" s="1">
        <v>22.2</v>
      </c>
      <c r="AB59" s="1">
        <v>14.2</v>
      </c>
      <c r="AC59" s="1">
        <v>31.6</v>
      </c>
      <c r="AD59" s="1">
        <v>17.64</v>
      </c>
      <c r="AE59" s="1">
        <v>6.58</v>
      </c>
      <c r="AF59" s="16" t="s">
        <v>55</v>
      </c>
      <c r="AG59" s="1">
        <f>G59*P59</f>
        <v>0</v>
      </c>
      <c r="AH59" s="7">
        <v>22</v>
      </c>
      <c r="AI59" s="20">
        <f>MROUND(P59, AH59*AK59)/AH59</f>
        <v>0</v>
      </c>
      <c r="AJ59" s="1">
        <f>AI59*AH59*G59</f>
        <v>0</v>
      </c>
      <c r="AK59" s="1">
        <v>12</v>
      </c>
      <c r="AL59" s="1">
        <v>84</v>
      </c>
      <c r="AM59" s="20">
        <f t="shared" si="12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7"/>
      <c r="AI60" s="20"/>
      <c r="AJ60" s="1"/>
      <c r="AK60" s="1"/>
      <c r="AL60" s="1"/>
      <c r="AM60" s="20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7"/>
      <c r="AI61" s="20"/>
      <c r="AJ61" s="1"/>
      <c r="AK61" s="1"/>
      <c r="AL61" s="1"/>
      <c r="AM61" s="20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7"/>
      <c r="AI62" s="20"/>
      <c r="AJ62" s="1"/>
      <c r="AK62" s="1"/>
      <c r="AL62" s="1"/>
      <c r="AM62" s="20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7"/>
      <c r="AI63" s="20"/>
      <c r="AJ63" s="1"/>
      <c r="AK63" s="1"/>
      <c r="AL63" s="1"/>
      <c r="AM63" s="20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7"/>
      <c r="AI64" s="20"/>
      <c r="AJ64" s="1"/>
      <c r="AK64" s="1"/>
      <c r="AL64" s="1"/>
      <c r="AM64" s="20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7"/>
      <c r="AI65" s="20"/>
      <c r="AJ65" s="1"/>
      <c r="AK65" s="1"/>
      <c r="AL65" s="1"/>
      <c r="AM65" s="20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7"/>
      <c r="AI66" s="20"/>
      <c r="AJ66" s="1"/>
      <c r="AK66" s="1"/>
      <c r="AL66" s="1"/>
      <c r="AM66" s="20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7"/>
      <c r="AI67" s="20"/>
      <c r="AJ67" s="1"/>
      <c r="AK67" s="1"/>
      <c r="AL67" s="1"/>
      <c r="AM67" s="20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7"/>
      <c r="AI68" s="20"/>
      <c r="AJ68" s="1"/>
      <c r="AK68" s="1"/>
      <c r="AL68" s="1"/>
      <c r="AM68" s="20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7"/>
      <c r="AI69" s="20"/>
      <c r="AJ69" s="1"/>
      <c r="AK69" s="1"/>
      <c r="AL69" s="1"/>
      <c r="AM69" s="20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20"/>
      <c r="AJ70" s="1"/>
      <c r="AK70" s="1"/>
      <c r="AL70" s="1"/>
      <c r="AM70" s="20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20"/>
      <c r="AJ71" s="1"/>
      <c r="AK71" s="1"/>
      <c r="AL71" s="1"/>
      <c r="AM71" s="20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20"/>
      <c r="AJ72" s="1"/>
      <c r="AK72" s="1"/>
      <c r="AL72" s="1"/>
      <c r="AM72" s="20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20"/>
      <c r="AJ73" s="1"/>
      <c r="AK73" s="1"/>
      <c r="AL73" s="1"/>
      <c r="AM73" s="20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20"/>
      <c r="AJ74" s="1"/>
      <c r="AK74" s="1"/>
      <c r="AL74" s="1"/>
      <c r="AM74" s="20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20"/>
      <c r="AJ75" s="1"/>
      <c r="AK75" s="1"/>
      <c r="AL75" s="1"/>
      <c r="AM75" s="20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20"/>
      <c r="AJ76" s="1"/>
      <c r="AK76" s="1"/>
      <c r="AL76" s="1"/>
      <c r="AM76" s="2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20"/>
      <c r="AJ77" s="1"/>
      <c r="AK77" s="1"/>
      <c r="AL77" s="1"/>
      <c r="AM77" s="2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20"/>
      <c r="AJ78" s="1"/>
      <c r="AK78" s="1"/>
      <c r="AL78" s="1"/>
      <c r="AM78" s="2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20"/>
      <c r="AJ79" s="1"/>
      <c r="AK79" s="1"/>
      <c r="AL79" s="1"/>
      <c r="AM79" s="2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20"/>
      <c r="AJ80" s="1"/>
      <c r="AK80" s="1"/>
      <c r="AL80" s="1"/>
      <c r="AM80" s="2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20"/>
      <c r="AJ81" s="1"/>
      <c r="AK81" s="1"/>
      <c r="AL81" s="1"/>
      <c r="AM81" s="2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20"/>
      <c r="AJ82" s="1"/>
      <c r="AK82" s="1"/>
      <c r="AL82" s="1"/>
      <c r="AM82" s="2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20"/>
      <c r="AJ83" s="1"/>
      <c r="AK83" s="1"/>
      <c r="AL83" s="1"/>
      <c r="AM83" s="2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20"/>
      <c r="AJ84" s="1"/>
      <c r="AK84" s="1"/>
      <c r="AL84" s="1"/>
      <c r="AM84" s="2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20"/>
      <c r="AJ85" s="1"/>
      <c r="AK85" s="1"/>
      <c r="AL85" s="1"/>
      <c r="AM85" s="2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20"/>
      <c r="AJ86" s="1"/>
      <c r="AK86" s="1"/>
      <c r="AL86" s="1"/>
      <c r="AM86" s="2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20"/>
      <c r="AJ87" s="1"/>
      <c r="AK87" s="1"/>
      <c r="AL87" s="1"/>
      <c r="AM87" s="2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20"/>
      <c r="AJ88" s="1"/>
      <c r="AK88" s="1"/>
      <c r="AL88" s="1"/>
      <c r="AM88" s="2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20"/>
      <c r="AJ89" s="1"/>
      <c r="AK89" s="1"/>
      <c r="AL89" s="1"/>
      <c r="AM89" s="2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20"/>
      <c r="AJ90" s="1"/>
      <c r="AK90" s="1"/>
      <c r="AL90" s="1"/>
      <c r="AM90" s="2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20"/>
      <c r="AJ91" s="1"/>
      <c r="AK91" s="1"/>
      <c r="AL91" s="1"/>
      <c r="AM91" s="2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20"/>
      <c r="AJ92" s="1"/>
      <c r="AK92" s="1"/>
      <c r="AL92" s="1"/>
      <c r="AM92" s="2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20"/>
      <c r="AJ93" s="1"/>
      <c r="AK93" s="1"/>
      <c r="AL93" s="1"/>
      <c r="AM93" s="2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20"/>
      <c r="AJ94" s="1"/>
      <c r="AK94" s="1"/>
      <c r="AL94" s="1"/>
      <c r="AM94" s="2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20"/>
      <c r="AJ95" s="1"/>
      <c r="AK95" s="1"/>
      <c r="AL95" s="1"/>
      <c r="AM95" s="2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20"/>
      <c r="AJ96" s="1"/>
      <c r="AK96" s="1"/>
      <c r="AL96" s="1"/>
      <c r="AM96" s="2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20"/>
      <c r="AJ97" s="1"/>
      <c r="AK97" s="1"/>
      <c r="AL97" s="1"/>
      <c r="AM97" s="2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20"/>
      <c r="AJ98" s="1"/>
      <c r="AK98" s="1"/>
      <c r="AL98" s="1"/>
      <c r="AM98" s="2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20"/>
      <c r="AJ99" s="1"/>
      <c r="AK99" s="1"/>
      <c r="AL99" s="1"/>
      <c r="AM99" s="2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20"/>
      <c r="AJ100" s="1"/>
      <c r="AK100" s="1"/>
      <c r="AL100" s="1"/>
      <c r="AM100" s="2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20"/>
      <c r="AJ101" s="1"/>
      <c r="AK101" s="1"/>
      <c r="AL101" s="1"/>
      <c r="AM101" s="2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20"/>
      <c r="AJ102" s="1"/>
      <c r="AK102" s="1"/>
      <c r="AL102" s="1"/>
      <c r="AM102" s="2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20"/>
      <c r="AJ103" s="1"/>
      <c r="AK103" s="1"/>
      <c r="AL103" s="1"/>
      <c r="AM103" s="2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20"/>
      <c r="AJ104" s="1"/>
      <c r="AK104" s="1"/>
      <c r="AL104" s="1"/>
      <c r="AM104" s="2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20"/>
      <c r="AJ105" s="1"/>
      <c r="AK105" s="1"/>
      <c r="AL105" s="1"/>
      <c r="AM105" s="2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20"/>
      <c r="AJ106" s="1"/>
      <c r="AK106" s="1"/>
      <c r="AL106" s="1"/>
      <c r="AM106" s="2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20"/>
      <c r="AJ107" s="1"/>
      <c r="AK107" s="1"/>
      <c r="AL107" s="1"/>
      <c r="AM107" s="2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20"/>
      <c r="AJ108" s="1"/>
      <c r="AK108" s="1"/>
      <c r="AL108" s="1"/>
      <c r="AM108" s="2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20"/>
      <c r="AJ109" s="1"/>
      <c r="AK109" s="1"/>
      <c r="AL109" s="1"/>
      <c r="AM109" s="2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20"/>
      <c r="AJ110" s="1"/>
      <c r="AK110" s="1"/>
      <c r="AL110" s="1"/>
      <c r="AM110" s="2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20"/>
      <c r="AJ111" s="1"/>
      <c r="AK111" s="1"/>
      <c r="AL111" s="1"/>
      <c r="AM111" s="2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20"/>
      <c r="AJ112" s="1"/>
      <c r="AK112" s="1"/>
      <c r="AL112" s="1"/>
      <c r="AM112" s="2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20"/>
      <c r="AJ113" s="1"/>
      <c r="AK113" s="1"/>
      <c r="AL113" s="1"/>
      <c r="AM113" s="2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20"/>
      <c r="AJ114" s="1"/>
      <c r="AK114" s="1"/>
      <c r="AL114" s="1"/>
      <c r="AM114" s="2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20"/>
      <c r="AJ115" s="1"/>
      <c r="AK115" s="1"/>
      <c r="AL115" s="1"/>
      <c r="AM115" s="2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20"/>
      <c r="AJ116" s="1"/>
      <c r="AK116" s="1"/>
      <c r="AL116" s="1"/>
      <c r="AM116" s="2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20"/>
      <c r="AJ117" s="1"/>
      <c r="AK117" s="1"/>
      <c r="AL117" s="1"/>
      <c r="AM117" s="2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20"/>
      <c r="AJ118" s="1"/>
      <c r="AK118" s="1"/>
      <c r="AL118" s="1"/>
      <c r="AM118" s="2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20"/>
      <c r="AJ119" s="1"/>
      <c r="AK119" s="1"/>
      <c r="AL119" s="1"/>
      <c r="AM119" s="2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20"/>
      <c r="AJ120" s="1"/>
      <c r="AK120" s="1"/>
      <c r="AL120" s="1"/>
      <c r="AM120" s="2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20"/>
      <c r="AJ121" s="1"/>
      <c r="AK121" s="1"/>
      <c r="AL121" s="1"/>
      <c r="AM121" s="2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20"/>
      <c r="AJ122" s="1"/>
      <c r="AK122" s="1"/>
      <c r="AL122" s="1"/>
      <c r="AM122" s="2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20"/>
      <c r="AJ123" s="1"/>
      <c r="AK123" s="1"/>
      <c r="AL123" s="1"/>
      <c r="AM123" s="2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20"/>
      <c r="AJ124" s="1"/>
      <c r="AK124" s="1"/>
      <c r="AL124" s="1"/>
      <c r="AM124" s="2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20"/>
      <c r="AJ125" s="1"/>
      <c r="AK125" s="1"/>
      <c r="AL125" s="1"/>
      <c r="AM125" s="2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20"/>
      <c r="AJ126" s="1"/>
      <c r="AK126" s="1"/>
      <c r="AL126" s="1"/>
      <c r="AM126" s="2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20"/>
      <c r="AJ127" s="1"/>
      <c r="AK127" s="1"/>
      <c r="AL127" s="1"/>
      <c r="AM127" s="2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20"/>
      <c r="AJ128" s="1"/>
      <c r="AK128" s="1"/>
      <c r="AL128" s="1"/>
      <c r="AM128" s="2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20"/>
      <c r="AJ129" s="1"/>
      <c r="AK129" s="1"/>
      <c r="AL129" s="1"/>
      <c r="AM129" s="2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20"/>
      <c r="AJ130" s="1"/>
      <c r="AK130" s="1"/>
      <c r="AL130" s="1"/>
      <c r="AM130" s="2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20"/>
      <c r="AJ131" s="1"/>
      <c r="AK131" s="1"/>
      <c r="AL131" s="1"/>
      <c r="AM131" s="2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20"/>
      <c r="AJ132" s="1"/>
      <c r="AK132" s="1"/>
      <c r="AL132" s="1"/>
      <c r="AM132" s="2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20"/>
      <c r="AJ133" s="1"/>
      <c r="AK133" s="1"/>
      <c r="AL133" s="1"/>
      <c r="AM133" s="2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20"/>
      <c r="AJ134" s="1"/>
      <c r="AK134" s="1"/>
      <c r="AL134" s="1"/>
      <c r="AM134" s="2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20"/>
      <c r="AJ135" s="1"/>
      <c r="AK135" s="1"/>
      <c r="AL135" s="1"/>
      <c r="AM135" s="2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20"/>
      <c r="AJ136" s="1"/>
      <c r="AK136" s="1"/>
      <c r="AL136" s="1"/>
      <c r="AM136" s="2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20"/>
      <c r="AJ137" s="1"/>
      <c r="AK137" s="1"/>
      <c r="AL137" s="1"/>
      <c r="AM137" s="2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20"/>
      <c r="AJ138" s="1"/>
      <c r="AK138" s="1"/>
      <c r="AL138" s="1"/>
      <c r="AM138" s="2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20"/>
      <c r="AJ139" s="1"/>
      <c r="AK139" s="1"/>
      <c r="AL139" s="1"/>
      <c r="AM139" s="2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20"/>
      <c r="AJ140" s="1"/>
      <c r="AK140" s="1"/>
      <c r="AL140" s="1"/>
      <c r="AM140" s="2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20"/>
      <c r="AJ141" s="1"/>
      <c r="AK141" s="1"/>
      <c r="AL141" s="1"/>
      <c r="AM141" s="2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20"/>
      <c r="AJ142" s="1"/>
      <c r="AK142" s="1"/>
      <c r="AL142" s="1"/>
      <c r="AM142" s="2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20"/>
      <c r="AJ143" s="1"/>
      <c r="AK143" s="1"/>
      <c r="AL143" s="1"/>
      <c r="AM143" s="2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20"/>
      <c r="AJ144" s="1"/>
      <c r="AK144" s="1"/>
      <c r="AL144" s="1"/>
      <c r="AM144" s="2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20"/>
      <c r="AJ145" s="1"/>
      <c r="AK145" s="1"/>
      <c r="AL145" s="1"/>
      <c r="AM145" s="2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20"/>
      <c r="AJ146" s="1"/>
      <c r="AK146" s="1"/>
      <c r="AL146" s="1"/>
      <c r="AM146" s="2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20"/>
      <c r="AJ147" s="1"/>
      <c r="AK147" s="1"/>
      <c r="AL147" s="1"/>
      <c r="AM147" s="2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20"/>
      <c r="AJ148" s="1"/>
      <c r="AK148" s="1"/>
      <c r="AL148" s="1"/>
      <c r="AM148" s="2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20"/>
      <c r="AJ149" s="1"/>
      <c r="AK149" s="1"/>
      <c r="AL149" s="1"/>
      <c r="AM149" s="2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20"/>
      <c r="AJ150" s="1"/>
      <c r="AK150" s="1"/>
      <c r="AL150" s="1"/>
      <c r="AM150" s="2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20"/>
      <c r="AJ151" s="1"/>
      <c r="AK151" s="1"/>
      <c r="AL151" s="1"/>
      <c r="AM151" s="2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20"/>
      <c r="AJ152" s="1"/>
      <c r="AK152" s="1"/>
      <c r="AL152" s="1"/>
      <c r="AM152" s="2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20"/>
      <c r="AJ153" s="1"/>
      <c r="AK153" s="1"/>
      <c r="AL153" s="1"/>
      <c r="AM153" s="2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20"/>
      <c r="AJ154" s="1"/>
      <c r="AK154" s="1"/>
      <c r="AL154" s="1"/>
      <c r="AM154" s="2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20"/>
      <c r="AJ155" s="1"/>
      <c r="AK155" s="1"/>
      <c r="AL155" s="1"/>
      <c r="AM155" s="2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20"/>
      <c r="AJ156" s="1"/>
      <c r="AK156" s="1"/>
      <c r="AL156" s="1"/>
      <c r="AM156" s="2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20"/>
      <c r="AJ157" s="1"/>
      <c r="AK157" s="1"/>
      <c r="AL157" s="1"/>
      <c r="AM157" s="2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20"/>
      <c r="AJ158" s="1"/>
      <c r="AK158" s="1"/>
      <c r="AL158" s="1"/>
      <c r="AM158" s="2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20"/>
      <c r="AJ159" s="1"/>
      <c r="AK159" s="1"/>
      <c r="AL159" s="1"/>
      <c r="AM159" s="2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20"/>
      <c r="AJ160" s="1"/>
      <c r="AK160" s="1"/>
      <c r="AL160" s="1"/>
      <c r="AM160" s="2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20"/>
      <c r="AJ161" s="1"/>
      <c r="AK161" s="1"/>
      <c r="AL161" s="1"/>
      <c r="AM161" s="2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20"/>
      <c r="AJ162" s="1"/>
      <c r="AK162" s="1"/>
      <c r="AL162" s="1"/>
      <c r="AM162" s="2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20"/>
      <c r="AJ163" s="1"/>
      <c r="AK163" s="1"/>
      <c r="AL163" s="1"/>
      <c r="AM163" s="2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20"/>
      <c r="AJ164" s="1"/>
      <c r="AK164" s="1"/>
      <c r="AL164" s="1"/>
      <c r="AM164" s="2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20"/>
      <c r="AJ165" s="1"/>
      <c r="AK165" s="1"/>
      <c r="AL165" s="1"/>
      <c r="AM165" s="2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20"/>
      <c r="AJ166" s="1"/>
      <c r="AK166" s="1"/>
      <c r="AL166" s="1"/>
      <c r="AM166" s="2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20"/>
      <c r="AJ167" s="1"/>
      <c r="AK167" s="1"/>
      <c r="AL167" s="1"/>
      <c r="AM167" s="2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20"/>
      <c r="AJ168" s="1"/>
      <c r="AK168" s="1"/>
      <c r="AL168" s="1"/>
      <c r="AM168" s="2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20"/>
      <c r="AJ169" s="1"/>
      <c r="AK169" s="1"/>
      <c r="AL169" s="1"/>
      <c r="AM169" s="2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20"/>
      <c r="AJ170" s="1"/>
      <c r="AK170" s="1"/>
      <c r="AL170" s="1"/>
      <c r="AM170" s="2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20"/>
      <c r="AJ171" s="1"/>
      <c r="AK171" s="1"/>
      <c r="AL171" s="1"/>
      <c r="AM171" s="2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20"/>
      <c r="AJ172" s="1"/>
      <c r="AK172" s="1"/>
      <c r="AL172" s="1"/>
      <c r="AM172" s="2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20"/>
      <c r="AJ173" s="1"/>
      <c r="AK173" s="1"/>
      <c r="AL173" s="1"/>
      <c r="AM173" s="2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20"/>
      <c r="AJ174" s="1"/>
      <c r="AK174" s="1"/>
      <c r="AL174" s="1"/>
      <c r="AM174" s="2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20"/>
      <c r="AJ175" s="1"/>
      <c r="AK175" s="1"/>
      <c r="AL175" s="1"/>
      <c r="AM175" s="2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20"/>
      <c r="AJ176" s="1"/>
      <c r="AK176" s="1"/>
      <c r="AL176" s="1"/>
      <c r="AM176" s="2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20"/>
      <c r="AJ177" s="1"/>
      <c r="AK177" s="1"/>
      <c r="AL177" s="1"/>
      <c r="AM177" s="2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20"/>
      <c r="AJ178" s="1"/>
      <c r="AK178" s="1"/>
      <c r="AL178" s="1"/>
      <c r="AM178" s="2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20"/>
      <c r="AJ179" s="1"/>
      <c r="AK179" s="1"/>
      <c r="AL179" s="1"/>
      <c r="AM179" s="2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20"/>
      <c r="AJ180" s="1"/>
      <c r="AK180" s="1"/>
      <c r="AL180" s="1"/>
      <c r="AM180" s="2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20"/>
      <c r="AJ181" s="1"/>
      <c r="AK181" s="1"/>
      <c r="AL181" s="1"/>
      <c r="AM181" s="2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20"/>
      <c r="AJ182" s="1"/>
      <c r="AK182" s="1"/>
      <c r="AL182" s="1"/>
      <c r="AM182" s="2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20"/>
      <c r="AJ183" s="1"/>
      <c r="AK183" s="1"/>
      <c r="AL183" s="1"/>
      <c r="AM183" s="2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20"/>
      <c r="AJ184" s="1"/>
      <c r="AK184" s="1"/>
      <c r="AL184" s="1"/>
      <c r="AM184" s="2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20"/>
      <c r="AJ185" s="1"/>
      <c r="AK185" s="1"/>
      <c r="AL185" s="1"/>
      <c r="AM185" s="2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20"/>
      <c r="AJ186" s="1"/>
      <c r="AK186" s="1"/>
      <c r="AL186" s="1"/>
      <c r="AM186" s="2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20"/>
      <c r="AJ187" s="1"/>
      <c r="AK187" s="1"/>
      <c r="AL187" s="1"/>
      <c r="AM187" s="2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20"/>
      <c r="AJ188" s="1"/>
      <c r="AK188" s="1"/>
      <c r="AL188" s="1"/>
      <c r="AM188" s="2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20"/>
      <c r="AJ189" s="1"/>
      <c r="AK189" s="1"/>
      <c r="AL189" s="1"/>
      <c r="AM189" s="2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20"/>
      <c r="AJ190" s="1"/>
      <c r="AK190" s="1"/>
      <c r="AL190" s="1"/>
      <c r="AM190" s="2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20"/>
      <c r="AJ191" s="1"/>
      <c r="AK191" s="1"/>
      <c r="AL191" s="1"/>
      <c r="AM191" s="2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20"/>
      <c r="AJ192" s="1"/>
      <c r="AK192" s="1"/>
      <c r="AL192" s="1"/>
      <c r="AM192" s="2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20"/>
      <c r="AJ193" s="1"/>
      <c r="AK193" s="1"/>
      <c r="AL193" s="1"/>
      <c r="AM193" s="2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20"/>
      <c r="AJ194" s="1"/>
      <c r="AK194" s="1"/>
      <c r="AL194" s="1"/>
      <c r="AM194" s="2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20"/>
      <c r="AJ195" s="1"/>
      <c r="AK195" s="1"/>
      <c r="AL195" s="1"/>
      <c r="AM195" s="2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20"/>
      <c r="AJ196" s="1"/>
      <c r="AK196" s="1"/>
      <c r="AL196" s="1"/>
      <c r="AM196" s="2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20"/>
      <c r="AJ197" s="1"/>
      <c r="AK197" s="1"/>
      <c r="AL197" s="1"/>
      <c r="AM197" s="2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20"/>
      <c r="AJ198" s="1"/>
      <c r="AK198" s="1"/>
      <c r="AL198" s="1"/>
      <c r="AM198" s="2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20"/>
      <c r="AJ199" s="1"/>
      <c r="AK199" s="1"/>
      <c r="AL199" s="1"/>
      <c r="AM199" s="2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20"/>
      <c r="AJ200" s="1"/>
      <c r="AK200" s="1"/>
      <c r="AL200" s="1"/>
      <c r="AM200" s="2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20"/>
      <c r="AJ201" s="1"/>
      <c r="AK201" s="1"/>
      <c r="AL201" s="1"/>
      <c r="AM201" s="2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20"/>
      <c r="AJ202" s="1"/>
      <c r="AK202" s="1"/>
      <c r="AL202" s="1"/>
      <c r="AM202" s="2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20"/>
      <c r="AJ203" s="1"/>
      <c r="AK203" s="1"/>
      <c r="AL203" s="1"/>
      <c r="AM203" s="2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20"/>
      <c r="AJ204" s="1"/>
      <c r="AK204" s="1"/>
      <c r="AL204" s="1"/>
      <c r="AM204" s="2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20"/>
      <c r="AJ205" s="1"/>
      <c r="AK205" s="1"/>
      <c r="AL205" s="1"/>
      <c r="AM205" s="2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20"/>
      <c r="AJ206" s="1"/>
      <c r="AK206" s="1"/>
      <c r="AL206" s="1"/>
      <c r="AM206" s="2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20"/>
      <c r="AJ207" s="1"/>
      <c r="AK207" s="1"/>
      <c r="AL207" s="1"/>
      <c r="AM207" s="2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20"/>
      <c r="AJ208" s="1"/>
      <c r="AK208" s="1"/>
      <c r="AL208" s="1"/>
      <c r="AM208" s="2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20"/>
      <c r="AJ209" s="1"/>
      <c r="AK209" s="1"/>
      <c r="AL209" s="1"/>
      <c r="AM209" s="2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20"/>
      <c r="AJ210" s="1"/>
      <c r="AK210" s="1"/>
      <c r="AL210" s="1"/>
      <c r="AM210" s="2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20"/>
      <c r="AJ211" s="1"/>
      <c r="AK211" s="1"/>
      <c r="AL211" s="1"/>
      <c r="AM211" s="2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20"/>
      <c r="AJ212" s="1"/>
      <c r="AK212" s="1"/>
      <c r="AL212" s="1"/>
      <c r="AM212" s="2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20"/>
      <c r="AJ213" s="1"/>
      <c r="AK213" s="1"/>
      <c r="AL213" s="1"/>
      <c r="AM213" s="2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20"/>
      <c r="AJ214" s="1"/>
      <c r="AK214" s="1"/>
      <c r="AL214" s="1"/>
      <c r="AM214" s="2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20"/>
      <c r="AJ215" s="1"/>
      <c r="AK215" s="1"/>
      <c r="AL215" s="1"/>
      <c r="AM215" s="2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20"/>
      <c r="AJ216" s="1"/>
      <c r="AK216" s="1"/>
      <c r="AL216" s="1"/>
      <c r="AM216" s="2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20"/>
      <c r="AJ217" s="1"/>
      <c r="AK217" s="1"/>
      <c r="AL217" s="1"/>
      <c r="AM217" s="2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20"/>
      <c r="AJ218" s="1"/>
      <c r="AK218" s="1"/>
      <c r="AL218" s="1"/>
      <c r="AM218" s="2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20"/>
      <c r="AJ219" s="1"/>
      <c r="AK219" s="1"/>
      <c r="AL219" s="1"/>
      <c r="AM219" s="2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20"/>
      <c r="AJ220" s="1"/>
      <c r="AK220" s="1"/>
      <c r="AL220" s="1"/>
      <c r="AM220" s="2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20"/>
      <c r="AJ221" s="1"/>
      <c r="AK221" s="1"/>
      <c r="AL221" s="1"/>
      <c r="AM221" s="2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20"/>
      <c r="AJ222" s="1"/>
      <c r="AK222" s="1"/>
      <c r="AL222" s="1"/>
      <c r="AM222" s="2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20"/>
      <c r="AJ223" s="1"/>
      <c r="AK223" s="1"/>
      <c r="AL223" s="1"/>
      <c r="AM223" s="2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20"/>
      <c r="AJ224" s="1"/>
      <c r="AK224" s="1"/>
      <c r="AL224" s="1"/>
      <c r="AM224" s="2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20"/>
      <c r="AJ225" s="1"/>
      <c r="AK225" s="1"/>
      <c r="AL225" s="1"/>
      <c r="AM225" s="2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20"/>
      <c r="AJ226" s="1"/>
      <c r="AK226" s="1"/>
      <c r="AL226" s="1"/>
      <c r="AM226" s="2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20"/>
      <c r="AJ227" s="1"/>
      <c r="AK227" s="1"/>
      <c r="AL227" s="1"/>
      <c r="AM227" s="2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20"/>
      <c r="AJ228" s="1"/>
      <c r="AK228" s="1"/>
      <c r="AL228" s="1"/>
      <c r="AM228" s="2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20"/>
      <c r="AJ229" s="1"/>
      <c r="AK229" s="1"/>
      <c r="AL229" s="1"/>
      <c r="AM229" s="2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20"/>
      <c r="AJ230" s="1"/>
      <c r="AK230" s="1"/>
      <c r="AL230" s="1"/>
      <c r="AM230" s="2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20"/>
      <c r="AJ231" s="1"/>
      <c r="AK231" s="1"/>
      <c r="AL231" s="1"/>
      <c r="AM231" s="2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20"/>
      <c r="AJ232" s="1"/>
      <c r="AK232" s="1"/>
      <c r="AL232" s="1"/>
      <c r="AM232" s="2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20"/>
      <c r="AJ233" s="1"/>
      <c r="AK233" s="1"/>
      <c r="AL233" s="1"/>
      <c r="AM233" s="2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20"/>
      <c r="AJ234" s="1"/>
      <c r="AK234" s="1"/>
      <c r="AL234" s="1"/>
      <c r="AM234" s="2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20"/>
      <c r="AJ235" s="1"/>
      <c r="AK235" s="1"/>
      <c r="AL235" s="1"/>
      <c r="AM235" s="2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20"/>
      <c r="AJ236" s="1"/>
      <c r="AK236" s="1"/>
      <c r="AL236" s="1"/>
      <c r="AM236" s="2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20"/>
      <c r="AJ237" s="1"/>
      <c r="AK237" s="1"/>
      <c r="AL237" s="1"/>
      <c r="AM237" s="2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20"/>
      <c r="AJ238" s="1"/>
      <c r="AK238" s="1"/>
      <c r="AL238" s="1"/>
      <c r="AM238" s="2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20"/>
      <c r="AJ239" s="1"/>
      <c r="AK239" s="1"/>
      <c r="AL239" s="1"/>
      <c r="AM239" s="2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20"/>
      <c r="AJ240" s="1"/>
      <c r="AK240" s="1"/>
      <c r="AL240" s="1"/>
      <c r="AM240" s="2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20"/>
      <c r="AJ241" s="1"/>
      <c r="AK241" s="1"/>
      <c r="AL241" s="1"/>
      <c r="AM241" s="2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20"/>
      <c r="AJ242" s="1"/>
      <c r="AK242" s="1"/>
      <c r="AL242" s="1"/>
      <c r="AM242" s="2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20"/>
      <c r="AJ243" s="1"/>
      <c r="AK243" s="1"/>
      <c r="AL243" s="1"/>
      <c r="AM243" s="2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20"/>
      <c r="AJ244" s="1"/>
      <c r="AK244" s="1"/>
      <c r="AL244" s="1"/>
      <c r="AM244" s="2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20"/>
      <c r="AJ245" s="1"/>
      <c r="AK245" s="1"/>
      <c r="AL245" s="1"/>
      <c r="AM245" s="2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20"/>
      <c r="AJ246" s="1"/>
      <c r="AK246" s="1"/>
      <c r="AL246" s="1"/>
      <c r="AM246" s="2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20"/>
      <c r="AJ247" s="1"/>
      <c r="AK247" s="1"/>
      <c r="AL247" s="1"/>
      <c r="AM247" s="2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20"/>
      <c r="AJ248" s="1"/>
      <c r="AK248" s="1"/>
      <c r="AL248" s="1"/>
      <c r="AM248" s="2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20"/>
      <c r="AJ249" s="1"/>
      <c r="AK249" s="1"/>
      <c r="AL249" s="1"/>
      <c r="AM249" s="2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20"/>
      <c r="AJ250" s="1"/>
      <c r="AK250" s="1"/>
      <c r="AL250" s="1"/>
      <c r="AM250" s="2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20"/>
      <c r="AJ251" s="1"/>
      <c r="AK251" s="1"/>
      <c r="AL251" s="1"/>
      <c r="AM251" s="2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20"/>
      <c r="AJ252" s="1"/>
      <c r="AK252" s="1"/>
      <c r="AL252" s="1"/>
      <c r="AM252" s="2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20"/>
      <c r="AJ253" s="1"/>
      <c r="AK253" s="1"/>
      <c r="AL253" s="1"/>
      <c r="AM253" s="2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20"/>
      <c r="AJ254" s="1"/>
      <c r="AK254" s="1"/>
      <c r="AL254" s="1"/>
      <c r="AM254" s="2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20"/>
      <c r="AJ255" s="1"/>
      <c r="AK255" s="1"/>
      <c r="AL255" s="1"/>
      <c r="AM255" s="2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20"/>
      <c r="AJ256" s="1"/>
      <c r="AK256" s="1"/>
      <c r="AL256" s="1"/>
      <c r="AM256" s="2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20"/>
      <c r="AJ257" s="1"/>
      <c r="AK257" s="1"/>
      <c r="AL257" s="1"/>
      <c r="AM257" s="2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20"/>
      <c r="AJ258" s="1"/>
      <c r="AK258" s="1"/>
      <c r="AL258" s="1"/>
      <c r="AM258" s="2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20"/>
      <c r="AJ259" s="1"/>
      <c r="AK259" s="1"/>
      <c r="AL259" s="1"/>
      <c r="AM259" s="2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20"/>
      <c r="AJ260" s="1"/>
      <c r="AK260" s="1"/>
      <c r="AL260" s="1"/>
      <c r="AM260" s="2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20"/>
      <c r="AJ261" s="1"/>
      <c r="AK261" s="1"/>
      <c r="AL261" s="1"/>
      <c r="AM261" s="2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20"/>
      <c r="AJ262" s="1"/>
      <c r="AK262" s="1"/>
      <c r="AL262" s="1"/>
      <c r="AM262" s="2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20"/>
      <c r="AJ263" s="1"/>
      <c r="AK263" s="1"/>
      <c r="AL263" s="1"/>
      <c r="AM263" s="2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20"/>
      <c r="AJ264" s="1"/>
      <c r="AK264" s="1"/>
      <c r="AL264" s="1"/>
      <c r="AM264" s="2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20"/>
      <c r="AJ265" s="1"/>
      <c r="AK265" s="1"/>
      <c r="AL265" s="1"/>
      <c r="AM265" s="2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20"/>
      <c r="AJ266" s="1"/>
      <c r="AK266" s="1"/>
      <c r="AL266" s="1"/>
      <c r="AM266" s="2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20"/>
      <c r="AJ267" s="1"/>
      <c r="AK267" s="1"/>
      <c r="AL267" s="1"/>
      <c r="AM267" s="2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20"/>
      <c r="AJ268" s="1"/>
      <c r="AK268" s="1"/>
      <c r="AL268" s="1"/>
      <c r="AM268" s="2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20"/>
      <c r="AJ269" s="1"/>
      <c r="AK269" s="1"/>
      <c r="AL269" s="1"/>
      <c r="AM269" s="2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20"/>
      <c r="AJ270" s="1"/>
      <c r="AK270" s="1"/>
      <c r="AL270" s="1"/>
      <c r="AM270" s="2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20"/>
      <c r="AJ271" s="1"/>
      <c r="AK271" s="1"/>
      <c r="AL271" s="1"/>
      <c r="AM271" s="2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20"/>
      <c r="AJ272" s="1"/>
      <c r="AK272" s="1"/>
      <c r="AL272" s="1"/>
      <c r="AM272" s="2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20"/>
      <c r="AJ273" s="1"/>
      <c r="AK273" s="1"/>
      <c r="AL273" s="1"/>
      <c r="AM273" s="2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20"/>
      <c r="AJ274" s="1"/>
      <c r="AK274" s="1"/>
      <c r="AL274" s="1"/>
      <c r="AM274" s="2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20"/>
      <c r="AJ275" s="1"/>
      <c r="AK275" s="1"/>
      <c r="AL275" s="1"/>
      <c r="AM275" s="2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20"/>
      <c r="AJ276" s="1"/>
      <c r="AK276" s="1"/>
      <c r="AL276" s="1"/>
      <c r="AM276" s="2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20"/>
      <c r="AJ277" s="1"/>
      <c r="AK277" s="1"/>
      <c r="AL277" s="1"/>
      <c r="AM277" s="2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20"/>
      <c r="AJ278" s="1"/>
      <c r="AK278" s="1"/>
      <c r="AL278" s="1"/>
      <c r="AM278" s="2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20"/>
      <c r="AJ279" s="1"/>
      <c r="AK279" s="1"/>
      <c r="AL279" s="1"/>
      <c r="AM279" s="2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20"/>
      <c r="AJ280" s="1"/>
      <c r="AK280" s="1"/>
      <c r="AL280" s="1"/>
      <c r="AM280" s="2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20"/>
      <c r="AJ281" s="1"/>
      <c r="AK281" s="1"/>
      <c r="AL281" s="1"/>
      <c r="AM281" s="2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20"/>
      <c r="AJ282" s="1"/>
      <c r="AK282" s="1"/>
      <c r="AL282" s="1"/>
      <c r="AM282" s="2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20"/>
      <c r="AJ283" s="1"/>
      <c r="AK283" s="1"/>
      <c r="AL283" s="1"/>
      <c r="AM283" s="2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20"/>
      <c r="AJ284" s="1"/>
      <c r="AK284" s="1"/>
      <c r="AL284" s="1"/>
      <c r="AM284" s="2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20"/>
      <c r="AJ285" s="1"/>
      <c r="AK285" s="1"/>
      <c r="AL285" s="1"/>
      <c r="AM285" s="2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20"/>
      <c r="AJ286" s="1"/>
      <c r="AK286" s="1"/>
      <c r="AL286" s="1"/>
      <c r="AM286" s="2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20"/>
      <c r="AJ287" s="1"/>
      <c r="AK287" s="1"/>
      <c r="AL287" s="1"/>
      <c r="AM287" s="2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20"/>
      <c r="AJ288" s="1"/>
      <c r="AK288" s="1"/>
      <c r="AL288" s="1"/>
      <c r="AM288" s="2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20"/>
      <c r="AJ289" s="1"/>
      <c r="AK289" s="1"/>
      <c r="AL289" s="1"/>
      <c r="AM289" s="2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20"/>
      <c r="AJ290" s="1"/>
      <c r="AK290" s="1"/>
      <c r="AL290" s="1"/>
      <c r="AM290" s="2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20"/>
      <c r="AJ291" s="1"/>
      <c r="AK291" s="1"/>
      <c r="AL291" s="1"/>
      <c r="AM291" s="2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20"/>
      <c r="AJ292" s="1"/>
      <c r="AK292" s="1"/>
      <c r="AL292" s="1"/>
      <c r="AM292" s="2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20"/>
      <c r="AJ293" s="1"/>
      <c r="AK293" s="1"/>
      <c r="AL293" s="1"/>
      <c r="AM293" s="2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20"/>
      <c r="AJ294" s="1"/>
      <c r="AK294" s="1"/>
      <c r="AL294" s="1"/>
      <c r="AM294" s="2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20"/>
      <c r="AJ295" s="1"/>
      <c r="AK295" s="1"/>
      <c r="AL295" s="1"/>
      <c r="AM295" s="2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20"/>
      <c r="AJ296" s="1"/>
      <c r="AK296" s="1"/>
      <c r="AL296" s="1"/>
      <c r="AM296" s="2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20"/>
      <c r="AJ297" s="1"/>
      <c r="AK297" s="1"/>
      <c r="AL297" s="1"/>
      <c r="AM297" s="2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20"/>
      <c r="AJ298" s="1"/>
      <c r="AK298" s="1"/>
      <c r="AL298" s="1"/>
      <c r="AM298" s="2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20"/>
      <c r="AJ299" s="1"/>
      <c r="AK299" s="1"/>
      <c r="AL299" s="1"/>
      <c r="AM299" s="2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20"/>
      <c r="AJ300" s="1"/>
      <c r="AK300" s="1"/>
      <c r="AL300" s="1"/>
      <c r="AM300" s="2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20"/>
      <c r="AJ301" s="1"/>
      <c r="AK301" s="1"/>
      <c r="AL301" s="1"/>
      <c r="AM301" s="2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20"/>
      <c r="AJ302" s="1"/>
      <c r="AK302" s="1"/>
      <c r="AL302" s="1"/>
      <c r="AM302" s="2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20"/>
      <c r="AJ303" s="1"/>
      <c r="AK303" s="1"/>
      <c r="AL303" s="1"/>
      <c r="AM303" s="2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20"/>
      <c r="AJ304" s="1"/>
      <c r="AK304" s="1"/>
      <c r="AL304" s="1"/>
      <c r="AM304" s="2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20"/>
      <c r="AJ305" s="1"/>
      <c r="AK305" s="1"/>
      <c r="AL305" s="1"/>
      <c r="AM305" s="2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20"/>
      <c r="AJ306" s="1"/>
      <c r="AK306" s="1"/>
      <c r="AL306" s="1"/>
      <c r="AM306" s="2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20"/>
      <c r="AJ307" s="1"/>
      <c r="AK307" s="1"/>
      <c r="AL307" s="1"/>
      <c r="AM307" s="2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20"/>
      <c r="AJ308" s="1"/>
      <c r="AK308" s="1"/>
      <c r="AL308" s="1"/>
      <c r="AM308" s="2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20"/>
      <c r="AJ309" s="1"/>
      <c r="AK309" s="1"/>
      <c r="AL309" s="1"/>
      <c r="AM309" s="2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20"/>
      <c r="AJ310" s="1"/>
      <c r="AK310" s="1"/>
      <c r="AL310" s="1"/>
      <c r="AM310" s="2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20"/>
      <c r="AJ311" s="1"/>
      <c r="AK311" s="1"/>
      <c r="AL311" s="1"/>
      <c r="AM311" s="2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20"/>
      <c r="AJ312" s="1"/>
      <c r="AK312" s="1"/>
      <c r="AL312" s="1"/>
      <c r="AM312" s="2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20"/>
      <c r="AJ313" s="1"/>
      <c r="AK313" s="1"/>
      <c r="AL313" s="1"/>
      <c r="AM313" s="2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20"/>
      <c r="AJ314" s="1"/>
      <c r="AK314" s="1"/>
      <c r="AL314" s="1"/>
      <c r="AM314" s="2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20"/>
      <c r="AJ315" s="1"/>
      <c r="AK315" s="1"/>
      <c r="AL315" s="1"/>
      <c r="AM315" s="2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20"/>
      <c r="AJ316" s="1"/>
      <c r="AK316" s="1"/>
      <c r="AL316" s="1"/>
      <c r="AM316" s="2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20"/>
      <c r="AJ317" s="1"/>
      <c r="AK317" s="1"/>
      <c r="AL317" s="1"/>
      <c r="AM317" s="2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20"/>
      <c r="AJ318" s="1"/>
      <c r="AK318" s="1"/>
      <c r="AL318" s="1"/>
      <c r="AM318" s="2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20"/>
      <c r="AJ319" s="1"/>
      <c r="AK319" s="1"/>
      <c r="AL319" s="1"/>
      <c r="AM319" s="2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20"/>
      <c r="AJ320" s="1"/>
      <c r="AK320" s="1"/>
      <c r="AL320" s="1"/>
      <c r="AM320" s="2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20"/>
      <c r="AJ321" s="1"/>
      <c r="AK321" s="1"/>
      <c r="AL321" s="1"/>
      <c r="AM321" s="2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20"/>
      <c r="AJ322" s="1"/>
      <c r="AK322" s="1"/>
      <c r="AL322" s="1"/>
      <c r="AM322" s="2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20"/>
      <c r="AJ323" s="1"/>
      <c r="AK323" s="1"/>
      <c r="AL323" s="1"/>
      <c r="AM323" s="2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20"/>
      <c r="AJ324" s="1"/>
      <c r="AK324" s="1"/>
      <c r="AL324" s="1"/>
      <c r="AM324" s="2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20"/>
      <c r="AJ325" s="1"/>
      <c r="AK325" s="1"/>
      <c r="AL325" s="1"/>
      <c r="AM325" s="2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20"/>
      <c r="AJ326" s="1"/>
      <c r="AK326" s="1"/>
      <c r="AL326" s="1"/>
      <c r="AM326" s="2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20"/>
      <c r="AJ327" s="1"/>
      <c r="AK327" s="1"/>
      <c r="AL327" s="1"/>
      <c r="AM327" s="2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20"/>
      <c r="AJ328" s="1"/>
      <c r="AK328" s="1"/>
      <c r="AL328" s="1"/>
      <c r="AM328" s="2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20"/>
      <c r="AJ329" s="1"/>
      <c r="AK329" s="1"/>
      <c r="AL329" s="1"/>
      <c r="AM329" s="2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20"/>
      <c r="AJ330" s="1"/>
      <c r="AK330" s="1"/>
      <c r="AL330" s="1"/>
      <c r="AM330" s="2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20"/>
      <c r="AJ331" s="1"/>
      <c r="AK331" s="1"/>
      <c r="AL331" s="1"/>
      <c r="AM331" s="2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20"/>
      <c r="AJ332" s="1"/>
      <c r="AK332" s="1"/>
      <c r="AL332" s="1"/>
      <c r="AM332" s="2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20"/>
      <c r="AJ333" s="1"/>
      <c r="AK333" s="1"/>
      <c r="AL333" s="1"/>
      <c r="AM333" s="2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20"/>
      <c r="AJ334" s="1"/>
      <c r="AK334" s="1"/>
      <c r="AL334" s="1"/>
      <c r="AM334" s="2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20"/>
      <c r="AJ335" s="1"/>
      <c r="AK335" s="1"/>
      <c r="AL335" s="1"/>
      <c r="AM335" s="2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20"/>
      <c r="AJ336" s="1"/>
      <c r="AK336" s="1"/>
      <c r="AL336" s="1"/>
      <c r="AM336" s="2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20"/>
      <c r="AJ337" s="1"/>
      <c r="AK337" s="1"/>
      <c r="AL337" s="1"/>
      <c r="AM337" s="2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20"/>
      <c r="AJ338" s="1"/>
      <c r="AK338" s="1"/>
      <c r="AL338" s="1"/>
      <c r="AM338" s="2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20"/>
      <c r="AJ339" s="1"/>
      <c r="AK339" s="1"/>
      <c r="AL339" s="1"/>
      <c r="AM339" s="2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20"/>
      <c r="AJ340" s="1"/>
      <c r="AK340" s="1"/>
      <c r="AL340" s="1"/>
      <c r="AM340" s="2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20"/>
      <c r="AJ341" s="1"/>
      <c r="AK341" s="1"/>
      <c r="AL341" s="1"/>
      <c r="AM341" s="2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20"/>
      <c r="AJ342" s="1"/>
      <c r="AK342" s="1"/>
      <c r="AL342" s="1"/>
      <c r="AM342" s="2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20"/>
      <c r="AJ343" s="1"/>
      <c r="AK343" s="1"/>
      <c r="AL343" s="1"/>
      <c r="AM343" s="2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20"/>
      <c r="AJ344" s="1"/>
      <c r="AK344" s="1"/>
      <c r="AL344" s="1"/>
      <c r="AM344" s="2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20"/>
      <c r="AJ345" s="1"/>
      <c r="AK345" s="1"/>
      <c r="AL345" s="1"/>
      <c r="AM345" s="2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20"/>
      <c r="AJ346" s="1"/>
      <c r="AK346" s="1"/>
      <c r="AL346" s="1"/>
      <c r="AM346" s="2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20"/>
      <c r="AJ347" s="1"/>
      <c r="AK347" s="1"/>
      <c r="AL347" s="1"/>
      <c r="AM347" s="2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20"/>
      <c r="AJ348" s="1"/>
      <c r="AK348" s="1"/>
      <c r="AL348" s="1"/>
      <c r="AM348" s="2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20"/>
      <c r="AJ349" s="1"/>
      <c r="AK349" s="1"/>
      <c r="AL349" s="1"/>
      <c r="AM349" s="2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20"/>
      <c r="AJ350" s="1"/>
      <c r="AK350" s="1"/>
      <c r="AL350" s="1"/>
      <c r="AM350" s="2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20"/>
      <c r="AJ351" s="1"/>
      <c r="AK351" s="1"/>
      <c r="AL351" s="1"/>
      <c r="AM351" s="2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20"/>
      <c r="AJ352" s="1"/>
      <c r="AK352" s="1"/>
      <c r="AL352" s="1"/>
      <c r="AM352" s="2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20"/>
      <c r="AJ353" s="1"/>
      <c r="AK353" s="1"/>
      <c r="AL353" s="1"/>
      <c r="AM353" s="2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20"/>
      <c r="AJ354" s="1"/>
      <c r="AK354" s="1"/>
      <c r="AL354" s="1"/>
      <c r="AM354" s="2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20"/>
      <c r="AJ355" s="1"/>
      <c r="AK355" s="1"/>
      <c r="AL355" s="1"/>
      <c r="AM355" s="2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20"/>
      <c r="AJ356" s="1"/>
      <c r="AK356" s="1"/>
      <c r="AL356" s="1"/>
      <c r="AM356" s="2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20"/>
      <c r="AJ357" s="1"/>
      <c r="AK357" s="1"/>
      <c r="AL357" s="1"/>
      <c r="AM357" s="2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20"/>
      <c r="AJ358" s="1"/>
      <c r="AK358" s="1"/>
      <c r="AL358" s="1"/>
      <c r="AM358" s="2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20"/>
      <c r="AJ359" s="1"/>
      <c r="AK359" s="1"/>
      <c r="AL359" s="1"/>
      <c r="AM359" s="2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20"/>
      <c r="AJ360" s="1"/>
      <c r="AK360" s="1"/>
      <c r="AL360" s="1"/>
      <c r="AM360" s="2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20"/>
      <c r="AJ361" s="1"/>
      <c r="AK361" s="1"/>
      <c r="AL361" s="1"/>
      <c r="AM361" s="2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20"/>
      <c r="AJ362" s="1"/>
      <c r="AK362" s="1"/>
      <c r="AL362" s="1"/>
      <c r="AM362" s="2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20"/>
      <c r="AJ363" s="1"/>
      <c r="AK363" s="1"/>
      <c r="AL363" s="1"/>
      <c r="AM363" s="2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20"/>
      <c r="AJ364" s="1"/>
      <c r="AK364" s="1"/>
      <c r="AL364" s="1"/>
      <c r="AM364" s="2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20"/>
      <c r="AJ365" s="1"/>
      <c r="AK365" s="1"/>
      <c r="AL365" s="1"/>
      <c r="AM365" s="2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20"/>
      <c r="AJ366" s="1"/>
      <c r="AK366" s="1"/>
      <c r="AL366" s="1"/>
      <c r="AM366" s="2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20"/>
      <c r="AJ367" s="1"/>
      <c r="AK367" s="1"/>
      <c r="AL367" s="1"/>
      <c r="AM367" s="2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20"/>
      <c r="AJ368" s="1"/>
      <c r="AK368" s="1"/>
      <c r="AL368" s="1"/>
      <c r="AM368" s="2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20"/>
      <c r="AJ369" s="1"/>
      <c r="AK369" s="1"/>
      <c r="AL369" s="1"/>
      <c r="AM369" s="2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20"/>
      <c r="AJ370" s="1"/>
      <c r="AK370" s="1"/>
      <c r="AL370" s="1"/>
      <c r="AM370" s="2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20"/>
      <c r="AJ371" s="1"/>
      <c r="AK371" s="1"/>
      <c r="AL371" s="1"/>
      <c r="AM371" s="2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20"/>
      <c r="AJ372" s="1"/>
      <c r="AK372" s="1"/>
      <c r="AL372" s="1"/>
      <c r="AM372" s="2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20"/>
      <c r="AJ373" s="1"/>
      <c r="AK373" s="1"/>
      <c r="AL373" s="1"/>
      <c r="AM373" s="2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20"/>
      <c r="AJ374" s="1"/>
      <c r="AK374" s="1"/>
      <c r="AL374" s="1"/>
      <c r="AM374" s="2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20"/>
      <c r="AJ375" s="1"/>
      <c r="AK375" s="1"/>
      <c r="AL375" s="1"/>
      <c r="AM375" s="2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20"/>
      <c r="AJ376" s="1"/>
      <c r="AK376" s="1"/>
      <c r="AL376" s="1"/>
      <c r="AM376" s="2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20"/>
      <c r="AJ377" s="1"/>
      <c r="AK377" s="1"/>
      <c r="AL377" s="1"/>
      <c r="AM377" s="2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20"/>
      <c r="AJ378" s="1"/>
      <c r="AK378" s="1"/>
      <c r="AL378" s="1"/>
      <c r="AM378" s="2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20"/>
      <c r="AJ379" s="1"/>
      <c r="AK379" s="1"/>
      <c r="AL379" s="1"/>
      <c r="AM379" s="2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20"/>
      <c r="AJ380" s="1"/>
      <c r="AK380" s="1"/>
      <c r="AL380" s="1"/>
      <c r="AM380" s="2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20"/>
      <c r="AJ381" s="1"/>
      <c r="AK381" s="1"/>
      <c r="AL381" s="1"/>
      <c r="AM381" s="2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20"/>
      <c r="AJ382" s="1"/>
      <c r="AK382" s="1"/>
      <c r="AL382" s="1"/>
      <c r="AM382" s="2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20"/>
      <c r="AJ383" s="1"/>
      <c r="AK383" s="1"/>
      <c r="AL383" s="1"/>
      <c r="AM383" s="2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20"/>
      <c r="AJ384" s="1"/>
      <c r="AK384" s="1"/>
      <c r="AL384" s="1"/>
      <c r="AM384" s="2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20"/>
      <c r="AJ385" s="1"/>
      <c r="AK385" s="1"/>
      <c r="AL385" s="1"/>
      <c r="AM385" s="2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20"/>
      <c r="AJ386" s="1"/>
      <c r="AK386" s="1"/>
      <c r="AL386" s="1"/>
      <c r="AM386" s="2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20"/>
      <c r="AJ387" s="1"/>
      <c r="AK387" s="1"/>
      <c r="AL387" s="1"/>
      <c r="AM387" s="2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20"/>
      <c r="AJ388" s="1"/>
      <c r="AK388" s="1"/>
      <c r="AL388" s="1"/>
      <c r="AM388" s="2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20"/>
      <c r="AJ389" s="1"/>
      <c r="AK389" s="1"/>
      <c r="AL389" s="1"/>
      <c r="AM389" s="2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20"/>
      <c r="AJ390" s="1"/>
      <c r="AK390" s="1"/>
      <c r="AL390" s="1"/>
      <c r="AM390" s="2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20"/>
      <c r="AJ391" s="1"/>
      <c r="AK391" s="1"/>
      <c r="AL391" s="1"/>
      <c r="AM391" s="2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20"/>
      <c r="AJ392" s="1"/>
      <c r="AK392" s="1"/>
      <c r="AL392" s="1"/>
      <c r="AM392" s="2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20"/>
      <c r="AJ393" s="1"/>
      <c r="AK393" s="1"/>
      <c r="AL393" s="1"/>
      <c r="AM393" s="2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20"/>
      <c r="AJ394" s="1"/>
      <c r="AK394" s="1"/>
      <c r="AL394" s="1"/>
      <c r="AM394" s="2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20"/>
      <c r="AJ395" s="1"/>
      <c r="AK395" s="1"/>
      <c r="AL395" s="1"/>
      <c r="AM395" s="2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20"/>
      <c r="AJ396" s="1"/>
      <c r="AK396" s="1"/>
      <c r="AL396" s="1"/>
      <c r="AM396" s="2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20"/>
      <c r="AJ397" s="1"/>
      <c r="AK397" s="1"/>
      <c r="AL397" s="1"/>
      <c r="AM397" s="2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20"/>
      <c r="AJ398" s="1"/>
      <c r="AK398" s="1"/>
      <c r="AL398" s="1"/>
      <c r="AM398" s="2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20"/>
      <c r="AJ399" s="1"/>
      <c r="AK399" s="1"/>
      <c r="AL399" s="1"/>
      <c r="AM399" s="2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20"/>
      <c r="AJ400" s="1"/>
      <c r="AK400" s="1"/>
      <c r="AL400" s="1"/>
      <c r="AM400" s="2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20"/>
      <c r="AJ401" s="1"/>
      <c r="AK401" s="1"/>
      <c r="AL401" s="1"/>
      <c r="AM401" s="2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20"/>
      <c r="AJ402" s="1"/>
      <c r="AK402" s="1"/>
      <c r="AL402" s="1"/>
      <c r="AM402" s="2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20"/>
      <c r="AJ403" s="1"/>
      <c r="AK403" s="1"/>
      <c r="AL403" s="1"/>
      <c r="AM403" s="2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20"/>
      <c r="AJ404" s="1"/>
      <c r="AK404" s="1"/>
      <c r="AL404" s="1"/>
      <c r="AM404" s="2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20"/>
      <c r="AJ405" s="1"/>
      <c r="AK405" s="1"/>
      <c r="AL405" s="1"/>
      <c r="AM405" s="2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20"/>
      <c r="AJ406" s="1"/>
      <c r="AK406" s="1"/>
      <c r="AL406" s="1"/>
      <c r="AM406" s="2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20"/>
      <c r="AJ407" s="1"/>
      <c r="AK407" s="1"/>
      <c r="AL407" s="1"/>
      <c r="AM407" s="2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20"/>
      <c r="AJ408" s="1"/>
      <c r="AK408" s="1"/>
      <c r="AL408" s="1"/>
      <c r="AM408" s="2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20"/>
      <c r="AJ409" s="1"/>
      <c r="AK409" s="1"/>
      <c r="AL409" s="1"/>
      <c r="AM409" s="2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20"/>
      <c r="AJ410" s="1"/>
      <c r="AK410" s="1"/>
      <c r="AL410" s="1"/>
      <c r="AM410" s="2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20"/>
      <c r="AJ411" s="1"/>
      <c r="AK411" s="1"/>
      <c r="AL411" s="1"/>
      <c r="AM411" s="2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20"/>
      <c r="AJ412" s="1"/>
      <c r="AK412" s="1"/>
      <c r="AL412" s="1"/>
      <c r="AM412" s="2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20"/>
      <c r="AJ413" s="1"/>
      <c r="AK413" s="1"/>
      <c r="AL413" s="1"/>
      <c r="AM413" s="2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20"/>
      <c r="AJ414" s="1"/>
      <c r="AK414" s="1"/>
      <c r="AL414" s="1"/>
      <c r="AM414" s="2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20"/>
      <c r="AJ415" s="1"/>
      <c r="AK415" s="1"/>
      <c r="AL415" s="1"/>
      <c r="AM415" s="2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20"/>
      <c r="AJ416" s="1"/>
      <c r="AK416" s="1"/>
      <c r="AL416" s="1"/>
      <c r="AM416" s="2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20"/>
      <c r="AJ417" s="1"/>
      <c r="AK417" s="1"/>
      <c r="AL417" s="1"/>
      <c r="AM417" s="2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20"/>
      <c r="AJ418" s="1"/>
      <c r="AK418" s="1"/>
      <c r="AL418" s="1"/>
      <c r="AM418" s="2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20"/>
      <c r="AJ419" s="1"/>
      <c r="AK419" s="1"/>
      <c r="AL419" s="1"/>
      <c r="AM419" s="2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20"/>
      <c r="AJ420" s="1"/>
      <c r="AK420" s="1"/>
      <c r="AL420" s="1"/>
      <c r="AM420" s="2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20"/>
      <c r="AJ421" s="1"/>
      <c r="AK421" s="1"/>
      <c r="AL421" s="1"/>
      <c r="AM421" s="2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20"/>
      <c r="AJ422" s="1"/>
      <c r="AK422" s="1"/>
      <c r="AL422" s="1"/>
      <c r="AM422" s="2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20"/>
      <c r="AJ423" s="1"/>
      <c r="AK423" s="1"/>
      <c r="AL423" s="1"/>
      <c r="AM423" s="2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20"/>
      <c r="AJ424" s="1"/>
      <c r="AK424" s="1"/>
      <c r="AL424" s="1"/>
      <c r="AM424" s="2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20"/>
      <c r="AJ425" s="1"/>
      <c r="AK425" s="1"/>
      <c r="AL425" s="1"/>
      <c r="AM425" s="2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20"/>
      <c r="AJ426" s="1"/>
      <c r="AK426" s="1"/>
      <c r="AL426" s="1"/>
      <c r="AM426" s="2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20"/>
      <c r="AJ427" s="1"/>
      <c r="AK427" s="1"/>
      <c r="AL427" s="1"/>
      <c r="AM427" s="2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20"/>
      <c r="AJ428" s="1"/>
      <c r="AK428" s="1"/>
      <c r="AL428" s="1"/>
      <c r="AM428" s="2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20"/>
      <c r="AJ429" s="1"/>
      <c r="AK429" s="1"/>
      <c r="AL429" s="1"/>
      <c r="AM429" s="2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20"/>
      <c r="AJ430" s="1"/>
      <c r="AK430" s="1"/>
      <c r="AL430" s="1"/>
      <c r="AM430" s="2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20"/>
      <c r="AJ431" s="1"/>
      <c r="AK431" s="1"/>
      <c r="AL431" s="1"/>
      <c r="AM431" s="2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20"/>
      <c r="AJ432" s="1"/>
      <c r="AK432" s="1"/>
      <c r="AL432" s="1"/>
      <c r="AM432" s="2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20"/>
      <c r="AJ433" s="1"/>
      <c r="AK433" s="1"/>
      <c r="AL433" s="1"/>
      <c r="AM433" s="2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20"/>
      <c r="AJ434" s="1"/>
      <c r="AK434" s="1"/>
      <c r="AL434" s="1"/>
      <c r="AM434" s="2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20"/>
      <c r="AJ435" s="1"/>
      <c r="AK435" s="1"/>
      <c r="AL435" s="1"/>
      <c r="AM435" s="2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20"/>
      <c r="AJ436" s="1"/>
      <c r="AK436" s="1"/>
      <c r="AL436" s="1"/>
      <c r="AM436" s="2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20"/>
      <c r="AJ437" s="1"/>
      <c r="AK437" s="1"/>
      <c r="AL437" s="1"/>
      <c r="AM437" s="2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20"/>
      <c r="AJ438" s="1"/>
      <c r="AK438" s="1"/>
      <c r="AL438" s="1"/>
      <c r="AM438" s="2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20"/>
      <c r="AJ439" s="1"/>
      <c r="AK439" s="1"/>
      <c r="AL439" s="1"/>
      <c r="AM439" s="2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20"/>
      <c r="AJ440" s="1"/>
      <c r="AK440" s="1"/>
      <c r="AL440" s="1"/>
      <c r="AM440" s="2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20"/>
      <c r="AJ441" s="1"/>
      <c r="AK441" s="1"/>
      <c r="AL441" s="1"/>
      <c r="AM441" s="2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20"/>
      <c r="AJ442" s="1"/>
      <c r="AK442" s="1"/>
      <c r="AL442" s="1"/>
      <c r="AM442" s="2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20"/>
      <c r="AJ443" s="1"/>
      <c r="AK443" s="1"/>
      <c r="AL443" s="1"/>
      <c r="AM443" s="2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20"/>
      <c r="AJ444" s="1"/>
      <c r="AK444" s="1"/>
      <c r="AL444" s="1"/>
      <c r="AM444" s="2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20"/>
      <c r="AJ445" s="1"/>
      <c r="AK445" s="1"/>
      <c r="AL445" s="1"/>
      <c r="AM445" s="2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20"/>
      <c r="AJ446" s="1"/>
      <c r="AK446" s="1"/>
      <c r="AL446" s="1"/>
      <c r="AM446" s="2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20"/>
      <c r="AJ447" s="1"/>
      <c r="AK447" s="1"/>
      <c r="AL447" s="1"/>
      <c r="AM447" s="2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20"/>
      <c r="AJ448" s="1"/>
      <c r="AK448" s="1"/>
      <c r="AL448" s="1"/>
      <c r="AM448" s="2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20"/>
      <c r="AJ449" s="1"/>
      <c r="AK449" s="1"/>
      <c r="AL449" s="1"/>
      <c r="AM449" s="2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20"/>
      <c r="AJ450" s="1"/>
      <c r="AK450" s="1"/>
      <c r="AL450" s="1"/>
      <c r="AM450" s="2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20"/>
      <c r="AJ451" s="1"/>
      <c r="AK451" s="1"/>
      <c r="AL451" s="1"/>
      <c r="AM451" s="2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20"/>
      <c r="AJ452" s="1"/>
      <c r="AK452" s="1"/>
      <c r="AL452" s="1"/>
      <c r="AM452" s="2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20"/>
      <c r="AJ453" s="1"/>
      <c r="AK453" s="1"/>
      <c r="AL453" s="1"/>
      <c r="AM453" s="2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20"/>
      <c r="AJ454" s="1"/>
      <c r="AK454" s="1"/>
      <c r="AL454" s="1"/>
      <c r="AM454" s="2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20"/>
      <c r="AJ455" s="1"/>
      <c r="AK455" s="1"/>
      <c r="AL455" s="1"/>
      <c r="AM455" s="2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20"/>
      <c r="AJ456" s="1"/>
      <c r="AK456" s="1"/>
      <c r="AL456" s="1"/>
      <c r="AM456" s="2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20"/>
      <c r="AJ457" s="1"/>
      <c r="AK457" s="1"/>
      <c r="AL457" s="1"/>
      <c r="AM457" s="2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20"/>
      <c r="AJ458" s="1"/>
      <c r="AK458" s="1"/>
      <c r="AL458" s="1"/>
      <c r="AM458" s="2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20"/>
      <c r="AJ459" s="1"/>
      <c r="AK459" s="1"/>
      <c r="AL459" s="1"/>
      <c r="AM459" s="2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20"/>
      <c r="AJ460" s="1"/>
      <c r="AK460" s="1"/>
      <c r="AL460" s="1"/>
      <c r="AM460" s="2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20"/>
      <c r="AJ461" s="1"/>
      <c r="AK461" s="1"/>
      <c r="AL461" s="1"/>
      <c r="AM461" s="2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20"/>
      <c r="AJ462" s="1"/>
      <c r="AK462" s="1"/>
      <c r="AL462" s="1"/>
      <c r="AM462" s="2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20"/>
      <c r="AJ463" s="1"/>
      <c r="AK463" s="1"/>
      <c r="AL463" s="1"/>
      <c r="AM463" s="2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20"/>
      <c r="AJ464" s="1"/>
      <c r="AK464" s="1"/>
      <c r="AL464" s="1"/>
      <c r="AM464" s="2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20"/>
      <c r="AJ465" s="1"/>
      <c r="AK465" s="1"/>
      <c r="AL465" s="1"/>
      <c r="AM465" s="2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20"/>
      <c r="AJ466" s="1"/>
      <c r="AK466" s="1"/>
      <c r="AL466" s="1"/>
      <c r="AM466" s="2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20"/>
      <c r="AJ467" s="1"/>
      <c r="AK467" s="1"/>
      <c r="AL467" s="1"/>
      <c r="AM467" s="2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20"/>
      <c r="AJ468" s="1"/>
      <c r="AK468" s="1"/>
      <c r="AL468" s="1"/>
      <c r="AM468" s="2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20"/>
      <c r="AJ469" s="1"/>
      <c r="AK469" s="1"/>
      <c r="AL469" s="1"/>
      <c r="AM469" s="2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20"/>
      <c r="AJ470" s="1"/>
      <c r="AK470" s="1"/>
      <c r="AL470" s="1"/>
      <c r="AM470" s="2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20"/>
      <c r="AJ471" s="1"/>
      <c r="AK471" s="1"/>
      <c r="AL471" s="1"/>
      <c r="AM471" s="2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20"/>
      <c r="AJ472" s="1"/>
      <c r="AK472" s="1"/>
      <c r="AL472" s="1"/>
      <c r="AM472" s="2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20"/>
      <c r="AJ473" s="1"/>
      <c r="AK473" s="1"/>
      <c r="AL473" s="1"/>
      <c r="AM473" s="2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20"/>
      <c r="AJ474" s="1"/>
      <c r="AK474" s="1"/>
      <c r="AL474" s="1"/>
      <c r="AM474" s="2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20"/>
      <c r="AJ475" s="1"/>
      <c r="AK475" s="1"/>
      <c r="AL475" s="1"/>
      <c r="AM475" s="2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20"/>
      <c r="AJ476" s="1"/>
      <c r="AK476" s="1"/>
      <c r="AL476" s="1"/>
      <c r="AM476" s="2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20"/>
      <c r="AJ477" s="1"/>
      <c r="AK477" s="1"/>
      <c r="AL477" s="1"/>
      <c r="AM477" s="2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20"/>
      <c r="AJ478" s="1"/>
      <c r="AK478" s="1"/>
      <c r="AL478" s="1"/>
      <c r="AM478" s="2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20"/>
      <c r="AJ479" s="1"/>
      <c r="AK479" s="1"/>
      <c r="AL479" s="1"/>
      <c r="AM479" s="2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20"/>
      <c r="AJ480" s="1"/>
      <c r="AK480" s="1"/>
      <c r="AL480" s="1"/>
      <c r="AM480" s="2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20"/>
      <c r="AJ481" s="1"/>
      <c r="AK481" s="1"/>
      <c r="AL481" s="1"/>
      <c r="AM481" s="2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20"/>
      <c r="AJ482" s="1"/>
      <c r="AK482" s="1"/>
      <c r="AL482" s="1"/>
      <c r="AM482" s="2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20"/>
      <c r="AJ483" s="1"/>
      <c r="AK483" s="1"/>
      <c r="AL483" s="1"/>
      <c r="AM483" s="2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20"/>
      <c r="AJ484" s="1"/>
      <c r="AK484" s="1"/>
      <c r="AL484" s="1"/>
      <c r="AM484" s="2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20"/>
      <c r="AJ485" s="1"/>
      <c r="AK485" s="1"/>
      <c r="AL485" s="1"/>
      <c r="AM485" s="2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20"/>
      <c r="AJ486" s="1"/>
      <c r="AK486" s="1"/>
      <c r="AL486" s="1"/>
      <c r="AM486" s="2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20"/>
      <c r="AJ487" s="1"/>
      <c r="AK487" s="1"/>
      <c r="AL487" s="1"/>
      <c r="AM487" s="2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20"/>
      <c r="AJ488" s="1"/>
      <c r="AK488" s="1"/>
      <c r="AL488" s="1"/>
      <c r="AM488" s="2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20"/>
      <c r="AJ489" s="1"/>
      <c r="AK489" s="1"/>
      <c r="AL489" s="1"/>
      <c r="AM489" s="2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20"/>
      <c r="AJ490" s="1"/>
      <c r="AK490" s="1"/>
      <c r="AL490" s="1"/>
      <c r="AM490" s="2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20"/>
      <c r="AJ491" s="1"/>
      <c r="AK491" s="1"/>
      <c r="AL491" s="1"/>
      <c r="AM491" s="2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20"/>
      <c r="AJ492" s="1"/>
      <c r="AK492" s="1"/>
      <c r="AL492" s="1"/>
      <c r="AM492" s="2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20"/>
      <c r="AJ493" s="1"/>
      <c r="AK493" s="1"/>
      <c r="AL493" s="1"/>
      <c r="AM493" s="2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</sheetData>
  <autoFilter ref="A3:AM59" xr:uid="{890839A8-9639-4F75-82E3-6B0865ADE1F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2025-04-08T14:02:28Z</dcterms:created>
  <dcterms:modified xsi:type="dcterms:W3CDTF">2025-04-08T14:14:22Z</dcterms:modified>
</cp:coreProperties>
</file>