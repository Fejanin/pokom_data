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2327FD87-E58D-4166-98F2-CF09302D49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Y173" i="1" s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Y145" i="1"/>
  <c r="X145" i="1"/>
  <c r="Z144" i="1"/>
  <c r="X144" i="1"/>
  <c r="BO143" i="1"/>
  <c r="BM143" i="1"/>
  <c r="Z143" i="1"/>
  <c r="Y143" i="1"/>
  <c r="P143" i="1"/>
  <c r="BP142" i="1"/>
  <c r="BO142" i="1"/>
  <c r="BN142" i="1"/>
  <c r="BM142" i="1"/>
  <c r="Z142" i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Z136" i="1"/>
  <c r="Z138" i="1" s="1"/>
  <c r="Y136" i="1"/>
  <c r="P136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P94" i="1"/>
  <c r="Y91" i="1"/>
  <c r="X91" i="1"/>
  <c r="Z90" i="1"/>
  <c r="X90" i="1"/>
  <c r="BO89" i="1"/>
  <c r="BM89" i="1"/>
  <c r="Z89" i="1"/>
  <c r="Y89" i="1"/>
  <c r="BO88" i="1"/>
  <c r="BM88" i="1"/>
  <c r="Z88" i="1"/>
  <c r="Y88" i="1"/>
  <c r="P88" i="1"/>
  <c r="X85" i="1"/>
  <c r="X84" i="1"/>
  <c r="BO83" i="1"/>
  <c r="BM83" i="1"/>
  <c r="Z83" i="1"/>
  <c r="Y83" i="1"/>
  <c r="P83" i="1"/>
  <c r="BP82" i="1"/>
  <c r="BO82" i="1"/>
  <c r="BN82" i="1"/>
  <c r="BM82" i="1"/>
  <c r="Z82" i="1"/>
  <c r="Z84" i="1" s="1"/>
  <c r="Y82" i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Y73" i="1"/>
  <c r="X73" i="1"/>
  <c r="Z72" i="1"/>
  <c r="X72" i="1"/>
  <c r="BO71" i="1"/>
  <c r="BM71" i="1"/>
  <c r="Z71" i="1"/>
  <c r="Y71" i="1"/>
  <c r="P71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Y60" i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Z54" i="1" s="1"/>
  <c r="Y46" i="1"/>
  <c r="P46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Y35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5" i="1" s="1"/>
  <c r="Y28" i="1"/>
  <c r="Y36" i="1" s="1"/>
  <c r="Y24" i="1"/>
  <c r="X24" i="1"/>
  <c r="Z23" i="1"/>
  <c r="X23" i="1"/>
  <c r="BO22" i="1"/>
  <c r="X338" i="1" s="1"/>
  <c r="BM22" i="1"/>
  <c r="Z22" i="1"/>
  <c r="Y22" i="1"/>
  <c r="P22" i="1"/>
  <c r="H10" i="1"/>
  <c r="A9" i="1"/>
  <c r="D7" i="1"/>
  <c r="Q6" i="1"/>
  <c r="P2" i="1"/>
  <c r="Z199" i="1" l="1"/>
  <c r="F10" i="1"/>
  <c r="J9" i="1"/>
  <c r="F9" i="1"/>
  <c r="A10" i="1"/>
  <c r="Y42" i="1"/>
  <c r="BP39" i="1"/>
  <c r="BN39" i="1"/>
  <c r="BP40" i="1"/>
  <c r="BN40" i="1"/>
  <c r="BP41" i="1"/>
  <c r="BN41" i="1"/>
  <c r="Y68" i="1"/>
  <c r="BP67" i="1"/>
  <c r="BN67" i="1"/>
  <c r="BP83" i="1"/>
  <c r="BN83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Y151" i="1"/>
  <c r="BP148" i="1"/>
  <c r="BN148" i="1"/>
  <c r="Y150" i="1"/>
  <c r="BP166" i="1"/>
  <c r="BN166" i="1"/>
  <c r="Y186" i="1"/>
  <c r="BP182" i="1"/>
  <c r="BN182" i="1"/>
  <c r="BP183" i="1"/>
  <c r="BN183" i="1"/>
  <c r="BP185" i="1"/>
  <c r="BN185" i="1"/>
  <c r="Z191" i="1"/>
  <c r="Y200" i="1"/>
  <c r="H9" i="1"/>
  <c r="Y23" i="1"/>
  <c r="BP22" i="1"/>
  <c r="BN22" i="1"/>
  <c r="X337" i="1"/>
  <c r="X339" i="1" s="1"/>
  <c r="X340" i="1"/>
  <c r="X336" i="1"/>
  <c r="Y43" i="1"/>
  <c r="Y336" i="1" s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69" i="1"/>
  <c r="Y72" i="1"/>
  <c r="BP71" i="1"/>
  <c r="BN71" i="1"/>
  <c r="Y84" i="1"/>
  <c r="Y85" i="1"/>
  <c r="Y90" i="1"/>
  <c r="BP88" i="1"/>
  <c r="BN88" i="1"/>
  <c r="BP89" i="1"/>
  <c r="BN89" i="1"/>
  <c r="Z99" i="1"/>
  <c r="Z341" i="1" s="1"/>
  <c r="Z110" i="1"/>
  <c r="Y119" i="1"/>
  <c r="Z128" i="1"/>
  <c r="Y133" i="1"/>
  <c r="Y139" i="1"/>
  <c r="BP136" i="1"/>
  <c r="BN136" i="1"/>
  <c r="Y138" i="1"/>
  <c r="BP143" i="1"/>
  <c r="BN143" i="1"/>
  <c r="Z150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Y338" i="1" l="1"/>
  <c r="A349" i="1"/>
  <c r="Y337" i="1"/>
  <c r="Y339" i="1" s="1"/>
  <c r="Y340" i="1"/>
  <c r="B349" i="1" l="1"/>
  <c r="C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<sst xmlns="http://schemas.openxmlformats.org/spreadsheetml/2006/main" count="1706" uniqueCount="557">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</sst>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3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7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0" t="s">
        <v>0</v>
      </c>
      <c r="E1" s="379"/>
      <c r="F1" s="379"/>
      <c r="G1" s="12" t="s">
        <v>1</v>
      </c>
      <c r="H1" s="410" t="s">
        <v>2</v>
      </c>
      <c r="I1" s="379"/>
      <c r="J1" s="379"/>
      <c r="K1" s="379"/>
      <c r="L1" s="379"/>
      <c r="M1" s="379"/>
      <c r="N1" s="379"/>
      <c r="O1" s="379"/>
      <c r="P1" s="379"/>
      <c r="Q1" s="379"/>
      <c r="R1" s="378" t="s">
        <v>3</v>
      </c>
      <c r="S1" s="379"/>
      <c r="T1" s="3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47" t="s">
        <v>8</v>
      </c>
      <c r="B5" s="414"/>
      <c r="C5" s="415"/>
      <c r="D5" s="416"/>
      <c r="E5" s="417"/>
      <c r="F5" s="558" t="s">
        <v>9</v>
      </c>
      <c r="G5" s="415"/>
      <c r="H5" s="416"/>
      <c r="I5" s="519"/>
      <c r="J5" s="519"/>
      <c r="K5" s="519"/>
      <c r="L5" s="519"/>
      <c r="M5" s="417"/>
      <c r="N5" s="61"/>
      <c r="P5" s="24" t="s">
        <v>10</v>
      </c>
      <c r="Q5" s="566">
        <v>45759</v>
      </c>
      <c r="R5" s="446"/>
      <c r="T5" s="472" t="s">
        <v>11</v>
      </c>
      <c r="U5" s="420"/>
      <c r="V5" s="474" t="s">
        <v>12</v>
      </c>
      <c r="W5" s="446"/>
      <c r="AB5" s="51"/>
      <c r="AC5" s="51"/>
      <c r="AD5" s="51"/>
      <c r="AE5" s="51"/>
    </row>
    <row r="6" spans="1:32" s="348" customFormat="1" ht="24" customHeight="1" x14ac:dyDescent="0.2">
      <c r="A6" s="447" t="s">
        <v>13</v>
      </c>
      <c r="B6" s="414"/>
      <c r="C6" s="415"/>
      <c r="D6" s="522" t="s">
        <v>14</v>
      </c>
      <c r="E6" s="523"/>
      <c r="F6" s="523"/>
      <c r="G6" s="523"/>
      <c r="H6" s="523"/>
      <c r="I6" s="523"/>
      <c r="J6" s="523"/>
      <c r="K6" s="523"/>
      <c r="L6" s="523"/>
      <c r="M6" s="446"/>
      <c r="N6" s="62"/>
      <c r="P6" s="24" t="s">
        <v>15</v>
      </c>
      <c r="Q6" s="572" t="str">
        <f>IF(Q5=0," ",CHOOSE(WEEKDAY(Q5,2),"Понедельник","Вторник","Среда","Четверг","Пятница","Суббота","Воскресенье"))</f>
        <v>Суббота</v>
      </c>
      <c r="R6" s="372"/>
      <c r="T6" s="476" t="s">
        <v>16</v>
      </c>
      <c r="U6" s="420"/>
      <c r="V6" s="506" t="s">
        <v>17</v>
      </c>
      <c r="W6" s="391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6" t="str">
        <f>IFERROR(VLOOKUP(DeliveryAddress,Table,3,0),1)</f>
        <v>1</v>
      </c>
      <c r="E7" s="397"/>
      <c r="F7" s="397"/>
      <c r="G7" s="397"/>
      <c r="H7" s="397"/>
      <c r="I7" s="397"/>
      <c r="J7" s="397"/>
      <c r="K7" s="397"/>
      <c r="L7" s="397"/>
      <c r="M7" s="398"/>
      <c r="N7" s="63"/>
      <c r="P7" s="24"/>
      <c r="Q7" s="42"/>
      <c r="R7" s="42"/>
      <c r="T7" s="363"/>
      <c r="U7" s="420"/>
      <c r="V7" s="507"/>
      <c r="W7" s="508"/>
      <c r="AB7" s="51"/>
      <c r="AC7" s="51"/>
      <c r="AD7" s="51"/>
      <c r="AE7" s="51"/>
    </row>
    <row r="8" spans="1:32" s="348" customFormat="1" ht="25.5" customHeight="1" x14ac:dyDescent="0.2">
      <c r="A8" s="579" t="s">
        <v>18</v>
      </c>
      <c r="B8" s="369"/>
      <c r="C8" s="370"/>
      <c r="D8" s="405" t="s">
        <v>19</v>
      </c>
      <c r="E8" s="406"/>
      <c r="F8" s="406"/>
      <c r="G8" s="406"/>
      <c r="H8" s="406"/>
      <c r="I8" s="406"/>
      <c r="J8" s="406"/>
      <c r="K8" s="406"/>
      <c r="L8" s="406"/>
      <c r="M8" s="407"/>
      <c r="N8" s="64"/>
      <c r="P8" s="24" t="s">
        <v>20</v>
      </c>
      <c r="Q8" s="451">
        <v>0.41666666666666669</v>
      </c>
      <c r="R8" s="398"/>
      <c r="T8" s="363"/>
      <c r="U8" s="420"/>
      <c r="V8" s="507"/>
      <c r="W8" s="508"/>
      <c r="AB8" s="51"/>
      <c r="AC8" s="51"/>
      <c r="AD8" s="51"/>
      <c r="AE8" s="51"/>
    </row>
    <row r="9" spans="1:32" s="348" customFormat="1" ht="39.950000000000003" customHeight="1" x14ac:dyDescent="0.2">
      <c r="A9" s="4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55"/>
      <c r="E9" s="367"/>
      <c r="F9" s="4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2"/>
      <c r="R9" s="443"/>
      <c r="T9" s="363"/>
      <c r="U9" s="420"/>
      <c r="V9" s="509"/>
      <c r="W9" s="510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55"/>
      <c r="E10" s="367"/>
      <c r="F10" s="4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3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77"/>
      <c r="R10" s="478"/>
      <c r="U10" s="24" t="s">
        <v>23</v>
      </c>
      <c r="V10" s="390" t="s">
        <v>24</v>
      </c>
      <c r="W10" s="391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45"/>
      <c r="R11" s="446"/>
      <c r="U11" s="24" t="s">
        <v>27</v>
      </c>
      <c r="V11" s="536" t="s">
        <v>28</v>
      </c>
      <c r="W11" s="443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0" t="s">
        <v>29</v>
      </c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5"/>
      <c r="N12" s="65"/>
      <c r="P12" s="24" t="s">
        <v>30</v>
      </c>
      <c r="Q12" s="451"/>
      <c r="R12" s="398"/>
      <c r="S12" s="23"/>
      <c r="U12" s="24"/>
      <c r="V12" s="379"/>
      <c r="W12" s="363"/>
      <c r="AB12" s="51"/>
      <c r="AC12" s="51"/>
      <c r="AD12" s="51"/>
      <c r="AE12" s="51"/>
    </row>
    <row r="13" spans="1:32" s="348" customFormat="1" ht="23.25" customHeight="1" x14ac:dyDescent="0.2">
      <c r="A13" s="470" t="s">
        <v>31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4"/>
      <c r="M13" s="415"/>
      <c r="N13" s="65"/>
      <c r="O13" s="26"/>
      <c r="P13" s="26" t="s">
        <v>32</v>
      </c>
      <c r="Q13" s="536"/>
      <c r="R13" s="4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0" t="s">
        <v>33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90" t="s">
        <v>34</v>
      </c>
      <c r="B15" s="414"/>
      <c r="C15" s="414"/>
      <c r="D15" s="414"/>
      <c r="E15" s="414"/>
      <c r="F15" s="414"/>
      <c r="G15" s="414"/>
      <c r="H15" s="414"/>
      <c r="I15" s="414"/>
      <c r="J15" s="414"/>
      <c r="K15" s="414"/>
      <c r="L15" s="414"/>
      <c r="M15" s="415"/>
      <c r="N15" s="66"/>
      <c r="P15" s="463" t="s">
        <v>35</v>
      </c>
      <c r="Q15" s="379"/>
      <c r="R15" s="379"/>
      <c r="S15" s="379"/>
      <c r="T15" s="3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64"/>
      <c r="Q16" s="464"/>
      <c r="R16" s="464"/>
      <c r="S16" s="464"/>
      <c r="T16" s="4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7" t="s">
        <v>36</v>
      </c>
      <c r="B17" s="387" t="s">
        <v>37</v>
      </c>
      <c r="C17" s="453" t="s">
        <v>38</v>
      </c>
      <c r="D17" s="387" t="s">
        <v>39</v>
      </c>
      <c r="E17" s="429"/>
      <c r="F17" s="387" t="s">
        <v>40</v>
      </c>
      <c r="G17" s="387" t="s">
        <v>41</v>
      </c>
      <c r="H17" s="387" t="s">
        <v>42</v>
      </c>
      <c r="I17" s="387" t="s">
        <v>43</v>
      </c>
      <c r="J17" s="387" t="s">
        <v>44</v>
      </c>
      <c r="K17" s="387" t="s">
        <v>45</v>
      </c>
      <c r="L17" s="387" t="s">
        <v>46</v>
      </c>
      <c r="M17" s="387" t="s">
        <v>47</v>
      </c>
      <c r="N17" s="387" t="s">
        <v>48</v>
      </c>
      <c r="O17" s="387" t="s">
        <v>49</v>
      </c>
      <c r="P17" s="387" t="s">
        <v>50</v>
      </c>
      <c r="Q17" s="428"/>
      <c r="R17" s="428"/>
      <c r="S17" s="428"/>
      <c r="T17" s="429"/>
      <c r="U17" s="576" t="s">
        <v>51</v>
      </c>
      <c r="V17" s="415"/>
      <c r="W17" s="387" t="s">
        <v>52</v>
      </c>
      <c r="X17" s="387" t="s">
        <v>53</v>
      </c>
      <c r="Y17" s="577" t="s">
        <v>54</v>
      </c>
      <c r="Z17" s="517" t="s">
        <v>55</v>
      </c>
      <c r="AA17" s="501" t="s">
        <v>56</v>
      </c>
      <c r="AB17" s="501" t="s">
        <v>57</v>
      </c>
      <c r="AC17" s="501" t="s">
        <v>58</v>
      </c>
      <c r="AD17" s="501" t="s">
        <v>59</v>
      </c>
      <c r="AE17" s="553"/>
      <c r="AF17" s="554"/>
      <c r="AG17" s="69"/>
      <c r="BD17" s="68" t="s">
        <v>60</v>
      </c>
    </row>
    <row r="18" spans="1:68" ht="14.25" customHeight="1" x14ac:dyDescent="0.2">
      <c r="A18" s="388"/>
      <c r="B18" s="388"/>
      <c r="C18" s="388"/>
      <c r="D18" s="430"/>
      <c r="E18" s="432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430"/>
      <c r="Q18" s="431"/>
      <c r="R18" s="431"/>
      <c r="S18" s="431"/>
      <c r="T18" s="432"/>
      <c r="U18" s="70" t="s">
        <v>61</v>
      </c>
      <c r="V18" s="70" t="s">
        <v>62</v>
      </c>
      <c r="W18" s="388"/>
      <c r="X18" s="388"/>
      <c r="Y18" s="578"/>
      <c r="Z18" s="518"/>
      <c r="AA18" s="502"/>
      <c r="AB18" s="502"/>
      <c r="AC18" s="502"/>
      <c r="AD18" s="555"/>
      <c r="AE18" s="556"/>
      <c r="AF18" s="557"/>
      <c r="AG18" s="69"/>
      <c r="BD18" s="68"/>
    </row>
    <row r="19" spans="1:68" ht="27.75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1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83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84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84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0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2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98</v>
      </c>
      <c r="Y29" s="355">
        <f t="shared" si="0"/>
        <v>98</v>
      </c>
      <c r="Z29" s="36">
        <f t="shared" si="1"/>
        <v>0.92218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188.3364</v>
      </c>
      <c r="BN29" s="67">
        <f t="shared" si="3"/>
        <v>188.3364</v>
      </c>
      <c r="BO29" s="67">
        <f t="shared" si="4"/>
        <v>0.7</v>
      </c>
      <c r="BP29" s="67">
        <f t="shared" si="5"/>
        <v>0.7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5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70</v>
      </c>
      <c r="Y30" s="355">
        <f t="shared" si="0"/>
        <v>70</v>
      </c>
      <c r="Z30" s="36">
        <f t="shared" si="1"/>
        <v>0.65869999999999995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134.52600000000001</v>
      </c>
      <c r="BN30" s="67">
        <f t="shared" si="3"/>
        <v>134.52600000000001</v>
      </c>
      <c r="BO30" s="67">
        <f t="shared" si="4"/>
        <v>0.5</v>
      </c>
      <c r="BP30" s="67">
        <f t="shared" si="5"/>
        <v>0.5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08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140</v>
      </c>
      <c r="Y31" s="355">
        <f t="shared" si="0"/>
        <v>140</v>
      </c>
      <c r="Z31" s="36">
        <f t="shared" si="1"/>
        <v>1.3173999999999999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269.05200000000002</v>
      </c>
      <c r="BN31" s="67">
        <f t="shared" si="3"/>
        <v>269.05200000000002</v>
      </c>
      <c r="BO31" s="67">
        <f t="shared" si="4"/>
        <v>1</v>
      </c>
      <c r="BP31" s="67">
        <f t="shared" si="5"/>
        <v>1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4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7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28</v>
      </c>
      <c r="Y33" s="355">
        <f t="shared" si="0"/>
        <v>28</v>
      </c>
      <c r="Z33" s="36">
        <f t="shared" si="1"/>
        <v>0.26347999999999999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53.810400000000001</v>
      </c>
      <c r="BN33" s="67">
        <f t="shared" si="3"/>
        <v>53.810400000000001</v>
      </c>
      <c r="BO33" s="67">
        <f t="shared" si="4"/>
        <v>0.2</v>
      </c>
      <c r="BP33" s="67">
        <f t="shared" si="5"/>
        <v>0.2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41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83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84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336</v>
      </c>
      <c r="Y35" s="356">
        <f>IFERROR(SUM(Y28:Y34),"0")</f>
        <v>336</v>
      </c>
      <c r="Z35" s="356">
        <f>IFERROR(IF(Z28="",0,Z28),"0")+IFERROR(IF(Z29="",0,Z29),"0")+IFERROR(IF(Z30="",0,Z30),"0")+IFERROR(IF(Z31="",0,Z31),"0")+IFERROR(IF(Z32="",0,Z32),"0")+IFERROR(IF(Z33="",0,Z33),"0")+IFERROR(IF(Z34="",0,Z34),"0")</f>
        <v>3.1617599999999997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84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504</v>
      </c>
      <c r="Y36" s="356">
        <f>IFERROR(SUMPRODUCT(Y28:Y34*H28:H34),"0")</f>
        <v>504</v>
      </c>
      <c r="Z36" s="37"/>
      <c r="AA36" s="357"/>
      <c r="AB36" s="357"/>
      <c r="AC36" s="357"/>
    </row>
    <row r="37" spans="1:68" ht="16.5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1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24</v>
      </c>
      <c r="Y39" s="355">
        <f>IFERROR(IF(X39="","",X39),"")</f>
        <v>24</v>
      </c>
      <c r="Z39" s="36">
        <f>IFERROR(IF(X39="","",X39*0.0155),"")</f>
        <v>0.372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140.88</v>
      </c>
      <c r="BN39" s="67">
        <f>IFERROR(Y39*I39,"0")</f>
        <v>140.88</v>
      </c>
      <c r="BO39" s="67">
        <f>IFERROR(X39/J39,"0")</f>
        <v>0.2857142857142857</v>
      </c>
      <c r="BP39" s="67">
        <f>IFERROR(Y39/J39,"0")</f>
        <v>0.2857142857142857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1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40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12</v>
      </c>
      <c r="Y41" s="355">
        <f>IFERROR(IF(X41="","",X41),"")</f>
        <v>12</v>
      </c>
      <c r="Z41" s="36">
        <f>IFERROR(IF(X41="","",X41*0.0155),"")</f>
        <v>0.186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70.44</v>
      </c>
      <c r="BN41" s="67">
        <f>IFERROR(Y41*I41,"0")</f>
        <v>70.44</v>
      </c>
      <c r="BO41" s="67">
        <f>IFERROR(X41/J41,"0")</f>
        <v>0.14285714285714285</v>
      </c>
      <c r="BP41" s="67">
        <f>IFERROR(Y41/J41,"0")</f>
        <v>0.14285714285714285</v>
      </c>
    </row>
    <row r="42" spans="1:68" x14ac:dyDescent="0.2">
      <c r="A42" s="383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84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36</v>
      </c>
      <c r="Y42" s="356">
        <f>IFERROR(SUM(Y39:Y41),"0")</f>
        <v>36</v>
      </c>
      <c r="Z42" s="356">
        <f>IFERROR(IF(Z39="",0,Z39),"0")+IFERROR(IF(Z40="",0,Z40),"0")+IFERROR(IF(Z41="",0,Z41),"0")</f>
        <v>0.55800000000000005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84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201.59999999999997</v>
      </c>
      <c r="Y43" s="356">
        <f>IFERROR(SUMPRODUCT(Y39:Y41*H39:H41),"0")</f>
        <v>201.59999999999997</v>
      </c>
      <c r="Z43" s="37"/>
      <c r="AA43" s="357"/>
      <c r="AB43" s="357"/>
      <c r="AC43" s="357"/>
    </row>
    <row r="44" spans="1:68" ht="16.5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3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2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44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24</v>
      </c>
      <c r="Y51" s="355">
        <f t="shared" si="6"/>
        <v>24</v>
      </c>
      <c r="Z51" s="36">
        <f t="shared" si="7"/>
        <v>0.372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161.2704</v>
      </c>
      <c r="BN51" s="67">
        <f t="shared" si="9"/>
        <v>161.2704</v>
      </c>
      <c r="BO51" s="67">
        <f t="shared" si="10"/>
        <v>0.2857142857142857</v>
      </c>
      <c r="BP51" s="67">
        <f t="shared" si="11"/>
        <v>0.2857142857142857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3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24</v>
      </c>
      <c r="Y53" s="355">
        <f t="shared" si="6"/>
        <v>24</v>
      </c>
      <c r="Z53" s="36">
        <f t="shared" si="7"/>
        <v>0.372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175.2</v>
      </c>
      <c r="BN53" s="67">
        <f t="shared" si="9"/>
        <v>175.2</v>
      </c>
      <c r="BO53" s="67">
        <f t="shared" si="10"/>
        <v>0.2857142857142857</v>
      </c>
      <c r="BP53" s="67">
        <f t="shared" si="11"/>
        <v>0.2857142857142857</v>
      </c>
    </row>
    <row r="54" spans="1:68" x14ac:dyDescent="0.2">
      <c r="A54" s="383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84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48</v>
      </c>
      <c r="Y54" s="356">
        <f>IFERROR(SUM(Y46:Y53),"0")</f>
        <v>48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0.74399999999999999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84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321.60000000000002</v>
      </c>
      <c r="Y55" s="356">
        <f>IFERROR(SUMPRODUCT(Y46:Y53*H46:H53),"0")</f>
        <v>321.60000000000002</v>
      </c>
      <c r="Z55" s="37"/>
      <c r="AA55" s="357"/>
      <c r="AB55" s="357"/>
      <c r="AC55" s="357"/>
    </row>
    <row r="56" spans="1:68" ht="16.5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83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84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84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8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3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83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84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84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9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83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84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84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83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84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84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61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3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91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83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84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84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6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72</v>
      </c>
      <c r="Y83" s="355">
        <f>IFERROR(IF(X83="","",X83),"")</f>
        <v>72</v>
      </c>
      <c r="Z83" s="36">
        <f>IFERROR(IF(X83="","",X83*0.00866),"")</f>
        <v>0.62351999999999996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375.35039999999998</v>
      </c>
      <c r="BN83" s="67">
        <f>IFERROR(Y83*I83,"0")</f>
        <v>375.35039999999998</v>
      </c>
      <c r="BO83" s="67">
        <f>IFERROR(X83/J83,"0")</f>
        <v>0.5</v>
      </c>
      <c r="BP83" s="67">
        <f>IFERROR(Y83/J83,"0")</f>
        <v>0.5</v>
      </c>
    </row>
    <row r="84" spans="1:68" x14ac:dyDescent="0.2">
      <c r="A84" s="383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84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72</v>
      </c>
      <c r="Y84" s="356">
        <f>IFERROR(SUM(Y82:Y83),"0")</f>
        <v>72</v>
      </c>
      <c r="Z84" s="356">
        <f>IFERROR(IF(Z82="",0,Z82),"0")+IFERROR(IF(Z83="",0,Z83),"0")</f>
        <v>0.62351999999999996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84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360</v>
      </c>
      <c r="Y85" s="356">
        <f>IFERROR(SUMPRODUCT(Y82:Y83*H82:H83),"0")</f>
        <v>360</v>
      </c>
      <c r="Z85" s="37"/>
      <c r="AA85" s="357"/>
      <c r="AB85" s="357"/>
      <c r="AC85" s="357"/>
    </row>
    <row r="86" spans="1:68" ht="16.5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6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3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83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84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84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4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70</v>
      </c>
      <c r="Y94" s="355">
        <f>IFERROR(IF(X94="","",X94),"")</f>
        <v>70</v>
      </c>
      <c r="Z94" s="36">
        <f>IFERROR(IF(X94="","",X94*0.01788),"")</f>
        <v>1.2516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09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96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26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20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0</v>
      </c>
      <c r="Y98" s="355">
        <f>IFERROR(IF(X98="","",X98),"")</f>
        <v>0</v>
      </c>
      <c r="Z98" s="36">
        <f>IFERROR(IF(X98="","",X98*0.01788),"")</f>
        <v>0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0</v>
      </c>
      <c r="BN98" s="67">
        <f>IFERROR(Y98*I98,"0")</f>
        <v>0</v>
      </c>
      <c r="BO98" s="67">
        <f>IFERROR(X98/J98,"0")</f>
        <v>0</v>
      </c>
      <c r="BP98" s="67">
        <f>IFERROR(Y98/J98,"0")</f>
        <v>0</v>
      </c>
    </row>
    <row r="99" spans="1:68" x14ac:dyDescent="0.2">
      <c r="A99" s="383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84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70</v>
      </c>
      <c r="Y99" s="356">
        <f>IFERROR(SUM(Y94:Y98),"0")</f>
        <v>70</v>
      </c>
      <c r="Z99" s="356">
        <f>IFERROR(IF(Z94="",0,Z94),"0")+IFERROR(IF(Z95="",0,Z95),"0")+IFERROR(IF(Z96="",0,Z96),"0")+IFERROR(IF(Z97="",0,Z97),"0")+IFERROR(IF(Z98="",0,Z98),"0")</f>
        <v>1.2516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84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252</v>
      </c>
      <c r="Y100" s="356">
        <f>IFERROR(SUMPRODUCT(Y94:Y98*H94:H98),"0")</f>
        <v>252</v>
      </c>
      <c r="Z100" s="37"/>
      <c r="AA100" s="357"/>
      <c r="AB100" s="357"/>
      <c r="AC100" s="357"/>
    </row>
    <row r="101" spans="1:68" ht="16.5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25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28</v>
      </c>
      <c r="Y103" s="355">
        <f t="shared" ref="Y103:Y109" si="12">IFERROR(IF(X103="","",X103),"")</f>
        <v>28</v>
      </c>
      <c r="Z103" s="36">
        <f t="shared" ref="Z103:Z109" si="13">IFERROR(IF(X103="","",X103*0.01788),"")</f>
        <v>0.50063999999999997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120.50080000000001</v>
      </c>
      <c r="BN103" s="67">
        <f t="shared" ref="BN103:BN109" si="15">IFERROR(Y103*I103,"0")</f>
        <v>120.50080000000001</v>
      </c>
      <c r="BO103" s="67">
        <f t="shared" ref="BO103:BO109" si="16">IFERROR(X103/J103,"0")</f>
        <v>0.4</v>
      </c>
      <c r="BP103" s="67">
        <f t="shared" ref="BP103:BP109" si="17">IFERROR(Y103/J103,"0")</f>
        <v>0.4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6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56</v>
      </c>
      <c r="Y104" s="355">
        <f t="shared" si="12"/>
        <v>56</v>
      </c>
      <c r="Z104" s="36">
        <f t="shared" si="13"/>
        <v>1.0012799999999999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241.00160000000002</v>
      </c>
      <c r="BN104" s="67">
        <f t="shared" si="15"/>
        <v>241.00160000000002</v>
      </c>
      <c r="BO104" s="67">
        <f t="shared" si="16"/>
        <v>0.8</v>
      </c>
      <c r="BP104" s="67">
        <f t="shared" si="17"/>
        <v>0.8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42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42</v>
      </c>
      <c r="Y105" s="355">
        <f t="shared" si="12"/>
        <v>42</v>
      </c>
      <c r="Z105" s="36">
        <f t="shared" si="13"/>
        <v>0.75095999999999996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180.75120000000001</v>
      </c>
      <c r="BN105" s="67">
        <f t="shared" si="15"/>
        <v>180.75120000000001</v>
      </c>
      <c r="BO105" s="67">
        <f t="shared" si="16"/>
        <v>0.6</v>
      </c>
      <c r="BP105" s="67">
        <f t="shared" si="17"/>
        <v>0.6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25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4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84</v>
      </c>
      <c r="Y107" s="355">
        <f t="shared" si="12"/>
        <v>84</v>
      </c>
      <c r="Z107" s="36">
        <f t="shared" si="13"/>
        <v>1.5019199999999999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361.50240000000002</v>
      </c>
      <c r="BN107" s="67">
        <f t="shared" si="15"/>
        <v>361.50240000000002</v>
      </c>
      <c r="BO107" s="67">
        <f t="shared" si="16"/>
        <v>1.2</v>
      </c>
      <c r="BP107" s="67">
        <f t="shared" si="17"/>
        <v>1.2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04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42</v>
      </c>
      <c r="Y108" s="355">
        <f t="shared" si="12"/>
        <v>42</v>
      </c>
      <c r="Z108" s="36">
        <f t="shared" si="13"/>
        <v>0.75095999999999996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186.84960000000001</v>
      </c>
      <c r="BN108" s="67">
        <f t="shared" si="15"/>
        <v>186.84960000000001</v>
      </c>
      <c r="BO108" s="67">
        <f t="shared" si="16"/>
        <v>0.6</v>
      </c>
      <c r="BP108" s="67">
        <f t="shared" si="17"/>
        <v>0.6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83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84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252</v>
      </c>
      <c r="Y110" s="356">
        <f>IFERROR(SUM(Y103:Y109),"0")</f>
        <v>252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4.5057599999999995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84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917.28</v>
      </c>
      <c r="Y111" s="356">
        <f>IFERROR(SUMPRODUCT(Y103:Y109*H103:H109),"0")</f>
        <v>917.28</v>
      </c>
      <c r="Z111" s="37"/>
      <c r="AA111" s="357"/>
      <c r="AB111" s="357"/>
      <c r="AC111" s="357"/>
    </row>
    <row r="112" spans="1:68" ht="16.5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3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9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3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4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383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84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0</v>
      </c>
      <c r="Y118" s="356">
        <f>IFERROR(SUM(Y114:Y117),"0")</f>
        <v>0</v>
      </c>
      <c r="Z118" s="356">
        <f>IFERROR(IF(Z114="",0,Z114),"0")+IFERROR(IF(Z115="",0,Z115),"0")+IFERROR(IF(Z116="",0,Z116),"0")+IFERROR(IF(Z117="",0,Z117),"0")</f>
        <v>0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84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0</v>
      </c>
      <c r="Y119" s="356">
        <f>IFERROR(SUMPRODUCT(Y114:Y117*H114:H117),"0")</f>
        <v>0</v>
      </c>
      <c r="Z119" s="37"/>
      <c r="AA119" s="357"/>
      <c r="AB119" s="357"/>
      <c r="AC119" s="357"/>
    </row>
    <row r="120" spans="1:68" ht="16.5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469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72</v>
      </c>
      <c r="Y124" s="355">
        <f t="shared" si="18"/>
        <v>72</v>
      </c>
      <c r="Z124" s="36">
        <f t="shared" si="19"/>
        <v>1.1160000000000001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525.6</v>
      </c>
      <c r="BN124" s="67">
        <f t="shared" si="21"/>
        <v>525.6</v>
      </c>
      <c r="BO124" s="67">
        <f t="shared" si="22"/>
        <v>0.8571428571428571</v>
      </c>
      <c r="BP124" s="67">
        <f t="shared" si="23"/>
        <v>0.8571428571428571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60</v>
      </c>
      <c r="Y126" s="355">
        <f t="shared" si="18"/>
        <v>60</v>
      </c>
      <c r="Z126" s="36">
        <f t="shared" si="19"/>
        <v>0.92999999999999994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403.17599999999999</v>
      </c>
      <c r="BN126" s="67">
        <f t="shared" si="21"/>
        <v>403.17599999999999</v>
      </c>
      <c r="BO126" s="67">
        <f t="shared" si="22"/>
        <v>0.7142857142857143</v>
      </c>
      <c r="BP126" s="67">
        <f t="shared" si="23"/>
        <v>0.7142857142857143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108</v>
      </c>
      <c r="Y127" s="355">
        <f t="shared" si="18"/>
        <v>108</v>
      </c>
      <c r="Z127" s="36">
        <f t="shared" si="19"/>
        <v>1.6739999999999999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788.4</v>
      </c>
      <c r="BN127" s="67">
        <f t="shared" si="21"/>
        <v>788.4</v>
      </c>
      <c r="BO127" s="67">
        <f t="shared" si="22"/>
        <v>1.2857142857142858</v>
      </c>
      <c r="BP127" s="67">
        <f t="shared" si="23"/>
        <v>1.2857142857142858</v>
      </c>
    </row>
    <row r="128" spans="1:68" x14ac:dyDescent="0.2">
      <c r="A128" s="383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84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240</v>
      </c>
      <c r="Y128" s="356">
        <f>IFERROR(SUM(Y122:Y127),"0")</f>
        <v>240</v>
      </c>
      <c r="Z128" s="356">
        <f>IFERROR(IF(Z122="",0,Z122),"0")+IFERROR(IF(Z123="",0,Z123),"0")+IFERROR(IF(Z124="",0,Z124),"0")+IFERROR(IF(Z125="",0,Z125),"0")+IFERROR(IF(Z126="",0,Z126),"0")+IFERROR(IF(Z127="",0,Z127),"0")</f>
        <v>3.72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84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1644</v>
      </c>
      <c r="Y129" s="356">
        <f>IFERROR(SUMPRODUCT(Y122:Y127*H122:H127),"0")</f>
        <v>1644</v>
      </c>
      <c r="Z129" s="37"/>
      <c r="AA129" s="357"/>
      <c r="AB129" s="357"/>
      <c r="AC129" s="357"/>
    </row>
    <row r="130" spans="1:68" ht="14.25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5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83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84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84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182</v>
      </c>
      <c r="Y136" s="355">
        <f>IFERROR(IF(X136="","",X136),"")</f>
        <v>182</v>
      </c>
      <c r="Z136" s="36">
        <f>IFERROR(IF(X136="","",X136*0.01788),"")</f>
        <v>3.2541600000000002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674.05520000000001</v>
      </c>
      <c r="BN136" s="67">
        <f>IFERROR(Y136*I136,"0")</f>
        <v>674.05520000000001</v>
      </c>
      <c r="BO136" s="67">
        <f>IFERROR(X136/J136,"0")</f>
        <v>2.6</v>
      </c>
      <c r="BP136" s="67">
        <f>IFERROR(Y136/J136,"0")</f>
        <v>2.6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5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182</v>
      </c>
      <c r="Y137" s="355">
        <f>IFERROR(IF(X137="","",X137),"")</f>
        <v>182</v>
      </c>
      <c r="Z137" s="36">
        <f>IFERROR(IF(X137="","",X137*0.01788),"")</f>
        <v>3.2541600000000002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674.05520000000001</v>
      </c>
      <c r="BN137" s="67">
        <f>IFERROR(Y137*I137,"0")</f>
        <v>674.05520000000001</v>
      </c>
      <c r="BO137" s="67">
        <f>IFERROR(X137/J137,"0")</f>
        <v>2.6</v>
      </c>
      <c r="BP137" s="67">
        <f>IFERROR(Y137/J137,"0")</f>
        <v>2.6</v>
      </c>
    </row>
    <row r="138" spans="1:68" x14ac:dyDescent="0.2">
      <c r="A138" s="383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84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364</v>
      </c>
      <c r="Y138" s="356">
        <f>IFERROR(SUM(Y136:Y137),"0")</f>
        <v>364</v>
      </c>
      <c r="Z138" s="356">
        <f>IFERROR(IF(Z136="",0,Z136),"0")+IFERROR(IF(Z137="",0,Z137),"0")</f>
        <v>6.5083200000000003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84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1092</v>
      </c>
      <c r="Y139" s="356">
        <f>IFERROR(SUMPRODUCT(Y136:Y137*H136:H137),"0")</f>
        <v>1092</v>
      </c>
      <c r="Z139" s="37"/>
      <c r="AA139" s="357"/>
      <c r="AB139" s="357"/>
      <c r="AC139" s="357"/>
    </row>
    <row r="140" spans="1:68" ht="16.5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4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70</v>
      </c>
      <c r="Y143" s="355">
        <f>IFERROR(IF(X143="","",X143),"")</f>
        <v>70</v>
      </c>
      <c r="Z143" s="36">
        <f>IFERROR(IF(X143="","",X143*0.01788),"")</f>
        <v>1.2516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259.25200000000001</v>
      </c>
      <c r="BN143" s="67">
        <f>IFERROR(Y143*I143,"0")</f>
        <v>259.25200000000001</v>
      </c>
      <c r="BO143" s="67">
        <f>IFERROR(X143/J143,"0")</f>
        <v>1</v>
      </c>
      <c r="BP143" s="67">
        <f>IFERROR(Y143/J143,"0")</f>
        <v>1</v>
      </c>
    </row>
    <row r="144" spans="1:68" x14ac:dyDescent="0.2">
      <c r="A144" s="383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84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70</v>
      </c>
      <c r="Y144" s="356">
        <f>IFERROR(SUM(Y142:Y143),"0")</f>
        <v>70</v>
      </c>
      <c r="Z144" s="356">
        <f>IFERROR(IF(Z142="",0,Z142),"0")+IFERROR(IF(Z143="",0,Z143),"0")</f>
        <v>1.2516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84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210</v>
      </c>
      <c r="Y145" s="356">
        <f>IFERROR(SUMPRODUCT(Y142:Y143*H142:H143),"0")</f>
        <v>210</v>
      </c>
      <c r="Z145" s="37"/>
      <c r="AA145" s="357"/>
      <c r="AB145" s="357"/>
      <c r="AC145" s="357"/>
    </row>
    <row r="146" spans="1:68" ht="16.5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1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28</v>
      </c>
      <c r="Y148" s="355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91.839999999999989</v>
      </c>
      <c r="BN148" s="67">
        <f>IFERROR(Y148*I148,"0")</f>
        <v>91.839999999999989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5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42</v>
      </c>
      <c r="Y149" s="355">
        <f>IFERROR(IF(X149="","",X149),"")</f>
        <v>42</v>
      </c>
      <c r="Z149" s="36">
        <f>IFERROR(IF(X149="","",X149*0.01788),"")</f>
        <v>0.75095999999999996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137.76</v>
      </c>
      <c r="BN149" s="67">
        <f>IFERROR(Y149*I149,"0")</f>
        <v>137.76</v>
      </c>
      <c r="BO149" s="67">
        <f>IFERROR(X149/J149,"0")</f>
        <v>0.6</v>
      </c>
      <c r="BP149" s="67">
        <f>IFERROR(Y149/J149,"0")</f>
        <v>0.6</v>
      </c>
    </row>
    <row r="150" spans="1:68" x14ac:dyDescent="0.2">
      <c r="A150" s="383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84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70</v>
      </c>
      <c r="Y150" s="356">
        <f>IFERROR(SUM(Y148:Y149),"0")</f>
        <v>70</v>
      </c>
      <c r="Z150" s="356">
        <f>IFERROR(IF(Z148="",0,Z148),"0")+IFERROR(IF(Z149="",0,Z149),"0")</f>
        <v>1.2515999999999998</v>
      </c>
      <c r="AA150" s="357"/>
      <c r="AB150" s="357"/>
      <c r="AC150" s="357"/>
    </row>
    <row r="151" spans="1:68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84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210</v>
      </c>
      <c r="Y151" s="356">
        <f>IFERROR(SUMPRODUCT(Y148:Y149*H148:H149),"0")</f>
        <v>210</v>
      </c>
      <c r="Z151" s="37"/>
      <c r="AA151" s="357"/>
      <c r="AB151" s="357"/>
      <c r="AC151" s="357"/>
    </row>
    <row r="152" spans="1:68" ht="16.5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9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42</v>
      </c>
      <c r="Y155" s="355">
        <f>IFERROR(IF(X155="","",X155),"")</f>
        <v>42</v>
      </c>
      <c r="Z155" s="36">
        <f>IFERROR(IF(X155="","",X155*0.01788),"")</f>
        <v>0.75095999999999996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155.55119999999999</v>
      </c>
      <c r="BN155" s="67">
        <f>IFERROR(Y155*I155,"0")</f>
        <v>155.55119999999999</v>
      </c>
      <c r="BO155" s="67">
        <f>IFERROR(X155/J155,"0")</f>
        <v>0.6</v>
      </c>
      <c r="BP155" s="67">
        <f>IFERROR(Y155/J155,"0")</f>
        <v>0.6</v>
      </c>
    </row>
    <row r="156" spans="1:68" x14ac:dyDescent="0.2">
      <c r="A156" s="383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84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42</v>
      </c>
      <c r="Y156" s="356">
        <f>IFERROR(SUM(Y154:Y155),"0")</f>
        <v>42</v>
      </c>
      <c r="Z156" s="356">
        <f>IFERROR(IF(Z154="",0,Z154),"0")+IFERROR(IF(Z155="",0,Z155),"0")</f>
        <v>0.75095999999999996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84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126</v>
      </c>
      <c r="Y157" s="356">
        <f>IFERROR(SUMPRODUCT(Y154:Y155*H154:H155),"0")</f>
        <v>126</v>
      </c>
      <c r="Z157" s="37"/>
      <c r="AA157" s="357"/>
      <c r="AB157" s="357"/>
      <c r="AC157" s="357"/>
    </row>
    <row r="158" spans="1:68" ht="16.5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83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84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84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383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84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84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2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56</v>
      </c>
      <c r="Y171" s="355">
        <f>IFERROR(IF(X171="","",X171),"")</f>
        <v>56</v>
      </c>
      <c r="Z171" s="36">
        <f>IFERROR(IF(X171="","",X171*0.00941),"")</f>
        <v>0.52695999999999998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117.70079999999999</v>
      </c>
      <c r="BN171" s="67">
        <f>IFERROR(Y171*I171,"0")</f>
        <v>117.70079999999999</v>
      </c>
      <c r="BO171" s="67">
        <f>IFERROR(X171/J171,"0")</f>
        <v>0.4</v>
      </c>
      <c r="BP171" s="67">
        <f>IFERROR(Y171/J171,"0")</f>
        <v>0.4</v>
      </c>
    </row>
    <row r="172" spans="1:68" x14ac:dyDescent="0.2">
      <c r="A172" s="383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84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56</v>
      </c>
      <c r="Y172" s="356">
        <f>IFERROR(SUM(Y171:Y171),"0")</f>
        <v>56</v>
      </c>
      <c r="Z172" s="356">
        <f>IFERROR(IF(Z171="",0,Z171),"0")</f>
        <v>0.52695999999999998</v>
      </c>
      <c r="AA172" s="357"/>
      <c r="AB172" s="357"/>
      <c r="AC172" s="357"/>
    </row>
    <row r="173" spans="1:68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84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94.08</v>
      </c>
      <c r="Y173" s="356">
        <f>IFERROR(SUMPRODUCT(Y171:Y171*H171:H171),"0")</f>
        <v>94.08</v>
      </c>
      <c r="Z173" s="37"/>
      <c r="AA173" s="357"/>
      <c r="AB173" s="357"/>
      <c r="AC173" s="357"/>
    </row>
    <row r="174" spans="1:68" ht="27.75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26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83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84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84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50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7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6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83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84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84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3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83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84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84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0</v>
      </c>
      <c r="Y196" s="355">
        <f>IFERROR(IF(X196="","",X196),"")</f>
        <v>0</v>
      </c>
      <c r="Z196" s="36">
        <f>IFERROR(IF(X196="","",X196*0.01788),"")</f>
        <v>0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98</v>
      </c>
      <c r="Y197" s="355">
        <f>IFERROR(IF(X197="","",X197),"")</f>
        <v>98</v>
      </c>
      <c r="Z197" s="36">
        <f>IFERROR(IF(X197="","",X197*0.01788),"")</f>
        <v>1.75224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332.024</v>
      </c>
      <c r="BN197" s="67">
        <f>IFERROR(Y197*I197,"0")</f>
        <v>332.024</v>
      </c>
      <c r="BO197" s="67">
        <f>IFERROR(X197/J197,"0")</f>
        <v>1.4</v>
      </c>
      <c r="BP197" s="67">
        <f>IFERROR(Y197/J197,"0")</f>
        <v>1.4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0</v>
      </c>
      <c r="Y198" s="355">
        <f>IFERROR(IF(X198="","",X198),"")</f>
        <v>0</v>
      </c>
      <c r="Z198" s="36">
        <f>IFERROR(IF(X198="","",X198*0.01788),"")</f>
        <v>0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x14ac:dyDescent="0.2">
      <c r="A199" s="383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84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98</v>
      </c>
      <c r="Y199" s="356">
        <f>IFERROR(SUM(Y196:Y198),"0")</f>
        <v>98</v>
      </c>
      <c r="Z199" s="356">
        <f>IFERROR(IF(Z196="",0,Z196),"0")+IFERROR(IF(Z197="",0,Z197),"0")+IFERROR(IF(Z198="",0,Z198),"0")</f>
        <v>1.75224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84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294</v>
      </c>
      <c r="Y200" s="356">
        <f>IFERROR(SUMPRODUCT(Y196:Y198*H196:H198),"0")</f>
        <v>294</v>
      </c>
      <c r="Z200" s="37"/>
      <c r="AA200" s="357"/>
      <c r="AB200" s="357"/>
      <c r="AC200" s="357"/>
    </row>
    <row r="201" spans="1:68" ht="14.25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83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84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84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6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83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84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84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7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9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83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84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84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37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81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21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24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70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83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84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84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92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9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39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83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84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84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39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83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84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84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80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52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37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83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84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84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89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83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84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84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1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83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84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84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83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84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84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0</v>
      </c>
      <c r="Y270" s="355">
        <f>IFERROR(IF(X270="","",X270),"")</f>
        <v>0</v>
      </c>
      <c r="Z270" s="36">
        <f>IFERROR(IF(X270="","",X270*0.0155),"")</f>
        <v>0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0</v>
      </c>
      <c r="BN270" s="67">
        <f>IFERROR(Y270*I270,"0")</f>
        <v>0</v>
      </c>
      <c r="BO270" s="67">
        <f>IFERROR(X270/J270,"0")</f>
        <v>0</v>
      </c>
      <c r="BP270" s="67">
        <f>IFERROR(Y270/J270,"0")</f>
        <v>0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3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83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84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0</v>
      </c>
      <c r="Y272" s="356">
        <f>IFERROR(SUM(Y270:Y271),"0")</f>
        <v>0</v>
      </c>
      <c r="Z272" s="356">
        <f>IFERROR(IF(Z270="",0,Z270),"0")+IFERROR(IF(Z271="",0,Z271),"0")</f>
        <v>0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84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0</v>
      </c>
      <c r="Y273" s="356">
        <f>IFERROR(SUMPRODUCT(Y270:Y271*H270:H271),"0")</f>
        <v>0</v>
      </c>
      <c r="Z273" s="37"/>
      <c r="AA273" s="357"/>
      <c r="AB273" s="357"/>
      <c r="AC273" s="357"/>
    </row>
    <row r="274" spans="1:68" ht="27.75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6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83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84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84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83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84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84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0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8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59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83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84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84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7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54</v>
      </c>
      <c r="Y293" s="355">
        <f>IFERROR(IF(X293="","",X293),"")</f>
        <v>54</v>
      </c>
      <c r="Z293" s="36">
        <f>IFERROR(IF(X293="","",X293*0.00502),"")</f>
        <v>0.27107999999999999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103.41</v>
      </c>
      <c r="BN293" s="67">
        <f>IFERROR(Y293*I293,"0")</f>
        <v>103.41</v>
      </c>
      <c r="BO293" s="67">
        <f>IFERROR(X293/J293,"0")</f>
        <v>0.23076923076923078</v>
      </c>
      <c r="BP293" s="67">
        <f>IFERROR(Y293/J293,"0")</f>
        <v>0.23076923076923078</v>
      </c>
    </row>
    <row r="294" spans="1:68" x14ac:dyDescent="0.2">
      <c r="A294" s="383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84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54</v>
      </c>
      <c r="Y294" s="356">
        <f>IFERROR(SUM(Y293:Y293),"0")</f>
        <v>54</v>
      </c>
      <c r="Z294" s="356">
        <f>IFERROR(IF(Z293="",0,Z293),"0")</f>
        <v>0.27107999999999999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84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97.2</v>
      </c>
      <c r="Y295" s="356">
        <f>IFERROR(SUMPRODUCT(Y293:Y293*H293:H293),"0")</f>
        <v>97.2</v>
      </c>
      <c r="Z295" s="37"/>
      <c r="AA295" s="357"/>
      <c r="AB295" s="357"/>
      <c r="AC295" s="357"/>
    </row>
    <row r="296" spans="1:68" ht="14.25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252</v>
      </c>
      <c r="Y297" s="355">
        <f>IFERROR(IF(X297="","",X297),"")</f>
        <v>252</v>
      </c>
      <c r="Z297" s="36">
        <f>IFERROR(IF(X297="","",X297*0.0155),"")</f>
        <v>3.9060000000000001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1577.52</v>
      </c>
      <c r="BN297" s="67">
        <f>IFERROR(Y297*I297,"0")</f>
        <v>1577.52</v>
      </c>
      <c r="BO297" s="67">
        <f>IFERROR(X297/J297,"0")</f>
        <v>3</v>
      </c>
      <c r="BP297" s="67">
        <f>IFERROR(Y297/J297,"0")</f>
        <v>3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50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83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84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252</v>
      </c>
      <c r="Y299" s="356">
        <f>IFERROR(SUM(Y297:Y298),"0")</f>
        <v>252</v>
      </c>
      <c r="Z299" s="356">
        <f>IFERROR(IF(Z297="",0,Z297),"0")+IFERROR(IF(Z298="",0,Z298),"0")</f>
        <v>3.9060000000000001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84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1512</v>
      </c>
      <c r="Y300" s="356">
        <f>IFERROR(SUMPRODUCT(Y297:Y298*H297:H298),"0")</f>
        <v>1512</v>
      </c>
      <c r="Z300" s="37"/>
      <c r="AA300" s="357"/>
      <c r="AB300" s="357"/>
      <c r="AC300" s="357"/>
    </row>
    <row r="301" spans="1:68" ht="14.25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6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83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84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84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6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5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378</v>
      </c>
      <c r="Y309" s="355">
        <f t="shared" si="30"/>
        <v>378</v>
      </c>
      <c r="Z309" s="36">
        <f>IFERROR(IF(X309="","",X309*0.00936),"")</f>
        <v>3.5380799999999999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1471.1759999999999</v>
      </c>
      <c r="BN309" s="67">
        <f t="shared" si="32"/>
        <v>1471.1759999999999</v>
      </c>
      <c r="BO309" s="67">
        <f t="shared" si="33"/>
        <v>3</v>
      </c>
      <c r="BP309" s="67">
        <f t="shared" si="34"/>
        <v>3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168</v>
      </c>
      <c r="Y310" s="355">
        <f t="shared" si="30"/>
        <v>168</v>
      </c>
      <c r="Z310" s="36">
        <f>IFERROR(IF(X310="","",X310*0.0155),"")</f>
        <v>2.6040000000000001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963.48</v>
      </c>
      <c r="BN310" s="67">
        <f t="shared" si="32"/>
        <v>963.48</v>
      </c>
      <c r="BO310" s="67">
        <f t="shared" si="33"/>
        <v>2</v>
      </c>
      <c r="BP310" s="67">
        <f t="shared" si="34"/>
        <v>2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7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44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8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70</v>
      </c>
      <c r="Y313" s="355">
        <f t="shared" si="30"/>
        <v>70</v>
      </c>
      <c r="Z313" s="36">
        <f t="shared" si="35"/>
        <v>0.6552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223.44</v>
      </c>
      <c r="BN313" s="67">
        <f t="shared" si="32"/>
        <v>223.44</v>
      </c>
      <c r="BO313" s="67">
        <f t="shared" si="33"/>
        <v>0.55555555555555558</v>
      </c>
      <c r="BP313" s="67">
        <f t="shared" si="34"/>
        <v>0.55555555555555558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14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92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56</v>
      </c>
      <c r="Y316" s="355">
        <f t="shared" si="30"/>
        <v>56</v>
      </c>
      <c r="Z316" s="36">
        <f t="shared" si="35"/>
        <v>0.52415999999999996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217.952</v>
      </c>
      <c r="BN316" s="67">
        <f t="shared" si="32"/>
        <v>217.952</v>
      </c>
      <c r="BO316" s="67">
        <f t="shared" si="33"/>
        <v>0.44444444444444442</v>
      </c>
      <c r="BP316" s="67">
        <f t="shared" si="34"/>
        <v>0.44444444444444442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05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74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13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3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2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35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8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8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1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0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83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84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672</v>
      </c>
      <c r="Y329" s="356">
        <f>IFERROR(SUM(Y308:Y328),"0")</f>
        <v>672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7.3214399999999999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84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2739.8</v>
      </c>
      <c r="Y330" s="356">
        <f>IFERROR(SUMPRODUCT(Y308:Y328*H308:H328),"0")</f>
        <v>2739.8</v>
      </c>
      <c r="Z330" s="37"/>
      <c r="AA330" s="357"/>
      <c r="AB330" s="357"/>
      <c r="AC330" s="357"/>
    </row>
    <row r="331" spans="1:68" ht="16.5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29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83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84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84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19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0"/>
      <c r="P336" s="413" t="s">
        <v>528</v>
      </c>
      <c r="Q336" s="414"/>
      <c r="R336" s="414"/>
      <c r="S336" s="414"/>
      <c r="T336" s="414"/>
      <c r="U336" s="414"/>
      <c r="V336" s="41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10575.56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10575.56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0"/>
      <c r="P337" s="413" t="s">
        <v>529</v>
      </c>
      <c r="Q337" s="414"/>
      <c r="R337" s="414"/>
      <c r="S337" s="414"/>
      <c r="T337" s="414"/>
      <c r="U337" s="414"/>
      <c r="V337" s="415"/>
      <c r="W337" s="37" t="s">
        <v>74</v>
      </c>
      <c r="X337" s="356">
        <f>IFERROR(SUM(BM22:BM333),"0")</f>
        <v>11677.115599999999</v>
      </c>
      <c r="Y337" s="356">
        <f>IFERROR(SUM(BN22:BN333),"0")</f>
        <v>11677.115599999999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0"/>
      <c r="P338" s="413" t="s">
        <v>530</v>
      </c>
      <c r="Q338" s="414"/>
      <c r="R338" s="414"/>
      <c r="S338" s="414"/>
      <c r="T338" s="414"/>
      <c r="U338" s="414"/>
      <c r="V338" s="415"/>
      <c r="W338" s="37" t="s">
        <v>531</v>
      </c>
      <c r="X338" s="38">
        <f>ROUNDUP(SUM(BO22:BO333),0)</f>
        <v>31</v>
      </c>
      <c r="Y338" s="38">
        <f>ROUNDUP(SUM(BP22:BP333),0)</f>
        <v>31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0"/>
      <c r="P339" s="413" t="s">
        <v>532</v>
      </c>
      <c r="Q339" s="414"/>
      <c r="R339" s="414"/>
      <c r="S339" s="414"/>
      <c r="T339" s="414"/>
      <c r="U339" s="414"/>
      <c r="V339" s="415"/>
      <c r="W339" s="37" t="s">
        <v>74</v>
      </c>
      <c r="X339" s="356">
        <f>GrossWeightTotal+PalletQtyTotal*25</f>
        <v>12452.115599999999</v>
      </c>
      <c r="Y339" s="356">
        <f>GrossWeightTotalR+PalletQtyTotalR*25</f>
        <v>12452.115599999999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0"/>
      <c r="P340" s="413" t="s">
        <v>533</v>
      </c>
      <c r="Q340" s="414"/>
      <c r="R340" s="414"/>
      <c r="S340" s="414"/>
      <c r="T340" s="414"/>
      <c r="U340" s="414"/>
      <c r="V340" s="41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2732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2732</v>
      </c>
      <c r="Z340" s="37"/>
      <c r="AA340" s="357"/>
      <c r="AB340" s="357"/>
      <c r="AC340" s="357"/>
    </row>
    <row r="341" spans="1:35" ht="14.25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0"/>
      <c r="P341" s="413" t="s">
        <v>534</v>
      </c>
      <c r="Q341" s="414"/>
      <c r="R341" s="414"/>
      <c r="S341" s="414"/>
      <c r="T341" s="414"/>
      <c r="U341" s="414"/>
      <c r="V341" s="41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38.104839999999996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1"/>
      <c r="U343" s="364" t="s">
        <v>287</v>
      </c>
      <c r="V343" s="401"/>
      <c r="W343" s="351" t="s">
        <v>313</v>
      </c>
      <c r="X343" s="364" t="s">
        <v>332</v>
      </c>
      <c r="Y343" s="400"/>
      <c r="Z343" s="400"/>
      <c r="AA343" s="400"/>
      <c r="AB343" s="400"/>
      <c r="AC343" s="400"/>
      <c r="AD343" s="401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1"/>
    </row>
    <row r="344" spans="1:35" ht="14.25" customHeight="1" thickTop="1" x14ac:dyDescent="0.2">
      <c r="A344" s="563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64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504</v>
      </c>
      <c r="D346" s="46">
        <f>IFERROR(X39*H39,"0")+IFERROR(X40*H40,"0")+IFERROR(X41*H41,"0")</f>
        <v>201.59999999999997</v>
      </c>
      <c r="E346" s="46">
        <f>IFERROR(X46*H46,"0")+IFERROR(X47*H47,"0")+IFERROR(X48*H48,"0")+IFERROR(X49*H49,"0")+IFERROR(X50*H50,"0")+IFERROR(X51*H51,"0")+IFERROR(X52*H52,"0")+IFERROR(X53*H53,"0")</f>
        <v>321.60000000000002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360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252</v>
      </c>
      <c r="J346" s="46">
        <f>IFERROR(X103*H103,"0")+IFERROR(X104*H104,"0")+IFERROR(X105*H105,"0")+IFERROR(X106*H106,"0")+IFERROR(X107*H107,"0")+IFERROR(X108*H108,"0")+IFERROR(X109*H109,"0")</f>
        <v>917.28</v>
      </c>
      <c r="K346" s="46">
        <f>IFERROR(X114*H114,"0")+IFERROR(X115*H115,"0")+IFERROR(X116*H116,"0")+IFERROR(X117*H117,"0")</f>
        <v>0</v>
      </c>
      <c r="L346" s="46">
        <f>IFERROR(X122*H122,"0")+IFERROR(X123*H123,"0")+IFERROR(X124*H124,"0")+IFERROR(X125*H125,"0")+IFERROR(X126*H126,"0")+IFERROR(X127*H127,"0")+IFERROR(X131*H131,"0")</f>
        <v>1644</v>
      </c>
      <c r="M346" s="46">
        <f>IFERROR(X136*H136,"0")+IFERROR(X137*H137,"0")</f>
        <v>1092</v>
      </c>
      <c r="N346" s="352"/>
      <c r="O346" s="46">
        <f>IFERROR(X142*H142,"0")+IFERROR(X143*H143,"0")</f>
        <v>210</v>
      </c>
      <c r="P346" s="46">
        <f>IFERROR(X148*H148,"0")+IFERROR(X149*H149,"0")</f>
        <v>210</v>
      </c>
      <c r="Q346" s="46">
        <f>IFERROR(X154*H154,"0")+IFERROR(X155*H155,"0")</f>
        <v>126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94.08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294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4349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2527.1999999999998</v>
      </c>
      <c r="B349" s="60">
        <f>SUMPRODUCT(--(BB:BB="ПГП"),--(W:W="кор"),H:H,Y:Y)+SUMPRODUCT(--(BB:BB="ПГП"),--(W:W="кг"),Y:Y)</f>
        <v>8048.36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AD17:AF18"/>
    <mergeCell ref="P167:V167"/>
    <mergeCell ref="D76:E76"/>
    <mergeCell ref="F5:G5"/>
    <mergeCell ref="P55:V55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D321:E321"/>
    <mergeCell ref="P107:T107"/>
    <mergeCell ref="P129:V129"/>
    <mergeCell ref="A128:O129"/>
    <mergeCell ref="M17:M18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K344:K345"/>
    <mergeCell ref="P318:T318"/>
    <mergeCell ref="V6:W9"/>
    <mergeCell ref="C344:C345"/>
    <mergeCell ref="E344:E345"/>
    <mergeCell ref="P109:T109"/>
    <mergeCell ref="A299:O300"/>
    <mergeCell ref="D217:E217"/>
    <mergeCell ref="P22:T22"/>
    <mergeCell ref="P320:T320"/>
    <mergeCell ref="P314:T314"/>
    <mergeCell ref="P40:T40"/>
    <mergeCell ref="A61:Z61"/>
    <mergeCell ref="P334:V334"/>
    <mergeCell ref="P257:T257"/>
    <mergeCell ref="P54:V54"/>
    <mergeCell ref="Z17:Z18"/>
    <mergeCell ref="P173:V173"/>
    <mergeCell ref="A172:O173"/>
    <mergeCell ref="P100:V100"/>
    <mergeCell ref="P265:V265"/>
    <mergeCell ref="P237:V237"/>
    <mergeCell ref="M344:M345"/>
    <mergeCell ref="P333:T333"/>
    <mergeCell ref="P341:V341"/>
    <mergeCell ref="D39:E39"/>
    <mergeCell ref="A141:Z141"/>
    <mergeCell ref="A144:O145"/>
    <mergeCell ref="A135:Z13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38:Z38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193:Z193"/>
    <mergeCell ref="D125:E125"/>
    <mergeCell ref="A90:O91"/>
    <mergeCell ref="D127:E127"/>
    <mergeCell ref="P233:T233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A59:O60"/>
    <mergeCell ref="P79:V79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2025-04-16T06:34:19Z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