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5A60FA6E-4ABB-451D-BBFA-604831EDEC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Y472" i="1"/>
  <c r="X472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85" i="1" s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X315" i="1"/>
  <c r="BO314" i="1"/>
  <c r="BM314" i="1"/>
  <c r="Y314" i="1"/>
  <c r="Y315" i="1" s="1"/>
  <c r="P314" i="1"/>
  <c r="X311" i="1"/>
  <c r="X310" i="1"/>
  <c r="BO309" i="1"/>
  <c r="BM309" i="1"/>
  <c r="Y309" i="1"/>
  <c r="Y311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2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Y22" i="1"/>
  <c r="B602" i="1" s="1"/>
  <c r="P22" i="1"/>
  <c r="H10" i="1"/>
  <c r="A9" i="1"/>
  <c r="F10" i="1" s="1"/>
  <c r="D7" i="1"/>
  <c r="Q6" i="1"/>
  <c r="P2" i="1"/>
  <c r="Y28" i="1" l="1"/>
  <c r="Y139" i="1"/>
  <c r="Y145" i="1"/>
  <c r="Y149" i="1"/>
  <c r="I602" i="1"/>
  <c r="Y172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H9" i="1"/>
  <c r="A10" i="1"/>
  <c r="X595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62" i="1"/>
  <c r="Y166" i="1"/>
  <c r="BP175" i="1"/>
  <c r="BN175" i="1"/>
  <c r="Z175" i="1"/>
  <c r="Z183" i="1" s="1"/>
  <c r="BP180" i="1"/>
  <c r="BN180" i="1"/>
  <c r="Z180" i="1"/>
  <c r="F9" i="1"/>
  <c r="J9" i="1"/>
  <c r="Z22" i="1"/>
  <c r="Z28" i="1" s="1"/>
  <c r="BN22" i="1"/>
  <c r="BP22" i="1"/>
  <c r="Z26" i="1"/>
  <c r="BN26" i="1"/>
  <c r="X596" i="1"/>
  <c r="Y29" i="1"/>
  <c r="C602" i="1"/>
  <c r="Z38" i="1"/>
  <c r="Z41" i="1" s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Z68" i="1" s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2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Z109" i="1"/>
  <c r="BN109" i="1"/>
  <c r="Y110" i="1"/>
  <c r="Z113" i="1"/>
  <c r="Z116" i="1" s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J602" i="1"/>
  <c r="Y193" i="1"/>
  <c r="K602" i="1"/>
  <c r="Y238" i="1"/>
  <c r="Z250" i="1"/>
  <c r="Z251" i="1" s="1"/>
  <c r="BN250" i="1"/>
  <c r="BP250" i="1"/>
  <c r="Y251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BP271" i="1"/>
  <c r="Y274" i="1"/>
  <c r="P602" i="1"/>
  <c r="Z278" i="1"/>
  <c r="Z282" i="1" s="1"/>
  <c r="BN278" i="1"/>
  <c r="BP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261" i="1"/>
  <c r="T602" i="1"/>
  <c r="Y316" i="1"/>
  <c r="BP322" i="1"/>
  <c r="BN322" i="1"/>
  <c r="Z322" i="1"/>
  <c r="BP330" i="1"/>
  <c r="BN330" i="1"/>
  <c r="Z330" i="1"/>
  <c r="BP338" i="1"/>
  <c r="BN338" i="1"/>
  <c r="Z338" i="1"/>
  <c r="Z340" i="1" s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29" i="1" l="1"/>
  <c r="Z385" i="1"/>
  <c r="Z496" i="1"/>
  <c r="Z442" i="1"/>
  <c r="Z261" i="1"/>
  <c r="Z221" i="1"/>
  <c r="Z128" i="1"/>
  <c r="Z77" i="1"/>
  <c r="Y593" i="1"/>
  <c r="Z566" i="1"/>
  <c r="Z548" i="1"/>
  <c r="Z518" i="1"/>
  <c r="Z353" i="1"/>
  <c r="Z408" i="1"/>
  <c r="Z370" i="1"/>
  <c r="Z332" i="1"/>
  <c r="Z55" i="1"/>
  <c r="Z597" i="1" s="1"/>
  <c r="Y592" i="1"/>
  <c r="Y594" i="1"/>
  <c r="Y596" i="1"/>
  <c r="Y595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<sst xmlns="http://schemas.openxmlformats.org/spreadsheetml/2006/main" count="2737" uniqueCount="969">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</sst>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5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20</v>
      </c>
      <c r="Y37" s="666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20.805555555555554</v>
      </c>
      <c r="BN37" s="64">
        <f>IFERROR(Y37*I37/H37,"0")</f>
        <v>22.47</v>
      </c>
      <c r="BO37" s="64">
        <f>IFERROR(1/J37*(X37/H37),"0")</f>
        <v>2.8935185185185182E-2</v>
      </c>
      <c r="BP37" s="64">
        <f>IFERROR(1/J37*(Y37/H37),"0")</f>
        <v>3.125E-2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1.8518518518518516</v>
      </c>
      <c r="Y41" s="667">
        <f>IFERROR(Y37/H37,"0")+IFERROR(Y38/H38,"0")+IFERROR(Y39/H39,"0")+IFERROR(Y40/H40,"0")</f>
        <v>2</v>
      </c>
      <c r="Z41" s="667">
        <f>IFERROR(IF(Z37="",0,Z37),"0")+IFERROR(IF(Z38="",0,Z38),"0")+IFERROR(IF(Z39="",0,Z39),"0")+IFERROR(IF(Z40="",0,Z40),"0")</f>
        <v>3.7960000000000001E-2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20</v>
      </c>
      <c r="Y42" s="667">
        <f>IFERROR(SUM(Y37:Y40),"0")</f>
        <v>21.6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9</v>
      </c>
      <c r="Y54" s="666">
        <f t="shared" si="6"/>
        <v>9</v>
      </c>
      <c r="Z54" s="36">
        <f>IFERROR(IF(Y54=0,"",ROUNDUP(Y54/H54,0)*0.00902),"")</f>
        <v>1.804E-2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9.42</v>
      </c>
      <c r="BN54" s="64">
        <f t="shared" si="8"/>
        <v>9.42</v>
      </c>
      <c r="BO54" s="64">
        <f t="shared" si="9"/>
        <v>1.5151515151515152E-2</v>
      </c>
      <c r="BP54" s="64">
        <f t="shared" si="10"/>
        <v>1.5151515151515152E-2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6.6296296296296298</v>
      </c>
      <c r="Y55" s="667">
        <f>IFERROR(Y49/H49,"0")+IFERROR(Y50/H50,"0")+IFERROR(Y51/H51,"0")+IFERROR(Y52/H52,"0")+IFERROR(Y53/H53,"0")+IFERROR(Y54/H54,"0")</f>
        <v>7</v>
      </c>
      <c r="Z55" s="667">
        <f>IFERROR(IF(Z49="",0,Z49),"0")+IFERROR(IF(Z50="",0,Z50),"0")+IFERROR(IF(Z51="",0,Z51),"0")+IFERROR(IF(Z52="",0,Z52),"0")+IFERROR(IF(Z53="",0,Z53),"0")+IFERROR(IF(Z54="",0,Z54),"0")</f>
        <v>0.11294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59</v>
      </c>
      <c r="Y56" s="667">
        <f>IFERROR(SUM(Y49:Y54),"0")</f>
        <v>63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40</v>
      </c>
      <c r="Y58" s="666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41.611111111111107</v>
      </c>
      <c r="BN58" s="64">
        <f>IFERROR(Y58*I58/H58,"0")</f>
        <v>44.94</v>
      </c>
      <c r="BO58" s="64">
        <f>IFERROR(1/J58*(X58/H58),"0")</f>
        <v>5.7870370370370364E-2</v>
      </c>
      <c r="BP58" s="64">
        <f>IFERROR(1/J58*(Y58/H58),"0")</f>
        <v>6.25E-2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3.7037037037037033</v>
      </c>
      <c r="Y62" s="667">
        <f>IFERROR(Y58/H58,"0")+IFERROR(Y59/H59,"0")+IFERROR(Y60/H60,"0")+IFERROR(Y61/H61,"0")</f>
        <v>4</v>
      </c>
      <c r="Z62" s="667">
        <f>IFERROR(IF(Z58="",0,Z58),"0")+IFERROR(IF(Z59="",0,Z59),"0")+IFERROR(IF(Z60="",0,Z60),"0")+IFERROR(IF(Z61="",0,Z61),"0")</f>
        <v>7.5920000000000001E-2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40</v>
      </c>
      <c r="Y63" s="667">
        <f>IFERROR(SUM(Y58:Y61),"0")</f>
        <v>43.2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30</v>
      </c>
      <c r="Y121" s="666">
        <f t="shared" si="21"/>
        <v>33.6</v>
      </c>
      <c r="Z121" s="36">
        <f>IFERROR(IF(Y121=0,"",ROUNDUP(Y121/H121,0)*0.01898),"")</f>
        <v>7.5920000000000001E-2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31.832142857142856</v>
      </c>
      <c r="BN121" s="64">
        <f t="shared" si="23"/>
        <v>35.652000000000001</v>
      </c>
      <c r="BO121" s="64">
        <f t="shared" si="24"/>
        <v>5.5803571428571425E-2</v>
      </c>
      <c r="BP121" s="64">
        <f t="shared" si="25"/>
        <v>6.25E-2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3.5714285714285712</v>
      </c>
      <c r="Y128" s="667">
        <f>IFERROR(Y119/H119,"0")+IFERROR(Y120/H120,"0")+IFERROR(Y121/H121,"0")+IFERROR(Y122/H122,"0")+IFERROR(Y123/H123,"0")+IFERROR(Y124/H124,"0")+IFERROR(Y125/H125,"0")+IFERROR(Y126/H126,"0")+IFERROR(Y127/H127,"0")</f>
        <v>4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7.5920000000000001E-2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30</v>
      </c>
      <c r="Y129" s="667">
        <f>IFERROR(SUM(Y119:Y127),"0")</f>
        <v>33.6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10</v>
      </c>
      <c r="Y159" s="666">
        <f>IFERROR(IF(X159="",0,CEILING((X159/$H159),1)*$H159),"")</f>
        <v>18</v>
      </c>
      <c r="Z159" s="36">
        <f>IFERROR(IF(Y159=0,"",ROUNDUP(Y159/H159,0)*0.01898),"")</f>
        <v>3.7960000000000001E-2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10.65</v>
      </c>
      <c r="BN159" s="64">
        <f>IFERROR(Y159*I159/H159,"0")</f>
        <v>19.170000000000002</v>
      </c>
      <c r="BO159" s="64">
        <f>IFERROR(1/J159*(X159/H159),"0")</f>
        <v>1.7361111111111112E-2</v>
      </c>
      <c r="BP159" s="64">
        <f>IFERROR(1/J159*(Y159/H159),"0")</f>
        <v>3.125E-2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1.1111111111111112</v>
      </c>
      <c r="Y161" s="667">
        <f>IFERROR(Y157/H157,"0")+IFERROR(Y158/H158,"0")+IFERROR(Y159/H159,"0")+IFERROR(Y160/H160,"0")</f>
        <v>2</v>
      </c>
      <c r="Z161" s="667">
        <f>IFERROR(IF(Z157="",0,Z157),"0")+IFERROR(IF(Z158="",0,Z158),"0")+IFERROR(IF(Z159="",0,Z159),"0")+IFERROR(IF(Z160="",0,Z160),"0")</f>
        <v>3.7960000000000001E-2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10</v>
      </c>
      <c r="Y162" s="667">
        <f>IFERROR(SUM(Y157:Y160),"0")</f>
        <v>18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10</v>
      </c>
      <c r="Y174" s="666">
        <f t="shared" ref="Y174:Y182" si="27">IFERROR(IF(X174="",0,CEILING((X174/$H174),1)*$H174),"")</f>
        <v>12.600000000000001</v>
      </c>
      <c r="Z174" s="36">
        <f>IFERROR(IF(Y174=0,"",ROUNDUP(Y174/H174,0)*0.00902),"")</f>
        <v>2.7060000000000001E-2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10.642857142857141</v>
      </c>
      <c r="BN174" s="64">
        <f t="shared" ref="BN174:BN182" si="29">IFERROR(Y174*I174/H174,"0")</f>
        <v>13.41</v>
      </c>
      <c r="BO174" s="64">
        <f t="shared" ref="BO174:BO182" si="30">IFERROR(1/J174*(X174/H174),"0")</f>
        <v>1.8037518037518036E-2</v>
      </c>
      <c r="BP174" s="64">
        <f t="shared" ref="BP174:BP182" si="31">IFERROR(1/J174*(Y174/H174),"0")</f>
        <v>2.2727272727272728E-2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10</v>
      </c>
      <c r="Y175" s="666">
        <f t="shared" si="27"/>
        <v>12.600000000000001</v>
      </c>
      <c r="Z175" s="36">
        <f>IFERROR(IF(Y175=0,"",ROUNDUP(Y175/H175,0)*0.00902),"")</f>
        <v>2.7060000000000001E-2</v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10.642857142857141</v>
      </c>
      <c r="BN175" s="64">
        <f t="shared" si="29"/>
        <v>13.41</v>
      </c>
      <c r="BO175" s="64">
        <f t="shared" si="30"/>
        <v>1.8037518037518036E-2</v>
      </c>
      <c r="BP175" s="64">
        <f t="shared" si="31"/>
        <v>2.2727272727272728E-2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4.7619047619047619</v>
      </c>
      <c r="Y183" s="667">
        <f>IFERROR(Y174/H174,"0")+IFERROR(Y175/H175,"0")+IFERROR(Y176/H176,"0")+IFERROR(Y177/H177,"0")+IFERROR(Y178/H178,"0")+IFERROR(Y179/H179,"0")+IFERROR(Y180/H180,"0")+IFERROR(Y181/H181,"0")+IFERROR(Y182/H182,"0")</f>
        <v>6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5.4120000000000001E-2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20</v>
      </c>
      <c r="Y184" s="667">
        <f>IFERROR(SUM(Y174:Y182),"0")</f>
        <v>25.200000000000003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50</v>
      </c>
      <c r="Y320" s="666">
        <f t="shared" si="53"/>
        <v>54</v>
      </c>
      <c r="Z320" s="36">
        <f>IFERROR(IF(Y320=0,"",ROUNDUP(Y320/H320,0)*0.01898),"")</f>
        <v>9.4899999999999998E-2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52.013888888888886</v>
      </c>
      <c r="BN320" s="64">
        <f t="shared" si="55"/>
        <v>56.17499999999999</v>
      </c>
      <c r="BO320" s="64">
        <f t="shared" si="56"/>
        <v>7.2337962962962965E-2</v>
      </c>
      <c r="BP320" s="64">
        <f t="shared" si="57"/>
        <v>7.8125E-2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4.6296296296296298</v>
      </c>
      <c r="Y325" s="667">
        <f>IFERROR(Y319/H319,"0")+IFERROR(Y320/H320,"0")+IFERROR(Y321/H321,"0")+IFERROR(Y322/H322,"0")+IFERROR(Y323/H323,"0")+IFERROR(Y324/H324,"0")</f>
        <v>5</v>
      </c>
      <c r="Z325" s="667">
        <f>IFERROR(IF(Z319="",0,Z319),"0")+IFERROR(IF(Z320="",0,Z320),"0")+IFERROR(IF(Z321="",0,Z321),"0")+IFERROR(IF(Z322="",0,Z322),"0")+IFERROR(IF(Z323="",0,Z323),"0")+IFERROR(IF(Z324="",0,Z324),"0")</f>
        <v>9.4899999999999998E-2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50</v>
      </c>
      <c r="Y326" s="667">
        <f>IFERROR(SUM(Y319:Y324),"0")</f>
        <v>54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20</v>
      </c>
      <c r="Y328" s="666">
        <f>IFERROR(IF(X328="",0,CEILING((X328/$H328),1)*$H328),"")</f>
        <v>21</v>
      </c>
      <c r="Z328" s="36">
        <f>IFERROR(IF(Y328=0,"",ROUNDUP(Y328/H328,0)*0.00902),"")</f>
        <v>4.5100000000000001E-2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21.285714285714281</v>
      </c>
      <c r="BN328" s="64">
        <f>IFERROR(Y328*I328/H328,"0")</f>
        <v>22.349999999999998</v>
      </c>
      <c r="BO328" s="64">
        <f>IFERROR(1/J328*(X328/H328),"0")</f>
        <v>3.6075036075036072E-2</v>
      </c>
      <c r="BP328" s="64">
        <f>IFERROR(1/J328*(Y328/H328),"0")</f>
        <v>3.787878787878788E-2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20</v>
      </c>
      <c r="Y329" s="666">
        <f>IFERROR(IF(X329="",0,CEILING((X329/$H329),1)*$H329),"")</f>
        <v>21</v>
      </c>
      <c r="Z329" s="36">
        <f>IFERROR(IF(Y329=0,"",ROUNDUP(Y329/H329,0)*0.00902),"")</f>
        <v>4.5100000000000001E-2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21.285714285714281</v>
      </c>
      <c r="BN329" s="64">
        <f>IFERROR(Y329*I329/H329,"0")</f>
        <v>22.349999999999998</v>
      </c>
      <c r="BO329" s="64">
        <f>IFERROR(1/J329*(X329/H329),"0")</f>
        <v>3.6075036075036072E-2</v>
      </c>
      <c r="BP329" s="64">
        <f>IFERROR(1/J329*(Y329/H329),"0")</f>
        <v>3.787878787878788E-2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9.5238095238095237</v>
      </c>
      <c r="Y332" s="667">
        <f>IFERROR(Y328/H328,"0")+IFERROR(Y329/H329,"0")+IFERROR(Y330/H330,"0")+IFERROR(Y331/H331,"0")</f>
        <v>10</v>
      </c>
      <c r="Z332" s="667">
        <f>IFERROR(IF(Z328="",0,Z328),"0")+IFERROR(IF(Z329="",0,Z329),"0")+IFERROR(IF(Z330="",0,Z330),"0")+IFERROR(IF(Z331="",0,Z331),"0")</f>
        <v>9.0200000000000002E-2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40</v>
      </c>
      <c r="Y333" s="667">
        <f>IFERROR(SUM(Y328:Y331),"0")</f>
        <v>42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300</v>
      </c>
      <c r="Y335" s="666">
        <f>IFERROR(IF(X335="",0,CEILING((X335/$H335),1)*$H335),"")</f>
        <v>304.2</v>
      </c>
      <c r="Z335" s="36">
        <f>IFERROR(IF(Y335=0,"",ROUNDUP(Y335/H335,0)*0.01898),"")</f>
        <v>0.74021999999999999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319.73076923076923</v>
      </c>
      <c r="BN335" s="64">
        <f>IFERROR(Y335*I335/H335,"0")</f>
        <v>324.20700000000005</v>
      </c>
      <c r="BO335" s="64">
        <f>IFERROR(1/J335*(X335/H335),"0")</f>
        <v>0.60096153846153844</v>
      </c>
      <c r="BP335" s="64">
        <f>IFERROR(1/J335*(Y335/H335),"0")</f>
        <v>0.609375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38.46153846153846</v>
      </c>
      <c r="Y340" s="667">
        <f>IFERROR(Y335/H335,"0")+IFERROR(Y336/H336,"0")+IFERROR(Y337/H337,"0")+IFERROR(Y338/H338,"0")+IFERROR(Y339/H339,"0")</f>
        <v>39</v>
      </c>
      <c r="Z340" s="667">
        <f>IFERROR(IF(Z335="",0,Z335),"0")+IFERROR(IF(Z336="",0,Z336),"0")+IFERROR(IF(Z337="",0,Z337),"0")+IFERROR(IF(Z338="",0,Z338),"0")+IFERROR(IF(Z339="",0,Z339),"0")</f>
        <v>0.74021999999999999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300</v>
      </c>
      <c r="Y341" s="667">
        <f>IFERROR(SUM(Y335:Y339),"0")</f>
        <v>304.2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80</v>
      </c>
      <c r="Y344" s="666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85.32307692307694</v>
      </c>
      <c r="BN344" s="64">
        <f>IFERROR(Y344*I344/H344,"0")</f>
        <v>91.509000000000015</v>
      </c>
      <c r="BO344" s="64">
        <f>IFERROR(1/J344*(X344/H344),"0")</f>
        <v>0.16025641025641027</v>
      </c>
      <c r="BP344" s="64">
        <f>IFERROR(1/J344*(Y344/H344),"0")</f>
        <v>0.171875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10.256410256410257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0.20877999999999999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80</v>
      </c>
      <c r="Y347" s="667">
        <f>IFERROR(SUM(Y343:Y345),"0")</f>
        <v>85.8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75</v>
      </c>
      <c r="Y379" s="666">
        <f t="shared" si="58"/>
        <v>75</v>
      </c>
      <c r="Z379" s="36">
        <f>IFERROR(IF(Y379=0,"",ROUNDUP(Y379/H379,0)*0.02175),"")</f>
        <v>0.10874999999999999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77.400000000000006</v>
      </c>
      <c r="BN379" s="64">
        <f t="shared" si="60"/>
        <v>77.400000000000006</v>
      </c>
      <c r="BO379" s="64">
        <f t="shared" si="61"/>
        <v>0.10416666666666666</v>
      </c>
      <c r="BP379" s="64">
        <f t="shared" si="62"/>
        <v>0.10416666666666666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5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0.10874999999999999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75</v>
      </c>
      <c r="Y386" s="667">
        <f>IFERROR(SUM(Y375:Y384),"0")</f>
        <v>75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45</v>
      </c>
      <c r="Y388" s="666">
        <f>IFERROR(IF(X388="",0,CEILING((X388/$H388),1)*$H388),"")</f>
        <v>45</v>
      </c>
      <c r="Z388" s="36">
        <f>IFERROR(IF(Y388=0,"",ROUNDUP(Y388/H388,0)*0.02175),"")</f>
        <v>6.5250000000000002E-2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46.440000000000005</v>
      </c>
      <c r="BN388" s="64">
        <f>IFERROR(Y388*I388/H388,"0")</f>
        <v>46.440000000000005</v>
      </c>
      <c r="BO388" s="64">
        <f>IFERROR(1/J388*(X388/H388),"0")</f>
        <v>6.25E-2</v>
      </c>
      <c r="BP388" s="64">
        <f>IFERROR(1/J388*(Y388/H388),"0")</f>
        <v>6.25E-2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3</v>
      </c>
      <c r="Y390" s="667">
        <f>IFERROR(Y388/H388,"0")+IFERROR(Y389/H389,"0")</f>
        <v>3</v>
      </c>
      <c r="Z390" s="667">
        <f>IFERROR(IF(Z388="",0,Z388),"0")+IFERROR(IF(Z389="",0,Z389),"0")</f>
        <v>6.5250000000000002E-2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45</v>
      </c>
      <c r="Y391" s="667">
        <f>IFERROR(SUM(Y388:Y389),"0")</f>
        <v>45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10</v>
      </c>
      <c r="Y430" s="666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1.8518518518518516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1.804E-2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10</v>
      </c>
      <c r="Y443" s="667">
        <f>IFERROR(SUM(Y430:Y441),"0")</f>
        <v>10.8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10</v>
      </c>
      <c r="Y499" s="666">
        <f>IFERROR(IF(X499="",0,CEILING((X499/$H499),1)*$H499),"")</f>
        <v>10.56</v>
      </c>
      <c r="Z499" s="36">
        <f>IFERROR(IF(Y499=0,"",ROUNDUP(Y499/H499,0)*0.01196),"")</f>
        <v>2.392E-2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10.681818181818182</v>
      </c>
      <c r="BN499" s="64">
        <f>IFERROR(Y499*I499/H499,"0")</f>
        <v>11.28</v>
      </c>
      <c r="BO499" s="64">
        <f>IFERROR(1/J499*(X499/H499),"0")</f>
        <v>1.8210955710955712E-2</v>
      </c>
      <c r="BP499" s="64">
        <f>IFERROR(1/J499*(Y499/H499),"0")</f>
        <v>1.9230769230769232E-2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1.8939393939393938</v>
      </c>
      <c r="Y503" s="667">
        <f>IFERROR(Y499/H499,"0")+IFERROR(Y500/H500,"0")+IFERROR(Y501/H501,"0")+IFERROR(Y502/H502,"0")</f>
        <v>2</v>
      </c>
      <c r="Z503" s="667">
        <f>IFERROR(IF(Z499="",0,Z499),"0")+IFERROR(IF(Z500="",0,Z500),"0")+IFERROR(IF(Z501="",0,Z501),"0")+IFERROR(IF(Z502="",0,Z502),"0")</f>
        <v>2.392E-2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10</v>
      </c>
      <c r="Y504" s="667">
        <f>IFERROR(SUM(Y499:Y502),"0")</f>
        <v>10.56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10</v>
      </c>
      <c r="Y506" s="666">
        <f t="shared" ref="Y506:Y517" si="75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10.681818181818182</v>
      </c>
      <c r="BN506" s="64">
        <f t="shared" ref="BN506:BN517" si="77">IFERROR(Y506*I506/H506,"0")</f>
        <v>11.28</v>
      </c>
      <c r="BO506" s="64">
        <f t="shared" ref="BO506:BO517" si="78">IFERROR(1/J506*(X506/H506),"0")</f>
        <v>1.8210955710955712E-2</v>
      </c>
      <c r="BP506" s="64">
        <f t="shared" ref="BP506:BP517" si="79">IFERROR(1/J506*(Y506/H506),"0")</f>
        <v>1.9230769230769232E-2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20</v>
      </c>
      <c r="Y507" s="666">
        <f t="shared" si="75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21.363636363636363</v>
      </c>
      <c r="BN507" s="64">
        <f t="shared" si="77"/>
        <v>22.56</v>
      </c>
      <c r="BO507" s="64">
        <f t="shared" si="78"/>
        <v>3.6421911421911424E-2</v>
      </c>
      <c r="BP507" s="64">
        <f t="shared" si="79"/>
        <v>3.8461538461538464E-2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10</v>
      </c>
      <c r="Y508" s="666">
        <f t="shared" si="75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10.681818181818182</v>
      </c>
      <c r="BN508" s="64">
        <f t="shared" si="77"/>
        <v>11.28</v>
      </c>
      <c r="BO508" s="64">
        <f t="shared" si="78"/>
        <v>1.8210955710955712E-2</v>
      </c>
      <c r="BP508" s="64">
        <f t="shared" si="79"/>
        <v>1.9230769230769232E-2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7.5757575757575752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9.5680000000000001E-2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40</v>
      </c>
      <c r="Y519" s="667">
        <f>IFERROR(SUM(Y506:Y517),"0")</f>
        <v>42.24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10</v>
      </c>
      <c r="Y552" s="666">
        <f t="shared" si="85"/>
        <v>12.600000000000001</v>
      </c>
      <c r="Z552" s="36">
        <f>IFERROR(IF(Y552=0,"",ROUNDUP(Y552/H552,0)*0.00902),"")</f>
        <v>2.7060000000000001E-2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10.642857142857141</v>
      </c>
      <c r="BN552" s="64">
        <f t="shared" si="87"/>
        <v>13.41</v>
      </c>
      <c r="BO552" s="64">
        <f t="shared" si="88"/>
        <v>1.8037518037518036E-2</v>
      </c>
      <c r="BP552" s="64">
        <f t="shared" si="89"/>
        <v>2.2727272727272728E-2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2.3809523809523809</v>
      </c>
      <c r="Y558" s="667">
        <f>IFERROR(Y551/H551,"0")+IFERROR(Y552/H552,"0")+IFERROR(Y553/H553,"0")+IFERROR(Y554/H554,"0")+IFERROR(Y555/H555,"0")+IFERROR(Y556/H556,"0")+IFERROR(Y557/H557,"0")</f>
        <v>3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2.7060000000000001E-2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10</v>
      </c>
      <c r="Y559" s="667">
        <f>IFERROR(SUM(Y551:Y557),"0")</f>
        <v>12.600000000000001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839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886.79999999999984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885.53841325341307</v>
      </c>
      <c r="Y593" s="667">
        <f>IFERROR(SUM(BN22:BN589),"0")</f>
        <v>936.10799999999995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2</v>
      </c>
      <c r="Y594" s="38">
        <f>ROUNDUP(SUM(BP22:BP589),0)</f>
        <v>2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935.53841325341307</v>
      </c>
      <c r="Y595" s="667">
        <f>GrossWeightTotalR+PalletQtyTotalR*25</f>
        <v>986.10799999999995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106.2035187035187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113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1.8676199999999998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21.6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106.2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33.6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18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25.200000000000003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486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10.8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12.600000000000001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