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DCFEA7-5896-4D02-9FAF-30D91DA6BC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X590" i="1"/>
  <c r="BO589" i="1"/>
  <c r="BM589" i="1"/>
  <c r="Y589" i="1"/>
  <c r="X587" i="1"/>
  <c r="X586" i="1"/>
  <c r="BO585" i="1"/>
  <c r="BM585" i="1"/>
  <c r="Y585" i="1"/>
  <c r="Y587" i="1" s="1"/>
  <c r="X583" i="1"/>
  <c r="X582" i="1"/>
  <c r="BO581" i="1"/>
  <c r="BM581" i="1"/>
  <c r="Y581" i="1"/>
  <c r="X578" i="1"/>
  <c r="X577" i="1"/>
  <c r="BO576" i="1"/>
  <c r="BM576" i="1"/>
  <c r="Y576" i="1"/>
  <c r="BP576" i="1" s="1"/>
  <c r="BO575" i="1"/>
  <c r="BM575" i="1"/>
  <c r="Y575" i="1"/>
  <c r="BP575" i="1" s="1"/>
  <c r="BO574" i="1"/>
  <c r="BM574" i="1"/>
  <c r="Y574" i="1"/>
  <c r="BO573" i="1"/>
  <c r="BM573" i="1"/>
  <c r="Y573" i="1"/>
  <c r="X571" i="1"/>
  <c r="Y570" i="1"/>
  <c r="X570" i="1"/>
  <c r="BP569" i="1"/>
  <c r="BO569" i="1"/>
  <c r="BN569" i="1"/>
  <c r="BM569" i="1"/>
  <c r="Z569" i="1"/>
  <c r="Y569" i="1"/>
  <c r="BP568" i="1"/>
  <c r="BO568" i="1"/>
  <c r="BN568" i="1"/>
  <c r="BM568" i="1"/>
  <c r="Z568" i="1"/>
  <c r="Y568" i="1"/>
  <c r="BP567" i="1"/>
  <c r="BO567" i="1"/>
  <c r="BN567" i="1"/>
  <c r="BM567" i="1"/>
  <c r="Z567" i="1"/>
  <c r="Y567" i="1"/>
  <c r="BP566" i="1"/>
  <c r="BO566" i="1"/>
  <c r="BN566" i="1"/>
  <c r="BM566" i="1"/>
  <c r="Z566" i="1"/>
  <c r="Y566" i="1"/>
  <c r="BP565" i="1"/>
  <c r="BO565" i="1"/>
  <c r="BN565" i="1"/>
  <c r="BM565" i="1"/>
  <c r="Z565" i="1"/>
  <c r="Z570" i="1" s="1"/>
  <c r="Y565" i="1"/>
  <c r="Y571" i="1" s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Y552" i="1"/>
  <c r="X552" i="1"/>
  <c r="BP551" i="1"/>
  <c r="BO551" i="1"/>
  <c r="BN551" i="1"/>
  <c r="BM551" i="1"/>
  <c r="Z551" i="1"/>
  <c r="Y551" i="1"/>
  <c r="BP550" i="1"/>
  <c r="BO550" i="1"/>
  <c r="BN550" i="1"/>
  <c r="BM550" i="1"/>
  <c r="Z550" i="1"/>
  <c r="Y550" i="1"/>
  <c r="BP549" i="1"/>
  <c r="BO549" i="1"/>
  <c r="BN549" i="1"/>
  <c r="BM549" i="1"/>
  <c r="Z549" i="1"/>
  <c r="Y549" i="1"/>
  <c r="BP548" i="1"/>
  <c r="BO548" i="1"/>
  <c r="BN548" i="1"/>
  <c r="BM548" i="1"/>
  <c r="Z548" i="1"/>
  <c r="Y548" i="1"/>
  <c r="BP547" i="1"/>
  <c r="BO547" i="1"/>
  <c r="BN547" i="1"/>
  <c r="BM547" i="1"/>
  <c r="Z547" i="1"/>
  <c r="Z552" i="1" s="1"/>
  <c r="Y547" i="1"/>
  <c r="Y553" i="1" s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P539" i="1" s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BP528" i="1" s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Z377" i="1" s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Y368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BO358" i="1"/>
  <c r="BM358" i="1"/>
  <c r="Y358" i="1"/>
  <c r="BP358" i="1" s="1"/>
  <c r="BO357" i="1"/>
  <c r="BM357" i="1"/>
  <c r="Y357" i="1"/>
  <c r="Y362" i="1" s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Y340" i="1" s="1"/>
  <c r="P336" i="1"/>
  <c r="X334" i="1"/>
  <c r="X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BP317" i="1" s="1"/>
  <c r="P317" i="1"/>
  <c r="BO316" i="1"/>
  <c r="BM316" i="1"/>
  <c r="Y316" i="1"/>
  <c r="Y318" i="1" s="1"/>
  <c r="P316" i="1"/>
  <c r="X314" i="1"/>
  <c r="X313" i="1"/>
  <c r="BO312" i="1"/>
  <c r="BM312" i="1"/>
  <c r="Y312" i="1"/>
  <c r="S606" i="1" s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BP245" i="1" s="1"/>
  <c r="P245" i="1"/>
  <c r="BO244" i="1"/>
  <c r="BM244" i="1"/>
  <c r="Y244" i="1"/>
  <c r="Y246" i="1" s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Y187" i="1" s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1" i="1" s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BP155" i="1" s="1"/>
  <c r="P155" i="1"/>
  <c r="X153" i="1"/>
  <c r="X152" i="1"/>
  <c r="BO151" i="1"/>
  <c r="BM151" i="1"/>
  <c r="Y151" i="1"/>
  <c r="Y152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O93" i="1"/>
  <c r="BM93" i="1"/>
  <c r="Y93" i="1"/>
  <c r="BP9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BP80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BM22" i="1"/>
  <c r="X597" i="1" s="1"/>
  <c r="Y22" i="1"/>
  <c r="P22" i="1"/>
  <c r="H10" i="1"/>
  <c r="A9" i="1"/>
  <c r="A10" i="1" s="1"/>
  <c r="D7" i="1"/>
  <c r="Q6" i="1"/>
  <c r="P2" i="1"/>
  <c r="BP205" i="1" l="1"/>
  <c r="BN205" i="1"/>
  <c r="BP215" i="1"/>
  <c r="BN215" i="1"/>
  <c r="Z215" i="1"/>
  <c r="BP238" i="1"/>
  <c r="BN238" i="1"/>
  <c r="Z238" i="1"/>
  <c r="BP254" i="1"/>
  <c r="BN254" i="1"/>
  <c r="Z254" i="1"/>
  <c r="BP256" i="1"/>
  <c r="BN256" i="1"/>
  <c r="Z256" i="1"/>
  <c r="T606" i="1"/>
  <c r="Y323" i="1"/>
  <c r="BP322" i="1"/>
  <c r="BN322" i="1"/>
  <c r="Z322" i="1"/>
  <c r="Z323" i="1" s="1"/>
  <c r="BP327" i="1"/>
  <c r="BN327" i="1"/>
  <c r="Z327" i="1"/>
  <c r="BP351" i="1"/>
  <c r="BN351" i="1"/>
  <c r="Z351" i="1"/>
  <c r="BP390" i="1"/>
  <c r="BN390" i="1"/>
  <c r="Z390" i="1"/>
  <c r="BP442" i="1"/>
  <c r="BN442" i="1"/>
  <c r="Z442" i="1"/>
  <c r="Y510" i="1"/>
  <c r="Y509" i="1"/>
  <c r="BP505" i="1"/>
  <c r="BN505" i="1"/>
  <c r="Z505" i="1"/>
  <c r="BP507" i="1"/>
  <c r="BN507" i="1"/>
  <c r="Z507" i="1"/>
  <c r="BP519" i="1"/>
  <c r="BN519" i="1"/>
  <c r="Z519" i="1"/>
  <c r="X600" i="1"/>
  <c r="Z31" i="1"/>
  <c r="Z32" i="1" s="1"/>
  <c r="BN31" i="1"/>
  <c r="BP31" i="1"/>
  <c r="Y32" i="1"/>
  <c r="Z37" i="1"/>
  <c r="BN37" i="1"/>
  <c r="Y42" i="1"/>
  <c r="Z54" i="1"/>
  <c r="BN54" i="1"/>
  <c r="Y62" i="1"/>
  <c r="Z72" i="1"/>
  <c r="BN72" i="1"/>
  <c r="Z82" i="1"/>
  <c r="BN82" i="1"/>
  <c r="Z93" i="1"/>
  <c r="BN93" i="1"/>
  <c r="Z108" i="1"/>
  <c r="BN108" i="1"/>
  <c r="Z129" i="1"/>
  <c r="BN129" i="1"/>
  <c r="Y132" i="1"/>
  <c r="G606" i="1"/>
  <c r="Z151" i="1"/>
  <c r="Z152" i="1" s="1"/>
  <c r="BN151" i="1"/>
  <c r="BP151" i="1"/>
  <c r="Z155" i="1"/>
  <c r="BN155" i="1"/>
  <c r="Y158" i="1"/>
  <c r="Z175" i="1"/>
  <c r="BN175" i="1"/>
  <c r="Z176" i="1"/>
  <c r="BN176" i="1"/>
  <c r="Z205" i="1"/>
  <c r="BP223" i="1"/>
  <c r="BN223" i="1"/>
  <c r="Z223" i="1"/>
  <c r="Y259" i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339" i="1"/>
  <c r="BN339" i="1"/>
  <c r="Z339" i="1"/>
  <c r="BP376" i="1"/>
  <c r="BN376" i="1"/>
  <c r="Z376" i="1"/>
  <c r="BP414" i="1"/>
  <c r="BN414" i="1"/>
  <c r="Z414" i="1"/>
  <c r="BP445" i="1"/>
  <c r="BN445" i="1"/>
  <c r="Z445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Y224" i="1"/>
  <c r="Y269" i="1"/>
  <c r="P606" i="1"/>
  <c r="Y334" i="1"/>
  <c r="Y354" i="1"/>
  <c r="Y90" i="1"/>
  <c r="Y349" i="1"/>
  <c r="BP343" i="1"/>
  <c r="BN343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0" i="1"/>
  <c r="BN440" i="1"/>
  <c r="Z440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Y534" i="1"/>
  <c r="Y533" i="1"/>
  <c r="BP532" i="1"/>
  <c r="BN532" i="1"/>
  <c r="Z532" i="1"/>
  <c r="Z533" i="1" s="1"/>
  <c r="AE606" i="1"/>
  <c r="Y582" i="1"/>
  <c r="BP581" i="1"/>
  <c r="BN581" i="1"/>
  <c r="Z581" i="1"/>
  <c r="Z582" i="1" s="1"/>
  <c r="Y591" i="1"/>
  <c r="Y590" i="1"/>
  <c r="BP589" i="1"/>
  <c r="BN589" i="1"/>
  <c r="Z589" i="1"/>
  <c r="Z590" i="1" s="1"/>
  <c r="B606" i="1"/>
  <c r="X598" i="1"/>
  <c r="X599" i="1" s="1"/>
  <c r="Z27" i="1"/>
  <c r="BN27" i="1"/>
  <c r="X596" i="1"/>
  <c r="Z39" i="1"/>
  <c r="BN39" i="1"/>
  <c r="Y55" i="1"/>
  <c r="Z52" i="1"/>
  <c r="BN52" i="1"/>
  <c r="Z58" i="1"/>
  <c r="BN58" i="1"/>
  <c r="BP58" i="1"/>
  <c r="Z66" i="1"/>
  <c r="BN66" i="1"/>
  <c r="Z74" i="1"/>
  <c r="BN74" i="1"/>
  <c r="Z80" i="1"/>
  <c r="BN80" i="1"/>
  <c r="Y83" i="1"/>
  <c r="Z87" i="1"/>
  <c r="BN87" i="1"/>
  <c r="Z99" i="1"/>
  <c r="BN99" i="1"/>
  <c r="Z106" i="1"/>
  <c r="BN106" i="1"/>
  <c r="Y111" i="1"/>
  <c r="Z114" i="1"/>
  <c r="BN114" i="1"/>
  <c r="Y126" i="1"/>
  <c r="Z125" i="1"/>
  <c r="BN125" i="1"/>
  <c r="Y131" i="1"/>
  <c r="Z136" i="1"/>
  <c r="BN136" i="1"/>
  <c r="Y142" i="1"/>
  <c r="Z146" i="1"/>
  <c r="BN146" i="1"/>
  <c r="Y159" i="1"/>
  <c r="Z157" i="1"/>
  <c r="BN157" i="1"/>
  <c r="Y180" i="1"/>
  <c r="Z173" i="1"/>
  <c r="BN173" i="1"/>
  <c r="Z178" i="1"/>
  <c r="BN178" i="1"/>
  <c r="Z183" i="1"/>
  <c r="BN183" i="1"/>
  <c r="BP183" i="1"/>
  <c r="Z184" i="1"/>
  <c r="BN184" i="1"/>
  <c r="Z185" i="1"/>
  <c r="BN185" i="1"/>
  <c r="Y186" i="1"/>
  <c r="J606" i="1"/>
  <c r="Z199" i="1"/>
  <c r="BN199" i="1"/>
  <c r="BP199" i="1"/>
  <c r="Y202" i="1"/>
  <c r="Y212" i="1"/>
  <c r="Z207" i="1"/>
  <c r="BN207" i="1"/>
  <c r="Z211" i="1"/>
  <c r="BN211" i="1"/>
  <c r="Y225" i="1"/>
  <c r="Z217" i="1"/>
  <c r="BN217" i="1"/>
  <c r="Z221" i="1"/>
  <c r="BN221" i="1"/>
  <c r="Z227" i="1"/>
  <c r="BN227" i="1"/>
  <c r="BP227" i="1"/>
  <c r="Y230" i="1"/>
  <c r="K606" i="1"/>
  <c r="Z236" i="1"/>
  <c r="BN236" i="1"/>
  <c r="Z240" i="1"/>
  <c r="BN240" i="1"/>
  <c r="Z245" i="1"/>
  <c r="BN245" i="1"/>
  <c r="Z264" i="1"/>
  <c r="BN264" i="1"/>
  <c r="Z278" i="1"/>
  <c r="BN278" i="1"/>
  <c r="Z286" i="1"/>
  <c r="BN286" i="1"/>
  <c r="Z317" i="1"/>
  <c r="BN317" i="1"/>
  <c r="Z329" i="1"/>
  <c r="BN329" i="1"/>
  <c r="Z337" i="1"/>
  <c r="BN337" i="1"/>
  <c r="Z343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Y529" i="1"/>
  <c r="BP526" i="1"/>
  <c r="BN526" i="1"/>
  <c r="Z526" i="1"/>
  <c r="Y348" i="1"/>
  <c r="Y355" i="1"/>
  <c r="V606" i="1"/>
  <c r="Y378" i="1"/>
  <c r="Y473" i="1"/>
  <c r="F9" i="1"/>
  <c r="J9" i="1"/>
  <c r="F10" i="1"/>
  <c r="Z22" i="1"/>
  <c r="BN22" i="1"/>
  <c r="BP22" i="1"/>
  <c r="Z26" i="1"/>
  <c r="BN26" i="1"/>
  <c r="Y29" i="1"/>
  <c r="C606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51" i="1"/>
  <c r="BN51" i="1"/>
  <c r="Z51" i="1"/>
  <c r="BP59" i="1"/>
  <c r="BN59" i="1"/>
  <c r="Z59" i="1"/>
  <c r="BP67" i="1"/>
  <c r="BN67" i="1"/>
  <c r="Z67" i="1"/>
  <c r="Y78" i="1"/>
  <c r="BP71" i="1"/>
  <c r="BN71" i="1"/>
  <c r="Z71" i="1"/>
  <c r="BP75" i="1"/>
  <c r="BN75" i="1"/>
  <c r="Z75" i="1"/>
  <c r="Y84" i="1"/>
  <c r="BP88" i="1"/>
  <c r="BN88" i="1"/>
  <c r="Z88" i="1"/>
  <c r="Z90" i="1" s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7" i="1"/>
  <c r="Y116" i="1"/>
  <c r="BP113" i="1"/>
  <c r="BN113" i="1"/>
  <c r="Z113" i="1"/>
  <c r="H9" i="1"/>
  <c r="Y28" i="1"/>
  <c r="D606" i="1"/>
  <c r="Y56" i="1"/>
  <c r="BP49" i="1"/>
  <c r="BP53" i="1"/>
  <c r="BN53" i="1"/>
  <c r="Z53" i="1"/>
  <c r="BP61" i="1"/>
  <c r="BN61" i="1"/>
  <c r="Z61" i="1"/>
  <c r="Y63" i="1"/>
  <c r="Y68" i="1"/>
  <c r="BP65" i="1"/>
  <c r="BN65" i="1"/>
  <c r="Z65" i="1"/>
  <c r="Z68" i="1" s="1"/>
  <c r="BP73" i="1"/>
  <c r="BN73" i="1"/>
  <c r="Z73" i="1"/>
  <c r="Y77" i="1"/>
  <c r="BP81" i="1"/>
  <c r="BN81" i="1"/>
  <c r="Z81" i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Z110" i="1" s="1"/>
  <c r="E606" i="1"/>
  <c r="Y91" i="1"/>
  <c r="F606" i="1"/>
  <c r="Y110" i="1"/>
  <c r="Z115" i="1"/>
  <c r="BN115" i="1"/>
  <c r="Z119" i="1"/>
  <c r="BN119" i="1"/>
  <c r="BP119" i="1"/>
  <c r="Z124" i="1"/>
  <c r="BN124" i="1"/>
  <c r="Y127" i="1"/>
  <c r="Z130" i="1"/>
  <c r="BN130" i="1"/>
  <c r="BP130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Z156" i="1"/>
  <c r="BN156" i="1"/>
  <c r="BP156" i="1"/>
  <c r="I606" i="1"/>
  <c r="Y169" i="1"/>
  <c r="Z172" i="1"/>
  <c r="BN172" i="1"/>
  <c r="BP172" i="1"/>
  <c r="Z174" i="1"/>
  <c r="BN174" i="1"/>
  <c r="Z177" i="1"/>
  <c r="BN177" i="1"/>
  <c r="Z179" i="1"/>
  <c r="BN179" i="1"/>
  <c r="Z189" i="1"/>
  <c r="Z190" i="1" s="1"/>
  <c r="BN189" i="1"/>
  <c r="BP189" i="1"/>
  <c r="Y190" i="1"/>
  <c r="Z194" i="1"/>
  <c r="Z196" i="1" s="1"/>
  <c r="BN194" i="1"/>
  <c r="BP194" i="1"/>
  <c r="Y197" i="1"/>
  <c r="Z200" i="1"/>
  <c r="BN200" i="1"/>
  <c r="BP200" i="1"/>
  <c r="Z204" i="1"/>
  <c r="BN204" i="1"/>
  <c r="BP204" i="1"/>
  <c r="Z206" i="1"/>
  <c r="BN206" i="1"/>
  <c r="Z208" i="1"/>
  <c r="BN208" i="1"/>
  <c r="Z210" i="1"/>
  <c r="BN210" i="1"/>
  <c r="Y213" i="1"/>
  <c r="Z216" i="1"/>
  <c r="BN216" i="1"/>
  <c r="BP216" i="1"/>
  <c r="Z218" i="1"/>
  <c r="BN218" i="1"/>
  <c r="Z220" i="1"/>
  <c r="BN220" i="1"/>
  <c r="Z222" i="1"/>
  <c r="BN222" i="1"/>
  <c r="Z228" i="1"/>
  <c r="BN228" i="1"/>
  <c r="BP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Y247" i="1"/>
  <c r="Z249" i="1"/>
  <c r="Z250" i="1" s="1"/>
  <c r="BN249" i="1"/>
  <c r="BP249" i="1"/>
  <c r="Y250" i="1"/>
  <c r="L606" i="1"/>
  <c r="Z263" i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BN307" i="1"/>
  <c r="BP307" i="1"/>
  <c r="Y308" i="1"/>
  <c r="Z312" i="1"/>
  <c r="Z313" i="1" s="1"/>
  <c r="BN312" i="1"/>
  <c r="BP312" i="1"/>
  <c r="Y313" i="1"/>
  <c r="Z316" i="1"/>
  <c r="Z318" i="1" s="1"/>
  <c r="BN316" i="1"/>
  <c r="BP316" i="1"/>
  <c r="Y319" i="1"/>
  <c r="Y324" i="1"/>
  <c r="U606" i="1"/>
  <c r="Z328" i="1"/>
  <c r="BN328" i="1"/>
  <c r="BP328" i="1"/>
  <c r="Z330" i="1"/>
  <c r="BN330" i="1"/>
  <c r="Z332" i="1"/>
  <c r="BN332" i="1"/>
  <c r="Y333" i="1"/>
  <c r="Z336" i="1"/>
  <c r="BN336" i="1"/>
  <c r="BP336" i="1"/>
  <c r="Z338" i="1"/>
  <c r="BN338" i="1"/>
  <c r="Y341" i="1"/>
  <c r="Z344" i="1"/>
  <c r="BN344" i="1"/>
  <c r="BP344" i="1"/>
  <c r="Z346" i="1"/>
  <c r="BN346" i="1"/>
  <c r="Z352" i="1"/>
  <c r="Z354" i="1" s="1"/>
  <c r="BN352" i="1"/>
  <c r="BP352" i="1"/>
  <c r="Z357" i="1"/>
  <c r="BN357" i="1"/>
  <c r="BP357" i="1"/>
  <c r="Z358" i="1"/>
  <c r="BN358" i="1"/>
  <c r="Z360" i="1"/>
  <c r="BN360" i="1"/>
  <c r="Y361" i="1"/>
  <c r="Z364" i="1"/>
  <c r="BN364" i="1"/>
  <c r="BP364" i="1"/>
  <c r="Z366" i="1"/>
  <c r="BN366" i="1"/>
  <c r="Y367" i="1"/>
  <c r="Z371" i="1"/>
  <c r="Z372" i="1" s="1"/>
  <c r="BN371" i="1"/>
  <c r="BP371" i="1"/>
  <c r="Y372" i="1"/>
  <c r="Z375" i="1"/>
  <c r="Z378" i="1" s="1"/>
  <c r="BN375" i="1"/>
  <c r="BP375" i="1"/>
  <c r="Y379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21" i="1"/>
  <c r="BN521" i="1"/>
  <c r="Z521" i="1"/>
  <c r="Y137" i="1"/>
  <c r="Y196" i="1"/>
  <c r="Y241" i="1"/>
  <c r="Y274" i="1"/>
  <c r="Y282" i="1"/>
  <c r="Y291" i="1"/>
  <c r="Y296" i="1"/>
  <c r="Y309" i="1"/>
  <c r="Y314" i="1"/>
  <c r="Y373" i="1"/>
  <c r="BP377" i="1"/>
  <c r="BN377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Z606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Y606" i="1"/>
  <c r="Y449" i="1"/>
  <c r="Z527" i="1"/>
  <c r="BN527" i="1"/>
  <c r="Y530" i="1"/>
  <c r="AD606" i="1"/>
  <c r="Y544" i="1"/>
  <c r="BP541" i="1"/>
  <c r="BN541" i="1"/>
  <c r="Z541" i="1"/>
  <c r="BP543" i="1"/>
  <c r="BN543" i="1"/>
  <c r="Z543" i="1"/>
  <c r="Y545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63" i="1"/>
  <c r="Y578" i="1"/>
  <c r="Y577" i="1"/>
  <c r="BP573" i="1"/>
  <c r="BN573" i="1"/>
  <c r="Z573" i="1"/>
  <c r="Z528" i="1"/>
  <c r="BN528" i="1"/>
  <c r="Z538" i="1"/>
  <c r="BN538" i="1"/>
  <c r="BP538" i="1"/>
  <c r="Z539" i="1"/>
  <c r="BN539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Z575" i="1"/>
  <c r="BN575" i="1"/>
  <c r="Z576" i="1"/>
  <c r="BN576" i="1"/>
  <c r="Y583" i="1"/>
  <c r="Z585" i="1"/>
  <c r="Z586" i="1" s="1"/>
  <c r="BN585" i="1"/>
  <c r="BP585" i="1"/>
  <c r="Y586" i="1"/>
  <c r="Z593" i="1"/>
  <c r="Z594" i="1" s="1"/>
  <c r="BN593" i="1"/>
  <c r="BP593" i="1"/>
  <c r="Y594" i="1"/>
  <c r="Z258" i="1" l="1"/>
  <c r="Z509" i="1"/>
  <c r="Z529" i="1"/>
  <c r="Z472" i="1"/>
  <c r="Z416" i="1"/>
  <c r="Z367" i="1"/>
  <c r="Z361" i="1"/>
  <c r="Z348" i="1"/>
  <c r="Z340" i="1"/>
  <c r="Z333" i="1"/>
  <c r="Z290" i="1"/>
  <c r="Z281" i="1"/>
  <c r="Z268" i="1"/>
  <c r="Z229" i="1"/>
  <c r="Z201" i="1"/>
  <c r="Z158" i="1"/>
  <c r="Z131" i="1"/>
  <c r="Z83" i="1"/>
  <c r="Z126" i="1"/>
  <c r="Z41" i="1"/>
  <c r="Z186" i="1"/>
  <c r="Z448" i="1"/>
  <c r="Z224" i="1"/>
  <c r="Z180" i="1"/>
  <c r="Z102" i="1"/>
  <c r="Z577" i="1"/>
  <c r="Z544" i="1"/>
  <c r="Z562" i="1"/>
  <c r="Z502" i="1"/>
  <c r="Z241" i="1"/>
  <c r="Z212" i="1"/>
  <c r="Z62" i="1"/>
  <c r="Y598" i="1"/>
  <c r="Z28" i="1"/>
  <c r="Z523" i="1"/>
  <c r="Z466" i="1"/>
  <c r="Z393" i="1"/>
  <c r="Y600" i="1"/>
  <c r="Z116" i="1"/>
  <c r="Z77" i="1"/>
  <c r="Z55" i="1"/>
  <c r="Y596" i="1"/>
  <c r="Y597" i="1"/>
  <c r="Y599" i="1" s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<sst xmlns="http://schemas.openxmlformats.org/spreadsheetml/2006/main" count="2761" uniqueCount="999">
  <si>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</si>
  <si>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</si>
  <si>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</si>
  <si>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</si>
  <si>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</si>
  <si>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</si>
  <si>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</si>
  <si>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</si>
  <si>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</si>
  <si>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</si>
  <si>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</si>
  <si>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</si>
  <si>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</si>
  <si>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</si>
  <si>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</si>
  <si>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</si>
  <si>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</si>
  <si>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</si>
  <si>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</si>
  <si>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</si>
  <si>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</si>
  <si>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</si>
  <si>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</si>
  <si>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</si>
  <si>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</si>
  <si>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</si>
  <si>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</si>
  <si>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</si>
  <si>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</si>
  <si>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</si>
  <si>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</si>
  <si>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</si>
  <si>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</si>
  <si>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</si>
  <si>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</si>
  <si>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</si>
  <si>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</si>
  <si>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</si>
  <si>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</si>
  <si>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</si>
  <si>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</si>
  <si>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</si>
  <si>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</si>
  <si>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</si>
  <si>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</si>
  <si>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</si>
  <si>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</si>
  <si>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</si>
  <si>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</si>
  <si>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</si>
  <si>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</si>
  <si>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</si>
  <si>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</si>
  <si>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</si>
  <si>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</si>
  <si>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</si>
  <si>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</si>
  <si>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</si>
  <si>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</si>
  <si>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</si>
  <si>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</si>
  <si>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</si>
  <si>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</si>
  <si>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</si>
  <si>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</si>
  <si>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</si>
  <si>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</si>
  <si>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</si>
  <si>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</si>
  <si>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</si>
  <si>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</si>
  <si>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</si>
  <si>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</si>
  <si>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</si>
  <si>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</si>
  <si>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</si>
  <si>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</si>
  <si>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</si>
  <si>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</si>
  <si>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</si>
  <si>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</si>
  <si>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</si>
  <si>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</si>
  <si>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</si>
  <si>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</si>
  <si>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</si>
  <si>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</si>
  <si>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</si>
  <si>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</si>
  <si>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</si>
  <si>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</si>
  <si>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</si>
  <si>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</si>
  <si>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</si>
  <si>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</si>
  <si>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</si>
  <si>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</si>
  <si>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</si>
  <si>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</si>
  <si>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</si>
  <si>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</si>
  <si>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</si>
  <si>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</si>
  <si>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</si>
  <si>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</si>
  <si>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</si>
  <si>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</si>
  <si>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</si>
  <si>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</si>
  <si>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</si>
  <si>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</si>
  <si>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</si>
  <si>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</si>
  <si>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</si>
  <si>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</si>
  <si>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</si>
  <si>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</si>
  <si>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</si>
  <si>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</si>
  <si>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</si>
  <si>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</si>
  <si>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</si>
  <si>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</si>
  <si>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</si>
  <si>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</si>
  <si>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</si>
  <si>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</si>
  <si>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</si>
  <si>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</si>
  <si>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</si>
  <si>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</si>
  <si>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</si>
  <si>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</si>
  <si>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</si>
  <si>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</si>
  <si>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</si>
  <si>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</si>
  <si>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</si>
  <si>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</si>
  <si>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</si>
  <si>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</si>
  <si>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</si>
  <si>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</si>
  <si>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</si>
  <si>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</si>
  <si>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</si>
  <si>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</si>
  <si>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</si>
  <si>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</si>
  <si>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</si>
  <si>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</si>
  <si>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</si>
  <si>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</si>
  <si>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</si>
  <si>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</si>
  <si>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</si>
  <si>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</si>
  <si>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</si>
  <si>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</si>
  <si>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</si>
  <si>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</si>
  <si>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</si>
  <si>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</si>
  <si>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</si>
  <si>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</si>
  <si>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</si>
  <si>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</si>
  <si>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</si>
  <si>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</si>
  <si>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</si>
  <si>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</si>
  <si>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</si>
  <si>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</si>
  <si>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</si>
  <si>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</si>
  <si>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</si>
  <si>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</si>
  <si>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</si>
  <si>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</si>
  <si>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</si>
  <si>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</si>
  <si>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</si>
  <si>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</si>
  <si>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</si>
  <si>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</si>
  <si>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</si>
  <si>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</si>
  <si>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</si>
  <si>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</si>
  <si>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</si>
  <si>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</si>
  <si>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</si>
  <si>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</si>
  <si>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</si>
  <si>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</si>
  <si>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</si>
  <si>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</si>
  <si>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</si>
  <si>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</si>
  <si>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</si>
  <si>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</si>
  <si>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</si>
  <si>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</si>
  <si>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</si>
  <si>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</si>
  <si>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</si>
  <si>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</si>
  <si>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</si>
  <si>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</si>
  <si>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</si>
  <si>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</si>
  <si>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</si>
  <si>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</si>
  <si>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</si>
  <si>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</si>
  <si>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</si>
  <si>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</si>
  <si>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</si>
  <si>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</si>
  <si>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</si>
  <si>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</si>
  <si>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</si>
  <si>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</si>
  <si>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</si>
  <si>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</si>
  <si>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</si>
  <si>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</si>
  <si>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</si>
  <si>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</si>
  <si>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</si>
  <si>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</si>
  <si>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</si>
  <si>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</si>
  <si>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</si>
  <si>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</si>
  <si>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</si>
  <si>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</si>
  <si>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</si>
  <si>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</si>
  <si>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</si>
  <si>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</si>
  <si>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</si>
  <si>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</si>
  <si>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</si>
  <si>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</si>
  <si>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</si>
  <si>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</si>
  <si>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</si>
  <si>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</si>
  <si>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</si>
  <si>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</si>
  <si>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</si>
  <si>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</si>
  <si>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</si>
  <si>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</si>
  <si>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</si>
  <si>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</si>
  <si>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</si>
  <si>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</si>
  <si>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</si>
  <si>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</si>
  <si>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</si>
  <si>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</si>
  <si>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</si>
  <si>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</si>
  <si>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</si>
  <si>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</si>
  <si>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</si>
  <si>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</si>
  <si>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</si>
  <si>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</si>
  <si>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</si>
  <si>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</si>
  <si>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</si>
  <si>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</si>
  <si>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</si>
  <si>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</si>
  <si>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</si>
  <si>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</si>
  <si>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</si>
  <si>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</si>
  <si>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</si>
  <si>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</si>
  <si>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</si>
  <si>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</si>
  <si>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</si>
  <si>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</si>
  <si>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</si>
  <si>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</si>
  <si>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</si>
  <si>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</si>
  <si>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</si>
  <si>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</si>
  <si>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</si>
  <si>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</si>
  <si>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</si>
  <si>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</si>
  <si>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</si>
  <si>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</si>
  <si>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</si>
  <si>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</si>
  <si>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</si>
  <si>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</si>
  <si>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</si>
  <si>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</si>
  <si>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</si>
  <si>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</si>
  <si>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</si>
  <si>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</si>
  <si>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</si>
  <si>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</si>
  <si>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</si>
  <si>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</si>
  <si>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</si>
  <si>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</si>
  <si>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</si>
  <si>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</si>
  <si>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</si>
  <si>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</si>
  <si>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</si>
  <si>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</si>
  <si>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</si>
  <si>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</si>
  <si>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</si>
  <si>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</si>
  <si>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</si>
  <si>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</si>
  <si>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</si>
  <si>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</si>
  <si>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</si>
  <si>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</si>
  <si>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</si>
  <si>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</si>
  <si>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</si>
  <si>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</si>
  <si>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</si>
  <si>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</si>
  <si>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</si>
  <si>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</si>
  <si>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</si>
  <si>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</si>
  <si>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</si>
  <si>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</si>
  <si>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</si>
  <si>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</si>
  <si>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</si>
  <si>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</si>
  <si>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</si>
  <si>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</si>
  <si>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</si>
  <si>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</si>
  <si>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</si>
  <si>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</si>
  <si>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</si>
  <si>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</si>
  <si>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</si>
  <si>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</si>
  <si>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</si>
  <si>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</si>
  <si>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</si>
  <si>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</si>
  <si>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</si>
  <si>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</si>
  <si>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</si>
  <si>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</si>
  <si>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</si>
  <si>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</si>
  <si>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</si>
  <si>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</si>
  <si>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</si>
  <si>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</si>
  <si>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</si>
  <si>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</si>
  <si>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</si>
  <si>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</si>
  <si>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</si>
  <si>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</si>
  <si>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</si>
  <si>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</si>
  <si>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</si>
  <si>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</si>
  <si>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</si>
  <si>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</si>
  <si>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</si>
  <si>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</si>
  <si>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</si>
  <si>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</si>
  <si>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</si>
  <si>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</si>
  <si>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</si>
  <si>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</si>
  <si>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</si>
  <si>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</si>
  <si>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</si>
  <si>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</si>
  <si>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</si>
  <si>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</si>
  <si>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</si>
  <si>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</si>
  <si>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</si>
  <si>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</si>
  <si>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</si>
  <si>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</si>
  <si>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</si>
  <si>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</si>
  <si>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</si>
  <si>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</si>
  <si>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</si>
  <si>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</si>
  <si>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</si>
  <si>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</si>
  <si>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</si>
  <si>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</si>
  <si>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</si>
  <si>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</si>
  <si>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</si>
  <si>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</si>
  <si>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</si>
  <si>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</si>
  <si>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</si>
  <si>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</si>
  <si>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</si>
  <si>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</si>
  <si>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</si>
  <si>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</si>
  <si>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</si>
  <si>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</si>
  <si>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</si>
  <si>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</si>
  <si>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</si>
  <si>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</si>
  <si>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</si>
  <si>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</si>
  <si>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</si>
  <si>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</si>
  <si>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</si>
  <si>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</si>
  <si>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</si>
  <si>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</si>
  <si>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</si>
  <si>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</si>
  <si>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</si>
  <si>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</si>
  <si>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</si>
  <si>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</si>
  <si>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</si>
  <si>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</si>
  <si>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</si>
  <si>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</si>
  <si>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</si>
  <si>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</si>
  <si>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</si>
  <si>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</si>
  <si>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</si>
  <si>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</si>
  <si>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</si>
  <si>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</si>
  <si>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</si>
  <si>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</si>
  <si>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</si>
  <si>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</si>
  <si>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</si>
  <si>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</si>
  <si>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</si>
  <si>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</si>
  <si>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</si>
  <si>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</si>
  <si>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</si>
  <si>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</si>
  <si>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</si>
  <si>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</si>
  <si>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</si>
  <si>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</si>
  <si>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</si>
  <si>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</si>
  <si>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</si>
  <si>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</si>
  <si>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</si>
  <si>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</si>
  <si>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</si>
  <si>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</si>
  <si>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</si>
  <si>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</si>
  <si>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</si>
  <si>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</si>
  <si>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</si>
  <si>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</si>
  <si>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</si>
  <si>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</si>
  <si>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</si>
  <si>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</si>
  <si>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</si>
  <si>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</si>
  <si>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</si>
  <si>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</si>
  <si>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</si>
  <si>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</si>
  <si>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</si>
  <si>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</si>
  <si>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</si>
  <si>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</si>
  <si>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</si>
  <si>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</si>
  <si>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</si>
  <si>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</si>
  <si>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</si>
  <si>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</si>
  <si>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</si>
  <si>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</si>
  <si>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</si>
  <si>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</si>
  <si>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</si>
  <si>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</si>
  <si>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</si>
  <si>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</si>
  <si>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</si>
  <si>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</si>
  <si>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</si>
  <si>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</si>
  <si>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</si>
  <si>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</si>
  <si>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</si>
  <si>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</si>
  <si>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</si>
  <si>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</si>
  <si>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</si>
  <si>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</si>
  <si>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</si>
  <si>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</si>
  <si>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</si>
  <si>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</si>
  <si>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</si>
  <si>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</si>
  <si>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</si>
  <si>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</si>
  <si>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</si>
  <si>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</si>
  <si>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</si>
  <si>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</si>
  <si>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</si>
  <si>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</si>
  <si>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</si>
  <si>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</si>
  <si>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</si>
  <si>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</si>
  <si>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</si>
  <si>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</si>
  <si>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</si>
  <si>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</si>
  <si>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</si>
  <si>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</si>
  <si>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</si>
  <si>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</si>
  <si>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</si>
  <si>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</si>
  <si>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</si>
  <si>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</si>
  <si>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</si>
  <si>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</si>
  <si>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</si>
  <si>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</si>
  <si>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</si>
  <si>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</si>
  <si>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</si>
  <si>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</si>
  <si>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</si>
  <si>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</si>
  <si>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</si>
  <si>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</si>
  <si>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</si>
  <si>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</si>
  <si>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</si>
  <si>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</si>
  <si>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</si>
  <si>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</si>
  <si>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</si>
  <si>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</si>
  <si>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</si>
  <si>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</si>
  <si>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</si>
  <si>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</si>
  <si>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</si>
  <si>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</si>
  <si>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</si>
  <si>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</si>
  <si>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</si>
  <si>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</si>
  <si>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</si>
  <si>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</si>
  <si>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</si>
  <si>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</si>
  <si>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</si>
  <si>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</si>
  <si>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</si>
  <si>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</si>
  <si>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</si>
  <si>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</si>
  <si>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</si>
  <si>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</si>
  <si>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</si>
  <si>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</si>
  <si>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</si>
  <si>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</si>
  <si>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</si>
  <si>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</si>
  <si>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</si>
  <si>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</si>
  <si>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</si>
  <si>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</si>
  <si>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</si>
  <si>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</si>
  <si>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</si>
  <si>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</si>
  <si>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</si>
  <si>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</si>
  <si>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</si>
  <si>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</si>
  <si>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</si>
  <si>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</si>
  <si>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</si>
  <si>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</si>
  <si>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</si>
  <si>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</si>
  <si>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</si>
  <si>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</si>
  <si>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</si>
  <si>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</si>
  <si>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</si>
  <si>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</si>
  <si>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</si>
  <si>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</si>
  <si>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</si>
  <si>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</si>
  <si>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</si>
  <si>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</si>
  <si>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</si>
  <si>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</si>
  <si>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</si>
  <si>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</si>
  <si>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</si>
  <si>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</si>
  <si>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</si>
  <si>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</si>
  <si>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</si>
  <si>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</si>
  <si>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</si>
  <si>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</si>
  <si>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</si>
  <si>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</si>
  <si>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</si>
  <si>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</si>
  <si>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</si>
  <si>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</si>
  <si>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</si>
  <si>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</si>
  <si>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</si>
  <si>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</si>
  <si>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</si>
  <si>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</si>
  <si>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</si>
  <si>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</si>
  <si>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</si>
  <si>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</si>
  <si>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</si>
  <si>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</si>
  <si>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</si>
  <si>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</si>
  <si>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</si>
  <si>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</si>
  <si>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</si>
  <si>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</si>
  <si>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</si>
  <si>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</si>
  <si>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</si>
  <si>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</si>
  <si>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</si>
  <si>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</si>
  <si>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</si>
  <si>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</si>
  <si>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</si>
  <si>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</si>
  <si>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</si>
  <si>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</si>
  <si>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</si>
  <si>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</si>
  <si>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</si>
  <si>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</si>
  <si>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</si>
  <si>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</si>
  <si>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</si>
  <si>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</si>
  <si>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</si>
  <si>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</si>
  <si>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</si>
  <si>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</si>
  <si>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</si>
  <si>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</si>
  <si>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</si>
  <si>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</si>
  <si>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</si>
  <si>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</si>
  <si>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</si>
  <si>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</si>
  <si>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</si>
  <si>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</si>
  <si>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</si>
  <si>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</si>
  <si>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</si>
  <si>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</si>
  <si>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</si>
  <si>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</si>
  <si>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</si>
  <si>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</si>
  <si>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</si>
  <si>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</si>
  <si>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</si>
  <si>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</si>
  <si>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</si>
  <si>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</si>
  <si>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</si>
  <si>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</si>
  <si>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</si>
  <si>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</si>
  <si>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</si>
  <si>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</si>
  <si>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</si>
  <si>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</si>
  <si>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</si>
  <si>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</si>
  <si>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</si>
  <si>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</si>
  <si>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</si>
  <si>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</si>
  <si>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</si>
  <si>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</si>
  <si>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</si>
  <si>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</si>
  <si>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</si>
  <si>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</si>
  <si>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</si>
  <si>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</si>
  <si>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</si>
  <si>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</si>
  <si>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</si>
  <si>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</si>
  <si>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</si>
  <si>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</si>
  <si>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</si>
  <si>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</si>
  <si>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</si>
  <si>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</si>
  <si>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</si>
  <si>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</si>
  <si>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</si>
  <si>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</si>
  <si>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</si>
  <si>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</si>
  <si>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</si>
  <si>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</si>
  <si>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</si>
  <si>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</si>
  <si>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</si>
  <si>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</si>
  <si>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</si>
  <si>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</si>
  <si>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</si>
  <si>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</si>
  <si>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</si>
  <si>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</si>
  <si>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</si>
  <si>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</si>
  <si>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</si>
  <si>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</si>
  <si>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</si>
  <si>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</si>
  <si>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</si>
  <si>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</si>
  <si>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</si>
  <si>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</si>
  <si>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</si>
  <si>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</si>
  <si>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</si>
  <si>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</si>
  <si>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</si>
  <si>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</si>
  <si>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</si>
  <si>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</si>
  <si>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</si>
  <si>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</si>
  <si>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</si>
  <si>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</si>
  <si>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</si>
  <si>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</si>
  <si>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</si>
  <si>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</si>
  <si>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</si>
  <si>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</si>
  <si>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</si>
  <si>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</si>
  <si>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</si>
  <si>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</si>
  <si>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</si>
  <si>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</si>
  <si>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</si>
  <si>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</si>
  <si>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</si>
  <si>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</si>
  <si>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</si>
  <si>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</si>
  <si>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</si>
  <si>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</si>
  <si>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</si>
  <si>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</si>
  <si>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</si>
  <si>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</si>
  <si>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</si>
  <si>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</si>
  <si>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</si>
  <si>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</si>
  <si>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</si>
  <si>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</si>
  <si>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</si>
  <si>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</si>
  <si>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</si>
  <si>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</si>
  <si>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</si>
  <si>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</si>
  <si>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</si>
  <si>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</si>
  <si>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</si>
  <si>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</si>
  <si>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</si>
  <si>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</si>
  <si>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</si>
  <si>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</si>
  <si>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</si>
  <si>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</si>
  <si>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</si>
  <si>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</si>
  <si>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</si>
  <si>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</si>
  <si>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</si>
  <si>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</si>
  <si>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</si>
  <si>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</si>
  <si>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</si>
  <si>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</si>
  <si>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</si>
  <si>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</si>
  <si>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</si>
  <si>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</si>
  <si>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</si>
  <si>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</si>
  <si>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</si>
  <si>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</si>
  <si>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</si>
  <si>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</si>
  <si>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</si>
  <si>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</si>
  <si>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</si>
  <si>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</si>
  <si>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</si>
  <si>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</si>
  <si>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</si>
  <si>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</si>
  <si>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</si>
  <si>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</si>
  <si>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</si>
  <si>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</si>
  <si>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</si>
  <si>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</si>
  <si>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</si>
  <si>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</si>
  <si>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</si>
  <si>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</si>
  <si>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</si>
  <si>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</si>
  <si>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</si>
  <si>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</si>
  <si>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</si>
  <si>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</si>
  <si>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</si>
  <si>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</si>
  <si>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</si>
  <si>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</si>
  <si>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</si>
  <si>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</si>
  <si>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</si>
  <si>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</si>
  <si>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</si>
  <si>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</si>
  <si>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</si>
  <si>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</si>
  <si>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</si>
  <si>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</si>
  <si>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</si>
  <si>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</si>
  <si>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</si>
  <si>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</si>
  <si>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</si>
  <si>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</si>
  <si>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</si>
  <si>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</si>
  <si>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</si>
  <si>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</si>
  <si>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</si>
  <si>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</si>
  <si>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</si>
  <si>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</si>
  <si>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</si>
  <si>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</si>
  <si>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</si>
  <si>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</si>
  <si>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</si>
  <si>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</si>
  <si>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</si>
  <si>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</si>
  <si>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</si>
  <si>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</si>
  <si>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</si>
  <si>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</si>
  <si>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</si>
  <si>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</si>
  <si>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</si>
  <si>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</si>
  <si>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</si>
  <si>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</si>
  <si>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</si>
  <si>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</si>
  <si>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</si>
  <si>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</si>
  <si>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</si>
  <si>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</si>
  <si>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</si>
  <si>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</si>
  <si>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</si>
  <si>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</si>
  <si>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</si>
  <si>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</si>
  <si>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</si>
  <si>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</si>
  <si>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</si>
  <si>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</si>
  <si>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</si>
  <si>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</si>
  <si>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</si>
  <si>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</si>
  <si>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</si>
  <si>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</si>
  <si>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</si>
  <si>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</si>
  <si>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</si>
  <si>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</si>
  <si>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</si>
  <si>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</si>
  <si>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</si>
  <si>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</si>
  <si>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</si>
  <si>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</si>
  <si>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</si>
  <si>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</si>
  <si>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</si>
  <si>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</si>
  <si>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</si>
  <si>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</si>
  <si>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</si>
  <si>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</si>
  <si>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</si>
  <si>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</si>
  <si>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</si>
  <si>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</si>
  <si>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</si>
  <si>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</si>
  <si>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</si>
  <si>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</si>
  <si>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</si>
  <si>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</si>
  <si>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</si>
  <si>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</si>
  <si>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</si>
  <si>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</si>
  <si>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</si>
  <si>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</si>
  <si>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</si>
  <si>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</si>
  <si>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</si>
  <si>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</si>
  <si>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</si>
  <si>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</si>
  <si>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</si>
  <si>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</si>
  <si>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</si>
  <si>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</si>
  <si>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</si>
  <si>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</si>
  <si>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</si>
  <si>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</si>
  <si>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</si>
  <si>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8 европалет, будет дозагруз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</si>
</sst>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45777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978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Среда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6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200</v>
      </c>
      <c r="Y37" s="668">
        <f>IFERROR(IF(X37="",0,CEILING((X37/$H37),1)*$H37),"")</f>
        <v>205.20000000000002</v>
      </c>
      <c r="Z37" s="36">
        <f>IFERROR(IF(Y37=0,"",ROUNDUP(Y37/H37,0)*0.01898),"")</f>
        <v>0.36062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208.05555555555554</v>
      </c>
      <c r="BN37" s="64">
        <f>IFERROR(Y37*I37/H37,"0")</f>
        <v>213.46499999999997</v>
      </c>
      <c r="BO37" s="64">
        <f>IFERROR(1/J37*(X37/H37),"0")</f>
        <v>0.28935185185185186</v>
      </c>
      <c r="BP37" s="64">
        <f>IFERROR(1/J37*(Y37/H37),"0")</f>
        <v>0.296875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21</v>
      </c>
      <c r="Y39" s="668">
        <f>IFERROR(IF(X39="",0,CEILING((X39/$H39),1)*$H39),"")</f>
        <v>22.200000000000003</v>
      </c>
      <c r="Z39" s="36">
        <f>IFERROR(IF(Y39=0,"",ROUNDUP(Y39/H39,0)*0.00902),"")</f>
        <v>5.4120000000000001E-2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22.191891891891892</v>
      </c>
      <c r="BN39" s="64">
        <f>IFERROR(Y39*I39/H39,"0")</f>
        <v>23.460000000000004</v>
      </c>
      <c r="BO39" s="64">
        <f>IFERROR(1/J39*(X39/H39),"0")</f>
        <v>4.2997542997542999E-2</v>
      </c>
      <c r="BP39" s="64">
        <f>IFERROR(1/J39*(Y39/H39),"0")</f>
        <v>4.5454545454545463E-2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24.194194194194196</v>
      </c>
      <c r="Y41" s="669">
        <f>IFERROR(Y37/H37,"0")+IFERROR(Y38/H38,"0")+IFERROR(Y39/H39,"0")+IFERROR(Y40/H40,"0")</f>
        <v>25</v>
      </c>
      <c r="Z41" s="669">
        <f>IFERROR(IF(Z37="",0,Z37),"0")+IFERROR(IF(Z38="",0,Z38),"0")+IFERROR(IF(Z39="",0,Z39),"0")+IFERROR(IF(Z40="",0,Z40),"0")</f>
        <v>0.41474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221</v>
      </c>
      <c r="Y42" s="669">
        <f>IFERROR(SUM(Y37:Y40),"0")</f>
        <v>227.40000000000003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100</v>
      </c>
      <c r="Y49" s="668">
        <f t="shared" ref="Y49:Y54" si="6">IFERROR(IF(X49="",0,CEILING((X49/$H49),1)*$H49),"")</f>
        <v>100.8</v>
      </c>
      <c r="Z49" s="36">
        <f>IFERROR(IF(Y49=0,"",ROUNDUP(Y49/H49,0)*0.01898),"")</f>
        <v>0.17082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103.88392857142858</v>
      </c>
      <c r="BN49" s="64">
        <f t="shared" ref="BN49:BN54" si="8">IFERROR(Y49*I49/H49,"0")</f>
        <v>104.715</v>
      </c>
      <c r="BO49" s="64">
        <f t="shared" ref="BO49:BO54" si="9">IFERROR(1/J49*(X49/H49),"0")</f>
        <v>0.13950892857142858</v>
      </c>
      <c r="BP49" s="64">
        <f t="shared" ref="BP49:BP54" si="10">IFERROR(1/J49*(Y49/H49),"0")</f>
        <v>0.140625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35</v>
      </c>
      <c r="Y52" s="668">
        <f t="shared" si="6"/>
        <v>36</v>
      </c>
      <c r="Z52" s="36">
        <f>IFERROR(IF(Y52=0,"",ROUNDUP(Y52/H52,0)*0.00902),"")</f>
        <v>8.1180000000000002E-2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36.837499999999999</v>
      </c>
      <c r="BN52" s="64">
        <f t="shared" si="8"/>
        <v>37.89</v>
      </c>
      <c r="BO52" s="64">
        <f t="shared" si="9"/>
        <v>6.6287878787878785E-2</v>
      </c>
      <c r="BP52" s="64">
        <f t="shared" si="10"/>
        <v>6.8181818181818177E-2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17.678571428571431</v>
      </c>
      <c r="Y55" s="669">
        <f>IFERROR(Y49/H49,"0")+IFERROR(Y50/H50,"0")+IFERROR(Y51/H51,"0")+IFERROR(Y52/H52,"0")+IFERROR(Y53/H53,"0")+IFERROR(Y54/H54,"0")</f>
        <v>18</v>
      </c>
      <c r="Z55" s="669">
        <f>IFERROR(IF(Z49="",0,Z49),"0")+IFERROR(IF(Z50="",0,Z50),"0")+IFERROR(IF(Z51="",0,Z51),"0")+IFERROR(IF(Z52="",0,Z52),"0")+IFERROR(IF(Z53="",0,Z53),"0")+IFERROR(IF(Z54="",0,Z54),"0")</f>
        <v>0.252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135</v>
      </c>
      <c r="Y56" s="669">
        <f>IFERROR(SUM(Y49:Y54),"0")</f>
        <v>136.80000000000001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58</v>
      </c>
      <c r="Y93" s="668">
        <f t="shared" ref="Y93:Y101" si="16">IFERROR(IF(X93="",0,CEILING((X93/$H93),1)*$H93),"")</f>
        <v>58.800000000000004</v>
      </c>
      <c r="Z93" s="36">
        <f>IFERROR(IF(Y93=0,"",ROUNDUP(Y93/H93,0)*0.01898),"")</f>
        <v>0.13286000000000001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61.583571428571432</v>
      </c>
      <c r="BN93" s="64">
        <f t="shared" ref="BN93:BN101" si="18">IFERROR(Y93*I93/H93,"0")</f>
        <v>62.433000000000007</v>
      </c>
      <c r="BO93" s="64">
        <f t="shared" ref="BO93:BO101" si="19">IFERROR(1/J93*(X93/H93),"0")</f>
        <v>0.10788690476190475</v>
      </c>
      <c r="BP93" s="64">
        <f t="shared" ref="BP93:BP101" si="20">IFERROR(1/J93*(Y93/H93),"0")</f>
        <v>0.109375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6.9047619047619042</v>
      </c>
      <c r="Y102" s="669">
        <f>IFERROR(Y93/H93,"0")+IFERROR(Y94/H94,"0")+IFERROR(Y95/H95,"0")+IFERROR(Y96/H96,"0")+IFERROR(Y97/H97,"0")+IFERROR(Y98/H98,"0")+IFERROR(Y99/H99,"0")+IFERROR(Y100/H100,"0")+IFERROR(Y101/H101,"0")</f>
        <v>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58</v>
      </c>
      <c r="Y103" s="669">
        <f>IFERROR(SUM(Y93:Y101),"0")</f>
        <v>58.800000000000004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184</v>
      </c>
      <c r="Y106" s="668">
        <f>IFERROR(IF(X106="",0,CEILING((X106/$H106),1)*$H106),"")</f>
        <v>194.4</v>
      </c>
      <c r="Z106" s="36">
        <f>IFERROR(IF(Y106=0,"",ROUNDUP(Y106/H106,0)*0.01898),"")</f>
        <v>0.34164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191.41111111111107</v>
      </c>
      <c r="BN106" s="64">
        <f>IFERROR(Y106*I106/H106,"0")</f>
        <v>202.22999999999996</v>
      </c>
      <c r="BO106" s="64">
        <f>IFERROR(1/J106*(X106/H106),"0")</f>
        <v>0.26620370370370366</v>
      </c>
      <c r="BP106" s="64">
        <f>IFERROR(1/J106*(Y106/H106),"0")</f>
        <v>0.28125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33</v>
      </c>
      <c r="Y108" s="668">
        <f>IFERROR(IF(X108="",0,CEILING((X108/$H108),1)*$H108),"")</f>
        <v>36</v>
      </c>
      <c r="Z108" s="36">
        <f>IFERROR(IF(Y108=0,"",ROUNDUP(Y108/H108,0)*0.00902),"")</f>
        <v>7.2160000000000002E-2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34.54</v>
      </c>
      <c r="BN108" s="64">
        <f>IFERROR(Y108*I108/H108,"0")</f>
        <v>37.68</v>
      </c>
      <c r="BO108" s="64">
        <f>IFERROR(1/J108*(X108/H108),"0")</f>
        <v>5.5555555555555552E-2</v>
      </c>
      <c r="BP108" s="64">
        <f>IFERROR(1/J108*(Y108/H108),"0")</f>
        <v>6.0606060606060608E-2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24.370370370370367</v>
      </c>
      <c r="Y110" s="669">
        <f>IFERROR(Y106/H106,"0")+IFERROR(Y107/H107,"0")+IFERROR(Y108/H108,"0")+IFERROR(Y109/H109,"0")</f>
        <v>26</v>
      </c>
      <c r="Z110" s="669">
        <f>IFERROR(IF(Z106="",0,Z106),"0")+IFERROR(IF(Z107="",0,Z107),"0")+IFERROR(IF(Z108="",0,Z108),"0")+IFERROR(IF(Z109="",0,Z109),"0")</f>
        <v>0.4138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217</v>
      </c>
      <c r="Y111" s="669">
        <f>IFERROR(SUM(Y106:Y109),"0")</f>
        <v>230.4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50</v>
      </c>
      <c r="Y113" s="668">
        <f>IFERROR(IF(X113="",0,CEILING((X113/$H113),1)*$H113),"")</f>
        <v>54</v>
      </c>
      <c r="Z113" s="36">
        <f>IFERROR(IF(Y113=0,"",ROUNDUP(Y113/H113,0)*0.01898),"")</f>
        <v>9.4899999999999998E-2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52.013888888888886</v>
      </c>
      <c r="BN113" s="64">
        <f>IFERROR(Y113*I113/H113,"0")</f>
        <v>56.17499999999999</v>
      </c>
      <c r="BO113" s="64">
        <f>IFERROR(1/J113*(X113/H113),"0")</f>
        <v>7.2337962962962965E-2</v>
      </c>
      <c r="BP113" s="64">
        <f>IFERROR(1/J113*(Y113/H113),"0")</f>
        <v>7.8125E-2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4.6296296296296298</v>
      </c>
      <c r="Y116" s="669">
        <f>IFERROR(Y113/H113,"0")+IFERROR(Y114/H114,"0")+IFERROR(Y115/H115,"0")</f>
        <v>5</v>
      </c>
      <c r="Z116" s="669">
        <f>IFERROR(IF(Z113="",0,Z113),"0")+IFERROR(IF(Z114="",0,Z114),"0")+IFERROR(IF(Z115="",0,Z115),"0")</f>
        <v>9.4899999999999998E-2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50</v>
      </c>
      <c r="Y117" s="669">
        <f>IFERROR(SUM(Y113:Y115),"0")</f>
        <v>54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65</v>
      </c>
      <c r="Y120" s="668">
        <f t="shared" si="21"/>
        <v>67.2</v>
      </c>
      <c r="Z120" s="36">
        <f>IFERROR(IF(Y120=0,"",ROUNDUP(Y120/H120,0)*0.01898),"")</f>
        <v>0.15184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68.969642857142858</v>
      </c>
      <c r="BN120" s="64">
        <f t="shared" si="23"/>
        <v>71.304000000000002</v>
      </c>
      <c r="BO120" s="64">
        <f t="shared" si="24"/>
        <v>0.1209077380952381</v>
      </c>
      <c r="BP120" s="64">
        <f t="shared" si="25"/>
        <v>0.125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156</v>
      </c>
      <c r="Y123" s="668">
        <f t="shared" si="21"/>
        <v>156.60000000000002</v>
      </c>
      <c r="Z123" s="36">
        <f>IFERROR(IF(Y123=0,"",ROUNDUP(Y123/H123,0)*0.00651),"")</f>
        <v>0.37758000000000003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170.56</v>
      </c>
      <c r="BN123" s="64">
        <f t="shared" si="23"/>
        <v>171.21600000000001</v>
      </c>
      <c r="BO123" s="64">
        <f t="shared" si="24"/>
        <v>0.31746031746031744</v>
      </c>
      <c r="BP123" s="64">
        <f t="shared" si="25"/>
        <v>0.31868131868131877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65.515873015873012</v>
      </c>
      <c r="Y126" s="669">
        <f>IFERROR(Y119/H119,"0")+IFERROR(Y120/H120,"0")+IFERROR(Y121/H121,"0")+IFERROR(Y122/H122,"0")+IFERROR(Y123/H123,"0")+IFERROR(Y124/H124,"0")+IFERROR(Y125/H125,"0")</f>
        <v>66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0.52942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221</v>
      </c>
      <c r="Y127" s="669">
        <f>IFERROR(SUM(Y119:Y125),"0")</f>
        <v>223.8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58</v>
      </c>
      <c r="Y174" s="668">
        <f t="shared" si="26"/>
        <v>58.800000000000004</v>
      </c>
      <c r="Z174" s="36">
        <f>IFERROR(IF(Y174=0,"",ROUNDUP(Y174/H174,0)*0.00502),"")</f>
        <v>0.14056000000000002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61.590476190476188</v>
      </c>
      <c r="BN174" s="64">
        <f t="shared" si="28"/>
        <v>62.44</v>
      </c>
      <c r="BO174" s="64">
        <f t="shared" si="29"/>
        <v>0.11803011803011804</v>
      </c>
      <c r="BP174" s="64">
        <f t="shared" si="30"/>
        <v>0.11965811965811968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17</v>
      </c>
      <c r="Y176" s="668">
        <f t="shared" si="26"/>
        <v>18</v>
      </c>
      <c r="Z176" s="36">
        <f>IFERROR(IF(Y176=0,"",ROUNDUP(Y176/H176,0)*0.00502),"")</f>
        <v>5.0200000000000002E-2</v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18.227777777777778</v>
      </c>
      <c r="BN176" s="64">
        <f t="shared" si="28"/>
        <v>19.3</v>
      </c>
      <c r="BO176" s="64">
        <f t="shared" si="29"/>
        <v>4.0360873694207031E-2</v>
      </c>
      <c r="BP176" s="64">
        <f t="shared" si="30"/>
        <v>4.2735042735042736E-2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37.063492063492063</v>
      </c>
      <c r="Y180" s="669">
        <f>IFERROR(Y171/H171,"0")+IFERROR(Y172/H172,"0")+IFERROR(Y173/H173,"0")+IFERROR(Y174/H174,"0")+IFERROR(Y175/H175,"0")+IFERROR(Y176/H176,"0")+IFERROR(Y177/H177,"0")+IFERROR(Y178/H178,"0")+IFERROR(Y179/H179,"0")</f>
        <v>38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0.19076000000000001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75</v>
      </c>
      <c r="Y181" s="669">
        <f>IFERROR(SUM(Y171:Y179),"0")</f>
        <v>76.800000000000011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108</v>
      </c>
      <c r="Y204" s="668">
        <f t="shared" ref="Y204:Y211" si="31">IFERROR(IF(X204="",0,CEILING((X204/$H204),1)*$H204),"")</f>
        <v>108</v>
      </c>
      <c r="Z204" s="36">
        <f>IFERROR(IF(Y204=0,"",ROUNDUP(Y204/H204,0)*0.00902),"")</f>
        <v>0.1804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112.19999999999999</v>
      </c>
      <c r="BN204" s="64">
        <f t="shared" ref="BN204:BN211" si="33">IFERROR(Y204*I204/H204,"0")</f>
        <v>112.19999999999999</v>
      </c>
      <c r="BO204" s="64">
        <f t="shared" ref="BO204:BO211" si="34">IFERROR(1/J204*(X204/H204),"0")</f>
        <v>0.15151515151515152</v>
      </c>
      <c r="BP204" s="64">
        <f t="shared" ref="BP204:BP211" si="35">IFERROR(1/J204*(Y204/H204),"0")</f>
        <v>0.15151515151515152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86</v>
      </c>
      <c r="Y205" s="668">
        <f t="shared" si="31"/>
        <v>86.4</v>
      </c>
      <c r="Z205" s="36">
        <f>IFERROR(IF(Y205=0,"",ROUNDUP(Y205/H205,0)*0.00902),"")</f>
        <v>0.14432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89.344444444444449</v>
      </c>
      <c r="BN205" s="64">
        <f t="shared" si="33"/>
        <v>89.76</v>
      </c>
      <c r="BO205" s="64">
        <f t="shared" si="34"/>
        <v>0.12065095398428732</v>
      </c>
      <c r="BP205" s="64">
        <f t="shared" si="35"/>
        <v>0.12121212121212122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104</v>
      </c>
      <c r="Y207" s="668">
        <f t="shared" si="31"/>
        <v>108</v>
      </c>
      <c r="Z207" s="36">
        <f>IFERROR(IF(Y207=0,"",ROUNDUP(Y207/H207,0)*0.00902),"")</f>
        <v>0.1804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108.04444444444445</v>
      </c>
      <c r="BN207" s="64">
        <f t="shared" si="33"/>
        <v>112.19999999999999</v>
      </c>
      <c r="BO207" s="64">
        <f t="shared" si="34"/>
        <v>0.14590347923681257</v>
      </c>
      <c r="BP207" s="64">
        <f t="shared" si="35"/>
        <v>0.15151515151515152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55.185185185185183</v>
      </c>
      <c r="Y212" s="669">
        <f>IFERROR(Y204/H204,"0")+IFERROR(Y205/H205,"0")+IFERROR(Y206/H206,"0")+IFERROR(Y207/H207,"0")+IFERROR(Y208/H208,"0")+IFERROR(Y209/H209,"0")+IFERROR(Y210/H210,"0")+IFERROR(Y211/H211,"0")</f>
        <v>56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0.50512000000000001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298</v>
      </c>
      <c r="Y213" s="669">
        <f>IFERROR(SUM(Y204:Y211),"0")</f>
        <v>302.39999999999998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72</v>
      </c>
      <c r="Y218" s="668">
        <f t="shared" si="36"/>
        <v>72</v>
      </c>
      <c r="Z218" s="36">
        <f t="shared" ref="Z218:Z223" si="41">IFERROR(IF(Y218=0,"",ROUNDUP(Y218/H218,0)*0.00651),"")</f>
        <v>0.1953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80.100000000000009</v>
      </c>
      <c r="BN218" s="64">
        <f t="shared" si="38"/>
        <v>80.100000000000009</v>
      </c>
      <c r="BO218" s="64">
        <f t="shared" si="39"/>
        <v>0.16483516483516486</v>
      </c>
      <c r="BP218" s="64">
        <f t="shared" si="40"/>
        <v>0.16483516483516486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263</v>
      </c>
      <c r="Y220" s="668">
        <f t="shared" si="36"/>
        <v>264</v>
      </c>
      <c r="Z220" s="36">
        <f t="shared" si="41"/>
        <v>0.71610000000000007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290.61500000000001</v>
      </c>
      <c r="BN220" s="64">
        <f t="shared" si="38"/>
        <v>291.72000000000003</v>
      </c>
      <c r="BO220" s="64">
        <f t="shared" si="39"/>
        <v>0.60210622710622719</v>
      </c>
      <c r="BP220" s="64">
        <f t="shared" si="40"/>
        <v>0.60439560439560447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61</v>
      </c>
      <c r="Y223" s="668">
        <f t="shared" si="36"/>
        <v>62.4</v>
      </c>
      <c r="Z223" s="36">
        <f t="shared" si="41"/>
        <v>0.16925999999999999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67.557500000000005</v>
      </c>
      <c r="BN223" s="64">
        <f t="shared" si="38"/>
        <v>69.108000000000004</v>
      </c>
      <c r="BO223" s="64">
        <f t="shared" si="39"/>
        <v>0.13965201465201468</v>
      </c>
      <c r="BP223" s="64">
        <f t="shared" si="40"/>
        <v>0.14285714285714288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165</v>
      </c>
      <c r="Y224" s="669">
        <f>IFERROR(Y215/H215,"0")+IFERROR(Y216/H216,"0")+IFERROR(Y217/H217,"0")+IFERROR(Y218/H218,"0")+IFERROR(Y219/H219,"0")+IFERROR(Y220/H220,"0")+IFERROR(Y221/H221,"0")+IFERROR(Y222/H222,"0")+IFERROR(Y223/H223,"0")</f>
        <v>166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1.0806600000000002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396</v>
      </c>
      <c r="Y225" s="669">
        <f>IFERROR(SUM(Y215:Y223),"0")</f>
        <v>398.4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6</v>
      </c>
      <c r="Y227" s="668">
        <f>IFERROR(IF(X227="",0,CEILING((X227/$H227),1)*$H227),"")</f>
        <v>7.1999999999999993</v>
      </c>
      <c r="Z227" s="36">
        <f>IFERROR(IF(Y227=0,"",ROUNDUP(Y227/H227,0)*0.00651),"")</f>
        <v>1.9529999999999999E-2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6.6300000000000008</v>
      </c>
      <c r="BN227" s="64">
        <f>IFERROR(Y227*I227/H227,"0")</f>
        <v>7.9560000000000004</v>
      </c>
      <c r="BO227" s="64">
        <f>IFERROR(1/J227*(X227/H227),"0")</f>
        <v>1.3736263736263738E-2</v>
      </c>
      <c r="BP227" s="64">
        <f>IFERROR(1/J227*(Y227/H227),"0")</f>
        <v>1.6483516483516484E-2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11</v>
      </c>
      <c r="Y228" s="668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12.155000000000001</v>
      </c>
      <c r="BN228" s="64">
        <f>IFERROR(Y228*I228/H228,"0")</f>
        <v>13.260000000000002</v>
      </c>
      <c r="BO228" s="64">
        <f>IFERROR(1/J228*(X228/H228),"0")</f>
        <v>2.5183150183150187E-2</v>
      </c>
      <c r="BP228" s="64">
        <f>IFERROR(1/J228*(Y228/H228),"0")</f>
        <v>2.7472527472527476E-2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7.0833333333333339</v>
      </c>
      <c r="Y229" s="669">
        <f>IFERROR(Y227/H227,"0")+IFERROR(Y228/H228,"0")</f>
        <v>8</v>
      </c>
      <c r="Z229" s="669">
        <f>IFERROR(IF(Z227="",0,Z227),"0")+IFERROR(IF(Z228="",0,Z228),"0")</f>
        <v>5.2080000000000001E-2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17</v>
      </c>
      <c r="Y230" s="669">
        <f>IFERROR(SUM(Y227:Y228),"0")</f>
        <v>19.2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21</v>
      </c>
      <c r="Y287" s="668">
        <f>IFERROR(IF(X287="",0,CEILING((X287/$H287),1)*$H287),"")</f>
        <v>21.599999999999998</v>
      </c>
      <c r="Z287" s="36">
        <f>IFERROR(IF(Y287=0,"",ROUNDUP(Y287/H287,0)*0.00651),"")</f>
        <v>5.8590000000000003E-2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23.205000000000002</v>
      </c>
      <c r="BN287" s="64">
        <f>IFERROR(Y287*I287/H287,"0")</f>
        <v>23.868000000000002</v>
      </c>
      <c r="BO287" s="64">
        <f>IFERROR(1/J287*(X287/H287),"0")</f>
        <v>4.807692307692308E-2</v>
      </c>
      <c r="BP287" s="64">
        <f>IFERROR(1/J287*(Y287/H287),"0")</f>
        <v>4.9450549450549455E-2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22</v>
      </c>
      <c r="Y288" s="668">
        <f>IFERROR(IF(X288="",0,CEILING((X288/$H288),1)*$H288),"")</f>
        <v>24</v>
      </c>
      <c r="Z288" s="36">
        <f>IFERROR(IF(Y288=0,"",ROUNDUP(Y288/H288,0)*0.00651),"")</f>
        <v>6.5100000000000005E-2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23.650000000000002</v>
      </c>
      <c r="BN288" s="64">
        <f>IFERROR(Y288*I288/H288,"0")</f>
        <v>25.8</v>
      </c>
      <c r="BO288" s="64">
        <f>IFERROR(1/J288*(X288/H288),"0")</f>
        <v>5.0366300366300375E-2</v>
      </c>
      <c r="BP288" s="64">
        <f>IFERROR(1/J288*(Y288/H288),"0")</f>
        <v>5.4945054945054951E-2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17.916666666666668</v>
      </c>
      <c r="Y290" s="669">
        <f>IFERROR(Y285/H285,"0")+IFERROR(Y286/H286,"0")+IFERROR(Y287/H287,"0")+IFERROR(Y288/H288,"0")+IFERROR(Y289/H289,"0")</f>
        <v>19</v>
      </c>
      <c r="Z290" s="669">
        <f>IFERROR(IF(Z285="",0,Z285),"0")+IFERROR(IF(Z286="",0,Z286),"0")+IFERROR(IF(Z287="",0,Z287),"0")+IFERROR(IF(Z288="",0,Z288),"0")+IFERROR(IF(Z289="",0,Z289),"0")</f>
        <v>0.12369000000000001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43</v>
      </c>
      <c r="Y291" s="669">
        <f>IFERROR(SUM(Y285:Y289),"0")</f>
        <v>45.599999999999994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47</v>
      </c>
      <c r="Y351" s="668">
        <f>IFERROR(IF(X351="",0,CEILING((X351/$H351),1)*$H351),"")</f>
        <v>50.400000000000006</v>
      </c>
      <c r="Z351" s="36">
        <f>IFERROR(IF(Y351=0,"",ROUNDUP(Y351/H351,0)*0.01898),"")</f>
        <v>0.11388000000000001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49.903928571428573</v>
      </c>
      <c r="BN351" s="64">
        <f>IFERROR(Y351*I351/H351,"0")</f>
        <v>53.514000000000003</v>
      </c>
      <c r="BO351" s="64">
        <f>IFERROR(1/J351*(X351/H351),"0")</f>
        <v>8.7425595238095233E-2</v>
      </c>
      <c r="BP351" s="64">
        <f>IFERROR(1/J351*(Y351/H351),"0")</f>
        <v>9.375E-2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69</v>
      </c>
      <c r="Y352" s="668">
        <f>IFERROR(IF(X352="",0,CEILING((X352/$H352),1)*$H352),"")</f>
        <v>70.2</v>
      </c>
      <c r="Z352" s="36">
        <f>IFERROR(IF(Y352=0,"",ROUNDUP(Y352/H352,0)*0.01898),"")</f>
        <v>0.17082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73.591153846153858</v>
      </c>
      <c r="BN352" s="64">
        <f>IFERROR(Y352*I352/H352,"0")</f>
        <v>74.871000000000009</v>
      </c>
      <c r="BO352" s="64">
        <f>IFERROR(1/J352*(X352/H352),"0")</f>
        <v>0.13822115384615385</v>
      </c>
      <c r="BP352" s="64">
        <f>IFERROR(1/J352*(Y352/H352),"0")</f>
        <v>0.140625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14.441391941391942</v>
      </c>
      <c r="Y354" s="669">
        <f>IFERROR(Y351/H351,"0")+IFERROR(Y352/H352,"0")+IFERROR(Y353/H353,"0")</f>
        <v>15</v>
      </c>
      <c r="Z354" s="669">
        <f>IFERROR(IF(Z351="",0,Z351),"0")+IFERROR(IF(Z352="",0,Z352),"0")+IFERROR(IF(Z353="",0,Z353),"0")</f>
        <v>0.28470000000000001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116</v>
      </c>
      <c r="Y355" s="669">
        <f>IFERROR(SUM(Y351:Y353),"0")</f>
        <v>120.60000000000001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800</v>
      </c>
      <c r="Y383" s="668">
        <f t="shared" ref="Y383:Y392" si="57">IFERROR(IF(X383="",0,CEILING((X383/$H383),1)*$H383),"")</f>
        <v>810</v>
      </c>
      <c r="Z383" s="36">
        <f>IFERROR(IF(Y383=0,"",ROUNDUP(Y383/H383,0)*0.02175),"")</f>
        <v>1.1744999999999999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825.6</v>
      </c>
      <c r="BN383" s="64">
        <f t="shared" ref="BN383:BN392" si="59">IFERROR(Y383*I383/H383,"0")</f>
        <v>835.92000000000007</v>
      </c>
      <c r="BO383" s="64">
        <f t="shared" ref="BO383:BO392" si="60">IFERROR(1/J383*(X383/H383),"0")</f>
        <v>1.1111111111111112</v>
      </c>
      <c r="BP383" s="64">
        <f t="shared" ref="BP383:BP392" si="61">IFERROR(1/J383*(Y383/H383),"0")</f>
        <v>1.125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85</v>
      </c>
      <c r="Y387" s="668">
        <f t="shared" si="57"/>
        <v>90</v>
      </c>
      <c r="Z387" s="36">
        <f>IFERROR(IF(Y387=0,"",ROUNDUP(Y387/H387,0)*0.02175),"")</f>
        <v>0.1305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87.72</v>
      </c>
      <c r="BN387" s="64">
        <f t="shared" si="59"/>
        <v>92.88000000000001</v>
      </c>
      <c r="BO387" s="64">
        <f t="shared" si="60"/>
        <v>0.11805555555555555</v>
      </c>
      <c r="BP387" s="64">
        <f t="shared" si="61"/>
        <v>0.125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50</v>
      </c>
      <c r="Y388" s="668">
        <f t="shared" si="57"/>
        <v>60</v>
      </c>
      <c r="Z388" s="36">
        <f>IFERROR(IF(Y388=0,"",ROUNDUP(Y388/H388,0)*0.02175),"")</f>
        <v>8.6999999999999994E-2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51.6</v>
      </c>
      <c r="BN388" s="64">
        <f t="shared" si="59"/>
        <v>61.92</v>
      </c>
      <c r="BO388" s="64">
        <f t="shared" si="60"/>
        <v>6.9444444444444448E-2</v>
      </c>
      <c r="BP388" s="64">
        <f t="shared" si="61"/>
        <v>8.3333333333333329E-2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62.333333333333336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64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1.3919999999999999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935</v>
      </c>
      <c r="Y394" s="669">
        <f>IFERROR(SUM(Y383:Y392),"0")</f>
        <v>960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35</v>
      </c>
      <c r="Y406" s="668">
        <f>IFERROR(IF(X406="",0,CEILING((X406/$H406),1)*$H406),"")</f>
        <v>36</v>
      </c>
      <c r="Z406" s="36">
        <f>IFERROR(IF(Y406=0,"",ROUNDUP(Y406/H406,0)*0.01898),"")</f>
        <v>7.5920000000000001E-2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37.018333333333338</v>
      </c>
      <c r="BN406" s="64">
        <f>IFERROR(Y406*I406/H406,"0")</f>
        <v>38.076000000000001</v>
      </c>
      <c r="BO406" s="64">
        <f>IFERROR(1/J406*(X406/H406),"0")</f>
        <v>6.0763888888888888E-2</v>
      </c>
      <c r="BP406" s="64">
        <f>IFERROR(1/J406*(Y406/H406),"0")</f>
        <v>6.25E-2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3.8888888888888888</v>
      </c>
      <c r="Y407" s="669">
        <f>IFERROR(Y406/H406,"0")</f>
        <v>4</v>
      </c>
      <c r="Z407" s="669">
        <f>IFERROR(IF(Z406="",0,Z406),"0")</f>
        <v>7.5920000000000001E-2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35</v>
      </c>
      <c r="Y408" s="669">
        <f>IFERROR(SUM(Y406:Y406),"0")</f>
        <v>36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625</v>
      </c>
      <c r="Y423" s="668">
        <f>IFERROR(IF(X423="",0,CEILING((X423/$H423),1)*$H423),"")</f>
        <v>630</v>
      </c>
      <c r="Z423" s="36">
        <f>IFERROR(IF(Y423=0,"",ROUNDUP(Y423/H423,0)*0.01898),"")</f>
        <v>1.3286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661.04166666666663</v>
      </c>
      <c r="BN423" s="64">
        <f>IFERROR(Y423*I423/H423,"0")</f>
        <v>666.33</v>
      </c>
      <c r="BO423" s="64">
        <f>IFERROR(1/J423*(X423/H423),"0")</f>
        <v>1.0850694444444444</v>
      </c>
      <c r="BP423" s="64">
        <f>IFERROR(1/J423*(Y423/H423),"0")</f>
        <v>1.09375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69.444444444444443</v>
      </c>
      <c r="Y427" s="669">
        <f>IFERROR(Y423/H423,"0")+IFERROR(Y424/H424,"0")+IFERROR(Y425/H425,"0")+IFERROR(Y426/H426,"0")</f>
        <v>70</v>
      </c>
      <c r="Z427" s="669">
        <f>IFERROR(IF(Z423="",0,Z423),"0")+IFERROR(IF(Z424="",0,Z424),"0")+IFERROR(IF(Z425="",0,Z425),"0")+IFERROR(IF(Z426="",0,Z426),"0")</f>
        <v>1.3286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625</v>
      </c>
      <c r="Y428" s="669">
        <f>IFERROR(SUM(Y423:Y426),"0")</f>
        <v>630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510</v>
      </c>
      <c r="Y490" s="668">
        <f t="shared" si="68"/>
        <v>512.16</v>
      </c>
      <c r="Z490" s="36">
        <f t="shared" si="69"/>
        <v>1.16012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544.77272727272714</v>
      </c>
      <c r="BN490" s="64">
        <f t="shared" si="71"/>
        <v>547.07999999999993</v>
      </c>
      <c r="BO490" s="64">
        <f t="shared" si="72"/>
        <v>0.92875874125874125</v>
      </c>
      <c r="BP490" s="64">
        <f t="shared" si="73"/>
        <v>0.9326923076923076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96.590909090909079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96.999999999999986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1.16012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510</v>
      </c>
      <c r="Y503" s="669">
        <f>IFERROR(SUM(Y486:Y501),"0")</f>
        <v>512.16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63</v>
      </c>
      <c r="Y505" s="668">
        <f>IFERROR(IF(X505="",0,CEILING((X505/$H505),1)*$H505),"")</f>
        <v>63.36</v>
      </c>
      <c r="Z505" s="36">
        <f>IFERROR(IF(Y505=0,"",ROUNDUP(Y505/H505,0)*0.01196),"")</f>
        <v>0.14352000000000001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67.295454545454547</v>
      </c>
      <c r="BN505" s="64">
        <f>IFERROR(Y505*I505/H505,"0")</f>
        <v>67.679999999999993</v>
      </c>
      <c r="BO505" s="64">
        <f>IFERROR(1/J505*(X505/H505),"0")</f>
        <v>0.11472902097902099</v>
      </c>
      <c r="BP505" s="64">
        <f>IFERROR(1/J505*(Y505/H505),"0")</f>
        <v>0.11538461538461539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11.931818181818182</v>
      </c>
      <c r="Y509" s="669">
        <f>IFERROR(Y505/H505,"0")+IFERROR(Y506/H506,"0")+IFERROR(Y507/H507,"0")+IFERROR(Y508/H508,"0")</f>
        <v>12</v>
      </c>
      <c r="Z509" s="669">
        <f>IFERROR(IF(Z505="",0,Z505),"0")+IFERROR(IF(Z506="",0,Z506),"0")+IFERROR(IF(Z507="",0,Z507),"0")+IFERROR(IF(Z508="",0,Z508),"0")</f>
        <v>0.14352000000000001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63</v>
      </c>
      <c r="Y510" s="669">
        <f>IFERROR(SUM(Y505:Y508),"0")</f>
        <v>63.36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4015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4095.72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4241.909997397498</v>
      </c>
      <c r="Y597" s="669">
        <f>IFERROR(SUM(BN22:BN593),"0")</f>
        <v>4326.5509999999995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4416.909997397498</v>
      </c>
      <c r="Y599" s="669">
        <f>GrossWeightTotalR+PalletQtyTotalR*25</f>
        <v>4501.5509999999995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684.17286367286363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696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8.1748899999999995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227.40000000000003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136.80000000000001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58.800000000000004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508.2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76.800000000000011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720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45.599999999999994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120.60000000000001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996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630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575.52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04,00"/>
        <filter val="108,00"/>
        <filter val="11,00"/>
        <filter val="11,93"/>
        <filter val="116,00"/>
        <filter val="135,00"/>
        <filter val="14,44"/>
        <filter val="156,00"/>
        <filter val="165,00"/>
        <filter val="17,00"/>
        <filter val="17,68"/>
        <filter val="17,92"/>
        <filter val="184,00"/>
        <filter val="200,00"/>
        <filter val="21,00"/>
        <filter val="217,00"/>
        <filter val="22,00"/>
        <filter val="221,00"/>
        <filter val="24,19"/>
        <filter val="24,37"/>
        <filter val="263,00"/>
        <filter val="298,00"/>
        <filter val="3,89"/>
        <filter val="33,00"/>
        <filter val="35,00"/>
        <filter val="37,06"/>
        <filter val="396,00"/>
        <filter val="4 015,00"/>
        <filter val="4 241,91"/>
        <filter val="4 416,91"/>
        <filter val="4,63"/>
        <filter val="43,00"/>
        <filter val="47,00"/>
        <filter val="50,00"/>
        <filter val="510,00"/>
        <filter val="55,19"/>
        <filter val="58,00"/>
        <filter val="6,00"/>
        <filter val="6,90"/>
        <filter val="61,00"/>
        <filter val="62,33"/>
        <filter val="625,00"/>
        <filter val="63,00"/>
        <filter val="65,00"/>
        <filter val="65,52"/>
        <filter val="684,17"/>
        <filter val="69,00"/>
        <filter val="69,44"/>
        <filter val="7"/>
        <filter val="7,08"/>
        <filter val="72,00"/>
        <filter val="75,00"/>
        <filter val="800,00"/>
        <filter val="85,00"/>
        <filter val="86,00"/>
        <filter val="935,00"/>
        <filter val="96,59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2025-04-28T11:31:11Z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