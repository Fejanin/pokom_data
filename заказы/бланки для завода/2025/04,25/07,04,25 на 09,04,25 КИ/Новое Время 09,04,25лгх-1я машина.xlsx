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0B9B05-BE72-4D95-8DF9-BDCE318DCEC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O515" i="1"/>
  <c r="BM515" i="1"/>
  <c r="Y515" i="1"/>
  <c r="P515" i="1"/>
  <c r="BO514" i="1"/>
  <c r="BM514" i="1"/>
  <c r="Y514" i="1"/>
  <c r="P514" i="1"/>
  <c r="BO513" i="1"/>
  <c r="BM513" i="1"/>
  <c r="Y513" i="1"/>
  <c r="BO512" i="1"/>
  <c r="BM512" i="1"/>
  <c r="Y512" i="1"/>
  <c r="BO511" i="1"/>
  <c r="BM511" i="1"/>
  <c r="Y511" i="1"/>
  <c r="BO510" i="1"/>
  <c r="BM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Y414" i="1" s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N349" i="1"/>
  <c r="BM349" i="1"/>
  <c r="Z349" i="1"/>
  <c r="Y349" i="1"/>
  <c r="BP349" i="1" s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Y3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Z157" i="1" s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Y148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X133" i="1"/>
  <c r="X132" i="1"/>
  <c r="BO131" i="1"/>
  <c r="BM131" i="1"/>
  <c r="Y131" i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F602" i="1" s="1"/>
  <c r="P105" i="1"/>
  <c r="X102" i="1"/>
  <c r="X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4" i="1"/>
  <c r="X43" i="1"/>
  <c r="BO42" i="1"/>
  <c r="BM42" i="1"/>
  <c r="Y42" i="1"/>
  <c r="Y43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BP35" i="1" s="1"/>
  <c r="P35" i="1"/>
  <c r="X31" i="1"/>
  <c r="X30" i="1"/>
  <c r="BO29" i="1"/>
  <c r="BM29" i="1"/>
  <c r="Y29" i="1"/>
  <c r="Y31" i="1" s="1"/>
  <c r="P29" i="1"/>
  <c r="X27" i="1"/>
  <c r="X592" i="1" s="1"/>
  <c r="X26" i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08" i="1" l="1"/>
  <c r="BN108" i="1"/>
  <c r="Z108" i="1"/>
  <c r="BP179" i="1"/>
  <c r="BN179" i="1"/>
  <c r="Z179" i="1"/>
  <c r="BP213" i="1"/>
  <c r="BN213" i="1"/>
  <c r="Z213" i="1"/>
  <c r="BP260" i="1"/>
  <c r="BN260" i="1"/>
  <c r="Z260" i="1"/>
  <c r="BP322" i="1"/>
  <c r="BN322" i="1"/>
  <c r="Z322" i="1"/>
  <c r="BP352" i="1"/>
  <c r="BN352" i="1"/>
  <c r="Z352" i="1"/>
  <c r="BP383" i="1"/>
  <c r="BN383" i="1"/>
  <c r="Z383" i="1"/>
  <c r="AA602" i="1"/>
  <c r="Y467" i="1"/>
  <c r="BP465" i="1"/>
  <c r="BN465" i="1"/>
  <c r="Z465" i="1"/>
  <c r="Z467" i="1" s="1"/>
  <c r="BP515" i="1"/>
  <c r="BN515" i="1"/>
  <c r="Z515" i="1"/>
  <c r="B602" i="1"/>
  <c r="X594" i="1"/>
  <c r="Z37" i="1"/>
  <c r="BN37" i="1"/>
  <c r="D602" i="1"/>
  <c r="Z58" i="1"/>
  <c r="BN58" i="1"/>
  <c r="Z70" i="1"/>
  <c r="BN70" i="1"/>
  <c r="BP74" i="1"/>
  <c r="BN74" i="1"/>
  <c r="Z74" i="1"/>
  <c r="BP131" i="1"/>
  <c r="BN131" i="1"/>
  <c r="Z131" i="1"/>
  <c r="BP178" i="1"/>
  <c r="BN178" i="1"/>
  <c r="Z178" i="1"/>
  <c r="BP197" i="1"/>
  <c r="BN197" i="1"/>
  <c r="Z197" i="1"/>
  <c r="BP201" i="1"/>
  <c r="BN201" i="1"/>
  <c r="Z201" i="1"/>
  <c r="BP225" i="1"/>
  <c r="BN225" i="1"/>
  <c r="Z225" i="1"/>
  <c r="BP230" i="1"/>
  <c r="BN230" i="1"/>
  <c r="Z230" i="1"/>
  <c r="BP279" i="1"/>
  <c r="BN279" i="1"/>
  <c r="Z279" i="1"/>
  <c r="BP336" i="1"/>
  <c r="BN336" i="1"/>
  <c r="Z336" i="1"/>
  <c r="BP375" i="1"/>
  <c r="BN375" i="1"/>
  <c r="Z375" i="1"/>
  <c r="Y400" i="1"/>
  <c r="Y399" i="1"/>
  <c r="BP398" i="1"/>
  <c r="BN398" i="1"/>
  <c r="Z398" i="1"/>
  <c r="Z399" i="1" s="1"/>
  <c r="BP403" i="1"/>
  <c r="BN403" i="1"/>
  <c r="Z403" i="1"/>
  <c r="BP466" i="1"/>
  <c r="BN466" i="1"/>
  <c r="Z466" i="1"/>
  <c r="AB602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516" i="1"/>
  <c r="BN516" i="1"/>
  <c r="Z516" i="1"/>
  <c r="BP350" i="1"/>
  <c r="BN350" i="1"/>
  <c r="Z350" i="1"/>
  <c r="BP369" i="1"/>
  <c r="BN369" i="1"/>
  <c r="Z369" i="1"/>
  <c r="BP381" i="1"/>
  <c r="BN381" i="1"/>
  <c r="Z381" i="1"/>
  <c r="BP413" i="1"/>
  <c r="BN413" i="1"/>
  <c r="Z413" i="1"/>
  <c r="BP417" i="1"/>
  <c r="BN417" i="1"/>
  <c r="Z417" i="1"/>
  <c r="BP438" i="1"/>
  <c r="BN438" i="1"/>
  <c r="Z438" i="1"/>
  <c r="Y454" i="1"/>
  <c r="BP452" i="1"/>
  <c r="BN452" i="1"/>
  <c r="Z452" i="1"/>
  <c r="BP460" i="1"/>
  <c r="BN460" i="1"/>
  <c r="Z460" i="1"/>
  <c r="BP488" i="1"/>
  <c r="BN488" i="1"/>
  <c r="Z488" i="1"/>
  <c r="Y504" i="1"/>
  <c r="Y503" i="1"/>
  <c r="BP499" i="1"/>
  <c r="BN499" i="1"/>
  <c r="Z499" i="1"/>
  <c r="BP501" i="1"/>
  <c r="BN501" i="1"/>
  <c r="Z501" i="1"/>
  <c r="BP511" i="1"/>
  <c r="BN511" i="1"/>
  <c r="Z511" i="1"/>
  <c r="BP513" i="1"/>
  <c r="BN513" i="1"/>
  <c r="Z513" i="1"/>
  <c r="X593" i="1"/>
  <c r="X595" i="1" s="1"/>
  <c r="Z23" i="1"/>
  <c r="BN23" i="1"/>
  <c r="Z29" i="1"/>
  <c r="Z30" i="1" s="1"/>
  <c r="BN29" i="1"/>
  <c r="BP29" i="1"/>
  <c r="Y30" i="1"/>
  <c r="Z35" i="1"/>
  <c r="BN35" i="1"/>
  <c r="Z48" i="1"/>
  <c r="BN48" i="1"/>
  <c r="Z52" i="1"/>
  <c r="BN52" i="1"/>
  <c r="Y62" i="1"/>
  <c r="Z60" i="1"/>
  <c r="BN60" i="1"/>
  <c r="Y68" i="1"/>
  <c r="Z66" i="1"/>
  <c r="BN66" i="1"/>
  <c r="Y76" i="1"/>
  <c r="Z72" i="1"/>
  <c r="BN72" i="1"/>
  <c r="Z80" i="1"/>
  <c r="BN80" i="1"/>
  <c r="E602" i="1"/>
  <c r="Y101" i="1"/>
  <c r="Z94" i="1"/>
  <c r="BN94" i="1"/>
  <c r="Z95" i="1"/>
  <c r="BN95" i="1"/>
  <c r="Z96" i="1"/>
  <c r="BN96" i="1"/>
  <c r="Z97" i="1"/>
  <c r="BN97" i="1"/>
  <c r="Z106" i="1"/>
  <c r="BN106" i="1"/>
  <c r="Z112" i="1"/>
  <c r="BN112" i="1"/>
  <c r="BP112" i="1"/>
  <c r="Y127" i="1"/>
  <c r="Z125" i="1"/>
  <c r="BN125" i="1"/>
  <c r="Z136" i="1"/>
  <c r="BN136" i="1"/>
  <c r="Z146" i="1"/>
  <c r="BN146" i="1"/>
  <c r="BP146" i="1"/>
  <c r="H602" i="1"/>
  <c r="Y160" i="1"/>
  <c r="Z158" i="1"/>
  <c r="BN158" i="1"/>
  <c r="Z176" i="1"/>
  <c r="BN176" i="1"/>
  <c r="Z181" i="1"/>
  <c r="BN181" i="1"/>
  <c r="Z186" i="1"/>
  <c r="Z187" i="1" s="1"/>
  <c r="BN186" i="1"/>
  <c r="BP186" i="1"/>
  <c r="Y187" i="1"/>
  <c r="Z191" i="1"/>
  <c r="BN191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1" i="1"/>
  <c r="BN241" i="1"/>
  <c r="BP241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BN270" i="1"/>
  <c r="Z277" i="1"/>
  <c r="BN277" i="1"/>
  <c r="Z281" i="1"/>
  <c r="BN281" i="1"/>
  <c r="Y310" i="1"/>
  <c r="Z320" i="1"/>
  <c r="BN320" i="1"/>
  <c r="Z324" i="1"/>
  <c r="BN324" i="1"/>
  <c r="Z330" i="1"/>
  <c r="BN330" i="1"/>
  <c r="Z338" i="1"/>
  <c r="BN338" i="1"/>
  <c r="Y360" i="1"/>
  <c r="BP356" i="1"/>
  <c r="BN356" i="1"/>
  <c r="Z356" i="1"/>
  <c r="BP377" i="1"/>
  <c r="BN377" i="1"/>
  <c r="Z377" i="1"/>
  <c r="BP389" i="1"/>
  <c r="BN389" i="1"/>
  <c r="Z389" i="1"/>
  <c r="BP405" i="1"/>
  <c r="BN405" i="1"/>
  <c r="Z405" i="1"/>
  <c r="BP418" i="1"/>
  <c r="BN418" i="1"/>
  <c r="Z418" i="1"/>
  <c r="BP441" i="1"/>
  <c r="BN441" i="1"/>
  <c r="Z441" i="1"/>
  <c r="BP457" i="1"/>
  <c r="BN457" i="1"/>
  <c r="Z457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10" i="1"/>
  <c r="BN510" i="1"/>
  <c r="Z510" i="1"/>
  <c r="BP512" i="1"/>
  <c r="BN512" i="1"/>
  <c r="Z512" i="1"/>
  <c r="BP522" i="1"/>
  <c r="BN522" i="1"/>
  <c r="Z522" i="1"/>
  <c r="A10" i="1"/>
  <c r="Y26" i="1"/>
  <c r="Y40" i="1"/>
  <c r="Y44" i="1"/>
  <c r="Y55" i="1"/>
  <c r="Y61" i="1"/>
  <c r="Y67" i="1"/>
  <c r="Y77" i="1"/>
  <c r="Y83" i="1"/>
  <c r="Y90" i="1"/>
  <c r="Y102" i="1"/>
  <c r="Y109" i="1"/>
  <c r="Y115" i="1"/>
  <c r="Y128" i="1"/>
  <c r="Y132" i="1"/>
  <c r="Y139" i="1"/>
  <c r="Y143" i="1"/>
  <c r="Y149" i="1"/>
  <c r="Y154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BP280" i="1"/>
  <c r="BN280" i="1"/>
  <c r="Z280" i="1"/>
  <c r="BP321" i="1"/>
  <c r="BN321" i="1"/>
  <c r="Z321" i="1"/>
  <c r="Y325" i="1"/>
  <c r="BP329" i="1"/>
  <c r="BN329" i="1"/>
  <c r="Z329" i="1"/>
  <c r="Y333" i="1"/>
  <c r="BP337" i="1"/>
  <c r="BN337" i="1"/>
  <c r="Z337" i="1"/>
  <c r="BP345" i="1"/>
  <c r="BN345" i="1"/>
  <c r="Z345" i="1"/>
  <c r="Y347" i="1"/>
  <c r="Z353" i="1"/>
  <c r="BP351" i="1"/>
  <c r="BN351" i="1"/>
  <c r="Z351" i="1"/>
  <c r="Y353" i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BP419" i="1"/>
  <c r="BN419" i="1"/>
  <c r="Z419" i="1"/>
  <c r="Y423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4" i="1"/>
  <c r="Y449" i="1"/>
  <c r="BP446" i="1"/>
  <c r="BN446" i="1"/>
  <c r="Z446" i="1"/>
  <c r="Z448" i="1" s="1"/>
  <c r="Y448" i="1"/>
  <c r="I602" i="1"/>
  <c r="H9" i="1"/>
  <c r="F9" i="1"/>
  <c r="J9" i="1"/>
  <c r="Z22" i="1"/>
  <c r="BN22" i="1"/>
  <c r="BP22" i="1"/>
  <c r="Z24" i="1"/>
  <c r="BN24" i="1"/>
  <c r="X596" i="1"/>
  <c r="Y27" i="1"/>
  <c r="C602" i="1"/>
  <c r="Z36" i="1"/>
  <c r="BN36" i="1"/>
  <c r="Z38" i="1"/>
  <c r="BN38" i="1"/>
  <c r="Y39" i="1"/>
  <c r="Z42" i="1"/>
  <c r="Z43" i="1" s="1"/>
  <c r="BN42" i="1"/>
  <c r="BP42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Z65" i="1"/>
  <c r="Z67" i="1" s="1"/>
  <c r="BN65" i="1"/>
  <c r="Z71" i="1"/>
  <c r="BN71" i="1"/>
  <c r="Z73" i="1"/>
  <c r="BN73" i="1"/>
  <c r="Z75" i="1"/>
  <c r="BN75" i="1"/>
  <c r="Z79" i="1"/>
  <c r="Z82" i="1" s="1"/>
  <c r="BN79" i="1"/>
  <c r="BP79" i="1"/>
  <c r="Z81" i="1"/>
  <c r="BN81" i="1"/>
  <c r="Z86" i="1"/>
  <c r="BN86" i="1"/>
  <c r="BP86" i="1"/>
  <c r="Z88" i="1"/>
  <c r="BN88" i="1"/>
  <c r="Y89" i="1"/>
  <c r="Z93" i="1"/>
  <c r="BN93" i="1"/>
  <c r="Z98" i="1"/>
  <c r="BN98" i="1"/>
  <c r="Z100" i="1"/>
  <c r="BN100" i="1"/>
  <c r="Z105" i="1"/>
  <c r="BN105" i="1"/>
  <c r="BP105" i="1"/>
  <c r="Z107" i="1"/>
  <c r="BN107" i="1"/>
  <c r="Y110" i="1"/>
  <c r="Z113" i="1"/>
  <c r="BN113" i="1"/>
  <c r="Z118" i="1"/>
  <c r="BN118" i="1"/>
  <c r="BP118" i="1"/>
  <c r="Z120" i="1"/>
  <c r="BN120" i="1"/>
  <c r="Z121" i="1"/>
  <c r="BN121" i="1"/>
  <c r="Z124" i="1"/>
  <c r="BN124" i="1"/>
  <c r="Z126" i="1"/>
  <c r="BN126" i="1"/>
  <c r="Z130" i="1"/>
  <c r="Z132" i="1" s="1"/>
  <c r="BN130" i="1"/>
  <c r="BP130" i="1"/>
  <c r="G602" i="1"/>
  <c r="Z137" i="1"/>
  <c r="Z138" i="1" s="1"/>
  <c r="BN137" i="1"/>
  <c r="Y138" i="1"/>
  <c r="Z141" i="1"/>
  <c r="Z143" i="1" s="1"/>
  <c r="BN141" i="1"/>
  <c r="BP141" i="1"/>
  <c r="Z147" i="1"/>
  <c r="Z148" i="1" s="1"/>
  <c r="BN147" i="1"/>
  <c r="Z152" i="1"/>
  <c r="Z153" i="1" s="1"/>
  <c r="BN152" i="1"/>
  <c r="BP152" i="1"/>
  <c r="Y153" i="1"/>
  <c r="Z156" i="1"/>
  <c r="BN156" i="1"/>
  <c r="BP156" i="1"/>
  <c r="BP157" i="1"/>
  <c r="BN157" i="1"/>
  <c r="BP159" i="1"/>
  <c r="BN159" i="1"/>
  <c r="Z159" i="1"/>
  <c r="Y161" i="1"/>
  <c r="Y166" i="1"/>
  <c r="BP163" i="1"/>
  <c r="BN163" i="1"/>
  <c r="Z163" i="1"/>
  <c r="Z165" i="1" s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BP278" i="1"/>
  <c r="BN278" i="1"/>
  <c r="Z278" i="1"/>
  <c r="Y282" i="1"/>
  <c r="BP368" i="1"/>
  <c r="BN368" i="1"/>
  <c r="Z368" i="1"/>
  <c r="Z370" i="1" s="1"/>
  <c r="Y370" i="1"/>
  <c r="BP459" i="1"/>
  <c r="BN459" i="1"/>
  <c r="Z459" i="1"/>
  <c r="BP507" i="1"/>
  <c r="BN507" i="1"/>
  <c r="Z507" i="1"/>
  <c r="BP509" i="1"/>
  <c r="BN509" i="1"/>
  <c r="Z509" i="1"/>
  <c r="BP517" i="1"/>
  <c r="BN517" i="1"/>
  <c r="Z517" i="1"/>
  <c r="Z602" i="1"/>
  <c r="J602" i="1"/>
  <c r="Y193" i="1"/>
  <c r="K602" i="1"/>
  <c r="Y238" i="1"/>
  <c r="Y267" i="1"/>
  <c r="O602" i="1"/>
  <c r="Y274" i="1"/>
  <c r="P602" i="1"/>
  <c r="Y283" i="1"/>
  <c r="Y288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BP323" i="1"/>
  <c r="BN323" i="1"/>
  <c r="Z323" i="1"/>
  <c r="Y332" i="1"/>
  <c r="BP331" i="1"/>
  <c r="BN331" i="1"/>
  <c r="Z331" i="1"/>
  <c r="Z332" i="1" s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Z346" i="1" s="1"/>
  <c r="Y354" i="1"/>
  <c r="BP357" i="1"/>
  <c r="BN357" i="1"/>
  <c r="Z357" i="1"/>
  <c r="Z359" i="1" s="1"/>
  <c r="V602" i="1"/>
  <c r="Y371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BP404" i="1"/>
  <c r="BN404" i="1"/>
  <c r="Z404" i="1"/>
  <c r="BP408" i="1"/>
  <c r="BN408" i="1"/>
  <c r="Z408" i="1"/>
  <c r="Y410" i="1"/>
  <c r="Y415" i="1"/>
  <c r="BP412" i="1"/>
  <c r="BN412" i="1"/>
  <c r="Z412" i="1"/>
  <c r="Z414" i="1" s="1"/>
  <c r="Y422" i="1"/>
  <c r="BP421" i="1"/>
  <c r="BN421" i="1"/>
  <c r="Z421" i="1"/>
  <c r="Y602" i="1"/>
  <c r="Y443" i="1"/>
  <c r="BP431" i="1"/>
  <c r="BN431" i="1"/>
  <c r="Z431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R602" i="1"/>
  <c r="S602" i="1"/>
  <c r="Y306" i="1"/>
  <c r="Y365" i="1"/>
  <c r="W602" i="1"/>
  <c r="Y385" i="1"/>
  <c r="X602" i="1"/>
  <c r="Y409" i="1"/>
  <c r="Y462" i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4" i="1"/>
  <c r="BN514" i="1"/>
  <c r="Z514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468" i="1"/>
  <c r="Y473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461" i="1" l="1"/>
  <c r="Z325" i="1"/>
  <c r="Z282" i="1"/>
  <c r="Z226" i="1"/>
  <c r="Z115" i="1"/>
  <c r="Z273" i="1"/>
  <c r="Z496" i="1"/>
  <c r="Z409" i="1"/>
  <c r="Z101" i="1"/>
  <c r="Z39" i="1"/>
  <c r="Z422" i="1"/>
  <c r="Z238" i="1"/>
  <c r="Z209" i="1"/>
  <c r="Z183" i="1"/>
  <c r="Z385" i="1"/>
  <c r="Z76" i="1"/>
  <c r="Z503" i="1"/>
  <c r="Z127" i="1"/>
  <c r="Z109" i="1"/>
  <c r="Z89" i="1"/>
  <c r="Z61" i="1"/>
  <c r="Z54" i="1"/>
  <c r="Y592" i="1"/>
  <c r="Y594" i="1"/>
  <c r="Z26" i="1"/>
  <c r="Y596" i="1"/>
  <c r="Z548" i="1"/>
  <c r="Z566" i="1"/>
  <c r="Z524" i="1"/>
  <c r="Z529" i="1"/>
  <c r="Z518" i="1"/>
  <c r="Z443" i="1"/>
  <c r="Z340" i="1"/>
  <c r="Z261" i="1"/>
  <c r="Z221" i="1"/>
  <c r="Z160" i="1"/>
  <c r="Y593" i="1"/>
  <c r="Z395" i="1"/>
  <c r="Y595" i="1" l="1"/>
  <c r="Z597" i="1"/>
</calcChain>
</file>

<file path=xl/sharedStrings.xml><?xml version="1.0" encoding="utf-8"?>
<sst xmlns="http://schemas.openxmlformats.org/spreadsheetml/2006/main" count="2726" uniqueCount="978">
  <si>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</si>
  <si>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</si>
  <si>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</si>
  <si>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</si>
  <si>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</si>
  <si>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</si>
  <si>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</si>
  <si>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</si>
  <si>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</si>
  <si>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</si>
  <si>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</si>
  <si>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</si>
  <si>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</si>
  <si>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</si>
  <si>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</si>
  <si>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</si>
  <si>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</si>
  <si>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</si>
  <si>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</si>
  <si>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</si>
  <si>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</si>
  <si>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</si>
  <si>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</si>
  <si>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</si>
  <si>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</si>
  <si>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</si>
  <si>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</si>
  <si>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</si>
  <si>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</si>
  <si>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</si>
  <si>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</si>
  <si>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</si>
  <si>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</si>
  <si>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</si>
  <si>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</si>
  <si>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</si>
  <si>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</si>
  <si>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</si>
  <si>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</si>
  <si>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</si>
  <si>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</si>
  <si>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</si>
  <si>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</si>
  <si>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</si>
  <si>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</si>
  <si>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</si>
  <si>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</si>
  <si>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</si>
  <si>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</si>
  <si>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</si>
  <si>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</si>
  <si>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</si>
  <si>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</si>
  <si>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</si>
  <si>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</si>
  <si>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</si>
  <si>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</si>
  <si>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</si>
  <si>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</si>
  <si>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</si>
  <si>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</si>
  <si>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</si>
  <si>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</si>
  <si>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</si>
  <si>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</si>
  <si>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</si>
  <si>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</si>
  <si>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</si>
  <si>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</si>
  <si>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</si>
  <si>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</si>
  <si>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</si>
  <si>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</si>
  <si>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</si>
  <si>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</si>
  <si>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</si>
  <si>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</si>
  <si>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</si>
  <si>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</si>
  <si>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</si>
  <si>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</si>
  <si>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</si>
  <si>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</si>
  <si>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</si>
  <si>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</si>
  <si>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</si>
  <si>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</si>
  <si>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</si>
  <si>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</si>
  <si>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</si>
  <si>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</si>
  <si>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</si>
  <si>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</si>
  <si>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</si>
  <si>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</si>
  <si>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</si>
  <si>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</si>
  <si>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</si>
  <si>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</si>
  <si>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</si>
  <si>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</si>
  <si>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</si>
  <si>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</si>
  <si>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</si>
  <si>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</si>
  <si>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</si>
  <si>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</si>
  <si>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</si>
  <si>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</si>
  <si>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</si>
  <si>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</si>
  <si>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</si>
  <si>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</si>
  <si>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</si>
  <si>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</si>
  <si>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</si>
  <si>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</si>
  <si>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</si>
  <si>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</si>
  <si>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</si>
  <si>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</si>
  <si>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</si>
  <si>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</si>
  <si>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</si>
  <si>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</si>
  <si>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</si>
  <si>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</si>
  <si>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</si>
  <si>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</si>
  <si>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</si>
  <si>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</si>
  <si>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</si>
  <si>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</si>
  <si>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</si>
  <si>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</si>
  <si>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</si>
  <si>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</si>
  <si>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</si>
  <si>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</si>
  <si>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</si>
  <si>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</si>
  <si>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</si>
  <si>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</si>
  <si>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</si>
  <si>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</si>
  <si>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</si>
  <si>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</si>
  <si>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</si>
  <si>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</si>
  <si>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</si>
  <si>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</si>
  <si>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</si>
  <si>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</si>
  <si>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</si>
  <si>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</si>
  <si>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</si>
  <si>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</si>
  <si>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</si>
  <si>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</si>
  <si>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</si>
  <si>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</si>
  <si>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</si>
  <si>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</si>
  <si>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</si>
  <si>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</si>
  <si>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</si>
  <si>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</si>
  <si>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</si>
  <si>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</si>
  <si>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</si>
  <si>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</si>
  <si>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</si>
  <si>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</si>
  <si>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</si>
  <si>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</si>
  <si>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</si>
  <si>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</si>
  <si>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</si>
  <si>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</si>
  <si>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</si>
  <si>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</si>
  <si>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</si>
  <si>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</si>
  <si>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</si>
  <si>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</si>
  <si>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</si>
  <si>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P003328</t>
  </si>
  <si>
    <t>ЕАЭС N RU Д-RU.РА01.В.20899/23, ЕАЭС N RU Д-RU.РА03.В.39392/23</t>
  </si>
  <si>
    <t>P003691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</si>
  <si>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</si>
  <si>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</si>
  <si>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</si>
  <si>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</si>
  <si>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</si>
  <si>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</si>
  <si>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</si>
  <si>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</si>
  <si>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</si>
  <si>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</si>
  <si>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</si>
  <si>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</si>
  <si>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</si>
  <si>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</si>
  <si>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</si>
  <si>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</si>
  <si>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</si>
  <si>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</si>
  <si>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</si>
  <si>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</si>
  <si>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</si>
  <si>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</si>
  <si>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</si>
  <si>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</si>
  <si>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</si>
  <si>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</si>
  <si>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</si>
  <si>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</si>
  <si>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</si>
  <si>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</si>
  <si>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</si>
  <si>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</si>
  <si>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</si>
  <si>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</si>
  <si>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</si>
  <si>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</si>
  <si>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</si>
  <si>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</si>
  <si>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</si>
  <si>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</si>
  <si>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</si>
  <si>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</si>
  <si>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</si>
  <si>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</si>
  <si>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</si>
  <si>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</si>
  <si>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</si>
  <si>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</si>
  <si>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</si>
  <si>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</si>
  <si>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</si>
  <si>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</si>
  <si>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</si>
  <si>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</si>
  <si>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</si>
  <si>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</si>
  <si>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</si>
  <si>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</si>
  <si>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</si>
  <si>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</si>
  <si>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</si>
  <si>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</si>
  <si>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</si>
  <si>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</si>
  <si>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</si>
  <si>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</si>
  <si>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</si>
  <si>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</si>
  <si>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</si>
  <si>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</si>
  <si>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</si>
  <si>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</si>
  <si>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</si>
  <si>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</si>
  <si>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</si>
  <si>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</si>
  <si>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</si>
  <si>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</si>
  <si>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</si>
  <si>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</si>
  <si>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</si>
  <si>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</si>
  <si>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</si>
  <si>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</si>
  <si>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</si>
  <si>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</si>
  <si>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</si>
  <si>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</si>
  <si>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</si>
  <si>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</si>
  <si>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</si>
  <si>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</si>
  <si>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</si>
  <si>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</si>
  <si>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</si>
  <si>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</si>
  <si>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</si>
  <si>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</si>
  <si>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</si>
  <si>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</si>
  <si>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</si>
  <si>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</si>
  <si>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</si>
  <si>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</si>
  <si>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</si>
  <si>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</si>
  <si>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</si>
  <si>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</si>
  <si>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</si>
  <si>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</si>
  <si>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</si>
  <si>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</si>
  <si>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</si>
  <si>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</si>
  <si>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</si>
  <si>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</si>
  <si>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</si>
  <si>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</si>
  <si>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</si>
  <si>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</si>
  <si>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</si>
  <si>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</si>
  <si>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</si>
  <si>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</si>
  <si>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</si>
  <si>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</si>
  <si>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</si>
  <si>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</si>
  <si>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</si>
  <si>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</si>
  <si>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</si>
  <si>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</si>
  <si>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</si>
  <si>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</si>
  <si>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</si>
  <si>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</si>
  <si>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</si>
  <si>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</si>
  <si>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</si>
  <si>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</si>
  <si>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</si>
  <si>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</si>
  <si>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</si>
  <si>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</si>
  <si>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</si>
  <si>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</si>
  <si>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</si>
  <si>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</si>
  <si>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</si>
  <si>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</si>
  <si>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</si>
  <si>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</si>
  <si>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</si>
  <si>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</si>
  <si>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</si>
  <si>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</si>
  <si>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</si>
  <si>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</si>
  <si>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</si>
  <si>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</si>
  <si>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</si>
  <si>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</si>
  <si>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</si>
  <si>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</si>
  <si>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</si>
  <si>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</si>
  <si>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</si>
  <si>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</si>
  <si>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</si>
  <si>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</si>
  <si>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</si>
  <si>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</si>
  <si>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</si>
  <si>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</si>
  <si>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</si>
  <si>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</si>
  <si>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</si>
  <si>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</si>
  <si>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</si>
  <si>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</si>
  <si>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</si>
  <si>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</si>
  <si>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</si>
  <si>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</si>
  <si>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</si>
  <si>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</si>
  <si>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</si>
  <si>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</si>
  <si>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</si>
  <si>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</si>
  <si>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</si>
  <si>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</si>
  <si>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</si>
  <si>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</si>
  <si>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</si>
  <si>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</si>
  <si>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</si>
  <si>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</si>
  <si>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</si>
  <si>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</si>
  <si>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</si>
  <si>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Д-RU.РА02.В.59666/22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</si>
  <si>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</si>
  <si>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</si>
  <si>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</si>
  <si>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</si>
  <si>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</si>
  <si>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</si>
  <si>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</si>
  <si>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</si>
  <si>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</si>
  <si>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</si>
  <si>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</si>
  <si>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</si>
  <si>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</si>
  <si>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</si>
  <si>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</si>
  <si>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</si>
  <si>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</si>
  <si>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</si>
  <si>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</si>
  <si>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</si>
  <si>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</si>
  <si>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</si>
  <si>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</si>
  <si>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</si>
  <si>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</si>
  <si>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</si>
  <si>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</si>
  <si>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</si>
  <si>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</si>
  <si>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</si>
  <si>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</si>
  <si>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</si>
  <si>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</si>
  <si>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</si>
  <si>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</si>
  <si>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</si>
  <si>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</si>
  <si>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</si>
  <si>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</si>
  <si>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</si>
  <si>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</si>
  <si>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</si>
  <si>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</si>
  <si>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</si>
  <si>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</si>
  <si>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</si>
  <si>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</si>
  <si>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</si>
  <si>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</si>
  <si>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</si>
  <si>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</si>
  <si>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</si>
  <si>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</si>
  <si>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</si>
  <si>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</si>
  <si>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</si>
  <si>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</si>
  <si>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</si>
  <si>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</si>
  <si>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</si>
  <si>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</si>
  <si>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</si>
  <si>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</si>
  <si>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</si>
  <si>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</si>
  <si>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</si>
  <si>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</si>
  <si>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</si>
  <si>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</si>
  <si>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</si>
  <si>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</si>
  <si>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</si>
  <si>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</si>
  <si>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</si>
  <si>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</si>
  <si>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</si>
  <si>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</si>
  <si>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</si>
  <si>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</si>
  <si>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</si>
  <si>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</si>
  <si>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</si>
  <si>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</si>
  <si>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</si>
  <si>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</si>
  <si>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</si>
  <si>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</si>
  <si>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</si>
  <si>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</si>
  <si>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</si>
  <si>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</si>
  <si>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</si>
  <si>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</si>
  <si>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</si>
  <si>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</si>
  <si>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</si>
  <si>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</si>
  <si>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</si>
  <si>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</si>
  <si>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</si>
  <si>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</si>
  <si>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</si>
  <si>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</si>
  <si>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</si>
  <si>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</si>
  <si>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</si>
  <si>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</si>
  <si>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</si>
  <si>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</si>
  <si>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</si>
  <si>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</si>
  <si>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</si>
  <si>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</si>
  <si>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</si>
  <si>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</si>
  <si>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</si>
  <si>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</si>
  <si>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</si>
  <si>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</si>
  <si>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</si>
  <si>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</si>
  <si>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</si>
  <si>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</si>
  <si>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</si>
  <si>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</si>
  <si>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</si>
  <si>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</si>
  <si>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</si>
  <si>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</si>
  <si>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</si>
  <si>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</si>
  <si>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</si>
  <si>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</si>
  <si>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</si>
  <si>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</si>
  <si>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</si>
  <si>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</si>
  <si>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</si>
  <si>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</si>
  <si>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</si>
  <si>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</si>
  <si>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</si>
  <si>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</si>
  <si>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</si>
  <si>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</si>
  <si>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</si>
  <si>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</si>
  <si>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</si>
  <si>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</si>
  <si>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</si>
  <si>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</si>
  <si>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</si>
  <si>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</si>
  <si>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</si>
  <si>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</si>
  <si>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</si>
  <si>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</si>
  <si>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</si>
  <si>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</si>
  <si>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</si>
  <si>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</si>
  <si>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</si>
  <si>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</si>
  <si>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</si>
  <si>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</si>
  <si>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</si>
  <si>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</si>
  <si>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</si>
  <si>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</si>
  <si>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</si>
  <si>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</si>
  <si>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</si>
  <si>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</si>
  <si>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</si>
  <si>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</si>
  <si>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</si>
  <si>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</si>
  <si>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</si>
  <si>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</si>
  <si>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</si>
  <si>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</si>
  <si>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</si>
  <si>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</si>
  <si>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</si>
  <si>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</si>
  <si>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</si>
  <si>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</si>
  <si>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</si>
  <si>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</si>
  <si>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P004315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</si>
  <si>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</si>
  <si>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</si>
  <si>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</si>
  <si>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</si>
  <si>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</si>
  <si>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</si>
  <si>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</si>
  <si>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</si>
  <si>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</si>
  <si>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</si>
  <si>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</si>
  <si>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</si>
  <si>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</si>
  <si>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</si>
  <si>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</si>
  <si>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</si>
  <si>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</si>
  <si>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</si>
  <si>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</si>
  <si>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</si>
  <si>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</si>
  <si>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</si>
  <si>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</si>
  <si>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</si>
  <si>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</si>
  <si>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</si>
  <si>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</si>
  <si>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</si>
  <si>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</si>
  <si>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</si>
  <si>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</si>
  <si>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</si>
  <si>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</si>
  <si>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</si>
  <si>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</si>
  <si>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</si>
  <si>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</si>
  <si>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</si>
  <si>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</si>
  <si>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</si>
  <si>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</si>
  <si>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</si>
  <si>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</si>
  <si>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</si>
  <si>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</si>
  <si>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</si>
  <si>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</si>
  <si>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</si>
  <si>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</si>
  <si>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</si>
  <si>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</si>
  <si>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</si>
  <si>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</si>
  <si>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</si>
  <si>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</si>
  <si>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</si>
  <si>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</si>
  <si>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</si>
  <si>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</si>
  <si>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</si>
  <si>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</si>
  <si>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</si>
  <si>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</si>
  <si>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</si>
  <si>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</si>
  <si>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</si>
  <si>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</si>
  <si>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</si>
  <si>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</si>
  <si>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</si>
  <si>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</si>
  <si>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</si>
  <si>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</si>
  <si>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</si>
  <si>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</si>
  <si>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</si>
  <si>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</si>
  <si>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</si>
  <si>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</si>
  <si>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</si>
  <si>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</si>
  <si>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</si>
  <si>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</si>
  <si>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</si>
  <si>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</si>
  <si>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</si>
  <si>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</si>
  <si>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</si>
  <si>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</si>
  <si>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</si>
  <si>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</si>
  <si>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</si>
  <si>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</si>
  <si>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</si>
  <si>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</si>
  <si>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</si>
  <si>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</si>
  <si>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</si>
  <si>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</si>
  <si>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</si>
  <si>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</si>
  <si>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</si>
  <si>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</si>
  <si>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</si>
  <si>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</si>
  <si>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</si>
  <si>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</si>
  <si>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</si>
  <si>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</si>
  <si>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</si>
  <si>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</si>
  <si>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</si>
  <si>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</si>
  <si>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</si>
  <si>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</si>
  <si>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</si>
  <si>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</si>
  <si>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</si>
  <si>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</si>
  <si>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</si>
  <si>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</si>
  <si>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</si>
  <si>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</si>
  <si>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</si>
  <si>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</si>
  <si>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</si>
  <si>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</si>
  <si>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</si>
  <si>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</si>
  <si>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</si>
  <si>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</si>
  <si>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</si>
  <si>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</si>
  <si>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</si>
  <si>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</si>
  <si>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</si>
  <si>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</si>
  <si>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</si>
  <si>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</si>
  <si>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</si>
  <si>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</si>
  <si>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</si>
  <si>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</si>
  <si>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</si>
  <si>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</si>
  <si>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</si>
  <si>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</si>
  <si>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</si>
  <si>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</si>
  <si>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</si>
  <si>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</si>
  <si>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</si>
  <si>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</si>
  <si>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</si>
  <si>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</si>
  <si>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</si>
  <si>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</si>
  <si>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</si>
  <si>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</si>
  <si>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</si>
  <si>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</si>
  <si>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</si>
  <si>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</si>
  <si>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</si>
  <si>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</si>
  <si>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</si>
  <si>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</si>
  <si>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</si>
  <si>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</si>
  <si>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</si>
  <si>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</si>
  <si>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</si>
  <si>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</si>
  <si>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</si>
  <si>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</si>
  <si>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</si>
  <si>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</si>
  <si>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</si>
  <si>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</si>
  <si>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</si>
  <si>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</si>
  <si>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</si>
  <si>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</si>
  <si>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</si>
  <si>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</si>
  <si>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</si>
  <si>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</si>
  <si>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</si>
  <si>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</si>
  <si>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</si>
  <si>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</si>
  <si>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</si>
  <si>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</si>
  <si>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</si>
  <si>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</si>
  <si>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</si>
  <si>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</si>
  <si>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</si>
  <si>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</si>
  <si>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</si>
  <si>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</si>
  <si>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</si>
  <si>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</si>
  <si>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</si>
  <si>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</si>
  <si>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</si>
  <si>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</si>
  <si>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</si>
  <si>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</si>
  <si>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</si>
  <si>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</si>
  <si>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</si>
  <si>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</si>
  <si>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</si>
  <si>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</si>
  <si>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</si>
  <si>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</si>
  <si>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</si>
  <si>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</si>
  <si>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</si>
  <si>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</si>
  <si>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</si>
  <si>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</si>
  <si>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</si>
  <si>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</si>
  <si>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</si>
  <si>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</si>
  <si>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P004693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</si>
  <si>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</si>
  <si>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</si>
  <si>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</si>
  <si>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</si>
  <si>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</si>
  <si>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</si>
  <si>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</si>
  <si>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</si>
  <si>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</si>
  <si>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</si>
  <si>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</si>
  <si>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</si>
  <si>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</si>
  <si>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</si>
  <si>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</si>
  <si>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</si>
  <si>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</si>
  <si>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</si>
  <si>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</si>
  <si>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</si>
  <si>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</si>
  <si>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</si>
  <si>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</si>
  <si>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</si>
  <si>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</si>
  <si>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</si>
  <si>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</si>
  <si>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</si>
  <si>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</si>
  <si>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</si>
  <si>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</si>
  <si>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</si>
  <si>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</si>
  <si>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</si>
  <si>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</si>
  <si>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</si>
  <si>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</si>
  <si>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</si>
  <si>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</si>
  <si>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</si>
  <si>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</si>
  <si>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</si>
  <si>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</si>
  <si>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</si>
  <si>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</si>
  <si>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</si>
  <si>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</si>
  <si>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</si>
  <si>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</si>
  <si>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</si>
  <si>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</si>
  <si>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</si>
  <si>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</si>
  <si>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</si>
  <si>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</si>
  <si>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</si>
  <si>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</si>
  <si>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</si>
  <si>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</si>
  <si>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</si>
  <si>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</si>
  <si>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</si>
  <si>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</si>
  <si>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</si>
  <si>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</si>
  <si>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</si>
  <si>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</si>
  <si>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</si>
  <si>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</si>
  <si>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</si>
  <si>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</si>
  <si>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</si>
  <si>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</si>
  <si>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</si>
  <si>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</si>
  <si>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</si>
  <si>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</si>
  <si>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</si>
  <si>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</si>
  <si>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</si>
  <si>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</si>
  <si>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</si>
  <si>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</si>
  <si>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</si>
  <si>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</si>
  <si>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</si>
  <si>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</si>
  <si>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</si>
  <si>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</si>
  <si>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</si>
  <si>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</si>
  <si>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</si>
  <si>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</si>
  <si>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</si>
  <si>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</si>
  <si>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</si>
  <si>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</si>
  <si>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</si>
  <si>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</si>
  <si>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</si>
  <si>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</si>
  <si>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</si>
  <si>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</si>
  <si>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</si>
  <si>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</si>
  <si>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</si>
  <si>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</si>
  <si>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</si>
  <si>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</si>
  <si>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</si>
  <si>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</si>
  <si>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</si>
  <si>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</si>
  <si>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</si>
  <si>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</si>
  <si>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</si>
  <si>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</si>
  <si>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</si>
  <si>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</si>
  <si>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</si>
  <si>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</si>
  <si>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</si>
  <si>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</si>
  <si>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</si>
  <si>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</si>
  <si>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</si>
  <si>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</si>
  <si>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</si>
  <si>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</si>
  <si>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</si>
  <si>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</si>
  <si>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</si>
  <si>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</si>
  <si>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</si>
  <si>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</si>
  <si>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</si>
  <si>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</si>
  <si>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</si>
  <si>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</si>
  <si>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</si>
  <si>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</si>
  <si>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</si>
  <si>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</si>
  <si>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</si>
  <si>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</si>
  <si>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</si>
  <si>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</si>
  <si>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</si>
  <si>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</si>
  <si>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</si>
  <si>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</si>
  <si>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</si>
  <si>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</si>
  <si>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</si>
  <si>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</si>
  <si>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</si>
  <si>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</si>
  <si>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</si>
  <si>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</si>
  <si>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</si>
  <si>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</si>
  <si>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</si>
  <si>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</si>
  <si>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</si>
  <si>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</si>
  <si>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</si>
  <si>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</si>
  <si>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</si>
  <si>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18 европалет,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</si>
</sst>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Y12" sqref="Y12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61" t="s">
        <v>0</v>
      </c>
      <c r="E1" s="697"/>
      <c r="F1" s="697"/>
      <c r="G1" s="12" t="s">
        <v>1</v>
      </c>
      <c r="H1" s="761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16" t="s">
        <v>8</v>
      </c>
      <c r="B5" s="817"/>
      <c r="C5" s="818"/>
      <c r="D5" s="768"/>
      <c r="E5" s="769"/>
      <c r="F5" s="994" t="s">
        <v>9</v>
      </c>
      <c r="G5" s="818"/>
      <c r="H5" s="768" t="s">
        <v>977</v>
      </c>
      <c r="I5" s="942"/>
      <c r="J5" s="942"/>
      <c r="K5" s="942"/>
      <c r="L5" s="942"/>
      <c r="M5" s="769"/>
      <c r="N5" s="58"/>
      <c r="P5" s="24" t="s">
        <v>10</v>
      </c>
      <c r="Q5" s="1023">
        <v>45756</v>
      </c>
      <c r="R5" s="807"/>
      <c r="T5" s="855" t="s">
        <v>11</v>
      </c>
      <c r="U5" s="772"/>
      <c r="V5" s="856" t="s">
        <v>12</v>
      </c>
      <c r="W5" s="807"/>
      <c r="AB5" s="51"/>
      <c r="AC5" s="51"/>
      <c r="AD5" s="51"/>
      <c r="AE5" s="51"/>
    </row>
    <row r="6" spans="1:32" s="659" customFormat="1" ht="24" customHeight="1" x14ac:dyDescent="0.2">
      <c r="A6" s="816" t="s">
        <v>13</v>
      </c>
      <c r="B6" s="817"/>
      <c r="C6" s="81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07"/>
      <c r="N6" s="59"/>
      <c r="P6" s="24" t="s">
        <v>15</v>
      </c>
      <c r="Q6" s="1032" t="str">
        <f>IF(Q5=0," ",CHOOSE(WEEKDAY(Q5,2),"Понедельник","Вторник","Среда","Четверг","Пятница","Суббота","Воскресенье"))</f>
        <v>Среда</v>
      </c>
      <c r="R6" s="670"/>
      <c r="T6" s="860" t="s">
        <v>16</v>
      </c>
      <c r="U6" s="772"/>
      <c r="V6" s="928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30" t="str">
        <f>IFERROR(VLOOKUP(DeliveryAddress,Table,3,0),1)</f>
        <v>4</v>
      </c>
      <c r="E7" s="731"/>
      <c r="F7" s="731"/>
      <c r="G7" s="731"/>
      <c r="H7" s="731"/>
      <c r="I7" s="731"/>
      <c r="J7" s="731"/>
      <c r="K7" s="731"/>
      <c r="L7" s="731"/>
      <c r="M7" s="732"/>
      <c r="N7" s="60"/>
      <c r="P7" s="24"/>
      <c r="Q7" s="42"/>
      <c r="R7" s="42"/>
      <c r="T7" s="680"/>
      <c r="U7" s="772"/>
      <c r="V7" s="929"/>
      <c r="W7" s="930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6"/>
      <c r="C8" s="687"/>
      <c r="D8" s="745"/>
      <c r="E8" s="746"/>
      <c r="F8" s="746"/>
      <c r="G8" s="746"/>
      <c r="H8" s="746"/>
      <c r="I8" s="746"/>
      <c r="J8" s="746"/>
      <c r="K8" s="746"/>
      <c r="L8" s="746"/>
      <c r="M8" s="747"/>
      <c r="N8" s="61"/>
      <c r="P8" s="24" t="s">
        <v>19</v>
      </c>
      <c r="Q8" s="824">
        <v>0.41666666666666669</v>
      </c>
      <c r="R8" s="732"/>
      <c r="T8" s="680"/>
      <c r="U8" s="772"/>
      <c r="V8" s="929"/>
      <c r="W8" s="930"/>
      <c r="AB8" s="51"/>
      <c r="AC8" s="51"/>
      <c r="AD8" s="51"/>
      <c r="AE8" s="51"/>
    </row>
    <row r="9" spans="1:32" s="659" customFormat="1" ht="39.950000000000003" customHeight="1" x14ac:dyDescent="0.2">
      <c r="A9" s="8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9"/>
      <c r="E9" s="684"/>
      <c r="F9" s="8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20</v>
      </c>
      <c r="Q9" s="800"/>
      <c r="R9" s="801"/>
      <c r="T9" s="680"/>
      <c r="U9" s="772"/>
      <c r="V9" s="931"/>
      <c r="W9" s="932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9"/>
      <c r="E10" s="684"/>
      <c r="F10" s="8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21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21</v>
      </c>
      <c r="Q10" s="861"/>
      <c r="R10" s="862"/>
      <c r="U10" s="24" t="s">
        <v>22</v>
      </c>
      <c r="V10" s="709" t="s">
        <v>23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6"/>
      <c r="R11" s="807"/>
      <c r="U11" s="24" t="s">
        <v>26</v>
      </c>
      <c r="V11" s="964" t="s">
        <v>27</v>
      </c>
      <c r="W11" s="801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28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29</v>
      </c>
      <c r="Q12" s="824"/>
      <c r="R12" s="732"/>
      <c r="S12" s="23"/>
      <c r="U12" s="24"/>
      <c r="V12" s="697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30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31</v>
      </c>
      <c r="Q13" s="964"/>
      <c r="R13" s="8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32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9" t="s">
        <v>33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10" t="s">
        <v>34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35</v>
      </c>
      <c r="B17" s="705" t="s">
        <v>36</v>
      </c>
      <c r="C17" s="830" t="s">
        <v>37</v>
      </c>
      <c r="D17" s="705" t="s">
        <v>38</v>
      </c>
      <c r="E17" s="783"/>
      <c r="F17" s="705" t="s">
        <v>39</v>
      </c>
      <c r="G17" s="705" t="s">
        <v>40</v>
      </c>
      <c r="H17" s="705" t="s">
        <v>41</v>
      </c>
      <c r="I17" s="705" t="s">
        <v>42</v>
      </c>
      <c r="J17" s="705" t="s">
        <v>43</v>
      </c>
      <c r="K17" s="705" t="s">
        <v>44</v>
      </c>
      <c r="L17" s="705" t="s">
        <v>45</v>
      </c>
      <c r="M17" s="705" t="s">
        <v>46</v>
      </c>
      <c r="N17" s="705" t="s">
        <v>47</v>
      </c>
      <c r="O17" s="705" t="s">
        <v>48</v>
      </c>
      <c r="P17" s="705" t="s">
        <v>49</v>
      </c>
      <c r="Q17" s="782"/>
      <c r="R17" s="782"/>
      <c r="S17" s="782"/>
      <c r="T17" s="783"/>
      <c r="U17" s="1046" t="s">
        <v>50</v>
      </c>
      <c r="V17" s="818"/>
      <c r="W17" s="705" t="s">
        <v>51</v>
      </c>
      <c r="X17" s="705" t="s">
        <v>52</v>
      </c>
      <c r="Y17" s="1044" t="s">
        <v>53</v>
      </c>
      <c r="Z17" s="915" t="s">
        <v>54</v>
      </c>
      <c r="AA17" s="913" t="s">
        <v>55</v>
      </c>
      <c r="AB17" s="913" t="s">
        <v>56</v>
      </c>
      <c r="AC17" s="913" t="s">
        <v>57</v>
      </c>
      <c r="AD17" s="913" t="s">
        <v>58</v>
      </c>
      <c r="AE17" s="1004"/>
      <c r="AF17" s="1005"/>
      <c r="AG17" s="66"/>
      <c r="BD17" s="65" t="s">
        <v>59</v>
      </c>
    </row>
    <row r="18" spans="1:68" ht="14.25" customHeight="1" x14ac:dyDescent="0.2">
      <c r="A18" s="706"/>
      <c r="B18" s="706"/>
      <c r="C18" s="706"/>
      <c r="D18" s="784"/>
      <c r="E18" s="786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06"/>
      <c r="X18" s="706"/>
      <c r="Y18" s="1045"/>
      <c r="Z18" s="916"/>
      <c r="AA18" s="914"/>
      <c r="AB18" s="914"/>
      <c r="AC18" s="914"/>
      <c r="AD18" s="1006"/>
      <c r="AE18" s="1007"/>
      <c r="AF18" s="1008"/>
      <c r="AG18" s="66"/>
      <c r="BD18" s="65"/>
    </row>
    <row r="19" spans="1:68" ht="27.75" hidden="1" customHeight="1" x14ac:dyDescent="0.2">
      <c r="A19" s="802" t="s">
        <v>62</v>
      </c>
      <c r="B19" s="803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48"/>
      <c r="AB19" s="48"/>
      <c r="AC19" s="48"/>
    </row>
    <row r="20" spans="1:68" ht="16.5" hidden="1" customHeight="1" x14ac:dyDescent="0.25">
      <c r="A20" s="723" t="s">
        <v>62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hidden="1" customHeight="1" x14ac:dyDescent="0.25">
      <c r="A21" s="682" t="s">
        <v>63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1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76</v>
      </c>
      <c r="B25" s="54" t="s">
        <v>77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78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79</v>
      </c>
      <c r="Q26" s="686"/>
      <c r="R26" s="686"/>
      <c r="S26" s="686"/>
      <c r="T26" s="686"/>
      <c r="U26" s="686"/>
      <c r="V26" s="687"/>
      <c r="W26" s="37" t="s">
        <v>80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79</v>
      </c>
      <c r="Q27" s="686"/>
      <c r="R27" s="686"/>
      <c r="S27" s="686"/>
      <c r="T27" s="686"/>
      <c r="U27" s="686"/>
      <c r="V27" s="687"/>
      <c r="W27" s="37" t="s">
        <v>68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81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hidden="1" customHeight="1" x14ac:dyDescent="0.25">
      <c r="A29" s="54" t="s">
        <v>82</v>
      </c>
      <c r="B29" s="54" t="s">
        <v>83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66</v>
      </c>
      <c r="L29" s="32"/>
      <c r="M29" s="33" t="s">
        <v>84</v>
      </c>
      <c r="N29" s="33"/>
      <c r="O29" s="32">
        <v>120</v>
      </c>
      <c r="P29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68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86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79</v>
      </c>
      <c r="Q30" s="686"/>
      <c r="R30" s="686"/>
      <c r="S30" s="686"/>
      <c r="T30" s="686"/>
      <c r="U30" s="686"/>
      <c r="V30" s="687"/>
      <c r="W30" s="37" t="s">
        <v>80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79</v>
      </c>
      <c r="Q31" s="686"/>
      <c r="R31" s="686"/>
      <c r="S31" s="686"/>
      <c r="T31" s="686"/>
      <c r="U31" s="686"/>
      <c r="V31" s="687"/>
      <c r="W31" s="37" t="s">
        <v>68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02" t="s">
        <v>87</v>
      </c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48"/>
      <c r="AB32" s="48"/>
      <c r="AC32" s="48"/>
    </row>
    <row r="33" spans="1:68" ht="16.5" hidden="1" customHeight="1" x14ac:dyDescent="0.25">
      <c r="A33" s="723" t="s">
        <v>88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hidden="1" customHeight="1" x14ac:dyDescent="0.25">
      <c r="A34" s="682" t="s">
        <v>89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hidden="1" customHeight="1" x14ac:dyDescent="0.25">
      <c r="A35" s="54" t="s">
        <v>90</v>
      </c>
      <c r="B35" s="54" t="s">
        <v>91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92</v>
      </c>
      <c r="L35" s="32"/>
      <c r="M35" s="33" t="s">
        <v>93</v>
      </c>
      <c r="N35" s="33"/>
      <c r="O35" s="32">
        <v>50</v>
      </c>
      <c r="P35" s="9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68</v>
      </c>
      <c r="X35" s="665">
        <v>0</v>
      </c>
      <c r="Y35" s="666">
        <f>IFERROR(IF(X35="",0,CEILING((X35/$H35),1)*$H35),"")</f>
        <v>0</v>
      </c>
      <c r="Z35" s="36" t="str">
        <f>IFERROR(IF(Y35=0,"",ROUNDUP(Y35/H35,0)*0.01898),"")</f>
        <v/>
      </c>
      <c r="AA35" s="56"/>
      <c r="AB35" s="57"/>
      <c r="AC35" s="79" t="s">
        <v>94</v>
      </c>
      <c r="AG35" s="64"/>
      <c r="AJ35" s="68"/>
      <c r="AK35" s="68">
        <v>0</v>
      </c>
      <c r="BB35" s="80" t="s">
        <v>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t="27" hidden="1" customHeight="1" x14ac:dyDescent="0.25">
      <c r="A36" s="54" t="s">
        <v>95</v>
      </c>
      <c r="B36" s="54" t="s">
        <v>96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97</v>
      </c>
      <c r="L36" s="32"/>
      <c r="M36" s="33" t="s">
        <v>98</v>
      </c>
      <c r="N36" s="33"/>
      <c r="O36" s="32">
        <v>50</v>
      </c>
      <c r="P36" s="10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68</v>
      </c>
      <c r="X36" s="665">
        <v>0</v>
      </c>
      <c r="Y36" s="666">
        <f>IFERROR(IF(X36="",0,CEILING((X36/$H36),1)*$H36),"")</f>
        <v>0</v>
      </c>
      <c r="Z36" s="36" t="str">
        <f>IFERROR(IF(Y36=0,"",ROUNDUP(Y36/H36,0)*0.00902),"")</f>
        <v/>
      </c>
      <c r="AA36" s="56"/>
      <c r="AB36" s="57"/>
      <c r="AC36" s="81" t="s">
        <v>94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99</v>
      </c>
      <c r="B37" s="54" t="s">
        <v>100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97</v>
      </c>
      <c r="L37" s="32"/>
      <c r="M37" s="33" t="s">
        <v>98</v>
      </c>
      <c r="N37" s="33"/>
      <c r="O37" s="32">
        <v>50</v>
      </c>
      <c r="P37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68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94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101</v>
      </c>
      <c r="B38" s="54" t="s">
        <v>102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97</v>
      </c>
      <c r="L38" s="32"/>
      <c r="M38" s="33" t="s">
        <v>93</v>
      </c>
      <c r="N38" s="33"/>
      <c r="O38" s="32">
        <v>50</v>
      </c>
      <c r="P38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idden="1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79</v>
      </c>
      <c r="Q39" s="686"/>
      <c r="R39" s="686"/>
      <c r="S39" s="686"/>
      <c r="T39" s="686"/>
      <c r="U39" s="686"/>
      <c r="V39" s="687"/>
      <c r="W39" s="37" t="s">
        <v>80</v>
      </c>
      <c r="X39" s="667">
        <f>IFERROR(X35/H35,"0")+IFERROR(X36/H36,"0")+IFERROR(X37/H37,"0")+IFERROR(X38/H38,"0")</f>
        <v>0</v>
      </c>
      <c r="Y39" s="667">
        <f>IFERROR(Y35/H35,"0")+IFERROR(Y36/H36,"0")+IFERROR(Y37/H37,"0")+IFERROR(Y38/H38,"0")</f>
        <v>0</v>
      </c>
      <c r="Z39" s="667">
        <f>IFERROR(IF(Z35="",0,Z35),"0")+IFERROR(IF(Z36="",0,Z36),"0")+IFERROR(IF(Z37="",0,Z37),"0")+IFERROR(IF(Z38="",0,Z38),"0")</f>
        <v>0</v>
      </c>
      <c r="AA39" s="668"/>
      <c r="AB39" s="668"/>
      <c r="AC39" s="668"/>
    </row>
    <row r="40" spans="1:68" hidden="1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79</v>
      </c>
      <c r="Q40" s="686"/>
      <c r="R40" s="686"/>
      <c r="S40" s="686"/>
      <c r="T40" s="686"/>
      <c r="U40" s="686"/>
      <c r="V40" s="687"/>
      <c r="W40" s="37" t="s">
        <v>68</v>
      </c>
      <c r="X40" s="667">
        <f>IFERROR(SUM(X35:X38),"0")</f>
        <v>0</v>
      </c>
      <c r="Y40" s="667">
        <f>IFERROR(SUM(Y35:Y38),"0")</f>
        <v>0</v>
      </c>
      <c r="Z40" s="37"/>
      <c r="AA40" s="668"/>
      <c r="AB40" s="668"/>
      <c r="AC40" s="668"/>
    </row>
    <row r="41" spans="1:68" ht="14.25" hidden="1" customHeight="1" x14ac:dyDescent="0.25">
      <c r="A41" s="682" t="s">
        <v>63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hidden="1" customHeight="1" x14ac:dyDescent="0.25">
      <c r="A42" s="54" t="s">
        <v>104</v>
      </c>
      <c r="B42" s="54" t="s">
        <v>105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66</v>
      </c>
      <c r="L42" s="32"/>
      <c r="M42" s="33" t="s">
        <v>98</v>
      </c>
      <c r="N42" s="33"/>
      <c r="O42" s="32">
        <v>40</v>
      </c>
      <c r="P42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68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79</v>
      </c>
      <c r="Q43" s="686"/>
      <c r="R43" s="686"/>
      <c r="S43" s="686"/>
      <c r="T43" s="686"/>
      <c r="U43" s="686"/>
      <c r="V43" s="687"/>
      <c r="W43" s="37" t="s">
        <v>80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79</v>
      </c>
      <c r="Q44" s="686"/>
      <c r="R44" s="686"/>
      <c r="S44" s="686"/>
      <c r="T44" s="686"/>
      <c r="U44" s="686"/>
      <c r="V44" s="687"/>
      <c r="W44" s="37" t="s">
        <v>68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23" t="s">
        <v>107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hidden="1" customHeight="1" x14ac:dyDescent="0.25">
      <c r="A46" s="682" t="s">
        <v>89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hidden="1" customHeight="1" x14ac:dyDescent="0.25">
      <c r="A47" s="54" t="s">
        <v>108</v>
      </c>
      <c r="B47" s="54" t="s">
        <v>109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92</v>
      </c>
      <c r="L47" s="32"/>
      <c r="M47" s="33" t="s">
        <v>98</v>
      </c>
      <c r="N47" s="33"/>
      <c r="O47" s="32">
        <v>50</v>
      </c>
      <c r="P47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68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110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92</v>
      </c>
      <c r="L48" s="32"/>
      <c r="M48" s="33" t="s">
        <v>93</v>
      </c>
      <c r="N48" s="33"/>
      <c r="O48" s="32">
        <v>50</v>
      </c>
      <c r="P48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68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113</v>
      </c>
      <c r="AG48" s="64"/>
      <c r="AJ48" s="68"/>
      <c r="AK48" s="68">
        <v>0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hidden="1" customHeight="1" x14ac:dyDescent="0.25">
      <c r="A49" s="54" t="s">
        <v>114</v>
      </c>
      <c r="B49" s="54" t="s">
        <v>115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97</v>
      </c>
      <c r="L49" s="32"/>
      <c r="M49" s="33" t="s">
        <v>93</v>
      </c>
      <c r="N49" s="33"/>
      <c r="O49" s="32">
        <v>45</v>
      </c>
      <c r="P49" s="101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116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117</v>
      </c>
      <c r="B50" s="54" t="s">
        <v>118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97</v>
      </c>
      <c r="L50" s="32"/>
      <c r="M50" s="33" t="s">
        <v>93</v>
      </c>
      <c r="N50" s="33"/>
      <c r="O50" s="32">
        <v>90</v>
      </c>
      <c r="P50" s="78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119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120</v>
      </c>
      <c r="B51" s="54" t="s">
        <v>121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97</v>
      </c>
      <c r="L51" s="32"/>
      <c r="M51" s="33" t="s">
        <v>93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113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66</v>
      </c>
      <c r="L52" s="32"/>
      <c r="M52" s="33" t="s">
        <v>124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68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97</v>
      </c>
      <c r="L53" s="32"/>
      <c r="M53" s="33" t="s">
        <v>93</v>
      </c>
      <c r="N53" s="33"/>
      <c r="O53" s="32">
        <v>50</v>
      </c>
      <c r="P53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113</v>
      </c>
      <c r="AG53" s="64"/>
      <c r="AJ53" s="68"/>
      <c r="AK53" s="68">
        <v>0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idden="1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79</v>
      </c>
      <c r="Q54" s="686"/>
      <c r="R54" s="686"/>
      <c r="S54" s="686"/>
      <c r="T54" s="686"/>
      <c r="U54" s="686"/>
      <c r="V54" s="687"/>
      <c r="W54" s="37" t="s">
        <v>80</v>
      </c>
      <c r="X54" s="667">
        <f>IFERROR(X47/H47,"0")+IFERROR(X48/H48,"0")+IFERROR(X49/H49,"0")+IFERROR(X50/H50,"0")+IFERROR(X51/H51,"0")+IFERROR(X52/H52,"0")+IFERROR(X53/H53,"0")</f>
        <v>0</v>
      </c>
      <c r="Y54" s="667">
        <f>IFERROR(Y47/H47,"0")+IFERROR(Y48/H48,"0")+IFERROR(Y49/H49,"0")+IFERROR(Y50/H50,"0")+IFERROR(Y51/H51,"0")+IFERROR(Y52/H52,"0")+IFERROR(Y53/H53,"0")</f>
        <v>0</v>
      </c>
      <c r="Z54" s="667">
        <f>IFERROR(IF(Z47="",0,Z47),"0")+IFERROR(IF(Z48="",0,Z48),"0")+IFERROR(IF(Z49="",0,Z49),"0")+IFERROR(IF(Z50="",0,Z50),"0")+IFERROR(IF(Z51="",0,Z51),"0")+IFERROR(IF(Z52="",0,Z52),"0")+IFERROR(IF(Z53="",0,Z53),"0")</f>
        <v>0</v>
      </c>
      <c r="AA54" s="668"/>
      <c r="AB54" s="668"/>
      <c r="AC54" s="668"/>
    </row>
    <row r="55" spans="1:68" hidden="1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79</v>
      </c>
      <c r="Q55" s="686"/>
      <c r="R55" s="686"/>
      <c r="S55" s="686"/>
      <c r="T55" s="686"/>
      <c r="U55" s="686"/>
      <c r="V55" s="687"/>
      <c r="W55" s="37" t="s">
        <v>68</v>
      </c>
      <c r="X55" s="667">
        <f>IFERROR(SUM(X47:X53),"0")</f>
        <v>0</v>
      </c>
      <c r="Y55" s="667">
        <f>IFERROR(SUM(Y47:Y53),"0")</f>
        <v>0</v>
      </c>
      <c r="Z55" s="37"/>
      <c r="AA55" s="668"/>
      <c r="AB55" s="668"/>
      <c r="AC55" s="668"/>
    </row>
    <row r="56" spans="1:68" ht="14.25" hidden="1" customHeight="1" x14ac:dyDescent="0.25">
      <c r="A56" s="682" t="s">
        <v>128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hidden="1" customHeight="1" x14ac:dyDescent="0.25">
      <c r="A57" s="54" t="s">
        <v>129</v>
      </c>
      <c r="B57" s="54" t="s">
        <v>130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92</v>
      </c>
      <c r="L57" s="32"/>
      <c r="M57" s="33" t="s">
        <v>93</v>
      </c>
      <c r="N57" s="33"/>
      <c r="O57" s="32">
        <v>50</v>
      </c>
      <c r="P57" s="9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68</v>
      </c>
      <c r="X57" s="665">
        <v>0</v>
      </c>
      <c r="Y57" s="666">
        <f>IFERROR(IF(X57="",0,CEILING((X57/$H57),1)*$H57),"")</f>
        <v>0</v>
      </c>
      <c r="Z57" s="36" t="str">
        <f>IFERROR(IF(Y57=0,"",ROUNDUP(Y57/H57,0)*0.01898),"")</f>
        <v/>
      </c>
      <c r="AA57" s="56"/>
      <c r="AB57" s="57"/>
      <c r="AC57" s="103" t="s">
        <v>131</v>
      </c>
      <c r="AG57" s="64"/>
      <c r="AJ57" s="68"/>
      <c r="AK57" s="68">
        <v>0</v>
      </c>
      <c r="BB57" s="104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hidden="1" customHeight="1" x14ac:dyDescent="0.25">
      <c r="A58" s="54" t="s">
        <v>132</v>
      </c>
      <c r="B58" s="54" t="s">
        <v>133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97</v>
      </c>
      <c r="L58" s="32"/>
      <c r="M58" s="33" t="s">
        <v>93</v>
      </c>
      <c r="N58" s="33"/>
      <c r="O58" s="32">
        <v>90</v>
      </c>
      <c r="P58" s="100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134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135</v>
      </c>
      <c r="B59" s="54" t="s">
        <v>136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66</v>
      </c>
      <c r="L59" s="32"/>
      <c r="M59" s="33" t="s">
        <v>98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131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hidden="1" customHeight="1" x14ac:dyDescent="0.25">
      <c r="A60" s="54" t="s">
        <v>137</v>
      </c>
      <c r="B60" s="54" t="s">
        <v>138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66</v>
      </c>
      <c r="L60" s="32"/>
      <c r="M60" s="33" t="s">
        <v>93</v>
      </c>
      <c r="N60" s="33"/>
      <c r="O60" s="32">
        <v>50</v>
      </c>
      <c r="P60" s="10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idden="1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79</v>
      </c>
      <c r="Q61" s="686"/>
      <c r="R61" s="686"/>
      <c r="S61" s="686"/>
      <c r="T61" s="686"/>
      <c r="U61" s="686"/>
      <c r="V61" s="687"/>
      <c r="W61" s="37" t="s">
        <v>80</v>
      </c>
      <c r="X61" s="667">
        <f>IFERROR(X57/H57,"0")+IFERROR(X58/H58,"0")+IFERROR(X59/H59,"0")+IFERROR(X60/H60,"0")</f>
        <v>0</v>
      </c>
      <c r="Y61" s="667">
        <f>IFERROR(Y57/H57,"0")+IFERROR(Y58/H58,"0")+IFERROR(Y59/H59,"0")+IFERROR(Y60/H60,"0")</f>
        <v>0</v>
      </c>
      <c r="Z61" s="667">
        <f>IFERROR(IF(Z57="",0,Z57),"0")+IFERROR(IF(Z58="",0,Z58),"0")+IFERROR(IF(Z59="",0,Z59),"0")+IFERROR(IF(Z60="",0,Z60),"0")</f>
        <v>0</v>
      </c>
      <c r="AA61" s="668"/>
      <c r="AB61" s="668"/>
      <c r="AC61" s="668"/>
    </row>
    <row r="62" spans="1:68" hidden="1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79</v>
      </c>
      <c r="Q62" s="686"/>
      <c r="R62" s="686"/>
      <c r="S62" s="686"/>
      <c r="T62" s="686"/>
      <c r="U62" s="686"/>
      <c r="V62" s="687"/>
      <c r="W62" s="37" t="s">
        <v>68</v>
      </c>
      <c r="X62" s="667">
        <f>IFERROR(SUM(X57:X60),"0")</f>
        <v>0</v>
      </c>
      <c r="Y62" s="667">
        <f>IFERROR(SUM(Y57:Y60),"0")</f>
        <v>0</v>
      </c>
      <c r="Z62" s="37"/>
      <c r="AA62" s="668"/>
      <c r="AB62" s="668"/>
      <c r="AC62" s="668"/>
    </row>
    <row r="63" spans="1:68" ht="14.25" hidden="1" customHeight="1" x14ac:dyDescent="0.25">
      <c r="A63" s="682" t="s">
        <v>139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hidden="1" customHeight="1" x14ac:dyDescent="0.25">
      <c r="A64" s="54" t="s">
        <v>140</v>
      </c>
      <c r="B64" s="54" t="s">
        <v>141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142</v>
      </c>
      <c r="L64" s="32"/>
      <c r="M64" s="33" t="s">
        <v>67</v>
      </c>
      <c r="N64" s="33"/>
      <c r="O64" s="32">
        <v>40</v>
      </c>
      <c r="P64" s="9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68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143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144</v>
      </c>
      <c r="B65" s="54" t="s">
        <v>145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142</v>
      </c>
      <c r="L65" s="32"/>
      <c r="M65" s="33" t="s">
        <v>67</v>
      </c>
      <c r="N65" s="33"/>
      <c r="O65" s="32">
        <v>40</v>
      </c>
      <c r="P65" s="10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146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147</v>
      </c>
      <c r="B66" s="54" t="s">
        <v>148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142</v>
      </c>
      <c r="L66" s="32"/>
      <c r="M66" s="33" t="s">
        <v>67</v>
      </c>
      <c r="N66" s="33"/>
      <c r="O66" s="32">
        <v>40</v>
      </c>
      <c r="P66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149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79</v>
      </c>
      <c r="Q67" s="686"/>
      <c r="R67" s="686"/>
      <c r="S67" s="686"/>
      <c r="T67" s="686"/>
      <c r="U67" s="686"/>
      <c r="V67" s="687"/>
      <c r="W67" s="37" t="s">
        <v>80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79</v>
      </c>
      <c r="Q68" s="686"/>
      <c r="R68" s="686"/>
      <c r="S68" s="686"/>
      <c r="T68" s="686"/>
      <c r="U68" s="686"/>
      <c r="V68" s="687"/>
      <c r="W68" s="37" t="s">
        <v>68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63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hidden="1" customHeight="1" x14ac:dyDescent="0.25">
      <c r="A70" s="54" t="s">
        <v>150</v>
      </c>
      <c r="B70" s="54" t="s">
        <v>151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92</v>
      </c>
      <c r="L70" s="32"/>
      <c r="M70" s="33" t="s">
        <v>98</v>
      </c>
      <c r="N70" s="33"/>
      <c r="O70" s="32">
        <v>40</v>
      </c>
      <c r="P70" s="102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68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152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153</v>
      </c>
      <c r="B71" s="54" t="s">
        <v>154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92</v>
      </c>
      <c r="L71" s="32"/>
      <c r="M71" s="33" t="s">
        <v>98</v>
      </c>
      <c r="N71" s="33"/>
      <c r="O71" s="32">
        <v>45</v>
      </c>
      <c r="P71" s="10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155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hidden="1" customHeight="1" x14ac:dyDescent="0.25">
      <c r="A72" s="54" t="s">
        <v>156</v>
      </c>
      <c r="B72" s="54" t="s">
        <v>157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92</v>
      </c>
      <c r="L72" s="32"/>
      <c r="M72" s="33" t="s">
        <v>67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158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hidden="1" customHeight="1" x14ac:dyDescent="0.25">
      <c r="A73" s="54" t="s">
        <v>159</v>
      </c>
      <c r="B73" s="54" t="s">
        <v>160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66</v>
      </c>
      <c r="L73" s="32"/>
      <c r="M73" s="33" t="s">
        <v>98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152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66</v>
      </c>
      <c r="L74" s="32"/>
      <c r="M74" s="33" t="s">
        <v>98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155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163</v>
      </c>
      <c r="B75" s="54" t="s">
        <v>164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66</v>
      </c>
      <c r="L75" s="32"/>
      <c r="M75" s="33" t="s">
        <v>67</v>
      </c>
      <c r="N75" s="33"/>
      <c r="O75" s="32">
        <v>40</v>
      </c>
      <c r="P75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158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hidden="1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79</v>
      </c>
      <c r="Q76" s="686"/>
      <c r="R76" s="686"/>
      <c r="S76" s="686"/>
      <c r="T76" s="686"/>
      <c r="U76" s="686"/>
      <c r="V76" s="687"/>
      <c r="W76" s="37" t="s">
        <v>80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hidden="1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79</v>
      </c>
      <c r="Q77" s="686"/>
      <c r="R77" s="686"/>
      <c r="S77" s="686"/>
      <c r="T77" s="686"/>
      <c r="U77" s="686"/>
      <c r="V77" s="687"/>
      <c r="W77" s="37" t="s">
        <v>68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hidden="1" customHeight="1" x14ac:dyDescent="0.25">
      <c r="A78" s="682" t="s">
        <v>165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hidden="1" customHeight="1" x14ac:dyDescent="0.25">
      <c r="A79" s="54" t="s">
        <v>166</v>
      </c>
      <c r="B79" s="54" t="s">
        <v>167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92</v>
      </c>
      <c r="L79" s="32"/>
      <c r="M79" s="33" t="s">
        <v>67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68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168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166</v>
      </c>
      <c r="B80" s="54" t="s">
        <v>169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92</v>
      </c>
      <c r="L80" s="32"/>
      <c r="M80" s="33" t="s">
        <v>67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168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97</v>
      </c>
      <c r="L81" s="32"/>
      <c r="M81" s="33" t="s">
        <v>98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172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79</v>
      </c>
      <c r="Q82" s="686"/>
      <c r="R82" s="686"/>
      <c r="S82" s="686"/>
      <c r="T82" s="686"/>
      <c r="U82" s="686"/>
      <c r="V82" s="687"/>
      <c r="W82" s="37" t="s">
        <v>80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79</v>
      </c>
      <c r="Q83" s="686"/>
      <c r="R83" s="686"/>
      <c r="S83" s="686"/>
      <c r="T83" s="686"/>
      <c r="U83" s="686"/>
      <c r="V83" s="687"/>
      <c r="W83" s="37" t="s">
        <v>68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723" t="s">
        <v>173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hidden="1" customHeight="1" x14ac:dyDescent="0.25">
      <c r="A85" s="682" t="s">
        <v>89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92</v>
      </c>
      <c r="L86" s="32"/>
      <c r="M86" s="33" t="s">
        <v>124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68</v>
      </c>
      <c r="X86" s="665">
        <v>0</v>
      </c>
      <c r="Y86" s="66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176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hidden="1" customHeight="1" x14ac:dyDescent="0.25">
      <c r="A87" s="54" t="s">
        <v>177</v>
      </c>
      <c r="B87" s="54" t="s">
        <v>178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97</v>
      </c>
      <c r="L87" s="32"/>
      <c r="M87" s="33" t="s">
        <v>98</v>
      </c>
      <c r="N87" s="33"/>
      <c r="O87" s="32">
        <v>50</v>
      </c>
      <c r="P87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97</v>
      </c>
      <c r="L88" s="32"/>
      <c r="M88" s="33" t="s">
        <v>124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79</v>
      </c>
      <c r="Q89" s="686"/>
      <c r="R89" s="686"/>
      <c r="S89" s="686"/>
      <c r="T89" s="686"/>
      <c r="U89" s="686"/>
      <c r="V89" s="687"/>
      <c r="W89" s="37" t="s">
        <v>80</v>
      </c>
      <c r="X89" s="667">
        <f>IFERROR(X86/H86,"0")+IFERROR(X87/H87,"0")+IFERROR(X88/H88,"0")</f>
        <v>0</v>
      </c>
      <c r="Y89" s="667">
        <f>IFERROR(Y86/H86,"0")+IFERROR(Y87/H87,"0")+IFERROR(Y88/H88,"0")</f>
        <v>0</v>
      </c>
      <c r="Z89" s="667">
        <f>IFERROR(IF(Z86="",0,Z86),"0")+IFERROR(IF(Z87="",0,Z87),"0")+IFERROR(IF(Z88="",0,Z88),"0")</f>
        <v>0</v>
      </c>
      <c r="AA89" s="668"/>
      <c r="AB89" s="668"/>
      <c r="AC89" s="668"/>
    </row>
    <row r="90" spans="1:68" hidden="1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79</v>
      </c>
      <c r="Q90" s="686"/>
      <c r="R90" s="686"/>
      <c r="S90" s="686"/>
      <c r="T90" s="686"/>
      <c r="U90" s="686"/>
      <c r="V90" s="687"/>
      <c r="W90" s="37" t="s">
        <v>68</v>
      </c>
      <c r="X90" s="667">
        <f>IFERROR(SUM(X86:X88),"0")</f>
        <v>0</v>
      </c>
      <c r="Y90" s="667">
        <f>IFERROR(SUM(Y86:Y88),"0")</f>
        <v>0</v>
      </c>
      <c r="Z90" s="37"/>
      <c r="AA90" s="668"/>
      <c r="AB90" s="668"/>
      <c r="AC90" s="668"/>
    </row>
    <row r="91" spans="1:68" ht="14.25" hidden="1" customHeight="1" x14ac:dyDescent="0.25">
      <c r="A91" s="682" t="s">
        <v>63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16.5" hidden="1" customHeight="1" x14ac:dyDescent="0.25">
      <c r="A92" s="54" t="s">
        <v>182</v>
      </c>
      <c r="B92" s="54" t="s">
        <v>183</v>
      </c>
      <c r="C92" s="31">
        <v>4301051712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92</v>
      </c>
      <c r="L92" s="32"/>
      <c r="M92" s="33" t="s">
        <v>124</v>
      </c>
      <c r="N92" s="33"/>
      <c r="O92" s="32">
        <v>45</v>
      </c>
      <c r="P92" s="734" t="s">
        <v>184</v>
      </c>
      <c r="Q92" s="672"/>
      <c r="R92" s="672"/>
      <c r="S92" s="672"/>
      <c r="T92" s="673"/>
      <c r="U92" s="34"/>
      <c r="V92" s="34"/>
      <c r="W92" s="35" t="s">
        <v>68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185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hidden="1" customHeight="1" x14ac:dyDescent="0.25">
      <c r="A93" s="54" t="s">
        <v>182</v>
      </c>
      <c r="B93" s="54" t="s">
        <v>186</v>
      </c>
      <c r="C93" s="31">
        <v>4301051437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92</v>
      </c>
      <c r="L93" s="32"/>
      <c r="M93" s="33" t="s">
        <v>98</v>
      </c>
      <c r="N93" s="33"/>
      <c r="O93" s="32">
        <v>45</v>
      </c>
      <c r="P93" s="917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27" hidden="1" customHeight="1" x14ac:dyDescent="0.25">
      <c r="A94" s="54" t="s">
        <v>182</v>
      </c>
      <c r="B94" s="54" t="s">
        <v>188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92</v>
      </c>
      <c r="L94" s="32"/>
      <c r="M94" s="33" t="s">
        <v>98</v>
      </c>
      <c r="N94" s="33"/>
      <c r="O94" s="32">
        <v>45</v>
      </c>
      <c r="P94" s="74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187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66</v>
      </c>
      <c r="L95" s="32"/>
      <c r="M95" s="33" t="s">
        <v>98</v>
      </c>
      <c r="N95" s="33"/>
      <c r="O95" s="32">
        <v>45</v>
      </c>
      <c r="P95" s="753" t="s">
        <v>191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193</v>
      </c>
      <c r="B96" s="54" t="s">
        <v>194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66</v>
      </c>
      <c r="L96" s="32"/>
      <c r="M96" s="33" t="s">
        <v>124</v>
      </c>
      <c r="N96" s="33"/>
      <c r="O96" s="32">
        <v>45</v>
      </c>
      <c r="P96" s="902" t="s">
        <v>195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185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hidden="1" customHeight="1" x14ac:dyDescent="0.25">
      <c r="A97" s="54" t="s">
        <v>193</v>
      </c>
      <c r="B97" s="54" t="s">
        <v>196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98</v>
      </c>
      <c r="N97" s="33"/>
      <c r="O97" s="32">
        <v>45</v>
      </c>
      <c r="P97" s="714" t="s">
        <v>197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hidden="1" customHeight="1" x14ac:dyDescent="0.25">
      <c r="A98" s="54" t="s">
        <v>198</v>
      </c>
      <c r="B98" s="54" t="s">
        <v>199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66</v>
      </c>
      <c r="L98" s="32"/>
      <c r="M98" s="33" t="s">
        <v>98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200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201</v>
      </c>
      <c r="B99" s="54" t="s">
        <v>202</v>
      </c>
      <c r="C99" s="31">
        <v>4301051687</v>
      </c>
      <c r="D99" s="669">
        <v>4680115880214</v>
      </c>
      <c r="E99" s="670"/>
      <c r="F99" s="664">
        <v>0.45</v>
      </c>
      <c r="G99" s="32">
        <v>4</v>
      </c>
      <c r="H99" s="664">
        <v>1.8</v>
      </c>
      <c r="I99" s="664">
        <v>2.032</v>
      </c>
      <c r="J99" s="32">
        <v>182</v>
      </c>
      <c r="K99" s="32" t="s">
        <v>66</v>
      </c>
      <c r="L99" s="32"/>
      <c r="M99" s="33" t="s">
        <v>98</v>
      </c>
      <c r="N99" s="33"/>
      <c r="O99" s="32">
        <v>45</v>
      </c>
      <c r="P99" s="71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0"/>
        <v>0</v>
      </c>
      <c r="Z99" s="36" t="str">
        <f>IFERROR(IF(Y99=0,"",ROUNDUP(Y99/H99,0)*0.00651),"")</f>
        <v/>
      </c>
      <c r="AA99" s="56"/>
      <c r="AB99" s="57"/>
      <c r="AC99" s="155" t="s">
        <v>200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201</v>
      </c>
      <c r="B100" s="54" t="s">
        <v>203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97</v>
      </c>
      <c r="L100" s="32"/>
      <c r="M100" s="33" t="s">
        <v>98</v>
      </c>
      <c r="N100" s="33"/>
      <c r="O100" s="32">
        <v>45</v>
      </c>
      <c r="P100" s="74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0"/>
        <v>0</v>
      </c>
      <c r="Z100" s="36" t="str">
        <f>IFERROR(IF(Y100=0,"",ROUNDUP(Y100/H100,0)*0.00902),"")</f>
        <v/>
      </c>
      <c r="AA100" s="56"/>
      <c r="AB100" s="57"/>
      <c r="AC100" s="157" t="s">
        <v>200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hidden="1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79</v>
      </c>
      <c r="Q101" s="686"/>
      <c r="R101" s="686"/>
      <c r="S101" s="686"/>
      <c r="T101" s="686"/>
      <c r="U101" s="686"/>
      <c r="V101" s="687"/>
      <c r="W101" s="37" t="s">
        <v>80</v>
      </c>
      <c r="X101" s="667">
        <f>IFERROR(X92/H92,"0")+IFERROR(X93/H93,"0")+IFERROR(X94/H94,"0")+IFERROR(X95/H95,"0")+IFERROR(X96/H96,"0")+IFERROR(X97/H97,"0")+IFERROR(X98/H98,"0")+IFERROR(X99/H99,"0")+IFERROR(X100/H100,"0")</f>
        <v>0</v>
      </c>
      <c r="Y101" s="667">
        <f>IFERROR(Y92/H92,"0")+IFERROR(Y93/H93,"0")+IFERROR(Y94/H94,"0")+IFERROR(Y95/H95,"0")+IFERROR(Y96/H96,"0")+IFERROR(Y97/H97,"0")+IFERROR(Y98/H98,"0")+IFERROR(Y99/H99,"0")+IFERROR(Y100/H100,"0")</f>
        <v>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68"/>
      <c r="AB101" s="668"/>
      <c r="AC101" s="668"/>
    </row>
    <row r="102" spans="1:68" hidden="1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79</v>
      </c>
      <c r="Q102" s="686"/>
      <c r="R102" s="686"/>
      <c r="S102" s="686"/>
      <c r="T102" s="686"/>
      <c r="U102" s="686"/>
      <c r="V102" s="687"/>
      <c r="W102" s="37" t="s">
        <v>68</v>
      </c>
      <c r="X102" s="667">
        <f>IFERROR(SUM(X92:X100),"0")</f>
        <v>0</v>
      </c>
      <c r="Y102" s="667">
        <f>IFERROR(SUM(Y92:Y100),"0")</f>
        <v>0</v>
      </c>
      <c r="Z102" s="37"/>
      <c r="AA102" s="668"/>
      <c r="AB102" s="668"/>
      <c r="AC102" s="668"/>
    </row>
    <row r="103" spans="1:68" ht="16.5" hidden="1" customHeight="1" x14ac:dyDescent="0.25">
      <c r="A103" s="723" t="s">
        <v>204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hidden="1" customHeight="1" x14ac:dyDescent="0.25">
      <c r="A104" s="682" t="s">
        <v>89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hidden="1" customHeight="1" x14ac:dyDescent="0.25">
      <c r="A105" s="54" t="s">
        <v>205</v>
      </c>
      <c r="B105" s="54" t="s">
        <v>206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92</v>
      </c>
      <c r="L105" s="32"/>
      <c r="M105" s="33" t="s">
        <v>93</v>
      </c>
      <c r="N105" s="33"/>
      <c r="O105" s="32">
        <v>50</v>
      </c>
      <c r="P105" s="10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68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207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hidden="1" customHeight="1" x14ac:dyDescent="0.25">
      <c r="A106" s="54" t="s">
        <v>208</v>
      </c>
      <c r="B106" s="54" t="s">
        <v>209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97</v>
      </c>
      <c r="L106" s="32"/>
      <c r="M106" s="33" t="s">
        <v>98</v>
      </c>
      <c r="N106" s="33"/>
      <c r="O106" s="32">
        <v>50</v>
      </c>
      <c r="P106" s="95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207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210</v>
      </c>
      <c r="B107" s="54" t="s">
        <v>211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97</v>
      </c>
      <c r="L107" s="32"/>
      <c r="M107" s="33" t="s">
        <v>98</v>
      </c>
      <c r="N107" s="33"/>
      <c r="O107" s="32">
        <v>50</v>
      </c>
      <c r="P107" s="10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207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212</v>
      </c>
      <c r="B108" s="54" t="s">
        <v>213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97</v>
      </c>
      <c r="L108" s="32"/>
      <c r="M108" s="33" t="s">
        <v>98</v>
      </c>
      <c r="N108" s="33"/>
      <c r="O108" s="32">
        <v>50</v>
      </c>
      <c r="P108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207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79</v>
      </c>
      <c r="Q109" s="686"/>
      <c r="R109" s="686"/>
      <c r="S109" s="686"/>
      <c r="T109" s="686"/>
      <c r="U109" s="686"/>
      <c r="V109" s="687"/>
      <c r="W109" s="37" t="s">
        <v>80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hidden="1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79</v>
      </c>
      <c r="Q110" s="686"/>
      <c r="R110" s="686"/>
      <c r="S110" s="686"/>
      <c r="T110" s="686"/>
      <c r="U110" s="686"/>
      <c r="V110" s="687"/>
      <c r="W110" s="37" t="s">
        <v>68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hidden="1" customHeight="1" x14ac:dyDescent="0.25">
      <c r="A111" s="682" t="s">
        <v>128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hidden="1" customHeight="1" x14ac:dyDescent="0.25">
      <c r="A112" s="54" t="s">
        <v>214</v>
      </c>
      <c r="B112" s="54" t="s">
        <v>215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92</v>
      </c>
      <c r="L112" s="32"/>
      <c r="M112" s="33" t="s">
        <v>93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68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216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217</v>
      </c>
      <c r="B113" s="54" t="s">
        <v>218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142</v>
      </c>
      <c r="L113" s="32"/>
      <c r="M113" s="33" t="s">
        <v>93</v>
      </c>
      <c r="N113" s="33"/>
      <c r="O113" s="32">
        <v>55</v>
      </c>
      <c r="P113" s="7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216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219</v>
      </c>
      <c r="B114" s="54" t="s">
        <v>220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66</v>
      </c>
      <c r="L114" s="32"/>
      <c r="M114" s="33" t="s">
        <v>93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216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79</v>
      </c>
      <c r="Q115" s="686"/>
      <c r="R115" s="686"/>
      <c r="S115" s="686"/>
      <c r="T115" s="686"/>
      <c r="U115" s="686"/>
      <c r="V115" s="687"/>
      <c r="W115" s="37" t="s">
        <v>80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79</v>
      </c>
      <c r="Q116" s="686"/>
      <c r="R116" s="686"/>
      <c r="S116" s="686"/>
      <c r="T116" s="686"/>
      <c r="U116" s="686"/>
      <c r="V116" s="687"/>
      <c r="W116" s="37" t="s">
        <v>68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63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16.5" hidden="1" customHeight="1" x14ac:dyDescent="0.25">
      <c r="A118" s="54" t="s">
        <v>221</v>
      </c>
      <c r="B118" s="54" t="s">
        <v>222</v>
      </c>
      <c r="C118" s="31">
        <v>4301051724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92</v>
      </c>
      <c r="L118" s="32"/>
      <c r="M118" s="33" t="s">
        <v>124</v>
      </c>
      <c r="N118" s="33"/>
      <c r="O118" s="32">
        <v>45</v>
      </c>
      <c r="P118" s="809" t="s">
        <v>223</v>
      </c>
      <c r="Q118" s="672"/>
      <c r="R118" s="672"/>
      <c r="S118" s="672"/>
      <c r="T118" s="673"/>
      <c r="U118" s="34"/>
      <c r="V118" s="34"/>
      <c r="W118" s="35" t="s">
        <v>68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224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27" hidden="1" customHeight="1" x14ac:dyDescent="0.25">
      <c r="A119" s="54" t="s">
        <v>221</v>
      </c>
      <c r="B119" s="54" t="s">
        <v>225</v>
      </c>
      <c r="C119" s="31">
        <v>4301051625</v>
      </c>
      <c r="D119" s="669">
        <v>4607091385168</v>
      </c>
      <c r="E119" s="670"/>
      <c r="F119" s="664">
        <v>1.4</v>
      </c>
      <c r="G119" s="32">
        <v>6</v>
      </c>
      <c r="H119" s="664">
        <v>8.4</v>
      </c>
      <c r="I119" s="664">
        <v>8.9130000000000003</v>
      </c>
      <c r="J119" s="32">
        <v>64</v>
      </c>
      <c r="K119" s="32" t="s">
        <v>92</v>
      </c>
      <c r="L119" s="32"/>
      <c r="M119" s="33" t="s">
        <v>98</v>
      </c>
      <c r="N119" s="33"/>
      <c r="O119" s="32">
        <v>45</v>
      </c>
      <c r="P119" s="82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226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37.5" hidden="1" customHeight="1" x14ac:dyDescent="0.25">
      <c r="A120" s="54" t="s">
        <v>221</v>
      </c>
      <c r="B120" s="54" t="s">
        <v>227</v>
      </c>
      <c r="C120" s="31">
        <v>4301051360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92</v>
      </c>
      <c r="L120" s="32"/>
      <c r="M120" s="33" t="s">
        <v>98</v>
      </c>
      <c r="N120" s="33"/>
      <c r="O120" s="32">
        <v>45</v>
      </c>
      <c r="P120" s="76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228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4301051730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66</v>
      </c>
      <c r="L121" s="32"/>
      <c r="M121" s="33" t="s">
        <v>124</v>
      </c>
      <c r="N121" s="33"/>
      <c r="O121" s="32">
        <v>45</v>
      </c>
      <c r="P121" s="989" t="s">
        <v>231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224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37.5" hidden="1" customHeight="1" x14ac:dyDescent="0.25">
      <c r="A122" s="54" t="s">
        <v>229</v>
      </c>
      <c r="B122" s="54" t="s">
        <v>232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98</v>
      </c>
      <c r="N122" s="33"/>
      <c r="O122" s="32">
        <v>45</v>
      </c>
      <c r="P122" s="79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228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27" hidden="1" customHeight="1" x14ac:dyDescent="0.25">
      <c r="A123" s="54" t="s">
        <v>233</v>
      </c>
      <c r="B123" s="54" t="s">
        <v>234</v>
      </c>
      <c r="C123" s="31">
        <v>4301051721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66</v>
      </c>
      <c r="L123" s="32"/>
      <c r="M123" s="33" t="s">
        <v>124</v>
      </c>
      <c r="N123" s="33"/>
      <c r="O123" s="32">
        <v>45</v>
      </c>
      <c r="P123" s="973" t="s">
        <v>235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224</v>
      </c>
      <c r="AG123" s="64"/>
      <c r="AJ123" s="68"/>
      <c r="AK123" s="68">
        <v>0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37.5" hidden="1" customHeight="1" x14ac:dyDescent="0.25">
      <c r="A124" s="54" t="s">
        <v>233</v>
      </c>
      <c r="B124" s="54" t="s">
        <v>236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98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228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237</v>
      </c>
      <c r="B125" s="54" t="s">
        <v>238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66</v>
      </c>
      <c r="L125" s="32"/>
      <c r="M125" s="33" t="s">
        <v>98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239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240</v>
      </c>
      <c r="B126" s="54" t="s">
        <v>241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66</v>
      </c>
      <c r="L126" s="32"/>
      <c r="M126" s="33" t="s">
        <v>67</v>
      </c>
      <c r="N126" s="33"/>
      <c r="O126" s="32">
        <v>40</v>
      </c>
      <c r="P126" s="10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242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idden="1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79</v>
      </c>
      <c r="Q127" s="686"/>
      <c r="R127" s="686"/>
      <c r="S127" s="686"/>
      <c r="T127" s="686"/>
      <c r="U127" s="686"/>
      <c r="V127" s="687"/>
      <c r="W127" s="37" t="s">
        <v>80</v>
      </c>
      <c r="X127" s="667">
        <f>IFERROR(X118/H118,"0")+IFERROR(X119/H119,"0")+IFERROR(X120/H120,"0")+IFERROR(X121/H121,"0")+IFERROR(X122/H122,"0")+IFERROR(X123/H123,"0")+IFERROR(X124/H124,"0")+IFERROR(X125/H125,"0")+IFERROR(X126/H126,"0")</f>
        <v>0</v>
      </c>
      <c r="Y127" s="667">
        <f>IFERROR(Y118/H118,"0")+IFERROR(Y119/H119,"0")+IFERROR(Y120/H120,"0")+IFERROR(Y121/H121,"0")+IFERROR(Y122/H122,"0")+IFERROR(Y123/H123,"0")+IFERROR(Y124/H124,"0")+IFERROR(Y125/H125,"0")+IFERROR(Y126/H126,"0")</f>
        <v>0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</v>
      </c>
      <c r="AA127" s="668"/>
      <c r="AB127" s="668"/>
      <c r="AC127" s="668"/>
    </row>
    <row r="128" spans="1:68" hidden="1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79</v>
      </c>
      <c r="Q128" s="686"/>
      <c r="R128" s="686"/>
      <c r="S128" s="686"/>
      <c r="T128" s="686"/>
      <c r="U128" s="686"/>
      <c r="V128" s="687"/>
      <c r="W128" s="37" t="s">
        <v>68</v>
      </c>
      <c r="X128" s="667">
        <f>IFERROR(SUM(X118:X126),"0")</f>
        <v>0</v>
      </c>
      <c r="Y128" s="667">
        <f>IFERROR(SUM(Y118:Y126),"0")</f>
        <v>0</v>
      </c>
      <c r="Z128" s="37"/>
      <c r="AA128" s="668"/>
      <c r="AB128" s="668"/>
      <c r="AC128" s="668"/>
    </row>
    <row r="129" spans="1:68" ht="14.25" hidden="1" customHeight="1" x14ac:dyDescent="0.25">
      <c r="A129" s="682" t="s">
        <v>165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hidden="1" customHeight="1" x14ac:dyDescent="0.25">
      <c r="A130" s="54" t="s">
        <v>243</v>
      </c>
      <c r="B130" s="54" t="s">
        <v>244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66</v>
      </c>
      <c r="L130" s="32"/>
      <c r="M130" s="33" t="s">
        <v>67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68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245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246</v>
      </c>
      <c r="B131" s="54" t="s">
        <v>247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66</v>
      </c>
      <c r="L131" s="32"/>
      <c r="M131" s="33" t="s">
        <v>98</v>
      </c>
      <c r="N131" s="33"/>
      <c r="O131" s="32">
        <v>40</v>
      </c>
      <c r="P131" s="7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248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79</v>
      </c>
      <c r="Q132" s="686"/>
      <c r="R132" s="686"/>
      <c r="S132" s="686"/>
      <c r="T132" s="686"/>
      <c r="U132" s="686"/>
      <c r="V132" s="687"/>
      <c r="W132" s="37" t="s">
        <v>80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79</v>
      </c>
      <c r="Q133" s="686"/>
      <c r="R133" s="686"/>
      <c r="S133" s="686"/>
      <c r="T133" s="686"/>
      <c r="U133" s="686"/>
      <c r="V133" s="687"/>
      <c r="W133" s="37" t="s">
        <v>68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23" t="s">
        <v>249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hidden="1" customHeight="1" x14ac:dyDescent="0.25">
      <c r="A135" s="682" t="s">
        <v>89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hidden="1" customHeight="1" x14ac:dyDescent="0.25">
      <c r="A136" s="54" t="s">
        <v>250</v>
      </c>
      <c r="B136" s="54" t="s">
        <v>251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66</v>
      </c>
      <c r="L136" s="32"/>
      <c r="M136" s="33" t="s">
        <v>84</v>
      </c>
      <c r="N136" s="33"/>
      <c r="O136" s="32">
        <v>90</v>
      </c>
      <c r="P136" s="10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68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252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250</v>
      </c>
      <c r="B137" s="54" t="s">
        <v>253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84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79</v>
      </c>
      <c r="Q138" s="686"/>
      <c r="R138" s="686"/>
      <c r="S138" s="686"/>
      <c r="T138" s="686"/>
      <c r="U138" s="686"/>
      <c r="V138" s="687"/>
      <c r="W138" s="37" t="s">
        <v>80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hidden="1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79</v>
      </c>
      <c r="Q139" s="686"/>
      <c r="R139" s="686"/>
      <c r="S139" s="686"/>
      <c r="T139" s="686"/>
      <c r="U139" s="686"/>
      <c r="V139" s="687"/>
      <c r="W139" s="37" t="s">
        <v>68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hidden="1" customHeight="1" x14ac:dyDescent="0.25">
      <c r="A140" s="682" t="s">
        <v>139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66</v>
      </c>
      <c r="L141" s="32"/>
      <c r="M141" s="33" t="s">
        <v>84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68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256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84</v>
      </c>
      <c r="N142" s="33"/>
      <c r="O142" s="32">
        <v>90</v>
      </c>
      <c r="P142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256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79</v>
      </c>
      <c r="Q143" s="686"/>
      <c r="R143" s="686"/>
      <c r="S143" s="686"/>
      <c r="T143" s="686"/>
      <c r="U143" s="686"/>
      <c r="V143" s="687"/>
      <c r="W143" s="37" t="s">
        <v>80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hidden="1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79</v>
      </c>
      <c r="Q144" s="686"/>
      <c r="R144" s="686"/>
      <c r="S144" s="686"/>
      <c r="T144" s="686"/>
      <c r="U144" s="686"/>
      <c r="V144" s="687"/>
      <c r="W144" s="37" t="s">
        <v>68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hidden="1" customHeight="1" x14ac:dyDescent="0.25">
      <c r="A145" s="682" t="s">
        <v>63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hidden="1" customHeight="1" x14ac:dyDescent="0.25">
      <c r="A146" s="54" t="s">
        <v>258</v>
      </c>
      <c r="B146" s="54" t="s">
        <v>259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66</v>
      </c>
      <c r="L146" s="32"/>
      <c r="M146" s="33" t="s">
        <v>84</v>
      </c>
      <c r="N146" s="33"/>
      <c r="O146" s="32">
        <v>60</v>
      </c>
      <c r="P146" s="10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68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252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84</v>
      </c>
      <c r="N147" s="33"/>
      <c r="O147" s="32">
        <v>60</v>
      </c>
      <c r="P147" s="7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79</v>
      </c>
      <c r="Q148" s="686"/>
      <c r="R148" s="686"/>
      <c r="S148" s="686"/>
      <c r="T148" s="686"/>
      <c r="U148" s="686"/>
      <c r="V148" s="687"/>
      <c r="W148" s="37" t="s">
        <v>80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hidden="1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79</v>
      </c>
      <c r="Q149" s="686"/>
      <c r="R149" s="686"/>
      <c r="S149" s="686"/>
      <c r="T149" s="686"/>
      <c r="U149" s="686"/>
      <c r="V149" s="687"/>
      <c r="W149" s="37" t="s">
        <v>68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hidden="1" customHeight="1" x14ac:dyDescent="0.25">
      <c r="A150" s="723" t="s">
        <v>87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hidden="1" customHeight="1" x14ac:dyDescent="0.25">
      <c r="A151" s="682" t="s">
        <v>89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hidden="1" customHeight="1" x14ac:dyDescent="0.25">
      <c r="A152" s="54" t="s">
        <v>261</v>
      </c>
      <c r="B152" s="54" t="s">
        <v>262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97</v>
      </c>
      <c r="L152" s="32"/>
      <c r="M152" s="33" t="s">
        <v>93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68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263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79</v>
      </c>
      <c r="Q153" s="686"/>
      <c r="R153" s="686"/>
      <c r="S153" s="686"/>
      <c r="T153" s="686"/>
      <c r="U153" s="686"/>
      <c r="V153" s="687"/>
      <c r="W153" s="37" t="s">
        <v>80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79</v>
      </c>
      <c r="Q154" s="686"/>
      <c r="R154" s="686"/>
      <c r="S154" s="686"/>
      <c r="T154" s="686"/>
      <c r="U154" s="686"/>
      <c r="V154" s="687"/>
      <c r="W154" s="37" t="s">
        <v>68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82" t="s">
        <v>139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hidden="1" customHeight="1" x14ac:dyDescent="0.25">
      <c r="A156" s="54" t="s">
        <v>264</v>
      </c>
      <c r="B156" s="54" t="s">
        <v>265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92</v>
      </c>
      <c r="L156" s="32"/>
      <c r="M156" s="33" t="s">
        <v>93</v>
      </c>
      <c r="N156" s="33"/>
      <c r="O156" s="32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68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266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267</v>
      </c>
      <c r="B157" s="54" t="s">
        <v>268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97</v>
      </c>
      <c r="L157" s="32"/>
      <c r="M157" s="33" t="s">
        <v>67</v>
      </c>
      <c r="N157" s="33"/>
      <c r="O157" s="32">
        <v>40</v>
      </c>
      <c r="P157" s="9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269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270</v>
      </c>
      <c r="B158" s="54" t="s">
        <v>271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92</v>
      </c>
      <c r="L158" s="32"/>
      <c r="M158" s="33" t="s">
        <v>67</v>
      </c>
      <c r="N158" s="33"/>
      <c r="O158" s="32">
        <v>40</v>
      </c>
      <c r="P158" s="7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272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273</v>
      </c>
      <c r="B159" s="54" t="s">
        <v>274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142</v>
      </c>
      <c r="L159" s="32"/>
      <c r="M159" s="33" t="s">
        <v>67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269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79</v>
      </c>
      <c r="Q160" s="686"/>
      <c r="R160" s="686"/>
      <c r="S160" s="686"/>
      <c r="T160" s="686"/>
      <c r="U160" s="686"/>
      <c r="V160" s="687"/>
      <c r="W160" s="37" t="s">
        <v>80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hidden="1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79</v>
      </c>
      <c r="Q161" s="686"/>
      <c r="R161" s="686"/>
      <c r="S161" s="686"/>
      <c r="T161" s="686"/>
      <c r="U161" s="686"/>
      <c r="V161" s="687"/>
      <c r="W161" s="37" t="s">
        <v>68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hidden="1" customHeight="1" x14ac:dyDescent="0.25">
      <c r="A162" s="682" t="s">
        <v>63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hidden="1" customHeight="1" x14ac:dyDescent="0.25">
      <c r="A163" s="54" t="s">
        <v>275</v>
      </c>
      <c r="B163" s="54" t="s">
        <v>276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66</v>
      </c>
      <c r="L163" s="32"/>
      <c r="M163" s="33" t="s">
        <v>98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68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277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66</v>
      </c>
      <c r="L164" s="32"/>
      <c r="M164" s="33" t="s">
        <v>67</v>
      </c>
      <c r="N164" s="33"/>
      <c r="O164" s="32">
        <v>40</v>
      </c>
      <c r="P164" s="919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79</v>
      </c>
      <c r="Q165" s="686"/>
      <c r="R165" s="686"/>
      <c r="S165" s="686"/>
      <c r="T165" s="686"/>
      <c r="U165" s="686"/>
      <c r="V165" s="687"/>
      <c r="W165" s="37" t="s">
        <v>80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79</v>
      </c>
      <c r="Q166" s="686"/>
      <c r="R166" s="686"/>
      <c r="S166" s="686"/>
      <c r="T166" s="686"/>
      <c r="U166" s="686"/>
      <c r="V166" s="687"/>
      <c r="W166" s="37" t="s">
        <v>68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802" t="s">
        <v>281</v>
      </c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48"/>
      <c r="AB167" s="48"/>
      <c r="AC167" s="48"/>
    </row>
    <row r="168" spans="1:68" ht="16.5" hidden="1" customHeight="1" x14ac:dyDescent="0.25">
      <c r="A168" s="723" t="s">
        <v>282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hidden="1" customHeight="1" x14ac:dyDescent="0.25">
      <c r="A169" s="682" t="s">
        <v>128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hidden="1" customHeight="1" x14ac:dyDescent="0.25">
      <c r="A170" s="54" t="s">
        <v>283</v>
      </c>
      <c r="B170" s="54" t="s">
        <v>284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142</v>
      </c>
      <c r="L170" s="32"/>
      <c r="M170" s="33" t="s">
        <v>67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285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79</v>
      </c>
      <c r="Q171" s="686"/>
      <c r="R171" s="686"/>
      <c r="S171" s="686"/>
      <c r="T171" s="686"/>
      <c r="U171" s="686"/>
      <c r="V171" s="687"/>
      <c r="W171" s="37" t="s">
        <v>80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79</v>
      </c>
      <c r="Q172" s="686"/>
      <c r="R172" s="686"/>
      <c r="S172" s="686"/>
      <c r="T172" s="686"/>
      <c r="U172" s="686"/>
      <c r="V172" s="687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139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hidden="1" customHeight="1" x14ac:dyDescent="0.25">
      <c r="A174" s="54" t="s">
        <v>286</v>
      </c>
      <c r="B174" s="54" t="s">
        <v>287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97</v>
      </c>
      <c r="L174" s="32"/>
      <c r="M174" s="33" t="s">
        <v>67</v>
      </c>
      <c r="N174" s="33"/>
      <c r="O174" s="32">
        <v>40</v>
      </c>
      <c r="P174" s="10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288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291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97</v>
      </c>
      <c r="L176" s="32"/>
      <c r="M176" s="33" t="s">
        <v>67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294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295</v>
      </c>
      <c r="B177" s="54" t="s">
        <v>296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142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288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142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291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299</v>
      </c>
      <c r="B179" s="54" t="s">
        <v>300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142</v>
      </c>
      <c r="L179" s="32"/>
      <c r="M179" s="33" t="s">
        <v>67</v>
      </c>
      <c r="N179" s="33"/>
      <c r="O179" s="32">
        <v>40</v>
      </c>
      <c r="P179" s="883" t="s">
        <v>301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302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303</v>
      </c>
      <c r="B180" s="54" t="s">
        <v>304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142</v>
      </c>
      <c r="L180" s="32"/>
      <c r="M180" s="33" t="s">
        <v>67</v>
      </c>
      <c r="N180" s="33"/>
      <c r="O180" s="32">
        <v>40</v>
      </c>
      <c r="P180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294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305</v>
      </c>
      <c r="B181" s="54" t="s">
        <v>306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9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294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307</v>
      </c>
      <c r="B182" s="54" t="s">
        <v>308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142</v>
      </c>
      <c r="L182" s="32"/>
      <c r="M182" s="33" t="s">
        <v>67</v>
      </c>
      <c r="N182" s="33"/>
      <c r="O182" s="32">
        <v>40</v>
      </c>
      <c r="P182" s="8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309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idden="1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79</v>
      </c>
      <c r="Q183" s="686"/>
      <c r="R183" s="686"/>
      <c r="S183" s="686"/>
      <c r="T183" s="686"/>
      <c r="U183" s="686"/>
      <c r="V183" s="687"/>
      <c r="W183" s="37" t="s">
        <v>80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79</v>
      </c>
      <c r="Q184" s="686"/>
      <c r="R184" s="686"/>
      <c r="S184" s="686"/>
      <c r="T184" s="686"/>
      <c r="U184" s="686"/>
      <c r="V184" s="687"/>
      <c r="W184" s="37" t="s">
        <v>68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2" t="s">
        <v>81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hidden="1" customHeight="1" x14ac:dyDescent="0.25">
      <c r="A186" s="54" t="s">
        <v>310</v>
      </c>
      <c r="B186" s="54" t="s">
        <v>311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312</v>
      </c>
      <c r="L186" s="32"/>
      <c r="M186" s="33" t="s">
        <v>313</v>
      </c>
      <c r="N186" s="33"/>
      <c r="O186" s="32">
        <v>60</v>
      </c>
      <c r="P186" s="996" t="s">
        <v>314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315</v>
      </c>
      <c r="AC186" s="241" t="s">
        <v>316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79</v>
      </c>
      <c r="Q187" s="686"/>
      <c r="R187" s="686"/>
      <c r="S187" s="686"/>
      <c r="T187" s="686"/>
      <c r="U187" s="686"/>
      <c r="V187" s="687"/>
      <c r="W187" s="37" t="s">
        <v>80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79</v>
      </c>
      <c r="Q188" s="686"/>
      <c r="R188" s="686"/>
      <c r="S188" s="686"/>
      <c r="T188" s="686"/>
      <c r="U188" s="686"/>
      <c r="V188" s="687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23" t="s">
        <v>317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hidden="1" customHeight="1" x14ac:dyDescent="0.25">
      <c r="A190" s="682" t="s">
        <v>89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hidden="1" customHeight="1" x14ac:dyDescent="0.25">
      <c r="A191" s="54" t="s">
        <v>318</v>
      </c>
      <c r="B191" s="54" t="s">
        <v>319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92</v>
      </c>
      <c r="L191" s="32"/>
      <c r="M191" s="33" t="s">
        <v>93</v>
      </c>
      <c r="N191" s="33"/>
      <c r="O191" s="32">
        <v>55</v>
      </c>
      <c r="P191" s="9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320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321</v>
      </c>
      <c r="B192" s="54" t="s">
        <v>322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93</v>
      </c>
      <c r="N192" s="33"/>
      <c r="O192" s="32">
        <v>55</v>
      </c>
      <c r="P192" s="7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320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79</v>
      </c>
      <c r="Q193" s="686"/>
      <c r="R193" s="686"/>
      <c r="S193" s="686"/>
      <c r="T193" s="686"/>
      <c r="U193" s="686"/>
      <c r="V193" s="687"/>
      <c r="W193" s="37" t="s">
        <v>80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79</v>
      </c>
      <c r="Q194" s="686"/>
      <c r="R194" s="686"/>
      <c r="S194" s="686"/>
      <c r="T194" s="686"/>
      <c r="U194" s="686"/>
      <c r="V194" s="687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128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hidden="1" customHeight="1" x14ac:dyDescent="0.25">
      <c r="A196" s="54" t="s">
        <v>323</v>
      </c>
      <c r="B196" s="54" t="s">
        <v>324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92</v>
      </c>
      <c r="L196" s="32"/>
      <c r="M196" s="33" t="s">
        <v>98</v>
      </c>
      <c r="N196" s="33"/>
      <c r="O196" s="32">
        <v>50</v>
      </c>
      <c r="P196" s="9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325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326</v>
      </c>
      <c r="B197" s="54" t="s">
        <v>327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93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325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79</v>
      </c>
      <c r="Q198" s="686"/>
      <c r="R198" s="686"/>
      <c r="S198" s="686"/>
      <c r="T198" s="686"/>
      <c r="U198" s="686"/>
      <c r="V198" s="687"/>
      <c r="W198" s="37" t="s">
        <v>80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79</v>
      </c>
      <c r="Q199" s="686"/>
      <c r="R199" s="686"/>
      <c r="S199" s="686"/>
      <c r="T199" s="686"/>
      <c r="U199" s="686"/>
      <c r="V199" s="687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139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hidden="1" customHeight="1" x14ac:dyDescent="0.25">
      <c r="A201" s="54" t="s">
        <v>328</v>
      </c>
      <c r="B201" s="54" t="s">
        <v>329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97</v>
      </c>
      <c r="L201" s="32"/>
      <c r="M201" s="33" t="s">
        <v>67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330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hidden="1" customHeight="1" x14ac:dyDescent="0.25">
      <c r="A202" s="54" t="s">
        <v>331</v>
      </c>
      <c r="B202" s="54" t="s">
        <v>332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97</v>
      </c>
      <c r="L202" s="32"/>
      <c r="M202" s="33" t="s">
        <v>67</v>
      </c>
      <c r="N202" s="33"/>
      <c r="O202" s="32">
        <v>40</v>
      </c>
      <c r="P202" s="10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333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hidden="1" customHeight="1" x14ac:dyDescent="0.25">
      <c r="A203" s="54" t="s">
        <v>334</v>
      </c>
      <c r="B203" s="54" t="s">
        <v>335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97</v>
      </c>
      <c r="L203" s="32"/>
      <c r="M203" s="33" t="s">
        <v>67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336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97</v>
      </c>
      <c r="L204" s="32"/>
      <c r="M204" s="33" t="s">
        <v>67</v>
      </c>
      <c r="N204" s="33"/>
      <c r="O204" s="32">
        <v>40</v>
      </c>
      <c r="P204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339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142</v>
      </c>
      <c r="L205" s="32"/>
      <c r="M205" s="33" t="s">
        <v>67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330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142</v>
      </c>
      <c r="L206" s="32"/>
      <c r="M206" s="33" t="s">
        <v>67</v>
      </c>
      <c r="N206" s="33"/>
      <c r="O206" s="32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333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142</v>
      </c>
      <c r="L207" s="32"/>
      <c r="M207" s="33" t="s">
        <v>67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336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346</v>
      </c>
      <c r="B208" s="54" t="s">
        <v>347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142</v>
      </c>
      <c r="L208" s="32"/>
      <c r="M208" s="33" t="s">
        <v>67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339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hidden="1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79</v>
      </c>
      <c r="Q209" s="686"/>
      <c r="R209" s="686"/>
      <c r="S209" s="686"/>
      <c r="T209" s="686"/>
      <c r="U209" s="686"/>
      <c r="V209" s="687"/>
      <c r="W209" s="37" t="s">
        <v>80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79</v>
      </c>
      <c r="Q210" s="686"/>
      <c r="R210" s="686"/>
      <c r="S210" s="686"/>
      <c r="T210" s="686"/>
      <c r="U210" s="686"/>
      <c r="V210" s="687"/>
      <c r="W210" s="37" t="s">
        <v>68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2" t="s">
        <v>63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hidden="1" customHeight="1" x14ac:dyDescent="0.25">
      <c r="A212" s="54" t="s">
        <v>348</v>
      </c>
      <c r="B212" s="54" t="s">
        <v>349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92</v>
      </c>
      <c r="L212" s="32"/>
      <c r="M212" s="33" t="s">
        <v>98</v>
      </c>
      <c r="N212" s="33"/>
      <c r="O212" s="32">
        <v>40</v>
      </c>
      <c r="P212" s="9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350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351</v>
      </c>
      <c r="B213" s="54" t="s">
        <v>352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92</v>
      </c>
      <c r="L213" s="32"/>
      <c r="M213" s="33" t="s">
        <v>98</v>
      </c>
      <c r="N213" s="33"/>
      <c r="O213" s="32">
        <v>40</v>
      </c>
      <c r="P213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353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hidden="1" customHeight="1" x14ac:dyDescent="0.25">
      <c r="A214" s="54" t="s">
        <v>354</v>
      </c>
      <c r="B214" s="54" t="s">
        <v>355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92</v>
      </c>
      <c r="L214" s="32"/>
      <c r="M214" s="33" t="s">
        <v>98</v>
      </c>
      <c r="N214" s="33"/>
      <c r="O214" s="32">
        <v>45</v>
      </c>
      <c r="P214" s="9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356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98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350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124</v>
      </c>
      <c r="N216" s="33"/>
      <c r="O216" s="32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361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hidden="1" customHeight="1" x14ac:dyDescent="0.25">
      <c r="A217" s="54" t="s">
        <v>362</v>
      </c>
      <c r="B217" s="54" t="s">
        <v>363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98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356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98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356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hidden="1" customHeight="1" x14ac:dyDescent="0.25">
      <c r="A219" s="54" t="s">
        <v>366</v>
      </c>
      <c r="B219" s="54" t="s">
        <v>367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124</v>
      </c>
      <c r="N219" s="33"/>
      <c r="O219" s="32">
        <v>40</v>
      </c>
      <c r="P219" s="8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368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hidden="1" customHeight="1" x14ac:dyDescent="0.25">
      <c r="A220" s="54" t="s">
        <v>369</v>
      </c>
      <c r="B220" s="54" t="s">
        <v>370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98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371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hidden="1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79</v>
      </c>
      <c r="Q221" s="686"/>
      <c r="R221" s="686"/>
      <c r="S221" s="686"/>
      <c r="T221" s="686"/>
      <c r="U221" s="686"/>
      <c r="V221" s="687"/>
      <c r="W221" s="37" t="s">
        <v>80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79</v>
      </c>
      <c r="Q222" s="686"/>
      <c r="R222" s="686"/>
      <c r="S222" s="686"/>
      <c r="T222" s="686"/>
      <c r="U222" s="686"/>
      <c r="V222" s="687"/>
      <c r="W222" s="37" t="s">
        <v>68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2" t="s">
        <v>165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hidden="1" customHeight="1" x14ac:dyDescent="0.25">
      <c r="A224" s="54" t="s">
        <v>372</v>
      </c>
      <c r="B224" s="54" t="s">
        <v>373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124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375</v>
      </c>
      <c r="B225" s="54" t="s">
        <v>376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98</v>
      </c>
      <c r="N225" s="33"/>
      <c r="O225" s="32">
        <v>40</v>
      </c>
      <c r="P225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79</v>
      </c>
      <c r="Q226" s="686"/>
      <c r="R226" s="686"/>
      <c r="S226" s="686"/>
      <c r="T226" s="686"/>
      <c r="U226" s="686"/>
      <c r="V226" s="687"/>
      <c r="W226" s="37" t="s">
        <v>80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79</v>
      </c>
      <c r="Q227" s="686"/>
      <c r="R227" s="686"/>
      <c r="S227" s="686"/>
      <c r="T227" s="686"/>
      <c r="U227" s="686"/>
      <c r="V227" s="687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23" t="s">
        <v>378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hidden="1" customHeight="1" x14ac:dyDescent="0.25">
      <c r="A229" s="682" t="s">
        <v>89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hidden="1" customHeight="1" x14ac:dyDescent="0.25">
      <c r="A230" s="54" t="s">
        <v>379</v>
      </c>
      <c r="B230" s="54" t="s">
        <v>380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92</v>
      </c>
      <c r="L230" s="32"/>
      <c r="M230" s="33" t="s">
        <v>93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381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379</v>
      </c>
      <c r="B231" s="54" t="s">
        <v>382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92</v>
      </c>
      <c r="L231" s="32"/>
      <c r="M231" s="33" t="s">
        <v>383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37"/>
        <v>0</v>
      </c>
      <c r="Z231" s="36" t="str">
        <f>IFERROR(IF(Y231=0,"",ROUNDUP(Y231/H231,0)*0.02039),"")</f>
        <v/>
      </c>
      <c r="AA231" s="56"/>
      <c r="AB231" s="57"/>
      <c r="AC231" s="291" t="s">
        <v>384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385</v>
      </c>
      <c r="B232" s="54" t="s">
        <v>386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92</v>
      </c>
      <c r="L232" s="32"/>
      <c r="M232" s="33" t="s">
        <v>93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387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388</v>
      </c>
      <c r="B233" s="54" t="s">
        <v>389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92</v>
      </c>
      <c r="L233" s="32"/>
      <c r="M233" s="33" t="s">
        <v>93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37"/>
        <v>0</v>
      </c>
      <c r="Z233" s="36" t="str">
        <f>IFERROR(IF(Y233=0,"",ROUNDUP(Y233/H233,0)*0.01898),"")</f>
        <v/>
      </c>
      <c r="AA233" s="56"/>
      <c r="AB233" s="57"/>
      <c r="AC233" s="295" t="s">
        <v>390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92</v>
      </c>
      <c r="L234" s="32"/>
      <c r="M234" s="33" t="s">
        <v>383</v>
      </c>
      <c r="N234" s="33"/>
      <c r="O234" s="32">
        <v>55</v>
      </c>
      <c r="P234" s="72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37"/>
        <v>0</v>
      </c>
      <c r="Z234" s="36" t="str">
        <f>IFERROR(IF(Y234=0,"",ROUNDUP(Y234/H234,0)*0.02039),"")</f>
        <v/>
      </c>
      <c r="AA234" s="56"/>
      <c r="AB234" s="57"/>
      <c r="AC234" s="297" t="s">
        <v>384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392</v>
      </c>
      <c r="B235" s="54" t="s">
        <v>393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97</v>
      </c>
      <c r="L235" s="32"/>
      <c r="M235" s="33" t="s">
        <v>93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381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97</v>
      </c>
      <c r="L236" s="32"/>
      <c r="M236" s="33" t="s">
        <v>93</v>
      </c>
      <c r="N236" s="33"/>
      <c r="O236" s="32">
        <v>55</v>
      </c>
      <c r="P236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387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97</v>
      </c>
      <c r="L237" s="32"/>
      <c r="M237" s="33" t="s">
        <v>93</v>
      </c>
      <c r="N237" s="33"/>
      <c r="O237" s="32">
        <v>55</v>
      </c>
      <c r="P237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390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79</v>
      </c>
      <c r="Q238" s="686"/>
      <c r="R238" s="686"/>
      <c r="S238" s="686"/>
      <c r="T238" s="686"/>
      <c r="U238" s="686"/>
      <c r="V238" s="687"/>
      <c r="W238" s="37" t="s">
        <v>80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79</v>
      </c>
      <c r="Q239" s="686"/>
      <c r="R239" s="686"/>
      <c r="S239" s="686"/>
      <c r="T239" s="686"/>
      <c r="U239" s="686"/>
      <c r="V239" s="687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128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hidden="1" customHeight="1" x14ac:dyDescent="0.25">
      <c r="A241" s="54" t="s">
        <v>398</v>
      </c>
      <c r="B241" s="54" t="s">
        <v>399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142</v>
      </c>
      <c r="L241" s="32"/>
      <c r="M241" s="33" t="s">
        <v>98</v>
      </c>
      <c r="N241" s="33"/>
      <c r="O241" s="32">
        <v>50</v>
      </c>
      <c r="P241" s="968" t="s">
        <v>400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401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398</v>
      </c>
      <c r="B242" s="54" t="s">
        <v>402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142</v>
      </c>
      <c r="L242" s="32"/>
      <c r="M242" s="33" t="s">
        <v>98</v>
      </c>
      <c r="N242" s="33"/>
      <c r="O242" s="32">
        <v>50</v>
      </c>
      <c r="P242" s="76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401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79</v>
      </c>
      <c r="Q243" s="686"/>
      <c r="R243" s="686"/>
      <c r="S243" s="686"/>
      <c r="T243" s="686"/>
      <c r="U243" s="686"/>
      <c r="V243" s="687"/>
      <c r="W243" s="37" t="s">
        <v>80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79</v>
      </c>
      <c r="Q244" s="686"/>
      <c r="R244" s="686"/>
      <c r="S244" s="686"/>
      <c r="T244" s="686"/>
      <c r="U244" s="686"/>
      <c r="V244" s="687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403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hidden="1" customHeight="1" x14ac:dyDescent="0.25">
      <c r="A246" s="54" t="s">
        <v>404</v>
      </c>
      <c r="B246" s="54" t="s">
        <v>405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312</v>
      </c>
      <c r="L246" s="32"/>
      <c r="M246" s="33" t="s">
        <v>313</v>
      </c>
      <c r="N246" s="33"/>
      <c r="O246" s="32">
        <v>45</v>
      </c>
      <c r="P246" s="827" t="s">
        <v>406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315</v>
      </c>
      <c r="AC246" s="309" t="s">
        <v>407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79</v>
      </c>
      <c r="Q247" s="686"/>
      <c r="R247" s="686"/>
      <c r="S247" s="686"/>
      <c r="T247" s="686"/>
      <c r="U247" s="686"/>
      <c r="V247" s="687"/>
      <c r="W247" s="37" t="s">
        <v>80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79</v>
      </c>
      <c r="Q248" s="686"/>
      <c r="R248" s="686"/>
      <c r="S248" s="686"/>
      <c r="T248" s="686"/>
      <c r="U248" s="686"/>
      <c r="V248" s="687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408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hidden="1" customHeight="1" x14ac:dyDescent="0.25">
      <c r="A250" s="54" t="s">
        <v>409</v>
      </c>
      <c r="B250" s="54" t="s">
        <v>410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312</v>
      </c>
      <c r="L250" s="32"/>
      <c r="M250" s="33" t="s">
        <v>313</v>
      </c>
      <c r="N250" s="33"/>
      <c r="O250" s="32">
        <v>90</v>
      </c>
      <c r="P250" s="787" t="s">
        <v>411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315</v>
      </c>
      <c r="AC250" s="311" t="s">
        <v>412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79</v>
      </c>
      <c r="Q251" s="686"/>
      <c r="R251" s="686"/>
      <c r="S251" s="686"/>
      <c r="T251" s="686"/>
      <c r="U251" s="686"/>
      <c r="V251" s="687"/>
      <c r="W251" s="37" t="s">
        <v>80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79</v>
      </c>
      <c r="Q252" s="686"/>
      <c r="R252" s="686"/>
      <c r="S252" s="686"/>
      <c r="T252" s="686"/>
      <c r="U252" s="686"/>
      <c r="V252" s="687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23" t="s">
        <v>413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hidden="1" customHeight="1" x14ac:dyDescent="0.25">
      <c r="A254" s="682" t="s">
        <v>89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hidden="1" customHeight="1" x14ac:dyDescent="0.25">
      <c r="A255" s="54" t="s">
        <v>414</v>
      </c>
      <c r="B255" s="54" t="s">
        <v>415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92</v>
      </c>
      <c r="L255" s="32"/>
      <c r="M255" s="33" t="s">
        <v>93</v>
      </c>
      <c r="N255" s="33"/>
      <c r="O255" s="32">
        <v>55</v>
      </c>
      <c r="P255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416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417</v>
      </c>
      <c r="B256" s="54" t="s">
        <v>418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92</v>
      </c>
      <c r="L256" s="32"/>
      <c r="M256" s="33" t="s">
        <v>93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2"/>
        <v>0</v>
      </c>
      <c r="Z256" s="36" t="str">
        <f>IFERROR(IF(Y256=0,"",ROUNDUP(Y256/H256,0)*0.01898),"")</f>
        <v/>
      </c>
      <c r="AA256" s="56"/>
      <c r="AB256" s="57"/>
      <c r="AC256" s="315" t="s">
        <v>419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hidden="1" customHeight="1" x14ac:dyDescent="0.25">
      <c r="A257" s="54" t="s">
        <v>417</v>
      </c>
      <c r="B257" s="54" t="s">
        <v>420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92</v>
      </c>
      <c r="L257" s="32"/>
      <c r="M257" s="33" t="s">
        <v>383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2"/>
        <v>0</v>
      </c>
      <c r="Z257" s="36" t="str">
        <f>IFERROR(IF(Y257=0,"",ROUNDUP(Y257/H257,0)*0.02039),"")</f>
        <v/>
      </c>
      <c r="AA257" s="56"/>
      <c r="AB257" s="57"/>
      <c r="AC257" s="317" t="s">
        <v>421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hidden="1" customHeight="1" x14ac:dyDescent="0.25">
      <c r="A258" s="54" t="s">
        <v>422</v>
      </c>
      <c r="B258" s="54" t="s">
        <v>423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92</v>
      </c>
      <c r="L258" s="32"/>
      <c r="M258" s="33" t="s">
        <v>93</v>
      </c>
      <c r="N258" s="33"/>
      <c r="O258" s="32">
        <v>55</v>
      </c>
      <c r="P258" s="7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424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425</v>
      </c>
      <c r="B259" s="54" t="s">
        <v>426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97</v>
      </c>
      <c r="L259" s="32"/>
      <c r="M259" s="33" t="s">
        <v>93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427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428</v>
      </c>
      <c r="B260" s="54" t="s">
        <v>429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97</v>
      </c>
      <c r="L260" s="32"/>
      <c r="M260" s="33" t="s">
        <v>93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430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hidden="1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79</v>
      </c>
      <c r="Q261" s="686"/>
      <c r="R261" s="686"/>
      <c r="S261" s="686"/>
      <c r="T261" s="686"/>
      <c r="U261" s="686"/>
      <c r="V261" s="687"/>
      <c r="W261" s="37" t="s">
        <v>80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79</v>
      </c>
      <c r="Q262" s="686"/>
      <c r="R262" s="686"/>
      <c r="S262" s="686"/>
      <c r="T262" s="686"/>
      <c r="U262" s="686"/>
      <c r="V262" s="687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23" t="s">
        <v>431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hidden="1" customHeight="1" x14ac:dyDescent="0.25">
      <c r="A264" s="682" t="s">
        <v>89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hidden="1" customHeight="1" x14ac:dyDescent="0.25">
      <c r="A265" s="54" t="s">
        <v>432</v>
      </c>
      <c r="B265" s="54" t="s">
        <v>433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92</v>
      </c>
      <c r="L265" s="32"/>
      <c r="M265" s="33" t="s">
        <v>93</v>
      </c>
      <c r="N265" s="33"/>
      <c r="O265" s="32">
        <v>31</v>
      </c>
      <c r="P265" s="7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434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79</v>
      </c>
      <c r="Q266" s="686"/>
      <c r="R266" s="686"/>
      <c r="S266" s="686"/>
      <c r="T266" s="686"/>
      <c r="U266" s="686"/>
      <c r="V266" s="687"/>
      <c r="W266" s="37" t="s">
        <v>80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79</v>
      </c>
      <c r="Q267" s="686"/>
      <c r="R267" s="686"/>
      <c r="S267" s="686"/>
      <c r="T267" s="686"/>
      <c r="U267" s="686"/>
      <c r="V267" s="687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23" t="s">
        <v>435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hidden="1" customHeight="1" x14ac:dyDescent="0.25">
      <c r="A269" s="682" t="s">
        <v>89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hidden="1" customHeight="1" x14ac:dyDescent="0.25">
      <c r="A270" s="54" t="s">
        <v>436</v>
      </c>
      <c r="B270" s="54" t="s">
        <v>437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92</v>
      </c>
      <c r="L270" s="32"/>
      <c r="M270" s="33" t="s">
        <v>98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94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438</v>
      </c>
      <c r="B271" s="54" t="s">
        <v>439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92</v>
      </c>
      <c r="L271" s="32"/>
      <c r="M271" s="33" t="s">
        <v>98</v>
      </c>
      <c r="N271" s="33"/>
      <c r="O271" s="32">
        <v>30</v>
      </c>
      <c r="P271" s="73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440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441</v>
      </c>
      <c r="B272" s="54" t="s">
        <v>442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92</v>
      </c>
      <c r="L272" s="32"/>
      <c r="M272" s="33" t="s">
        <v>98</v>
      </c>
      <c r="N272" s="33"/>
      <c r="O272" s="32">
        <v>35</v>
      </c>
      <c r="P272" s="8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443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79</v>
      </c>
      <c r="Q273" s="686"/>
      <c r="R273" s="686"/>
      <c r="S273" s="686"/>
      <c r="T273" s="686"/>
      <c r="U273" s="686"/>
      <c r="V273" s="687"/>
      <c r="W273" s="37" t="s">
        <v>80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79</v>
      </c>
      <c r="Q274" s="686"/>
      <c r="R274" s="686"/>
      <c r="S274" s="686"/>
      <c r="T274" s="686"/>
      <c r="U274" s="686"/>
      <c r="V274" s="687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23" t="s">
        <v>444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hidden="1" customHeight="1" x14ac:dyDescent="0.25">
      <c r="A276" s="682" t="s">
        <v>63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hidden="1" customHeight="1" x14ac:dyDescent="0.25">
      <c r="A277" s="54" t="s">
        <v>445</v>
      </c>
      <c r="B277" s="54" t="s">
        <v>446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97</v>
      </c>
      <c r="L277" s="32"/>
      <c r="M277" s="33" t="s">
        <v>124</v>
      </c>
      <c r="N277" s="33"/>
      <c r="O277" s="32">
        <v>40</v>
      </c>
      <c r="P277" s="81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447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98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450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447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453</v>
      </c>
      <c r="B280" s="54" t="s">
        <v>454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98</v>
      </c>
      <c r="N280" s="33"/>
      <c r="O280" s="32">
        <v>45</v>
      </c>
      <c r="P280" s="8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455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456</v>
      </c>
      <c r="B281" s="54" t="s">
        <v>457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97</v>
      </c>
      <c r="L281" s="32"/>
      <c r="M281" s="33" t="s">
        <v>98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450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79</v>
      </c>
      <c r="Q282" s="686"/>
      <c r="R282" s="686"/>
      <c r="S282" s="686"/>
      <c r="T282" s="686"/>
      <c r="U282" s="686"/>
      <c r="V282" s="687"/>
      <c r="W282" s="37" t="s">
        <v>80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79</v>
      </c>
      <c r="Q283" s="686"/>
      <c r="R283" s="686"/>
      <c r="S283" s="686"/>
      <c r="T283" s="686"/>
      <c r="U283" s="686"/>
      <c r="V283" s="687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23" t="s">
        <v>458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hidden="1" customHeight="1" x14ac:dyDescent="0.25">
      <c r="A285" s="682" t="s">
        <v>89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hidden="1" customHeight="1" x14ac:dyDescent="0.25">
      <c r="A286" s="54" t="s">
        <v>459</v>
      </c>
      <c r="B286" s="54" t="s">
        <v>460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97</v>
      </c>
      <c r="L286" s="32"/>
      <c r="M286" s="33" t="s">
        <v>98</v>
      </c>
      <c r="N286" s="33"/>
      <c r="O286" s="32">
        <v>45</v>
      </c>
      <c r="P286" s="79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461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79</v>
      </c>
      <c r="Q287" s="686"/>
      <c r="R287" s="686"/>
      <c r="S287" s="686"/>
      <c r="T287" s="686"/>
      <c r="U287" s="686"/>
      <c r="V287" s="687"/>
      <c r="W287" s="37" t="s">
        <v>80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79</v>
      </c>
      <c r="Q288" s="686"/>
      <c r="R288" s="686"/>
      <c r="S288" s="686"/>
      <c r="T288" s="686"/>
      <c r="U288" s="686"/>
      <c r="V288" s="687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139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hidden="1" customHeight="1" x14ac:dyDescent="0.25">
      <c r="A290" s="54" t="s">
        <v>462</v>
      </c>
      <c r="B290" s="54" t="s">
        <v>463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142</v>
      </c>
      <c r="L290" s="32"/>
      <c r="M290" s="33" t="s">
        <v>67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464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79</v>
      </c>
      <c r="Q291" s="686"/>
      <c r="R291" s="686"/>
      <c r="S291" s="686"/>
      <c r="T291" s="686"/>
      <c r="U291" s="686"/>
      <c r="V291" s="687"/>
      <c r="W291" s="37" t="s">
        <v>80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79</v>
      </c>
      <c r="Q292" s="686"/>
      <c r="R292" s="686"/>
      <c r="S292" s="686"/>
      <c r="T292" s="686"/>
      <c r="U292" s="686"/>
      <c r="V292" s="687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63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hidden="1" customHeight="1" x14ac:dyDescent="0.25">
      <c r="A294" s="54" t="s">
        <v>465</v>
      </c>
      <c r="B294" s="54" t="s">
        <v>466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97</v>
      </c>
      <c r="L294" s="32"/>
      <c r="M294" s="33" t="s">
        <v>98</v>
      </c>
      <c r="N294" s="33"/>
      <c r="O294" s="32">
        <v>45</v>
      </c>
      <c r="P294" s="10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467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79</v>
      </c>
      <c r="Q295" s="686"/>
      <c r="R295" s="686"/>
      <c r="S295" s="686"/>
      <c r="T295" s="686"/>
      <c r="U295" s="686"/>
      <c r="V295" s="687"/>
      <c r="W295" s="37" t="s">
        <v>80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79</v>
      </c>
      <c r="Q296" s="686"/>
      <c r="R296" s="686"/>
      <c r="S296" s="686"/>
      <c r="T296" s="686"/>
      <c r="U296" s="686"/>
      <c r="V296" s="687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23" t="s">
        <v>468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hidden="1" customHeight="1" x14ac:dyDescent="0.25">
      <c r="A298" s="682" t="s">
        <v>63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hidden="1" customHeight="1" x14ac:dyDescent="0.25">
      <c r="A299" s="54" t="s">
        <v>469</v>
      </c>
      <c r="B299" s="54" t="s">
        <v>470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98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471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79</v>
      </c>
      <c r="Q300" s="686"/>
      <c r="R300" s="686"/>
      <c r="S300" s="686"/>
      <c r="T300" s="686"/>
      <c r="U300" s="686"/>
      <c r="V300" s="687"/>
      <c r="W300" s="37" t="s">
        <v>80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79</v>
      </c>
      <c r="Q301" s="686"/>
      <c r="R301" s="686"/>
      <c r="S301" s="686"/>
      <c r="T301" s="686"/>
      <c r="U301" s="686"/>
      <c r="V301" s="687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23" t="s">
        <v>472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hidden="1" customHeight="1" x14ac:dyDescent="0.25">
      <c r="A303" s="682" t="s">
        <v>89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hidden="1" customHeight="1" x14ac:dyDescent="0.25">
      <c r="A304" s="54" t="s">
        <v>473</v>
      </c>
      <c r="B304" s="54" t="s">
        <v>474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97</v>
      </c>
      <c r="L304" s="32"/>
      <c r="M304" s="33" t="s">
        <v>93</v>
      </c>
      <c r="N304" s="33"/>
      <c r="O304" s="32">
        <v>55</v>
      </c>
      <c r="P304" s="89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434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79</v>
      </c>
      <c r="Q305" s="686"/>
      <c r="R305" s="686"/>
      <c r="S305" s="686"/>
      <c r="T305" s="686"/>
      <c r="U305" s="686"/>
      <c r="V305" s="687"/>
      <c r="W305" s="37" t="s">
        <v>80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79</v>
      </c>
      <c r="Q306" s="686"/>
      <c r="R306" s="686"/>
      <c r="S306" s="686"/>
      <c r="T306" s="686"/>
      <c r="U306" s="686"/>
      <c r="V306" s="687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139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hidden="1" customHeight="1" x14ac:dyDescent="0.25">
      <c r="A308" s="54" t="s">
        <v>475</v>
      </c>
      <c r="B308" s="54" t="s">
        <v>476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142</v>
      </c>
      <c r="L308" s="32"/>
      <c r="M308" s="33" t="s">
        <v>67</v>
      </c>
      <c r="N308" s="33"/>
      <c r="O308" s="32">
        <v>40</v>
      </c>
      <c r="P308" s="8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477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478</v>
      </c>
      <c r="B309" s="54" t="s">
        <v>479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142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477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79</v>
      </c>
      <c r="Q310" s="686"/>
      <c r="R310" s="686"/>
      <c r="S310" s="686"/>
      <c r="T310" s="686"/>
      <c r="U310" s="686"/>
      <c r="V310" s="687"/>
      <c r="W310" s="37" t="s">
        <v>80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79</v>
      </c>
      <c r="Q311" s="686"/>
      <c r="R311" s="686"/>
      <c r="S311" s="686"/>
      <c r="T311" s="686"/>
      <c r="U311" s="686"/>
      <c r="V311" s="687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23" t="s">
        <v>480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hidden="1" customHeight="1" x14ac:dyDescent="0.25">
      <c r="A313" s="682" t="s">
        <v>89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hidden="1" customHeight="1" x14ac:dyDescent="0.25">
      <c r="A314" s="54" t="s">
        <v>481</v>
      </c>
      <c r="B314" s="54" t="s">
        <v>482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92</v>
      </c>
      <c r="L314" s="32"/>
      <c r="M314" s="33" t="s">
        <v>93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483</v>
      </c>
      <c r="AB314" s="57"/>
      <c r="AC314" s="357" t="s">
        <v>484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79</v>
      </c>
      <c r="Q315" s="686"/>
      <c r="R315" s="686"/>
      <c r="S315" s="686"/>
      <c r="T315" s="686"/>
      <c r="U315" s="686"/>
      <c r="V315" s="687"/>
      <c r="W315" s="37" t="s">
        <v>80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79</v>
      </c>
      <c r="Q316" s="686"/>
      <c r="R316" s="686"/>
      <c r="S316" s="686"/>
      <c r="T316" s="686"/>
      <c r="U316" s="686"/>
      <c r="V316" s="687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23" t="s">
        <v>485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hidden="1" customHeight="1" x14ac:dyDescent="0.25">
      <c r="A318" s="682" t="s">
        <v>89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hidden="1" customHeight="1" x14ac:dyDescent="0.25">
      <c r="A319" s="54" t="s">
        <v>486</v>
      </c>
      <c r="B319" s="54" t="s">
        <v>487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92</v>
      </c>
      <c r="L319" s="32"/>
      <c r="M319" s="33" t="s">
        <v>98</v>
      </c>
      <c r="N319" s="33"/>
      <c r="O319" s="32">
        <v>55</v>
      </c>
      <c r="P319" s="10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488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hidden="1" customHeight="1" x14ac:dyDescent="0.25">
      <c r="A320" s="54" t="s">
        <v>489</v>
      </c>
      <c r="B320" s="54" t="s">
        <v>490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92</v>
      </c>
      <c r="L320" s="32"/>
      <c r="M320" s="33" t="s">
        <v>98</v>
      </c>
      <c r="N320" s="33"/>
      <c r="O320" s="32">
        <v>55</v>
      </c>
      <c r="P320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47"/>
        <v>0</v>
      </c>
      <c r="Z320" s="36" t="str">
        <f>IFERROR(IF(Y320=0,"",ROUNDUP(Y320/H320,0)*0.01898),"")</f>
        <v/>
      </c>
      <c r="AA320" s="56"/>
      <c r="AB320" s="57"/>
      <c r="AC320" s="361" t="s">
        <v>491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489</v>
      </c>
      <c r="B321" s="54" t="s">
        <v>492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92</v>
      </c>
      <c r="L321" s="32"/>
      <c r="M321" s="33" t="s">
        <v>383</v>
      </c>
      <c r="N321" s="33"/>
      <c r="O321" s="32">
        <v>55</v>
      </c>
      <c r="P321" s="959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47"/>
        <v>0</v>
      </c>
      <c r="Z321" s="36" t="str">
        <f>IFERROR(IF(Y321=0,"",ROUNDUP(Y321/H321,0)*0.02039),"")</f>
        <v/>
      </c>
      <c r="AA321" s="56"/>
      <c r="AB321" s="57"/>
      <c r="AC321" s="363" t="s">
        <v>493</v>
      </c>
      <c r="AG321" s="64"/>
      <c r="AJ321" s="68"/>
      <c r="AK321" s="68">
        <v>0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494</v>
      </c>
      <c r="B322" s="54" t="s">
        <v>495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92</v>
      </c>
      <c r="L322" s="32"/>
      <c r="M322" s="33" t="s">
        <v>93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496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497</v>
      </c>
      <c r="B323" s="54" t="s">
        <v>498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97</v>
      </c>
      <c r="L323" s="32"/>
      <c r="M323" s="33" t="s">
        <v>93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499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500</v>
      </c>
      <c r="B324" s="54" t="s">
        <v>501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97</v>
      </c>
      <c r="L324" s="32"/>
      <c r="M324" s="33" t="s">
        <v>93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491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idden="1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79</v>
      </c>
      <c r="Q325" s="686"/>
      <c r="R325" s="686"/>
      <c r="S325" s="686"/>
      <c r="T325" s="686"/>
      <c r="U325" s="686"/>
      <c r="V325" s="687"/>
      <c r="W325" s="37" t="s">
        <v>80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79</v>
      </c>
      <c r="Q326" s="686"/>
      <c r="R326" s="686"/>
      <c r="S326" s="686"/>
      <c r="T326" s="686"/>
      <c r="U326" s="686"/>
      <c r="V326" s="687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2" t="s">
        <v>139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hidden="1" customHeight="1" x14ac:dyDescent="0.25">
      <c r="A328" s="54" t="s">
        <v>502</v>
      </c>
      <c r="B328" s="54" t="s">
        <v>503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97</v>
      </c>
      <c r="L328" s="32"/>
      <c r="M328" s="33" t="s">
        <v>67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504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505</v>
      </c>
      <c r="B329" s="54" t="s">
        <v>506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97</v>
      </c>
      <c r="L329" s="32"/>
      <c r="M329" s="33" t="s">
        <v>67</v>
      </c>
      <c r="N329" s="33"/>
      <c r="O329" s="32">
        <v>40</v>
      </c>
      <c r="P329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507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508</v>
      </c>
      <c r="B330" s="54" t="s">
        <v>509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97</v>
      </c>
      <c r="L330" s="32"/>
      <c r="M330" s="33" t="s">
        <v>67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510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511</v>
      </c>
      <c r="B331" s="54" t="s">
        <v>512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142</v>
      </c>
      <c r="L331" s="32"/>
      <c r="M331" s="33" t="s">
        <v>67</v>
      </c>
      <c r="N331" s="33"/>
      <c r="O331" s="32">
        <v>40</v>
      </c>
      <c r="P331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507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79</v>
      </c>
      <c r="Q332" s="686"/>
      <c r="R332" s="686"/>
      <c r="S332" s="686"/>
      <c r="T332" s="686"/>
      <c r="U332" s="686"/>
      <c r="V332" s="687"/>
      <c r="W332" s="37" t="s">
        <v>80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79</v>
      </c>
      <c r="Q333" s="686"/>
      <c r="R333" s="686"/>
      <c r="S333" s="686"/>
      <c r="T333" s="686"/>
      <c r="U333" s="686"/>
      <c r="V333" s="687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2" t="s">
        <v>63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hidden="1" customHeight="1" x14ac:dyDescent="0.25">
      <c r="A335" s="54" t="s">
        <v>513</v>
      </c>
      <c r="B335" s="54" t="s">
        <v>514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92</v>
      </c>
      <c r="L335" s="32"/>
      <c r="M335" s="33" t="s">
        <v>98</v>
      </c>
      <c r="N335" s="33"/>
      <c r="O335" s="32">
        <v>40</v>
      </c>
      <c r="P335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515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516</v>
      </c>
      <c r="B336" s="54" t="s">
        <v>517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92</v>
      </c>
      <c r="L336" s="32"/>
      <c r="M336" s="33" t="s">
        <v>98</v>
      </c>
      <c r="N336" s="33"/>
      <c r="O336" s="32">
        <v>40</v>
      </c>
      <c r="P336" s="10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518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519</v>
      </c>
      <c r="B337" s="54" t="s">
        <v>520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92</v>
      </c>
      <c r="L337" s="32"/>
      <c r="M337" s="33" t="s">
        <v>98</v>
      </c>
      <c r="N337" s="33"/>
      <c r="O337" s="32">
        <v>40</v>
      </c>
      <c r="P337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521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522</v>
      </c>
      <c r="B338" s="54" t="s">
        <v>523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98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524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525</v>
      </c>
      <c r="B339" s="54" t="s">
        <v>526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124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79</v>
      </c>
      <c r="Q340" s="686"/>
      <c r="R340" s="686"/>
      <c r="S340" s="686"/>
      <c r="T340" s="686"/>
      <c r="U340" s="686"/>
      <c r="V340" s="687"/>
      <c r="W340" s="37" t="s">
        <v>80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79</v>
      </c>
      <c r="Q341" s="686"/>
      <c r="R341" s="686"/>
      <c r="S341" s="686"/>
      <c r="T341" s="686"/>
      <c r="U341" s="686"/>
      <c r="V341" s="687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2" t="s">
        <v>165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hidden="1" customHeight="1" x14ac:dyDescent="0.25">
      <c r="A343" s="54" t="s">
        <v>528</v>
      </c>
      <c r="B343" s="54" t="s">
        <v>529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92</v>
      </c>
      <c r="L343" s="32"/>
      <c r="M343" s="33" t="s">
        <v>98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531</v>
      </c>
      <c r="B344" s="54" t="s">
        <v>532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92</v>
      </c>
      <c r="L344" s="32"/>
      <c r="M344" s="33" t="s">
        <v>98</v>
      </c>
      <c r="N344" s="33"/>
      <c r="O344" s="32">
        <v>30</v>
      </c>
      <c r="P344" s="9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534</v>
      </c>
      <c r="B345" s="54" t="s">
        <v>535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92</v>
      </c>
      <c r="L345" s="32"/>
      <c r="M345" s="33" t="s">
        <v>124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79</v>
      </c>
      <c r="Q346" s="686"/>
      <c r="R346" s="686"/>
      <c r="S346" s="686"/>
      <c r="T346" s="686"/>
      <c r="U346" s="686"/>
      <c r="V346" s="687"/>
      <c r="W346" s="37" t="s">
        <v>80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79</v>
      </c>
      <c r="Q347" s="686"/>
      <c r="R347" s="686"/>
      <c r="S347" s="686"/>
      <c r="T347" s="686"/>
      <c r="U347" s="686"/>
      <c r="V347" s="687"/>
      <c r="W347" s="37" t="s">
        <v>68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2" t="s">
        <v>81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hidden="1" customHeight="1" x14ac:dyDescent="0.25">
      <c r="A349" s="54" t="s">
        <v>537</v>
      </c>
      <c r="B349" s="54" t="s">
        <v>538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97</v>
      </c>
      <c r="L349" s="32"/>
      <c r="M349" s="33" t="s">
        <v>84</v>
      </c>
      <c r="N349" s="33"/>
      <c r="O349" s="32">
        <v>180</v>
      </c>
      <c r="P349" s="987" t="s">
        <v>539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540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541</v>
      </c>
      <c r="B350" s="54" t="s">
        <v>542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97</v>
      </c>
      <c r="L350" s="32"/>
      <c r="M350" s="33" t="s">
        <v>84</v>
      </c>
      <c r="N350" s="33"/>
      <c r="O350" s="32">
        <v>180</v>
      </c>
      <c r="P350" s="791" t="s">
        <v>543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544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545</v>
      </c>
      <c r="B351" s="54" t="s">
        <v>546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84</v>
      </c>
      <c r="N351" s="33"/>
      <c r="O351" s="32">
        <v>180</v>
      </c>
      <c r="P351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547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548</v>
      </c>
      <c r="B352" s="54" t="s">
        <v>549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84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544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79</v>
      </c>
      <c r="Q353" s="686"/>
      <c r="R353" s="686"/>
      <c r="S353" s="686"/>
      <c r="T353" s="686"/>
      <c r="U353" s="686"/>
      <c r="V353" s="687"/>
      <c r="W353" s="37" t="s">
        <v>80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79</v>
      </c>
      <c r="Q354" s="686"/>
      <c r="R354" s="686"/>
      <c r="S354" s="686"/>
      <c r="T354" s="686"/>
      <c r="U354" s="686"/>
      <c r="V354" s="687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550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hidden="1" customHeight="1" x14ac:dyDescent="0.25">
      <c r="A356" s="54" t="s">
        <v>551</v>
      </c>
      <c r="B356" s="54" t="s">
        <v>552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553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554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555</v>
      </c>
      <c r="B357" s="54" t="s">
        <v>556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553</v>
      </c>
      <c r="N357" s="33"/>
      <c r="O357" s="32">
        <v>730</v>
      </c>
      <c r="P357" s="9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554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557</v>
      </c>
      <c r="B358" s="54" t="s">
        <v>558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553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79</v>
      </c>
      <c r="Q359" s="686"/>
      <c r="R359" s="686"/>
      <c r="S359" s="686"/>
      <c r="T359" s="686"/>
      <c r="U359" s="686"/>
      <c r="V359" s="687"/>
      <c r="W359" s="37" t="s">
        <v>80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79</v>
      </c>
      <c r="Q360" s="686"/>
      <c r="R360" s="686"/>
      <c r="S360" s="686"/>
      <c r="T360" s="686"/>
      <c r="U360" s="686"/>
      <c r="V360" s="687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23" t="s">
        <v>559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hidden="1" customHeight="1" x14ac:dyDescent="0.25">
      <c r="A362" s="682" t="s">
        <v>139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hidden="1" customHeight="1" x14ac:dyDescent="0.25">
      <c r="A363" s="54" t="s">
        <v>560</v>
      </c>
      <c r="B363" s="54" t="s">
        <v>561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562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79</v>
      </c>
      <c r="Q364" s="686"/>
      <c r="R364" s="686"/>
      <c r="S364" s="686"/>
      <c r="T364" s="686"/>
      <c r="U364" s="686"/>
      <c r="V364" s="687"/>
      <c r="W364" s="37" t="s">
        <v>80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79</v>
      </c>
      <c r="Q365" s="686"/>
      <c r="R365" s="686"/>
      <c r="S365" s="686"/>
      <c r="T365" s="686"/>
      <c r="U365" s="686"/>
      <c r="V365" s="687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2" t="s">
        <v>63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hidden="1" customHeight="1" x14ac:dyDescent="0.25">
      <c r="A367" s="54" t="s">
        <v>563</v>
      </c>
      <c r="B367" s="54" t="s">
        <v>564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92</v>
      </c>
      <c r="L367" s="32"/>
      <c r="M367" s="33" t="s">
        <v>124</v>
      </c>
      <c r="N367" s="33"/>
      <c r="O367" s="32">
        <v>45</v>
      </c>
      <c r="P367" s="9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565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566</v>
      </c>
      <c r="B368" s="54" t="s">
        <v>567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98</v>
      </c>
      <c r="N368" s="33"/>
      <c r="O368" s="32">
        <v>45</v>
      </c>
      <c r="P368" s="10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568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569</v>
      </c>
      <c r="B369" s="54" t="s">
        <v>570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124</v>
      </c>
      <c r="N369" s="33"/>
      <c r="O369" s="32">
        <v>40</v>
      </c>
      <c r="P369" s="9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571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79</v>
      </c>
      <c r="Q370" s="686"/>
      <c r="R370" s="686"/>
      <c r="S370" s="686"/>
      <c r="T370" s="686"/>
      <c r="U370" s="686"/>
      <c r="V370" s="687"/>
      <c r="W370" s="37" t="s">
        <v>80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79</v>
      </c>
      <c r="Q371" s="686"/>
      <c r="R371" s="686"/>
      <c r="S371" s="686"/>
      <c r="T371" s="686"/>
      <c r="U371" s="686"/>
      <c r="V371" s="687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802" t="s">
        <v>572</v>
      </c>
      <c r="B372" s="803"/>
      <c r="C372" s="803"/>
      <c r="D372" s="803"/>
      <c r="E372" s="803"/>
      <c r="F372" s="803"/>
      <c r="G372" s="803"/>
      <c r="H372" s="803"/>
      <c r="I372" s="803"/>
      <c r="J372" s="803"/>
      <c r="K372" s="803"/>
      <c r="L372" s="803"/>
      <c r="M372" s="803"/>
      <c r="N372" s="803"/>
      <c r="O372" s="803"/>
      <c r="P372" s="803"/>
      <c r="Q372" s="803"/>
      <c r="R372" s="803"/>
      <c r="S372" s="803"/>
      <c r="T372" s="803"/>
      <c r="U372" s="803"/>
      <c r="V372" s="803"/>
      <c r="W372" s="803"/>
      <c r="X372" s="803"/>
      <c r="Y372" s="803"/>
      <c r="Z372" s="803"/>
      <c r="AA372" s="48"/>
      <c r="AB372" s="48"/>
      <c r="AC372" s="48"/>
    </row>
    <row r="373" spans="1:68" ht="16.5" hidden="1" customHeight="1" x14ac:dyDescent="0.25">
      <c r="A373" s="723" t="s">
        <v>573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hidden="1" customHeight="1" x14ac:dyDescent="0.25">
      <c r="A374" s="682" t="s">
        <v>89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37.5" hidden="1" customHeight="1" x14ac:dyDescent="0.25">
      <c r="A375" s="54" t="s">
        <v>574</v>
      </c>
      <c r="B375" s="54" t="s">
        <v>575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92</v>
      </c>
      <c r="L375" s="32"/>
      <c r="M375" s="33" t="s">
        <v>67</v>
      </c>
      <c r="N375" s="33"/>
      <c r="O375" s="32">
        <v>60</v>
      </c>
      <c r="P375" s="88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576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27" hidden="1" customHeight="1" x14ac:dyDescent="0.25">
      <c r="A376" s="54" t="s">
        <v>574</v>
      </c>
      <c r="B376" s="54" t="s">
        <v>577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92</v>
      </c>
      <c r="L376" s="32"/>
      <c r="M376" s="33" t="s">
        <v>383</v>
      </c>
      <c r="N376" s="33"/>
      <c r="O376" s="32">
        <v>60</v>
      </c>
      <c r="P376" s="804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2"/>
        <v>0</v>
      </c>
      <c r="Z376" s="36" t="str">
        <f>IFERROR(IF(Y376=0,"",ROUNDUP(Y376/H376,0)*0.02039),"")</f>
        <v/>
      </c>
      <c r="AA376" s="56"/>
      <c r="AB376" s="57"/>
      <c r="AC376" s="419" t="s">
        <v>578</v>
      </c>
      <c r="AG376" s="64"/>
      <c r="AJ376" s="68"/>
      <c r="AK376" s="68">
        <v>0</v>
      </c>
      <c r="BB376" s="420" t="s">
        <v>1</v>
      </c>
      <c r="BM376" s="64">
        <f t="shared" si="53"/>
        <v>0</v>
      </c>
      <c r="BN376" s="64">
        <f t="shared" si="54"/>
        <v>0</v>
      </c>
      <c r="BO376" s="64">
        <f t="shared" si="55"/>
        <v>0</v>
      </c>
      <c r="BP376" s="64">
        <f t="shared" si="56"/>
        <v>0</v>
      </c>
    </row>
    <row r="377" spans="1:68" ht="27" hidden="1" customHeight="1" x14ac:dyDescent="0.25">
      <c r="A377" s="54" t="s">
        <v>579</v>
      </c>
      <c r="B377" s="54" t="s">
        <v>580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92</v>
      </c>
      <c r="L377" s="32"/>
      <c r="M377" s="33" t="s">
        <v>383</v>
      </c>
      <c r="N377" s="33"/>
      <c r="O377" s="32">
        <v>60</v>
      </c>
      <c r="P377" s="88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578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579</v>
      </c>
      <c r="B378" s="54" t="s">
        <v>581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92</v>
      </c>
      <c r="L378" s="32"/>
      <c r="M378" s="33" t="s">
        <v>67</v>
      </c>
      <c r="N378" s="33"/>
      <c r="O378" s="32">
        <v>60</v>
      </c>
      <c r="P378" s="8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1700</v>
      </c>
      <c r="Y378" s="666">
        <f t="shared" si="52"/>
        <v>1710</v>
      </c>
      <c r="Z378" s="36">
        <f>IFERROR(IF(Y378=0,"",ROUNDUP(Y378/H378,0)*0.02175),"")</f>
        <v>2.4794999999999998</v>
      </c>
      <c r="AA378" s="56"/>
      <c r="AB378" s="57"/>
      <c r="AC378" s="423" t="s">
        <v>582</v>
      </c>
      <c r="AG378" s="64"/>
      <c r="AJ378" s="68"/>
      <c r="AK378" s="68">
        <v>0</v>
      </c>
      <c r="BB378" s="424" t="s">
        <v>1</v>
      </c>
      <c r="BM378" s="64">
        <f t="shared" si="53"/>
        <v>1754.4</v>
      </c>
      <c r="BN378" s="64">
        <f t="shared" si="54"/>
        <v>1764.72</v>
      </c>
      <c r="BO378" s="64">
        <f t="shared" si="55"/>
        <v>2.3611111111111107</v>
      </c>
      <c r="BP378" s="64">
        <f t="shared" si="56"/>
        <v>2.375</v>
      </c>
    </row>
    <row r="379" spans="1:68" ht="37.5" customHeight="1" x14ac:dyDescent="0.25">
      <c r="A379" s="54" t="s">
        <v>583</v>
      </c>
      <c r="B379" s="54" t="s">
        <v>584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92</v>
      </c>
      <c r="L379" s="32"/>
      <c r="M379" s="33" t="s">
        <v>67</v>
      </c>
      <c r="N379" s="33"/>
      <c r="O379" s="32">
        <v>60</v>
      </c>
      <c r="P379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2700</v>
      </c>
      <c r="Y379" s="666">
        <f t="shared" si="52"/>
        <v>2700</v>
      </c>
      <c r="Z379" s="36">
        <f>IFERROR(IF(Y379=0,"",ROUNDUP(Y379/H379,0)*0.02175),"")</f>
        <v>3.9149999999999996</v>
      </c>
      <c r="AA379" s="56"/>
      <c r="AB379" s="57"/>
      <c r="AC379" s="425" t="s">
        <v>585</v>
      </c>
      <c r="AG379" s="64"/>
      <c r="AJ379" s="68"/>
      <c r="AK379" s="68">
        <v>0</v>
      </c>
      <c r="BB379" s="426" t="s">
        <v>1</v>
      </c>
      <c r="BM379" s="64">
        <f t="shared" si="53"/>
        <v>2786.4</v>
      </c>
      <c r="BN379" s="64">
        <f t="shared" si="54"/>
        <v>2786.4</v>
      </c>
      <c r="BO379" s="64">
        <f t="shared" si="55"/>
        <v>3.75</v>
      </c>
      <c r="BP379" s="64">
        <f t="shared" si="56"/>
        <v>3.75</v>
      </c>
    </row>
    <row r="380" spans="1:68" ht="27" hidden="1" customHeight="1" x14ac:dyDescent="0.25">
      <c r="A380" s="54" t="s">
        <v>586</v>
      </c>
      <c r="B380" s="54" t="s">
        <v>587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92</v>
      </c>
      <c r="L380" s="32"/>
      <c r="M380" s="33" t="s">
        <v>124</v>
      </c>
      <c r="N380" s="33"/>
      <c r="O380" s="32">
        <v>60</v>
      </c>
      <c r="P380" s="87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0</v>
      </c>
      <c r="Y380" s="666">
        <f t="shared" si="52"/>
        <v>0</v>
      </c>
      <c r="Z380" s="36" t="str">
        <f>IFERROR(IF(Y380=0,"",ROUNDUP(Y380/H380,0)*0.02175),"")</f>
        <v/>
      </c>
      <c r="AA380" s="56"/>
      <c r="AB380" s="57"/>
      <c r="AC380" s="427" t="s">
        <v>588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27" hidden="1" customHeight="1" x14ac:dyDescent="0.25">
      <c r="A381" s="54" t="s">
        <v>583</v>
      </c>
      <c r="B381" s="54" t="s">
        <v>589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92</v>
      </c>
      <c r="L381" s="32"/>
      <c r="M381" s="33" t="s">
        <v>383</v>
      </c>
      <c r="N381" s="33"/>
      <c r="O381" s="32">
        <v>60</v>
      </c>
      <c r="P381" s="72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2"/>
        <v>0</v>
      </c>
      <c r="Z381" s="36" t="str">
        <f>IFERROR(IF(Y381=0,"",ROUNDUP(Y381/H381,0)*0.02039),"")</f>
        <v/>
      </c>
      <c r="AA381" s="56"/>
      <c r="AB381" s="57"/>
      <c r="AC381" s="429" t="s">
        <v>578</v>
      </c>
      <c r="AG381" s="64"/>
      <c r="AJ381" s="68"/>
      <c r="AK381" s="68">
        <v>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hidden="1" customHeight="1" x14ac:dyDescent="0.25">
      <c r="A382" s="54" t="s">
        <v>590</v>
      </c>
      <c r="B382" s="54" t="s">
        <v>591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97</v>
      </c>
      <c r="L382" s="32"/>
      <c r="M382" s="33" t="s">
        <v>93</v>
      </c>
      <c r="N382" s="33"/>
      <c r="O382" s="32">
        <v>90</v>
      </c>
      <c r="P382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592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593</v>
      </c>
      <c r="B383" s="54" t="s">
        <v>594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97</v>
      </c>
      <c r="L383" s="32"/>
      <c r="M383" s="33" t="s">
        <v>67</v>
      </c>
      <c r="N383" s="33"/>
      <c r="O383" s="32">
        <v>60</v>
      </c>
      <c r="P383" s="10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595</v>
      </c>
      <c r="B384" s="54" t="s">
        <v>596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97</v>
      </c>
      <c r="L384" s="32"/>
      <c r="M384" s="33" t="s">
        <v>67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585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79</v>
      </c>
      <c r="Q385" s="686"/>
      <c r="R385" s="686"/>
      <c r="S385" s="686"/>
      <c r="T385" s="686"/>
      <c r="U385" s="686"/>
      <c r="V385" s="687"/>
      <c r="W385" s="37" t="s">
        <v>80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293.33333333333331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294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6.394499999999999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79</v>
      </c>
      <c r="Q386" s="686"/>
      <c r="R386" s="686"/>
      <c r="S386" s="686"/>
      <c r="T386" s="686"/>
      <c r="U386" s="686"/>
      <c r="V386" s="687"/>
      <c r="W386" s="37" t="s">
        <v>68</v>
      </c>
      <c r="X386" s="667">
        <f>IFERROR(SUM(X375:X384),"0")</f>
        <v>4400</v>
      </c>
      <c r="Y386" s="667">
        <f>IFERROR(SUM(Y375:Y384),"0")</f>
        <v>4410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128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hidden="1" customHeight="1" x14ac:dyDescent="0.25">
      <c r="A388" s="54" t="s">
        <v>597</v>
      </c>
      <c r="B388" s="54" t="s">
        <v>598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92</v>
      </c>
      <c r="L388" s="32"/>
      <c r="M388" s="33" t="s">
        <v>93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599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600</v>
      </c>
      <c r="B389" s="54" t="s">
        <v>601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97</v>
      </c>
      <c r="L389" s="32"/>
      <c r="M389" s="33" t="s">
        <v>93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599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79</v>
      </c>
      <c r="Q390" s="686"/>
      <c r="R390" s="686"/>
      <c r="S390" s="686"/>
      <c r="T390" s="686"/>
      <c r="U390" s="686"/>
      <c r="V390" s="687"/>
      <c r="W390" s="37" t="s">
        <v>80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hidden="1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79</v>
      </c>
      <c r="Q391" s="686"/>
      <c r="R391" s="686"/>
      <c r="S391" s="686"/>
      <c r="T391" s="686"/>
      <c r="U391" s="686"/>
      <c r="V391" s="687"/>
      <c r="W391" s="37" t="s">
        <v>68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hidden="1" customHeight="1" x14ac:dyDescent="0.25">
      <c r="A392" s="682" t="s">
        <v>63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hidden="1" customHeight="1" x14ac:dyDescent="0.25">
      <c r="A393" s="54" t="s">
        <v>602</v>
      </c>
      <c r="B393" s="54" t="s">
        <v>603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92</v>
      </c>
      <c r="L393" s="32"/>
      <c r="M393" s="33" t="s">
        <v>98</v>
      </c>
      <c r="N393" s="33"/>
      <c r="O393" s="32">
        <v>40</v>
      </c>
      <c r="P393" s="897" t="s">
        <v>604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605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606</v>
      </c>
      <c r="B394" s="54" t="s">
        <v>607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92</v>
      </c>
      <c r="L394" s="32"/>
      <c r="M394" s="33" t="s">
        <v>98</v>
      </c>
      <c r="N394" s="33"/>
      <c r="O394" s="32">
        <v>40</v>
      </c>
      <c r="P394" s="735" t="s">
        <v>608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609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79</v>
      </c>
      <c r="Q395" s="686"/>
      <c r="R395" s="686"/>
      <c r="S395" s="686"/>
      <c r="T395" s="686"/>
      <c r="U395" s="686"/>
      <c r="V395" s="687"/>
      <c r="W395" s="37" t="s">
        <v>80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79</v>
      </c>
      <c r="Q396" s="686"/>
      <c r="R396" s="686"/>
      <c r="S396" s="686"/>
      <c r="T396" s="686"/>
      <c r="U396" s="686"/>
      <c r="V396" s="687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2" t="s">
        <v>165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hidden="1" customHeight="1" x14ac:dyDescent="0.25">
      <c r="A398" s="54" t="s">
        <v>610</v>
      </c>
      <c r="B398" s="54" t="s">
        <v>611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92</v>
      </c>
      <c r="L398" s="32"/>
      <c r="M398" s="33" t="s">
        <v>98</v>
      </c>
      <c r="N398" s="33"/>
      <c r="O398" s="32">
        <v>30</v>
      </c>
      <c r="P398" s="949" t="s">
        <v>612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613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79</v>
      </c>
      <c r="Q399" s="686"/>
      <c r="R399" s="686"/>
      <c r="S399" s="686"/>
      <c r="T399" s="686"/>
      <c r="U399" s="686"/>
      <c r="V399" s="687"/>
      <c r="W399" s="37" t="s">
        <v>80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79</v>
      </c>
      <c r="Q400" s="686"/>
      <c r="R400" s="686"/>
      <c r="S400" s="686"/>
      <c r="T400" s="686"/>
      <c r="U400" s="686"/>
      <c r="V400" s="687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23" t="s">
        <v>614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hidden="1" customHeight="1" x14ac:dyDescent="0.25">
      <c r="A402" s="682" t="s">
        <v>89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hidden="1" customHeight="1" x14ac:dyDescent="0.25">
      <c r="A403" s="54" t="s">
        <v>615</v>
      </c>
      <c r="B403" s="54" t="s">
        <v>616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92</v>
      </c>
      <c r="L403" s="32"/>
      <c r="M403" s="33" t="s">
        <v>67</v>
      </c>
      <c r="N403" s="33"/>
      <c r="O403" s="32">
        <v>60</v>
      </c>
      <c r="P403" s="82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617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615</v>
      </c>
      <c r="B404" s="54" t="s">
        <v>618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92</v>
      </c>
      <c r="L404" s="32"/>
      <c r="M404" s="33" t="s">
        <v>67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619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620</v>
      </c>
      <c r="B405" s="54" t="s">
        <v>621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92</v>
      </c>
      <c r="L405" s="32"/>
      <c r="M405" s="33" t="s">
        <v>93</v>
      </c>
      <c r="N405" s="33"/>
      <c r="O405" s="32">
        <v>60</v>
      </c>
      <c r="P405" s="764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622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623</v>
      </c>
      <c r="B406" s="54" t="s">
        <v>624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92</v>
      </c>
      <c r="L406" s="32"/>
      <c r="M406" s="33" t="s">
        <v>67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625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626</v>
      </c>
      <c r="B407" s="54" t="s">
        <v>627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92</v>
      </c>
      <c r="L407" s="32"/>
      <c r="M407" s="33" t="s">
        <v>67</v>
      </c>
      <c r="N407" s="33"/>
      <c r="O407" s="32">
        <v>60</v>
      </c>
      <c r="P407" s="7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625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628</v>
      </c>
      <c r="B408" s="54" t="s">
        <v>629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97</v>
      </c>
      <c r="L408" s="32"/>
      <c r="M408" s="33" t="s">
        <v>67</v>
      </c>
      <c r="N408" s="33"/>
      <c r="O408" s="32">
        <v>60</v>
      </c>
      <c r="P408" s="10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68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625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79</v>
      </c>
      <c r="Q409" s="686"/>
      <c r="R409" s="686"/>
      <c r="S409" s="686"/>
      <c r="T409" s="686"/>
      <c r="U409" s="686"/>
      <c r="V409" s="687"/>
      <c r="W409" s="37" t="s">
        <v>80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79</v>
      </c>
      <c r="Q410" s="686"/>
      <c r="R410" s="686"/>
      <c r="S410" s="686"/>
      <c r="T410" s="686"/>
      <c r="U410" s="686"/>
      <c r="V410" s="687"/>
      <c r="W410" s="37" t="s">
        <v>68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82" t="s">
        <v>139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hidden="1" customHeight="1" x14ac:dyDescent="0.25">
      <c r="A412" s="54" t="s">
        <v>630</v>
      </c>
      <c r="B412" s="54" t="s">
        <v>631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97</v>
      </c>
      <c r="L412" s="32"/>
      <c r="M412" s="33" t="s">
        <v>67</v>
      </c>
      <c r="N412" s="33"/>
      <c r="O412" s="32">
        <v>35</v>
      </c>
      <c r="P412" s="9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632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633</v>
      </c>
      <c r="B413" s="54" t="s">
        <v>634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142</v>
      </c>
      <c r="L413" s="32"/>
      <c r="M413" s="33" t="s">
        <v>67</v>
      </c>
      <c r="N413" s="33"/>
      <c r="O413" s="32">
        <v>35</v>
      </c>
      <c r="P413" s="76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68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79</v>
      </c>
      <c r="Q414" s="686"/>
      <c r="R414" s="686"/>
      <c r="S414" s="686"/>
      <c r="T414" s="686"/>
      <c r="U414" s="686"/>
      <c r="V414" s="687"/>
      <c r="W414" s="37" t="s">
        <v>80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79</v>
      </c>
      <c r="Q415" s="686"/>
      <c r="R415" s="686"/>
      <c r="S415" s="686"/>
      <c r="T415" s="686"/>
      <c r="U415" s="686"/>
      <c r="V415" s="687"/>
      <c r="W415" s="37" t="s">
        <v>68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82" t="s">
        <v>63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635</v>
      </c>
      <c r="B417" s="54" t="s">
        <v>636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92</v>
      </c>
      <c r="L417" s="32"/>
      <c r="M417" s="33" t="s">
        <v>98</v>
      </c>
      <c r="N417" s="33"/>
      <c r="O417" s="32">
        <v>40</v>
      </c>
      <c r="P417" s="10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2300</v>
      </c>
      <c r="Y417" s="666">
        <f>IFERROR(IF(X417="",0,CEILING((X417/$H417),1)*$H417),"")</f>
        <v>2304</v>
      </c>
      <c r="Z417" s="36">
        <f>IFERROR(IF(Y417=0,"",ROUNDUP(Y417/H417,0)*0.01898),"")</f>
        <v>4.8588800000000001</v>
      </c>
      <c r="AA417" s="56"/>
      <c r="AB417" s="57"/>
      <c r="AC417" s="463" t="s">
        <v>637</v>
      </c>
      <c r="AG417" s="64"/>
      <c r="AJ417" s="68"/>
      <c r="AK417" s="68">
        <v>0</v>
      </c>
      <c r="BB417" s="464" t="s">
        <v>1</v>
      </c>
      <c r="BM417" s="64">
        <f>IFERROR(X417*I417/H417,"0")</f>
        <v>2432.6333333333332</v>
      </c>
      <c r="BN417" s="64">
        <f>IFERROR(Y417*I417/H417,"0")</f>
        <v>2436.864</v>
      </c>
      <c r="BO417" s="64">
        <f>IFERROR(1/J417*(X417/H417),"0")</f>
        <v>3.9930555555555554</v>
      </c>
      <c r="BP417" s="64">
        <f>IFERROR(1/J417*(Y417/H417),"0")</f>
        <v>4</v>
      </c>
    </row>
    <row r="418" spans="1:68" ht="37.5" hidden="1" customHeight="1" x14ac:dyDescent="0.25">
      <c r="A418" s="54" t="s">
        <v>638</v>
      </c>
      <c r="B418" s="54" t="s">
        <v>639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92</v>
      </c>
      <c r="L418" s="32"/>
      <c r="M418" s="33" t="s">
        <v>98</v>
      </c>
      <c r="N418" s="33"/>
      <c r="O418" s="32">
        <v>40</v>
      </c>
      <c r="P418" s="983" t="s">
        <v>640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641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642</v>
      </c>
      <c r="B419" s="54" t="s">
        <v>643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98</v>
      </c>
      <c r="N419" s="33"/>
      <c r="O419" s="32">
        <v>40</v>
      </c>
      <c r="P419" s="8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637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642</v>
      </c>
      <c r="B420" s="54" t="s">
        <v>644</v>
      </c>
      <c r="C420" s="31">
        <v>4301051297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8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645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646</v>
      </c>
      <c r="B421" s="54" t="s">
        <v>647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66</v>
      </c>
      <c r="L421" s="32"/>
      <c r="M421" s="33" t="s">
        <v>67</v>
      </c>
      <c r="N421" s="33"/>
      <c r="O421" s="32">
        <v>40</v>
      </c>
      <c r="P421" s="102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68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648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79</v>
      </c>
      <c r="Q422" s="686"/>
      <c r="R422" s="686"/>
      <c r="S422" s="686"/>
      <c r="T422" s="686"/>
      <c r="U422" s="686"/>
      <c r="V422" s="687"/>
      <c r="W422" s="37" t="s">
        <v>80</v>
      </c>
      <c r="X422" s="667">
        <f>IFERROR(X417/H417,"0")+IFERROR(X418/H418,"0")+IFERROR(X419/H419,"0")+IFERROR(X420/H420,"0")+IFERROR(X421/H421,"0")</f>
        <v>255.55555555555554</v>
      </c>
      <c r="Y422" s="667">
        <f>IFERROR(Y417/H417,"0")+IFERROR(Y418/H418,"0")+IFERROR(Y419/H419,"0")+IFERROR(Y420/H420,"0")+IFERROR(Y421/H421,"0")</f>
        <v>256</v>
      </c>
      <c r="Z422" s="667">
        <f>IFERROR(IF(Z417="",0,Z417),"0")+IFERROR(IF(Z418="",0,Z418),"0")+IFERROR(IF(Z419="",0,Z419),"0")+IFERROR(IF(Z420="",0,Z420),"0")+IFERROR(IF(Z421="",0,Z421),"0")</f>
        <v>4.8588800000000001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79</v>
      </c>
      <c r="Q423" s="686"/>
      <c r="R423" s="686"/>
      <c r="S423" s="686"/>
      <c r="T423" s="686"/>
      <c r="U423" s="686"/>
      <c r="V423" s="687"/>
      <c r="W423" s="37" t="s">
        <v>68</v>
      </c>
      <c r="X423" s="667">
        <f>IFERROR(SUM(X417:X421),"0")</f>
        <v>2300</v>
      </c>
      <c r="Y423" s="667">
        <f>IFERROR(SUM(Y417:Y421),"0")</f>
        <v>2304</v>
      </c>
      <c r="Z423" s="37"/>
      <c r="AA423" s="668"/>
      <c r="AB423" s="668"/>
      <c r="AC423" s="668"/>
    </row>
    <row r="424" spans="1:68" ht="14.25" hidden="1" customHeight="1" x14ac:dyDescent="0.25">
      <c r="A424" s="682" t="s">
        <v>165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hidden="1" customHeight="1" x14ac:dyDescent="0.25">
      <c r="A425" s="54" t="s">
        <v>649</v>
      </c>
      <c r="B425" s="54" t="s">
        <v>650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92</v>
      </c>
      <c r="L425" s="32"/>
      <c r="M425" s="33" t="s">
        <v>98</v>
      </c>
      <c r="N425" s="33"/>
      <c r="O425" s="32">
        <v>40</v>
      </c>
      <c r="P425" s="859" t="s">
        <v>651</v>
      </c>
      <c r="Q425" s="672"/>
      <c r="R425" s="672"/>
      <c r="S425" s="672"/>
      <c r="T425" s="673"/>
      <c r="U425" s="34"/>
      <c r="V425" s="34"/>
      <c r="W425" s="35" t="s">
        <v>68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79</v>
      </c>
      <c r="Q426" s="686"/>
      <c r="R426" s="686"/>
      <c r="S426" s="686"/>
      <c r="T426" s="686"/>
      <c r="U426" s="686"/>
      <c r="V426" s="687"/>
      <c r="W426" s="37" t="s">
        <v>80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79</v>
      </c>
      <c r="Q427" s="686"/>
      <c r="R427" s="686"/>
      <c r="S427" s="686"/>
      <c r="T427" s="686"/>
      <c r="U427" s="686"/>
      <c r="V427" s="687"/>
      <c r="W427" s="37" t="s">
        <v>68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802" t="s">
        <v>653</v>
      </c>
      <c r="B428" s="803"/>
      <c r="C428" s="803"/>
      <c r="D428" s="803"/>
      <c r="E428" s="803"/>
      <c r="F428" s="803"/>
      <c r="G428" s="803"/>
      <c r="H428" s="803"/>
      <c r="I428" s="803"/>
      <c r="J428" s="803"/>
      <c r="K428" s="803"/>
      <c r="L428" s="803"/>
      <c r="M428" s="803"/>
      <c r="N428" s="803"/>
      <c r="O428" s="803"/>
      <c r="P428" s="803"/>
      <c r="Q428" s="803"/>
      <c r="R428" s="803"/>
      <c r="S428" s="803"/>
      <c r="T428" s="803"/>
      <c r="U428" s="803"/>
      <c r="V428" s="803"/>
      <c r="W428" s="803"/>
      <c r="X428" s="803"/>
      <c r="Y428" s="803"/>
      <c r="Z428" s="803"/>
      <c r="AA428" s="48"/>
      <c r="AB428" s="48"/>
      <c r="AC428" s="48"/>
    </row>
    <row r="429" spans="1:68" ht="16.5" hidden="1" customHeight="1" x14ac:dyDescent="0.25">
      <c r="A429" s="723" t="s">
        <v>654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hidden="1" customHeight="1" x14ac:dyDescent="0.25">
      <c r="A430" s="682" t="s">
        <v>139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hidden="1" customHeight="1" x14ac:dyDescent="0.25">
      <c r="A431" s="54" t="s">
        <v>655</v>
      </c>
      <c r="B431" s="54" t="s">
        <v>656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97</v>
      </c>
      <c r="L431" s="32"/>
      <c r="M431" s="33" t="s">
        <v>67</v>
      </c>
      <c r="N431" s="33"/>
      <c r="O431" s="32">
        <v>50</v>
      </c>
      <c r="P431" s="831" t="s">
        <v>657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658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hidden="1" customHeight="1" x14ac:dyDescent="0.25">
      <c r="A432" s="54" t="s">
        <v>659</v>
      </c>
      <c r="B432" s="54" t="s">
        <v>660</v>
      </c>
      <c r="C432" s="31">
        <v>4301031406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97</v>
      </c>
      <c r="L432" s="32"/>
      <c r="M432" s="33" t="s">
        <v>67</v>
      </c>
      <c r="N432" s="33"/>
      <c r="O432" s="32">
        <v>50</v>
      </c>
      <c r="P432" s="702" t="s">
        <v>661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662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659</v>
      </c>
      <c r="B433" s="54" t="s">
        <v>663</v>
      </c>
      <c r="C433" s="31">
        <v>4301031382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97</v>
      </c>
      <c r="L433" s="32"/>
      <c r="M433" s="33" t="s">
        <v>67</v>
      </c>
      <c r="N433" s="33"/>
      <c r="O433" s="32">
        <v>50</v>
      </c>
      <c r="P433" s="1017" t="s">
        <v>661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662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hidden="1" customHeight="1" x14ac:dyDescent="0.25">
      <c r="A434" s="54" t="s">
        <v>664</v>
      </c>
      <c r="B434" s="54" t="s">
        <v>665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97</v>
      </c>
      <c r="L434" s="32"/>
      <c r="M434" s="33" t="s">
        <v>67</v>
      </c>
      <c r="N434" s="33"/>
      <c r="O434" s="32">
        <v>50</v>
      </c>
      <c r="P434" s="1030" t="s">
        <v>666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667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hidden="1" customHeight="1" x14ac:dyDescent="0.25">
      <c r="A435" s="54" t="s">
        <v>668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142</v>
      </c>
      <c r="L435" s="32"/>
      <c r="M435" s="33" t="s">
        <v>67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658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668</v>
      </c>
      <c r="B436" s="54" t="s">
        <v>670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142</v>
      </c>
      <c r="L436" s="32"/>
      <c r="M436" s="33" t="s">
        <v>67</v>
      </c>
      <c r="N436" s="33"/>
      <c r="O436" s="32">
        <v>50</v>
      </c>
      <c r="P436" s="1033" t="s">
        <v>671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658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hidden="1" customHeight="1" x14ac:dyDescent="0.25">
      <c r="A437" s="54" t="s">
        <v>672</v>
      </c>
      <c r="B437" s="54" t="s">
        <v>673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142</v>
      </c>
      <c r="L437" s="32"/>
      <c r="M437" s="33" t="s">
        <v>67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658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hidden="1" customHeight="1" x14ac:dyDescent="0.25">
      <c r="A438" s="54" t="s">
        <v>674</v>
      </c>
      <c r="B438" s="54" t="s">
        <v>675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142</v>
      </c>
      <c r="L438" s="32"/>
      <c r="M438" s="33" t="s">
        <v>67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676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677</v>
      </c>
      <c r="B439" s="54" t="s">
        <v>678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142</v>
      </c>
      <c r="L439" s="32"/>
      <c r="M439" s="33" t="s">
        <v>67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679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677</v>
      </c>
      <c r="B440" s="54" t="s">
        <v>680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142</v>
      </c>
      <c r="L440" s="32"/>
      <c r="M440" s="33" t="s">
        <v>67</v>
      </c>
      <c r="N440" s="33"/>
      <c r="O440" s="32">
        <v>50</v>
      </c>
      <c r="P440" s="884" t="s">
        <v>681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679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682</v>
      </c>
      <c r="B441" s="54" t="s">
        <v>683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142</v>
      </c>
      <c r="L441" s="32"/>
      <c r="M441" s="33" t="s">
        <v>67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684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hidden="1" customHeight="1" x14ac:dyDescent="0.25">
      <c r="A442" s="54" t="s">
        <v>685</v>
      </c>
      <c r="B442" s="54" t="s">
        <v>686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142</v>
      </c>
      <c r="L442" s="32"/>
      <c r="M442" s="33" t="s">
        <v>67</v>
      </c>
      <c r="N442" s="33"/>
      <c r="O442" s="32">
        <v>50</v>
      </c>
      <c r="P442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68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679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idden="1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79</v>
      </c>
      <c r="Q443" s="686"/>
      <c r="R443" s="686"/>
      <c r="S443" s="686"/>
      <c r="T443" s="686"/>
      <c r="U443" s="686"/>
      <c r="V443" s="687"/>
      <c r="W443" s="37" t="s">
        <v>80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hidden="1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79</v>
      </c>
      <c r="Q444" s="686"/>
      <c r="R444" s="686"/>
      <c r="S444" s="686"/>
      <c r="T444" s="686"/>
      <c r="U444" s="686"/>
      <c r="V444" s="687"/>
      <c r="W444" s="37" t="s">
        <v>68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hidden="1" customHeight="1" x14ac:dyDescent="0.25">
      <c r="A445" s="682" t="s">
        <v>63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hidden="1" customHeight="1" x14ac:dyDescent="0.25">
      <c r="A446" s="54" t="s">
        <v>687</v>
      </c>
      <c r="B446" s="54" t="s">
        <v>688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97</v>
      </c>
      <c r="L446" s="32"/>
      <c r="M446" s="33" t="s">
        <v>98</v>
      </c>
      <c r="N446" s="33"/>
      <c r="O446" s="32">
        <v>45</v>
      </c>
      <c r="P446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689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690</v>
      </c>
      <c r="B447" s="54" t="s">
        <v>691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66</v>
      </c>
      <c r="L447" s="32"/>
      <c r="M447" s="33" t="s">
        <v>98</v>
      </c>
      <c r="N447" s="33"/>
      <c r="O447" s="32">
        <v>45</v>
      </c>
      <c r="P447" s="10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68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692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79</v>
      </c>
      <c r="Q448" s="686"/>
      <c r="R448" s="686"/>
      <c r="S448" s="686"/>
      <c r="T448" s="686"/>
      <c r="U448" s="686"/>
      <c r="V448" s="687"/>
      <c r="W448" s="37" t="s">
        <v>80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79</v>
      </c>
      <c r="Q449" s="686"/>
      <c r="R449" s="686"/>
      <c r="S449" s="686"/>
      <c r="T449" s="686"/>
      <c r="U449" s="686"/>
      <c r="V449" s="687"/>
      <c r="W449" s="37" t="s">
        <v>68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23" t="s">
        <v>693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hidden="1" customHeight="1" x14ac:dyDescent="0.25">
      <c r="A451" s="682" t="s">
        <v>128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hidden="1" customHeight="1" x14ac:dyDescent="0.25">
      <c r="A452" s="54" t="s">
        <v>694</v>
      </c>
      <c r="B452" s="54" t="s">
        <v>695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696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697</v>
      </c>
      <c r="B453" s="54" t="s">
        <v>698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66</v>
      </c>
      <c r="L453" s="32"/>
      <c r="M453" s="33" t="s">
        <v>67</v>
      </c>
      <c r="N453" s="33"/>
      <c r="O453" s="32">
        <v>40</v>
      </c>
      <c r="P453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68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699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79</v>
      </c>
      <c r="Q454" s="686"/>
      <c r="R454" s="686"/>
      <c r="S454" s="686"/>
      <c r="T454" s="686"/>
      <c r="U454" s="686"/>
      <c r="V454" s="687"/>
      <c r="W454" s="37" t="s">
        <v>80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79</v>
      </c>
      <c r="Q455" s="686"/>
      <c r="R455" s="686"/>
      <c r="S455" s="686"/>
      <c r="T455" s="686"/>
      <c r="U455" s="686"/>
      <c r="V455" s="687"/>
      <c r="W455" s="37" t="s">
        <v>68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139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hidden="1" customHeight="1" x14ac:dyDescent="0.25">
      <c r="A457" s="54" t="s">
        <v>700</v>
      </c>
      <c r="B457" s="54" t="s">
        <v>701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97</v>
      </c>
      <c r="L457" s="32"/>
      <c r="M457" s="33" t="s">
        <v>93</v>
      </c>
      <c r="N457" s="33"/>
      <c r="O457" s="32">
        <v>50</v>
      </c>
      <c r="P457" s="701" t="s">
        <v>702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703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704</v>
      </c>
      <c r="B458" s="54" t="s">
        <v>705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142</v>
      </c>
      <c r="L458" s="32"/>
      <c r="M458" s="33" t="s">
        <v>67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706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707</v>
      </c>
      <c r="B459" s="54" t="s">
        <v>708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142</v>
      </c>
      <c r="L459" s="32"/>
      <c r="M459" s="33" t="s">
        <v>67</v>
      </c>
      <c r="N459" s="33"/>
      <c r="O459" s="32">
        <v>50</v>
      </c>
      <c r="P459" s="905" t="s">
        <v>709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710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142</v>
      </c>
      <c r="L460" s="32"/>
      <c r="M460" s="33" t="s">
        <v>67</v>
      </c>
      <c r="N460" s="33"/>
      <c r="O460" s="32">
        <v>50</v>
      </c>
      <c r="P46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68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710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79</v>
      </c>
      <c r="Q461" s="686"/>
      <c r="R461" s="686"/>
      <c r="S461" s="686"/>
      <c r="T461" s="686"/>
      <c r="U461" s="686"/>
      <c r="V461" s="687"/>
      <c r="W461" s="37" t="s">
        <v>80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hidden="1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79</v>
      </c>
      <c r="Q462" s="686"/>
      <c r="R462" s="686"/>
      <c r="S462" s="686"/>
      <c r="T462" s="686"/>
      <c r="U462" s="686"/>
      <c r="V462" s="687"/>
      <c r="W462" s="37" t="s">
        <v>68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hidden="1" customHeight="1" x14ac:dyDescent="0.25">
      <c r="A463" s="723" t="s">
        <v>713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hidden="1" customHeight="1" x14ac:dyDescent="0.25">
      <c r="A464" s="682" t="s">
        <v>139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hidden="1" customHeight="1" x14ac:dyDescent="0.25">
      <c r="A465" s="54" t="s">
        <v>714</v>
      </c>
      <c r="B465" s="54" t="s">
        <v>715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142</v>
      </c>
      <c r="L465" s="32"/>
      <c r="M465" s="33" t="s">
        <v>67</v>
      </c>
      <c r="N465" s="33"/>
      <c r="O465" s="32">
        <v>40</v>
      </c>
      <c r="P465" s="101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717</v>
      </c>
      <c r="B466" s="54" t="s">
        <v>718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66</v>
      </c>
      <c r="L466" s="32"/>
      <c r="M466" s="33" t="s">
        <v>67</v>
      </c>
      <c r="N466" s="33"/>
      <c r="O466" s="32">
        <v>50</v>
      </c>
      <c r="P466" s="715" t="s">
        <v>719</v>
      </c>
      <c r="Q466" s="672"/>
      <c r="R466" s="672"/>
      <c r="S466" s="672"/>
      <c r="T466" s="673"/>
      <c r="U466" s="34"/>
      <c r="V466" s="34"/>
      <c r="W466" s="35" t="s">
        <v>68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720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79</v>
      </c>
      <c r="Q467" s="686"/>
      <c r="R467" s="686"/>
      <c r="S467" s="686"/>
      <c r="T467" s="686"/>
      <c r="U467" s="686"/>
      <c r="V467" s="687"/>
      <c r="W467" s="37" t="s">
        <v>80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79</v>
      </c>
      <c r="Q468" s="686"/>
      <c r="R468" s="686"/>
      <c r="S468" s="686"/>
      <c r="T468" s="686"/>
      <c r="U468" s="686"/>
      <c r="V468" s="687"/>
      <c r="W468" s="37" t="s">
        <v>68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723" t="s">
        <v>721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hidden="1" customHeight="1" x14ac:dyDescent="0.25">
      <c r="A470" s="682" t="s">
        <v>139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hidden="1" customHeight="1" x14ac:dyDescent="0.25">
      <c r="A471" s="54" t="s">
        <v>722</v>
      </c>
      <c r="B471" s="54" t="s">
        <v>723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68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724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79</v>
      </c>
      <c r="Q472" s="686"/>
      <c r="R472" s="686"/>
      <c r="S472" s="686"/>
      <c r="T472" s="686"/>
      <c r="U472" s="686"/>
      <c r="V472" s="687"/>
      <c r="W472" s="37" t="s">
        <v>80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79</v>
      </c>
      <c r="Q473" s="686"/>
      <c r="R473" s="686"/>
      <c r="S473" s="686"/>
      <c r="T473" s="686"/>
      <c r="U473" s="686"/>
      <c r="V473" s="687"/>
      <c r="W473" s="37" t="s">
        <v>68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165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hidden="1" customHeight="1" x14ac:dyDescent="0.25">
      <c r="A475" s="54" t="s">
        <v>725</v>
      </c>
      <c r="B475" s="54" t="s">
        <v>726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66</v>
      </c>
      <c r="L475" s="32"/>
      <c r="M475" s="33" t="s">
        <v>67</v>
      </c>
      <c r="N475" s="33"/>
      <c r="O475" s="32">
        <v>35</v>
      </c>
      <c r="P475" s="95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68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727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79</v>
      </c>
      <c r="Q476" s="686"/>
      <c r="R476" s="686"/>
      <c r="S476" s="686"/>
      <c r="T476" s="686"/>
      <c r="U476" s="686"/>
      <c r="V476" s="687"/>
      <c r="W476" s="37" t="s">
        <v>80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79</v>
      </c>
      <c r="Q477" s="686"/>
      <c r="R477" s="686"/>
      <c r="S477" s="686"/>
      <c r="T477" s="686"/>
      <c r="U477" s="686"/>
      <c r="V477" s="687"/>
      <c r="W477" s="37" t="s">
        <v>68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02" t="s">
        <v>728</v>
      </c>
      <c r="B478" s="803"/>
      <c r="C478" s="803"/>
      <c r="D478" s="803"/>
      <c r="E478" s="803"/>
      <c r="F478" s="803"/>
      <c r="G478" s="803"/>
      <c r="H478" s="803"/>
      <c r="I478" s="803"/>
      <c r="J478" s="803"/>
      <c r="K478" s="803"/>
      <c r="L478" s="803"/>
      <c r="M478" s="803"/>
      <c r="N478" s="803"/>
      <c r="O478" s="803"/>
      <c r="P478" s="803"/>
      <c r="Q478" s="803"/>
      <c r="R478" s="803"/>
      <c r="S478" s="803"/>
      <c r="T478" s="803"/>
      <c r="U478" s="803"/>
      <c r="V478" s="803"/>
      <c r="W478" s="803"/>
      <c r="X478" s="803"/>
      <c r="Y478" s="803"/>
      <c r="Z478" s="803"/>
      <c r="AA478" s="48"/>
      <c r="AB478" s="48"/>
      <c r="AC478" s="48"/>
    </row>
    <row r="479" spans="1:68" ht="16.5" hidden="1" customHeight="1" x14ac:dyDescent="0.25">
      <c r="A479" s="723" t="s">
        <v>728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hidden="1" customHeight="1" x14ac:dyDescent="0.25">
      <c r="A480" s="682" t="s">
        <v>89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hidden="1" customHeight="1" x14ac:dyDescent="0.25">
      <c r="A481" s="54" t="s">
        <v>729</v>
      </c>
      <c r="B481" s="54" t="s">
        <v>730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92</v>
      </c>
      <c r="L481" s="32"/>
      <c r="M481" s="33" t="s">
        <v>93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731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92</v>
      </c>
      <c r="L482" s="32"/>
      <c r="M482" s="33" t="s">
        <v>93</v>
      </c>
      <c r="N482" s="33"/>
      <c r="O482" s="32">
        <v>60</v>
      </c>
      <c r="P482" s="7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734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92</v>
      </c>
      <c r="L483" s="32"/>
      <c r="M483" s="33" t="s">
        <v>98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68</v>
      </c>
      <c r="X483" s="665">
        <v>900</v>
      </c>
      <c r="Y483" s="666">
        <f t="shared" si="68"/>
        <v>902.88</v>
      </c>
      <c r="Z483" s="36">
        <f>IFERROR(IF(Y483=0,"",ROUNDUP(Y483/H483,0)*0.01196),"")</f>
        <v>2.0451600000000001</v>
      </c>
      <c r="AA483" s="56"/>
      <c r="AB483" s="57"/>
      <c r="AC483" s="527" t="s">
        <v>737</v>
      </c>
      <c r="AG483" s="64"/>
      <c r="AJ483" s="68"/>
      <c r="AK483" s="68">
        <v>0</v>
      </c>
      <c r="BB483" s="528" t="s">
        <v>1</v>
      </c>
      <c r="BM483" s="64">
        <f t="shared" si="69"/>
        <v>961.36363636363637</v>
      </c>
      <c r="BN483" s="64">
        <f t="shared" si="70"/>
        <v>964.43999999999994</v>
      </c>
      <c r="BO483" s="64">
        <f t="shared" si="71"/>
        <v>1.638986013986014</v>
      </c>
      <c r="BP483" s="64">
        <f t="shared" si="72"/>
        <v>1.6442307692307694</v>
      </c>
    </row>
    <row r="484" spans="1:68" ht="27" customHeight="1" x14ac:dyDescent="0.25">
      <c r="A484" s="54" t="s">
        <v>738</v>
      </c>
      <c r="B484" s="54" t="s">
        <v>739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92</v>
      </c>
      <c r="L484" s="32"/>
      <c r="M484" s="33" t="s">
        <v>93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1500</v>
      </c>
      <c r="Y484" s="666">
        <f t="shared" si="68"/>
        <v>1504.8000000000002</v>
      </c>
      <c r="Z484" s="36">
        <f>IFERROR(IF(Y484=0,"",ROUNDUP(Y484/H484,0)*0.01196),"")</f>
        <v>3.4085999999999999</v>
      </c>
      <c r="AA484" s="56"/>
      <c r="AB484" s="57"/>
      <c r="AC484" s="529" t="s">
        <v>740</v>
      </c>
      <c r="AG484" s="64"/>
      <c r="AJ484" s="68"/>
      <c r="AK484" s="68">
        <v>0</v>
      </c>
      <c r="BB484" s="530" t="s">
        <v>1</v>
      </c>
      <c r="BM484" s="64">
        <f t="shared" si="69"/>
        <v>1602.2727272727273</v>
      </c>
      <c r="BN484" s="64">
        <f t="shared" si="70"/>
        <v>1607.3999999999999</v>
      </c>
      <c r="BO484" s="64">
        <f t="shared" si="71"/>
        <v>2.7316433566433567</v>
      </c>
      <c r="BP484" s="64">
        <f t="shared" si="72"/>
        <v>2.7403846153846154</v>
      </c>
    </row>
    <row r="485" spans="1:68" ht="16.5" hidden="1" customHeight="1" x14ac:dyDescent="0.25">
      <c r="A485" s="54" t="s">
        <v>741</v>
      </c>
      <c r="B485" s="54" t="s">
        <v>742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92</v>
      </c>
      <c r="L485" s="32"/>
      <c r="M485" s="33" t="s">
        <v>98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743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744</v>
      </c>
      <c r="B486" s="54" t="s">
        <v>745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98</v>
      </c>
      <c r="N486" s="33"/>
      <c r="O486" s="32">
        <v>60</v>
      </c>
      <c r="P486" s="999" t="s">
        <v>746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731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747</v>
      </c>
      <c r="B487" s="54" t="s">
        <v>748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97</v>
      </c>
      <c r="L487" s="32"/>
      <c r="M487" s="33" t="s">
        <v>93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8"/>
        <v>0</v>
      </c>
      <c r="Z487" s="36" t="str">
        <f>IFERROR(IF(Y487=0,"",ROUNDUP(Y487/H487,0)*0.00902),"")</f>
        <v/>
      </c>
      <c r="AA487" s="56"/>
      <c r="AB487" s="57"/>
      <c r="AC487" s="535" t="s">
        <v>731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747</v>
      </c>
      <c r="B488" s="54" t="s">
        <v>749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97</v>
      </c>
      <c r="L488" s="32"/>
      <c r="M488" s="33" t="s">
        <v>93</v>
      </c>
      <c r="N488" s="33"/>
      <c r="O488" s="32">
        <v>60</v>
      </c>
      <c r="P48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8"/>
        <v>0</v>
      </c>
      <c r="Z488" s="36" t="str">
        <f>IFERROR(IF(Y488=0,"",ROUNDUP(Y488/H488,0)*0.00937),"")</f>
        <v/>
      </c>
      <c r="AA488" s="56"/>
      <c r="AB488" s="57"/>
      <c r="AC488" s="537" t="s">
        <v>731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750</v>
      </c>
      <c r="B489" s="54" t="s">
        <v>751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97</v>
      </c>
      <c r="L489" s="32"/>
      <c r="M489" s="33" t="s">
        <v>93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734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752</v>
      </c>
      <c r="B490" s="54" t="s">
        <v>753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97</v>
      </c>
      <c r="L490" s="32"/>
      <c r="M490" s="33" t="s">
        <v>93</v>
      </c>
      <c r="N490" s="33"/>
      <c r="O490" s="32">
        <v>60</v>
      </c>
      <c r="P490" s="958" t="s">
        <v>754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737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755</v>
      </c>
      <c r="B491" s="54" t="s">
        <v>756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97</v>
      </c>
      <c r="L491" s="32"/>
      <c r="M491" s="33" t="s">
        <v>93</v>
      </c>
      <c r="N491" s="33"/>
      <c r="O491" s="32">
        <v>60</v>
      </c>
      <c r="P491" s="867" t="s">
        <v>757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758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759</v>
      </c>
      <c r="B492" s="54" t="s">
        <v>760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93</v>
      </c>
      <c r="N492" s="33"/>
      <c r="O492" s="32">
        <v>60</v>
      </c>
      <c r="P492" s="789" t="s">
        <v>761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762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97</v>
      </c>
      <c r="L493" s="32"/>
      <c r="M493" s="33" t="s">
        <v>93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8"/>
        <v>0</v>
      </c>
      <c r="Z493" s="36" t="str">
        <f>IFERROR(IF(Y493=0,"",ROUNDUP(Y493/H493,0)*0.00902),"")</f>
        <v/>
      </c>
      <c r="AA493" s="56"/>
      <c r="AB493" s="57"/>
      <c r="AC493" s="547" t="s">
        <v>740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97</v>
      </c>
      <c r="L494" s="32"/>
      <c r="M494" s="33" t="s">
        <v>93</v>
      </c>
      <c r="N494" s="33"/>
      <c r="O494" s="32">
        <v>60</v>
      </c>
      <c r="P494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8"/>
        <v>0</v>
      </c>
      <c r="Z494" s="36" t="str">
        <f>IFERROR(IF(Y494=0,"",ROUNDUP(Y494/H494,0)*0.00937),"")</f>
        <v/>
      </c>
      <c r="AA494" s="56"/>
      <c r="AB494" s="57"/>
      <c r="AC494" s="549" t="s">
        <v>740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97</v>
      </c>
      <c r="L495" s="32"/>
      <c r="M495" s="33" t="s">
        <v>93</v>
      </c>
      <c r="N495" s="33"/>
      <c r="O495" s="32">
        <v>60</v>
      </c>
      <c r="P495" s="8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743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79</v>
      </c>
      <c r="Q496" s="686"/>
      <c r="R496" s="686"/>
      <c r="S496" s="686"/>
      <c r="T496" s="686"/>
      <c r="U496" s="686"/>
      <c r="V496" s="687"/>
      <c r="W496" s="37" t="s">
        <v>80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454.5454545454545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456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5.4537599999999999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79</v>
      </c>
      <c r="Q497" s="686"/>
      <c r="R497" s="686"/>
      <c r="S497" s="686"/>
      <c r="T497" s="686"/>
      <c r="U497" s="686"/>
      <c r="V497" s="687"/>
      <c r="W497" s="37" t="s">
        <v>68</v>
      </c>
      <c r="X497" s="667">
        <f>IFERROR(SUM(X481:X495),"0")</f>
        <v>2400</v>
      </c>
      <c r="Y497" s="667">
        <f>IFERROR(SUM(Y481:Y495),"0")</f>
        <v>2407.6800000000003</v>
      </c>
      <c r="Z497" s="37"/>
      <c r="AA497" s="668"/>
      <c r="AB497" s="668"/>
      <c r="AC497" s="668"/>
    </row>
    <row r="498" spans="1:68" ht="14.25" hidden="1" customHeight="1" x14ac:dyDescent="0.25">
      <c r="A498" s="682" t="s">
        <v>128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hidden="1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92</v>
      </c>
      <c r="L499" s="32"/>
      <c r="M499" s="33" t="s">
        <v>93</v>
      </c>
      <c r="N499" s="33"/>
      <c r="O499" s="32">
        <v>55</v>
      </c>
      <c r="P499" s="103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92</v>
      </c>
      <c r="L500" s="32"/>
      <c r="M500" s="33" t="s">
        <v>98</v>
      </c>
      <c r="N500" s="33"/>
      <c r="O500" s="32">
        <v>70</v>
      </c>
      <c r="P500" s="910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98</v>
      </c>
      <c r="N501" s="33"/>
      <c r="O501" s="32">
        <v>70</v>
      </c>
      <c r="P501" s="799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97</v>
      </c>
      <c r="L502" s="32"/>
      <c r="M502" s="33" t="s">
        <v>93</v>
      </c>
      <c r="N502" s="33"/>
      <c r="O502" s="32">
        <v>70</v>
      </c>
      <c r="P502" s="755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79</v>
      </c>
      <c r="Q503" s="686"/>
      <c r="R503" s="686"/>
      <c r="S503" s="686"/>
      <c r="T503" s="686"/>
      <c r="U503" s="686"/>
      <c r="V503" s="687"/>
      <c r="W503" s="37" t="s">
        <v>80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79</v>
      </c>
      <c r="Q504" s="686"/>
      <c r="R504" s="686"/>
      <c r="S504" s="686"/>
      <c r="T504" s="686"/>
      <c r="U504" s="686"/>
      <c r="V504" s="687"/>
      <c r="W504" s="37" t="s">
        <v>68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2" t="s">
        <v>139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92</v>
      </c>
      <c r="L506" s="32"/>
      <c r="M506" s="33" t="s">
        <v>93</v>
      </c>
      <c r="N506" s="33"/>
      <c r="O506" s="32">
        <v>70</v>
      </c>
      <c r="P506" s="894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450</v>
      </c>
      <c r="Y506" s="666">
        <f t="shared" ref="Y506:Y517" si="73">IFERROR(IF(X506="",0,CEILING((X506/$H506),1)*$H506),"")</f>
        <v>454.08000000000004</v>
      </c>
      <c r="Z506" s="36">
        <f>IFERROR(IF(Y506=0,"",ROUNDUP(Y506/H506,0)*0.01196),"")</f>
        <v>1.0285599999999999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480.68181818181819</v>
      </c>
      <c r="BN506" s="64">
        <f t="shared" ref="BN506:BN517" si="75">IFERROR(Y506*I506/H506,"0")</f>
        <v>485.03999999999996</v>
      </c>
      <c r="BO506" s="64">
        <f t="shared" ref="BO506:BO517" si="76">IFERROR(1/J506*(X506/H506),"0")</f>
        <v>0.81949300699300698</v>
      </c>
      <c r="BP506" s="64">
        <f t="shared" ref="BP506:BP517" si="77">IFERROR(1/J506*(Y506/H506),"0")</f>
        <v>0.82692307692307698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92</v>
      </c>
      <c r="L507" s="32"/>
      <c r="M507" s="33" t="s">
        <v>67</v>
      </c>
      <c r="N507" s="33"/>
      <c r="O507" s="32">
        <v>70</v>
      </c>
      <c r="P507" s="1051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450</v>
      </c>
      <c r="Y507" s="666">
        <f t="shared" si="73"/>
        <v>454.08000000000004</v>
      </c>
      <c r="Z507" s="36">
        <f>IFERROR(IF(Y507=0,"",ROUNDUP(Y507/H507,0)*0.01196),"")</f>
        <v>1.0285599999999999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4"/>
        <v>480.68181818181819</v>
      </c>
      <c r="BN507" s="64">
        <f t="shared" si="75"/>
        <v>485.03999999999996</v>
      </c>
      <c r="BO507" s="64">
        <f t="shared" si="76"/>
        <v>0.81949300699300698</v>
      </c>
      <c r="BP507" s="64">
        <f t="shared" si="77"/>
        <v>0.82692307692307698</v>
      </c>
    </row>
    <row r="508" spans="1:68" ht="27" hidden="1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92</v>
      </c>
      <c r="L508" s="32"/>
      <c r="M508" s="33" t="s">
        <v>67</v>
      </c>
      <c r="N508" s="33"/>
      <c r="O508" s="32">
        <v>70</v>
      </c>
      <c r="P508" s="776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hidden="1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93</v>
      </c>
      <c r="N509" s="33"/>
      <c r="O509" s="32">
        <v>70</v>
      </c>
      <c r="P509" s="995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795</v>
      </c>
      <c r="B510" s="54" t="s">
        <v>796</v>
      </c>
      <c r="C510" s="31">
        <v>4301031383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6.96</v>
      </c>
      <c r="J510" s="32">
        <v>120</v>
      </c>
      <c r="K510" s="32" t="s">
        <v>97</v>
      </c>
      <c r="L510" s="32"/>
      <c r="M510" s="33" t="s">
        <v>93</v>
      </c>
      <c r="N510" s="33"/>
      <c r="O510" s="32">
        <v>60</v>
      </c>
      <c r="P510" s="100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3"/>
        <v>0</v>
      </c>
      <c r="Z510" s="36" t="str">
        <f>IFERROR(IF(Y510=0,"",ROUNDUP(Y510/H510,0)*0.00937),"")</f>
        <v/>
      </c>
      <c r="AA510" s="56"/>
      <c r="AB510" s="57"/>
      <c r="AC510" s="569" t="s">
        <v>797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795</v>
      </c>
      <c r="B511" s="54" t="s">
        <v>798</v>
      </c>
      <c r="C511" s="31">
        <v>4301031419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6.93</v>
      </c>
      <c r="J511" s="32">
        <v>132</v>
      </c>
      <c r="K511" s="32" t="s">
        <v>97</v>
      </c>
      <c r="L511" s="32"/>
      <c r="M511" s="33" t="s">
        <v>93</v>
      </c>
      <c r="N511" s="33"/>
      <c r="O511" s="32">
        <v>70</v>
      </c>
      <c r="P511" s="876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3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795</v>
      </c>
      <c r="B512" s="54" t="s">
        <v>800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97</v>
      </c>
      <c r="L512" s="32"/>
      <c r="M512" s="33" t="s">
        <v>93</v>
      </c>
      <c r="N512" s="33"/>
      <c r="O512" s="32">
        <v>70</v>
      </c>
      <c r="P512" s="924" t="s">
        <v>801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783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97</v>
      </c>
      <c r="L513" s="32"/>
      <c r="M513" s="33" t="s">
        <v>67</v>
      </c>
      <c r="N513" s="33"/>
      <c r="O513" s="32">
        <v>70</v>
      </c>
      <c r="P513" s="842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97</v>
      </c>
      <c r="L514" s="32"/>
      <c r="M514" s="33" t="s">
        <v>67</v>
      </c>
      <c r="N514" s="33"/>
      <c r="O514" s="32">
        <v>60</v>
      </c>
      <c r="P514" s="85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807</v>
      </c>
      <c r="B515" s="54" t="s">
        <v>808</v>
      </c>
      <c r="C515" s="31">
        <v>4301031384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120</v>
      </c>
      <c r="K515" s="32" t="s">
        <v>97</v>
      </c>
      <c r="L515" s="32"/>
      <c r="M515" s="33" t="s">
        <v>67</v>
      </c>
      <c r="N515" s="33"/>
      <c r="O515" s="32">
        <v>60</v>
      </c>
      <c r="P515" s="99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3"/>
        <v>0</v>
      </c>
      <c r="Z515" s="36" t="str">
        <f>IFERROR(IF(Y515=0,"",ROUNDUP(Y515/H515,0)*0.00937),"")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807</v>
      </c>
      <c r="B516" s="54" t="s">
        <v>809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97</v>
      </c>
      <c r="L516" s="32"/>
      <c r="M516" s="33" t="s">
        <v>67</v>
      </c>
      <c r="N516" s="33"/>
      <c r="O516" s="32">
        <v>70</v>
      </c>
      <c r="P516" s="864" t="s">
        <v>810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3"/>
        <v>0</v>
      </c>
      <c r="Z516" s="36" t="str">
        <f>IFERROR(IF(Y516=0,"",ROUNDUP(Y516/H516,0)*0.00902),"")</f>
        <v/>
      </c>
      <c r="AA516" s="56"/>
      <c r="AB516" s="57"/>
      <c r="AC516" s="581" t="s">
        <v>791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807</v>
      </c>
      <c r="B517" s="54" t="s">
        <v>811</v>
      </c>
      <c r="C517" s="31">
        <v>4301031253</v>
      </c>
      <c r="D517" s="669">
        <v>4680115882096</v>
      </c>
      <c r="E517" s="670"/>
      <c r="F517" s="664">
        <v>0.6</v>
      </c>
      <c r="G517" s="32">
        <v>6</v>
      </c>
      <c r="H517" s="664">
        <v>3.6</v>
      </c>
      <c r="I517" s="664">
        <v>3.81</v>
      </c>
      <c r="J517" s="32">
        <v>132</v>
      </c>
      <c r="K517" s="32" t="s">
        <v>97</v>
      </c>
      <c r="L517" s="32"/>
      <c r="M517" s="33" t="s">
        <v>67</v>
      </c>
      <c r="N517" s="33"/>
      <c r="O517" s="32">
        <v>60</v>
      </c>
      <c r="P517" s="9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812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79</v>
      </c>
      <c r="Q518" s="686"/>
      <c r="R518" s="686"/>
      <c r="S518" s="686"/>
      <c r="T518" s="686"/>
      <c r="U518" s="686"/>
      <c r="V518" s="687"/>
      <c r="W518" s="37" t="s">
        <v>80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170.45454545454544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172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2.0571199999999998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79</v>
      </c>
      <c r="Q519" s="686"/>
      <c r="R519" s="686"/>
      <c r="S519" s="686"/>
      <c r="T519" s="686"/>
      <c r="U519" s="686"/>
      <c r="V519" s="687"/>
      <c r="W519" s="37" t="s">
        <v>68</v>
      </c>
      <c r="X519" s="667">
        <f>IFERROR(SUM(X506:X517),"0")</f>
        <v>900</v>
      </c>
      <c r="Y519" s="667">
        <f>IFERROR(SUM(Y506:Y517),"0")</f>
        <v>908.16000000000008</v>
      </c>
      <c r="Z519" s="37"/>
      <c r="AA519" s="668"/>
      <c r="AB519" s="668"/>
      <c r="AC519" s="668"/>
    </row>
    <row r="520" spans="1:68" ht="14.25" hidden="1" customHeight="1" x14ac:dyDescent="0.25">
      <c r="A520" s="682" t="s">
        <v>63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hidden="1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92</v>
      </c>
      <c r="L521" s="32"/>
      <c r="M521" s="33" t="s">
        <v>98</v>
      </c>
      <c r="N521" s="33"/>
      <c r="O521" s="32">
        <v>45</v>
      </c>
      <c r="P52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92</v>
      </c>
      <c r="L522" s="32"/>
      <c r="M522" s="33" t="s">
        <v>67</v>
      </c>
      <c r="N522" s="33"/>
      <c r="O522" s="32">
        <v>45</v>
      </c>
      <c r="P522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98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79</v>
      </c>
      <c r="Q524" s="686"/>
      <c r="R524" s="686"/>
      <c r="S524" s="686"/>
      <c r="T524" s="686"/>
      <c r="U524" s="686"/>
      <c r="V524" s="687"/>
      <c r="W524" s="37" t="s">
        <v>80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79</v>
      </c>
      <c r="Q525" s="686"/>
      <c r="R525" s="686"/>
      <c r="S525" s="686"/>
      <c r="T525" s="686"/>
      <c r="U525" s="686"/>
      <c r="V525" s="687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165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hidden="1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92</v>
      </c>
      <c r="L527" s="32"/>
      <c r="M527" s="33" t="s">
        <v>67</v>
      </c>
      <c r="N527" s="33"/>
      <c r="O527" s="32">
        <v>35</v>
      </c>
      <c r="P527" s="7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92</v>
      </c>
      <c r="L528" s="32"/>
      <c r="M528" s="33" t="s">
        <v>67</v>
      </c>
      <c r="N528" s="33"/>
      <c r="O528" s="32">
        <v>35</v>
      </c>
      <c r="P528" s="1034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79</v>
      </c>
      <c r="Q529" s="686"/>
      <c r="R529" s="686"/>
      <c r="S529" s="686"/>
      <c r="T529" s="686"/>
      <c r="U529" s="686"/>
      <c r="V529" s="687"/>
      <c r="W529" s="37" t="s">
        <v>80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79</v>
      </c>
      <c r="Q530" s="686"/>
      <c r="R530" s="686"/>
      <c r="S530" s="686"/>
      <c r="T530" s="686"/>
      <c r="U530" s="686"/>
      <c r="V530" s="687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02" t="s">
        <v>828</v>
      </c>
      <c r="B531" s="803"/>
      <c r="C531" s="803"/>
      <c r="D531" s="803"/>
      <c r="E531" s="803"/>
      <c r="F531" s="803"/>
      <c r="G531" s="803"/>
      <c r="H531" s="803"/>
      <c r="I531" s="803"/>
      <c r="J531" s="803"/>
      <c r="K531" s="803"/>
      <c r="L531" s="803"/>
      <c r="M531" s="803"/>
      <c r="N531" s="803"/>
      <c r="O531" s="803"/>
      <c r="P531" s="803"/>
      <c r="Q531" s="803"/>
      <c r="R531" s="803"/>
      <c r="S531" s="803"/>
      <c r="T531" s="803"/>
      <c r="U531" s="803"/>
      <c r="V531" s="803"/>
      <c r="W531" s="803"/>
      <c r="X531" s="803"/>
      <c r="Y531" s="803"/>
      <c r="Z531" s="803"/>
      <c r="AA531" s="48"/>
      <c r="AB531" s="48"/>
      <c r="AC531" s="48"/>
    </row>
    <row r="532" spans="1:68" ht="16.5" hidden="1" customHeight="1" x14ac:dyDescent="0.25">
      <c r="A532" s="723" t="s">
        <v>828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hidden="1" customHeight="1" x14ac:dyDescent="0.25">
      <c r="A533" s="682" t="s">
        <v>89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hidden="1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92</v>
      </c>
      <c r="L534" s="32"/>
      <c r="M534" s="33" t="s">
        <v>98</v>
      </c>
      <c r="N534" s="33"/>
      <c r="O534" s="32">
        <v>55</v>
      </c>
      <c r="P534" s="1052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92</v>
      </c>
      <c r="L535" s="32"/>
      <c r="M535" s="33" t="s">
        <v>93</v>
      </c>
      <c r="N535" s="33"/>
      <c r="O535" s="32">
        <v>50</v>
      </c>
      <c r="P535" s="911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92</v>
      </c>
      <c r="L536" s="32"/>
      <c r="M536" s="33" t="s">
        <v>93</v>
      </c>
      <c r="N536" s="33"/>
      <c r="O536" s="32">
        <v>50</v>
      </c>
      <c r="P536" s="1047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92</v>
      </c>
      <c r="L537" s="32"/>
      <c r="M537" s="33" t="s">
        <v>93</v>
      </c>
      <c r="N537" s="33"/>
      <c r="O537" s="32">
        <v>55</v>
      </c>
      <c r="P537" s="775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97</v>
      </c>
      <c r="L538" s="32"/>
      <c r="M538" s="33" t="s">
        <v>93</v>
      </c>
      <c r="N538" s="33"/>
      <c r="O538" s="32">
        <v>50</v>
      </c>
      <c r="P538" s="885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97</v>
      </c>
      <c r="L539" s="32"/>
      <c r="M539" s="33" t="s">
        <v>93</v>
      </c>
      <c r="N539" s="33"/>
      <c r="O539" s="32">
        <v>55</v>
      </c>
      <c r="P539" s="762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79</v>
      </c>
      <c r="Q540" s="686"/>
      <c r="R540" s="686"/>
      <c r="S540" s="686"/>
      <c r="T540" s="686"/>
      <c r="U540" s="686"/>
      <c r="V540" s="687"/>
      <c r="W540" s="37" t="s">
        <v>80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79</v>
      </c>
      <c r="Q541" s="686"/>
      <c r="R541" s="686"/>
      <c r="S541" s="686"/>
      <c r="T541" s="686"/>
      <c r="U541" s="686"/>
      <c r="V541" s="687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2" t="s">
        <v>128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hidden="1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92</v>
      </c>
      <c r="L543" s="32"/>
      <c r="M543" s="33" t="s">
        <v>93</v>
      </c>
      <c r="N543" s="33"/>
      <c r="O543" s="32">
        <v>50</v>
      </c>
      <c r="P543" s="865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92</v>
      </c>
      <c r="L544" s="32"/>
      <c r="M544" s="33" t="s">
        <v>98</v>
      </c>
      <c r="N544" s="33"/>
      <c r="O544" s="32">
        <v>50</v>
      </c>
      <c r="P544" s="813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92</v>
      </c>
      <c r="L545" s="32"/>
      <c r="M545" s="33" t="s">
        <v>93</v>
      </c>
      <c r="N545" s="33"/>
      <c r="O545" s="32">
        <v>50</v>
      </c>
      <c r="P545" s="872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92</v>
      </c>
      <c r="L546" s="32"/>
      <c r="M546" s="33" t="s">
        <v>93</v>
      </c>
      <c r="N546" s="33"/>
      <c r="O546" s="32">
        <v>50</v>
      </c>
      <c r="P546" s="720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97</v>
      </c>
      <c r="L547" s="32"/>
      <c r="M547" s="33" t="s">
        <v>93</v>
      </c>
      <c r="N547" s="33"/>
      <c r="O547" s="32">
        <v>50</v>
      </c>
      <c r="P547" s="975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79</v>
      </c>
      <c r="Q548" s="686"/>
      <c r="R548" s="686"/>
      <c r="S548" s="686"/>
      <c r="T548" s="686"/>
      <c r="U548" s="686"/>
      <c r="V548" s="687"/>
      <c r="W548" s="37" t="s">
        <v>80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79</v>
      </c>
      <c r="Q549" s="686"/>
      <c r="R549" s="686"/>
      <c r="S549" s="686"/>
      <c r="T549" s="686"/>
      <c r="U549" s="686"/>
      <c r="V549" s="687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139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hidden="1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97</v>
      </c>
      <c r="L551" s="32"/>
      <c r="M551" s="33" t="s">
        <v>67</v>
      </c>
      <c r="N551" s="33"/>
      <c r="O551" s="32">
        <v>40</v>
      </c>
      <c r="P551" s="953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hidden="1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97</v>
      </c>
      <c r="L552" s="32"/>
      <c r="M552" s="33" t="s">
        <v>67</v>
      </c>
      <c r="N552" s="33"/>
      <c r="O552" s="32">
        <v>40</v>
      </c>
      <c r="P552" s="721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hidden="1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97</v>
      </c>
      <c r="L553" s="32"/>
      <c r="M553" s="33" t="s">
        <v>67</v>
      </c>
      <c r="N553" s="33"/>
      <c r="O553" s="32">
        <v>45</v>
      </c>
      <c r="P553" s="757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97</v>
      </c>
      <c r="L554" s="32"/>
      <c r="M554" s="33" t="s">
        <v>67</v>
      </c>
      <c r="N554" s="33"/>
      <c r="O554" s="32">
        <v>45</v>
      </c>
      <c r="P554" s="933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97</v>
      </c>
      <c r="L555" s="32"/>
      <c r="M555" s="33" t="s">
        <v>67</v>
      </c>
      <c r="N555" s="33"/>
      <c r="O555" s="32">
        <v>45</v>
      </c>
      <c r="P555" s="957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142</v>
      </c>
      <c r="L556" s="32"/>
      <c r="M556" s="33" t="s">
        <v>67</v>
      </c>
      <c r="N556" s="33"/>
      <c r="O556" s="32">
        <v>40</v>
      </c>
      <c r="P556" s="718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142</v>
      </c>
      <c r="L557" s="32"/>
      <c r="M557" s="33" t="s">
        <v>67</v>
      </c>
      <c r="N557" s="33"/>
      <c r="O557" s="32">
        <v>40</v>
      </c>
      <c r="P557" s="961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hidden="1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79</v>
      </c>
      <c r="Q558" s="686"/>
      <c r="R558" s="686"/>
      <c r="S558" s="686"/>
      <c r="T558" s="686"/>
      <c r="U558" s="686"/>
      <c r="V558" s="687"/>
      <c r="W558" s="37" t="s">
        <v>80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79</v>
      </c>
      <c r="Q559" s="686"/>
      <c r="R559" s="686"/>
      <c r="S559" s="686"/>
      <c r="T559" s="686"/>
      <c r="U559" s="686"/>
      <c r="V559" s="687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2" t="s">
        <v>63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hidden="1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92</v>
      </c>
      <c r="L561" s="32"/>
      <c r="M561" s="33" t="s">
        <v>124</v>
      </c>
      <c r="N561" s="33"/>
      <c r="O561" s="32">
        <v>45</v>
      </c>
      <c r="P561" s="908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92</v>
      </c>
      <c r="L562" s="32"/>
      <c r="M562" s="33" t="s">
        <v>98</v>
      </c>
      <c r="N562" s="33"/>
      <c r="O562" s="32">
        <v>45</v>
      </c>
      <c r="P562" s="689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92</v>
      </c>
      <c r="L563" s="32"/>
      <c r="M563" s="33" t="s">
        <v>98</v>
      </c>
      <c r="N563" s="33"/>
      <c r="O563" s="32">
        <v>45</v>
      </c>
      <c r="P563" s="744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124</v>
      </c>
      <c r="N564" s="33"/>
      <c r="O564" s="32">
        <v>45</v>
      </c>
      <c r="P564" s="878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124</v>
      </c>
      <c r="N565" s="33"/>
      <c r="O565" s="32">
        <v>45</v>
      </c>
      <c r="P565" s="752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79</v>
      </c>
      <c r="Q566" s="686"/>
      <c r="R566" s="686"/>
      <c r="S566" s="686"/>
      <c r="T566" s="686"/>
      <c r="U566" s="686"/>
      <c r="V566" s="687"/>
      <c r="W566" s="37" t="s">
        <v>80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79</v>
      </c>
      <c r="Q567" s="686"/>
      <c r="R567" s="686"/>
      <c r="S567" s="686"/>
      <c r="T567" s="686"/>
      <c r="U567" s="686"/>
      <c r="V567" s="687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2" t="s">
        <v>165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hidden="1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92</v>
      </c>
      <c r="L569" s="32"/>
      <c r="M569" s="33" t="s">
        <v>124</v>
      </c>
      <c r="N569" s="33"/>
      <c r="O569" s="32">
        <v>40</v>
      </c>
      <c r="P569" s="948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92</v>
      </c>
      <c r="L570" s="32"/>
      <c r="M570" s="33" t="s">
        <v>98</v>
      </c>
      <c r="N570" s="33"/>
      <c r="O570" s="32">
        <v>40</v>
      </c>
      <c r="P570" s="736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92</v>
      </c>
      <c r="L571" s="32"/>
      <c r="M571" s="33" t="s">
        <v>124</v>
      </c>
      <c r="N571" s="33"/>
      <c r="O571" s="32">
        <v>40</v>
      </c>
      <c r="P571" s="774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92</v>
      </c>
      <c r="L572" s="32"/>
      <c r="M572" s="33" t="s">
        <v>98</v>
      </c>
      <c r="N572" s="33"/>
      <c r="O572" s="32">
        <v>40</v>
      </c>
      <c r="P572" s="726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79</v>
      </c>
      <c r="Q573" s="686"/>
      <c r="R573" s="686"/>
      <c r="S573" s="686"/>
      <c r="T573" s="686"/>
      <c r="U573" s="686"/>
      <c r="V573" s="687"/>
      <c r="W573" s="37" t="s">
        <v>80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79</v>
      </c>
      <c r="Q574" s="686"/>
      <c r="R574" s="686"/>
      <c r="S574" s="686"/>
      <c r="T574" s="686"/>
      <c r="U574" s="686"/>
      <c r="V574" s="687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23" t="s">
        <v>921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hidden="1" customHeight="1" x14ac:dyDescent="0.25">
      <c r="A576" s="682" t="s">
        <v>89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hidden="1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92</v>
      </c>
      <c r="L577" s="32"/>
      <c r="M577" s="33" t="s">
        <v>93</v>
      </c>
      <c r="N577" s="33"/>
      <c r="O577" s="32">
        <v>55</v>
      </c>
      <c r="P577" s="979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79</v>
      </c>
      <c r="Q578" s="686"/>
      <c r="R578" s="686"/>
      <c r="S578" s="686"/>
      <c r="T578" s="686"/>
      <c r="U578" s="686"/>
      <c r="V578" s="687"/>
      <c r="W578" s="37" t="s">
        <v>80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79</v>
      </c>
      <c r="Q579" s="686"/>
      <c r="R579" s="686"/>
      <c r="S579" s="686"/>
      <c r="T579" s="686"/>
      <c r="U579" s="686"/>
      <c r="V579" s="687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128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hidden="1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92</v>
      </c>
      <c r="L581" s="32"/>
      <c r="M581" s="33" t="s">
        <v>93</v>
      </c>
      <c r="N581" s="33"/>
      <c r="O581" s="32">
        <v>50</v>
      </c>
      <c r="P581" s="814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79</v>
      </c>
      <c r="Q582" s="686"/>
      <c r="R582" s="686"/>
      <c r="S582" s="686"/>
      <c r="T582" s="686"/>
      <c r="U582" s="686"/>
      <c r="V582" s="687"/>
      <c r="W582" s="37" t="s">
        <v>80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79</v>
      </c>
      <c r="Q583" s="686"/>
      <c r="R583" s="686"/>
      <c r="S583" s="686"/>
      <c r="T583" s="686"/>
      <c r="U583" s="686"/>
      <c r="V583" s="687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139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hidden="1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97</v>
      </c>
      <c r="L585" s="32"/>
      <c r="M585" s="33" t="s">
        <v>67</v>
      </c>
      <c r="N585" s="33"/>
      <c r="O585" s="32">
        <v>40</v>
      </c>
      <c r="P585" s="794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79</v>
      </c>
      <c r="Q586" s="686"/>
      <c r="R586" s="686"/>
      <c r="S586" s="686"/>
      <c r="T586" s="686"/>
      <c r="U586" s="686"/>
      <c r="V586" s="687"/>
      <c r="W586" s="37" t="s">
        <v>80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79</v>
      </c>
      <c r="Q587" s="686"/>
      <c r="R587" s="686"/>
      <c r="S587" s="686"/>
      <c r="T587" s="686"/>
      <c r="U587" s="686"/>
      <c r="V587" s="687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63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hidden="1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92</v>
      </c>
      <c r="L589" s="32"/>
      <c r="M589" s="33" t="s">
        <v>124</v>
      </c>
      <c r="N589" s="33"/>
      <c r="O589" s="32">
        <v>45</v>
      </c>
      <c r="P589" s="1026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79</v>
      </c>
      <c r="Q590" s="686"/>
      <c r="R590" s="686"/>
      <c r="S590" s="686"/>
      <c r="T590" s="686"/>
      <c r="U590" s="686"/>
      <c r="V590" s="687"/>
      <c r="W590" s="37" t="s">
        <v>80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79</v>
      </c>
      <c r="Q591" s="686"/>
      <c r="R591" s="686"/>
      <c r="S591" s="686"/>
      <c r="T591" s="686"/>
      <c r="U591" s="686"/>
      <c r="V591" s="687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72"/>
      <c r="P592" s="841" t="s">
        <v>938</v>
      </c>
      <c r="Q592" s="817"/>
      <c r="R592" s="817"/>
      <c r="S592" s="817"/>
      <c r="T592" s="817"/>
      <c r="U592" s="817"/>
      <c r="V592" s="818"/>
      <c r="W592" s="37" t="s">
        <v>68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10000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10029.84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72"/>
      <c r="P593" s="841" t="s">
        <v>939</v>
      </c>
      <c r="Q593" s="817"/>
      <c r="R593" s="817"/>
      <c r="S593" s="817"/>
      <c r="T593" s="817"/>
      <c r="U593" s="817"/>
      <c r="V593" s="818"/>
      <c r="W593" s="37" t="s">
        <v>68</v>
      </c>
      <c r="X593" s="667">
        <f>IFERROR(SUM(BM22:BM589),"0")</f>
        <v>10498.433333333332</v>
      </c>
      <c r="Y593" s="667">
        <f>IFERROR(SUM(BN22:BN589),"0")</f>
        <v>10529.904000000002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72"/>
      <c r="P594" s="841" t="s">
        <v>940</v>
      </c>
      <c r="Q594" s="817"/>
      <c r="R594" s="817"/>
      <c r="S594" s="817"/>
      <c r="T594" s="817"/>
      <c r="U594" s="817"/>
      <c r="V594" s="818"/>
      <c r="W594" s="37" t="s">
        <v>941</v>
      </c>
      <c r="X594" s="38">
        <f>ROUNDUP(SUM(BO22:BO589),0)</f>
        <v>17</v>
      </c>
      <c r="Y594" s="38">
        <f>ROUNDUP(SUM(BP22:BP589),0)</f>
        <v>17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72"/>
      <c r="P595" s="841" t="s">
        <v>942</v>
      </c>
      <c r="Q595" s="817"/>
      <c r="R595" s="817"/>
      <c r="S595" s="817"/>
      <c r="T595" s="817"/>
      <c r="U595" s="817"/>
      <c r="V595" s="818"/>
      <c r="W595" s="37" t="s">
        <v>68</v>
      </c>
      <c r="X595" s="667">
        <f>GrossWeightTotal+PalletQtyTotal*25</f>
        <v>10923.433333333332</v>
      </c>
      <c r="Y595" s="667">
        <f>GrossWeightTotalR+PalletQtyTotalR*25</f>
        <v>10954.904000000002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72"/>
      <c r="P596" s="841" t="s">
        <v>943</v>
      </c>
      <c r="Q596" s="817"/>
      <c r="R596" s="817"/>
      <c r="S596" s="817"/>
      <c r="T596" s="817"/>
      <c r="U596" s="817"/>
      <c r="V596" s="818"/>
      <c r="W596" s="37" t="s">
        <v>941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1173.8888888888889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1178</v>
      </c>
      <c r="Z596" s="37"/>
      <c r="AA596" s="668"/>
      <c r="AB596" s="668"/>
      <c r="AC596" s="668"/>
    </row>
    <row r="597" spans="1:32" ht="14.25" hidden="1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72"/>
      <c r="P597" s="841" t="s">
        <v>944</v>
      </c>
      <c r="Q597" s="817"/>
      <c r="R597" s="817"/>
      <c r="S597" s="817"/>
      <c r="T597" s="817"/>
      <c r="U597" s="817"/>
      <c r="V597" s="818"/>
      <c r="W597" s="39" t="s">
        <v>945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18.76426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6" t="s">
        <v>87</v>
      </c>
      <c r="D599" s="699"/>
      <c r="E599" s="699"/>
      <c r="F599" s="699"/>
      <c r="G599" s="699"/>
      <c r="H599" s="700"/>
      <c r="I599" s="676" t="s">
        <v>281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572</v>
      </c>
      <c r="X599" s="700"/>
      <c r="Y599" s="676" t="s">
        <v>653</v>
      </c>
      <c r="Z599" s="699"/>
      <c r="AA599" s="699"/>
      <c r="AB599" s="700"/>
      <c r="AC599" s="662" t="s">
        <v>728</v>
      </c>
      <c r="AD599" s="676" t="s">
        <v>828</v>
      </c>
      <c r="AE599" s="700"/>
      <c r="AF599" s="663"/>
    </row>
    <row r="600" spans="1:32" ht="14.25" customHeight="1" thickTop="1" x14ac:dyDescent="0.2">
      <c r="A600" s="970" t="s">
        <v>947</v>
      </c>
      <c r="B600" s="676" t="s">
        <v>62</v>
      </c>
      <c r="C600" s="676" t="s">
        <v>88</v>
      </c>
      <c r="D600" s="676" t="s">
        <v>107</v>
      </c>
      <c r="E600" s="676" t="s">
        <v>173</v>
      </c>
      <c r="F600" s="676" t="s">
        <v>204</v>
      </c>
      <c r="G600" s="676" t="s">
        <v>249</v>
      </c>
      <c r="H600" s="676" t="s">
        <v>87</v>
      </c>
      <c r="I600" s="676" t="s">
        <v>282</v>
      </c>
      <c r="J600" s="676" t="s">
        <v>317</v>
      </c>
      <c r="K600" s="676" t="s">
        <v>378</v>
      </c>
      <c r="L600" s="676" t="s">
        <v>413</v>
      </c>
      <c r="M600" s="676" t="s">
        <v>431</v>
      </c>
      <c r="N600" s="663"/>
      <c r="O600" s="676" t="s">
        <v>435</v>
      </c>
      <c r="P600" s="676" t="s">
        <v>444</v>
      </c>
      <c r="Q600" s="676" t="s">
        <v>458</v>
      </c>
      <c r="R600" s="676" t="s">
        <v>468</v>
      </c>
      <c r="S600" s="676" t="s">
        <v>472</v>
      </c>
      <c r="T600" s="676" t="s">
        <v>480</v>
      </c>
      <c r="U600" s="676" t="s">
        <v>485</v>
      </c>
      <c r="V600" s="676" t="s">
        <v>559</v>
      </c>
      <c r="W600" s="676" t="s">
        <v>573</v>
      </c>
      <c r="X600" s="676" t="s">
        <v>614</v>
      </c>
      <c r="Y600" s="676" t="s">
        <v>654</v>
      </c>
      <c r="Z600" s="676" t="s">
        <v>693</v>
      </c>
      <c r="AA600" s="676" t="s">
        <v>713</v>
      </c>
      <c r="AB600" s="676" t="s">
        <v>721</v>
      </c>
      <c r="AC600" s="676" t="s">
        <v>728</v>
      </c>
      <c r="AD600" s="676" t="s">
        <v>828</v>
      </c>
      <c r="AE600" s="676" t="s">
        <v>921</v>
      </c>
      <c r="AF600" s="663"/>
    </row>
    <row r="601" spans="1:32" ht="13.5" customHeight="1" thickBot="1" x14ac:dyDescent="0.25">
      <c r="A601" s="971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0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0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0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0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4410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2304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3315.84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8wpZkotNgRciucrLGv20eIzUEa2IwEknnTZgoBsDu783G/Ey6O1QvhAO49L9hixfPvB+oCSHg7beREgMgyBkA==" saltValue="AoCpyYNV4tEcLWRv54aUfg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3,89"/>
        <filter val="1 500,00"/>
        <filter val="1 700,00"/>
        <filter val="10 000,00"/>
        <filter val="10 498,43"/>
        <filter val="10 923,43"/>
        <filter val="17"/>
        <filter val="170,45"/>
        <filter val="2 300,00"/>
        <filter val="2 400,00"/>
        <filter val="2 700,00"/>
        <filter val="255,56"/>
        <filter val="293,33"/>
        <filter val="4 400,00"/>
        <filter val="450,00"/>
        <filter val="454,55"/>
        <filter val="900,00"/>
      </filters>
    </filterColumn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LMLjc9JoEibNEDEG6aiWjmjsHK3aBuOPFT3LZa59Jh4sA3siyF1iYfquzK35OV1+eJb69haOKnG+mF4q4wre6A==" saltValue="gtP40YNSnnS2ANMQH3A+X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2025-04-07T12:48:51Z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