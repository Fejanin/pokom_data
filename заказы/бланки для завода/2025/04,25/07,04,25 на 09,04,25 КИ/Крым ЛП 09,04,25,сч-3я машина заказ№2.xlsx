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59E23F-D7C9-4ED5-B891-82F772A0D09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BP375" i="1" s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BP349" i="1" s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BP164" i="1" s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X593" i="1" l="1"/>
  <c r="Z24" i="1"/>
  <c r="BN24" i="1"/>
  <c r="Z88" i="1"/>
  <c r="BN88" i="1"/>
  <c r="Y102" i="1"/>
  <c r="Z164" i="1"/>
  <c r="BN164" i="1"/>
  <c r="Y183" i="1"/>
  <c r="Z236" i="1"/>
  <c r="BN236" i="1"/>
  <c r="Z256" i="1"/>
  <c r="BN256" i="1"/>
  <c r="Z344" i="1"/>
  <c r="BN344" i="1"/>
  <c r="Z349" i="1"/>
  <c r="BN349" i="1"/>
  <c r="Z350" i="1"/>
  <c r="BN350" i="1"/>
  <c r="Z49" i="1"/>
  <c r="BN49" i="1"/>
  <c r="Z75" i="1"/>
  <c r="BN75" i="1"/>
  <c r="Z105" i="1"/>
  <c r="BN105" i="1"/>
  <c r="Z130" i="1"/>
  <c r="BN130" i="1"/>
  <c r="Z201" i="1"/>
  <c r="BN201" i="1"/>
  <c r="Z225" i="1"/>
  <c r="BN225" i="1"/>
  <c r="Z272" i="1"/>
  <c r="BN272" i="1"/>
  <c r="Z328" i="1"/>
  <c r="BN328" i="1"/>
  <c r="Z369" i="1"/>
  <c r="BN369" i="1"/>
  <c r="Z375" i="1"/>
  <c r="BN375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60" i="1"/>
  <c r="BN260" i="1"/>
  <c r="Z260" i="1"/>
  <c r="BP322" i="1"/>
  <c r="BN322" i="1"/>
  <c r="Z322" i="1"/>
  <c r="BP358" i="1"/>
  <c r="BN358" i="1"/>
  <c r="Z358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Z38" i="1"/>
  <c r="BN38" i="1"/>
  <c r="Z53" i="1"/>
  <c r="BN53" i="1"/>
  <c r="Y61" i="1"/>
  <c r="Z71" i="1"/>
  <c r="BN71" i="1"/>
  <c r="Z81" i="1"/>
  <c r="BN81" i="1"/>
  <c r="Z98" i="1"/>
  <c r="BN98" i="1"/>
  <c r="Z113" i="1"/>
  <c r="BN113" i="1"/>
  <c r="Y128" i="1"/>
  <c r="Z120" i="1"/>
  <c r="BN120" i="1"/>
  <c r="Z123" i="1"/>
  <c r="BN123" i="1"/>
  <c r="Z124" i="1"/>
  <c r="BN124" i="1"/>
  <c r="Z141" i="1"/>
  <c r="BN141" i="1"/>
  <c r="Y153" i="1"/>
  <c r="BP152" i="1"/>
  <c r="BN152" i="1"/>
  <c r="Z152" i="1"/>
  <c r="Z153" i="1" s="1"/>
  <c r="BP156" i="1"/>
  <c r="BN156" i="1"/>
  <c r="Z156" i="1"/>
  <c r="BP181" i="1"/>
  <c r="BN181" i="1"/>
  <c r="Z181" i="1"/>
  <c r="BP205" i="1"/>
  <c r="BN205" i="1"/>
  <c r="Z205" i="1"/>
  <c r="BP232" i="1"/>
  <c r="BN232" i="1"/>
  <c r="Z232" i="1"/>
  <c r="BP279" i="1"/>
  <c r="BN279" i="1"/>
  <c r="Z279" i="1"/>
  <c r="BP336" i="1"/>
  <c r="BN336" i="1"/>
  <c r="Z336" i="1"/>
  <c r="BP379" i="1"/>
  <c r="BN379" i="1"/>
  <c r="Z379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BP352" i="1"/>
  <c r="BN352" i="1"/>
  <c r="Z352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18" i="1"/>
  <c r="BN418" i="1"/>
  <c r="Z418" i="1"/>
  <c r="BP441" i="1"/>
  <c r="BN441" i="1"/>
  <c r="Z441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Z22" i="1"/>
  <c r="BN22" i="1"/>
  <c r="X596" i="1"/>
  <c r="Z36" i="1"/>
  <c r="BN36" i="1"/>
  <c r="Z42" i="1"/>
  <c r="Z43" i="1" s="1"/>
  <c r="BN42" i="1"/>
  <c r="BP42" i="1"/>
  <c r="Y43" i="1"/>
  <c r="Z47" i="1"/>
  <c r="BN47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Z92" i="1"/>
  <c r="BN92" i="1"/>
  <c r="BP92" i="1"/>
  <c r="Z100" i="1"/>
  <c r="BN100" i="1"/>
  <c r="Z107" i="1"/>
  <c r="BN107" i="1"/>
  <c r="Y115" i="1"/>
  <c r="Z126" i="1"/>
  <c r="BN126" i="1"/>
  <c r="Y132" i="1"/>
  <c r="Z137" i="1"/>
  <c r="BN137" i="1"/>
  <c r="Y143" i="1"/>
  <c r="Z147" i="1"/>
  <c r="BN147" i="1"/>
  <c r="Y160" i="1"/>
  <c r="Z158" i="1"/>
  <c r="BN158" i="1"/>
  <c r="Z170" i="1"/>
  <c r="Z171" i="1" s="1"/>
  <c r="BN170" i="1"/>
  <c r="BP170" i="1"/>
  <c r="Y171" i="1"/>
  <c r="Z174" i="1"/>
  <c r="BN174" i="1"/>
  <c r="BP174" i="1"/>
  <c r="I602" i="1"/>
  <c r="Z178" i="1"/>
  <c r="BN178" i="1"/>
  <c r="Z179" i="1"/>
  <c r="BN179" i="1"/>
  <c r="Z197" i="1"/>
  <c r="BN197" i="1"/>
  <c r="Y209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Z320" i="1"/>
  <c r="BN320" i="1"/>
  <c r="Z324" i="1"/>
  <c r="BN324" i="1"/>
  <c r="Y332" i="1"/>
  <c r="Z330" i="1"/>
  <c r="BN330" i="1"/>
  <c r="Z338" i="1"/>
  <c r="BN338" i="1"/>
  <c r="V602" i="1"/>
  <c r="Y364" i="1"/>
  <c r="BP363" i="1"/>
  <c r="BN363" i="1"/>
  <c r="Z363" i="1"/>
  <c r="Z364" i="1" s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BP438" i="1"/>
  <c r="BN438" i="1"/>
  <c r="Z438" i="1"/>
  <c r="AA602" i="1"/>
  <c r="Y467" i="1"/>
  <c r="BP465" i="1"/>
  <c r="BN465" i="1"/>
  <c r="Z465" i="1"/>
  <c r="Z467" i="1" s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Y354" i="1"/>
  <c r="Y353" i="1"/>
  <c r="F9" i="1"/>
  <c r="J9" i="1"/>
  <c r="F10" i="1"/>
  <c r="Y27" i="1"/>
  <c r="Y31" i="1"/>
  <c r="Y39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Z273" i="1" s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Y414" i="1"/>
  <c r="H9" i="1"/>
  <c r="B602" i="1"/>
  <c r="X594" i="1"/>
  <c r="X595" i="1" s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BN70" i="1"/>
  <c r="BP70" i="1"/>
  <c r="Z72" i="1"/>
  <c r="BN72" i="1"/>
  <c r="Z74" i="1"/>
  <c r="BN74" i="1"/>
  <c r="Z80" i="1"/>
  <c r="BN80" i="1"/>
  <c r="E602" i="1"/>
  <c r="Z87" i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Y148" i="1"/>
  <c r="BP157" i="1"/>
  <c r="BN157" i="1"/>
  <c r="Z157" i="1"/>
  <c r="Y165" i="1"/>
  <c r="BP175" i="1"/>
  <c r="BN175" i="1"/>
  <c r="Z175" i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BP351" i="1"/>
  <c r="BN351" i="1"/>
  <c r="Z351" i="1"/>
  <c r="Y360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48" i="1" l="1"/>
  <c r="Z395" i="1"/>
  <c r="Z370" i="1"/>
  <c r="Z353" i="1"/>
  <c r="Z282" i="1"/>
  <c r="Z160" i="1"/>
  <c r="Z89" i="1"/>
  <c r="Z226" i="1"/>
  <c r="Z198" i="1"/>
  <c r="Z454" i="1"/>
  <c r="Z82" i="1"/>
  <c r="Z414" i="1"/>
  <c r="Z109" i="1"/>
  <c r="Z54" i="1"/>
  <c r="Y594" i="1"/>
  <c r="Z26" i="1"/>
  <c r="Z496" i="1"/>
  <c r="Z422" i="1"/>
  <c r="Z461" i="1"/>
  <c r="Z385" i="1"/>
  <c r="Z261" i="1"/>
  <c r="Z209" i="1"/>
  <c r="Z115" i="1"/>
  <c r="Z101" i="1"/>
  <c r="Z67" i="1"/>
  <c r="Z61" i="1"/>
  <c r="Z39" i="1"/>
  <c r="Y593" i="1"/>
  <c r="Y595" i="1" s="1"/>
  <c r="Z409" i="1"/>
  <c r="Z148" i="1"/>
  <c r="Z548" i="1"/>
  <c r="Z518" i="1"/>
  <c r="Z443" i="1"/>
  <c r="Z325" i="1"/>
  <c r="Z243" i="1"/>
  <c r="Z221" i="1"/>
  <c r="Z566" i="1"/>
  <c r="Z524" i="1"/>
  <c r="Z529" i="1"/>
  <c r="Z238" i="1"/>
  <c r="Z183" i="1"/>
  <c r="Z127" i="1"/>
  <c r="Z76" i="1"/>
  <c r="Y596" i="1"/>
  <c r="Z346" i="1"/>
  <c r="Z340" i="1"/>
  <c r="Y592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<sst xmlns="http://schemas.openxmlformats.org/spreadsheetml/2006/main" count="2738" uniqueCount="970">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</sst>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69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74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9" customWidth="1"/>
    <col min="19" max="19" width="6.140625" style="6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9" customWidth="1"/>
    <col min="25" max="25" width="11" style="659" customWidth="1"/>
    <col min="26" max="26" width="10" style="659" customWidth="1"/>
    <col min="27" max="27" width="11.5703125" style="659" customWidth="1"/>
    <col min="28" max="28" width="10.42578125" style="659" customWidth="1"/>
    <col min="29" max="29" width="30" style="6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9" customWidth="1"/>
    <col min="34" max="34" width="9.140625" style="659" customWidth="1"/>
    <col min="35" max="16384" width="9.140625" style="659"/>
  </cols>
  <sheetData>
    <row r="1" spans="1:32" s="662" customFormat="1" ht="45" customHeight="1" x14ac:dyDescent="0.2">
      <c r="A1" s="41"/>
      <c r="B1" s="41"/>
      <c r="C1" s="41"/>
      <c r="D1" s="965" t="s">
        <v>0</v>
      </c>
      <c r="E1" s="725"/>
      <c r="F1" s="725"/>
      <c r="G1" s="12" t="s">
        <v>1</v>
      </c>
      <c r="H1" s="965" t="s">
        <v>2</v>
      </c>
      <c r="I1" s="725"/>
      <c r="J1" s="725"/>
      <c r="K1" s="725"/>
      <c r="L1" s="725"/>
      <c r="M1" s="725"/>
      <c r="N1" s="725"/>
      <c r="O1" s="725"/>
      <c r="P1" s="725"/>
      <c r="Q1" s="725"/>
      <c r="R1" s="1037" t="s">
        <v>3</v>
      </c>
      <c r="S1" s="725"/>
      <c r="T1" s="72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2" customFormat="1" ht="23.45" customHeight="1" x14ac:dyDescent="0.2">
      <c r="A5" s="972" t="s">
        <v>8</v>
      </c>
      <c r="B5" s="708"/>
      <c r="C5" s="698"/>
      <c r="D5" s="803"/>
      <c r="E5" s="805"/>
      <c r="F5" s="742" t="s">
        <v>9</v>
      </c>
      <c r="G5" s="698"/>
      <c r="H5" s="803" t="s">
        <v>969</v>
      </c>
      <c r="I5" s="804"/>
      <c r="J5" s="804"/>
      <c r="K5" s="804"/>
      <c r="L5" s="804"/>
      <c r="M5" s="805"/>
      <c r="N5" s="58"/>
      <c r="P5" s="24" t="s">
        <v>10</v>
      </c>
      <c r="Q5" s="729">
        <v>45756</v>
      </c>
      <c r="R5" s="730"/>
      <c r="T5" s="896" t="s">
        <v>11</v>
      </c>
      <c r="U5" s="897"/>
      <c r="V5" s="898" t="s">
        <v>12</v>
      </c>
      <c r="W5" s="730"/>
      <c r="AB5" s="51"/>
      <c r="AC5" s="51"/>
      <c r="AD5" s="51"/>
      <c r="AE5" s="51"/>
    </row>
    <row r="6" spans="1:32" s="662" customFormat="1" ht="24" customHeight="1" x14ac:dyDescent="0.2">
      <c r="A6" s="972" t="s">
        <v>13</v>
      </c>
      <c r="B6" s="708"/>
      <c r="C6" s="698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30"/>
      <c r="N6" s="59"/>
      <c r="P6" s="24" t="s">
        <v>15</v>
      </c>
      <c r="Q6" s="720" t="str">
        <f>IF(Q5=0," ",CHOOSE(WEEKDAY(Q5,2),"Понедельник","Вторник","Среда","Четверг","Пятница","Суббота","Воскресенье"))</f>
        <v>Среда</v>
      </c>
      <c r="R6" s="679"/>
      <c r="T6" s="904" t="s">
        <v>16</v>
      </c>
      <c r="U6" s="897"/>
      <c r="V6" s="818" t="s">
        <v>17</v>
      </c>
      <c r="W6" s="819"/>
      <c r="AB6" s="51"/>
      <c r="AC6" s="51"/>
      <c r="AD6" s="51"/>
      <c r="AE6" s="51"/>
    </row>
    <row r="7" spans="1:32" s="662" customFormat="1" ht="21.75" hidden="1" customHeight="1" x14ac:dyDescent="0.2">
      <c r="A7" s="55"/>
      <c r="B7" s="55"/>
      <c r="C7" s="55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901"/>
      <c r="N7" s="60"/>
      <c r="P7" s="24"/>
      <c r="Q7" s="42"/>
      <c r="R7" s="42"/>
      <c r="T7" s="677"/>
      <c r="U7" s="897"/>
      <c r="V7" s="820"/>
      <c r="W7" s="821"/>
      <c r="AB7" s="51"/>
      <c r="AC7" s="51"/>
      <c r="AD7" s="51"/>
      <c r="AE7" s="51"/>
    </row>
    <row r="8" spans="1:32" s="662" customFormat="1" ht="25.5" customHeight="1" x14ac:dyDescent="0.2">
      <c r="A8" s="703" t="s">
        <v>18</v>
      </c>
      <c r="B8" s="674"/>
      <c r="C8" s="675"/>
      <c r="D8" s="1015" t="s">
        <v>19</v>
      </c>
      <c r="E8" s="1016"/>
      <c r="F8" s="1016"/>
      <c r="G8" s="1016"/>
      <c r="H8" s="1016"/>
      <c r="I8" s="1016"/>
      <c r="J8" s="1016"/>
      <c r="K8" s="1016"/>
      <c r="L8" s="1016"/>
      <c r="M8" s="1017"/>
      <c r="N8" s="61"/>
      <c r="P8" s="24" t="s">
        <v>20</v>
      </c>
      <c r="Q8" s="900">
        <v>0.5</v>
      </c>
      <c r="R8" s="901"/>
      <c r="T8" s="677"/>
      <c r="U8" s="897"/>
      <c r="V8" s="820"/>
      <c r="W8" s="821"/>
      <c r="AB8" s="51"/>
      <c r="AC8" s="51"/>
      <c r="AD8" s="51"/>
      <c r="AE8" s="51"/>
    </row>
    <row r="9" spans="1:32" s="662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756"/>
      <c r="E9" s="757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57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7"/>
      <c r="L9" s="757"/>
      <c r="M9" s="757"/>
      <c r="N9" s="663"/>
      <c r="P9" s="26" t="s">
        <v>21</v>
      </c>
      <c r="Q9" s="941"/>
      <c r="R9" s="746"/>
      <c r="T9" s="677"/>
      <c r="U9" s="897"/>
      <c r="V9" s="822"/>
      <c r="W9" s="823"/>
      <c r="X9" s="43"/>
      <c r="Y9" s="43"/>
      <c r="Z9" s="43"/>
      <c r="AA9" s="43"/>
      <c r="AB9" s="51"/>
      <c r="AC9" s="51"/>
      <c r="AD9" s="51"/>
      <c r="AE9" s="51"/>
    </row>
    <row r="10" spans="1:32" s="662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756"/>
      <c r="E10" s="757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841" t="str">
        <f>IFERROR(VLOOKUP($D$10,Proxy,2,FALSE),"")</f>
        <v/>
      </c>
      <c r="I10" s="677"/>
      <c r="J10" s="677"/>
      <c r="K10" s="677"/>
      <c r="L10" s="677"/>
      <c r="M10" s="677"/>
      <c r="N10" s="661"/>
      <c r="P10" s="26" t="s">
        <v>22</v>
      </c>
      <c r="Q10" s="905"/>
      <c r="R10" s="906"/>
      <c r="U10" s="24" t="s">
        <v>23</v>
      </c>
      <c r="V10" s="1029" t="s">
        <v>24</v>
      </c>
      <c r="W10" s="819"/>
      <c r="X10" s="44"/>
      <c r="Y10" s="44"/>
      <c r="Z10" s="44"/>
      <c r="AA10" s="44"/>
      <c r="AB10" s="51"/>
      <c r="AC10" s="51"/>
      <c r="AD10" s="51"/>
      <c r="AE10" s="51"/>
    </row>
    <row r="11" spans="1:32" s="6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2"/>
      <c r="R11" s="730"/>
      <c r="U11" s="24" t="s">
        <v>27</v>
      </c>
      <c r="V11" s="745" t="s">
        <v>28</v>
      </c>
      <c r="W11" s="746"/>
      <c r="X11" s="45"/>
      <c r="Y11" s="45"/>
      <c r="Z11" s="45"/>
      <c r="AA11" s="45"/>
      <c r="AB11" s="51"/>
      <c r="AC11" s="51"/>
      <c r="AD11" s="51"/>
      <c r="AE11" s="51"/>
    </row>
    <row r="12" spans="1:32" s="662" customFormat="1" ht="18.600000000000001" customHeight="1" x14ac:dyDescent="0.2">
      <c r="A12" s="876" t="s">
        <v>29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698"/>
      <c r="N12" s="62"/>
      <c r="P12" s="24" t="s">
        <v>30</v>
      </c>
      <c r="Q12" s="900"/>
      <c r="R12" s="901"/>
      <c r="S12" s="23"/>
      <c r="U12" s="24"/>
      <c r="V12" s="725"/>
      <c r="W12" s="677"/>
      <c r="AB12" s="51"/>
      <c r="AC12" s="51"/>
      <c r="AD12" s="51"/>
      <c r="AE12" s="51"/>
    </row>
    <row r="13" spans="1:32" s="662" customFormat="1" ht="23.25" customHeight="1" x14ac:dyDescent="0.2">
      <c r="A13" s="876" t="s">
        <v>31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698"/>
      <c r="N13" s="62"/>
      <c r="O13" s="26"/>
      <c r="P13" s="26" t="s">
        <v>32</v>
      </c>
      <c r="Q13" s="745"/>
      <c r="R13" s="7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2" customFormat="1" ht="18.600000000000001" customHeight="1" x14ac:dyDescent="0.2">
      <c r="A14" s="876" t="s">
        <v>33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2" customFormat="1" ht="22.5" customHeight="1" x14ac:dyDescent="0.2">
      <c r="A15" s="877" t="s">
        <v>34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698"/>
      <c r="N15" s="63"/>
      <c r="P15" s="914" t="s">
        <v>35</v>
      </c>
      <c r="Q15" s="725"/>
      <c r="R15" s="725"/>
      <c r="S15" s="725"/>
      <c r="T15" s="72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15"/>
      <c r="Q16" s="915"/>
      <c r="R16" s="915"/>
      <c r="S16" s="915"/>
      <c r="T16" s="9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36</v>
      </c>
      <c r="B17" s="685" t="s">
        <v>37</v>
      </c>
      <c r="C17" s="975" t="s">
        <v>38</v>
      </c>
      <c r="D17" s="685" t="s">
        <v>39</v>
      </c>
      <c r="E17" s="686"/>
      <c r="F17" s="685" t="s">
        <v>40</v>
      </c>
      <c r="G17" s="685" t="s">
        <v>41</v>
      </c>
      <c r="H17" s="685" t="s">
        <v>42</v>
      </c>
      <c r="I17" s="685" t="s">
        <v>43</v>
      </c>
      <c r="J17" s="685" t="s">
        <v>44</v>
      </c>
      <c r="K17" s="685" t="s">
        <v>45</v>
      </c>
      <c r="L17" s="685" t="s">
        <v>46</v>
      </c>
      <c r="M17" s="685" t="s">
        <v>47</v>
      </c>
      <c r="N17" s="685" t="s">
        <v>48</v>
      </c>
      <c r="O17" s="685" t="s">
        <v>49</v>
      </c>
      <c r="P17" s="685" t="s">
        <v>50</v>
      </c>
      <c r="Q17" s="952"/>
      <c r="R17" s="952"/>
      <c r="S17" s="952"/>
      <c r="T17" s="686"/>
      <c r="U17" s="697" t="s">
        <v>51</v>
      </c>
      <c r="V17" s="698"/>
      <c r="W17" s="685" t="s">
        <v>52</v>
      </c>
      <c r="X17" s="685" t="s">
        <v>53</v>
      </c>
      <c r="Y17" s="699" t="s">
        <v>54</v>
      </c>
      <c r="Z17" s="833" t="s">
        <v>55</v>
      </c>
      <c r="AA17" s="736" t="s">
        <v>56</v>
      </c>
      <c r="AB17" s="736" t="s">
        <v>57</v>
      </c>
      <c r="AC17" s="736" t="s">
        <v>58</v>
      </c>
      <c r="AD17" s="736" t="s">
        <v>59</v>
      </c>
      <c r="AE17" s="737"/>
      <c r="AF17" s="738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687"/>
      <c r="E18" s="688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687"/>
      <c r="Q18" s="953"/>
      <c r="R18" s="953"/>
      <c r="S18" s="953"/>
      <c r="T18" s="688"/>
      <c r="U18" s="67" t="s">
        <v>61</v>
      </c>
      <c r="V18" s="67" t="s">
        <v>62</v>
      </c>
      <c r="W18" s="693"/>
      <c r="X18" s="693"/>
      <c r="Y18" s="700"/>
      <c r="Z18" s="834"/>
      <c r="AA18" s="842"/>
      <c r="AB18" s="842"/>
      <c r="AC18" s="842"/>
      <c r="AD18" s="739"/>
      <c r="AE18" s="740"/>
      <c r="AF18" s="741"/>
      <c r="AG18" s="66"/>
      <c r="BD18" s="65"/>
    </row>
    <row r="19" spans="1:68" ht="27.75" hidden="1" customHeight="1" x14ac:dyDescent="0.2">
      <c r="A19" s="671" t="s">
        <v>63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89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0"/>
      <c r="AB20" s="660"/>
      <c r="AC20" s="660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58"/>
      <c r="AB21" s="658"/>
      <c r="AC21" s="658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8">
        <v>4680115885912</v>
      </c>
      <c r="E22" s="679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1"/>
      <c r="R22" s="681"/>
      <c r="S22" s="681"/>
      <c r="T22" s="682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8">
        <v>4607091388237</v>
      </c>
      <c r="E23" s="679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1"/>
      <c r="R23" s="681"/>
      <c r="S23" s="681"/>
      <c r="T23" s="682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78">
        <v>4680115885905</v>
      </c>
      <c r="E24" s="679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81"/>
      <c r="R24" s="681"/>
      <c r="S24" s="681"/>
      <c r="T24" s="682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78">
        <v>4607091388244</v>
      </c>
      <c r="E25" s="679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81"/>
      <c r="R25" s="681"/>
      <c r="S25" s="681"/>
      <c r="T25" s="682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701"/>
      <c r="B26" s="677"/>
      <c r="C26" s="677"/>
      <c r="D26" s="677"/>
      <c r="E26" s="677"/>
      <c r="F26" s="677"/>
      <c r="G26" s="677"/>
      <c r="H26" s="677"/>
      <c r="I26" s="677"/>
      <c r="J26" s="677"/>
      <c r="K26" s="677"/>
      <c r="L26" s="677"/>
      <c r="M26" s="677"/>
      <c r="N26" s="677"/>
      <c r="O26" s="702"/>
      <c r="P26" s="673" t="s">
        <v>80</v>
      </c>
      <c r="Q26" s="674"/>
      <c r="R26" s="674"/>
      <c r="S26" s="674"/>
      <c r="T26" s="674"/>
      <c r="U26" s="674"/>
      <c r="V26" s="675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77"/>
      <c r="B27" s="677"/>
      <c r="C27" s="677"/>
      <c r="D27" s="677"/>
      <c r="E27" s="677"/>
      <c r="F27" s="677"/>
      <c r="G27" s="677"/>
      <c r="H27" s="677"/>
      <c r="I27" s="677"/>
      <c r="J27" s="677"/>
      <c r="K27" s="677"/>
      <c r="L27" s="677"/>
      <c r="M27" s="677"/>
      <c r="N27" s="677"/>
      <c r="O27" s="702"/>
      <c r="P27" s="673" t="s">
        <v>80</v>
      </c>
      <c r="Q27" s="674"/>
      <c r="R27" s="674"/>
      <c r="S27" s="674"/>
      <c r="T27" s="674"/>
      <c r="U27" s="674"/>
      <c r="V27" s="675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76" t="s">
        <v>82</v>
      </c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77"/>
      <c r="P28" s="677"/>
      <c r="Q28" s="677"/>
      <c r="R28" s="677"/>
      <c r="S28" s="677"/>
      <c r="T28" s="677"/>
      <c r="U28" s="677"/>
      <c r="V28" s="677"/>
      <c r="W28" s="677"/>
      <c r="X28" s="677"/>
      <c r="Y28" s="677"/>
      <c r="Z28" s="677"/>
      <c r="AA28" s="658"/>
      <c r="AB28" s="658"/>
      <c r="AC28" s="658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78">
        <v>4607091388503</v>
      </c>
      <c r="E29" s="679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10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81"/>
      <c r="R29" s="681"/>
      <c r="S29" s="681"/>
      <c r="T29" s="682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701"/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702"/>
      <c r="P30" s="673" t="s">
        <v>80</v>
      </c>
      <c r="Q30" s="674"/>
      <c r="R30" s="674"/>
      <c r="S30" s="674"/>
      <c r="T30" s="674"/>
      <c r="U30" s="674"/>
      <c r="V30" s="675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77"/>
      <c r="B31" s="677"/>
      <c r="C31" s="677"/>
      <c r="D31" s="677"/>
      <c r="E31" s="677"/>
      <c r="F31" s="677"/>
      <c r="G31" s="677"/>
      <c r="H31" s="677"/>
      <c r="I31" s="677"/>
      <c r="J31" s="677"/>
      <c r="K31" s="677"/>
      <c r="L31" s="677"/>
      <c r="M31" s="677"/>
      <c r="N31" s="677"/>
      <c r="O31" s="702"/>
      <c r="P31" s="673" t="s">
        <v>80</v>
      </c>
      <c r="Q31" s="674"/>
      <c r="R31" s="674"/>
      <c r="S31" s="674"/>
      <c r="T31" s="674"/>
      <c r="U31" s="674"/>
      <c r="V31" s="675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671" t="s">
        <v>88</v>
      </c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72"/>
      <c r="P32" s="672"/>
      <c r="Q32" s="672"/>
      <c r="R32" s="672"/>
      <c r="S32" s="672"/>
      <c r="T32" s="672"/>
      <c r="U32" s="672"/>
      <c r="V32" s="672"/>
      <c r="W32" s="672"/>
      <c r="X32" s="672"/>
      <c r="Y32" s="672"/>
      <c r="Z32" s="672"/>
      <c r="AA32" s="48"/>
      <c r="AB32" s="48"/>
      <c r="AC32" s="48"/>
    </row>
    <row r="33" spans="1:68" ht="16.5" hidden="1" customHeight="1" x14ac:dyDescent="0.25">
      <c r="A33" s="689" t="s">
        <v>89</v>
      </c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77"/>
      <c r="P33" s="677"/>
      <c r="Q33" s="677"/>
      <c r="R33" s="677"/>
      <c r="S33" s="677"/>
      <c r="T33" s="677"/>
      <c r="U33" s="677"/>
      <c r="V33" s="677"/>
      <c r="W33" s="677"/>
      <c r="X33" s="677"/>
      <c r="Y33" s="677"/>
      <c r="Z33" s="677"/>
      <c r="AA33" s="660"/>
      <c r="AB33" s="660"/>
      <c r="AC33" s="660"/>
    </row>
    <row r="34" spans="1:68" ht="14.25" hidden="1" customHeight="1" x14ac:dyDescent="0.25">
      <c r="A34" s="676" t="s">
        <v>90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658"/>
      <c r="AB34" s="658"/>
      <c r="AC34" s="658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78">
        <v>4607091385670</v>
      </c>
      <c r="E35" s="679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81"/>
      <c r="R35" s="681"/>
      <c r="S35" s="681"/>
      <c r="T35" s="682"/>
      <c r="U35" s="34"/>
      <c r="V35" s="34"/>
      <c r="W35" s="35" t="s">
        <v>69</v>
      </c>
      <c r="X35" s="665">
        <v>80</v>
      </c>
      <c r="Y35" s="666">
        <f>IFERROR(IF(X35="",0,CEILING((X35/$H35),1)*$H35),"")</f>
        <v>86.4</v>
      </c>
      <c r="Z35" s="36">
        <f>IFERROR(IF(Y35=0,"",ROUNDUP(Y35/H35,0)*0.01898),"")</f>
        <v>0.15184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83.222222222222214</v>
      </c>
      <c r="BN35" s="64">
        <f>IFERROR(Y35*I35/H35,"0")</f>
        <v>89.88</v>
      </c>
      <c r="BO35" s="64">
        <f>IFERROR(1/J35*(X35/H35),"0")</f>
        <v>0.11574074074074073</v>
      </c>
      <c r="BP35" s="64">
        <f>IFERROR(1/J35*(Y35/H35),"0")</f>
        <v>0.125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78">
        <v>4607091385687</v>
      </c>
      <c r="E36" s="679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7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81"/>
      <c r="R36" s="681"/>
      <c r="S36" s="681"/>
      <c r="T36" s="682"/>
      <c r="U36" s="34"/>
      <c r="V36" s="34"/>
      <c r="W36" s="35" t="s">
        <v>69</v>
      </c>
      <c r="X36" s="665">
        <v>8</v>
      </c>
      <c r="Y36" s="666">
        <f>IFERROR(IF(X36="",0,CEILING((X36/$H36),1)*$H36),"")</f>
        <v>8</v>
      </c>
      <c r="Z36" s="36">
        <f>IFERROR(IF(Y36=0,"",ROUNDUP(Y36/H36,0)*0.00902),"")</f>
        <v>1.804E-2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8.42</v>
      </c>
      <c r="BN36" s="64">
        <f>IFERROR(Y36*I36/H36,"0")</f>
        <v>8.42</v>
      </c>
      <c r="BO36" s="64">
        <f>IFERROR(1/J36*(X36/H36),"0")</f>
        <v>1.5151515151515152E-2</v>
      </c>
      <c r="BP36" s="64">
        <f>IFERROR(1/J36*(Y36/H36),"0")</f>
        <v>1.5151515151515152E-2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78">
        <v>4680115882539</v>
      </c>
      <c r="E37" s="679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81"/>
      <c r="R37" s="681"/>
      <c r="S37" s="681"/>
      <c r="T37" s="682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78">
        <v>4680115883949</v>
      </c>
      <c r="E38" s="679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82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81"/>
      <c r="R38" s="681"/>
      <c r="S38" s="681"/>
      <c r="T38" s="682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701"/>
      <c r="B39" s="677"/>
      <c r="C39" s="677"/>
      <c r="D39" s="677"/>
      <c r="E39" s="677"/>
      <c r="F39" s="677"/>
      <c r="G39" s="677"/>
      <c r="H39" s="677"/>
      <c r="I39" s="677"/>
      <c r="J39" s="677"/>
      <c r="K39" s="677"/>
      <c r="L39" s="677"/>
      <c r="M39" s="677"/>
      <c r="N39" s="677"/>
      <c r="O39" s="702"/>
      <c r="P39" s="673" t="s">
        <v>80</v>
      </c>
      <c r="Q39" s="674"/>
      <c r="R39" s="674"/>
      <c r="S39" s="674"/>
      <c r="T39" s="674"/>
      <c r="U39" s="674"/>
      <c r="V39" s="675"/>
      <c r="W39" s="37" t="s">
        <v>81</v>
      </c>
      <c r="X39" s="667">
        <f>IFERROR(X35/H35,"0")+IFERROR(X36/H36,"0")+IFERROR(X37/H37,"0")+IFERROR(X38/H38,"0")</f>
        <v>9.4074074074074066</v>
      </c>
      <c r="Y39" s="667">
        <f>IFERROR(Y35/H35,"0")+IFERROR(Y36/H36,"0")+IFERROR(Y37/H37,"0")+IFERROR(Y38/H38,"0")</f>
        <v>10</v>
      </c>
      <c r="Z39" s="667">
        <f>IFERROR(IF(Z35="",0,Z35),"0")+IFERROR(IF(Z36="",0,Z36),"0")+IFERROR(IF(Z37="",0,Z37),"0")+IFERROR(IF(Z38="",0,Z38),"0")</f>
        <v>0.16988</v>
      </c>
      <c r="AA39" s="668"/>
      <c r="AB39" s="668"/>
      <c r="AC39" s="668"/>
    </row>
    <row r="40" spans="1:68" x14ac:dyDescent="0.2">
      <c r="A40" s="677"/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702"/>
      <c r="P40" s="673" t="s">
        <v>80</v>
      </c>
      <c r="Q40" s="674"/>
      <c r="R40" s="674"/>
      <c r="S40" s="674"/>
      <c r="T40" s="674"/>
      <c r="U40" s="674"/>
      <c r="V40" s="675"/>
      <c r="W40" s="37" t="s">
        <v>69</v>
      </c>
      <c r="X40" s="667">
        <f>IFERROR(SUM(X35:X38),"0")</f>
        <v>88</v>
      </c>
      <c r="Y40" s="667">
        <f>IFERROR(SUM(Y35:Y38),"0")</f>
        <v>94.4</v>
      </c>
      <c r="Z40" s="37"/>
      <c r="AA40" s="668"/>
      <c r="AB40" s="668"/>
      <c r="AC40" s="668"/>
    </row>
    <row r="41" spans="1:68" ht="14.25" hidden="1" customHeight="1" x14ac:dyDescent="0.25">
      <c r="A41" s="676" t="s">
        <v>64</v>
      </c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77"/>
      <c r="P41" s="677"/>
      <c r="Q41" s="677"/>
      <c r="R41" s="677"/>
      <c r="S41" s="677"/>
      <c r="T41" s="677"/>
      <c r="U41" s="677"/>
      <c r="V41" s="677"/>
      <c r="W41" s="677"/>
      <c r="X41" s="677"/>
      <c r="Y41" s="677"/>
      <c r="Z41" s="677"/>
      <c r="AA41" s="658"/>
      <c r="AB41" s="658"/>
      <c r="AC41" s="658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78">
        <v>4680115884915</v>
      </c>
      <c r="E42" s="679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9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81"/>
      <c r="R42" s="681"/>
      <c r="S42" s="681"/>
      <c r="T42" s="682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701"/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702"/>
      <c r="P43" s="673" t="s">
        <v>80</v>
      </c>
      <c r="Q43" s="674"/>
      <c r="R43" s="674"/>
      <c r="S43" s="674"/>
      <c r="T43" s="674"/>
      <c r="U43" s="674"/>
      <c r="V43" s="675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77"/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702"/>
      <c r="P44" s="673" t="s">
        <v>80</v>
      </c>
      <c r="Q44" s="674"/>
      <c r="R44" s="674"/>
      <c r="S44" s="674"/>
      <c r="T44" s="674"/>
      <c r="U44" s="674"/>
      <c r="V44" s="675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689" t="s">
        <v>110</v>
      </c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77"/>
      <c r="P45" s="677"/>
      <c r="Q45" s="677"/>
      <c r="R45" s="677"/>
      <c r="S45" s="677"/>
      <c r="T45" s="677"/>
      <c r="U45" s="677"/>
      <c r="V45" s="677"/>
      <c r="W45" s="677"/>
      <c r="X45" s="677"/>
      <c r="Y45" s="677"/>
      <c r="Z45" s="677"/>
      <c r="AA45" s="660"/>
      <c r="AB45" s="660"/>
      <c r="AC45" s="660"/>
    </row>
    <row r="46" spans="1:68" ht="14.25" hidden="1" customHeight="1" x14ac:dyDescent="0.25">
      <c r="A46" s="676" t="s">
        <v>90</v>
      </c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77"/>
      <c r="P46" s="677"/>
      <c r="Q46" s="677"/>
      <c r="R46" s="677"/>
      <c r="S46" s="677"/>
      <c r="T46" s="677"/>
      <c r="U46" s="677"/>
      <c r="V46" s="677"/>
      <c r="W46" s="677"/>
      <c r="X46" s="677"/>
      <c r="Y46" s="677"/>
      <c r="Z46" s="677"/>
      <c r="AA46" s="658"/>
      <c r="AB46" s="658"/>
      <c r="AC46" s="658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78">
        <v>4680115885882</v>
      </c>
      <c r="E47" s="679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9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81"/>
      <c r="R47" s="681"/>
      <c r="S47" s="681"/>
      <c r="T47" s="682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78">
        <v>4680115881426</v>
      </c>
      <c r="E48" s="679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81"/>
      <c r="R48" s="681"/>
      <c r="S48" s="681"/>
      <c r="T48" s="682"/>
      <c r="U48" s="34"/>
      <c r="V48" s="34"/>
      <c r="W48" s="35" t="s">
        <v>69</v>
      </c>
      <c r="X48" s="665">
        <v>950</v>
      </c>
      <c r="Y48" s="666">
        <f t="shared" si="0"/>
        <v>950.40000000000009</v>
      </c>
      <c r="Z48" s="36">
        <f>IFERROR(IF(Y48=0,"",ROUNDUP(Y48/H48,0)*0.01898),"")</f>
        <v>1.6702399999999999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988.2638888888888</v>
      </c>
      <c r="BN48" s="64">
        <f t="shared" si="2"/>
        <v>988.68</v>
      </c>
      <c r="BO48" s="64">
        <f t="shared" si="3"/>
        <v>1.3744212962962963</v>
      </c>
      <c r="BP48" s="64">
        <f t="shared" si="4"/>
        <v>1.375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78">
        <v>4680115880283</v>
      </c>
      <c r="E49" s="679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7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81"/>
      <c r="R49" s="681"/>
      <c r="S49" s="681"/>
      <c r="T49" s="682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78">
        <v>4680115882720</v>
      </c>
      <c r="E50" s="679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955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81"/>
      <c r="R50" s="681"/>
      <c r="S50" s="681"/>
      <c r="T50" s="682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78">
        <v>4680115881525</v>
      </c>
      <c r="E51" s="679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9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81"/>
      <c r="R51" s="681"/>
      <c r="S51" s="681"/>
      <c r="T51" s="682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78">
        <v>4680115885899</v>
      </c>
      <c r="E52" s="679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9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81"/>
      <c r="R52" s="681"/>
      <c r="S52" s="681"/>
      <c r="T52" s="682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78">
        <v>4680115881419</v>
      </c>
      <c r="E53" s="679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81"/>
      <c r="R53" s="681"/>
      <c r="S53" s="681"/>
      <c r="T53" s="682"/>
      <c r="U53" s="34"/>
      <c r="V53" s="34"/>
      <c r="W53" s="35" t="s">
        <v>69</v>
      </c>
      <c r="X53" s="665">
        <v>333</v>
      </c>
      <c r="Y53" s="666">
        <f t="shared" si="0"/>
        <v>333</v>
      </c>
      <c r="Z53" s="36">
        <f>IFERROR(IF(Y53=0,"",ROUNDUP(Y53/H53,0)*0.00902),"")</f>
        <v>0.66748000000000007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348.54</v>
      </c>
      <c r="BN53" s="64">
        <f t="shared" si="2"/>
        <v>348.54</v>
      </c>
      <c r="BO53" s="64">
        <f t="shared" si="3"/>
        <v>0.56060606060606066</v>
      </c>
      <c r="BP53" s="64">
        <f t="shared" si="4"/>
        <v>0.56060606060606066</v>
      </c>
    </row>
    <row r="54" spans="1:68" x14ac:dyDescent="0.2">
      <c r="A54" s="701"/>
      <c r="B54" s="677"/>
      <c r="C54" s="677"/>
      <c r="D54" s="677"/>
      <c r="E54" s="677"/>
      <c r="F54" s="677"/>
      <c r="G54" s="677"/>
      <c r="H54" s="677"/>
      <c r="I54" s="677"/>
      <c r="J54" s="677"/>
      <c r="K54" s="677"/>
      <c r="L54" s="677"/>
      <c r="M54" s="677"/>
      <c r="N54" s="677"/>
      <c r="O54" s="702"/>
      <c r="P54" s="673" t="s">
        <v>80</v>
      </c>
      <c r="Q54" s="674"/>
      <c r="R54" s="674"/>
      <c r="S54" s="674"/>
      <c r="T54" s="674"/>
      <c r="U54" s="674"/>
      <c r="V54" s="675"/>
      <c r="W54" s="37" t="s">
        <v>81</v>
      </c>
      <c r="X54" s="667">
        <f>IFERROR(X47/H47,"0")+IFERROR(X48/H48,"0")+IFERROR(X49/H49,"0")+IFERROR(X50/H50,"0")+IFERROR(X51/H51,"0")+IFERROR(X52/H52,"0")+IFERROR(X53/H53,"0")</f>
        <v>161.96296296296296</v>
      </c>
      <c r="Y54" s="667">
        <f>IFERROR(Y47/H47,"0")+IFERROR(Y48/H48,"0")+IFERROR(Y49/H49,"0")+IFERROR(Y50/H50,"0")+IFERROR(Y51/H51,"0")+IFERROR(Y52/H52,"0")+IFERROR(Y53/H53,"0")</f>
        <v>162</v>
      </c>
      <c r="Z54" s="667">
        <f>IFERROR(IF(Z47="",0,Z47),"0")+IFERROR(IF(Z48="",0,Z48),"0")+IFERROR(IF(Z49="",0,Z49),"0")+IFERROR(IF(Z50="",0,Z50),"0")+IFERROR(IF(Z51="",0,Z51),"0")+IFERROR(IF(Z52="",0,Z52),"0")+IFERROR(IF(Z53="",0,Z53),"0")</f>
        <v>2.33772</v>
      </c>
      <c r="AA54" s="668"/>
      <c r="AB54" s="668"/>
      <c r="AC54" s="668"/>
    </row>
    <row r="55" spans="1:68" x14ac:dyDescent="0.2">
      <c r="A55" s="677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702"/>
      <c r="P55" s="673" t="s">
        <v>80</v>
      </c>
      <c r="Q55" s="674"/>
      <c r="R55" s="674"/>
      <c r="S55" s="674"/>
      <c r="T55" s="674"/>
      <c r="U55" s="674"/>
      <c r="V55" s="675"/>
      <c r="W55" s="37" t="s">
        <v>69</v>
      </c>
      <c r="X55" s="667">
        <f>IFERROR(SUM(X47:X53),"0")</f>
        <v>1283</v>
      </c>
      <c r="Y55" s="667">
        <f>IFERROR(SUM(Y47:Y53),"0")</f>
        <v>1283.4000000000001</v>
      </c>
      <c r="Z55" s="37"/>
      <c r="AA55" s="668"/>
      <c r="AB55" s="668"/>
      <c r="AC55" s="668"/>
    </row>
    <row r="56" spans="1:68" ht="14.25" hidden="1" customHeight="1" x14ac:dyDescent="0.25">
      <c r="A56" s="676" t="s">
        <v>133</v>
      </c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77"/>
      <c r="P56" s="677"/>
      <c r="Q56" s="677"/>
      <c r="R56" s="677"/>
      <c r="S56" s="677"/>
      <c r="T56" s="677"/>
      <c r="U56" s="677"/>
      <c r="V56" s="677"/>
      <c r="W56" s="677"/>
      <c r="X56" s="677"/>
      <c r="Y56" s="677"/>
      <c r="Z56" s="677"/>
      <c r="AA56" s="658"/>
      <c r="AB56" s="658"/>
      <c r="AC56" s="658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78">
        <v>4680115881440</v>
      </c>
      <c r="E57" s="679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81"/>
      <c r="R57" s="681"/>
      <c r="S57" s="681"/>
      <c r="T57" s="682"/>
      <c r="U57" s="34"/>
      <c r="V57" s="34"/>
      <c r="W57" s="35" t="s">
        <v>69</v>
      </c>
      <c r="X57" s="665">
        <v>600</v>
      </c>
      <c r="Y57" s="666">
        <f>IFERROR(IF(X57="",0,CEILING((X57/$H57),1)*$H57),"")</f>
        <v>604.80000000000007</v>
      </c>
      <c r="Z57" s="36">
        <f>IFERROR(IF(Y57=0,"",ROUNDUP(Y57/H57,0)*0.01898),"")</f>
        <v>1.06288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624.16666666666663</v>
      </c>
      <c r="BN57" s="64">
        <f>IFERROR(Y57*I57/H57,"0")</f>
        <v>629.16000000000008</v>
      </c>
      <c r="BO57" s="64">
        <f>IFERROR(1/J57*(X57/H57),"0")</f>
        <v>0.86805555555555547</v>
      </c>
      <c r="BP57" s="64">
        <f>IFERROR(1/J57*(Y57/H57),"0")</f>
        <v>0.875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78">
        <v>4680115882751</v>
      </c>
      <c r="E58" s="679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69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81"/>
      <c r="R58" s="681"/>
      <c r="S58" s="681"/>
      <c r="T58" s="682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78">
        <v>4680115885950</v>
      </c>
      <c r="E59" s="679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79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81"/>
      <c r="R59" s="681"/>
      <c r="S59" s="681"/>
      <c r="T59" s="682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78">
        <v>4680115881433</v>
      </c>
      <c r="E60" s="679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7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81"/>
      <c r="R60" s="681"/>
      <c r="S60" s="681"/>
      <c r="T60" s="682"/>
      <c r="U60" s="34"/>
      <c r="V60" s="34"/>
      <c r="W60" s="35" t="s">
        <v>69</v>
      </c>
      <c r="X60" s="665">
        <v>206.1</v>
      </c>
      <c r="Y60" s="666">
        <f>IFERROR(IF(X60="",0,CEILING((X60/$H60),1)*$H60),"")</f>
        <v>207.9</v>
      </c>
      <c r="Z60" s="36">
        <f>IFERROR(IF(Y60=0,"",ROUNDUP(Y60/H60,0)*0.00651),"")</f>
        <v>0.50126999999999999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219.83999999999997</v>
      </c>
      <c r="BN60" s="64">
        <f>IFERROR(Y60*I60/H60,"0")</f>
        <v>221.75999999999996</v>
      </c>
      <c r="BO60" s="64">
        <f>IFERROR(1/J60*(X60/H60),"0")</f>
        <v>0.41941391941391942</v>
      </c>
      <c r="BP60" s="64">
        <f>IFERROR(1/J60*(Y60/H60),"0")</f>
        <v>0.42307692307692313</v>
      </c>
    </row>
    <row r="61" spans="1:68" x14ac:dyDescent="0.2">
      <c r="A61" s="701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702"/>
      <c r="P61" s="673" t="s">
        <v>80</v>
      </c>
      <c r="Q61" s="674"/>
      <c r="R61" s="674"/>
      <c r="S61" s="674"/>
      <c r="T61" s="674"/>
      <c r="U61" s="674"/>
      <c r="V61" s="675"/>
      <c r="W61" s="37" t="s">
        <v>81</v>
      </c>
      <c r="X61" s="667">
        <f>IFERROR(X57/H57,"0")+IFERROR(X58/H58,"0")+IFERROR(X59/H59,"0")+IFERROR(X60/H60,"0")</f>
        <v>131.88888888888889</v>
      </c>
      <c r="Y61" s="667">
        <f>IFERROR(Y57/H57,"0")+IFERROR(Y58/H58,"0")+IFERROR(Y59/H59,"0")+IFERROR(Y60/H60,"0")</f>
        <v>133</v>
      </c>
      <c r="Z61" s="667">
        <f>IFERROR(IF(Z57="",0,Z57),"0")+IFERROR(IF(Z58="",0,Z58),"0")+IFERROR(IF(Z59="",0,Z59),"0")+IFERROR(IF(Z60="",0,Z60),"0")</f>
        <v>1.5641500000000002</v>
      </c>
      <c r="AA61" s="668"/>
      <c r="AB61" s="668"/>
      <c r="AC61" s="668"/>
    </row>
    <row r="62" spans="1:68" x14ac:dyDescent="0.2">
      <c r="A62" s="677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702"/>
      <c r="P62" s="673" t="s">
        <v>80</v>
      </c>
      <c r="Q62" s="674"/>
      <c r="R62" s="674"/>
      <c r="S62" s="674"/>
      <c r="T62" s="674"/>
      <c r="U62" s="674"/>
      <c r="V62" s="675"/>
      <c r="W62" s="37" t="s">
        <v>69</v>
      </c>
      <c r="X62" s="667">
        <f>IFERROR(SUM(X57:X60),"0")</f>
        <v>806.1</v>
      </c>
      <c r="Y62" s="667">
        <f>IFERROR(SUM(Y57:Y60),"0")</f>
        <v>812.7</v>
      </c>
      <c r="Z62" s="37"/>
      <c r="AA62" s="668"/>
      <c r="AB62" s="668"/>
      <c r="AC62" s="668"/>
    </row>
    <row r="63" spans="1:68" ht="14.25" hidden="1" customHeight="1" x14ac:dyDescent="0.25">
      <c r="A63" s="676" t="s">
        <v>144</v>
      </c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77"/>
      <c r="P63" s="677"/>
      <c r="Q63" s="677"/>
      <c r="R63" s="677"/>
      <c r="S63" s="677"/>
      <c r="T63" s="677"/>
      <c r="U63" s="677"/>
      <c r="V63" s="677"/>
      <c r="W63" s="677"/>
      <c r="X63" s="677"/>
      <c r="Y63" s="677"/>
      <c r="Z63" s="677"/>
      <c r="AA63" s="658"/>
      <c r="AB63" s="658"/>
      <c r="AC63" s="658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78">
        <v>4680115885073</v>
      </c>
      <c r="E64" s="679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81"/>
      <c r="R64" s="681"/>
      <c r="S64" s="681"/>
      <c r="T64" s="682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78">
        <v>4680115885059</v>
      </c>
      <c r="E65" s="679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7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81"/>
      <c r="R65" s="681"/>
      <c r="S65" s="681"/>
      <c r="T65" s="682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78">
        <v>4680115885097</v>
      </c>
      <c r="E66" s="679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9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81"/>
      <c r="R66" s="681"/>
      <c r="S66" s="681"/>
      <c r="T66" s="682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701"/>
      <c r="B67" s="677"/>
      <c r="C67" s="677"/>
      <c r="D67" s="677"/>
      <c r="E67" s="677"/>
      <c r="F67" s="677"/>
      <c r="G67" s="677"/>
      <c r="H67" s="677"/>
      <c r="I67" s="677"/>
      <c r="J67" s="677"/>
      <c r="K67" s="677"/>
      <c r="L67" s="677"/>
      <c r="M67" s="677"/>
      <c r="N67" s="677"/>
      <c r="O67" s="702"/>
      <c r="P67" s="673" t="s">
        <v>80</v>
      </c>
      <c r="Q67" s="674"/>
      <c r="R67" s="674"/>
      <c r="S67" s="674"/>
      <c r="T67" s="674"/>
      <c r="U67" s="674"/>
      <c r="V67" s="675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77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702"/>
      <c r="P68" s="673" t="s">
        <v>80</v>
      </c>
      <c r="Q68" s="674"/>
      <c r="R68" s="674"/>
      <c r="S68" s="674"/>
      <c r="T68" s="674"/>
      <c r="U68" s="674"/>
      <c r="V68" s="675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76" t="s">
        <v>64</v>
      </c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7"/>
      <c r="R69" s="677"/>
      <c r="S69" s="677"/>
      <c r="T69" s="677"/>
      <c r="U69" s="677"/>
      <c r="V69" s="677"/>
      <c r="W69" s="677"/>
      <c r="X69" s="677"/>
      <c r="Y69" s="677"/>
      <c r="Z69" s="677"/>
      <c r="AA69" s="658"/>
      <c r="AB69" s="658"/>
      <c r="AC69" s="658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78">
        <v>4680115881891</v>
      </c>
      <c r="E70" s="679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71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81"/>
      <c r="R70" s="681"/>
      <c r="S70" s="681"/>
      <c r="T70" s="682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78">
        <v>4680115885769</v>
      </c>
      <c r="E71" s="679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6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81"/>
      <c r="R71" s="681"/>
      <c r="S71" s="681"/>
      <c r="T71" s="682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78">
        <v>4680115884410</v>
      </c>
      <c r="E72" s="679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73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81"/>
      <c r="R72" s="681"/>
      <c r="S72" s="681"/>
      <c r="T72" s="682"/>
      <c r="U72" s="34"/>
      <c r="V72" s="34"/>
      <c r="W72" s="35" t="s">
        <v>69</v>
      </c>
      <c r="X72" s="665">
        <v>20</v>
      </c>
      <c r="Y72" s="666">
        <f t="shared" si="5"/>
        <v>25.200000000000003</v>
      </c>
      <c r="Z72" s="36">
        <f>IFERROR(IF(Y72=0,"",ROUNDUP(Y72/H72,0)*0.01898),"")</f>
        <v>5.6940000000000004E-2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21.207142857142856</v>
      </c>
      <c r="BN72" s="64">
        <f t="shared" si="7"/>
        <v>26.721000000000004</v>
      </c>
      <c r="BO72" s="64">
        <f t="shared" si="8"/>
        <v>3.7202380952380952E-2</v>
      </c>
      <c r="BP72" s="64">
        <f t="shared" si="9"/>
        <v>4.6875E-2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78">
        <v>4680115884311</v>
      </c>
      <c r="E73" s="679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10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81"/>
      <c r="R73" s="681"/>
      <c r="S73" s="681"/>
      <c r="T73" s="682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78">
        <v>4680115885929</v>
      </c>
      <c r="E74" s="679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91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81"/>
      <c r="R74" s="681"/>
      <c r="S74" s="681"/>
      <c r="T74" s="682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78">
        <v>4680115884403</v>
      </c>
      <c r="E75" s="679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81"/>
      <c r="R75" s="681"/>
      <c r="S75" s="681"/>
      <c r="T75" s="682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701"/>
      <c r="B76" s="677"/>
      <c r="C76" s="677"/>
      <c r="D76" s="677"/>
      <c r="E76" s="677"/>
      <c r="F76" s="677"/>
      <c r="G76" s="677"/>
      <c r="H76" s="677"/>
      <c r="I76" s="677"/>
      <c r="J76" s="677"/>
      <c r="K76" s="677"/>
      <c r="L76" s="677"/>
      <c r="M76" s="677"/>
      <c r="N76" s="677"/>
      <c r="O76" s="702"/>
      <c r="P76" s="673" t="s">
        <v>80</v>
      </c>
      <c r="Q76" s="674"/>
      <c r="R76" s="674"/>
      <c r="S76" s="674"/>
      <c r="T76" s="674"/>
      <c r="U76" s="674"/>
      <c r="V76" s="675"/>
      <c r="W76" s="37" t="s">
        <v>81</v>
      </c>
      <c r="X76" s="667">
        <f>IFERROR(X70/H70,"0")+IFERROR(X71/H71,"0")+IFERROR(X72/H72,"0")+IFERROR(X73/H73,"0")+IFERROR(X74/H74,"0")+IFERROR(X75/H75,"0")</f>
        <v>2.3809523809523809</v>
      </c>
      <c r="Y76" s="667">
        <f>IFERROR(Y70/H70,"0")+IFERROR(Y71/H71,"0")+IFERROR(Y72/H72,"0")+IFERROR(Y73/H73,"0")+IFERROR(Y74/H74,"0")+IFERROR(Y75/H75,"0")</f>
        <v>3</v>
      </c>
      <c r="Z76" s="667">
        <f>IFERROR(IF(Z70="",0,Z70),"0")+IFERROR(IF(Z71="",0,Z71),"0")+IFERROR(IF(Z72="",0,Z72),"0")+IFERROR(IF(Z73="",0,Z73),"0")+IFERROR(IF(Z74="",0,Z74),"0")+IFERROR(IF(Z75="",0,Z75),"0")</f>
        <v>5.6940000000000004E-2</v>
      </c>
      <c r="AA76" s="668"/>
      <c r="AB76" s="668"/>
      <c r="AC76" s="668"/>
    </row>
    <row r="77" spans="1:68" x14ac:dyDescent="0.2">
      <c r="A77" s="677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702"/>
      <c r="P77" s="673" t="s">
        <v>80</v>
      </c>
      <c r="Q77" s="674"/>
      <c r="R77" s="674"/>
      <c r="S77" s="674"/>
      <c r="T77" s="674"/>
      <c r="U77" s="674"/>
      <c r="V77" s="675"/>
      <c r="W77" s="37" t="s">
        <v>69</v>
      </c>
      <c r="X77" s="667">
        <f>IFERROR(SUM(X70:X75),"0")</f>
        <v>20</v>
      </c>
      <c r="Y77" s="667">
        <f>IFERROR(SUM(Y70:Y75),"0")</f>
        <v>25.200000000000003</v>
      </c>
      <c r="Z77" s="37"/>
      <c r="AA77" s="668"/>
      <c r="AB77" s="668"/>
      <c r="AC77" s="668"/>
    </row>
    <row r="78" spans="1:68" ht="14.25" hidden="1" customHeight="1" x14ac:dyDescent="0.25">
      <c r="A78" s="676" t="s">
        <v>170</v>
      </c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77"/>
      <c r="P78" s="677"/>
      <c r="Q78" s="677"/>
      <c r="R78" s="677"/>
      <c r="S78" s="677"/>
      <c r="T78" s="677"/>
      <c r="U78" s="677"/>
      <c r="V78" s="677"/>
      <c r="W78" s="677"/>
      <c r="X78" s="677"/>
      <c r="Y78" s="677"/>
      <c r="Z78" s="677"/>
      <c r="AA78" s="658"/>
      <c r="AB78" s="658"/>
      <c r="AC78" s="658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78">
        <v>4680115881532</v>
      </c>
      <c r="E79" s="679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10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81"/>
      <c r="R79" s="681"/>
      <c r="S79" s="681"/>
      <c r="T79" s="682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78">
        <v>4680115881532</v>
      </c>
      <c r="E80" s="679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83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1"/>
      <c r="R80" s="681"/>
      <c r="S80" s="681"/>
      <c r="T80" s="682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78">
        <v>4680115881464</v>
      </c>
      <c r="E81" s="679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10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81"/>
      <c r="R81" s="681"/>
      <c r="S81" s="681"/>
      <c r="T81" s="682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701"/>
      <c r="B82" s="677"/>
      <c r="C82" s="677"/>
      <c r="D82" s="677"/>
      <c r="E82" s="677"/>
      <c r="F82" s="677"/>
      <c r="G82" s="677"/>
      <c r="H82" s="677"/>
      <c r="I82" s="677"/>
      <c r="J82" s="677"/>
      <c r="K82" s="677"/>
      <c r="L82" s="677"/>
      <c r="M82" s="677"/>
      <c r="N82" s="677"/>
      <c r="O82" s="702"/>
      <c r="P82" s="673" t="s">
        <v>80</v>
      </c>
      <c r="Q82" s="674"/>
      <c r="R82" s="674"/>
      <c r="S82" s="674"/>
      <c r="T82" s="674"/>
      <c r="U82" s="674"/>
      <c r="V82" s="675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77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702"/>
      <c r="P83" s="673" t="s">
        <v>80</v>
      </c>
      <c r="Q83" s="674"/>
      <c r="R83" s="674"/>
      <c r="S83" s="674"/>
      <c r="T83" s="674"/>
      <c r="U83" s="674"/>
      <c r="V83" s="675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689" t="s">
        <v>178</v>
      </c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77"/>
      <c r="P84" s="677"/>
      <c r="Q84" s="677"/>
      <c r="R84" s="677"/>
      <c r="S84" s="677"/>
      <c r="T84" s="677"/>
      <c r="U84" s="677"/>
      <c r="V84" s="677"/>
      <c r="W84" s="677"/>
      <c r="X84" s="677"/>
      <c r="Y84" s="677"/>
      <c r="Z84" s="677"/>
      <c r="AA84" s="660"/>
      <c r="AB84" s="660"/>
      <c r="AC84" s="660"/>
    </row>
    <row r="85" spans="1:68" ht="14.25" hidden="1" customHeight="1" x14ac:dyDescent="0.25">
      <c r="A85" s="676" t="s">
        <v>90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8"/>
      <c r="AB85" s="658"/>
      <c r="AC85" s="658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78">
        <v>4680115881327</v>
      </c>
      <c r="E86" s="679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10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81"/>
      <c r="R86" s="681"/>
      <c r="S86" s="681"/>
      <c r="T86" s="682"/>
      <c r="U86" s="34"/>
      <c r="V86" s="34"/>
      <c r="W86" s="35" t="s">
        <v>69</v>
      </c>
      <c r="X86" s="665">
        <v>150</v>
      </c>
      <c r="Y86" s="66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156.04166666666666</v>
      </c>
      <c r="BN86" s="64">
        <f>IFERROR(Y86*I86/H86,"0")</f>
        <v>157.29000000000002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78">
        <v>4680115881518</v>
      </c>
      <c r="E87" s="679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9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81"/>
      <c r="R87" s="681"/>
      <c r="S87" s="681"/>
      <c r="T87" s="682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78">
        <v>4680115881303</v>
      </c>
      <c r="E88" s="679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81"/>
      <c r="R88" s="681"/>
      <c r="S88" s="681"/>
      <c r="T88" s="682"/>
      <c r="U88" s="34"/>
      <c r="V88" s="34"/>
      <c r="W88" s="35" t="s">
        <v>69</v>
      </c>
      <c r="X88" s="665">
        <v>108</v>
      </c>
      <c r="Y88" s="666">
        <f>IFERROR(IF(X88="",0,CEILING((X88/$H88),1)*$H88),"")</f>
        <v>108</v>
      </c>
      <c r="Z88" s="36">
        <f>IFERROR(IF(Y88=0,"",ROUNDUP(Y88/H88,0)*0.00902),"")</f>
        <v>0.21648000000000001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113.04</v>
      </c>
      <c r="BN88" s="64">
        <f>IFERROR(Y88*I88/H88,"0")</f>
        <v>113.04</v>
      </c>
      <c r="BO88" s="64">
        <f>IFERROR(1/J88*(X88/H88),"0")</f>
        <v>0.18181818181818182</v>
      </c>
      <c r="BP88" s="64">
        <f>IFERROR(1/J88*(Y88/H88),"0")</f>
        <v>0.18181818181818182</v>
      </c>
    </row>
    <row r="89" spans="1:68" x14ac:dyDescent="0.2">
      <c r="A89" s="701"/>
      <c r="B89" s="677"/>
      <c r="C89" s="677"/>
      <c r="D89" s="677"/>
      <c r="E89" s="677"/>
      <c r="F89" s="677"/>
      <c r="G89" s="677"/>
      <c r="H89" s="677"/>
      <c r="I89" s="677"/>
      <c r="J89" s="677"/>
      <c r="K89" s="677"/>
      <c r="L89" s="677"/>
      <c r="M89" s="677"/>
      <c r="N89" s="677"/>
      <c r="O89" s="702"/>
      <c r="P89" s="673" t="s">
        <v>80</v>
      </c>
      <c r="Q89" s="674"/>
      <c r="R89" s="674"/>
      <c r="S89" s="674"/>
      <c r="T89" s="674"/>
      <c r="U89" s="674"/>
      <c r="V89" s="675"/>
      <c r="W89" s="37" t="s">
        <v>81</v>
      </c>
      <c r="X89" s="667">
        <f>IFERROR(X86/H86,"0")+IFERROR(X87/H87,"0")+IFERROR(X88/H88,"0")</f>
        <v>37.888888888888886</v>
      </c>
      <c r="Y89" s="667">
        <f>IFERROR(Y86/H86,"0")+IFERROR(Y87/H87,"0")+IFERROR(Y88/H88,"0")</f>
        <v>38</v>
      </c>
      <c r="Z89" s="667">
        <f>IFERROR(IF(Z86="",0,Z86),"0")+IFERROR(IF(Z87="",0,Z87),"0")+IFERROR(IF(Z88="",0,Z88),"0")</f>
        <v>0.48220000000000002</v>
      </c>
      <c r="AA89" s="668"/>
      <c r="AB89" s="668"/>
      <c r="AC89" s="668"/>
    </row>
    <row r="90" spans="1:68" x14ac:dyDescent="0.2">
      <c r="A90" s="677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702"/>
      <c r="P90" s="673" t="s">
        <v>80</v>
      </c>
      <c r="Q90" s="674"/>
      <c r="R90" s="674"/>
      <c r="S90" s="674"/>
      <c r="T90" s="674"/>
      <c r="U90" s="674"/>
      <c r="V90" s="675"/>
      <c r="W90" s="37" t="s">
        <v>69</v>
      </c>
      <c r="X90" s="667">
        <f>IFERROR(SUM(X86:X88),"0")</f>
        <v>258</v>
      </c>
      <c r="Y90" s="667">
        <f>IFERROR(SUM(Y86:Y88),"0")</f>
        <v>259.20000000000005</v>
      </c>
      <c r="Z90" s="37"/>
      <c r="AA90" s="668"/>
      <c r="AB90" s="668"/>
      <c r="AC90" s="668"/>
    </row>
    <row r="91" spans="1:68" ht="14.25" hidden="1" customHeight="1" x14ac:dyDescent="0.25">
      <c r="A91" s="676" t="s">
        <v>64</v>
      </c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77"/>
      <c r="P91" s="677"/>
      <c r="Q91" s="677"/>
      <c r="R91" s="677"/>
      <c r="S91" s="677"/>
      <c r="T91" s="677"/>
      <c r="U91" s="677"/>
      <c r="V91" s="677"/>
      <c r="W91" s="677"/>
      <c r="X91" s="677"/>
      <c r="Y91" s="677"/>
      <c r="Z91" s="677"/>
      <c r="AA91" s="658"/>
      <c r="AB91" s="658"/>
      <c r="AC91" s="658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78">
        <v>4607091386967</v>
      </c>
      <c r="E92" s="679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81"/>
      <c r="R92" s="681"/>
      <c r="S92" s="681"/>
      <c r="T92" s="682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78">
        <v>4607091386967</v>
      </c>
      <c r="E93" s="679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8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1"/>
      <c r="R93" s="681"/>
      <c r="S93" s="681"/>
      <c r="T93" s="682"/>
      <c r="U93" s="34"/>
      <c r="V93" s="34"/>
      <c r="W93" s="35" t="s">
        <v>69</v>
      </c>
      <c r="X93" s="665">
        <v>90</v>
      </c>
      <c r="Y93" s="666">
        <f t="shared" si="10"/>
        <v>92.4</v>
      </c>
      <c r="Z93" s="36">
        <f>IFERROR(IF(Y93=0,"",ROUNDUP(Y93/H93,0)*0.01898),"")</f>
        <v>0.20877999999999999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95.560714285714283</v>
      </c>
      <c r="BN93" s="64">
        <f t="shared" si="12"/>
        <v>98.109000000000009</v>
      </c>
      <c r="BO93" s="64">
        <f t="shared" si="13"/>
        <v>0.16741071428571427</v>
      </c>
      <c r="BP93" s="64">
        <f t="shared" si="14"/>
        <v>0.171875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78">
        <v>4607091386967</v>
      </c>
      <c r="E94" s="679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1013" t="s">
        <v>192</v>
      </c>
      <c r="Q94" s="681"/>
      <c r="R94" s="681"/>
      <c r="S94" s="681"/>
      <c r="T94" s="682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78">
        <v>4680115884953</v>
      </c>
      <c r="E95" s="679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996" t="s">
        <v>196</v>
      </c>
      <c r="Q95" s="681"/>
      <c r="R95" s="681"/>
      <c r="S95" s="681"/>
      <c r="T95" s="682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78">
        <v>4607091385731</v>
      </c>
      <c r="E96" s="679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857" t="s">
        <v>200</v>
      </c>
      <c r="Q96" s="681"/>
      <c r="R96" s="681"/>
      <c r="S96" s="681"/>
      <c r="T96" s="682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78">
        <v>4607091385731</v>
      </c>
      <c r="E97" s="679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989" t="s">
        <v>202</v>
      </c>
      <c r="Q97" s="681"/>
      <c r="R97" s="681"/>
      <c r="S97" s="681"/>
      <c r="T97" s="682"/>
      <c r="U97" s="34"/>
      <c r="V97" s="34"/>
      <c r="W97" s="35" t="s">
        <v>69</v>
      </c>
      <c r="X97" s="665">
        <v>18</v>
      </c>
      <c r="Y97" s="666">
        <f t="shared" si="10"/>
        <v>18.900000000000002</v>
      </c>
      <c r="Z97" s="36">
        <f>IFERROR(IF(Y97=0,"",ROUNDUP(Y97/H97,0)*0.00651),"")</f>
        <v>4.5569999999999999E-2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19.679999999999996</v>
      </c>
      <c r="BN97" s="64">
        <f t="shared" si="12"/>
        <v>20.664000000000001</v>
      </c>
      <c r="BO97" s="64">
        <f t="shared" si="13"/>
        <v>3.6630036630036632E-2</v>
      </c>
      <c r="BP97" s="64">
        <f t="shared" si="14"/>
        <v>3.8461538461538464E-2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78">
        <v>4680115880894</v>
      </c>
      <c r="E98" s="679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8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81"/>
      <c r="R98" s="681"/>
      <c r="S98" s="681"/>
      <c r="T98" s="682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78">
        <v>4680115880214</v>
      </c>
      <c r="E99" s="679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10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81"/>
      <c r="R99" s="681"/>
      <c r="S99" s="681"/>
      <c r="T99" s="682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78">
        <v>4680115880214</v>
      </c>
      <c r="E100" s="679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101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1"/>
      <c r="R100" s="681"/>
      <c r="S100" s="681"/>
      <c r="T100" s="682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701"/>
      <c r="B101" s="677"/>
      <c r="C101" s="677"/>
      <c r="D101" s="677"/>
      <c r="E101" s="677"/>
      <c r="F101" s="677"/>
      <c r="G101" s="677"/>
      <c r="H101" s="677"/>
      <c r="I101" s="677"/>
      <c r="J101" s="677"/>
      <c r="K101" s="677"/>
      <c r="L101" s="677"/>
      <c r="M101" s="677"/>
      <c r="N101" s="677"/>
      <c r="O101" s="702"/>
      <c r="P101" s="673" t="s">
        <v>80</v>
      </c>
      <c r="Q101" s="674"/>
      <c r="R101" s="674"/>
      <c r="S101" s="674"/>
      <c r="T101" s="674"/>
      <c r="U101" s="674"/>
      <c r="V101" s="675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17.38095238095238</v>
      </c>
      <c r="Y101" s="667">
        <f>IFERROR(Y92/H92,"0")+IFERROR(Y93/H93,"0")+IFERROR(Y94/H94,"0")+IFERROR(Y95/H95,"0")+IFERROR(Y96/H96,"0")+IFERROR(Y97/H97,"0")+IFERROR(Y98/H98,"0")+IFERROR(Y99/H99,"0")+IFERROR(Y100/H100,"0")</f>
        <v>18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0.25434999999999997</v>
      </c>
      <c r="AA101" s="668"/>
      <c r="AB101" s="668"/>
      <c r="AC101" s="668"/>
    </row>
    <row r="102" spans="1:68" x14ac:dyDescent="0.2">
      <c r="A102" s="677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702"/>
      <c r="P102" s="673" t="s">
        <v>80</v>
      </c>
      <c r="Q102" s="674"/>
      <c r="R102" s="674"/>
      <c r="S102" s="674"/>
      <c r="T102" s="674"/>
      <c r="U102" s="674"/>
      <c r="V102" s="675"/>
      <c r="W102" s="37" t="s">
        <v>69</v>
      </c>
      <c r="X102" s="667">
        <f>IFERROR(SUM(X92:X100),"0")</f>
        <v>108</v>
      </c>
      <c r="Y102" s="667">
        <f>IFERROR(SUM(Y92:Y100),"0")</f>
        <v>111.30000000000001</v>
      </c>
      <c r="Z102" s="37"/>
      <c r="AA102" s="668"/>
      <c r="AB102" s="668"/>
      <c r="AC102" s="668"/>
    </row>
    <row r="103" spans="1:68" ht="16.5" hidden="1" customHeight="1" x14ac:dyDescent="0.25">
      <c r="A103" s="689" t="s">
        <v>209</v>
      </c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77"/>
      <c r="P103" s="677"/>
      <c r="Q103" s="677"/>
      <c r="R103" s="677"/>
      <c r="S103" s="677"/>
      <c r="T103" s="677"/>
      <c r="U103" s="677"/>
      <c r="V103" s="677"/>
      <c r="W103" s="677"/>
      <c r="X103" s="677"/>
      <c r="Y103" s="677"/>
      <c r="Z103" s="677"/>
      <c r="AA103" s="660"/>
      <c r="AB103" s="660"/>
      <c r="AC103" s="660"/>
    </row>
    <row r="104" spans="1:68" ht="14.25" hidden="1" customHeight="1" x14ac:dyDescent="0.25">
      <c r="A104" s="676" t="s">
        <v>90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8"/>
      <c r="AB104" s="658"/>
      <c r="AC104" s="658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78">
        <v>4680115882133</v>
      </c>
      <c r="E105" s="679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7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81"/>
      <c r="R105" s="681"/>
      <c r="S105" s="681"/>
      <c r="T105" s="682"/>
      <c r="U105" s="34"/>
      <c r="V105" s="34"/>
      <c r="W105" s="35" t="s">
        <v>69</v>
      </c>
      <c r="X105" s="665">
        <v>10</v>
      </c>
      <c r="Y105" s="666">
        <f>IFERROR(IF(X105="",0,CEILING((X105/$H105),1)*$H105),"")</f>
        <v>10.8</v>
      </c>
      <c r="Z105" s="36">
        <f>IFERROR(IF(Y105=0,"",ROUNDUP(Y105/H105,0)*0.01898),"")</f>
        <v>1.898E-2</v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10.402777777777777</v>
      </c>
      <c r="BN105" s="64">
        <f>IFERROR(Y105*I105/H105,"0")</f>
        <v>11.234999999999999</v>
      </c>
      <c r="BO105" s="64">
        <f>IFERROR(1/J105*(X105/H105),"0")</f>
        <v>1.4467592592592591E-2</v>
      </c>
      <c r="BP105" s="64">
        <f>IFERROR(1/J105*(Y105/H105),"0")</f>
        <v>1.5625E-2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78">
        <v>4680115880269</v>
      </c>
      <c r="E106" s="679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4"/>
      <c r="V106" s="34"/>
      <c r="W106" s="35" t="s">
        <v>69</v>
      </c>
      <c r="X106" s="665">
        <v>18.75</v>
      </c>
      <c r="Y106" s="666">
        <f>IFERROR(IF(X106="",0,CEILING((X106/$H106),1)*$H106),"")</f>
        <v>18.75</v>
      </c>
      <c r="Z106" s="36">
        <f>IFERROR(IF(Y106=0,"",ROUNDUP(Y106/H106,0)*0.00902),"")</f>
        <v>4.5100000000000001E-2</v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19.8</v>
      </c>
      <c r="BN106" s="64">
        <f>IFERROR(Y106*I106/H106,"0")</f>
        <v>19.8</v>
      </c>
      <c r="BO106" s="64">
        <f>IFERROR(1/J106*(X106/H106),"0")</f>
        <v>3.787878787878788E-2</v>
      </c>
      <c r="BP106" s="64">
        <f>IFERROR(1/J106*(Y106/H106),"0")</f>
        <v>3.787878787878788E-2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78">
        <v>4680115880429</v>
      </c>
      <c r="E107" s="679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7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78">
        <v>4680115881457</v>
      </c>
      <c r="E108" s="679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84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701"/>
      <c r="B109" s="677"/>
      <c r="C109" s="677"/>
      <c r="D109" s="677"/>
      <c r="E109" s="677"/>
      <c r="F109" s="677"/>
      <c r="G109" s="677"/>
      <c r="H109" s="677"/>
      <c r="I109" s="677"/>
      <c r="J109" s="677"/>
      <c r="K109" s="677"/>
      <c r="L109" s="677"/>
      <c r="M109" s="677"/>
      <c r="N109" s="677"/>
      <c r="O109" s="702"/>
      <c r="P109" s="673" t="s">
        <v>80</v>
      </c>
      <c r="Q109" s="674"/>
      <c r="R109" s="674"/>
      <c r="S109" s="674"/>
      <c r="T109" s="674"/>
      <c r="U109" s="674"/>
      <c r="V109" s="675"/>
      <c r="W109" s="37" t="s">
        <v>81</v>
      </c>
      <c r="X109" s="667">
        <f>IFERROR(X105/H105,"0")+IFERROR(X106/H106,"0")+IFERROR(X107/H107,"0")+IFERROR(X108/H108,"0")</f>
        <v>5.9259259259259256</v>
      </c>
      <c r="Y109" s="667">
        <f>IFERROR(Y105/H105,"0")+IFERROR(Y106/H106,"0")+IFERROR(Y107/H107,"0")+IFERROR(Y108/H108,"0")</f>
        <v>6</v>
      </c>
      <c r="Z109" s="667">
        <f>IFERROR(IF(Z105="",0,Z105),"0")+IFERROR(IF(Z106="",0,Z106),"0")+IFERROR(IF(Z107="",0,Z107),"0")+IFERROR(IF(Z108="",0,Z108),"0")</f>
        <v>6.4079999999999998E-2</v>
      </c>
      <c r="AA109" s="668"/>
      <c r="AB109" s="668"/>
      <c r="AC109" s="668"/>
    </row>
    <row r="110" spans="1:68" x14ac:dyDescent="0.2">
      <c r="A110" s="677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702"/>
      <c r="P110" s="673" t="s">
        <v>80</v>
      </c>
      <c r="Q110" s="674"/>
      <c r="R110" s="674"/>
      <c r="S110" s="674"/>
      <c r="T110" s="674"/>
      <c r="U110" s="674"/>
      <c r="V110" s="675"/>
      <c r="W110" s="37" t="s">
        <v>69</v>
      </c>
      <c r="X110" s="667">
        <f>IFERROR(SUM(X105:X108),"0")</f>
        <v>28.75</v>
      </c>
      <c r="Y110" s="667">
        <f>IFERROR(SUM(Y105:Y108),"0")</f>
        <v>29.55</v>
      </c>
      <c r="Z110" s="37"/>
      <c r="AA110" s="668"/>
      <c r="AB110" s="668"/>
      <c r="AC110" s="668"/>
    </row>
    <row r="111" spans="1:68" ht="14.25" hidden="1" customHeight="1" x14ac:dyDescent="0.25">
      <c r="A111" s="676" t="s">
        <v>133</v>
      </c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77"/>
      <c r="P111" s="677"/>
      <c r="Q111" s="677"/>
      <c r="R111" s="677"/>
      <c r="S111" s="677"/>
      <c r="T111" s="677"/>
      <c r="U111" s="677"/>
      <c r="V111" s="677"/>
      <c r="W111" s="677"/>
      <c r="X111" s="677"/>
      <c r="Y111" s="677"/>
      <c r="Z111" s="677"/>
      <c r="AA111" s="658"/>
      <c r="AB111" s="658"/>
      <c r="AC111" s="658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78">
        <v>4680115881488</v>
      </c>
      <c r="E112" s="679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78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78">
        <v>4680115882775</v>
      </c>
      <c r="E113" s="679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95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81"/>
      <c r="R113" s="681"/>
      <c r="S113" s="681"/>
      <c r="T113" s="682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78">
        <v>4680115880658</v>
      </c>
      <c r="E114" s="679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81"/>
      <c r="R114" s="681"/>
      <c r="S114" s="681"/>
      <c r="T114" s="682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701"/>
      <c r="B115" s="677"/>
      <c r="C115" s="677"/>
      <c r="D115" s="677"/>
      <c r="E115" s="677"/>
      <c r="F115" s="677"/>
      <c r="G115" s="677"/>
      <c r="H115" s="677"/>
      <c r="I115" s="677"/>
      <c r="J115" s="677"/>
      <c r="K115" s="677"/>
      <c r="L115" s="677"/>
      <c r="M115" s="677"/>
      <c r="N115" s="677"/>
      <c r="O115" s="702"/>
      <c r="P115" s="673" t="s">
        <v>80</v>
      </c>
      <c r="Q115" s="674"/>
      <c r="R115" s="674"/>
      <c r="S115" s="674"/>
      <c r="T115" s="674"/>
      <c r="U115" s="674"/>
      <c r="V115" s="675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77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702"/>
      <c r="P116" s="673" t="s">
        <v>80</v>
      </c>
      <c r="Q116" s="674"/>
      <c r="R116" s="674"/>
      <c r="S116" s="674"/>
      <c r="T116" s="674"/>
      <c r="U116" s="674"/>
      <c r="V116" s="675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76" t="s">
        <v>64</v>
      </c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77"/>
      <c r="P117" s="677"/>
      <c r="Q117" s="677"/>
      <c r="R117" s="677"/>
      <c r="S117" s="677"/>
      <c r="T117" s="677"/>
      <c r="U117" s="677"/>
      <c r="V117" s="677"/>
      <c r="W117" s="677"/>
      <c r="X117" s="677"/>
      <c r="Y117" s="677"/>
      <c r="Z117" s="677"/>
      <c r="AA117" s="658"/>
      <c r="AB117" s="658"/>
      <c r="AC117" s="658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78">
        <v>4607091385168</v>
      </c>
      <c r="E118" s="679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9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81"/>
      <c r="R118" s="681"/>
      <c r="S118" s="681"/>
      <c r="T118" s="682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78">
        <v>4607091385168</v>
      </c>
      <c r="E119" s="679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932" t="s">
        <v>230</v>
      </c>
      <c r="Q119" s="681"/>
      <c r="R119" s="681"/>
      <c r="S119" s="681"/>
      <c r="T119" s="682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78">
        <v>4607091385168</v>
      </c>
      <c r="E120" s="679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100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1"/>
      <c r="R120" s="681"/>
      <c r="S120" s="681"/>
      <c r="T120" s="682"/>
      <c r="U120" s="34"/>
      <c r="V120" s="34"/>
      <c r="W120" s="35" t="s">
        <v>69</v>
      </c>
      <c r="X120" s="665">
        <v>38</v>
      </c>
      <c r="Y120" s="666">
        <f t="shared" si="15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40.320714285714288</v>
      </c>
      <c r="BN120" s="64">
        <f t="shared" si="17"/>
        <v>44.564999999999998</v>
      </c>
      <c r="BO120" s="64">
        <f t="shared" si="18"/>
        <v>7.0684523809523808E-2</v>
      </c>
      <c r="BP120" s="64">
        <f t="shared" si="19"/>
        <v>7.8125E-2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78">
        <v>4607091383256</v>
      </c>
      <c r="E121" s="679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76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81"/>
      <c r="R121" s="681"/>
      <c r="S121" s="681"/>
      <c r="T121" s="682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78">
        <v>4607091383256</v>
      </c>
      <c r="E122" s="679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924" t="s">
        <v>237</v>
      </c>
      <c r="Q122" s="681"/>
      <c r="R122" s="681"/>
      <c r="S122" s="681"/>
      <c r="T122" s="682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78">
        <v>4607091385748</v>
      </c>
      <c r="E123" s="679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7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81"/>
      <c r="R123" s="681"/>
      <c r="S123" s="681"/>
      <c r="T123" s="682"/>
      <c r="U123" s="34"/>
      <c r="V123" s="34"/>
      <c r="W123" s="35" t="s">
        <v>69</v>
      </c>
      <c r="X123" s="665">
        <v>22.5</v>
      </c>
      <c r="Y123" s="666">
        <f t="shared" si="15"/>
        <v>24.3</v>
      </c>
      <c r="Z123" s="36">
        <f t="shared" si="20"/>
        <v>5.8590000000000003E-2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24.599999999999998</v>
      </c>
      <c r="BN123" s="64">
        <f t="shared" si="17"/>
        <v>26.567999999999998</v>
      </c>
      <c r="BO123" s="64">
        <f t="shared" si="18"/>
        <v>4.5787545787545784E-2</v>
      </c>
      <c r="BP123" s="64">
        <f t="shared" si="19"/>
        <v>4.9450549450549455E-2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78">
        <v>4607091385748</v>
      </c>
      <c r="E124" s="679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704" t="s">
        <v>241</v>
      </c>
      <c r="Q124" s="681"/>
      <c r="R124" s="681"/>
      <c r="S124" s="681"/>
      <c r="T124" s="682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78">
        <v>4680115884533</v>
      </c>
      <c r="E125" s="679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7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78">
        <v>4680115882645</v>
      </c>
      <c r="E126" s="679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71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81"/>
      <c r="R126" s="681"/>
      <c r="S126" s="681"/>
      <c r="T126" s="682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701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702"/>
      <c r="P127" s="673" t="s">
        <v>80</v>
      </c>
      <c r="Q127" s="674"/>
      <c r="R127" s="674"/>
      <c r="S127" s="674"/>
      <c r="T127" s="674"/>
      <c r="U127" s="674"/>
      <c r="V127" s="675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12.857142857142856</v>
      </c>
      <c r="Y127" s="667">
        <f>IFERROR(Y118/H118,"0")+IFERROR(Y119/H119,"0")+IFERROR(Y120/H120,"0")+IFERROR(Y121/H121,"0")+IFERROR(Y122/H122,"0")+IFERROR(Y123/H123,"0")+IFERROR(Y124/H124,"0")+IFERROR(Y125/H125,"0")+IFERROR(Y126/H126,"0")</f>
        <v>14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0.15349000000000002</v>
      </c>
      <c r="AA127" s="668"/>
      <c r="AB127" s="668"/>
      <c r="AC127" s="668"/>
    </row>
    <row r="128" spans="1:68" x14ac:dyDescent="0.2">
      <c r="A128" s="677"/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702"/>
      <c r="P128" s="673" t="s">
        <v>80</v>
      </c>
      <c r="Q128" s="674"/>
      <c r="R128" s="674"/>
      <c r="S128" s="674"/>
      <c r="T128" s="674"/>
      <c r="U128" s="674"/>
      <c r="V128" s="675"/>
      <c r="W128" s="37" t="s">
        <v>69</v>
      </c>
      <c r="X128" s="667">
        <f>IFERROR(SUM(X118:X126),"0")</f>
        <v>60.5</v>
      </c>
      <c r="Y128" s="667">
        <f>IFERROR(SUM(Y118:Y126),"0")</f>
        <v>66.3</v>
      </c>
      <c r="Z128" s="37"/>
      <c r="AA128" s="668"/>
      <c r="AB128" s="668"/>
      <c r="AC128" s="668"/>
    </row>
    <row r="129" spans="1:68" ht="14.25" hidden="1" customHeight="1" x14ac:dyDescent="0.25">
      <c r="A129" s="676" t="s">
        <v>170</v>
      </c>
      <c r="B129" s="677"/>
      <c r="C129" s="677"/>
      <c r="D129" s="677"/>
      <c r="E129" s="677"/>
      <c r="F129" s="677"/>
      <c r="G129" s="677"/>
      <c r="H129" s="677"/>
      <c r="I129" s="677"/>
      <c r="J129" s="677"/>
      <c r="K129" s="677"/>
      <c r="L129" s="677"/>
      <c r="M129" s="677"/>
      <c r="N129" s="677"/>
      <c r="O129" s="677"/>
      <c r="P129" s="677"/>
      <c r="Q129" s="677"/>
      <c r="R129" s="677"/>
      <c r="S129" s="677"/>
      <c r="T129" s="677"/>
      <c r="U129" s="677"/>
      <c r="V129" s="677"/>
      <c r="W129" s="677"/>
      <c r="X129" s="677"/>
      <c r="Y129" s="677"/>
      <c r="Z129" s="677"/>
      <c r="AA129" s="658"/>
      <c r="AB129" s="658"/>
      <c r="AC129" s="658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78">
        <v>4680115882652</v>
      </c>
      <c r="E130" s="679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79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81"/>
      <c r="R130" s="681"/>
      <c r="S130" s="681"/>
      <c r="T130" s="682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78">
        <v>4680115880238</v>
      </c>
      <c r="E131" s="679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9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1"/>
      <c r="R131" s="681"/>
      <c r="S131" s="681"/>
      <c r="T131" s="682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701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702"/>
      <c r="P132" s="673" t="s">
        <v>80</v>
      </c>
      <c r="Q132" s="674"/>
      <c r="R132" s="674"/>
      <c r="S132" s="674"/>
      <c r="T132" s="674"/>
      <c r="U132" s="674"/>
      <c r="V132" s="675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77"/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702"/>
      <c r="P133" s="673" t="s">
        <v>80</v>
      </c>
      <c r="Q133" s="674"/>
      <c r="R133" s="674"/>
      <c r="S133" s="674"/>
      <c r="T133" s="674"/>
      <c r="U133" s="674"/>
      <c r="V133" s="675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689" t="s">
        <v>254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0"/>
      <c r="AB134" s="660"/>
      <c r="AC134" s="660"/>
    </row>
    <row r="135" spans="1:68" ht="14.25" hidden="1" customHeight="1" x14ac:dyDescent="0.25">
      <c r="A135" s="676" t="s">
        <v>90</v>
      </c>
      <c r="B135" s="677"/>
      <c r="C135" s="677"/>
      <c r="D135" s="677"/>
      <c r="E135" s="677"/>
      <c r="F135" s="677"/>
      <c r="G135" s="677"/>
      <c r="H135" s="677"/>
      <c r="I135" s="677"/>
      <c r="J135" s="677"/>
      <c r="K135" s="677"/>
      <c r="L135" s="677"/>
      <c r="M135" s="677"/>
      <c r="N135" s="677"/>
      <c r="O135" s="677"/>
      <c r="P135" s="677"/>
      <c r="Q135" s="677"/>
      <c r="R135" s="677"/>
      <c r="S135" s="677"/>
      <c r="T135" s="677"/>
      <c r="U135" s="677"/>
      <c r="V135" s="677"/>
      <c r="W135" s="677"/>
      <c r="X135" s="677"/>
      <c r="Y135" s="677"/>
      <c r="Z135" s="677"/>
      <c r="AA135" s="658"/>
      <c r="AB135" s="658"/>
      <c r="AC135" s="658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78">
        <v>4680115882577</v>
      </c>
      <c r="E136" s="679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71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1"/>
      <c r="R136" s="681"/>
      <c r="S136" s="681"/>
      <c r="T136" s="682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78">
        <v>4680115882577</v>
      </c>
      <c r="E137" s="679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9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1"/>
      <c r="R137" s="681"/>
      <c r="S137" s="681"/>
      <c r="T137" s="682"/>
      <c r="U137" s="34"/>
      <c r="V137" s="34"/>
      <c r="W137" s="35" t="s">
        <v>69</v>
      </c>
      <c r="X137" s="665">
        <v>11.2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11.829999999999998</v>
      </c>
      <c r="BN137" s="64">
        <f>IFERROR(Y137*I137/H137,"0")</f>
        <v>13.52</v>
      </c>
      <c r="BO137" s="64">
        <f>IFERROR(1/J137*(X137/H137),"0")</f>
        <v>1.9230769230769228E-2</v>
      </c>
      <c r="BP137" s="64">
        <f>IFERROR(1/J137*(Y137/H137),"0")</f>
        <v>2.197802197802198E-2</v>
      </c>
    </row>
    <row r="138" spans="1:68" x14ac:dyDescent="0.2">
      <c r="A138" s="701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702"/>
      <c r="P138" s="673" t="s">
        <v>80</v>
      </c>
      <c r="Q138" s="674"/>
      <c r="R138" s="674"/>
      <c r="S138" s="674"/>
      <c r="T138" s="674"/>
      <c r="U138" s="674"/>
      <c r="V138" s="675"/>
      <c r="W138" s="37" t="s">
        <v>81</v>
      </c>
      <c r="X138" s="667">
        <f>IFERROR(X136/H136,"0")+IFERROR(X137/H137,"0")</f>
        <v>3.4999999999999996</v>
      </c>
      <c r="Y138" s="667">
        <f>IFERROR(Y136/H136,"0")+IFERROR(Y137/H137,"0")</f>
        <v>4</v>
      </c>
      <c r="Z138" s="667">
        <f>IFERROR(IF(Z136="",0,Z136),"0")+IFERROR(IF(Z137="",0,Z137),"0")</f>
        <v>2.6040000000000001E-2</v>
      </c>
      <c r="AA138" s="668"/>
      <c r="AB138" s="668"/>
      <c r="AC138" s="668"/>
    </row>
    <row r="139" spans="1:68" x14ac:dyDescent="0.2">
      <c r="A139" s="677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702"/>
      <c r="P139" s="673" t="s">
        <v>80</v>
      </c>
      <c r="Q139" s="674"/>
      <c r="R139" s="674"/>
      <c r="S139" s="674"/>
      <c r="T139" s="674"/>
      <c r="U139" s="674"/>
      <c r="V139" s="675"/>
      <c r="W139" s="37" t="s">
        <v>69</v>
      </c>
      <c r="X139" s="667">
        <f>IFERROR(SUM(X136:X137),"0")</f>
        <v>11.2</v>
      </c>
      <c r="Y139" s="667">
        <f>IFERROR(SUM(Y136:Y137),"0")</f>
        <v>12.8</v>
      </c>
      <c r="Z139" s="37"/>
      <c r="AA139" s="668"/>
      <c r="AB139" s="668"/>
      <c r="AC139" s="668"/>
    </row>
    <row r="140" spans="1:68" ht="14.25" hidden="1" customHeight="1" x14ac:dyDescent="0.25">
      <c r="A140" s="676" t="s">
        <v>144</v>
      </c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77"/>
      <c r="P140" s="677"/>
      <c r="Q140" s="677"/>
      <c r="R140" s="677"/>
      <c r="S140" s="677"/>
      <c r="T140" s="677"/>
      <c r="U140" s="677"/>
      <c r="V140" s="677"/>
      <c r="W140" s="677"/>
      <c r="X140" s="677"/>
      <c r="Y140" s="677"/>
      <c r="Z140" s="677"/>
      <c r="AA140" s="658"/>
      <c r="AB140" s="658"/>
      <c r="AC140" s="658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78">
        <v>4680115883444</v>
      </c>
      <c r="E141" s="679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1"/>
      <c r="R141" s="681"/>
      <c r="S141" s="681"/>
      <c r="T141" s="682"/>
      <c r="U141" s="34"/>
      <c r="V141" s="34"/>
      <c r="W141" s="35" t="s">
        <v>69</v>
      </c>
      <c r="X141" s="665">
        <v>7</v>
      </c>
      <c r="Y141" s="66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78">
        <v>4680115883444</v>
      </c>
      <c r="E142" s="679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9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1"/>
      <c r="R142" s="681"/>
      <c r="S142" s="681"/>
      <c r="T142" s="682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701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702"/>
      <c r="P143" s="673" t="s">
        <v>80</v>
      </c>
      <c r="Q143" s="674"/>
      <c r="R143" s="674"/>
      <c r="S143" s="674"/>
      <c r="T143" s="674"/>
      <c r="U143" s="674"/>
      <c r="V143" s="675"/>
      <c r="W143" s="37" t="s">
        <v>81</v>
      </c>
      <c r="X143" s="667">
        <f>IFERROR(X141/H141,"0")+IFERROR(X142/H142,"0")</f>
        <v>2.5</v>
      </c>
      <c r="Y143" s="667">
        <f>IFERROR(Y141/H141,"0")+IFERROR(Y142/H142,"0")</f>
        <v>2.9999999999999996</v>
      </c>
      <c r="Z143" s="667">
        <f>IFERROR(IF(Z141="",0,Z141),"0")+IFERROR(IF(Z142="",0,Z142),"0")</f>
        <v>1.9529999999999999E-2</v>
      </c>
      <c r="AA143" s="668"/>
      <c r="AB143" s="668"/>
      <c r="AC143" s="668"/>
    </row>
    <row r="144" spans="1:68" x14ac:dyDescent="0.2">
      <c r="A144" s="677"/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702"/>
      <c r="P144" s="673" t="s">
        <v>80</v>
      </c>
      <c r="Q144" s="674"/>
      <c r="R144" s="674"/>
      <c r="S144" s="674"/>
      <c r="T144" s="674"/>
      <c r="U144" s="674"/>
      <c r="V144" s="675"/>
      <c r="W144" s="37" t="s">
        <v>69</v>
      </c>
      <c r="X144" s="667">
        <f>IFERROR(SUM(X141:X142),"0")</f>
        <v>7</v>
      </c>
      <c r="Y144" s="667">
        <f>IFERROR(SUM(Y141:Y142),"0")</f>
        <v>8.3999999999999986</v>
      </c>
      <c r="Z144" s="37"/>
      <c r="AA144" s="668"/>
      <c r="AB144" s="668"/>
      <c r="AC144" s="668"/>
    </row>
    <row r="145" spans="1:68" ht="14.25" hidden="1" customHeight="1" x14ac:dyDescent="0.25">
      <c r="A145" s="676" t="s">
        <v>64</v>
      </c>
      <c r="B145" s="677"/>
      <c r="C145" s="677"/>
      <c r="D145" s="677"/>
      <c r="E145" s="677"/>
      <c r="F145" s="677"/>
      <c r="G145" s="677"/>
      <c r="H145" s="677"/>
      <c r="I145" s="677"/>
      <c r="J145" s="677"/>
      <c r="K145" s="677"/>
      <c r="L145" s="677"/>
      <c r="M145" s="677"/>
      <c r="N145" s="677"/>
      <c r="O145" s="677"/>
      <c r="P145" s="677"/>
      <c r="Q145" s="677"/>
      <c r="R145" s="677"/>
      <c r="S145" s="677"/>
      <c r="T145" s="677"/>
      <c r="U145" s="677"/>
      <c r="V145" s="677"/>
      <c r="W145" s="677"/>
      <c r="X145" s="677"/>
      <c r="Y145" s="677"/>
      <c r="Z145" s="677"/>
      <c r="AA145" s="658"/>
      <c r="AB145" s="658"/>
      <c r="AC145" s="658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78">
        <v>4680115882584</v>
      </c>
      <c r="E146" s="679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1"/>
      <c r="R146" s="681"/>
      <c r="S146" s="681"/>
      <c r="T146" s="682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78">
        <v>4680115882584</v>
      </c>
      <c r="E147" s="679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10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81"/>
      <c r="R147" s="681"/>
      <c r="S147" s="681"/>
      <c r="T147" s="682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701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702"/>
      <c r="P148" s="673" t="s">
        <v>80</v>
      </c>
      <c r="Q148" s="674"/>
      <c r="R148" s="674"/>
      <c r="S148" s="674"/>
      <c r="T148" s="674"/>
      <c r="U148" s="674"/>
      <c r="V148" s="675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77"/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702"/>
      <c r="P149" s="673" t="s">
        <v>80</v>
      </c>
      <c r="Q149" s="674"/>
      <c r="R149" s="674"/>
      <c r="S149" s="674"/>
      <c r="T149" s="674"/>
      <c r="U149" s="674"/>
      <c r="V149" s="675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689" t="s">
        <v>88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0"/>
      <c r="AB150" s="660"/>
      <c r="AC150" s="660"/>
    </row>
    <row r="151" spans="1:68" ht="14.25" hidden="1" customHeight="1" x14ac:dyDescent="0.25">
      <c r="A151" s="676" t="s">
        <v>90</v>
      </c>
      <c r="B151" s="677"/>
      <c r="C151" s="677"/>
      <c r="D151" s="677"/>
      <c r="E151" s="677"/>
      <c r="F151" s="677"/>
      <c r="G151" s="677"/>
      <c r="H151" s="677"/>
      <c r="I151" s="677"/>
      <c r="J151" s="677"/>
      <c r="K151" s="677"/>
      <c r="L151" s="677"/>
      <c r="M151" s="677"/>
      <c r="N151" s="677"/>
      <c r="O151" s="677"/>
      <c r="P151" s="677"/>
      <c r="Q151" s="677"/>
      <c r="R151" s="677"/>
      <c r="S151" s="677"/>
      <c r="T151" s="677"/>
      <c r="U151" s="677"/>
      <c r="V151" s="677"/>
      <c r="W151" s="677"/>
      <c r="X151" s="677"/>
      <c r="Y151" s="677"/>
      <c r="Z151" s="677"/>
      <c r="AA151" s="658"/>
      <c r="AB151" s="658"/>
      <c r="AC151" s="658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78">
        <v>4607091384604</v>
      </c>
      <c r="E152" s="679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10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81"/>
      <c r="R152" s="681"/>
      <c r="S152" s="681"/>
      <c r="T152" s="682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701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702"/>
      <c r="P153" s="673" t="s">
        <v>80</v>
      </c>
      <c r="Q153" s="674"/>
      <c r="R153" s="674"/>
      <c r="S153" s="674"/>
      <c r="T153" s="674"/>
      <c r="U153" s="674"/>
      <c r="V153" s="675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77"/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702"/>
      <c r="P154" s="673" t="s">
        <v>80</v>
      </c>
      <c r="Q154" s="674"/>
      <c r="R154" s="674"/>
      <c r="S154" s="674"/>
      <c r="T154" s="674"/>
      <c r="U154" s="674"/>
      <c r="V154" s="675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76" t="s">
        <v>144</v>
      </c>
      <c r="B155" s="677"/>
      <c r="C155" s="677"/>
      <c r="D155" s="677"/>
      <c r="E155" s="677"/>
      <c r="F155" s="677"/>
      <c r="G155" s="677"/>
      <c r="H155" s="677"/>
      <c r="I155" s="677"/>
      <c r="J155" s="677"/>
      <c r="K155" s="677"/>
      <c r="L155" s="677"/>
      <c r="M155" s="677"/>
      <c r="N155" s="677"/>
      <c r="O155" s="677"/>
      <c r="P155" s="677"/>
      <c r="Q155" s="677"/>
      <c r="R155" s="677"/>
      <c r="S155" s="677"/>
      <c r="T155" s="677"/>
      <c r="U155" s="677"/>
      <c r="V155" s="677"/>
      <c r="W155" s="677"/>
      <c r="X155" s="677"/>
      <c r="Y155" s="677"/>
      <c r="Z155" s="677"/>
      <c r="AA155" s="658"/>
      <c r="AB155" s="658"/>
      <c r="AC155" s="658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78">
        <v>4607091387667</v>
      </c>
      <c r="E156" s="679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83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81"/>
      <c r="R156" s="681"/>
      <c r="S156" s="681"/>
      <c r="T156" s="682"/>
      <c r="U156" s="34"/>
      <c r="V156" s="34"/>
      <c r="W156" s="35" t="s">
        <v>69</v>
      </c>
      <c r="X156" s="665">
        <v>40</v>
      </c>
      <c r="Y156" s="666">
        <f>IFERROR(IF(X156="",0,CEILING((X156/$H156),1)*$H156),"")</f>
        <v>45</v>
      </c>
      <c r="Z156" s="36">
        <f>IFERROR(IF(Y156=0,"",ROUNDUP(Y156/H156,0)*0.01898),"")</f>
        <v>9.4899999999999998E-2</v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42.6</v>
      </c>
      <c r="BN156" s="64">
        <f>IFERROR(Y156*I156/H156,"0")</f>
        <v>47.925000000000004</v>
      </c>
      <c r="BO156" s="64">
        <f>IFERROR(1/J156*(X156/H156),"0")</f>
        <v>6.9444444444444448E-2</v>
      </c>
      <c r="BP156" s="64">
        <f>IFERROR(1/J156*(Y156/H156),"0")</f>
        <v>7.8125E-2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78">
        <v>4607091387636</v>
      </c>
      <c r="E157" s="679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105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81"/>
      <c r="R157" s="681"/>
      <c r="S157" s="681"/>
      <c r="T157" s="682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78">
        <v>4607091382426</v>
      </c>
      <c r="E158" s="679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10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81"/>
      <c r="R158" s="681"/>
      <c r="S158" s="681"/>
      <c r="T158" s="682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78">
        <v>4607091386547</v>
      </c>
      <c r="E159" s="679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854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81"/>
      <c r="R159" s="681"/>
      <c r="S159" s="681"/>
      <c r="T159" s="682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701"/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702"/>
      <c r="P160" s="673" t="s">
        <v>80</v>
      </c>
      <c r="Q160" s="674"/>
      <c r="R160" s="674"/>
      <c r="S160" s="674"/>
      <c r="T160" s="674"/>
      <c r="U160" s="674"/>
      <c r="V160" s="675"/>
      <c r="W160" s="37" t="s">
        <v>81</v>
      </c>
      <c r="X160" s="667">
        <f>IFERROR(X156/H156,"0")+IFERROR(X157/H157,"0")+IFERROR(X158/H158,"0")+IFERROR(X159/H159,"0")</f>
        <v>4.4444444444444446</v>
      </c>
      <c r="Y160" s="667">
        <f>IFERROR(Y156/H156,"0")+IFERROR(Y157/H157,"0")+IFERROR(Y158/H158,"0")+IFERROR(Y159/H159,"0")</f>
        <v>5</v>
      </c>
      <c r="Z160" s="667">
        <f>IFERROR(IF(Z156="",0,Z156),"0")+IFERROR(IF(Z157="",0,Z157),"0")+IFERROR(IF(Z158="",0,Z158),"0")+IFERROR(IF(Z159="",0,Z159),"0")</f>
        <v>9.4899999999999998E-2</v>
      </c>
      <c r="AA160" s="668"/>
      <c r="AB160" s="668"/>
      <c r="AC160" s="668"/>
    </row>
    <row r="161" spans="1:68" x14ac:dyDescent="0.2">
      <c r="A161" s="677"/>
      <c r="B161" s="677"/>
      <c r="C161" s="677"/>
      <c r="D161" s="677"/>
      <c r="E161" s="677"/>
      <c r="F161" s="677"/>
      <c r="G161" s="677"/>
      <c r="H161" s="677"/>
      <c r="I161" s="677"/>
      <c r="J161" s="677"/>
      <c r="K161" s="677"/>
      <c r="L161" s="677"/>
      <c r="M161" s="677"/>
      <c r="N161" s="677"/>
      <c r="O161" s="702"/>
      <c r="P161" s="673" t="s">
        <v>80</v>
      </c>
      <c r="Q161" s="674"/>
      <c r="R161" s="674"/>
      <c r="S161" s="674"/>
      <c r="T161" s="674"/>
      <c r="U161" s="674"/>
      <c r="V161" s="675"/>
      <c r="W161" s="37" t="s">
        <v>69</v>
      </c>
      <c r="X161" s="667">
        <f>IFERROR(SUM(X156:X159),"0")</f>
        <v>40</v>
      </c>
      <c r="Y161" s="667">
        <f>IFERROR(SUM(Y156:Y159),"0")</f>
        <v>45</v>
      </c>
      <c r="Z161" s="37"/>
      <c r="AA161" s="668"/>
      <c r="AB161" s="668"/>
      <c r="AC161" s="668"/>
    </row>
    <row r="162" spans="1:68" ht="14.25" hidden="1" customHeight="1" x14ac:dyDescent="0.25">
      <c r="A162" s="676" t="s">
        <v>64</v>
      </c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77"/>
      <c r="P162" s="677"/>
      <c r="Q162" s="677"/>
      <c r="R162" s="677"/>
      <c r="S162" s="677"/>
      <c r="T162" s="677"/>
      <c r="U162" s="677"/>
      <c r="V162" s="677"/>
      <c r="W162" s="677"/>
      <c r="X162" s="677"/>
      <c r="Y162" s="677"/>
      <c r="Z162" s="677"/>
      <c r="AA162" s="658"/>
      <c r="AB162" s="658"/>
      <c r="AC162" s="658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78">
        <v>4607091386264</v>
      </c>
      <c r="E163" s="679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91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81"/>
      <c r="R163" s="681"/>
      <c r="S163" s="681"/>
      <c r="T163" s="682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78">
        <v>4607091385427</v>
      </c>
      <c r="E164" s="679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835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81"/>
      <c r="R164" s="681"/>
      <c r="S164" s="681"/>
      <c r="T164" s="682"/>
      <c r="U164" s="34"/>
      <c r="V164" s="34"/>
      <c r="W164" s="35" t="s">
        <v>69</v>
      </c>
      <c r="X164" s="665">
        <v>16</v>
      </c>
      <c r="Y164" s="666">
        <f>IFERROR(IF(X164="",0,CEILING((X164/$H164),1)*$H164),"")</f>
        <v>18</v>
      </c>
      <c r="Z164" s="36">
        <f>IFERROR(IF(Y164=0,"",ROUNDUP(Y164/H164,0)*0.00651),"")</f>
        <v>3.9059999999999997E-2</v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17.343999999999998</v>
      </c>
      <c r="BN164" s="64">
        <f>IFERROR(Y164*I164/H164,"0")</f>
        <v>19.511999999999997</v>
      </c>
      <c r="BO164" s="64">
        <f>IFERROR(1/J164*(X164/H164),"0")</f>
        <v>2.9304029304029304E-2</v>
      </c>
      <c r="BP164" s="64">
        <f>IFERROR(1/J164*(Y164/H164),"0")</f>
        <v>3.2967032967032968E-2</v>
      </c>
    </row>
    <row r="165" spans="1:68" x14ac:dyDescent="0.2">
      <c r="A165" s="701"/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702"/>
      <c r="P165" s="673" t="s">
        <v>80</v>
      </c>
      <c r="Q165" s="674"/>
      <c r="R165" s="674"/>
      <c r="S165" s="674"/>
      <c r="T165" s="674"/>
      <c r="U165" s="674"/>
      <c r="V165" s="675"/>
      <c r="W165" s="37" t="s">
        <v>81</v>
      </c>
      <c r="X165" s="667">
        <f>IFERROR(X163/H163,"0")+IFERROR(X164/H164,"0")</f>
        <v>5.333333333333333</v>
      </c>
      <c r="Y165" s="667">
        <f>IFERROR(Y163/H163,"0")+IFERROR(Y164/H164,"0")</f>
        <v>6</v>
      </c>
      <c r="Z165" s="667">
        <f>IFERROR(IF(Z163="",0,Z163),"0")+IFERROR(IF(Z164="",0,Z164),"0")</f>
        <v>3.9059999999999997E-2</v>
      </c>
      <c r="AA165" s="668"/>
      <c r="AB165" s="668"/>
      <c r="AC165" s="668"/>
    </row>
    <row r="166" spans="1:68" x14ac:dyDescent="0.2">
      <c r="A166" s="677"/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702"/>
      <c r="P166" s="673" t="s">
        <v>80</v>
      </c>
      <c r="Q166" s="674"/>
      <c r="R166" s="674"/>
      <c r="S166" s="674"/>
      <c r="T166" s="674"/>
      <c r="U166" s="674"/>
      <c r="V166" s="675"/>
      <c r="W166" s="37" t="s">
        <v>69</v>
      </c>
      <c r="X166" s="667">
        <f>IFERROR(SUM(X163:X164),"0")</f>
        <v>16</v>
      </c>
      <c r="Y166" s="667">
        <f>IFERROR(SUM(Y163:Y164),"0")</f>
        <v>18</v>
      </c>
      <c r="Z166" s="37"/>
      <c r="AA166" s="668"/>
      <c r="AB166" s="668"/>
      <c r="AC166" s="668"/>
    </row>
    <row r="167" spans="1:68" ht="27.75" hidden="1" customHeight="1" x14ac:dyDescent="0.2">
      <c r="A167" s="671" t="s">
        <v>286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48"/>
      <c r="AB167" s="48"/>
      <c r="AC167" s="48"/>
    </row>
    <row r="168" spans="1:68" ht="16.5" hidden="1" customHeight="1" x14ac:dyDescent="0.25">
      <c r="A168" s="689" t="s">
        <v>287</v>
      </c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77"/>
      <c r="P168" s="677"/>
      <c r="Q168" s="677"/>
      <c r="R168" s="677"/>
      <c r="S168" s="677"/>
      <c r="T168" s="677"/>
      <c r="U168" s="677"/>
      <c r="V168" s="677"/>
      <c r="W168" s="677"/>
      <c r="X168" s="677"/>
      <c r="Y168" s="677"/>
      <c r="Z168" s="677"/>
      <c r="AA168" s="660"/>
      <c r="AB168" s="660"/>
      <c r="AC168" s="660"/>
    </row>
    <row r="169" spans="1:68" ht="14.25" hidden="1" customHeight="1" x14ac:dyDescent="0.25">
      <c r="A169" s="676" t="s">
        <v>133</v>
      </c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77"/>
      <c r="P169" s="677"/>
      <c r="Q169" s="677"/>
      <c r="R169" s="677"/>
      <c r="S169" s="677"/>
      <c r="T169" s="677"/>
      <c r="U169" s="677"/>
      <c r="V169" s="677"/>
      <c r="W169" s="677"/>
      <c r="X169" s="677"/>
      <c r="Y169" s="677"/>
      <c r="Z169" s="677"/>
      <c r="AA169" s="658"/>
      <c r="AB169" s="658"/>
      <c r="AC169" s="658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8">
        <v>4680115886223</v>
      </c>
      <c r="E170" s="679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103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1"/>
      <c r="R170" s="681"/>
      <c r="S170" s="681"/>
      <c r="T170" s="682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701"/>
      <c r="B171" s="677"/>
      <c r="C171" s="677"/>
      <c r="D171" s="677"/>
      <c r="E171" s="677"/>
      <c r="F171" s="677"/>
      <c r="G171" s="677"/>
      <c r="H171" s="677"/>
      <c r="I171" s="677"/>
      <c r="J171" s="677"/>
      <c r="K171" s="677"/>
      <c r="L171" s="677"/>
      <c r="M171" s="677"/>
      <c r="N171" s="677"/>
      <c r="O171" s="702"/>
      <c r="P171" s="673" t="s">
        <v>80</v>
      </c>
      <c r="Q171" s="674"/>
      <c r="R171" s="674"/>
      <c r="S171" s="674"/>
      <c r="T171" s="674"/>
      <c r="U171" s="674"/>
      <c r="V171" s="675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7"/>
      <c r="B172" s="677"/>
      <c r="C172" s="677"/>
      <c r="D172" s="677"/>
      <c r="E172" s="677"/>
      <c r="F172" s="677"/>
      <c r="G172" s="677"/>
      <c r="H172" s="677"/>
      <c r="I172" s="677"/>
      <c r="J172" s="677"/>
      <c r="K172" s="677"/>
      <c r="L172" s="677"/>
      <c r="M172" s="677"/>
      <c r="N172" s="677"/>
      <c r="O172" s="702"/>
      <c r="P172" s="673" t="s">
        <v>80</v>
      </c>
      <c r="Q172" s="674"/>
      <c r="R172" s="674"/>
      <c r="S172" s="674"/>
      <c r="T172" s="674"/>
      <c r="U172" s="674"/>
      <c r="V172" s="675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76" t="s">
        <v>144</v>
      </c>
      <c r="B173" s="677"/>
      <c r="C173" s="677"/>
      <c r="D173" s="677"/>
      <c r="E173" s="677"/>
      <c r="F173" s="677"/>
      <c r="G173" s="677"/>
      <c r="H173" s="677"/>
      <c r="I173" s="677"/>
      <c r="J173" s="677"/>
      <c r="K173" s="677"/>
      <c r="L173" s="677"/>
      <c r="M173" s="677"/>
      <c r="N173" s="677"/>
      <c r="O173" s="677"/>
      <c r="P173" s="677"/>
      <c r="Q173" s="677"/>
      <c r="R173" s="677"/>
      <c r="S173" s="677"/>
      <c r="T173" s="677"/>
      <c r="U173" s="677"/>
      <c r="V173" s="677"/>
      <c r="W173" s="677"/>
      <c r="X173" s="677"/>
      <c r="Y173" s="677"/>
      <c r="Z173" s="677"/>
      <c r="AA173" s="658"/>
      <c r="AB173" s="658"/>
      <c r="AC173" s="658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8">
        <v>4680115880993</v>
      </c>
      <c r="E174" s="679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6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1"/>
      <c r="R174" s="681"/>
      <c r="S174" s="681"/>
      <c r="T174" s="682"/>
      <c r="U174" s="34"/>
      <c r="V174" s="34"/>
      <c r="W174" s="35" t="s">
        <v>69</v>
      </c>
      <c r="X174" s="665">
        <v>20</v>
      </c>
      <c r="Y174" s="666">
        <f t="shared" ref="Y174:Y182" si="21">IFERROR(IF(X174="",0,CEILING((X174/$H174),1)*$H174),"")</f>
        <v>21</v>
      </c>
      <c r="Z174" s="36">
        <f>IFERROR(IF(Y174=0,"",ROUNDUP(Y174/H174,0)*0.00902),"")</f>
        <v>4.5100000000000001E-2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21.285714285714281</v>
      </c>
      <c r="BN174" s="64">
        <f t="shared" ref="BN174:BN182" si="23">IFERROR(Y174*I174/H174,"0")</f>
        <v>22.349999999999998</v>
      </c>
      <c r="BO174" s="64">
        <f t="shared" ref="BO174:BO182" si="24">IFERROR(1/J174*(X174/H174),"0")</f>
        <v>3.6075036075036072E-2</v>
      </c>
      <c r="BP174" s="64">
        <f t="shared" ref="BP174:BP182" si="25">IFERROR(1/J174*(Y174/H174),"0")</f>
        <v>3.787878787878788E-2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78">
        <v>4680115881761</v>
      </c>
      <c r="E175" s="679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1"/>
      <c r="R175" s="681"/>
      <c r="S175" s="681"/>
      <c r="T175" s="682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78">
        <v>4680115881563</v>
      </c>
      <c r="E176" s="679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1"/>
      <c r="R176" s="681"/>
      <c r="S176" s="681"/>
      <c r="T176" s="682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8">
        <v>4680115880986</v>
      </c>
      <c r="E177" s="679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1"/>
      <c r="R177" s="681"/>
      <c r="S177" s="681"/>
      <c r="T177" s="682"/>
      <c r="U177" s="34"/>
      <c r="V177" s="34"/>
      <c r="W177" s="35" t="s">
        <v>69</v>
      </c>
      <c r="X177" s="665">
        <v>12.6</v>
      </c>
      <c r="Y177" s="666">
        <f t="shared" si="21"/>
        <v>12.600000000000001</v>
      </c>
      <c r="Z177" s="36">
        <f>IFERROR(IF(Y177=0,"",ROUNDUP(Y177/H177,0)*0.00502),"")</f>
        <v>3.0120000000000001E-2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13.379999999999999</v>
      </c>
      <c r="BN177" s="64">
        <f t="shared" si="23"/>
        <v>13.38</v>
      </c>
      <c r="BO177" s="64">
        <f t="shared" si="24"/>
        <v>2.5641025641025644E-2</v>
      </c>
      <c r="BP177" s="64">
        <f t="shared" si="25"/>
        <v>2.5641025641025644E-2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78">
        <v>4680115881785</v>
      </c>
      <c r="E178" s="679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1"/>
      <c r="R178" s="681"/>
      <c r="S178" s="681"/>
      <c r="T178" s="682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78">
        <v>4680115886537</v>
      </c>
      <c r="E179" s="679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78" t="s">
        <v>306</v>
      </c>
      <c r="Q179" s="681"/>
      <c r="R179" s="681"/>
      <c r="S179" s="681"/>
      <c r="T179" s="682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78">
        <v>4680115881679</v>
      </c>
      <c r="E180" s="679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9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1"/>
      <c r="R180" s="681"/>
      <c r="S180" s="681"/>
      <c r="T180" s="682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8">
        <v>4680115880191</v>
      </c>
      <c r="E181" s="679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1"/>
      <c r="R181" s="681"/>
      <c r="S181" s="681"/>
      <c r="T181" s="682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8">
        <v>4680115883963</v>
      </c>
      <c r="E182" s="679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97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1"/>
      <c r="R182" s="681"/>
      <c r="S182" s="681"/>
      <c r="T182" s="682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701"/>
      <c r="B183" s="677"/>
      <c r="C183" s="677"/>
      <c r="D183" s="677"/>
      <c r="E183" s="677"/>
      <c r="F183" s="677"/>
      <c r="G183" s="677"/>
      <c r="H183" s="677"/>
      <c r="I183" s="677"/>
      <c r="J183" s="677"/>
      <c r="K183" s="677"/>
      <c r="L183" s="677"/>
      <c r="M183" s="677"/>
      <c r="N183" s="677"/>
      <c r="O183" s="702"/>
      <c r="P183" s="673" t="s">
        <v>80</v>
      </c>
      <c r="Q183" s="674"/>
      <c r="R183" s="674"/>
      <c r="S183" s="674"/>
      <c r="T183" s="674"/>
      <c r="U183" s="674"/>
      <c r="V183" s="675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10.761904761904763</v>
      </c>
      <c r="Y183" s="667">
        <f>IFERROR(Y174/H174,"0")+IFERROR(Y175/H175,"0")+IFERROR(Y176/H176,"0")+IFERROR(Y177/H177,"0")+IFERROR(Y178/H178,"0")+IFERROR(Y179/H179,"0")+IFERROR(Y180/H180,"0")+IFERROR(Y181/H181,"0")+IFERROR(Y182/H182,"0")</f>
        <v>11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7.5220000000000009E-2</v>
      </c>
      <c r="AA183" s="668"/>
      <c r="AB183" s="668"/>
      <c r="AC183" s="668"/>
    </row>
    <row r="184" spans="1:68" x14ac:dyDescent="0.2">
      <c r="A184" s="677"/>
      <c r="B184" s="677"/>
      <c r="C184" s="677"/>
      <c r="D184" s="677"/>
      <c r="E184" s="677"/>
      <c r="F184" s="677"/>
      <c r="G184" s="677"/>
      <c r="H184" s="677"/>
      <c r="I184" s="677"/>
      <c r="J184" s="677"/>
      <c r="K184" s="677"/>
      <c r="L184" s="677"/>
      <c r="M184" s="677"/>
      <c r="N184" s="677"/>
      <c r="O184" s="702"/>
      <c r="P184" s="673" t="s">
        <v>80</v>
      </c>
      <c r="Q184" s="674"/>
      <c r="R184" s="674"/>
      <c r="S184" s="674"/>
      <c r="T184" s="674"/>
      <c r="U184" s="674"/>
      <c r="V184" s="675"/>
      <c r="W184" s="37" t="s">
        <v>69</v>
      </c>
      <c r="X184" s="667">
        <f>IFERROR(SUM(X174:X182),"0")</f>
        <v>32.6</v>
      </c>
      <c r="Y184" s="667">
        <f>IFERROR(SUM(Y174:Y182),"0")</f>
        <v>33.6</v>
      </c>
      <c r="Z184" s="37"/>
      <c r="AA184" s="668"/>
      <c r="AB184" s="668"/>
      <c r="AC184" s="668"/>
    </row>
    <row r="185" spans="1:68" ht="14.25" hidden="1" customHeight="1" x14ac:dyDescent="0.25">
      <c r="A185" s="676" t="s">
        <v>82</v>
      </c>
      <c r="B185" s="677"/>
      <c r="C185" s="677"/>
      <c r="D185" s="677"/>
      <c r="E185" s="677"/>
      <c r="F185" s="677"/>
      <c r="G185" s="677"/>
      <c r="H185" s="677"/>
      <c r="I185" s="677"/>
      <c r="J185" s="677"/>
      <c r="K185" s="677"/>
      <c r="L185" s="677"/>
      <c r="M185" s="677"/>
      <c r="N185" s="677"/>
      <c r="O185" s="677"/>
      <c r="P185" s="677"/>
      <c r="Q185" s="677"/>
      <c r="R185" s="677"/>
      <c r="S185" s="677"/>
      <c r="T185" s="677"/>
      <c r="U185" s="677"/>
      <c r="V185" s="677"/>
      <c r="W185" s="677"/>
      <c r="X185" s="677"/>
      <c r="Y185" s="677"/>
      <c r="Z185" s="677"/>
      <c r="AA185" s="658"/>
      <c r="AB185" s="658"/>
      <c r="AC185" s="658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8">
        <v>4680115886780</v>
      </c>
      <c r="E186" s="679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744" t="s">
        <v>319</v>
      </c>
      <c r="Q186" s="681"/>
      <c r="R186" s="681"/>
      <c r="S186" s="681"/>
      <c r="T186" s="682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701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702"/>
      <c r="P187" s="673" t="s">
        <v>80</v>
      </c>
      <c r="Q187" s="674"/>
      <c r="R187" s="674"/>
      <c r="S187" s="674"/>
      <c r="T187" s="674"/>
      <c r="U187" s="674"/>
      <c r="V187" s="675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7"/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702"/>
      <c r="P188" s="673" t="s">
        <v>80</v>
      </c>
      <c r="Q188" s="674"/>
      <c r="R188" s="674"/>
      <c r="S188" s="674"/>
      <c r="T188" s="674"/>
      <c r="U188" s="674"/>
      <c r="V188" s="675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689" t="s">
        <v>322</v>
      </c>
      <c r="B189" s="677"/>
      <c r="C189" s="677"/>
      <c r="D189" s="677"/>
      <c r="E189" s="677"/>
      <c r="F189" s="677"/>
      <c r="G189" s="677"/>
      <c r="H189" s="677"/>
      <c r="I189" s="677"/>
      <c r="J189" s="677"/>
      <c r="K189" s="677"/>
      <c r="L189" s="677"/>
      <c r="M189" s="677"/>
      <c r="N189" s="677"/>
      <c r="O189" s="677"/>
      <c r="P189" s="677"/>
      <c r="Q189" s="677"/>
      <c r="R189" s="677"/>
      <c r="S189" s="677"/>
      <c r="T189" s="677"/>
      <c r="U189" s="677"/>
      <c r="V189" s="677"/>
      <c r="W189" s="677"/>
      <c r="X189" s="677"/>
      <c r="Y189" s="677"/>
      <c r="Z189" s="677"/>
      <c r="AA189" s="660"/>
      <c r="AB189" s="660"/>
      <c r="AC189" s="660"/>
    </row>
    <row r="190" spans="1:68" ht="14.25" hidden="1" customHeight="1" x14ac:dyDescent="0.25">
      <c r="A190" s="676" t="s">
        <v>90</v>
      </c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77"/>
      <c r="P190" s="677"/>
      <c r="Q190" s="677"/>
      <c r="R190" s="677"/>
      <c r="S190" s="677"/>
      <c r="T190" s="677"/>
      <c r="U190" s="677"/>
      <c r="V190" s="677"/>
      <c r="W190" s="677"/>
      <c r="X190" s="677"/>
      <c r="Y190" s="677"/>
      <c r="Z190" s="677"/>
      <c r="AA190" s="658"/>
      <c r="AB190" s="658"/>
      <c r="AC190" s="658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8">
        <v>4680115881402</v>
      </c>
      <c r="E191" s="679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1"/>
      <c r="R191" s="681"/>
      <c r="S191" s="681"/>
      <c r="T191" s="682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8">
        <v>4680115881396</v>
      </c>
      <c r="E192" s="679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9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1"/>
      <c r="R192" s="681"/>
      <c r="S192" s="681"/>
      <c r="T192" s="682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701"/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702"/>
      <c r="P193" s="673" t="s">
        <v>80</v>
      </c>
      <c r="Q193" s="674"/>
      <c r="R193" s="674"/>
      <c r="S193" s="674"/>
      <c r="T193" s="674"/>
      <c r="U193" s="674"/>
      <c r="V193" s="675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7"/>
      <c r="B194" s="677"/>
      <c r="C194" s="677"/>
      <c r="D194" s="677"/>
      <c r="E194" s="677"/>
      <c r="F194" s="677"/>
      <c r="G194" s="677"/>
      <c r="H194" s="677"/>
      <c r="I194" s="677"/>
      <c r="J194" s="677"/>
      <c r="K194" s="677"/>
      <c r="L194" s="677"/>
      <c r="M194" s="677"/>
      <c r="N194" s="677"/>
      <c r="O194" s="702"/>
      <c r="P194" s="673" t="s">
        <v>80</v>
      </c>
      <c r="Q194" s="674"/>
      <c r="R194" s="674"/>
      <c r="S194" s="674"/>
      <c r="T194" s="674"/>
      <c r="U194" s="674"/>
      <c r="V194" s="675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76" t="s">
        <v>133</v>
      </c>
      <c r="B195" s="677"/>
      <c r="C195" s="677"/>
      <c r="D195" s="677"/>
      <c r="E195" s="677"/>
      <c r="F195" s="677"/>
      <c r="G195" s="677"/>
      <c r="H195" s="677"/>
      <c r="I195" s="677"/>
      <c r="J195" s="677"/>
      <c r="K195" s="677"/>
      <c r="L195" s="677"/>
      <c r="M195" s="677"/>
      <c r="N195" s="677"/>
      <c r="O195" s="677"/>
      <c r="P195" s="677"/>
      <c r="Q195" s="677"/>
      <c r="R195" s="677"/>
      <c r="S195" s="677"/>
      <c r="T195" s="677"/>
      <c r="U195" s="677"/>
      <c r="V195" s="677"/>
      <c r="W195" s="677"/>
      <c r="X195" s="677"/>
      <c r="Y195" s="677"/>
      <c r="Z195" s="677"/>
      <c r="AA195" s="658"/>
      <c r="AB195" s="658"/>
      <c r="AC195" s="658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8">
        <v>4680115882935</v>
      </c>
      <c r="E196" s="679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7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1"/>
      <c r="R196" s="681"/>
      <c r="S196" s="681"/>
      <c r="T196" s="682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8">
        <v>4680115880764</v>
      </c>
      <c r="E197" s="679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9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1"/>
      <c r="R197" s="681"/>
      <c r="S197" s="681"/>
      <c r="T197" s="682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701"/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702"/>
      <c r="P198" s="673" t="s">
        <v>80</v>
      </c>
      <c r="Q198" s="674"/>
      <c r="R198" s="674"/>
      <c r="S198" s="674"/>
      <c r="T198" s="674"/>
      <c r="U198" s="674"/>
      <c r="V198" s="675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7"/>
      <c r="B199" s="677"/>
      <c r="C199" s="677"/>
      <c r="D199" s="677"/>
      <c r="E199" s="677"/>
      <c r="F199" s="677"/>
      <c r="G199" s="677"/>
      <c r="H199" s="677"/>
      <c r="I199" s="677"/>
      <c r="J199" s="677"/>
      <c r="K199" s="677"/>
      <c r="L199" s="677"/>
      <c r="M199" s="677"/>
      <c r="N199" s="677"/>
      <c r="O199" s="702"/>
      <c r="P199" s="673" t="s">
        <v>80</v>
      </c>
      <c r="Q199" s="674"/>
      <c r="R199" s="674"/>
      <c r="S199" s="674"/>
      <c r="T199" s="674"/>
      <c r="U199" s="674"/>
      <c r="V199" s="675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76" t="s">
        <v>144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658"/>
      <c r="AB200" s="658"/>
      <c r="AC200" s="658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8">
        <v>4680115882683</v>
      </c>
      <c r="E201" s="679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1"/>
      <c r="R201" s="681"/>
      <c r="S201" s="681"/>
      <c r="T201" s="682"/>
      <c r="U201" s="34"/>
      <c r="V201" s="34"/>
      <c r="W201" s="35" t="s">
        <v>69</v>
      </c>
      <c r="X201" s="665">
        <v>30</v>
      </c>
      <c r="Y201" s="666">
        <f t="shared" ref="Y201:Y208" si="26">IFERROR(IF(X201="",0,CEILING((X201/$H201),1)*$H201),"")</f>
        <v>32.400000000000006</v>
      </c>
      <c r="Z201" s="36">
        <f>IFERROR(IF(Y201=0,"",ROUNDUP(Y201/H201,0)*0.00902),"")</f>
        <v>5.4120000000000001E-2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31.166666666666668</v>
      </c>
      <c r="BN201" s="64">
        <f t="shared" ref="BN201:BN208" si="28">IFERROR(Y201*I201/H201,"0")</f>
        <v>33.660000000000004</v>
      </c>
      <c r="BO201" s="64">
        <f t="shared" ref="BO201:BO208" si="29">IFERROR(1/J201*(X201/H201),"0")</f>
        <v>4.208754208754209E-2</v>
      </c>
      <c r="BP201" s="64">
        <f t="shared" ref="BP201:BP208" si="30">IFERROR(1/J201*(Y201/H201),"0")</f>
        <v>4.5454545454545463E-2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8">
        <v>4680115882690</v>
      </c>
      <c r="E202" s="679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6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1"/>
      <c r="R202" s="681"/>
      <c r="S202" s="681"/>
      <c r="T202" s="682"/>
      <c r="U202" s="34"/>
      <c r="V202" s="34"/>
      <c r="W202" s="35" t="s">
        <v>69</v>
      </c>
      <c r="X202" s="665">
        <v>60</v>
      </c>
      <c r="Y202" s="666">
        <f t="shared" si="26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62.333333333333336</v>
      </c>
      <c r="BN202" s="64">
        <f t="shared" si="28"/>
        <v>67.320000000000007</v>
      </c>
      <c r="BO202" s="64">
        <f t="shared" si="29"/>
        <v>8.4175084175084181E-2</v>
      </c>
      <c r="BP202" s="64">
        <f t="shared" si="30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8">
        <v>4680115882669</v>
      </c>
      <c r="E203" s="679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1"/>
      <c r="R203" s="681"/>
      <c r="S203" s="681"/>
      <c r="T203" s="682"/>
      <c r="U203" s="34"/>
      <c r="V203" s="34"/>
      <c r="W203" s="35" t="s">
        <v>69</v>
      </c>
      <c r="X203" s="665">
        <v>80</v>
      </c>
      <c r="Y203" s="666">
        <f t="shared" si="26"/>
        <v>81</v>
      </c>
      <c r="Z203" s="36">
        <f>IFERROR(IF(Y203=0,"",ROUNDUP(Y203/H203,0)*0.00902),"")</f>
        <v>0.1353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83.111111111111114</v>
      </c>
      <c r="BN203" s="64">
        <f t="shared" si="28"/>
        <v>84.15</v>
      </c>
      <c r="BO203" s="64">
        <f t="shared" si="29"/>
        <v>0.11223344556677889</v>
      </c>
      <c r="BP203" s="64">
        <f t="shared" si="30"/>
        <v>0.11363636363636363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8">
        <v>4680115882676</v>
      </c>
      <c r="E204" s="679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1"/>
      <c r="R204" s="681"/>
      <c r="S204" s="681"/>
      <c r="T204" s="682"/>
      <c r="U204" s="34"/>
      <c r="V204" s="34"/>
      <c r="W204" s="35" t="s">
        <v>69</v>
      </c>
      <c r="X204" s="665">
        <v>50</v>
      </c>
      <c r="Y204" s="666">
        <f t="shared" si="26"/>
        <v>54</v>
      </c>
      <c r="Z204" s="36">
        <f>IFERROR(IF(Y204=0,"",ROUNDUP(Y204/H204,0)*0.00902),"")</f>
        <v>9.0200000000000002E-2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51.944444444444443</v>
      </c>
      <c r="BN204" s="64">
        <f t="shared" si="28"/>
        <v>56.099999999999994</v>
      </c>
      <c r="BO204" s="64">
        <f t="shared" si="29"/>
        <v>7.0145903479236812E-2</v>
      </c>
      <c r="BP204" s="64">
        <f t="shared" si="30"/>
        <v>7.575757575757576E-2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78">
        <v>4680115884014</v>
      </c>
      <c r="E205" s="679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1"/>
      <c r="R205" s="681"/>
      <c r="S205" s="681"/>
      <c r="T205" s="682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78">
        <v>4680115884007</v>
      </c>
      <c r="E206" s="679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1"/>
      <c r="R206" s="681"/>
      <c r="S206" s="681"/>
      <c r="T206" s="682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78">
        <v>4680115884038</v>
      </c>
      <c r="E207" s="679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8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1"/>
      <c r="R207" s="681"/>
      <c r="S207" s="681"/>
      <c r="T207" s="682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78">
        <v>4680115884021</v>
      </c>
      <c r="E208" s="679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1"/>
      <c r="R208" s="681"/>
      <c r="S208" s="681"/>
      <c r="T208" s="682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701"/>
      <c r="B209" s="677"/>
      <c r="C209" s="677"/>
      <c r="D209" s="677"/>
      <c r="E209" s="677"/>
      <c r="F209" s="677"/>
      <c r="G209" s="677"/>
      <c r="H209" s="677"/>
      <c r="I209" s="677"/>
      <c r="J209" s="677"/>
      <c r="K209" s="677"/>
      <c r="L209" s="677"/>
      <c r="M209" s="677"/>
      <c r="N209" s="677"/>
      <c r="O209" s="702"/>
      <c r="P209" s="673" t="s">
        <v>80</v>
      </c>
      <c r="Q209" s="674"/>
      <c r="R209" s="674"/>
      <c r="S209" s="674"/>
      <c r="T209" s="674"/>
      <c r="U209" s="674"/>
      <c r="V209" s="675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40.740740740740733</v>
      </c>
      <c r="Y209" s="667">
        <f>IFERROR(Y201/H201,"0")+IFERROR(Y202/H202,"0")+IFERROR(Y203/H203,"0")+IFERROR(Y204/H204,"0")+IFERROR(Y205/H205,"0")+IFERROR(Y206/H206,"0")+IFERROR(Y207/H207,"0")+IFERROR(Y208/H208,"0")</f>
        <v>43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0.38786000000000004</v>
      </c>
      <c r="AA209" s="668"/>
      <c r="AB209" s="668"/>
      <c r="AC209" s="668"/>
    </row>
    <row r="210" spans="1:68" x14ac:dyDescent="0.2">
      <c r="A210" s="677"/>
      <c r="B210" s="677"/>
      <c r="C210" s="677"/>
      <c r="D210" s="677"/>
      <c r="E210" s="677"/>
      <c r="F210" s="677"/>
      <c r="G210" s="677"/>
      <c r="H210" s="677"/>
      <c r="I210" s="677"/>
      <c r="J210" s="677"/>
      <c r="K210" s="677"/>
      <c r="L210" s="677"/>
      <c r="M210" s="677"/>
      <c r="N210" s="677"/>
      <c r="O210" s="702"/>
      <c r="P210" s="673" t="s">
        <v>80</v>
      </c>
      <c r="Q210" s="674"/>
      <c r="R210" s="674"/>
      <c r="S210" s="674"/>
      <c r="T210" s="674"/>
      <c r="U210" s="674"/>
      <c r="V210" s="675"/>
      <c r="W210" s="37" t="s">
        <v>69</v>
      </c>
      <c r="X210" s="667">
        <f>IFERROR(SUM(X201:X208),"0")</f>
        <v>220</v>
      </c>
      <c r="Y210" s="667">
        <f>IFERROR(SUM(Y201:Y208),"0")</f>
        <v>232.20000000000002</v>
      </c>
      <c r="Z210" s="37"/>
      <c r="AA210" s="668"/>
      <c r="AB210" s="668"/>
      <c r="AC210" s="668"/>
    </row>
    <row r="211" spans="1:68" ht="14.25" hidden="1" customHeight="1" x14ac:dyDescent="0.25">
      <c r="A211" s="676" t="s">
        <v>64</v>
      </c>
      <c r="B211" s="677"/>
      <c r="C211" s="677"/>
      <c r="D211" s="677"/>
      <c r="E211" s="677"/>
      <c r="F211" s="677"/>
      <c r="G211" s="677"/>
      <c r="H211" s="677"/>
      <c r="I211" s="677"/>
      <c r="J211" s="677"/>
      <c r="K211" s="677"/>
      <c r="L211" s="677"/>
      <c r="M211" s="677"/>
      <c r="N211" s="677"/>
      <c r="O211" s="677"/>
      <c r="P211" s="677"/>
      <c r="Q211" s="677"/>
      <c r="R211" s="677"/>
      <c r="S211" s="677"/>
      <c r="T211" s="677"/>
      <c r="U211" s="677"/>
      <c r="V211" s="677"/>
      <c r="W211" s="677"/>
      <c r="X211" s="677"/>
      <c r="Y211" s="677"/>
      <c r="Z211" s="677"/>
      <c r="AA211" s="658"/>
      <c r="AB211" s="658"/>
      <c r="AC211" s="658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8">
        <v>4680115881594</v>
      </c>
      <c r="E212" s="679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8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1"/>
      <c r="R212" s="681"/>
      <c r="S212" s="681"/>
      <c r="T212" s="682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8">
        <v>4680115881617</v>
      </c>
      <c r="E213" s="679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10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1"/>
      <c r="R213" s="681"/>
      <c r="S213" s="681"/>
      <c r="T213" s="682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78">
        <v>4680115880573</v>
      </c>
      <c r="E214" s="679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1"/>
      <c r="R214" s="681"/>
      <c r="S214" s="681"/>
      <c r="T214" s="682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8">
        <v>4680115882195</v>
      </c>
      <c r="E215" s="679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103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1"/>
      <c r="R215" s="681"/>
      <c r="S215" s="681"/>
      <c r="T215" s="682"/>
      <c r="U215" s="34"/>
      <c r="V215" s="34"/>
      <c r="W215" s="35" t="s">
        <v>69</v>
      </c>
      <c r="X215" s="665">
        <v>8</v>
      </c>
      <c r="Y215" s="666">
        <f t="shared" si="31"/>
        <v>9.6</v>
      </c>
      <c r="Z215" s="36">
        <f t="shared" ref="Z215:Z220" si="36">IFERROR(IF(Y215=0,"",ROUNDUP(Y215/H215,0)*0.00651),"")</f>
        <v>2.6040000000000001E-2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8.9</v>
      </c>
      <c r="BN215" s="64">
        <f t="shared" si="33"/>
        <v>10.68</v>
      </c>
      <c r="BO215" s="64">
        <f t="shared" si="34"/>
        <v>1.8315018315018316E-2</v>
      </c>
      <c r="BP215" s="64">
        <f t="shared" si="35"/>
        <v>2.197802197802198E-2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8">
        <v>4680115882607</v>
      </c>
      <c r="E216" s="679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9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1"/>
      <c r="R216" s="681"/>
      <c r="S216" s="681"/>
      <c r="T216" s="682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8">
        <v>4680115880092</v>
      </c>
      <c r="E217" s="679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8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1"/>
      <c r="R217" s="681"/>
      <c r="S217" s="681"/>
      <c r="T217" s="682"/>
      <c r="U217" s="34"/>
      <c r="V217" s="34"/>
      <c r="W217" s="35" t="s">
        <v>69</v>
      </c>
      <c r="X217" s="665">
        <v>13.5</v>
      </c>
      <c r="Y217" s="666">
        <f t="shared" si="31"/>
        <v>14.399999999999999</v>
      </c>
      <c r="Z217" s="36">
        <f t="shared" si="36"/>
        <v>3.9059999999999997E-2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14.9175</v>
      </c>
      <c r="BN217" s="64">
        <f t="shared" si="33"/>
        <v>15.912000000000001</v>
      </c>
      <c r="BO217" s="64">
        <f t="shared" si="34"/>
        <v>3.0906593406593408E-2</v>
      </c>
      <c r="BP217" s="64">
        <f t="shared" si="35"/>
        <v>3.2967032967032968E-2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78">
        <v>4680115880221</v>
      </c>
      <c r="E218" s="679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7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1"/>
      <c r="R218" s="681"/>
      <c r="S218" s="681"/>
      <c r="T218" s="682"/>
      <c r="U218" s="34"/>
      <c r="V218" s="34"/>
      <c r="W218" s="35" t="s">
        <v>69</v>
      </c>
      <c r="X218" s="665">
        <v>13.5</v>
      </c>
      <c r="Y218" s="666">
        <f t="shared" si="31"/>
        <v>14.399999999999999</v>
      </c>
      <c r="Z218" s="36">
        <f t="shared" si="36"/>
        <v>3.9059999999999997E-2</v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14.9175</v>
      </c>
      <c r="BN218" s="64">
        <f t="shared" si="33"/>
        <v>15.912000000000001</v>
      </c>
      <c r="BO218" s="64">
        <f t="shared" si="34"/>
        <v>3.0906593406593408E-2</v>
      </c>
      <c r="BP218" s="64">
        <f t="shared" si="35"/>
        <v>3.2967032967032968E-2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78">
        <v>4680115880504</v>
      </c>
      <c r="E219" s="679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9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1"/>
      <c r="R219" s="681"/>
      <c r="S219" s="681"/>
      <c r="T219" s="682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8">
        <v>4680115882164</v>
      </c>
      <c r="E220" s="679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10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1"/>
      <c r="R220" s="681"/>
      <c r="S220" s="681"/>
      <c r="T220" s="682"/>
      <c r="U220" s="34"/>
      <c r="V220" s="34"/>
      <c r="W220" s="35" t="s">
        <v>69</v>
      </c>
      <c r="X220" s="665">
        <v>12.4</v>
      </c>
      <c r="Y220" s="666">
        <f t="shared" si="31"/>
        <v>14.399999999999999</v>
      </c>
      <c r="Z220" s="36">
        <f t="shared" si="36"/>
        <v>3.9059999999999997E-2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13.733000000000002</v>
      </c>
      <c r="BN220" s="64">
        <f t="shared" si="33"/>
        <v>15.948</v>
      </c>
      <c r="BO220" s="64">
        <f t="shared" si="34"/>
        <v>2.8388278388278392E-2</v>
      </c>
      <c r="BP220" s="64">
        <f t="shared" si="35"/>
        <v>3.2967032967032968E-2</v>
      </c>
    </row>
    <row r="221" spans="1:68" x14ac:dyDescent="0.2">
      <c r="A221" s="701"/>
      <c r="B221" s="677"/>
      <c r="C221" s="677"/>
      <c r="D221" s="677"/>
      <c r="E221" s="677"/>
      <c r="F221" s="677"/>
      <c r="G221" s="677"/>
      <c r="H221" s="677"/>
      <c r="I221" s="677"/>
      <c r="J221" s="677"/>
      <c r="K221" s="677"/>
      <c r="L221" s="677"/>
      <c r="M221" s="677"/>
      <c r="N221" s="677"/>
      <c r="O221" s="702"/>
      <c r="P221" s="673" t="s">
        <v>80</v>
      </c>
      <c r="Q221" s="674"/>
      <c r="R221" s="674"/>
      <c r="S221" s="674"/>
      <c r="T221" s="674"/>
      <c r="U221" s="674"/>
      <c r="V221" s="675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19.75</v>
      </c>
      <c r="Y221" s="667">
        <f>IFERROR(Y212/H212,"0")+IFERROR(Y213/H213,"0")+IFERROR(Y214/H214,"0")+IFERROR(Y215/H215,"0")+IFERROR(Y216/H216,"0")+IFERROR(Y217/H217,"0")+IFERROR(Y218/H218,"0")+IFERROR(Y219/H219,"0")+IFERROR(Y220/H220,"0")</f>
        <v>22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0.14321999999999999</v>
      </c>
      <c r="AA221" s="668"/>
      <c r="AB221" s="668"/>
      <c r="AC221" s="668"/>
    </row>
    <row r="222" spans="1:68" x14ac:dyDescent="0.2">
      <c r="A222" s="677"/>
      <c r="B222" s="677"/>
      <c r="C222" s="677"/>
      <c r="D222" s="677"/>
      <c r="E222" s="677"/>
      <c r="F222" s="677"/>
      <c r="G222" s="677"/>
      <c r="H222" s="677"/>
      <c r="I222" s="677"/>
      <c r="J222" s="677"/>
      <c r="K222" s="677"/>
      <c r="L222" s="677"/>
      <c r="M222" s="677"/>
      <c r="N222" s="677"/>
      <c r="O222" s="702"/>
      <c r="P222" s="673" t="s">
        <v>80</v>
      </c>
      <c r="Q222" s="674"/>
      <c r="R222" s="674"/>
      <c r="S222" s="674"/>
      <c r="T222" s="674"/>
      <c r="U222" s="674"/>
      <c r="V222" s="675"/>
      <c r="W222" s="37" t="s">
        <v>69</v>
      </c>
      <c r="X222" s="667">
        <f>IFERROR(SUM(X212:X220),"0")</f>
        <v>47.4</v>
      </c>
      <c r="Y222" s="667">
        <f>IFERROR(SUM(Y212:Y220),"0")</f>
        <v>52.8</v>
      </c>
      <c r="Z222" s="37"/>
      <c r="AA222" s="668"/>
      <c r="AB222" s="668"/>
      <c r="AC222" s="668"/>
    </row>
    <row r="223" spans="1:68" ht="14.25" hidden="1" customHeight="1" x14ac:dyDescent="0.25">
      <c r="A223" s="676" t="s">
        <v>170</v>
      </c>
      <c r="B223" s="677"/>
      <c r="C223" s="677"/>
      <c r="D223" s="677"/>
      <c r="E223" s="677"/>
      <c r="F223" s="677"/>
      <c r="G223" s="677"/>
      <c r="H223" s="677"/>
      <c r="I223" s="677"/>
      <c r="J223" s="677"/>
      <c r="K223" s="677"/>
      <c r="L223" s="677"/>
      <c r="M223" s="677"/>
      <c r="N223" s="677"/>
      <c r="O223" s="677"/>
      <c r="P223" s="677"/>
      <c r="Q223" s="677"/>
      <c r="R223" s="677"/>
      <c r="S223" s="677"/>
      <c r="T223" s="677"/>
      <c r="U223" s="677"/>
      <c r="V223" s="677"/>
      <c r="W223" s="677"/>
      <c r="X223" s="677"/>
      <c r="Y223" s="677"/>
      <c r="Z223" s="677"/>
      <c r="AA223" s="658"/>
      <c r="AB223" s="658"/>
      <c r="AC223" s="658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78">
        <v>4680115880818</v>
      </c>
      <c r="E224" s="679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1"/>
      <c r="R224" s="681"/>
      <c r="S224" s="681"/>
      <c r="T224" s="682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78">
        <v>4680115880801</v>
      </c>
      <c r="E225" s="679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1"/>
      <c r="R225" s="681"/>
      <c r="S225" s="681"/>
      <c r="T225" s="682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701"/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702"/>
      <c r="P226" s="673" t="s">
        <v>80</v>
      </c>
      <c r="Q226" s="674"/>
      <c r="R226" s="674"/>
      <c r="S226" s="674"/>
      <c r="T226" s="674"/>
      <c r="U226" s="674"/>
      <c r="V226" s="675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7"/>
      <c r="B227" s="677"/>
      <c r="C227" s="677"/>
      <c r="D227" s="677"/>
      <c r="E227" s="677"/>
      <c r="F227" s="677"/>
      <c r="G227" s="677"/>
      <c r="H227" s="677"/>
      <c r="I227" s="677"/>
      <c r="J227" s="677"/>
      <c r="K227" s="677"/>
      <c r="L227" s="677"/>
      <c r="M227" s="677"/>
      <c r="N227" s="677"/>
      <c r="O227" s="702"/>
      <c r="P227" s="673" t="s">
        <v>80</v>
      </c>
      <c r="Q227" s="674"/>
      <c r="R227" s="674"/>
      <c r="S227" s="674"/>
      <c r="T227" s="674"/>
      <c r="U227" s="674"/>
      <c r="V227" s="675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689" t="s">
        <v>383</v>
      </c>
      <c r="B228" s="677"/>
      <c r="C228" s="677"/>
      <c r="D228" s="677"/>
      <c r="E228" s="677"/>
      <c r="F228" s="677"/>
      <c r="G228" s="677"/>
      <c r="H228" s="677"/>
      <c r="I228" s="677"/>
      <c r="J228" s="677"/>
      <c r="K228" s="677"/>
      <c r="L228" s="677"/>
      <c r="M228" s="677"/>
      <c r="N228" s="677"/>
      <c r="O228" s="677"/>
      <c r="P228" s="677"/>
      <c r="Q228" s="677"/>
      <c r="R228" s="677"/>
      <c r="S228" s="677"/>
      <c r="T228" s="677"/>
      <c r="U228" s="677"/>
      <c r="V228" s="677"/>
      <c r="W228" s="677"/>
      <c r="X228" s="677"/>
      <c r="Y228" s="677"/>
      <c r="Z228" s="677"/>
      <c r="AA228" s="660"/>
      <c r="AB228" s="660"/>
      <c r="AC228" s="660"/>
    </row>
    <row r="229" spans="1:68" ht="14.25" hidden="1" customHeight="1" x14ac:dyDescent="0.25">
      <c r="A229" s="676" t="s">
        <v>90</v>
      </c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77"/>
      <c r="P229" s="677"/>
      <c r="Q229" s="677"/>
      <c r="R229" s="677"/>
      <c r="S229" s="677"/>
      <c r="T229" s="677"/>
      <c r="U229" s="677"/>
      <c r="V229" s="677"/>
      <c r="W229" s="677"/>
      <c r="X229" s="677"/>
      <c r="Y229" s="677"/>
      <c r="Z229" s="677"/>
      <c r="AA229" s="658"/>
      <c r="AB229" s="658"/>
      <c r="AC229" s="658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8">
        <v>4680115884137</v>
      </c>
      <c r="E230" s="679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99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1"/>
      <c r="R230" s="681"/>
      <c r="S230" s="681"/>
      <c r="T230" s="682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78">
        <v>4680115884137</v>
      </c>
      <c r="E231" s="679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10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1"/>
      <c r="R231" s="681"/>
      <c r="S231" s="681"/>
      <c r="T231" s="682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78">
        <v>4680115884236</v>
      </c>
      <c r="E232" s="679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1"/>
      <c r="R232" s="681"/>
      <c r="S232" s="681"/>
      <c r="T232" s="682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8">
        <v>4680115884175</v>
      </c>
      <c r="E233" s="679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7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1"/>
      <c r="R233" s="681"/>
      <c r="S233" s="681"/>
      <c r="T233" s="682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78">
        <v>4680115884175</v>
      </c>
      <c r="E234" s="679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10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1"/>
      <c r="R234" s="681"/>
      <c r="S234" s="681"/>
      <c r="T234" s="682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78">
        <v>4680115884144</v>
      </c>
      <c r="E235" s="679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1"/>
      <c r="R235" s="681"/>
      <c r="S235" s="681"/>
      <c r="T235" s="682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8">
        <v>4680115884182</v>
      </c>
      <c r="E236" s="679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10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1"/>
      <c r="R236" s="681"/>
      <c r="S236" s="681"/>
      <c r="T236" s="682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78">
        <v>4680115884205</v>
      </c>
      <c r="E237" s="679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10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1"/>
      <c r="R237" s="681"/>
      <c r="S237" s="681"/>
      <c r="T237" s="682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701"/>
      <c r="B238" s="677"/>
      <c r="C238" s="677"/>
      <c r="D238" s="677"/>
      <c r="E238" s="677"/>
      <c r="F238" s="677"/>
      <c r="G238" s="677"/>
      <c r="H238" s="677"/>
      <c r="I238" s="677"/>
      <c r="J238" s="677"/>
      <c r="K238" s="677"/>
      <c r="L238" s="677"/>
      <c r="M238" s="677"/>
      <c r="N238" s="677"/>
      <c r="O238" s="702"/>
      <c r="P238" s="673" t="s">
        <v>80</v>
      </c>
      <c r="Q238" s="674"/>
      <c r="R238" s="674"/>
      <c r="S238" s="674"/>
      <c r="T238" s="674"/>
      <c r="U238" s="674"/>
      <c r="V238" s="675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7"/>
      <c r="B239" s="677"/>
      <c r="C239" s="677"/>
      <c r="D239" s="677"/>
      <c r="E239" s="677"/>
      <c r="F239" s="677"/>
      <c r="G239" s="677"/>
      <c r="H239" s="677"/>
      <c r="I239" s="677"/>
      <c r="J239" s="677"/>
      <c r="K239" s="677"/>
      <c r="L239" s="677"/>
      <c r="M239" s="677"/>
      <c r="N239" s="677"/>
      <c r="O239" s="702"/>
      <c r="P239" s="673" t="s">
        <v>80</v>
      </c>
      <c r="Q239" s="674"/>
      <c r="R239" s="674"/>
      <c r="S239" s="674"/>
      <c r="T239" s="674"/>
      <c r="U239" s="674"/>
      <c r="V239" s="675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76" t="s">
        <v>133</v>
      </c>
      <c r="B240" s="677"/>
      <c r="C240" s="677"/>
      <c r="D240" s="677"/>
      <c r="E240" s="677"/>
      <c r="F240" s="677"/>
      <c r="G240" s="677"/>
      <c r="H240" s="677"/>
      <c r="I240" s="677"/>
      <c r="J240" s="677"/>
      <c r="K240" s="677"/>
      <c r="L240" s="677"/>
      <c r="M240" s="677"/>
      <c r="N240" s="677"/>
      <c r="O240" s="677"/>
      <c r="P240" s="677"/>
      <c r="Q240" s="677"/>
      <c r="R240" s="677"/>
      <c r="S240" s="677"/>
      <c r="T240" s="677"/>
      <c r="U240" s="677"/>
      <c r="V240" s="677"/>
      <c r="W240" s="677"/>
      <c r="X240" s="677"/>
      <c r="Y240" s="677"/>
      <c r="Z240" s="677"/>
      <c r="AA240" s="658"/>
      <c r="AB240" s="658"/>
      <c r="AC240" s="658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8">
        <v>4680115885721</v>
      </c>
      <c r="E241" s="679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799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81"/>
      <c r="R241" s="681"/>
      <c r="S241" s="681"/>
      <c r="T241" s="682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8">
        <v>4680115885981</v>
      </c>
      <c r="E242" s="679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1034" t="s">
        <v>407</v>
      </c>
      <c r="Q242" s="681"/>
      <c r="R242" s="681"/>
      <c r="S242" s="681"/>
      <c r="T242" s="682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701"/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702"/>
      <c r="P243" s="673" t="s">
        <v>80</v>
      </c>
      <c r="Q243" s="674"/>
      <c r="R243" s="674"/>
      <c r="S243" s="674"/>
      <c r="T243" s="674"/>
      <c r="U243" s="674"/>
      <c r="V243" s="675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7"/>
      <c r="B244" s="677"/>
      <c r="C244" s="677"/>
      <c r="D244" s="677"/>
      <c r="E244" s="677"/>
      <c r="F244" s="677"/>
      <c r="G244" s="677"/>
      <c r="H244" s="677"/>
      <c r="I244" s="677"/>
      <c r="J244" s="677"/>
      <c r="K244" s="677"/>
      <c r="L244" s="677"/>
      <c r="M244" s="677"/>
      <c r="N244" s="677"/>
      <c r="O244" s="702"/>
      <c r="P244" s="673" t="s">
        <v>80</v>
      </c>
      <c r="Q244" s="674"/>
      <c r="R244" s="674"/>
      <c r="S244" s="674"/>
      <c r="T244" s="674"/>
      <c r="U244" s="674"/>
      <c r="V244" s="675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76" t="s">
        <v>408</v>
      </c>
      <c r="B245" s="677"/>
      <c r="C245" s="677"/>
      <c r="D245" s="677"/>
      <c r="E245" s="677"/>
      <c r="F245" s="677"/>
      <c r="G245" s="677"/>
      <c r="H245" s="67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7"/>
      <c r="X245" s="677"/>
      <c r="Y245" s="677"/>
      <c r="Z245" s="677"/>
      <c r="AA245" s="658"/>
      <c r="AB245" s="658"/>
      <c r="AC245" s="658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8">
        <v>4680115886803</v>
      </c>
      <c r="E246" s="679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933" t="s">
        <v>411</v>
      </c>
      <c r="Q246" s="681"/>
      <c r="R246" s="681"/>
      <c r="S246" s="681"/>
      <c r="T246" s="682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701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702"/>
      <c r="P247" s="673" t="s">
        <v>80</v>
      </c>
      <c r="Q247" s="674"/>
      <c r="R247" s="674"/>
      <c r="S247" s="674"/>
      <c r="T247" s="674"/>
      <c r="U247" s="674"/>
      <c r="V247" s="675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7"/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702"/>
      <c r="P248" s="673" t="s">
        <v>80</v>
      </c>
      <c r="Q248" s="674"/>
      <c r="R248" s="674"/>
      <c r="S248" s="674"/>
      <c r="T248" s="674"/>
      <c r="U248" s="674"/>
      <c r="V248" s="675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76" t="s">
        <v>413</v>
      </c>
      <c r="B249" s="677"/>
      <c r="C249" s="677"/>
      <c r="D249" s="677"/>
      <c r="E249" s="677"/>
      <c r="F249" s="677"/>
      <c r="G249" s="677"/>
      <c r="H249" s="67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7"/>
      <c r="X249" s="677"/>
      <c r="Y249" s="677"/>
      <c r="Z249" s="677"/>
      <c r="AA249" s="658"/>
      <c r="AB249" s="658"/>
      <c r="AC249" s="658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8">
        <v>4680115886681</v>
      </c>
      <c r="E250" s="679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954" t="s">
        <v>416</v>
      </c>
      <c r="Q250" s="681"/>
      <c r="R250" s="681"/>
      <c r="S250" s="681"/>
      <c r="T250" s="682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701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702"/>
      <c r="P251" s="673" t="s">
        <v>80</v>
      </c>
      <c r="Q251" s="674"/>
      <c r="R251" s="674"/>
      <c r="S251" s="674"/>
      <c r="T251" s="674"/>
      <c r="U251" s="674"/>
      <c r="V251" s="675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7"/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702"/>
      <c r="P252" s="673" t="s">
        <v>80</v>
      </c>
      <c r="Q252" s="674"/>
      <c r="R252" s="674"/>
      <c r="S252" s="674"/>
      <c r="T252" s="674"/>
      <c r="U252" s="674"/>
      <c r="V252" s="675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689" t="s">
        <v>418</v>
      </c>
      <c r="B253" s="677"/>
      <c r="C253" s="677"/>
      <c r="D253" s="677"/>
      <c r="E253" s="677"/>
      <c r="F253" s="677"/>
      <c r="G253" s="677"/>
      <c r="H253" s="67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7"/>
      <c r="X253" s="677"/>
      <c r="Y253" s="677"/>
      <c r="Z253" s="677"/>
      <c r="AA253" s="660"/>
      <c r="AB253" s="660"/>
      <c r="AC253" s="660"/>
    </row>
    <row r="254" spans="1:68" ht="14.25" hidden="1" customHeight="1" x14ac:dyDescent="0.25">
      <c r="A254" s="676" t="s">
        <v>90</v>
      </c>
      <c r="B254" s="677"/>
      <c r="C254" s="677"/>
      <c r="D254" s="677"/>
      <c r="E254" s="677"/>
      <c r="F254" s="677"/>
      <c r="G254" s="677"/>
      <c r="H254" s="677"/>
      <c r="I254" s="677"/>
      <c r="J254" s="677"/>
      <c r="K254" s="677"/>
      <c r="L254" s="677"/>
      <c r="M254" s="677"/>
      <c r="N254" s="677"/>
      <c r="O254" s="677"/>
      <c r="P254" s="677"/>
      <c r="Q254" s="677"/>
      <c r="R254" s="677"/>
      <c r="S254" s="677"/>
      <c r="T254" s="677"/>
      <c r="U254" s="677"/>
      <c r="V254" s="677"/>
      <c r="W254" s="677"/>
      <c r="X254" s="677"/>
      <c r="Y254" s="677"/>
      <c r="Z254" s="677"/>
      <c r="AA254" s="658"/>
      <c r="AB254" s="658"/>
      <c r="AC254" s="658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78">
        <v>4680115885837</v>
      </c>
      <c r="E255" s="679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9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1"/>
      <c r="R255" s="681"/>
      <c r="S255" s="681"/>
      <c r="T255" s="682"/>
      <c r="U255" s="34"/>
      <c r="V255" s="34"/>
      <c r="W255" s="35" t="s">
        <v>69</v>
      </c>
      <c r="X255" s="665">
        <v>110</v>
      </c>
      <c r="Y255" s="666">
        <f t="shared" ref="Y255:Y260" si="42">IFERROR(IF(X255="",0,CEILING((X255/$H255),1)*$H255),"")</f>
        <v>118.80000000000001</v>
      </c>
      <c r="Z255" s="36">
        <f>IFERROR(IF(Y255=0,"",ROUNDUP(Y255/H255,0)*0.01898),"")</f>
        <v>0.20877999999999999</v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114.43055555555554</v>
      </c>
      <c r="BN255" s="64">
        <f t="shared" ref="BN255:BN260" si="44">IFERROR(Y255*I255/H255,"0")</f>
        <v>123.58499999999999</v>
      </c>
      <c r="BO255" s="64">
        <f t="shared" ref="BO255:BO260" si="45">IFERROR(1/J255*(X255/H255),"0")</f>
        <v>0.15914351851851852</v>
      </c>
      <c r="BP255" s="64">
        <f t="shared" ref="BP255:BP260" si="46">IFERROR(1/J255*(Y255/H255),"0")</f>
        <v>0.171875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8">
        <v>4680115885806</v>
      </c>
      <c r="E256" s="679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8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1"/>
      <c r="R256" s="681"/>
      <c r="S256" s="681"/>
      <c r="T256" s="682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78">
        <v>4680115885806</v>
      </c>
      <c r="E257" s="679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8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1"/>
      <c r="R257" s="681"/>
      <c r="S257" s="681"/>
      <c r="T257" s="682"/>
      <c r="U257" s="34"/>
      <c r="V257" s="34"/>
      <c r="W257" s="35" t="s">
        <v>69</v>
      </c>
      <c r="X257" s="665">
        <v>270</v>
      </c>
      <c r="Y257" s="666">
        <f t="shared" si="42"/>
        <v>270</v>
      </c>
      <c r="Z257" s="36">
        <f>IFERROR(IF(Y257=0,"",ROUNDUP(Y257/H257,0)*0.01898),"")</f>
        <v>0.47450000000000003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280.87499999999994</v>
      </c>
      <c r="BN257" s="64">
        <f t="shared" si="44"/>
        <v>280.87499999999994</v>
      </c>
      <c r="BO257" s="64">
        <f t="shared" si="45"/>
        <v>0.390625</v>
      </c>
      <c r="BP257" s="64">
        <f t="shared" si="46"/>
        <v>0.390625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78">
        <v>4680115885851</v>
      </c>
      <c r="E258" s="679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9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1"/>
      <c r="R258" s="681"/>
      <c r="S258" s="681"/>
      <c r="T258" s="682"/>
      <c r="U258" s="34"/>
      <c r="V258" s="34"/>
      <c r="W258" s="35" t="s">
        <v>69</v>
      </c>
      <c r="X258" s="665">
        <v>10</v>
      </c>
      <c r="Y258" s="666">
        <f t="shared" si="42"/>
        <v>10.8</v>
      </c>
      <c r="Z258" s="36">
        <f>IFERROR(IF(Y258=0,"",ROUNDUP(Y258/H258,0)*0.01898),"")</f>
        <v>1.898E-2</v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10.402777777777777</v>
      </c>
      <c r="BN258" s="64">
        <f t="shared" si="44"/>
        <v>11.234999999999999</v>
      </c>
      <c r="BO258" s="64">
        <f t="shared" si="45"/>
        <v>1.4467592592592591E-2</v>
      </c>
      <c r="BP258" s="64">
        <f t="shared" si="46"/>
        <v>1.5625E-2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78">
        <v>4680115885844</v>
      </c>
      <c r="E259" s="679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9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1"/>
      <c r="R259" s="681"/>
      <c r="S259" s="681"/>
      <c r="T259" s="682"/>
      <c r="U259" s="34"/>
      <c r="V259" s="34"/>
      <c r="W259" s="35" t="s">
        <v>69</v>
      </c>
      <c r="X259" s="665">
        <v>30</v>
      </c>
      <c r="Y259" s="666">
        <f t="shared" si="42"/>
        <v>32</v>
      </c>
      <c r="Z259" s="36">
        <f>IFERROR(IF(Y259=0,"",ROUNDUP(Y259/H259,0)*0.00902),"")</f>
        <v>7.2160000000000002E-2</v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31.574999999999999</v>
      </c>
      <c r="BN259" s="64">
        <f t="shared" si="44"/>
        <v>33.68</v>
      </c>
      <c r="BO259" s="64">
        <f t="shared" si="45"/>
        <v>5.6818181818181823E-2</v>
      </c>
      <c r="BP259" s="64">
        <f t="shared" si="46"/>
        <v>6.0606060606060608E-2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8">
        <v>4680115885820</v>
      </c>
      <c r="E260" s="679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1"/>
      <c r="R260" s="681"/>
      <c r="S260" s="681"/>
      <c r="T260" s="682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701"/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702"/>
      <c r="P261" s="673" t="s">
        <v>80</v>
      </c>
      <c r="Q261" s="674"/>
      <c r="R261" s="674"/>
      <c r="S261" s="674"/>
      <c r="T261" s="674"/>
      <c r="U261" s="674"/>
      <c r="V261" s="675"/>
      <c r="W261" s="37" t="s">
        <v>81</v>
      </c>
      <c r="X261" s="667">
        <f>IFERROR(X255/H255,"0")+IFERROR(X256/H256,"0")+IFERROR(X257/H257,"0")+IFERROR(X258/H258,"0")+IFERROR(X259/H259,"0")+IFERROR(X260/H260,"0")</f>
        <v>43.611111111111107</v>
      </c>
      <c r="Y261" s="667">
        <f>IFERROR(Y255/H255,"0")+IFERROR(Y256/H256,"0")+IFERROR(Y257/H257,"0")+IFERROR(Y258/H258,"0")+IFERROR(Y259/H259,"0")+IFERROR(Y260/H260,"0")</f>
        <v>45</v>
      </c>
      <c r="Z261" s="667">
        <f>IFERROR(IF(Z255="",0,Z255),"0")+IFERROR(IF(Z256="",0,Z256),"0")+IFERROR(IF(Z257="",0,Z257),"0")+IFERROR(IF(Z258="",0,Z258),"0")+IFERROR(IF(Z259="",0,Z259),"0")+IFERROR(IF(Z260="",0,Z260),"0")</f>
        <v>0.77442</v>
      </c>
      <c r="AA261" s="668"/>
      <c r="AB261" s="668"/>
      <c r="AC261" s="668"/>
    </row>
    <row r="262" spans="1:68" x14ac:dyDescent="0.2">
      <c r="A262" s="677"/>
      <c r="B262" s="677"/>
      <c r="C262" s="677"/>
      <c r="D262" s="677"/>
      <c r="E262" s="677"/>
      <c r="F262" s="677"/>
      <c r="G262" s="677"/>
      <c r="H262" s="677"/>
      <c r="I262" s="677"/>
      <c r="J262" s="677"/>
      <c r="K262" s="677"/>
      <c r="L262" s="677"/>
      <c r="M262" s="677"/>
      <c r="N262" s="677"/>
      <c r="O262" s="702"/>
      <c r="P262" s="673" t="s">
        <v>80</v>
      </c>
      <c r="Q262" s="674"/>
      <c r="R262" s="674"/>
      <c r="S262" s="674"/>
      <c r="T262" s="674"/>
      <c r="U262" s="674"/>
      <c r="V262" s="675"/>
      <c r="W262" s="37" t="s">
        <v>69</v>
      </c>
      <c r="X262" s="667">
        <f>IFERROR(SUM(X255:X260),"0")</f>
        <v>420</v>
      </c>
      <c r="Y262" s="667">
        <f>IFERROR(SUM(Y255:Y260),"0")</f>
        <v>431.6</v>
      </c>
      <c r="Z262" s="37"/>
      <c r="AA262" s="668"/>
      <c r="AB262" s="668"/>
      <c r="AC262" s="668"/>
    </row>
    <row r="263" spans="1:68" ht="16.5" hidden="1" customHeight="1" x14ac:dyDescent="0.25">
      <c r="A263" s="689" t="s">
        <v>436</v>
      </c>
      <c r="B263" s="677"/>
      <c r="C263" s="677"/>
      <c r="D263" s="677"/>
      <c r="E263" s="677"/>
      <c r="F263" s="677"/>
      <c r="G263" s="677"/>
      <c r="H263" s="67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7"/>
      <c r="X263" s="677"/>
      <c r="Y263" s="677"/>
      <c r="Z263" s="677"/>
      <c r="AA263" s="660"/>
      <c r="AB263" s="660"/>
      <c r="AC263" s="660"/>
    </row>
    <row r="264" spans="1:68" ht="14.25" hidden="1" customHeight="1" x14ac:dyDescent="0.25">
      <c r="A264" s="676" t="s">
        <v>90</v>
      </c>
      <c r="B264" s="677"/>
      <c r="C264" s="677"/>
      <c r="D264" s="677"/>
      <c r="E264" s="677"/>
      <c r="F264" s="677"/>
      <c r="G264" s="677"/>
      <c r="H264" s="677"/>
      <c r="I264" s="677"/>
      <c r="J264" s="677"/>
      <c r="K264" s="677"/>
      <c r="L264" s="677"/>
      <c r="M264" s="677"/>
      <c r="N264" s="677"/>
      <c r="O264" s="677"/>
      <c r="P264" s="677"/>
      <c r="Q264" s="677"/>
      <c r="R264" s="677"/>
      <c r="S264" s="677"/>
      <c r="T264" s="677"/>
      <c r="U264" s="677"/>
      <c r="V264" s="677"/>
      <c r="W264" s="677"/>
      <c r="X264" s="677"/>
      <c r="Y264" s="677"/>
      <c r="Z264" s="677"/>
      <c r="AA264" s="658"/>
      <c r="AB264" s="658"/>
      <c r="AC264" s="658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8">
        <v>4680115885707</v>
      </c>
      <c r="E265" s="679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101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1"/>
      <c r="R265" s="681"/>
      <c r="S265" s="681"/>
      <c r="T265" s="682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701"/>
      <c r="B266" s="677"/>
      <c r="C266" s="677"/>
      <c r="D266" s="677"/>
      <c r="E266" s="677"/>
      <c r="F266" s="677"/>
      <c r="G266" s="677"/>
      <c r="H266" s="677"/>
      <c r="I266" s="677"/>
      <c r="J266" s="677"/>
      <c r="K266" s="677"/>
      <c r="L266" s="677"/>
      <c r="M266" s="677"/>
      <c r="N266" s="677"/>
      <c r="O266" s="702"/>
      <c r="P266" s="673" t="s">
        <v>80</v>
      </c>
      <c r="Q266" s="674"/>
      <c r="R266" s="674"/>
      <c r="S266" s="674"/>
      <c r="T266" s="674"/>
      <c r="U266" s="674"/>
      <c r="V266" s="675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7"/>
      <c r="B267" s="677"/>
      <c r="C267" s="677"/>
      <c r="D267" s="677"/>
      <c r="E267" s="677"/>
      <c r="F267" s="677"/>
      <c r="G267" s="677"/>
      <c r="H267" s="677"/>
      <c r="I267" s="677"/>
      <c r="J267" s="677"/>
      <c r="K267" s="677"/>
      <c r="L267" s="677"/>
      <c r="M267" s="677"/>
      <c r="N267" s="677"/>
      <c r="O267" s="702"/>
      <c r="P267" s="673" t="s">
        <v>80</v>
      </c>
      <c r="Q267" s="674"/>
      <c r="R267" s="674"/>
      <c r="S267" s="674"/>
      <c r="T267" s="674"/>
      <c r="U267" s="674"/>
      <c r="V267" s="675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689" t="s">
        <v>440</v>
      </c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77"/>
      <c r="P268" s="677"/>
      <c r="Q268" s="677"/>
      <c r="R268" s="677"/>
      <c r="S268" s="677"/>
      <c r="T268" s="677"/>
      <c r="U268" s="677"/>
      <c r="V268" s="677"/>
      <c r="W268" s="677"/>
      <c r="X268" s="677"/>
      <c r="Y268" s="677"/>
      <c r="Z268" s="677"/>
      <c r="AA268" s="660"/>
      <c r="AB268" s="660"/>
      <c r="AC268" s="660"/>
    </row>
    <row r="269" spans="1:68" ht="14.25" hidden="1" customHeight="1" x14ac:dyDescent="0.25">
      <c r="A269" s="676" t="s">
        <v>90</v>
      </c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77"/>
      <c r="X269" s="677"/>
      <c r="Y269" s="677"/>
      <c r="Z269" s="677"/>
      <c r="AA269" s="658"/>
      <c r="AB269" s="658"/>
      <c r="AC269" s="658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8">
        <v>4607091383423</v>
      </c>
      <c r="E270" s="679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7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1"/>
      <c r="R270" s="681"/>
      <c r="S270" s="681"/>
      <c r="T270" s="682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8">
        <v>4680115885691</v>
      </c>
      <c r="E271" s="679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101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1"/>
      <c r="R271" s="681"/>
      <c r="S271" s="681"/>
      <c r="T271" s="682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8">
        <v>4680115885660</v>
      </c>
      <c r="E272" s="679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9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1"/>
      <c r="R272" s="681"/>
      <c r="S272" s="681"/>
      <c r="T272" s="682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70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702"/>
      <c r="P273" s="673" t="s">
        <v>80</v>
      </c>
      <c r="Q273" s="674"/>
      <c r="R273" s="674"/>
      <c r="S273" s="674"/>
      <c r="T273" s="674"/>
      <c r="U273" s="674"/>
      <c r="V273" s="675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702"/>
      <c r="P274" s="673" t="s">
        <v>80</v>
      </c>
      <c r="Q274" s="674"/>
      <c r="R274" s="674"/>
      <c r="S274" s="674"/>
      <c r="T274" s="674"/>
      <c r="U274" s="674"/>
      <c r="V274" s="675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689" t="s">
        <v>449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0"/>
      <c r="AB275" s="660"/>
      <c r="AC275" s="660"/>
    </row>
    <row r="276" spans="1:68" ht="14.25" hidden="1" customHeight="1" x14ac:dyDescent="0.25">
      <c r="A276" s="676" t="s">
        <v>64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58"/>
      <c r="AB276" s="658"/>
      <c r="AC276" s="658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8">
        <v>4680115881037</v>
      </c>
      <c r="E277" s="679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923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1"/>
      <c r="R277" s="681"/>
      <c r="S277" s="681"/>
      <c r="T277" s="682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8">
        <v>4680115886186</v>
      </c>
      <c r="E278" s="679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1"/>
      <c r="R278" s="681"/>
      <c r="S278" s="681"/>
      <c r="T278" s="682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78">
        <v>4680115881228</v>
      </c>
      <c r="E279" s="679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8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1"/>
      <c r="R279" s="681"/>
      <c r="S279" s="681"/>
      <c r="T279" s="682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78">
        <v>4680115881211</v>
      </c>
      <c r="E280" s="679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9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1"/>
      <c r="R280" s="681"/>
      <c r="S280" s="681"/>
      <c r="T280" s="682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8">
        <v>4680115881020</v>
      </c>
      <c r="E281" s="679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97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1"/>
      <c r="R281" s="681"/>
      <c r="S281" s="681"/>
      <c r="T281" s="682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701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702"/>
      <c r="P282" s="673" t="s">
        <v>80</v>
      </c>
      <c r="Q282" s="674"/>
      <c r="R282" s="674"/>
      <c r="S282" s="674"/>
      <c r="T282" s="674"/>
      <c r="U282" s="674"/>
      <c r="V282" s="675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7"/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702"/>
      <c r="P283" s="673" t="s">
        <v>80</v>
      </c>
      <c r="Q283" s="674"/>
      <c r="R283" s="674"/>
      <c r="S283" s="674"/>
      <c r="T283" s="674"/>
      <c r="U283" s="674"/>
      <c r="V283" s="675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689" t="s">
        <v>463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0"/>
      <c r="AB284" s="660"/>
      <c r="AC284" s="660"/>
    </row>
    <row r="285" spans="1:68" ht="14.25" hidden="1" customHeight="1" x14ac:dyDescent="0.25">
      <c r="A285" s="676" t="s">
        <v>90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8"/>
      <c r="AB285" s="658"/>
      <c r="AC285" s="658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8">
        <v>4607091389296</v>
      </c>
      <c r="E286" s="679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95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1"/>
      <c r="R286" s="681"/>
      <c r="S286" s="681"/>
      <c r="T286" s="682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701"/>
      <c r="B287" s="677"/>
      <c r="C287" s="677"/>
      <c r="D287" s="677"/>
      <c r="E287" s="677"/>
      <c r="F287" s="677"/>
      <c r="G287" s="677"/>
      <c r="H287" s="677"/>
      <c r="I287" s="677"/>
      <c r="J287" s="677"/>
      <c r="K287" s="677"/>
      <c r="L287" s="677"/>
      <c r="M287" s="677"/>
      <c r="N287" s="677"/>
      <c r="O287" s="702"/>
      <c r="P287" s="673" t="s">
        <v>80</v>
      </c>
      <c r="Q287" s="674"/>
      <c r="R287" s="674"/>
      <c r="S287" s="674"/>
      <c r="T287" s="674"/>
      <c r="U287" s="674"/>
      <c r="V287" s="675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7"/>
      <c r="B288" s="677"/>
      <c r="C288" s="677"/>
      <c r="D288" s="677"/>
      <c r="E288" s="677"/>
      <c r="F288" s="677"/>
      <c r="G288" s="677"/>
      <c r="H288" s="677"/>
      <c r="I288" s="677"/>
      <c r="J288" s="677"/>
      <c r="K288" s="677"/>
      <c r="L288" s="677"/>
      <c r="M288" s="677"/>
      <c r="N288" s="677"/>
      <c r="O288" s="702"/>
      <c r="P288" s="673" t="s">
        <v>80</v>
      </c>
      <c r="Q288" s="674"/>
      <c r="R288" s="674"/>
      <c r="S288" s="674"/>
      <c r="T288" s="674"/>
      <c r="U288" s="674"/>
      <c r="V288" s="675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76" t="s">
        <v>144</v>
      </c>
      <c r="B289" s="677"/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7"/>
      <c r="X289" s="677"/>
      <c r="Y289" s="677"/>
      <c r="Z289" s="677"/>
      <c r="AA289" s="658"/>
      <c r="AB289" s="658"/>
      <c r="AC289" s="658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8">
        <v>4680115880344</v>
      </c>
      <c r="E290" s="679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10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1"/>
      <c r="R290" s="681"/>
      <c r="S290" s="681"/>
      <c r="T290" s="682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701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702"/>
      <c r="P291" s="673" t="s">
        <v>80</v>
      </c>
      <c r="Q291" s="674"/>
      <c r="R291" s="674"/>
      <c r="S291" s="674"/>
      <c r="T291" s="674"/>
      <c r="U291" s="674"/>
      <c r="V291" s="675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7"/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702"/>
      <c r="P292" s="673" t="s">
        <v>80</v>
      </c>
      <c r="Q292" s="674"/>
      <c r="R292" s="674"/>
      <c r="S292" s="674"/>
      <c r="T292" s="674"/>
      <c r="U292" s="674"/>
      <c r="V292" s="675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76" t="s">
        <v>64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58"/>
      <c r="AB293" s="658"/>
      <c r="AC293" s="658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8">
        <v>4680115884618</v>
      </c>
      <c r="E294" s="679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72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1"/>
      <c r="R294" s="681"/>
      <c r="S294" s="681"/>
      <c r="T294" s="682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70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702"/>
      <c r="P295" s="673" t="s">
        <v>80</v>
      </c>
      <c r="Q295" s="674"/>
      <c r="R295" s="674"/>
      <c r="S295" s="674"/>
      <c r="T295" s="674"/>
      <c r="U295" s="674"/>
      <c r="V295" s="675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702"/>
      <c r="P296" s="673" t="s">
        <v>80</v>
      </c>
      <c r="Q296" s="674"/>
      <c r="R296" s="674"/>
      <c r="S296" s="674"/>
      <c r="T296" s="674"/>
      <c r="U296" s="674"/>
      <c r="V296" s="675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689" t="s">
        <v>473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0"/>
      <c r="AB297" s="660"/>
      <c r="AC297" s="660"/>
    </row>
    <row r="298" spans="1:68" ht="14.25" hidden="1" customHeight="1" x14ac:dyDescent="0.25">
      <c r="A298" s="676" t="s">
        <v>64</v>
      </c>
      <c r="B298" s="677"/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/>
      <c r="AA298" s="658"/>
      <c r="AB298" s="658"/>
      <c r="AC298" s="658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8">
        <v>4680115880511</v>
      </c>
      <c r="E299" s="679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8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1"/>
      <c r="R299" s="681"/>
      <c r="S299" s="681"/>
      <c r="T299" s="682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701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702"/>
      <c r="P300" s="673" t="s">
        <v>80</v>
      </c>
      <c r="Q300" s="674"/>
      <c r="R300" s="674"/>
      <c r="S300" s="674"/>
      <c r="T300" s="674"/>
      <c r="U300" s="674"/>
      <c r="V300" s="675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7"/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702"/>
      <c r="P301" s="673" t="s">
        <v>80</v>
      </c>
      <c r="Q301" s="674"/>
      <c r="R301" s="674"/>
      <c r="S301" s="674"/>
      <c r="T301" s="674"/>
      <c r="U301" s="674"/>
      <c r="V301" s="675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689" t="s">
        <v>477</v>
      </c>
      <c r="B302" s="677"/>
      <c r="C302" s="677"/>
      <c r="D302" s="677"/>
      <c r="E302" s="677"/>
      <c r="F302" s="677"/>
      <c r="G302" s="677"/>
      <c r="H302" s="677"/>
      <c r="I302" s="677"/>
      <c r="J302" s="677"/>
      <c r="K302" s="677"/>
      <c r="L302" s="677"/>
      <c r="M302" s="677"/>
      <c r="N302" s="677"/>
      <c r="O302" s="677"/>
      <c r="P302" s="677"/>
      <c r="Q302" s="677"/>
      <c r="R302" s="677"/>
      <c r="S302" s="677"/>
      <c r="T302" s="677"/>
      <c r="U302" s="677"/>
      <c r="V302" s="677"/>
      <c r="W302" s="677"/>
      <c r="X302" s="677"/>
      <c r="Y302" s="677"/>
      <c r="Z302" s="677"/>
      <c r="AA302" s="660"/>
      <c r="AB302" s="660"/>
      <c r="AC302" s="660"/>
    </row>
    <row r="303" spans="1:68" ht="14.25" hidden="1" customHeight="1" x14ac:dyDescent="0.25">
      <c r="A303" s="676" t="s">
        <v>90</v>
      </c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77"/>
      <c r="P303" s="677"/>
      <c r="Q303" s="677"/>
      <c r="R303" s="677"/>
      <c r="S303" s="677"/>
      <c r="T303" s="677"/>
      <c r="U303" s="677"/>
      <c r="V303" s="677"/>
      <c r="W303" s="677"/>
      <c r="X303" s="677"/>
      <c r="Y303" s="677"/>
      <c r="Z303" s="677"/>
      <c r="AA303" s="658"/>
      <c r="AB303" s="658"/>
      <c r="AC303" s="658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8">
        <v>4680115883413</v>
      </c>
      <c r="E304" s="679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7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1"/>
      <c r="R304" s="681"/>
      <c r="S304" s="681"/>
      <c r="T304" s="682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701"/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702"/>
      <c r="P305" s="673" t="s">
        <v>80</v>
      </c>
      <c r="Q305" s="674"/>
      <c r="R305" s="674"/>
      <c r="S305" s="674"/>
      <c r="T305" s="674"/>
      <c r="U305" s="674"/>
      <c r="V305" s="675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7"/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702"/>
      <c r="P306" s="673" t="s">
        <v>80</v>
      </c>
      <c r="Q306" s="674"/>
      <c r="R306" s="674"/>
      <c r="S306" s="674"/>
      <c r="T306" s="674"/>
      <c r="U306" s="674"/>
      <c r="V306" s="675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76" t="s">
        <v>144</v>
      </c>
      <c r="B307" s="677"/>
      <c r="C307" s="677"/>
      <c r="D307" s="677"/>
      <c r="E307" s="677"/>
      <c r="F307" s="677"/>
      <c r="G307" s="677"/>
      <c r="H307" s="677"/>
      <c r="I307" s="677"/>
      <c r="J307" s="677"/>
      <c r="K307" s="677"/>
      <c r="L307" s="677"/>
      <c r="M307" s="677"/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/>
      <c r="AA307" s="658"/>
      <c r="AB307" s="658"/>
      <c r="AC307" s="658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8">
        <v>4607091389845</v>
      </c>
      <c r="E308" s="679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92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1"/>
      <c r="R308" s="681"/>
      <c r="S308" s="681"/>
      <c r="T308" s="682"/>
      <c r="U308" s="34"/>
      <c r="V308" s="34"/>
      <c r="W308" s="35" t="s">
        <v>69</v>
      </c>
      <c r="X308" s="665">
        <v>10.5</v>
      </c>
      <c r="Y308" s="666">
        <f>IFERROR(IF(X308="",0,CEILING((X308/$H308),1)*$H308),"")</f>
        <v>10.5</v>
      </c>
      <c r="Z308" s="36">
        <f>IFERROR(IF(Y308=0,"",ROUNDUP(Y308/H308,0)*0.00502),"")</f>
        <v>2.5100000000000001E-2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11</v>
      </c>
      <c r="BN308" s="64">
        <f>IFERROR(Y308*I308/H308,"0")</f>
        <v>11</v>
      </c>
      <c r="BO308" s="64">
        <f>IFERROR(1/J308*(X308/H308),"0")</f>
        <v>2.1367521367521368E-2</v>
      </c>
      <c r="BP308" s="64">
        <f>IFERROR(1/J308*(Y308/H308),"0")</f>
        <v>2.1367521367521368E-2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8">
        <v>4680115882881</v>
      </c>
      <c r="E309" s="679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1"/>
      <c r="R309" s="681"/>
      <c r="S309" s="681"/>
      <c r="T309" s="682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701"/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702"/>
      <c r="P310" s="673" t="s">
        <v>80</v>
      </c>
      <c r="Q310" s="674"/>
      <c r="R310" s="674"/>
      <c r="S310" s="674"/>
      <c r="T310" s="674"/>
      <c r="U310" s="674"/>
      <c r="V310" s="675"/>
      <c r="W310" s="37" t="s">
        <v>81</v>
      </c>
      <c r="X310" s="667">
        <f>IFERROR(X308/H308,"0")+IFERROR(X309/H309,"0")</f>
        <v>5</v>
      </c>
      <c r="Y310" s="667">
        <f>IFERROR(Y308/H308,"0")+IFERROR(Y309/H309,"0")</f>
        <v>5</v>
      </c>
      <c r="Z310" s="667">
        <f>IFERROR(IF(Z308="",0,Z308),"0")+IFERROR(IF(Z309="",0,Z309),"0")</f>
        <v>2.5100000000000001E-2</v>
      </c>
      <c r="AA310" s="668"/>
      <c r="AB310" s="668"/>
      <c r="AC310" s="668"/>
    </row>
    <row r="311" spans="1:68" x14ac:dyDescent="0.2">
      <c r="A311" s="677"/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702"/>
      <c r="P311" s="673" t="s">
        <v>80</v>
      </c>
      <c r="Q311" s="674"/>
      <c r="R311" s="674"/>
      <c r="S311" s="674"/>
      <c r="T311" s="674"/>
      <c r="U311" s="674"/>
      <c r="V311" s="675"/>
      <c r="W311" s="37" t="s">
        <v>69</v>
      </c>
      <c r="X311" s="667">
        <f>IFERROR(SUM(X308:X309),"0")</f>
        <v>10.5</v>
      </c>
      <c r="Y311" s="667">
        <f>IFERROR(SUM(Y308:Y309),"0")</f>
        <v>10.5</v>
      </c>
      <c r="Z311" s="37"/>
      <c r="AA311" s="668"/>
      <c r="AB311" s="668"/>
      <c r="AC311" s="668"/>
    </row>
    <row r="312" spans="1:68" ht="16.5" hidden="1" customHeight="1" x14ac:dyDescent="0.25">
      <c r="A312" s="689" t="s">
        <v>485</v>
      </c>
      <c r="B312" s="677"/>
      <c r="C312" s="677"/>
      <c r="D312" s="677"/>
      <c r="E312" s="677"/>
      <c r="F312" s="677"/>
      <c r="G312" s="677"/>
      <c r="H312" s="677"/>
      <c r="I312" s="677"/>
      <c r="J312" s="677"/>
      <c r="K312" s="677"/>
      <c r="L312" s="677"/>
      <c r="M312" s="677"/>
      <c r="N312" s="677"/>
      <c r="O312" s="677"/>
      <c r="P312" s="677"/>
      <c r="Q312" s="677"/>
      <c r="R312" s="677"/>
      <c r="S312" s="677"/>
      <c r="T312" s="677"/>
      <c r="U312" s="677"/>
      <c r="V312" s="677"/>
      <c r="W312" s="677"/>
      <c r="X312" s="677"/>
      <c r="Y312" s="677"/>
      <c r="Z312" s="677"/>
      <c r="AA312" s="660"/>
      <c r="AB312" s="660"/>
      <c r="AC312" s="660"/>
    </row>
    <row r="313" spans="1:68" ht="14.25" hidden="1" customHeight="1" x14ac:dyDescent="0.25">
      <c r="A313" s="676" t="s">
        <v>90</v>
      </c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77"/>
      <c r="P313" s="677"/>
      <c r="Q313" s="677"/>
      <c r="R313" s="677"/>
      <c r="S313" s="677"/>
      <c r="T313" s="677"/>
      <c r="U313" s="677"/>
      <c r="V313" s="677"/>
      <c r="W313" s="677"/>
      <c r="X313" s="677"/>
      <c r="Y313" s="677"/>
      <c r="Z313" s="677"/>
      <c r="AA313" s="658"/>
      <c r="AB313" s="658"/>
      <c r="AC313" s="658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8">
        <v>4680115883703</v>
      </c>
      <c r="E314" s="679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83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1"/>
      <c r="R314" s="681"/>
      <c r="S314" s="681"/>
      <c r="T314" s="682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701"/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702"/>
      <c r="P315" s="673" t="s">
        <v>80</v>
      </c>
      <c r="Q315" s="674"/>
      <c r="R315" s="674"/>
      <c r="S315" s="674"/>
      <c r="T315" s="674"/>
      <c r="U315" s="674"/>
      <c r="V315" s="675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7"/>
      <c r="B316" s="677"/>
      <c r="C316" s="677"/>
      <c r="D316" s="677"/>
      <c r="E316" s="677"/>
      <c r="F316" s="677"/>
      <c r="G316" s="677"/>
      <c r="H316" s="677"/>
      <c r="I316" s="677"/>
      <c r="J316" s="677"/>
      <c r="K316" s="677"/>
      <c r="L316" s="677"/>
      <c r="M316" s="677"/>
      <c r="N316" s="677"/>
      <c r="O316" s="702"/>
      <c r="P316" s="673" t="s">
        <v>80</v>
      </c>
      <c r="Q316" s="674"/>
      <c r="R316" s="674"/>
      <c r="S316" s="674"/>
      <c r="T316" s="674"/>
      <c r="U316" s="674"/>
      <c r="V316" s="675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689" t="s">
        <v>490</v>
      </c>
      <c r="B317" s="677"/>
      <c r="C317" s="677"/>
      <c r="D317" s="677"/>
      <c r="E317" s="677"/>
      <c r="F317" s="677"/>
      <c r="G317" s="677"/>
      <c r="H317" s="677"/>
      <c r="I317" s="677"/>
      <c r="J317" s="677"/>
      <c r="K317" s="677"/>
      <c r="L317" s="677"/>
      <c r="M317" s="677"/>
      <c r="N317" s="677"/>
      <c r="O317" s="677"/>
      <c r="P317" s="677"/>
      <c r="Q317" s="677"/>
      <c r="R317" s="677"/>
      <c r="S317" s="677"/>
      <c r="T317" s="677"/>
      <c r="U317" s="677"/>
      <c r="V317" s="677"/>
      <c r="W317" s="677"/>
      <c r="X317" s="677"/>
      <c r="Y317" s="677"/>
      <c r="Z317" s="677"/>
      <c r="AA317" s="660"/>
      <c r="AB317" s="660"/>
      <c r="AC317" s="660"/>
    </row>
    <row r="318" spans="1:68" ht="14.25" hidden="1" customHeight="1" x14ac:dyDescent="0.25">
      <c r="A318" s="676" t="s">
        <v>90</v>
      </c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77"/>
      <c r="P318" s="677"/>
      <c r="Q318" s="677"/>
      <c r="R318" s="677"/>
      <c r="S318" s="677"/>
      <c r="T318" s="677"/>
      <c r="U318" s="677"/>
      <c r="V318" s="677"/>
      <c r="W318" s="677"/>
      <c r="X318" s="677"/>
      <c r="Y318" s="677"/>
      <c r="Z318" s="677"/>
      <c r="AA318" s="658"/>
      <c r="AB318" s="658"/>
      <c r="AC318" s="658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78">
        <v>4680115885615</v>
      </c>
      <c r="E319" s="679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72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1"/>
      <c r="R319" s="681"/>
      <c r="S319" s="681"/>
      <c r="T319" s="682"/>
      <c r="U319" s="34"/>
      <c r="V319" s="34"/>
      <c r="W319" s="35" t="s">
        <v>69</v>
      </c>
      <c r="X319" s="665">
        <v>220</v>
      </c>
      <c r="Y319" s="666">
        <f t="shared" ref="Y319:Y324" si="47">IFERROR(IF(X319="",0,CEILING((X319/$H319),1)*$H319),"")</f>
        <v>226.8</v>
      </c>
      <c r="Z319" s="36">
        <f>IFERROR(IF(Y319=0,"",ROUNDUP(Y319/H319,0)*0.01898),"")</f>
        <v>0.39857999999999999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228.86111111111109</v>
      </c>
      <c r="BN319" s="64">
        <f t="shared" ref="BN319:BN324" si="49">IFERROR(Y319*I319/H319,"0")</f>
        <v>235.93499999999997</v>
      </c>
      <c r="BO319" s="64">
        <f t="shared" ref="BO319:BO324" si="50">IFERROR(1/J319*(X319/H319),"0")</f>
        <v>0.31828703703703703</v>
      </c>
      <c r="BP319" s="64">
        <f t="shared" ref="BP319:BP324" si="51">IFERROR(1/J319*(Y319/H319),"0")</f>
        <v>0.328125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8">
        <v>4680115885554</v>
      </c>
      <c r="E320" s="679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82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1"/>
      <c r="R320" s="681"/>
      <c r="S320" s="681"/>
      <c r="T320" s="682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78">
        <v>4680115885554</v>
      </c>
      <c r="E321" s="679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7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1"/>
      <c r="R321" s="681"/>
      <c r="S321" s="681"/>
      <c r="T321" s="682"/>
      <c r="U321" s="34"/>
      <c r="V321" s="34"/>
      <c r="W321" s="35" t="s">
        <v>69</v>
      </c>
      <c r="X321" s="665">
        <v>820</v>
      </c>
      <c r="Y321" s="666">
        <f t="shared" si="47"/>
        <v>820.80000000000007</v>
      </c>
      <c r="Z321" s="36">
        <f>IFERROR(IF(Y321=0,"",ROUNDUP(Y321/H321,0)*0.01898),"")</f>
        <v>1.44248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853.0277777777776</v>
      </c>
      <c r="BN321" s="64">
        <f t="shared" si="49"/>
        <v>853.8599999999999</v>
      </c>
      <c r="BO321" s="64">
        <f t="shared" si="50"/>
        <v>1.1863425925925926</v>
      </c>
      <c r="BP321" s="64">
        <f t="shared" si="51"/>
        <v>1.1875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78">
        <v>4680115885646</v>
      </c>
      <c r="E322" s="679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1"/>
      <c r="R322" s="681"/>
      <c r="S322" s="681"/>
      <c r="T322" s="682"/>
      <c r="U322" s="34"/>
      <c r="V322" s="34"/>
      <c r="W322" s="35" t="s">
        <v>69</v>
      </c>
      <c r="X322" s="665">
        <v>180</v>
      </c>
      <c r="Y322" s="666">
        <f t="shared" si="47"/>
        <v>183.60000000000002</v>
      </c>
      <c r="Z322" s="36">
        <f>IFERROR(IF(Y322=0,"",ROUNDUP(Y322/H322,0)*0.01898),"")</f>
        <v>0.32266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187.24999999999997</v>
      </c>
      <c r="BN322" s="64">
        <f t="shared" si="49"/>
        <v>190.995</v>
      </c>
      <c r="BO322" s="64">
        <f t="shared" si="50"/>
        <v>0.26041666666666663</v>
      </c>
      <c r="BP322" s="64">
        <f t="shared" si="51"/>
        <v>0.265625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78">
        <v>4680115885622</v>
      </c>
      <c r="E323" s="679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1"/>
      <c r="R323" s="681"/>
      <c r="S323" s="681"/>
      <c r="T323" s="682"/>
      <c r="U323" s="34"/>
      <c r="V323" s="34"/>
      <c r="W323" s="35" t="s">
        <v>69</v>
      </c>
      <c r="X323" s="665">
        <v>56</v>
      </c>
      <c r="Y323" s="666">
        <f t="shared" si="47"/>
        <v>56</v>
      </c>
      <c r="Z323" s="36">
        <f>IFERROR(IF(Y323=0,"",ROUNDUP(Y323/H323,0)*0.00902),"")</f>
        <v>0.12628</v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58.94</v>
      </c>
      <c r="BN323" s="64">
        <f t="shared" si="49"/>
        <v>58.94</v>
      </c>
      <c r="BO323" s="64">
        <f t="shared" si="50"/>
        <v>0.10606060606060606</v>
      </c>
      <c r="BP323" s="64">
        <f t="shared" si="51"/>
        <v>0.10606060606060606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78">
        <v>4680115885608</v>
      </c>
      <c r="E324" s="679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1"/>
      <c r="R324" s="681"/>
      <c r="S324" s="681"/>
      <c r="T324" s="682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701"/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702"/>
      <c r="P325" s="673" t="s">
        <v>80</v>
      </c>
      <c r="Q325" s="674"/>
      <c r="R325" s="674"/>
      <c r="S325" s="674"/>
      <c r="T325" s="674"/>
      <c r="U325" s="674"/>
      <c r="V325" s="675"/>
      <c r="W325" s="37" t="s">
        <v>81</v>
      </c>
      <c r="X325" s="667">
        <f>IFERROR(X319/H319,"0")+IFERROR(X320/H320,"0")+IFERROR(X321/H321,"0")+IFERROR(X322/H322,"0")+IFERROR(X323/H323,"0")+IFERROR(X324/H324,"0")</f>
        <v>126.96296296296296</v>
      </c>
      <c r="Y325" s="667">
        <f>IFERROR(Y319/H319,"0")+IFERROR(Y320/H320,"0")+IFERROR(Y321/H321,"0")+IFERROR(Y322/H322,"0")+IFERROR(Y323/H323,"0")+IFERROR(Y324/H324,"0")</f>
        <v>128</v>
      </c>
      <c r="Z325" s="667">
        <f>IFERROR(IF(Z319="",0,Z319),"0")+IFERROR(IF(Z320="",0,Z320),"0")+IFERROR(IF(Z321="",0,Z321),"0")+IFERROR(IF(Z322="",0,Z322),"0")+IFERROR(IF(Z323="",0,Z323),"0")+IFERROR(IF(Z324="",0,Z324),"0")</f>
        <v>2.29</v>
      </c>
      <c r="AA325" s="668"/>
      <c r="AB325" s="668"/>
      <c r="AC325" s="668"/>
    </row>
    <row r="326" spans="1:68" x14ac:dyDescent="0.2">
      <c r="A326" s="677"/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702"/>
      <c r="P326" s="673" t="s">
        <v>80</v>
      </c>
      <c r="Q326" s="674"/>
      <c r="R326" s="674"/>
      <c r="S326" s="674"/>
      <c r="T326" s="674"/>
      <c r="U326" s="674"/>
      <c r="V326" s="675"/>
      <c r="W326" s="37" t="s">
        <v>69</v>
      </c>
      <c r="X326" s="667">
        <f>IFERROR(SUM(X319:X324),"0")</f>
        <v>1276</v>
      </c>
      <c r="Y326" s="667">
        <f>IFERROR(SUM(Y319:Y324),"0")</f>
        <v>1287.2000000000003</v>
      </c>
      <c r="Z326" s="37"/>
      <c r="AA326" s="668"/>
      <c r="AB326" s="668"/>
      <c r="AC326" s="668"/>
    </row>
    <row r="327" spans="1:68" ht="14.25" hidden="1" customHeight="1" x14ac:dyDescent="0.25">
      <c r="A327" s="676" t="s">
        <v>144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8"/>
      <c r="AB327" s="658"/>
      <c r="AC327" s="658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78">
        <v>4607091387193</v>
      </c>
      <c r="E328" s="679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10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1"/>
      <c r="R328" s="681"/>
      <c r="S328" s="681"/>
      <c r="T328" s="682"/>
      <c r="U328" s="34"/>
      <c r="V328" s="34"/>
      <c r="W328" s="35" t="s">
        <v>69</v>
      </c>
      <c r="X328" s="665">
        <v>110</v>
      </c>
      <c r="Y328" s="666">
        <f>IFERROR(IF(X328="",0,CEILING((X328/$H328),1)*$H328),"")</f>
        <v>113.4</v>
      </c>
      <c r="Z328" s="36">
        <f>IFERROR(IF(Y328=0,"",ROUNDUP(Y328/H328,0)*0.00902),"")</f>
        <v>0.24354000000000001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117.07142857142857</v>
      </c>
      <c r="BN328" s="64">
        <f>IFERROR(Y328*I328/H328,"0")</f>
        <v>120.69</v>
      </c>
      <c r="BO328" s="64">
        <f>IFERROR(1/J328*(X328/H328),"0")</f>
        <v>0.1984126984126984</v>
      </c>
      <c r="BP328" s="64">
        <f>IFERROR(1/J328*(Y328/H328),"0")</f>
        <v>0.20454545454545456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78">
        <v>4607091387230</v>
      </c>
      <c r="E329" s="679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10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1"/>
      <c r="R329" s="681"/>
      <c r="S329" s="681"/>
      <c r="T329" s="682"/>
      <c r="U329" s="34"/>
      <c r="V329" s="34"/>
      <c r="W329" s="35" t="s">
        <v>69</v>
      </c>
      <c r="X329" s="665">
        <v>352</v>
      </c>
      <c r="Y329" s="666">
        <f>IFERROR(IF(X329="",0,CEILING((X329/$H329),1)*$H329),"")</f>
        <v>352.8</v>
      </c>
      <c r="Z329" s="36">
        <f>IFERROR(IF(Y329=0,"",ROUNDUP(Y329/H329,0)*0.00902),"")</f>
        <v>0.75768000000000002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374.62857142857138</v>
      </c>
      <c r="BN329" s="64">
        <f>IFERROR(Y329*I329/H329,"0")</f>
        <v>375.48</v>
      </c>
      <c r="BO329" s="64">
        <f>IFERROR(1/J329*(X329/H329),"0")</f>
        <v>0.634920634920635</v>
      </c>
      <c r="BP329" s="64">
        <f>IFERROR(1/J329*(Y329/H329),"0")</f>
        <v>0.63636363636363635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78">
        <v>4607091387292</v>
      </c>
      <c r="E330" s="679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1"/>
      <c r="R330" s="681"/>
      <c r="S330" s="681"/>
      <c r="T330" s="682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78">
        <v>4607091387285</v>
      </c>
      <c r="E331" s="679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9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1"/>
      <c r="R331" s="681"/>
      <c r="S331" s="681"/>
      <c r="T331" s="682"/>
      <c r="U331" s="34"/>
      <c r="V331" s="34"/>
      <c r="W331" s="35" t="s">
        <v>69</v>
      </c>
      <c r="X331" s="665">
        <v>58.8</v>
      </c>
      <c r="Y331" s="666">
        <f>IFERROR(IF(X331="",0,CEILING((X331/$H331),1)*$H331),"")</f>
        <v>58.800000000000004</v>
      </c>
      <c r="Z331" s="36">
        <f>IFERROR(IF(Y331=0,"",ROUNDUP(Y331/H331,0)*0.00502),"")</f>
        <v>0.14056000000000002</v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62.44</v>
      </c>
      <c r="BN331" s="64">
        <f>IFERROR(Y331*I331/H331,"0")</f>
        <v>62.44</v>
      </c>
      <c r="BO331" s="64">
        <f>IFERROR(1/J331*(X331/H331),"0")</f>
        <v>0.11965811965811965</v>
      </c>
      <c r="BP331" s="64">
        <f>IFERROR(1/J331*(Y331/H331),"0")</f>
        <v>0.11965811965811968</v>
      </c>
    </row>
    <row r="332" spans="1:68" x14ac:dyDescent="0.2">
      <c r="A332" s="701"/>
      <c r="B332" s="677"/>
      <c r="C332" s="677"/>
      <c r="D332" s="677"/>
      <c r="E332" s="677"/>
      <c r="F332" s="677"/>
      <c r="G332" s="677"/>
      <c r="H332" s="677"/>
      <c r="I332" s="677"/>
      <c r="J332" s="677"/>
      <c r="K332" s="677"/>
      <c r="L332" s="677"/>
      <c r="M332" s="677"/>
      <c r="N332" s="677"/>
      <c r="O332" s="702"/>
      <c r="P332" s="673" t="s">
        <v>80</v>
      </c>
      <c r="Q332" s="674"/>
      <c r="R332" s="674"/>
      <c r="S332" s="674"/>
      <c r="T332" s="674"/>
      <c r="U332" s="674"/>
      <c r="V332" s="675"/>
      <c r="W332" s="37" t="s">
        <v>81</v>
      </c>
      <c r="X332" s="667">
        <f>IFERROR(X328/H328,"0")+IFERROR(X329/H329,"0")+IFERROR(X330/H330,"0")+IFERROR(X331/H331,"0")</f>
        <v>138</v>
      </c>
      <c r="Y332" s="667">
        <f>IFERROR(Y328/H328,"0")+IFERROR(Y329/H329,"0")+IFERROR(Y330/H330,"0")+IFERROR(Y331/H331,"0")</f>
        <v>139</v>
      </c>
      <c r="Z332" s="667">
        <f>IFERROR(IF(Z328="",0,Z328),"0")+IFERROR(IF(Z329="",0,Z329),"0")+IFERROR(IF(Z330="",0,Z330),"0")+IFERROR(IF(Z331="",0,Z331),"0")</f>
        <v>1.14178</v>
      </c>
      <c r="AA332" s="668"/>
      <c r="AB332" s="668"/>
      <c r="AC332" s="668"/>
    </row>
    <row r="333" spans="1:68" x14ac:dyDescent="0.2">
      <c r="A333" s="677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702"/>
      <c r="P333" s="673" t="s">
        <v>80</v>
      </c>
      <c r="Q333" s="674"/>
      <c r="R333" s="674"/>
      <c r="S333" s="674"/>
      <c r="T333" s="674"/>
      <c r="U333" s="674"/>
      <c r="V333" s="675"/>
      <c r="W333" s="37" t="s">
        <v>69</v>
      </c>
      <c r="X333" s="667">
        <f>IFERROR(SUM(X328:X331),"0")</f>
        <v>520.79999999999995</v>
      </c>
      <c r="Y333" s="667">
        <f>IFERROR(SUM(Y328:Y331),"0")</f>
        <v>525</v>
      </c>
      <c r="Z333" s="37"/>
      <c r="AA333" s="668"/>
      <c r="AB333" s="668"/>
      <c r="AC333" s="668"/>
    </row>
    <row r="334" spans="1:68" ht="14.25" hidden="1" customHeight="1" x14ac:dyDescent="0.25">
      <c r="A334" s="676" t="s">
        <v>64</v>
      </c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77"/>
      <c r="P334" s="677"/>
      <c r="Q334" s="677"/>
      <c r="R334" s="677"/>
      <c r="S334" s="677"/>
      <c r="T334" s="677"/>
      <c r="U334" s="677"/>
      <c r="V334" s="677"/>
      <c r="W334" s="677"/>
      <c r="X334" s="677"/>
      <c r="Y334" s="677"/>
      <c r="Z334" s="677"/>
      <c r="AA334" s="658"/>
      <c r="AB334" s="658"/>
      <c r="AC334" s="658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78">
        <v>4607091387766</v>
      </c>
      <c r="E335" s="679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83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1"/>
      <c r="R335" s="681"/>
      <c r="S335" s="681"/>
      <c r="T335" s="682"/>
      <c r="U335" s="34"/>
      <c r="V335" s="34"/>
      <c r="W335" s="35" t="s">
        <v>69</v>
      </c>
      <c r="X335" s="665">
        <v>3600</v>
      </c>
      <c r="Y335" s="666">
        <f>IFERROR(IF(X335="",0,CEILING((X335/$H335),1)*$H335),"")</f>
        <v>3603.6</v>
      </c>
      <c r="Z335" s="36">
        <f>IFERROR(IF(Y335=0,"",ROUNDUP(Y335/H335,0)*0.01898),"")</f>
        <v>8.7687600000000003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3836.7692307692314</v>
      </c>
      <c r="BN335" s="64">
        <f>IFERROR(Y335*I335/H335,"0")</f>
        <v>3840.6060000000002</v>
      </c>
      <c r="BO335" s="64">
        <f>IFERROR(1/J335*(X335/H335),"0")</f>
        <v>7.2115384615384617</v>
      </c>
      <c r="BP335" s="64">
        <f>IFERROR(1/J335*(Y335/H335),"0")</f>
        <v>7.21875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78">
        <v>4607091387957</v>
      </c>
      <c r="E336" s="679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76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1"/>
      <c r="R336" s="681"/>
      <c r="S336" s="681"/>
      <c r="T336" s="682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78">
        <v>4607091387964</v>
      </c>
      <c r="E337" s="679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9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1"/>
      <c r="R337" s="681"/>
      <c r="S337" s="681"/>
      <c r="T337" s="682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78">
        <v>4680115884588</v>
      </c>
      <c r="E338" s="679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1"/>
      <c r="R338" s="681"/>
      <c r="S338" s="681"/>
      <c r="T338" s="682"/>
      <c r="U338" s="34"/>
      <c r="V338" s="34"/>
      <c r="W338" s="35" t="s">
        <v>69</v>
      </c>
      <c r="X338" s="665">
        <v>21.6</v>
      </c>
      <c r="Y338" s="666">
        <f>IFERROR(IF(X338="",0,CEILING((X338/$H338),1)*$H338),"")</f>
        <v>24</v>
      </c>
      <c r="Z338" s="36">
        <f>IFERROR(IF(Y338=0,"",ROUNDUP(Y338/H338,0)*0.00651),"")</f>
        <v>5.2080000000000001E-2</v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23.371200000000002</v>
      </c>
      <c r="BN338" s="64">
        <f>IFERROR(Y338*I338/H338,"0")</f>
        <v>25.968</v>
      </c>
      <c r="BO338" s="64">
        <f>IFERROR(1/J338*(X338/H338),"0")</f>
        <v>3.9560439560439566E-2</v>
      </c>
      <c r="BP338" s="64">
        <f>IFERROR(1/J338*(Y338/H338),"0")</f>
        <v>4.3956043956043959E-2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78">
        <v>4607091387513</v>
      </c>
      <c r="E339" s="679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99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1"/>
      <c r="R339" s="681"/>
      <c r="S339" s="681"/>
      <c r="T339" s="682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70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702"/>
      <c r="P340" s="673" t="s">
        <v>80</v>
      </c>
      <c r="Q340" s="674"/>
      <c r="R340" s="674"/>
      <c r="S340" s="674"/>
      <c r="T340" s="674"/>
      <c r="U340" s="674"/>
      <c r="V340" s="675"/>
      <c r="W340" s="37" t="s">
        <v>81</v>
      </c>
      <c r="X340" s="667">
        <f>IFERROR(X335/H335,"0")+IFERROR(X336/H336,"0")+IFERROR(X337/H337,"0")+IFERROR(X338/H338,"0")+IFERROR(X339/H339,"0")</f>
        <v>468.73846153846154</v>
      </c>
      <c r="Y340" s="667">
        <f>IFERROR(Y335/H335,"0")+IFERROR(Y336/H336,"0")+IFERROR(Y337/H337,"0")+IFERROR(Y338/H338,"0")+IFERROR(Y339/H339,"0")</f>
        <v>470</v>
      </c>
      <c r="Z340" s="667">
        <f>IFERROR(IF(Z335="",0,Z335),"0")+IFERROR(IF(Z336="",0,Z336),"0")+IFERROR(IF(Z337="",0,Z337),"0")+IFERROR(IF(Z338="",0,Z338),"0")+IFERROR(IF(Z339="",0,Z339),"0")</f>
        <v>8.8208400000000005</v>
      </c>
      <c r="AA340" s="668"/>
      <c r="AB340" s="668"/>
      <c r="AC340" s="668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702"/>
      <c r="P341" s="673" t="s">
        <v>80</v>
      </c>
      <c r="Q341" s="674"/>
      <c r="R341" s="674"/>
      <c r="S341" s="674"/>
      <c r="T341" s="674"/>
      <c r="U341" s="674"/>
      <c r="V341" s="675"/>
      <c r="W341" s="37" t="s">
        <v>69</v>
      </c>
      <c r="X341" s="667">
        <f>IFERROR(SUM(X335:X339),"0")</f>
        <v>3621.6</v>
      </c>
      <c r="Y341" s="667">
        <f>IFERROR(SUM(Y335:Y339),"0")</f>
        <v>3627.6</v>
      </c>
      <c r="Z341" s="37"/>
      <c r="AA341" s="668"/>
      <c r="AB341" s="668"/>
      <c r="AC341" s="668"/>
    </row>
    <row r="342" spans="1:68" ht="14.25" hidden="1" customHeight="1" x14ac:dyDescent="0.25">
      <c r="A342" s="676" t="s">
        <v>170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58"/>
      <c r="AB342" s="658"/>
      <c r="AC342" s="658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78">
        <v>4607091380880</v>
      </c>
      <c r="E343" s="679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8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1"/>
      <c r="R343" s="681"/>
      <c r="S343" s="681"/>
      <c r="T343" s="682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78">
        <v>4607091384482</v>
      </c>
      <c r="E344" s="679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7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1"/>
      <c r="R344" s="681"/>
      <c r="S344" s="681"/>
      <c r="T344" s="682"/>
      <c r="U344" s="34"/>
      <c r="V344" s="34"/>
      <c r="W344" s="35" t="s">
        <v>69</v>
      </c>
      <c r="X344" s="665">
        <v>210</v>
      </c>
      <c r="Y344" s="666">
        <f>IFERROR(IF(X344="",0,CEILING((X344/$H344),1)*$H344),"")</f>
        <v>210.6</v>
      </c>
      <c r="Z344" s="36">
        <f>IFERROR(IF(Y344=0,"",ROUNDUP(Y344/H344,0)*0.01898),"")</f>
        <v>0.51246000000000003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223.97307692307695</v>
      </c>
      <c r="BN344" s="64">
        <f>IFERROR(Y344*I344/H344,"0")</f>
        <v>224.61300000000003</v>
      </c>
      <c r="BO344" s="64">
        <f>IFERROR(1/J344*(X344/H344),"0")</f>
        <v>0.42067307692307693</v>
      </c>
      <c r="BP344" s="64">
        <f>IFERROR(1/J344*(Y344/H344),"0")</f>
        <v>0.421875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78">
        <v>4607091380897</v>
      </c>
      <c r="E345" s="679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1"/>
      <c r="R345" s="681"/>
      <c r="S345" s="681"/>
      <c r="T345" s="682"/>
      <c r="U345" s="34"/>
      <c r="V345" s="34"/>
      <c r="W345" s="35" t="s">
        <v>69</v>
      </c>
      <c r="X345" s="665">
        <v>84</v>
      </c>
      <c r="Y345" s="666">
        <f>IFERROR(IF(X345="",0,CEILING((X345/$H345),1)*$H345),"")</f>
        <v>84</v>
      </c>
      <c r="Z345" s="36">
        <f>IFERROR(IF(Y345=0,"",ROUNDUP(Y345/H345,0)*0.01898),"")</f>
        <v>0.1898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89.19</v>
      </c>
      <c r="BN345" s="64">
        <f>IFERROR(Y345*I345/H345,"0")</f>
        <v>89.19</v>
      </c>
      <c r="BO345" s="64">
        <f>IFERROR(1/J345*(X345/H345),"0")</f>
        <v>0.15625</v>
      </c>
      <c r="BP345" s="64">
        <f>IFERROR(1/J345*(Y345/H345),"0")</f>
        <v>0.15625</v>
      </c>
    </row>
    <row r="346" spans="1:68" x14ac:dyDescent="0.2">
      <c r="A346" s="701"/>
      <c r="B346" s="677"/>
      <c r="C346" s="677"/>
      <c r="D346" s="677"/>
      <c r="E346" s="677"/>
      <c r="F346" s="677"/>
      <c r="G346" s="677"/>
      <c r="H346" s="677"/>
      <c r="I346" s="677"/>
      <c r="J346" s="677"/>
      <c r="K346" s="677"/>
      <c r="L346" s="677"/>
      <c r="M346" s="677"/>
      <c r="N346" s="677"/>
      <c r="O346" s="702"/>
      <c r="P346" s="673" t="s">
        <v>80</v>
      </c>
      <c r="Q346" s="674"/>
      <c r="R346" s="674"/>
      <c r="S346" s="674"/>
      <c r="T346" s="674"/>
      <c r="U346" s="674"/>
      <c r="V346" s="675"/>
      <c r="W346" s="37" t="s">
        <v>81</v>
      </c>
      <c r="X346" s="667">
        <f>IFERROR(X343/H343,"0")+IFERROR(X344/H344,"0")+IFERROR(X345/H345,"0")</f>
        <v>36.92307692307692</v>
      </c>
      <c r="Y346" s="667">
        <f>IFERROR(Y343/H343,"0")+IFERROR(Y344/H344,"0")+IFERROR(Y345/H345,"0")</f>
        <v>37</v>
      </c>
      <c r="Z346" s="667">
        <f>IFERROR(IF(Z343="",0,Z343),"0")+IFERROR(IF(Z344="",0,Z344),"0")+IFERROR(IF(Z345="",0,Z345),"0")</f>
        <v>0.70226</v>
      </c>
      <c r="AA346" s="668"/>
      <c r="AB346" s="668"/>
      <c r="AC346" s="668"/>
    </row>
    <row r="347" spans="1:68" x14ac:dyDescent="0.2">
      <c r="A347" s="677"/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702"/>
      <c r="P347" s="673" t="s">
        <v>80</v>
      </c>
      <c r="Q347" s="674"/>
      <c r="R347" s="674"/>
      <c r="S347" s="674"/>
      <c r="T347" s="674"/>
      <c r="U347" s="674"/>
      <c r="V347" s="675"/>
      <c r="W347" s="37" t="s">
        <v>69</v>
      </c>
      <c r="X347" s="667">
        <f>IFERROR(SUM(X343:X345),"0")</f>
        <v>294</v>
      </c>
      <c r="Y347" s="667">
        <f>IFERROR(SUM(Y343:Y345),"0")</f>
        <v>294.60000000000002</v>
      </c>
      <c r="Z347" s="37"/>
      <c r="AA347" s="668"/>
      <c r="AB347" s="668"/>
      <c r="AC347" s="668"/>
    </row>
    <row r="348" spans="1:68" ht="14.25" hidden="1" customHeight="1" x14ac:dyDescent="0.25">
      <c r="A348" s="676" t="s">
        <v>82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8"/>
      <c r="AB348" s="658"/>
      <c r="AC348" s="658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78">
        <v>4680115886476</v>
      </c>
      <c r="E349" s="679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760" t="s">
        <v>544</v>
      </c>
      <c r="Q349" s="681"/>
      <c r="R349" s="681"/>
      <c r="S349" s="681"/>
      <c r="T349" s="682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78">
        <v>4607091388374</v>
      </c>
      <c r="E350" s="679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962" t="s">
        <v>548</v>
      </c>
      <c r="Q350" s="681"/>
      <c r="R350" s="681"/>
      <c r="S350" s="681"/>
      <c r="T350" s="682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78">
        <v>4607091383102</v>
      </c>
      <c r="E351" s="679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1"/>
      <c r="R351" s="681"/>
      <c r="S351" s="681"/>
      <c r="T351" s="682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78">
        <v>4607091388404</v>
      </c>
      <c r="E352" s="679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93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1"/>
      <c r="R352" s="681"/>
      <c r="S352" s="681"/>
      <c r="T352" s="682"/>
      <c r="U352" s="34"/>
      <c r="V352" s="34"/>
      <c r="W352" s="35" t="s">
        <v>69</v>
      </c>
      <c r="X352" s="665">
        <v>2.5499999999999998</v>
      </c>
      <c r="Y352" s="666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2.88</v>
      </c>
      <c r="BN352" s="64">
        <f>IFERROR(Y352*I352/H352,"0")</f>
        <v>2.88</v>
      </c>
      <c r="BO352" s="64">
        <f>IFERROR(1/J352*(X352/H352),"0")</f>
        <v>5.4945054945054949E-3</v>
      </c>
      <c r="BP352" s="64">
        <f>IFERROR(1/J352*(Y352/H352),"0")</f>
        <v>5.4945054945054949E-3</v>
      </c>
    </row>
    <row r="353" spans="1:68" x14ac:dyDescent="0.2">
      <c r="A353" s="701"/>
      <c r="B353" s="677"/>
      <c r="C353" s="677"/>
      <c r="D353" s="677"/>
      <c r="E353" s="677"/>
      <c r="F353" s="677"/>
      <c r="G353" s="677"/>
      <c r="H353" s="677"/>
      <c r="I353" s="677"/>
      <c r="J353" s="677"/>
      <c r="K353" s="677"/>
      <c r="L353" s="677"/>
      <c r="M353" s="677"/>
      <c r="N353" s="677"/>
      <c r="O353" s="702"/>
      <c r="P353" s="673" t="s">
        <v>80</v>
      </c>
      <c r="Q353" s="674"/>
      <c r="R353" s="674"/>
      <c r="S353" s="674"/>
      <c r="T353" s="674"/>
      <c r="U353" s="674"/>
      <c r="V353" s="675"/>
      <c r="W353" s="37" t="s">
        <v>81</v>
      </c>
      <c r="X353" s="667">
        <f>IFERROR(X349/H349,"0")+IFERROR(X350/H350,"0")+IFERROR(X351/H351,"0")+IFERROR(X352/H352,"0")</f>
        <v>1</v>
      </c>
      <c r="Y353" s="667">
        <f>IFERROR(Y349/H349,"0")+IFERROR(Y350/H350,"0")+IFERROR(Y351/H351,"0")+IFERROR(Y352/H352,"0")</f>
        <v>1</v>
      </c>
      <c r="Z353" s="667">
        <f>IFERROR(IF(Z349="",0,Z349),"0")+IFERROR(IF(Z350="",0,Z350),"0")+IFERROR(IF(Z351="",0,Z351),"0")+IFERROR(IF(Z352="",0,Z352),"0")</f>
        <v>6.5100000000000002E-3</v>
      </c>
      <c r="AA353" s="668"/>
      <c r="AB353" s="668"/>
      <c r="AC353" s="668"/>
    </row>
    <row r="354" spans="1:68" x14ac:dyDescent="0.2">
      <c r="A354" s="677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702"/>
      <c r="P354" s="673" t="s">
        <v>80</v>
      </c>
      <c r="Q354" s="674"/>
      <c r="R354" s="674"/>
      <c r="S354" s="674"/>
      <c r="T354" s="674"/>
      <c r="U354" s="674"/>
      <c r="V354" s="675"/>
      <c r="W354" s="37" t="s">
        <v>69</v>
      </c>
      <c r="X354" s="667">
        <f>IFERROR(SUM(X349:X352),"0")</f>
        <v>2.5499999999999998</v>
      </c>
      <c r="Y354" s="667">
        <f>IFERROR(SUM(Y349:Y352),"0")</f>
        <v>2.5499999999999998</v>
      </c>
      <c r="Z354" s="37"/>
      <c r="AA354" s="668"/>
      <c r="AB354" s="668"/>
      <c r="AC354" s="668"/>
    </row>
    <row r="355" spans="1:68" ht="14.25" hidden="1" customHeight="1" x14ac:dyDescent="0.25">
      <c r="A355" s="676" t="s">
        <v>555</v>
      </c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77"/>
      <c r="P355" s="677"/>
      <c r="Q355" s="677"/>
      <c r="R355" s="677"/>
      <c r="S355" s="677"/>
      <c r="T355" s="677"/>
      <c r="U355" s="677"/>
      <c r="V355" s="677"/>
      <c r="W355" s="677"/>
      <c r="X355" s="677"/>
      <c r="Y355" s="677"/>
      <c r="Z355" s="677"/>
      <c r="AA355" s="658"/>
      <c r="AB355" s="658"/>
      <c r="AC355" s="658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78">
        <v>4680115881808</v>
      </c>
      <c r="E356" s="679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90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1"/>
      <c r="R356" s="681"/>
      <c r="S356" s="681"/>
      <c r="T356" s="682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78">
        <v>4680115881822</v>
      </c>
      <c r="E357" s="679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7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1"/>
      <c r="R357" s="681"/>
      <c r="S357" s="681"/>
      <c r="T357" s="682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78">
        <v>4680115880016</v>
      </c>
      <c r="E358" s="679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9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1"/>
      <c r="R358" s="681"/>
      <c r="S358" s="681"/>
      <c r="T358" s="682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701"/>
      <c r="B359" s="677"/>
      <c r="C359" s="677"/>
      <c r="D359" s="677"/>
      <c r="E359" s="677"/>
      <c r="F359" s="677"/>
      <c r="G359" s="677"/>
      <c r="H359" s="677"/>
      <c r="I359" s="677"/>
      <c r="J359" s="677"/>
      <c r="K359" s="677"/>
      <c r="L359" s="677"/>
      <c r="M359" s="677"/>
      <c r="N359" s="677"/>
      <c r="O359" s="702"/>
      <c r="P359" s="673" t="s">
        <v>80</v>
      </c>
      <c r="Q359" s="674"/>
      <c r="R359" s="674"/>
      <c r="S359" s="674"/>
      <c r="T359" s="674"/>
      <c r="U359" s="674"/>
      <c r="V359" s="675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7"/>
      <c r="B360" s="677"/>
      <c r="C360" s="677"/>
      <c r="D360" s="677"/>
      <c r="E360" s="677"/>
      <c r="F360" s="677"/>
      <c r="G360" s="677"/>
      <c r="H360" s="677"/>
      <c r="I360" s="677"/>
      <c r="J360" s="677"/>
      <c r="K360" s="677"/>
      <c r="L360" s="677"/>
      <c r="M360" s="677"/>
      <c r="N360" s="677"/>
      <c r="O360" s="702"/>
      <c r="P360" s="673" t="s">
        <v>80</v>
      </c>
      <c r="Q360" s="674"/>
      <c r="R360" s="674"/>
      <c r="S360" s="674"/>
      <c r="T360" s="674"/>
      <c r="U360" s="674"/>
      <c r="V360" s="675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689" t="s">
        <v>564</v>
      </c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77"/>
      <c r="P361" s="677"/>
      <c r="Q361" s="677"/>
      <c r="R361" s="677"/>
      <c r="S361" s="677"/>
      <c r="T361" s="677"/>
      <c r="U361" s="677"/>
      <c r="V361" s="677"/>
      <c r="W361" s="677"/>
      <c r="X361" s="677"/>
      <c r="Y361" s="677"/>
      <c r="Z361" s="677"/>
      <c r="AA361" s="660"/>
      <c r="AB361" s="660"/>
      <c r="AC361" s="660"/>
    </row>
    <row r="362" spans="1:68" ht="14.25" hidden="1" customHeight="1" x14ac:dyDescent="0.25">
      <c r="A362" s="676" t="s">
        <v>144</v>
      </c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77"/>
      <c r="P362" s="677"/>
      <c r="Q362" s="677"/>
      <c r="R362" s="677"/>
      <c r="S362" s="677"/>
      <c r="T362" s="677"/>
      <c r="U362" s="677"/>
      <c r="V362" s="677"/>
      <c r="W362" s="677"/>
      <c r="X362" s="677"/>
      <c r="Y362" s="677"/>
      <c r="Z362" s="677"/>
      <c r="AA362" s="658"/>
      <c r="AB362" s="658"/>
      <c r="AC362" s="658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78">
        <v>4607091383836</v>
      </c>
      <c r="E363" s="679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8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1"/>
      <c r="R363" s="681"/>
      <c r="S363" s="681"/>
      <c r="T363" s="682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701"/>
      <c r="B364" s="677"/>
      <c r="C364" s="677"/>
      <c r="D364" s="677"/>
      <c r="E364" s="677"/>
      <c r="F364" s="677"/>
      <c r="G364" s="677"/>
      <c r="H364" s="677"/>
      <c r="I364" s="677"/>
      <c r="J364" s="677"/>
      <c r="K364" s="677"/>
      <c r="L364" s="677"/>
      <c r="M364" s="677"/>
      <c r="N364" s="677"/>
      <c r="O364" s="702"/>
      <c r="P364" s="673" t="s">
        <v>80</v>
      </c>
      <c r="Q364" s="674"/>
      <c r="R364" s="674"/>
      <c r="S364" s="674"/>
      <c r="T364" s="674"/>
      <c r="U364" s="674"/>
      <c r="V364" s="675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7"/>
      <c r="B365" s="677"/>
      <c r="C365" s="677"/>
      <c r="D365" s="677"/>
      <c r="E365" s="677"/>
      <c r="F365" s="677"/>
      <c r="G365" s="677"/>
      <c r="H365" s="677"/>
      <c r="I365" s="677"/>
      <c r="J365" s="677"/>
      <c r="K365" s="677"/>
      <c r="L365" s="677"/>
      <c r="M365" s="677"/>
      <c r="N365" s="677"/>
      <c r="O365" s="702"/>
      <c r="P365" s="673" t="s">
        <v>80</v>
      </c>
      <c r="Q365" s="674"/>
      <c r="R365" s="674"/>
      <c r="S365" s="674"/>
      <c r="T365" s="674"/>
      <c r="U365" s="674"/>
      <c r="V365" s="675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76" t="s">
        <v>64</v>
      </c>
      <c r="B366" s="677"/>
      <c r="C366" s="677"/>
      <c r="D366" s="677"/>
      <c r="E366" s="677"/>
      <c r="F366" s="677"/>
      <c r="G366" s="677"/>
      <c r="H366" s="677"/>
      <c r="I366" s="677"/>
      <c r="J366" s="677"/>
      <c r="K366" s="677"/>
      <c r="L366" s="677"/>
      <c r="M366" s="677"/>
      <c r="N366" s="677"/>
      <c r="O366" s="677"/>
      <c r="P366" s="677"/>
      <c r="Q366" s="677"/>
      <c r="R366" s="677"/>
      <c r="S366" s="677"/>
      <c r="T366" s="677"/>
      <c r="U366" s="677"/>
      <c r="V366" s="677"/>
      <c r="W366" s="677"/>
      <c r="X366" s="677"/>
      <c r="Y366" s="677"/>
      <c r="Z366" s="677"/>
      <c r="AA366" s="658"/>
      <c r="AB366" s="658"/>
      <c r="AC366" s="658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78">
        <v>4607091387919</v>
      </c>
      <c r="E367" s="679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74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1"/>
      <c r="R367" s="681"/>
      <c r="S367" s="681"/>
      <c r="T367" s="682"/>
      <c r="U367" s="34"/>
      <c r="V367" s="34"/>
      <c r="W367" s="35" t="s">
        <v>69</v>
      </c>
      <c r="X367" s="665">
        <v>50</v>
      </c>
      <c r="Y367" s="666">
        <f>IFERROR(IF(X367="",0,CEILING((X367/$H367),1)*$H367),"")</f>
        <v>56.699999999999996</v>
      </c>
      <c r="Z367" s="36">
        <f>IFERROR(IF(Y367=0,"",ROUNDUP(Y367/H367,0)*0.01898),"")</f>
        <v>0.13286000000000001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53.203703703703702</v>
      </c>
      <c r="BN367" s="64">
        <f>IFERROR(Y367*I367/H367,"0")</f>
        <v>60.332999999999991</v>
      </c>
      <c r="BO367" s="64">
        <f>IFERROR(1/J367*(X367/H367),"0")</f>
        <v>9.6450617283950615E-2</v>
      </c>
      <c r="BP367" s="64">
        <f>IFERROR(1/J367*(Y367/H367),"0")</f>
        <v>0.109375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78">
        <v>4680115883604</v>
      </c>
      <c r="E368" s="679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1"/>
      <c r="R368" s="681"/>
      <c r="S368" s="681"/>
      <c r="T368" s="682"/>
      <c r="U368" s="34"/>
      <c r="V368" s="34"/>
      <c r="W368" s="35" t="s">
        <v>69</v>
      </c>
      <c r="X368" s="665">
        <v>67.899999999999991</v>
      </c>
      <c r="Y368" s="666">
        <f>IFERROR(IF(X368="",0,CEILING((X368/$H368),1)*$H368),"")</f>
        <v>69.3</v>
      </c>
      <c r="Z368" s="36">
        <f>IFERROR(IF(Y368=0,"",ROUNDUP(Y368/H368,0)*0.00651),"")</f>
        <v>0.21482999999999999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76.047999999999973</v>
      </c>
      <c r="BN368" s="64">
        <f>IFERROR(Y368*I368/H368,"0")</f>
        <v>77.615999999999985</v>
      </c>
      <c r="BO368" s="64">
        <f>IFERROR(1/J368*(X368/H368),"0")</f>
        <v>0.17765567765567764</v>
      </c>
      <c r="BP368" s="64">
        <f>IFERROR(1/J368*(Y368/H368),"0")</f>
        <v>0.18131868131868134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78">
        <v>4680115883567</v>
      </c>
      <c r="E369" s="679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1"/>
      <c r="R369" s="681"/>
      <c r="S369" s="681"/>
      <c r="T369" s="682"/>
      <c r="U369" s="34"/>
      <c r="V369" s="34"/>
      <c r="W369" s="35" t="s">
        <v>69</v>
      </c>
      <c r="X369" s="665">
        <v>25.9</v>
      </c>
      <c r="Y369" s="666">
        <f>IFERROR(IF(X369="",0,CEILING((X369/$H369),1)*$H369),"")</f>
        <v>27.3</v>
      </c>
      <c r="Z369" s="36">
        <f>IFERROR(IF(Y369=0,"",ROUNDUP(Y369/H369,0)*0.00651),"")</f>
        <v>8.4629999999999997E-2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28.859999999999996</v>
      </c>
      <c r="BN369" s="64">
        <f>IFERROR(Y369*I369/H369,"0")</f>
        <v>30.419999999999998</v>
      </c>
      <c r="BO369" s="64">
        <f>IFERROR(1/J369*(X369/H369),"0")</f>
        <v>6.7765567765567761E-2</v>
      </c>
      <c r="BP369" s="64">
        <f>IFERROR(1/J369*(Y369/H369),"0")</f>
        <v>7.1428571428571438E-2</v>
      </c>
    </row>
    <row r="370" spans="1:68" x14ac:dyDescent="0.2">
      <c r="A370" s="701"/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702"/>
      <c r="P370" s="673" t="s">
        <v>80</v>
      </c>
      <c r="Q370" s="674"/>
      <c r="R370" s="674"/>
      <c r="S370" s="674"/>
      <c r="T370" s="674"/>
      <c r="U370" s="674"/>
      <c r="V370" s="675"/>
      <c r="W370" s="37" t="s">
        <v>81</v>
      </c>
      <c r="X370" s="667">
        <f>IFERROR(X367/H367,"0")+IFERROR(X368/H368,"0")+IFERROR(X369/H369,"0")</f>
        <v>50.839506172839506</v>
      </c>
      <c r="Y370" s="667">
        <f>IFERROR(Y367/H367,"0")+IFERROR(Y368/H368,"0")+IFERROR(Y369/H369,"0")</f>
        <v>53</v>
      </c>
      <c r="Z370" s="667">
        <f>IFERROR(IF(Z367="",0,Z367),"0")+IFERROR(IF(Z368="",0,Z368),"0")+IFERROR(IF(Z369="",0,Z369),"0")</f>
        <v>0.43231999999999998</v>
      </c>
      <c r="AA370" s="668"/>
      <c r="AB370" s="668"/>
      <c r="AC370" s="668"/>
    </row>
    <row r="371" spans="1:68" x14ac:dyDescent="0.2">
      <c r="A371" s="677"/>
      <c r="B371" s="677"/>
      <c r="C371" s="677"/>
      <c r="D371" s="677"/>
      <c r="E371" s="677"/>
      <c r="F371" s="677"/>
      <c r="G371" s="677"/>
      <c r="H371" s="677"/>
      <c r="I371" s="677"/>
      <c r="J371" s="677"/>
      <c r="K371" s="677"/>
      <c r="L371" s="677"/>
      <c r="M371" s="677"/>
      <c r="N371" s="677"/>
      <c r="O371" s="702"/>
      <c r="P371" s="673" t="s">
        <v>80</v>
      </c>
      <c r="Q371" s="674"/>
      <c r="R371" s="674"/>
      <c r="S371" s="674"/>
      <c r="T371" s="674"/>
      <c r="U371" s="674"/>
      <c r="V371" s="675"/>
      <c r="W371" s="37" t="s">
        <v>69</v>
      </c>
      <c r="X371" s="667">
        <f>IFERROR(SUM(X367:X369),"0")</f>
        <v>143.79999999999998</v>
      </c>
      <c r="Y371" s="667">
        <f>IFERROR(SUM(Y367:Y369),"0")</f>
        <v>153.30000000000001</v>
      </c>
      <c r="Z371" s="37"/>
      <c r="AA371" s="668"/>
      <c r="AB371" s="668"/>
      <c r="AC371" s="668"/>
    </row>
    <row r="372" spans="1:68" ht="27.75" hidden="1" customHeight="1" x14ac:dyDescent="0.2">
      <c r="A372" s="671" t="s">
        <v>577</v>
      </c>
      <c r="B372" s="672"/>
      <c r="C372" s="672"/>
      <c r="D372" s="672"/>
      <c r="E372" s="672"/>
      <c r="F372" s="672"/>
      <c r="G372" s="672"/>
      <c r="H372" s="672"/>
      <c r="I372" s="672"/>
      <c r="J372" s="672"/>
      <c r="K372" s="672"/>
      <c r="L372" s="672"/>
      <c r="M372" s="672"/>
      <c r="N372" s="672"/>
      <c r="O372" s="672"/>
      <c r="P372" s="672"/>
      <c r="Q372" s="672"/>
      <c r="R372" s="672"/>
      <c r="S372" s="672"/>
      <c r="T372" s="672"/>
      <c r="U372" s="672"/>
      <c r="V372" s="672"/>
      <c r="W372" s="672"/>
      <c r="X372" s="672"/>
      <c r="Y372" s="672"/>
      <c r="Z372" s="672"/>
      <c r="AA372" s="48"/>
      <c r="AB372" s="48"/>
      <c r="AC372" s="48"/>
    </row>
    <row r="373" spans="1:68" ht="16.5" hidden="1" customHeight="1" x14ac:dyDescent="0.25">
      <c r="A373" s="689" t="s">
        <v>578</v>
      </c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77"/>
      <c r="P373" s="677"/>
      <c r="Q373" s="677"/>
      <c r="R373" s="677"/>
      <c r="S373" s="677"/>
      <c r="T373" s="677"/>
      <c r="U373" s="677"/>
      <c r="V373" s="677"/>
      <c r="W373" s="677"/>
      <c r="X373" s="677"/>
      <c r="Y373" s="677"/>
      <c r="Z373" s="677"/>
      <c r="AA373" s="660"/>
      <c r="AB373" s="660"/>
      <c r="AC373" s="660"/>
    </row>
    <row r="374" spans="1:68" ht="14.25" hidden="1" customHeight="1" x14ac:dyDescent="0.25">
      <c r="A374" s="676" t="s">
        <v>90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58"/>
      <c r="AB374" s="658"/>
      <c r="AC374" s="658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78">
        <v>4680115884847</v>
      </c>
      <c r="E375" s="679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6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81"/>
      <c r="R375" s="681"/>
      <c r="S375" s="681"/>
      <c r="T375" s="682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78">
        <v>4680115884847</v>
      </c>
      <c r="E376" s="679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81"/>
      <c r="R376" s="681"/>
      <c r="S376" s="681"/>
      <c r="T376" s="682"/>
      <c r="U376" s="34"/>
      <c r="V376" s="34"/>
      <c r="W376" s="35" t="s">
        <v>69</v>
      </c>
      <c r="X376" s="665">
        <v>155</v>
      </c>
      <c r="Y376" s="666">
        <f t="shared" si="52"/>
        <v>165</v>
      </c>
      <c r="Z376" s="36">
        <f>IFERROR(IF(Y376=0,"",ROUNDUP(Y376/H376,0)*0.02175),"")</f>
        <v>0.23924999999999999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159.96</v>
      </c>
      <c r="BN376" s="64">
        <f t="shared" si="54"/>
        <v>170.28000000000003</v>
      </c>
      <c r="BO376" s="64">
        <f t="shared" si="55"/>
        <v>0.21527777777777779</v>
      </c>
      <c r="BP376" s="64">
        <f t="shared" si="56"/>
        <v>0.22916666666666666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78">
        <v>4680115884854</v>
      </c>
      <c r="E377" s="679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6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1"/>
      <c r="R377" s="681"/>
      <c r="S377" s="681"/>
      <c r="T377" s="682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78">
        <v>4680115884854</v>
      </c>
      <c r="E378" s="679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9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1"/>
      <c r="R378" s="681"/>
      <c r="S378" s="681"/>
      <c r="T378" s="682"/>
      <c r="U378" s="34"/>
      <c r="V378" s="34"/>
      <c r="W378" s="35" t="s">
        <v>69</v>
      </c>
      <c r="X378" s="665">
        <v>750</v>
      </c>
      <c r="Y378" s="666">
        <f t="shared" si="52"/>
        <v>750</v>
      </c>
      <c r="Z378" s="36">
        <f>IFERROR(IF(Y378=0,"",ROUNDUP(Y378/H378,0)*0.02175),"")</f>
        <v>1.0874999999999999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774</v>
      </c>
      <c r="BN378" s="64">
        <f t="shared" si="54"/>
        <v>774</v>
      </c>
      <c r="BO378" s="64">
        <f t="shared" si="55"/>
        <v>1.0416666666666665</v>
      </c>
      <c r="BP378" s="64">
        <f t="shared" si="56"/>
        <v>1.0416666666666665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78">
        <v>4607091383997</v>
      </c>
      <c r="E379" s="679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103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1"/>
      <c r="R379" s="681"/>
      <c r="S379" s="681"/>
      <c r="T379" s="682"/>
      <c r="U379" s="34"/>
      <c r="V379" s="34"/>
      <c r="W379" s="35" t="s">
        <v>69</v>
      </c>
      <c r="X379" s="665">
        <v>1620</v>
      </c>
      <c r="Y379" s="666">
        <f t="shared" si="52"/>
        <v>1620</v>
      </c>
      <c r="Z379" s="36">
        <f>IFERROR(IF(Y379=0,"",ROUNDUP(Y379/H379,0)*0.02175),"")</f>
        <v>2.3489999999999998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1671.8400000000001</v>
      </c>
      <c r="BN379" s="64">
        <f t="shared" si="54"/>
        <v>1671.8400000000001</v>
      </c>
      <c r="BO379" s="64">
        <f t="shared" si="55"/>
        <v>2.25</v>
      </c>
      <c r="BP379" s="64">
        <f t="shared" si="56"/>
        <v>2.25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78">
        <v>4680115884830</v>
      </c>
      <c r="E380" s="679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9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1"/>
      <c r="R380" s="681"/>
      <c r="S380" s="681"/>
      <c r="T380" s="682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hidden="1" customHeight="1" x14ac:dyDescent="0.25">
      <c r="A381" s="54" t="s">
        <v>591</v>
      </c>
      <c r="B381" s="54" t="s">
        <v>593</v>
      </c>
      <c r="C381" s="31">
        <v>4301011867</v>
      </c>
      <c r="D381" s="678">
        <v>4680115884830</v>
      </c>
      <c r="E381" s="679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10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1"/>
      <c r="R381" s="681"/>
      <c r="S381" s="681"/>
      <c r="T381" s="682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78">
        <v>4680115882638</v>
      </c>
      <c r="E382" s="679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1"/>
      <c r="R382" s="681"/>
      <c r="S382" s="681"/>
      <c r="T382" s="682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78">
        <v>4680115884922</v>
      </c>
      <c r="E383" s="679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7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1"/>
      <c r="R383" s="681"/>
      <c r="S383" s="681"/>
      <c r="T383" s="682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78">
        <v>4680115884861</v>
      </c>
      <c r="E384" s="679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10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1"/>
      <c r="R384" s="681"/>
      <c r="S384" s="681"/>
      <c r="T384" s="682"/>
      <c r="U384" s="34"/>
      <c r="V384" s="34"/>
      <c r="W384" s="35" t="s">
        <v>69</v>
      </c>
      <c r="X384" s="665">
        <v>5</v>
      </c>
      <c r="Y384" s="666">
        <f t="shared" si="52"/>
        <v>5</v>
      </c>
      <c r="Z384" s="36">
        <f>IFERROR(IF(Y384=0,"",ROUNDUP(Y384/H384,0)*0.00902),"")</f>
        <v>9.0200000000000002E-3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5.21</v>
      </c>
      <c r="BN384" s="64">
        <f t="shared" si="54"/>
        <v>5.21</v>
      </c>
      <c r="BO384" s="64">
        <f t="shared" si="55"/>
        <v>7.575757575757576E-3</v>
      </c>
      <c r="BP384" s="64">
        <f t="shared" si="56"/>
        <v>7.575757575757576E-3</v>
      </c>
    </row>
    <row r="385" spans="1:68" x14ac:dyDescent="0.2">
      <c r="A385" s="701"/>
      <c r="B385" s="677"/>
      <c r="C385" s="677"/>
      <c r="D385" s="677"/>
      <c r="E385" s="677"/>
      <c r="F385" s="677"/>
      <c r="G385" s="677"/>
      <c r="H385" s="677"/>
      <c r="I385" s="677"/>
      <c r="J385" s="677"/>
      <c r="K385" s="677"/>
      <c r="L385" s="677"/>
      <c r="M385" s="677"/>
      <c r="N385" s="677"/>
      <c r="O385" s="702"/>
      <c r="P385" s="673" t="s">
        <v>80</v>
      </c>
      <c r="Q385" s="674"/>
      <c r="R385" s="674"/>
      <c r="S385" s="674"/>
      <c r="T385" s="674"/>
      <c r="U385" s="674"/>
      <c r="V385" s="675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169.33333333333334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170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3.6847699999999999</v>
      </c>
      <c r="AA385" s="668"/>
      <c r="AB385" s="668"/>
      <c r="AC385" s="668"/>
    </row>
    <row r="386" spans="1:68" x14ac:dyDescent="0.2">
      <c r="A386" s="677"/>
      <c r="B386" s="677"/>
      <c r="C386" s="677"/>
      <c r="D386" s="677"/>
      <c r="E386" s="677"/>
      <c r="F386" s="677"/>
      <c r="G386" s="677"/>
      <c r="H386" s="677"/>
      <c r="I386" s="677"/>
      <c r="J386" s="677"/>
      <c r="K386" s="677"/>
      <c r="L386" s="677"/>
      <c r="M386" s="677"/>
      <c r="N386" s="677"/>
      <c r="O386" s="702"/>
      <c r="P386" s="673" t="s">
        <v>80</v>
      </c>
      <c r="Q386" s="674"/>
      <c r="R386" s="674"/>
      <c r="S386" s="674"/>
      <c r="T386" s="674"/>
      <c r="U386" s="674"/>
      <c r="V386" s="675"/>
      <c r="W386" s="37" t="s">
        <v>69</v>
      </c>
      <c r="X386" s="667">
        <f>IFERROR(SUM(X375:X384),"0")</f>
        <v>2530</v>
      </c>
      <c r="Y386" s="667">
        <f>IFERROR(SUM(Y375:Y384),"0")</f>
        <v>2540</v>
      </c>
      <c r="Z386" s="37"/>
      <c r="AA386" s="668"/>
      <c r="AB386" s="668"/>
      <c r="AC386" s="668"/>
    </row>
    <row r="387" spans="1:68" ht="14.25" hidden="1" customHeight="1" x14ac:dyDescent="0.25">
      <c r="A387" s="676" t="s">
        <v>133</v>
      </c>
      <c r="B387" s="677"/>
      <c r="C387" s="677"/>
      <c r="D387" s="677"/>
      <c r="E387" s="677"/>
      <c r="F387" s="677"/>
      <c r="G387" s="677"/>
      <c r="H387" s="677"/>
      <c r="I387" s="677"/>
      <c r="J387" s="677"/>
      <c r="K387" s="677"/>
      <c r="L387" s="677"/>
      <c r="M387" s="677"/>
      <c r="N387" s="677"/>
      <c r="O387" s="677"/>
      <c r="P387" s="677"/>
      <c r="Q387" s="677"/>
      <c r="R387" s="677"/>
      <c r="S387" s="677"/>
      <c r="T387" s="677"/>
      <c r="U387" s="677"/>
      <c r="V387" s="677"/>
      <c r="W387" s="677"/>
      <c r="X387" s="677"/>
      <c r="Y387" s="677"/>
      <c r="Z387" s="677"/>
      <c r="AA387" s="658"/>
      <c r="AB387" s="658"/>
      <c r="AC387" s="658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78">
        <v>4607091383980</v>
      </c>
      <c r="E388" s="679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8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1"/>
      <c r="R388" s="681"/>
      <c r="S388" s="681"/>
      <c r="T388" s="682"/>
      <c r="U388" s="34"/>
      <c r="V388" s="34"/>
      <c r="W388" s="35" t="s">
        <v>69</v>
      </c>
      <c r="X388" s="665">
        <v>1480</v>
      </c>
      <c r="Y388" s="666">
        <f>IFERROR(IF(X388="",0,CEILING((X388/$H388),1)*$H388),"")</f>
        <v>1485</v>
      </c>
      <c r="Z388" s="36">
        <f>IFERROR(IF(Y388=0,"",ROUNDUP(Y388/H388,0)*0.02175),"")</f>
        <v>2.1532499999999999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1527.3600000000001</v>
      </c>
      <c r="BN388" s="64">
        <f>IFERROR(Y388*I388/H388,"0")</f>
        <v>1532.52</v>
      </c>
      <c r="BO388" s="64">
        <f>IFERROR(1/J388*(X388/H388),"0")</f>
        <v>2.0555555555555554</v>
      </c>
      <c r="BP388" s="64">
        <f>IFERROR(1/J388*(Y388/H388),"0")</f>
        <v>2.0625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78">
        <v>4607091384178</v>
      </c>
      <c r="E389" s="679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104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1"/>
      <c r="R389" s="681"/>
      <c r="S389" s="681"/>
      <c r="T389" s="682"/>
      <c r="U389" s="34"/>
      <c r="V389" s="34"/>
      <c r="W389" s="35" t="s">
        <v>69</v>
      </c>
      <c r="X389" s="665">
        <v>4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701"/>
      <c r="B390" s="677"/>
      <c r="C390" s="677"/>
      <c r="D390" s="677"/>
      <c r="E390" s="677"/>
      <c r="F390" s="677"/>
      <c r="G390" s="677"/>
      <c r="H390" s="677"/>
      <c r="I390" s="677"/>
      <c r="J390" s="677"/>
      <c r="K390" s="677"/>
      <c r="L390" s="677"/>
      <c r="M390" s="677"/>
      <c r="N390" s="677"/>
      <c r="O390" s="702"/>
      <c r="P390" s="673" t="s">
        <v>80</v>
      </c>
      <c r="Q390" s="674"/>
      <c r="R390" s="674"/>
      <c r="S390" s="674"/>
      <c r="T390" s="674"/>
      <c r="U390" s="674"/>
      <c r="V390" s="675"/>
      <c r="W390" s="37" t="s">
        <v>81</v>
      </c>
      <c r="X390" s="667">
        <f>IFERROR(X388/H388,"0")+IFERROR(X389/H389,"0")</f>
        <v>99.666666666666671</v>
      </c>
      <c r="Y390" s="667">
        <f>IFERROR(Y388/H388,"0")+IFERROR(Y389/H389,"0")</f>
        <v>100</v>
      </c>
      <c r="Z390" s="667">
        <f>IFERROR(IF(Z388="",0,Z388),"0")+IFERROR(IF(Z389="",0,Z389),"0")</f>
        <v>2.1622699999999999</v>
      </c>
      <c r="AA390" s="668"/>
      <c r="AB390" s="668"/>
      <c r="AC390" s="668"/>
    </row>
    <row r="391" spans="1:68" x14ac:dyDescent="0.2">
      <c r="A391" s="677"/>
      <c r="B391" s="677"/>
      <c r="C391" s="677"/>
      <c r="D391" s="677"/>
      <c r="E391" s="677"/>
      <c r="F391" s="677"/>
      <c r="G391" s="677"/>
      <c r="H391" s="677"/>
      <c r="I391" s="677"/>
      <c r="J391" s="677"/>
      <c r="K391" s="677"/>
      <c r="L391" s="677"/>
      <c r="M391" s="677"/>
      <c r="N391" s="677"/>
      <c r="O391" s="702"/>
      <c r="P391" s="673" t="s">
        <v>80</v>
      </c>
      <c r="Q391" s="674"/>
      <c r="R391" s="674"/>
      <c r="S391" s="674"/>
      <c r="T391" s="674"/>
      <c r="U391" s="674"/>
      <c r="V391" s="675"/>
      <c r="W391" s="37" t="s">
        <v>69</v>
      </c>
      <c r="X391" s="667">
        <f>IFERROR(SUM(X388:X389),"0")</f>
        <v>1484</v>
      </c>
      <c r="Y391" s="667">
        <f>IFERROR(SUM(Y388:Y389),"0")</f>
        <v>1489</v>
      </c>
      <c r="Z391" s="37"/>
      <c r="AA391" s="668"/>
      <c r="AB391" s="668"/>
      <c r="AC391" s="668"/>
    </row>
    <row r="392" spans="1:68" ht="14.25" hidden="1" customHeight="1" x14ac:dyDescent="0.25">
      <c r="A392" s="676" t="s">
        <v>64</v>
      </c>
      <c r="B392" s="677"/>
      <c r="C392" s="677"/>
      <c r="D392" s="677"/>
      <c r="E392" s="677"/>
      <c r="F392" s="677"/>
      <c r="G392" s="677"/>
      <c r="H392" s="677"/>
      <c r="I392" s="677"/>
      <c r="J392" s="677"/>
      <c r="K392" s="677"/>
      <c r="L392" s="677"/>
      <c r="M392" s="677"/>
      <c r="N392" s="677"/>
      <c r="O392" s="677"/>
      <c r="P392" s="677"/>
      <c r="Q392" s="677"/>
      <c r="R392" s="677"/>
      <c r="S392" s="677"/>
      <c r="T392" s="677"/>
      <c r="U392" s="677"/>
      <c r="V392" s="677"/>
      <c r="W392" s="677"/>
      <c r="X392" s="677"/>
      <c r="Y392" s="677"/>
      <c r="Z392" s="677"/>
      <c r="AA392" s="658"/>
      <c r="AB392" s="658"/>
      <c r="AC392" s="658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78">
        <v>4607091383928</v>
      </c>
      <c r="E393" s="679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51" t="s">
        <v>609</v>
      </c>
      <c r="Q393" s="681"/>
      <c r="R393" s="681"/>
      <c r="S393" s="681"/>
      <c r="T393" s="682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78">
        <v>4607091384260</v>
      </c>
      <c r="E394" s="679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1007" t="s">
        <v>613</v>
      </c>
      <c r="Q394" s="681"/>
      <c r="R394" s="681"/>
      <c r="S394" s="681"/>
      <c r="T394" s="682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701"/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702"/>
      <c r="P395" s="673" t="s">
        <v>80</v>
      </c>
      <c r="Q395" s="674"/>
      <c r="R395" s="674"/>
      <c r="S395" s="674"/>
      <c r="T395" s="674"/>
      <c r="U395" s="674"/>
      <c r="V395" s="675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7"/>
      <c r="B396" s="677"/>
      <c r="C396" s="677"/>
      <c r="D396" s="677"/>
      <c r="E396" s="677"/>
      <c r="F396" s="677"/>
      <c r="G396" s="677"/>
      <c r="H396" s="677"/>
      <c r="I396" s="677"/>
      <c r="J396" s="677"/>
      <c r="K396" s="677"/>
      <c r="L396" s="677"/>
      <c r="M396" s="677"/>
      <c r="N396" s="677"/>
      <c r="O396" s="702"/>
      <c r="P396" s="673" t="s">
        <v>80</v>
      </c>
      <c r="Q396" s="674"/>
      <c r="R396" s="674"/>
      <c r="S396" s="674"/>
      <c r="T396" s="674"/>
      <c r="U396" s="674"/>
      <c r="V396" s="675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76" t="s">
        <v>170</v>
      </c>
      <c r="B397" s="677"/>
      <c r="C397" s="677"/>
      <c r="D397" s="677"/>
      <c r="E397" s="677"/>
      <c r="F397" s="677"/>
      <c r="G397" s="677"/>
      <c r="H397" s="677"/>
      <c r="I397" s="677"/>
      <c r="J397" s="677"/>
      <c r="K397" s="677"/>
      <c r="L397" s="677"/>
      <c r="M397" s="677"/>
      <c r="N397" s="677"/>
      <c r="O397" s="677"/>
      <c r="P397" s="677"/>
      <c r="Q397" s="677"/>
      <c r="R397" s="677"/>
      <c r="S397" s="677"/>
      <c r="T397" s="677"/>
      <c r="U397" s="677"/>
      <c r="V397" s="677"/>
      <c r="W397" s="677"/>
      <c r="X397" s="677"/>
      <c r="Y397" s="677"/>
      <c r="Z397" s="677"/>
      <c r="AA397" s="658"/>
      <c r="AB397" s="658"/>
      <c r="AC397" s="658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78">
        <v>4607091384673</v>
      </c>
      <c r="E398" s="679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812" t="s">
        <v>617</v>
      </c>
      <c r="Q398" s="681"/>
      <c r="R398" s="681"/>
      <c r="S398" s="681"/>
      <c r="T398" s="682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701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702"/>
      <c r="P399" s="673" t="s">
        <v>80</v>
      </c>
      <c r="Q399" s="674"/>
      <c r="R399" s="674"/>
      <c r="S399" s="674"/>
      <c r="T399" s="674"/>
      <c r="U399" s="674"/>
      <c r="V399" s="675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7"/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702"/>
      <c r="P400" s="673" t="s">
        <v>80</v>
      </c>
      <c r="Q400" s="674"/>
      <c r="R400" s="674"/>
      <c r="S400" s="674"/>
      <c r="T400" s="674"/>
      <c r="U400" s="674"/>
      <c r="V400" s="675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689" t="s">
        <v>619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60"/>
      <c r="AB401" s="660"/>
      <c r="AC401" s="660"/>
    </row>
    <row r="402" spans="1:68" ht="14.25" hidden="1" customHeight="1" x14ac:dyDescent="0.25">
      <c r="A402" s="676" t="s">
        <v>90</v>
      </c>
      <c r="B402" s="677"/>
      <c r="C402" s="677"/>
      <c r="D402" s="677"/>
      <c r="E402" s="677"/>
      <c r="F402" s="677"/>
      <c r="G402" s="677"/>
      <c r="H402" s="677"/>
      <c r="I402" s="677"/>
      <c r="J402" s="677"/>
      <c r="K402" s="677"/>
      <c r="L402" s="677"/>
      <c r="M402" s="677"/>
      <c r="N402" s="677"/>
      <c r="O402" s="677"/>
      <c r="P402" s="677"/>
      <c r="Q402" s="677"/>
      <c r="R402" s="677"/>
      <c r="S402" s="677"/>
      <c r="T402" s="677"/>
      <c r="U402" s="677"/>
      <c r="V402" s="677"/>
      <c r="W402" s="677"/>
      <c r="X402" s="677"/>
      <c r="Y402" s="677"/>
      <c r="Z402" s="677"/>
      <c r="AA402" s="658"/>
      <c r="AB402" s="658"/>
      <c r="AC402" s="658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78">
        <v>4680115881907</v>
      </c>
      <c r="E403" s="679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94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1"/>
      <c r="R403" s="681"/>
      <c r="S403" s="681"/>
      <c r="T403" s="682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78">
        <v>4680115881907</v>
      </c>
      <c r="E404" s="679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102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1"/>
      <c r="R404" s="681"/>
      <c r="S404" s="681"/>
      <c r="T404" s="682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78">
        <v>4607091384192</v>
      </c>
      <c r="E405" s="679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1002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81"/>
      <c r="R405" s="681"/>
      <c r="S405" s="681"/>
      <c r="T405" s="682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78">
        <v>4680115884892</v>
      </c>
      <c r="E406" s="679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93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81"/>
      <c r="R406" s="681"/>
      <c r="S406" s="681"/>
      <c r="T406" s="682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78">
        <v>4680115884885</v>
      </c>
      <c r="E407" s="679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98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81"/>
      <c r="R407" s="681"/>
      <c r="S407" s="681"/>
      <c r="T407" s="682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78">
        <v>4680115884908</v>
      </c>
      <c r="E408" s="679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81"/>
      <c r="R408" s="681"/>
      <c r="S408" s="681"/>
      <c r="T408" s="682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701"/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702"/>
      <c r="P409" s="673" t="s">
        <v>80</v>
      </c>
      <c r="Q409" s="674"/>
      <c r="R409" s="674"/>
      <c r="S409" s="674"/>
      <c r="T409" s="674"/>
      <c r="U409" s="674"/>
      <c r="V409" s="675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77"/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702"/>
      <c r="P410" s="673" t="s">
        <v>80</v>
      </c>
      <c r="Q410" s="674"/>
      <c r="R410" s="674"/>
      <c r="S410" s="674"/>
      <c r="T410" s="674"/>
      <c r="U410" s="674"/>
      <c r="V410" s="675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76" t="s">
        <v>144</v>
      </c>
      <c r="B411" s="677"/>
      <c r="C411" s="677"/>
      <c r="D411" s="677"/>
      <c r="E411" s="677"/>
      <c r="F411" s="677"/>
      <c r="G411" s="677"/>
      <c r="H411" s="677"/>
      <c r="I411" s="677"/>
      <c r="J411" s="677"/>
      <c r="K411" s="677"/>
      <c r="L411" s="677"/>
      <c r="M411" s="677"/>
      <c r="N411" s="677"/>
      <c r="O411" s="677"/>
      <c r="P411" s="677"/>
      <c r="Q411" s="677"/>
      <c r="R411" s="677"/>
      <c r="S411" s="677"/>
      <c r="T411" s="677"/>
      <c r="U411" s="677"/>
      <c r="V411" s="677"/>
      <c r="W411" s="677"/>
      <c r="X411" s="677"/>
      <c r="Y411" s="677"/>
      <c r="Z411" s="677"/>
      <c r="AA411" s="658"/>
      <c r="AB411" s="658"/>
      <c r="AC411" s="658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78">
        <v>4607091384802</v>
      </c>
      <c r="E412" s="679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75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81"/>
      <c r="R412" s="681"/>
      <c r="S412" s="681"/>
      <c r="T412" s="682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78">
        <v>4607091384826</v>
      </c>
      <c r="E413" s="679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103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81"/>
      <c r="R413" s="681"/>
      <c r="S413" s="681"/>
      <c r="T413" s="682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701"/>
      <c r="B414" s="677"/>
      <c r="C414" s="677"/>
      <c r="D414" s="677"/>
      <c r="E414" s="677"/>
      <c r="F414" s="677"/>
      <c r="G414" s="677"/>
      <c r="H414" s="677"/>
      <c r="I414" s="677"/>
      <c r="J414" s="677"/>
      <c r="K414" s="677"/>
      <c r="L414" s="677"/>
      <c r="M414" s="677"/>
      <c r="N414" s="677"/>
      <c r="O414" s="702"/>
      <c r="P414" s="673" t="s">
        <v>80</v>
      </c>
      <c r="Q414" s="674"/>
      <c r="R414" s="674"/>
      <c r="S414" s="674"/>
      <c r="T414" s="674"/>
      <c r="U414" s="674"/>
      <c r="V414" s="675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77"/>
      <c r="B415" s="677"/>
      <c r="C415" s="677"/>
      <c r="D415" s="677"/>
      <c r="E415" s="677"/>
      <c r="F415" s="677"/>
      <c r="G415" s="677"/>
      <c r="H415" s="677"/>
      <c r="I415" s="677"/>
      <c r="J415" s="677"/>
      <c r="K415" s="677"/>
      <c r="L415" s="677"/>
      <c r="M415" s="677"/>
      <c r="N415" s="677"/>
      <c r="O415" s="702"/>
      <c r="P415" s="673" t="s">
        <v>80</v>
      </c>
      <c r="Q415" s="674"/>
      <c r="R415" s="674"/>
      <c r="S415" s="674"/>
      <c r="T415" s="674"/>
      <c r="U415" s="674"/>
      <c r="V415" s="675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76" t="s">
        <v>64</v>
      </c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77"/>
      <c r="P416" s="677"/>
      <c r="Q416" s="677"/>
      <c r="R416" s="677"/>
      <c r="S416" s="677"/>
      <c r="T416" s="677"/>
      <c r="U416" s="677"/>
      <c r="V416" s="677"/>
      <c r="W416" s="677"/>
      <c r="X416" s="677"/>
      <c r="Y416" s="677"/>
      <c r="Z416" s="677"/>
      <c r="AA416" s="658"/>
      <c r="AB416" s="658"/>
      <c r="AC416" s="658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78">
        <v>4607091384246</v>
      </c>
      <c r="E417" s="679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7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81"/>
      <c r="R417" s="681"/>
      <c r="S417" s="681"/>
      <c r="T417" s="682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78">
        <v>4680115881976</v>
      </c>
      <c r="E418" s="679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754" t="s">
        <v>645</v>
      </c>
      <c r="Q418" s="681"/>
      <c r="R418" s="681"/>
      <c r="S418" s="681"/>
      <c r="T418" s="682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78">
        <v>4607091384253</v>
      </c>
      <c r="E419" s="679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91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1"/>
      <c r="R419" s="681"/>
      <c r="S419" s="681"/>
      <c r="T419" s="682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78">
        <v>4607091384253</v>
      </c>
      <c r="E420" s="679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81"/>
      <c r="R420" s="681"/>
      <c r="S420" s="681"/>
      <c r="T420" s="682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78">
        <v>4680115881969</v>
      </c>
      <c r="E421" s="679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80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81"/>
      <c r="R421" s="681"/>
      <c r="S421" s="681"/>
      <c r="T421" s="682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701"/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702"/>
      <c r="P422" s="673" t="s">
        <v>80</v>
      </c>
      <c r="Q422" s="674"/>
      <c r="R422" s="674"/>
      <c r="S422" s="674"/>
      <c r="T422" s="674"/>
      <c r="U422" s="674"/>
      <c r="V422" s="675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77"/>
      <c r="B423" s="677"/>
      <c r="C423" s="677"/>
      <c r="D423" s="677"/>
      <c r="E423" s="677"/>
      <c r="F423" s="677"/>
      <c r="G423" s="677"/>
      <c r="H423" s="677"/>
      <c r="I423" s="677"/>
      <c r="J423" s="677"/>
      <c r="K423" s="677"/>
      <c r="L423" s="677"/>
      <c r="M423" s="677"/>
      <c r="N423" s="677"/>
      <c r="O423" s="702"/>
      <c r="P423" s="673" t="s">
        <v>80</v>
      </c>
      <c r="Q423" s="674"/>
      <c r="R423" s="674"/>
      <c r="S423" s="674"/>
      <c r="T423" s="674"/>
      <c r="U423" s="674"/>
      <c r="V423" s="675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76" t="s">
        <v>170</v>
      </c>
      <c r="B424" s="677"/>
      <c r="C424" s="677"/>
      <c r="D424" s="677"/>
      <c r="E424" s="677"/>
      <c r="F424" s="677"/>
      <c r="G424" s="677"/>
      <c r="H424" s="677"/>
      <c r="I424" s="677"/>
      <c r="J424" s="677"/>
      <c r="K424" s="677"/>
      <c r="L424" s="677"/>
      <c r="M424" s="677"/>
      <c r="N424" s="677"/>
      <c r="O424" s="677"/>
      <c r="P424" s="677"/>
      <c r="Q424" s="677"/>
      <c r="R424" s="677"/>
      <c r="S424" s="677"/>
      <c r="T424" s="677"/>
      <c r="U424" s="677"/>
      <c r="V424" s="677"/>
      <c r="W424" s="677"/>
      <c r="X424" s="677"/>
      <c r="Y424" s="677"/>
      <c r="Z424" s="677"/>
      <c r="AA424" s="658"/>
      <c r="AB424" s="658"/>
      <c r="AC424" s="658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78">
        <v>4607091389357</v>
      </c>
      <c r="E425" s="679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903" t="s">
        <v>656</v>
      </c>
      <c r="Q425" s="681"/>
      <c r="R425" s="681"/>
      <c r="S425" s="681"/>
      <c r="T425" s="682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701"/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702"/>
      <c r="P426" s="673" t="s">
        <v>80</v>
      </c>
      <c r="Q426" s="674"/>
      <c r="R426" s="674"/>
      <c r="S426" s="674"/>
      <c r="T426" s="674"/>
      <c r="U426" s="674"/>
      <c r="V426" s="675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77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702"/>
      <c r="P427" s="673" t="s">
        <v>80</v>
      </c>
      <c r="Q427" s="674"/>
      <c r="R427" s="674"/>
      <c r="S427" s="674"/>
      <c r="T427" s="674"/>
      <c r="U427" s="674"/>
      <c r="V427" s="675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671" t="s">
        <v>658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48"/>
      <c r="AB428" s="48"/>
      <c r="AC428" s="48"/>
    </row>
    <row r="429" spans="1:68" ht="16.5" hidden="1" customHeight="1" x14ac:dyDescent="0.25">
      <c r="A429" s="689" t="s">
        <v>659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0"/>
      <c r="AB429" s="660"/>
      <c r="AC429" s="660"/>
    </row>
    <row r="430" spans="1:68" ht="14.25" hidden="1" customHeight="1" x14ac:dyDescent="0.25">
      <c r="A430" s="676" t="s">
        <v>144</v>
      </c>
      <c r="B430" s="677"/>
      <c r="C430" s="677"/>
      <c r="D430" s="677"/>
      <c r="E430" s="677"/>
      <c r="F430" s="677"/>
      <c r="G430" s="677"/>
      <c r="H430" s="677"/>
      <c r="I430" s="677"/>
      <c r="J430" s="677"/>
      <c r="K430" s="677"/>
      <c r="L430" s="677"/>
      <c r="M430" s="677"/>
      <c r="N430" s="677"/>
      <c r="O430" s="677"/>
      <c r="P430" s="677"/>
      <c r="Q430" s="677"/>
      <c r="R430" s="677"/>
      <c r="S430" s="677"/>
      <c r="T430" s="677"/>
      <c r="U430" s="677"/>
      <c r="V430" s="677"/>
      <c r="W430" s="677"/>
      <c r="X430" s="677"/>
      <c r="Y430" s="677"/>
      <c r="Z430" s="677"/>
      <c r="AA430" s="658"/>
      <c r="AB430" s="658"/>
      <c r="AC430" s="658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78">
        <v>4680115886100</v>
      </c>
      <c r="E431" s="679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935" t="s">
        <v>662</v>
      </c>
      <c r="Q431" s="681"/>
      <c r="R431" s="681"/>
      <c r="S431" s="681"/>
      <c r="T431" s="682"/>
      <c r="U431" s="34"/>
      <c r="V431" s="34"/>
      <c r="W431" s="35" t="s">
        <v>69</v>
      </c>
      <c r="X431" s="665">
        <v>20</v>
      </c>
      <c r="Y431" s="666">
        <f t="shared" ref="Y431:Y442" si="62">IFERROR(IF(X431="",0,CEILING((X431/$H431),1)*$H431),"")</f>
        <v>21.6</v>
      </c>
      <c r="Z431" s="36">
        <f>IFERROR(IF(Y431=0,"",ROUNDUP(Y431/H431,0)*0.00902),"")</f>
        <v>3.6080000000000001E-2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20.777777777777779</v>
      </c>
      <c r="BN431" s="64">
        <f t="shared" ref="BN431:BN442" si="64">IFERROR(Y431*I431/H431,"0")</f>
        <v>22.44</v>
      </c>
      <c r="BO431" s="64">
        <f t="shared" ref="BO431:BO442" si="65">IFERROR(1/J431*(X431/H431),"0")</f>
        <v>2.8058361391694722E-2</v>
      </c>
      <c r="BP431" s="64">
        <f t="shared" ref="BP431:BP442" si="66">IFERROR(1/J431*(Y431/H431),"0")</f>
        <v>3.0303030303030304E-2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78">
        <v>4680115886117</v>
      </c>
      <c r="E432" s="679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1040" t="s">
        <v>666</v>
      </c>
      <c r="Q432" s="681"/>
      <c r="R432" s="681"/>
      <c r="S432" s="681"/>
      <c r="T432" s="682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78">
        <v>4680115886117</v>
      </c>
      <c r="E433" s="679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728" t="s">
        <v>666</v>
      </c>
      <c r="Q433" s="681"/>
      <c r="R433" s="681"/>
      <c r="S433" s="681"/>
      <c r="T433" s="682"/>
      <c r="U433" s="34"/>
      <c r="V433" s="34"/>
      <c r="W433" s="35" t="s">
        <v>69</v>
      </c>
      <c r="X433" s="665">
        <v>15</v>
      </c>
      <c r="Y433" s="666">
        <f t="shared" si="62"/>
        <v>16.200000000000003</v>
      </c>
      <c r="Z433" s="36">
        <f>IFERROR(IF(Y433=0,"",ROUNDUP(Y433/H433,0)*0.00902),"")</f>
        <v>2.7060000000000001E-2</v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15.583333333333334</v>
      </c>
      <c r="BN433" s="64">
        <f t="shared" si="64"/>
        <v>16.830000000000002</v>
      </c>
      <c r="BO433" s="64">
        <f t="shared" si="65"/>
        <v>2.1043771043771045E-2</v>
      </c>
      <c r="BP433" s="64">
        <f t="shared" si="66"/>
        <v>2.2727272727272731E-2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78">
        <v>4680115886124</v>
      </c>
      <c r="E434" s="679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718" t="s">
        <v>671</v>
      </c>
      <c r="Q434" s="681"/>
      <c r="R434" s="681"/>
      <c r="S434" s="681"/>
      <c r="T434" s="682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78">
        <v>4680115883147</v>
      </c>
      <c r="E435" s="679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732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81"/>
      <c r="R435" s="681"/>
      <c r="S435" s="681"/>
      <c r="T435" s="682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78">
        <v>4680115883147</v>
      </c>
      <c r="E436" s="679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721" t="s">
        <v>676</v>
      </c>
      <c r="Q436" s="681"/>
      <c r="R436" s="681"/>
      <c r="S436" s="681"/>
      <c r="T436" s="682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78">
        <v>4607091384338</v>
      </c>
      <c r="E437" s="679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104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81"/>
      <c r="R437" s="681"/>
      <c r="S437" s="681"/>
      <c r="T437" s="682"/>
      <c r="U437" s="34"/>
      <c r="V437" s="34"/>
      <c r="W437" s="35" t="s">
        <v>69</v>
      </c>
      <c r="X437" s="665">
        <v>6.3</v>
      </c>
      <c r="Y437" s="666">
        <f t="shared" si="62"/>
        <v>6.3000000000000007</v>
      </c>
      <c r="Z437" s="36">
        <f t="shared" si="67"/>
        <v>1.506E-2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6.6899999999999995</v>
      </c>
      <c r="BN437" s="64">
        <f t="shared" si="64"/>
        <v>6.69</v>
      </c>
      <c r="BO437" s="64">
        <f t="shared" si="65"/>
        <v>1.2820512820512822E-2</v>
      </c>
      <c r="BP437" s="64">
        <f t="shared" si="66"/>
        <v>1.2820512820512822E-2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78">
        <v>4607091389524</v>
      </c>
      <c r="E438" s="679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90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81"/>
      <c r="R438" s="681"/>
      <c r="S438" s="681"/>
      <c r="T438" s="682"/>
      <c r="U438" s="34"/>
      <c r="V438" s="34"/>
      <c r="W438" s="35" t="s">
        <v>69</v>
      </c>
      <c r="X438" s="665">
        <v>10.5</v>
      </c>
      <c r="Y438" s="666">
        <f t="shared" si="62"/>
        <v>10.5</v>
      </c>
      <c r="Z438" s="36">
        <f t="shared" si="67"/>
        <v>2.5100000000000001E-2</v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11.149999999999999</v>
      </c>
      <c r="BN438" s="64">
        <f t="shared" si="64"/>
        <v>11.149999999999999</v>
      </c>
      <c r="BO438" s="64">
        <f t="shared" si="65"/>
        <v>2.1367521367521368E-2</v>
      </c>
      <c r="BP438" s="64">
        <f t="shared" si="66"/>
        <v>2.1367521367521368E-2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78">
        <v>4680115883161</v>
      </c>
      <c r="E439" s="679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72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81"/>
      <c r="R439" s="681"/>
      <c r="S439" s="681"/>
      <c r="T439" s="682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78">
        <v>4680115883161</v>
      </c>
      <c r="E440" s="679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64" t="s">
        <v>686</v>
      </c>
      <c r="Q440" s="681"/>
      <c r="R440" s="681"/>
      <c r="S440" s="681"/>
      <c r="T440" s="682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78">
        <v>4607091389531</v>
      </c>
      <c r="E441" s="679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81"/>
      <c r="R441" s="681"/>
      <c r="S441" s="681"/>
      <c r="T441" s="682"/>
      <c r="U441" s="34"/>
      <c r="V441" s="34"/>
      <c r="W441" s="35" t="s">
        <v>69</v>
      </c>
      <c r="X441" s="665">
        <v>10.5</v>
      </c>
      <c r="Y441" s="666">
        <f t="shared" si="62"/>
        <v>10.5</v>
      </c>
      <c r="Z441" s="36">
        <f t="shared" si="67"/>
        <v>2.5100000000000001E-2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11.149999999999999</v>
      </c>
      <c r="BN441" s="64">
        <f t="shared" si="64"/>
        <v>11.149999999999999</v>
      </c>
      <c r="BO441" s="64">
        <f t="shared" si="65"/>
        <v>2.1367521367521368E-2</v>
      </c>
      <c r="BP441" s="64">
        <f t="shared" si="66"/>
        <v>2.1367521367521368E-2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78">
        <v>4607091384345</v>
      </c>
      <c r="E442" s="679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9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81"/>
      <c r="R442" s="681"/>
      <c r="S442" s="681"/>
      <c r="T442" s="682"/>
      <c r="U442" s="34"/>
      <c r="V442" s="34"/>
      <c r="W442" s="35" t="s">
        <v>69</v>
      </c>
      <c r="X442" s="665">
        <v>8.3999999999999986</v>
      </c>
      <c r="Y442" s="666">
        <f t="shared" si="62"/>
        <v>8.4</v>
      </c>
      <c r="Z442" s="36">
        <f t="shared" si="67"/>
        <v>2.0080000000000001E-2</v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8.9199999999999982</v>
      </c>
      <c r="BN442" s="64">
        <f t="shared" si="64"/>
        <v>8.92</v>
      </c>
      <c r="BO442" s="64">
        <f t="shared" si="65"/>
        <v>1.7094017094017092E-2</v>
      </c>
      <c r="BP442" s="64">
        <f t="shared" si="66"/>
        <v>1.7094017094017096E-2</v>
      </c>
    </row>
    <row r="443" spans="1:68" x14ac:dyDescent="0.2">
      <c r="A443" s="701"/>
      <c r="B443" s="677"/>
      <c r="C443" s="677"/>
      <c r="D443" s="677"/>
      <c r="E443" s="677"/>
      <c r="F443" s="677"/>
      <c r="G443" s="677"/>
      <c r="H443" s="677"/>
      <c r="I443" s="677"/>
      <c r="J443" s="677"/>
      <c r="K443" s="677"/>
      <c r="L443" s="677"/>
      <c r="M443" s="677"/>
      <c r="N443" s="677"/>
      <c r="O443" s="702"/>
      <c r="P443" s="673" t="s">
        <v>80</v>
      </c>
      <c r="Q443" s="674"/>
      <c r="R443" s="674"/>
      <c r="S443" s="674"/>
      <c r="T443" s="674"/>
      <c r="U443" s="674"/>
      <c r="V443" s="675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23.481481481481481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24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0.14848</v>
      </c>
      <c r="AA443" s="668"/>
      <c r="AB443" s="668"/>
      <c r="AC443" s="668"/>
    </row>
    <row r="444" spans="1:68" x14ac:dyDescent="0.2">
      <c r="A444" s="677"/>
      <c r="B444" s="677"/>
      <c r="C444" s="677"/>
      <c r="D444" s="677"/>
      <c r="E444" s="677"/>
      <c r="F444" s="677"/>
      <c r="G444" s="677"/>
      <c r="H444" s="677"/>
      <c r="I444" s="677"/>
      <c r="J444" s="677"/>
      <c r="K444" s="677"/>
      <c r="L444" s="677"/>
      <c r="M444" s="677"/>
      <c r="N444" s="677"/>
      <c r="O444" s="702"/>
      <c r="P444" s="673" t="s">
        <v>80</v>
      </c>
      <c r="Q444" s="674"/>
      <c r="R444" s="674"/>
      <c r="S444" s="674"/>
      <c r="T444" s="674"/>
      <c r="U444" s="674"/>
      <c r="V444" s="675"/>
      <c r="W444" s="37" t="s">
        <v>69</v>
      </c>
      <c r="X444" s="667">
        <f>IFERROR(SUM(X431:X442),"0")</f>
        <v>70.699999999999989</v>
      </c>
      <c r="Y444" s="667">
        <f>IFERROR(SUM(Y431:Y442),"0")</f>
        <v>73.500000000000014</v>
      </c>
      <c r="Z444" s="37"/>
      <c r="AA444" s="668"/>
      <c r="AB444" s="668"/>
      <c r="AC444" s="668"/>
    </row>
    <row r="445" spans="1:68" ht="14.25" hidden="1" customHeight="1" x14ac:dyDescent="0.25">
      <c r="A445" s="676" t="s">
        <v>64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8"/>
      <c r="AB445" s="658"/>
      <c r="AC445" s="658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78">
        <v>4607091384352</v>
      </c>
      <c r="E446" s="679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81"/>
      <c r="R446" s="681"/>
      <c r="S446" s="681"/>
      <c r="T446" s="682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78">
        <v>4607091389654</v>
      </c>
      <c r="E447" s="679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7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81"/>
      <c r="R447" s="681"/>
      <c r="S447" s="681"/>
      <c r="T447" s="682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70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702"/>
      <c r="P448" s="673" t="s">
        <v>80</v>
      </c>
      <c r="Q448" s="674"/>
      <c r="R448" s="674"/>
      <c r="S448" s="674"/>
      <c r="T448" s="674"/>
      <c r="U448" s="674"/>
      <c r="V448" s="675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702"/>
      <c r="P449" s="673" t="s">
        <v>80</v>
      </c>
      <c r="Q449" s="674"/>
      <c r="R449" s="674"/>
      <c r="S449" s="674"/>
      <c r="T449" s="674"/>
      <c r="U449" s="674"/>
      <c r="V449" s="675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689" t="s">
        <v>698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0"/>
      <c r="AB450" s="660"/>
      <c r="AC450" s="660"/>
    </row>
    <row r="451" spans="1:68" ht="14.25" hidden="1" customHeight="1" x14ac:dyDescent="0.25">
      <c r="A451" s="676" t="s">
        <v>133</v>
      </c>
      <c r="B451" s="677"/>
      <c r="C451" s="677"/>
      <c r="D451" s="677"/>
      <c r="E451" s="677"/>
      <c r="F451" s="677"/>
      <c r="G451" s="677"/>
      <c r="H451" s="677"/>
      <c r="I451" s="677"/>
      <c r="J451" s="677"/>
      <c r="K451" s="677"/>
      <c r="L451" s="677"/>
      <c r="M451" s="677"/>
      <c r="N451" s="677"/>
      <c r="O451" s="677"/>
      <c r="P451" s="677"/>
      <c r="Q451" s="677"/>
      <c r="R451" s="677"/>
      <c r="S451" s="677"/>
      <c r="T451" s="677"/>
      <c r="U451" s="677"/>
      <c r="V451" s="677"/>
      <c r="W451" s="677"/>
      <c r="X451" s="677"/>
      <c r="Y451" s="677"/>
      <c r="Z451" s="677"/>
      <c r="AA451" s="658"/>
      <c r="AB451" s="658"/>
      <c r="AC451" s="658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78">
        <v>4680115885240</v>
      </c>
      <c r="E452" s="679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81"/>
      <c r="R452" s="681"/>
      <c r="S452" s="681"/>
      <c r="T452" s="682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78">
        <v>4607091389364</v>
      </c>
      <c r="E453" s="679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98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81"/>
      <c r="R453" s="681"/>
      <c r="S453" s="681"/>
      <c r="T453" s="682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701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702"/>
      <c r="P454" s="673" t="s">
        <v>80</v>
      </c>
      <c r="Q454" s="674"/>
      <c r="R454" s="674"/>
      <c r="S454" s="674"/>
      <c r="T454" s="674"/>
      <c r="U454" s="674"/>
      <c r="V454" s="675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77"/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702"/>
      <c r="P455" s="673" t="s">
        <v>80</v>
      </c>
      <c r="Q455" s="674"/>
      <c r="R455" s="674"/>
      <c r="S455" s="674"/>
      <c r="T455" s="674"/>
      <c r="U455" s="674"/>
      <c r="V455" s="675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76" t="s">
        <v>144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58"/>
      <c r="AB456" s="658"/>
      <c r="AC456" s="658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78">
        <v>4680115886094</v>
      </c>
      <c r="E457" s="679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1039" t="s">
        <v>707</v>
      </c>
      <c r="Q457" s="681"/>
      <c r="R457" s="681"/>
      <c r="S457" s="681"/>
      <c r="T457" s="682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78">
        <v>4607091389425</v>
      </c>
      <c r="E458" s="679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10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81"/>
      <c r="R458" s="681"/>
      <c r="S458" s="681"/>
      <c r="T458" s="682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78">
        <v>4680115880771</v>
      </c>
      <c r="E459" s="679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860" t="s">
        <v>714</v>
      </c>
      <c r="Q459" s="681"/>
      <c r="R459" s="681"/>
      <c r="S459" s="681"/>
      <c r="T459" s="682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78">
        <v>4607091389500</v>
      </c>
      <c r="E460" s="679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8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81"/>
      <c r="R460" s="681"/>
      <c r="S460" s="681"/>
      <c r="T460" s="682"/>
      <c r="U460" s="34"/>
      <c r="V460" s="34"/>
      <c r="W460" s="35" t="s">
        <v>69</v>
      </c>
      <c r="X460" s="665">
        <v>2.1</v>
      </c>
      <c r="Y460" s="666">
        <f>IFERROR(IF(X460="",0,CEILING((X460/$H460),1)*$H460),"")</f>
        <v>2.1</v>
      </c>
      <c r="Z460" s="36">
        <f>IFERROR(IF(Y460=0,"",ROUNDUP(Y460/H460,0)*0.00502),"")</f>
        <v>5.0200000000000002E-3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2.23</v>
      </c>
      <c r="BN460" s="64">
        <f>IFERROR(Y460*I460/H460,"0")</f>
        <v>2.23</v>
      </c>
      <c r="BO460" s="64">
        <f>IFERROR(1/J460*(X460/H460),"0")</f>
        <v>4.2735042735042739E-3</v>
      </c>
      <c r="BP460" s="64">
        <f>IFERROR(1/J460*(Y460/H460),"0")</f>
        <v>4.2735042735042739E-3</v>
      </c>
    </row>
    <row r="461" spans="1:68" x14ac:dyDescent="0.2">
      <c r="A461" s="701"/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702"/>
      <c r="P461" s="673" t="s">
        <v>80</v>
      </c>
      <c r="Q461" s="674"/>
      <c r="R461" s="674"/>
      <c r="S461" s="674"/>
      <c r="T461" s="674"/>
      <c r="U461" s="674"/>
      <c r="V461" s="675"/>
      <c r="W461" s="37" t="s">
        <v>81</v>
      </c>
      <c r="X461" s="667">
        <f>IFERROR(X457/H457,"0")+IFERROR(X458/H458,"0")+IFERROR(X459/H459,"0")+IFERROR(X460/H460,"0")</f>
        <v>1</v>
      </c>
      <c r="Y461" s="667">
        <f>IFERROR(Y457/H457,"0")+IFERROR(Y458/H458,"0")+IFERROR(Y459/H459,"0")+IFERROR(Y460/H460,"0")</f>
        <v>1</v>
      </c>
      <c r="Z461" s="667">
        <f>IFERROR(IF(Z457="",0,Z457),"0")+IFERROR(IF(Z458="",0,Z458),"0")+IFERROR(IF(Z459="",0,Z459),"0")+IFERROR(IF(Z460="",0,Z460),"0")</f>
        <v>5.0200000000000002E-3</v>
      </c>
      <c r="AA461" s="668"/>
      <c r="AB461" s="668"/>
      <c r="AC461" s="668"/>
    </row>
    <row r="462" spans="1:68" x14ac:dyDescent="0.2">
      <c r="A462" s="677"/>
      <c r="B462" s="677"/>
      <c r="C462" s="677"/>
      <c r="D462" s="677"/>
      <c r="E462" s="677"/>
      <c r="F462" s="677"/>
      <c r="G462" s="677"/>
      <c r="H462" s="677"/>
      <c r="I462" s="677"/>
      <c r="J462" s="677"/>
      <c r="K462" s="677"/>
      <c r="L462" s="677"/>
      <c r="M462" s="677"/>
      <c r="N462" s="677"/>
      <c r="O462" s="702"/>
      <c r="P462" s="673" t="s">
        <v>80</v>
      </c>
      <c r="Q462" s="674"/>
      <c r="R462" s="674"/>
      <c r="S462" s="674"/>
      <c r="T462" s="674"/>
      <c r="U462" s="674"/>
      <c r="V462" s="675"/>
      <c r="W462" s="37" t="s">
        <v>69</v>
      </c>
      <c r="X462" s="667">
        <f>IFERROR(SUM(X457:X460),"0")</f>
        <v>2.1</v>
      </c>
      <c r="Y462" s="667">
        <f>IFERROR(SUM(Y457:Y460),"0")</f>
        <v>2.1</v>
      </c>
      <c r="Z462" s="37"/>
      <c r="AA462" s="668"/>
      <c r="AB462" s="668"/>
      <c r="AC462" s="668"/>
    </row>
    <row r="463" spans="1:68" ht="16.5" hidden="1" customHeight="1" x14ac:dyDescent="0.25">
      <c r="A463" s="689" t="s">
        <v>718</v>
      </c>
      <c r="B463" s="677"/>
      <c r="C463" s="677"/>
      <c r="D463" s="677"/>
      <c r="E463" s="677"/>
      <c r="F463" s="677"/>
      <c r="G463" s="677"/>
      <c r="H463" s="677"/>
      <c r="I463" s="677"/>
      <c r="J463" s="677"/>
      <c r="K463" s="677"/>
      <c r="L463" s="677"/>
      <c r="M463" s="677"/>
      <c r="N463" s="677"/>
      <c r="O463" s="677"/>
      <c r="P463" s="677"/>
      <c r="Q463" s="677"/>
      <c r="R463" s="677"/>
      <c r="S463" s="677"/>
      <c r="T463" s="677"/>
      <c r="U463" s="677"/>
      <c r="V463" s="677"/>
      <c r="W463" s="677"/>
      <c r="X463" s="677"/>
      <c r="Y463" s="677"/>
      <c r="Z463" s="677"/>
      <c r="AA463" s="660"/>
      <c r="AB463" s="660"/>
      <c r="AC463" s="660"/>
    </row>
    <row r="464" spans="1:68" ht="14.25" hidden="1" customHeight="1" x14ac:dyDescent="0.25">
      <c r="A464" s="676" t="s">
        <v>144</v>
      </c>
      <c r="B464" s="677"/>
      <c r="C464" s="677"/>
      <c r="D464" s="677"/>
      <c r="E464" s="677"/>
      <c r="F464" s="677"/>
      <c r="G464" s="677"/>
      <c r="H464" s="677"/>
      <c r="I464" s="677"/>
      <c r="J464" s="677"/>
      <c r="K464" s="677"/>
      <c r="L464" s="677"/>
      <c r="M464" s="677"/>
      <c r="N464" s="677"/>
      <c r="O464" s="677"/>
      <c r="P464" s="677"/>
      <c r="Q464" s="677"/>
      <c r="R464" s="677"/>
      <c r="S464" s="677"/>
      <c r="T464" s="677"/>
      <c r="U464" s="677"/>
      <c r="V464" s="677"/>
      <c r="W464" s="677"/>
      <c r="X464" s="677"/>
      <c r="Y464" s="677"/>
      <c r="Z464" s="677"/>
      <c r="AA464" s="658"/>
      <c r="AB464" s="658"/>
      <c r="AC464" s="658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78">
        <v>4680115885189</v>
      </c>
      <c r="E465" s="679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783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81"/>
      <c r="R465" s="681"/>
      <c r="S465" s="681"/>
      <c r="T465" s="682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78">
        <v>4680115885110</v>
      </c>
      <c r="E466" s="679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966" t="s">
        <v>724</v>
      </c>
      <c r="Q466" s="681"/>
      <c r="R466" s="681"/>
      <c r="S466" s="681"/>
      <c r="T466" s="682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701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702"/>
      <c r="P467" s="673" t="s">
        <v>80</v>
      </c>
      <c r="Q467" s="674"/>
      <c r="R467" s="674"/>
      <c r="S467" s="674"/>
      <c r="T467" s="674"/>
      <c r="U467" s="674"/>
      <c r="V467" s="675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77"/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702"/>
      <c r="P468" s="673" t="s">
        <v>80</v>
      </c>
      <c r="Q468" s="674"/>
      <c r="R468" s="674"/>
      <c r="S468" s="674"/>
      <c r="T468" s="674"/>
      <c r="U468" s="674"/>
      <c r="V468" s="675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689" t="s">
        <v>726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0"/>
      <c r="AB469" s="660"/>
      <c r="AC469" s="660"/>
    </row>
    <row r="470" spans="1:68" ht="14.25" hidden="1" customHeight="1" x14ac:dyDescent="0.25">
      <c r="A470" s="676" t="s">
        <v>144</v>
      </c>
      <c r="B470" s="677"/>
      <c r="C470" s="677"/>
      <c r="D470" s="677"/>
      <c r="E470" s="677"/>
      <c r="F470" s="677"/>
      <c r="G470" s="677"/>
      <c r="H470" s="677"/>
      <c r="I470" s="677"/>
      <c r="J470" s="677"/>
      <c r="K470" s="677"/>
      <c r="L470" s="677"/>
      <c r="M470" s="677"/>
      <c r="N470" s="677"/>
      <c r="O470" s="677"/>
      <c r="P470" s="677"/>
      <c r="Q470" s="677"/>
      <c r="R470" s="677"/>
      <c r="S470" s="677"/>
      <c r="T470" s="677"/>
      <c r="U470" s="677"/>
      <c r="V470" s="677"/>
      <c r="W470" s="677"/>
      <c r="X470" s="677"/>
      <c r="Y470" s="677"/>
      <c r="Z470" s="677"/>
      <c r="AA470" s="658"/>
      <c r="AB470" s="658"/>
      <c r="AC470" s="658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78">
        <v>4680115885103</v>
      </c>
      <c r="E471" s="679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98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81"/>
      <c r="R471" s="681"/>
      <c r="S471" s="681"/>
      <c r="T471" s="682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70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702"/>
      <c r="P472" s="673" t="s">
        <v>80</v>
      </c>
      <c r="Q472" s="674"/>
      <c r="R472" s="674"/>
      <c r="S472" s="674"/>
      <c r="T472" s="674"/>
      <c r="U472" s="674"/>
      <c r="V472" s="675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702"/>
      <c r="P473" s="673" t="s">
        <v>80</v>
      </c>
      <c r="Q473" s="674"/>
      <c r="R473" s="674"/>
      <c r="S473" s="674"/>
      <c r="T473" s="674"/>
      <c r="U473" s="674"/>
      <c r="V473" s="675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76" t="s">
        <v>170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58"/>
      <c r="AB474" s="658"/>
      <c r="AC474" s="658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78">
        <v>4680115885509</v>
      </c>
      <c r="E475" s="679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81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81"/>
      <c r="R475" s="681"/>
      <c r="S475" s="681"/>
      <c r="T475" s="682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701"/>
      <c r="B476" s="677"/>
      <c r="C476" s="677"/>
      <c r="D476" s="677"/>
      <c r="E476" s="677"/>
      <c r="F476" s="677"/>
      <c r="G476" s="677"/>
      <c r="H476" s="677"/>
      <c r="I476" s="677"/>
      <c r="J476" s="677"/>
      <c r="K476" s="677"/>
      <c r="L476" s="677"/>
      <c r="M476" s="677"/>
      <c r="N476" s="677"/>
      <c r="O476" s="702"/>
      <c r="P476" s="673" t="s">
        <v>80</v>
      </c>
      <c r="Q476" s="674"/>
      <c r="R476" s="674"/>
      <c r="S476" s="674"/>
      <c r="T476" s="674"/>
      <c r="U476" s="674"/>
      <c r="V476" s="675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77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702"/>
      <c r="P477" s="673" t="s">
        <v>80</v>
      </c>
      <c r="Q477" s="674"/>
      <c r="R477" s="674"/>
      <c r="S477" s="674"/>
      <c r="T477" s="674"/>
      <c r="U477" s="674"/>
      <c r="V477" s="675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671" t="s">
        <v>733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48"/>
      <c r="AB478" s="48"/>
      <c r="AC478" s="48"/>
    </row>
    <row r="479" spans="1:68" ht="16.5" hidden="1" customHeight="1" x14ac:dyDescent="0.25">
      <c r="A479" s="689" t="s">
        <v>733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0"/>
      <c r="AB479" s="660"/>
      <c r="AC479" s="660"/>
    </row>
    <row r="480" spans="1:68" ht="14.25" hidden="1" customHeight="1" x14ac:dyDescent="0.25">
      <c r="A480" s="676" t="s">
        <v>90</v>
      </c>
      <c r="B480" s="677"/>
      <c r="C480" s="677"/>
      <c r="D480" s="677"/>
      <c r="E480" s="677"/>
      <c r="F480" s="677"/>
      <c r="G480" s="677"/>
      <c r="H480" s="677"/>
      <c r="I480" s="677"/>
      <c r="J480" s="677"/>
      <c r="K480" s="677"/>
      <c r="L480" s="677"/>
      <c r="M480" s="677"/>
      <c r="N480" s="677"/>
      <c r="O480" s="677"/>
      <c r="P480" s="677"/>
      <c r="Q480" s="677"/>
      <c r="R480" s="677"/>
      <c r="S480" s="677"/>
      <c r="T480" s="677"/>
      <c r="U480" s="677"/>
      <c r="V480" s="677"/>
      <c r="W480" s="677"/>
      <c r="X480" s="677"/>
      <c r="Y480" s="677"/>
      <c r="Z480" s="677"/>
      <c r="AA480" s="658"/>
      <c r="AB480" s="658"/>
      <c r="AC480" s="658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78">
        <v>4607091389067</v>
      </c>
      <c r="E481" s="679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81"/>
      <c r="R481" s="681"/>
      <c r="S481" s="681"/>
      <c r="T481" s="682"/>
      <c r="U481" s="34"/>
      <c r="V481" s="34"/>
      <c r="W481" s="35" t="s">
        <v>69</v>
      </c>
      <c r="X481" s="665">
        <v>85</v>
      </c>
      <c r="Y481" s="666">
        <f t="shared" ref="Y481:Y495" si="68">IFERROR(IF(X481="",0,CEILING((X481/$H481),1)*$H481),"")</f>
        <v>89.76</v>
      </c>
      <c r="Z481" s="36">
        <f>IFERROR(IF(Y481=0,"",ROUNDUP(Y481/H481,0)*0.01196),"")</f>
        <v>0.20332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90.795454545454533</v>
      </c>
      <c r="BN481" s="64">
        <f t="shared" ref="BN481:BN495" si="70">IFERROR(Y481*I481/H481,"0")</f>
        <v>95.88</v>
      </c>
      <c r="BO481" s="64">
        <f t="shared" ref="BO481:BO495" si="71">IFERROR(1/J481*(X481/H481),"0")</f>
        <v>0.15479312354312355</v>
      </c>
      <c r="BP481" s="64">
        <f t="shared" ref="BP481:BP495" si="72">IFERROR(1/J481*(Y481/H481),"0")</f>
        <v>0.16346153846153846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78">
        <v>4680115885271</v>
      </c>
      <c r="E482" s="679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81"/>
      <c r="R482" s="681"/>
      <c r="S482" s="681"/>
      <c r="T482" s="682"/>
      <c r="U482" s="34"/>
      <c r="V482" s="34"/>
      <c r="W482" s="35" t="s">
        <v>69</v>
      </c>
      <c r="X482" s="665">
        <v>5</v>
      </c>
      <c r="Y482" s="666">
        <f t="shared" si="68"/>
        <v>5.28</v>
      </c>
      <c r="Z482" s="36">
        <f>IFERROR(IF(Y482=0,"",ROUNDUP(Y482/H482,0)*0.01196),"")</f>
        <v>1.196E-2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5.3409090909090908</v>
      </c>
      <c r="BN482" s="64">
        <f t="shared" si="70"/>
        <v>5.64</v>
      </c>
      <c r="BO482" s="64">
        <f t="shared" si="71"/>
        <v>9.1054778554778559E-3</v>
      </c>
      <c r="BP482" s="64">
        <f t="shared" si="72"/>
        <v>9.6153846153846159E-3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78">
        <v>4680115885226</v>
      </c>
      <c r="E483" s="679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8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81"/>
      <c r="R483" s="681"/>
      <c r="S483" s="681"/>
      <c r="T483" s="682"/>
      <c r="U483" s="34"/>
      <c r="V483" s="34"/>
      <c r="W483" s="35" t="s">
        <v>69</v>
      </c>
      <c r="X483" s="665">
        <v>20</v>
      </c>
      <c r="Y483" s="666">
        <f t="shared" si="68"/>
        <v>21.12</v>
      </c>
      <c r="Z483" s="36">
        <f>IFERROR(IF(Y483=0,"",ROUNDUP(Y483/H483,0)*0.01196),"")</f>
        <v>4.7840000000000001E-2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21.363636363636363</v>
      </c>
      <c r="BN483" s="64">
        <f t="shared" si="70"/>
        <v>22.56</v>
      </c>
      <c r="BO483" s="64">
        <f t="shared" si="71"/>
        <v>3.6421911421911424E-2</v>
      </c>
      <c r="BP483" s="64">
        <f t="shared" si="72"/>
        <v>3.8461538461538464E-2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78">
        <v>4607091389104</v>
      </c>
      <c r="E484" s="679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7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1"/>
      <c r="R484" s="681"/>
      <c r="S484" s="681"/>
      <c r="T484" s="682"/>
      <c r="U484" s="34"/>
      <c r="V484" s="34"/>
      <c r="W484" s="35" t="s">
        <v>69</v>
      </c>
      <c r="X484" s="665">
        <v>20</v>
      </c>
      <c r="Y484" s="666">
        <f t="shared" si="68"/>
        <v>21.12</v>
      </c>
      <c r="Z484" s="36">
        <f>IFERROR(IF(Y484=0,"",ROUNDUP(Y484/H484,0)*0.01196),"")</f>
        <v>4.7840000000000001E-2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21.363636363636363</v>
      </c>
      <c r="BN484" s="64">
        <f t="shared" si="70"/>
        <v>22.56</v>
      </c>
      <c r="BO484" s="64">
        <f t="shared" si="71"/>
        <v>3.6421911421911424E-2</v>
      </c>
      <c r="BP484" s="64">
        <f t="shared" si="72"/>
        <v>3.8461538461538464E-2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78">
        <v>4680115884519</v>
      </c>
      <c r="E485" s="679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84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1"/>
      <c r="R485" s="681"/>
      <c r="S485" s="681"/>
      <c r="T485" s="682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78">
        <v>4680115886391</v>
      </c>
      <c r="E486" s="679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749" t="s">
        <v>751</v>
      </c>
      <c r="Q486" s="681"/>
      <c r="R486" s="681"/>
      <c r="S486" s="681"/>
      <c r="T486" s="682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78">
        <v>4680115880603</v>
      </c>
      <c r="E487" s="679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1"/>
      <c r="R487" s="681"/>
      <c r="S487" s="681"/>
      <c r="T487" s="682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78">
        <v>4680115880603</v>
      </c>
      <c r="E488" s="679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81"/>
      <c r="R488" s="681"/>
      <c r="S488" s="681"/>
      <c r="T488" s="682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78">
        <v>4680115882782</v>
      </c>
      <c r="E489" s="679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9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1"/>
      <c r="R489" s="681"/>
      <c r="S489" s="681"/>
      <c r="T489" s="682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78">
        <v>4680115886469</v>
      </c>
      <c r="E490" s="679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785" t="s">
        <v>759</v>
      </c>
      <c r="Q490" s="681"/>
      <c r="R490" s="681"/>
      <c r="S490" s="681"/>
      <c r="T490" s="682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78">
        <v>4680115886483</v>
      </c>
      <c r="E491" s="679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86" t="s">
        <v>762</v>
      </c>
      <c r="Q491" s="681"/>
      <c r="R491" s="681"/>
      <c r="S491" s="681"/>
      <c r="T491" s="682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78">
        <v>4680115885479</v>
      </c>
      <c r="E492" s="679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956" t="s">
        <v>766</v>
      </c>
      <c r="Q492" s="681"/>
      <c r="R492" s="681"/>
      <c r="S492" s="681"/>
      <c r="T492" s="682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78">
        <v>4607091389982</v>
      </c>
      <c r="E493" s="679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9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1"/>
      <c r="R493" s="681"/>
      <c r="S493" s="681"/>
      <c r="T493" s="682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78">
        <v>4607091389982</v>
      </c>
      <c r="E494" s="679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96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1"/>
      <c r="R494" s="681"/>
      <c r="S494" s="681"/>
      <c r="T494" s="682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78">
        <v>4680115886490</v>
      </c>
      <c r="E495" s="679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9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1"/>
      <c r="R495" s="681"/>
      <c r="S495" s="681"/>
      <c r="T495" s="682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701"/>
      <c r="B496" s="677"/>
      <c r="C496" s="677"/>
      <c r="D496" s="677"/>
      <c r="E496" s="677"/>
      <c r="F496" s="677"/>
      <c r="G496" s="677"/>
      <c r="H496" s="677"/>
      <c r="I496" s="677"/>
      <c r="J496" s="677"/>
      <c r="K496" s="677"/>
      <c r="L496" s="677"/>
      <c r="M496" s="677"/>
      <c r="N496" s="677"/>
      <c r="O496" s="702"/>
      <c r="P496" s="673" t="s">
        <v>80</v>
      </c>
      <c r="Q496" s="674"/>
      <c r="R496" s="674"/>
      <c r="S496" s="674"/>
      <c r="T496" s="674"/>
      <c r="U496" s="674"/>
      <c r="V496" s="675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24.621212121212121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26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0.31096000000000001</v>
      </c>
      <c r="AA496" s="668"/>
      <c r="AB496" s="668"/>
      <c r="AC496" s="668"/>
    </row>
    <row r="497" spans="1:68" x14ac:dyDescent="0.2">
      <c r="A497" s="677"/>
      <c r="B497" s="677"/>
      <c r="C497" s="677"/>
      <c r="D497" s="677"/>
      <c r="E497" s="677"/>
      <c r="F497" s="677"/>
      <c r="G497" s="677"/>
      <c r="H497" s="677"/>
      <c r="I497" s="677"/>
      <c r="J497" s="677"/>
      <c r="K497" s="677"/>
      <c r="L497" s="677"/>
      <c r="M497" s="677"/>
      <c r="N497" s="677"/>
      <c r="O497" s="702"/>
      <c r="P497" s="673" t="s">
        <v>80</v>
      </c>
      <c r="Q497" s="674"/>
      <c r="R497" s="674"/>
      <c r="S497" s="674"/>
      <c r="T497" s="674"/>
      <c r="U497" s="674"/>
      <c r="V497" s="675"/>
      <c r="W497" s="37" t="s">
        <v>69</v>
      </c>
      <c r="X497" s="667">
        <f>IFERROR(SUM(X481:X495),"0")</f>
        <v>130</v>
      </c>
      <c r="Y497" s="667">
        <f>IFERROR(SUM(Y481:Y495),"0")</f>
        <v>137.28</v>
      </c>
      <c r="Z497" s="37"/>
      <c r="AA497" s="668"/>
      <c r="AB497" s="668"/>
      <c r="AC497" s="668"/>
    </row>
    <row r="498" spans="1:68" ht="14.25" hidden="1" customHeight="1" x14ac:dyDescent="0.25">
      <c r="A498" s="676" t="s">
        <v>133</v>
      </c>
      <c r="B498" s="677"/>
      <c r="C498" s="677"/>
      <c r="D498" s="677"/>
      <c r="E498" s="677"/>
      <c r="F498" s="677"/>
      <c r="G498" s="677"/>
      <c r="H498" s="677"/>
      <c r="I498" s="677"/>
      <c r="J498" s="677"/>
      <c r="K498" s="677"/>
      <c r="L498" s="677"/>
      <c r="M498" s="677"/>
      <c r="N498" s="677"/>
      <c r="O498" s="677"/>
      <c r="P498" s="677"/>
      <c r="Q498" s="677"/>
      <c r="R498" s="677"/>
      <c r="S498" s="677"/>
      <c r="T498" s="677"/>
      <c r="U498" s="677"/>
      <c r="V498" s="677"/>
      <c r="W498" s="677"/>
      <c r="X498" s="677"/>
      <c r="Y498" s="677"/>
      <c r="Z498" s="677"/>
      <c r="AA498" s="658"/>
      <c r="AB498" s="658"/>
      <c r="AC498" s="658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78">
        <v>4607091388930</v>
      </c>
      <c r="E499" s="679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71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1"/>
      <c r="R499" s="681"/>
      <c r="S499" s="681"/>
      <c r="T499" s="682"/>
      <c r="U499" s="34"/>
      <c r="V499" s="34"/>
      <c r="W499" s="35" t="s">
        <v>69</v>
      </c>
      <c r="X499" s="665">
        <v>200</v>
      </c>
      <c r="Y499" s="666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78">
        <v>4607091388930</v>
      </c>
      <c r="E500" s="679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839" t="s">
        <v>777</v>
      </c>
      <c r="Q500" s="681"/>
      <c r="R500" s="681"/>
      <c r="S500" s="681"/>
      <c r="T500" s="682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78">
        <v>4680115886407</v>
      </c>
      <c r="E501" s="679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909" t="s">
        <v>781</v>
      </c>
      <c r="Q501" s="681"/>
      <c r="R501" s="681"/>
      <c r="S501" s="681"/>
      <c r="T501" s="682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78">
        <v>4680115880054</v>
      </c>
      <c r="E502" s="679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998" t="s">
        <v>784</v>
      </c>
      <c r="Q502" s="681"/>
      <c r="R502" s="681"/>
      <c r="S502" s="681"/>
      <c r="T502" s="682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701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702"/>
      <c r="P503" s="673" t="s">
        <v>80</v>
      </c>
      <c r="Q503" s="674"/>
      <c r="R503" s="674"/>
      <c r="S503" s="674"/>
      <c r="T503" s="674"/>
      <c r="U503" s="674"/>
      <c r="V503" s="675"/>
      <c r="W503" s="37" t="s">
        <v>81</v>
      </c>
      <c r="X503" s="667">
        <f>IFERROR(X499/H499,"0")+IFERROR(X500/H500,"0")+IFERROR(X501/H501,"0")+IFERROR(X502/H502,"0")</f>
        <v>37.878787878787875</v>
      </c>
      <c r="Y503" s="667">
        <f>IFERROR(Y499/H499,"0")+IFERROR(Y500/H500,"0")+IFERROR(Y501/H501,"0")+IFERROR(Y502/H502,"0")</f>
        <v>38</v>
      </c>
      <c r="Z503" s="667">
        <f>IFERROR(IF(Z499="",0,Z499),"0")+IFERROR(IF(Z500="",0,Z500),"0")+IFERROR(IF(Z501="",0,Z501),"0")+IFERROR(IF(Z502="",0,Z502),"0")</f>
        <v>0.45448</v>
      </c>
      <c r="AA503" s="668"/>
      <c r="AB503" s="668"/>
      <c r="AC503" s="668"/>
    </row>
    <row r="504" spans="1:68" x14ac:dyDescent="0.2">
      <c r="A504" s="677"/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702"/>
      <c r="P504" s="673" t="s">
        <v>80</v>
      </c>
      <c r="Q504" s="674"/>
      <c r="R504" s="674"/>
      <c r="S504" s="674"/>
      <c r="T504" s="674"/>
      <c r="U504" s="674"/>
      <c r="V504" s="675"/>
      <c r="W504" s="37" t="s">
        <v>69</v>
      </c>
      <c r="X504" s="667">
        <f>IFERROR(SUM(X499:X502),"0")</f>
        <v>200</v>
      </c>
      <c r="Y504" s="667">
        <f>IFERROR(SUM(Y499:Y502),"0")</f>
        <v>200.64000000000001</v>
      </c>
      <c r="Z504" s="37"/>
      <c r="AA504" s="668"/>
      <c r="AB504" s="668"/>
      <c r="AC504" s="668"/>
    </row>
    <row r="505" spans="1:68" ht="14.25" hidden="1" customHeight="1" x14ac:dyDescent="0.25">
      <c r="A505" s="676" t="s">
        <v>144</v>
      </c>
      <c r="B505" s="677"/>
      <c r="C505" s="677"/>
      <c r="D505" s="677"/>
      <c r="E505" s="677"/>
      <c r="F505" s="677"/>
      <c r="G505" s="677"/>
      <c r="H505" s="677"/>
      <c r="I505" s="677"/>
      <c r="J505" s="677"/>
      <c r="K505" s="677"/>
      <c r="L505" s="677"/>
      <c r="M505" s="677"/>
      <c r="N505" s="677"/>
      <c r="O505" s="677"/>
      <c r="P505" s="677"/>
      <c r="Q505" s="677"/>
      <c r="R505" s="677"/>
      <c r="S505" s="677"/>
      <c r="T505" s="677"/>
      <c r="U505" s="677"/>
      <c r="V505" s="677"/>
      <c r="W505" s="677"/>
      <c r="X505" s="677"/>
      <c r="Y505" s="677"/>
      <c r="Z505" s="677"/>
      <c r="AA505" s="658"/>
      <c r="AB505" s="658"/>
      <c r="AC505" s="658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78">
        <v>4680115883116</v>
      </c>
      <c r="E506" s="679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75" t="s">
        <v>787</v>
      </c>
      <c r="Q506" s="681"/>
      <c r="R506" s="681"/>
      <c r="S506" s="681"/>
      <c r="T506" s="682"/>
      <c r="U506" s="34"/>
      <c r="V506" s="34"/>
      <c r="W506" s="35" t="s">
        <v>69</v>
      </c>
      <c r="X506" s="665">
        <v>10</v>
      </c>
      <c r="Y506" s="666">
        <f t="shared" ref="Y506:Y517" si="73">IFERROR(IF(X506="",0,CEILING((X506/$H506),1)*$H506),"")</f>
        <v>10.56</v>
      </c>
      <c r="Z506" s="36">
        <f>IFERROR(IF(Y506=0,"",ROUNDUP(Y506/H506,0)*0.01196),"")</f>
        <v>2.392E-2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10.681818181818182</v>
      </c>
      <c r="BN506" s="64">
        <f t="shared" ref="BN506:BN517" si="75">IFERROR(Y506*I506/H506,"0")</f>
        <v>11.28</v>
      </c>
      <c r="BO506" s="64">
        <f t="shared" ref="BO506:BO517" si="76">IFERROR(1/J506*(X506/H506),"0")</f>
        <v>1.8210955710955712E-2</v>
      </c>
      <c r="BP506" s="64">
        <f t="shared" ref="BP506:BP517" si="77">IFERROR(1/J506*(Y506/H506),"0")</f>
        <v>1.9230769230769232E-2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78">
        <v>4680115883093</v>
      </c>
      <c r="E507" s="679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680" t="s">
        <v>791</v>
      </c>
      <c r="Q507" s="681"/>
      <c r="R507" s="681"/>
      <c r="S507" s="681"/>
      <c r="T507" s="682"/>
      <c r="U507" s="34"/>
      <c r="V507" s="34"/>
      <c r="W507" s="35" t="s">
        <v>69</v>
      </c>
      <c r="X507" s="665">
        <v>40</v>
      </c>
      <c r="Y507" s="666">
        <f t="shared" si="73"/>
        <v>42.24</v>
      </c>
      <c r="Z507" s="36">
        <f>IFERROR(IF(Y507=0,"",ROUNDUP(Y507/H507,0)*0.01196),"")</f>
        <v>9.5680000000000001E-2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42.727272727272727</v>
      </c>
      <c r="BN507" s="64">
        <f t="shared" si="75"/>
        <v>45.12</v>
      </c>
      <c r="BO507" s="64">
        <f t="shared" si="76"/>
        <v>7.2843822843822847E-2</v>
      </c>
      <c r="BP507" s="64">
        <f t="shared" si="77"/>
        <v>7.6923076923076927E-2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78">
        <v>4680115883109</v>
      </c>
      <c r="E508" s="679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981" t="s">
        <v>795</v>
      </c>
      <c r="Q508" s="681"/>
      <c r="R508" s="681"/>
      <c r="S508" s="681"/>
      <c r="T508" s="682"/>
      <c r="U508" s="34"/>
      <c r="V508" s="34"/>
      <c r="W508" s="35" t="s">
        <v>69</v>
      </c>
      <c r="X508" s="665">
        <v>30</v>
      </c>
      <c r="Y508" s="666">
        <f t="shared" si="73"/>
        <v>31.68</v>
      </c>
      <c r="Z508" s="36">
        <f>IFERROR(IF(Y508=0,"",ROUNDUP(Y508/H508,0)*0.01196),"")</f>
        <v>7.1760000000000004E-2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32.04545454545454</v>
      </c>
      <c r="BN508" s="64">
        <f t="shared" si="75"/>
        <v>33.839999999999996</v>
      </c>
      <c r="BO508" s="64">
        <f t="shared" si="76"/>
        <v>5.4632867132867136E-2</v>
      </c>
      <c r="BP508" s="64">
        <f t="shared" si="77"/>
        <v>5.7692307692307696E-2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78">
        <v>4680115886438</v>
      </c>
      <c r="E509" s="679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743" t="s">
        <v>799</v>
      </c>
      <c r="Q509" s="681"/>
      <c r="R509" s="681"/>
      <c r="S509" s="681"/>
      <c r="T509" s="682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78">
        <v>4680115882072</v>
      </c>
      <c r="E510" s="679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724" t="s">
        <v>802</v>
      </c>
      <c r="Q510" s="681"/>
      <c r="R510" s="681"/>
      <c r="S510" s="681"/>
      <c r="T510" s="682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78">
        <v>4680115882072</v>
      </c>
      <c r="E511" s="679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1"/>
      <c r="R511" s="681"/>
      <c r="S511" s="681"/>
      <c r="T511" s="682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78">
        <v>4680115882072</v>
      </c>
      <c r="E512" s="679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847" t="s">
        <v>806</v>
      </c>
      <c r="Q512" s="681"/>
      <c r="R512" s="681"/>
      <c r="S512" s="681"/>
      <c r="T512" s="682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78">
        <v>4680115882102</v>
      </c>
      <c r="E513" s="679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928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1"/>
      <c r="R513" s="681"/>
      <c r="S513" s="681"/>
      <c r="T513" s="682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78">
        <v>4680115882102</v>
      </c>
      <c r="E514" s="679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912" t="s">
        <v>811</v>
      </c>
      <c r="Q514" s="681"/>
      <c r="R514" s="681"/>
      <c r="S514" s="681"/>
      <c r="T514" s="682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78">
        <v>4680115882096</v>
      </c>
      <c r="E515" s="679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77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1"/>
      <c r="R515" s="681"/>
      <c r="S515" s="681"/>
      <c r="T515" s="682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78">
        <v>4680115882096</v>
      </c>
      <c r="E516" s="679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8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81"/>
      <c r="R516" s="681"/>
      <c r="S516" s="681"/>
      <c r="T516" s="682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78">
        <v>4680115882096</v>
      </c>
      <c r="E517" s="679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856" t="s">
        <v>817</v>
      </c>
      <c r="Q517" s="681"/>
      <c r="R517" s="681"/>
      <c r="S517" s="681"/>
      <c r="T517" s="682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701"/>
      <c r="B518" s="677"/>
      <c r="C518" s="677"/>
      <c r="D518" s="677"/>
      <c r="E518" s="677"/>
      <c r="F518" s="677"/>
      <c r="G518" s="677"/>
      <c r="H518" s="677"/>
      <c r="I518" s="677"/>
      <c r="J518" s="677"/>
      <c r="K518" s="677"/>
      <c r="L518" s="677"/>
      <c r="M518" s="677"/>
      <c r="N518" s="677"/>
      <c r="O518" s="702"/>
      <c r="P518" s="673" t="s">
        <v>80</v>
      </c>
      <c r="Q518" s="674"/>
      <c r="R518" s="674"/>
      <c r="S518" s="674"/>
      <c r="T518" s="674"/>
      <c r="U518" s="674"/>
      <c r="V518" s="675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15.15151515151515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16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0.19136</v>
      </c>
      <c r="AA518" s="668"/>
      <c r="AB518" s="668"/>
      <c r="AC518" s="668"/>
    </row>
    <row r="519" spans="1:68" x14ac:dyDescent="0.2">
      <c r="A519" s="677"/>
      <c r="B519" s="677"/>
      <c r="C519" s="677"/>
      <c r="D519" s="677"/>
      <c r="E519" s="677"/>
      <c r="F519" s="677"/>
      <c r="G519" s="677"/>
      <c r="H519" s="677"/>
      <c r="I519" s="677"/>
      <c r="J519" s="677"/>
      <c r="K519" s="677"/>
      <c r="L519" s="677"/>
      <c r="M519" s="677"/>
      <c r="N519" s="677"/>
      <c r="O519" s="702"/>
      <c r="P519" s="673" t="s">
        <v>80</v>
      </c>
      <c r="Q519" s="674"/>
      <c r="R519" s="674"/>
      <c r="S519" s="674"/>
      <c r="T519" s="674"/>
      <c r="U519" s="674"/>
      <c r="V519" s="675"/>
      <c r="W519" s="37" t="s">
        <v>69</v>
      </c>
      <c r="X519" s="667">
        <f>IFERROR(SUM(X506:X517),"0")</f>
        <v>80</v>
      </c>
      <c r="Y519" s="667">
        <f>IFERROR(SUM(Y506:Y517),"0")</f>
        <v>84.48</v>
      </c>
      <c r="Z519" s="37"/>
      <c r="AA519" s="668"/>
      <c r="AB519" s="668"/>
      <c r="AC519" s="668"/>
    </row>
    <row r="520" spans="1:68" ht="14.25" hidden="1" customHeight="1" x14ac:dyDescent="0.25">
      <c r="A520" s="676" t="s">
        <v>64</v>
      </c>
      <c r="B520" s="677"/>
      <c r="C520" s="677"/>
      <c r="D520" s="677"/>
      <c r="E520" s="677"/>
      <c r="F520" s="677"/>
      <c r="G520" s="677"/>
      <c r="H520" s="677"/>
      <c r="I520" s="677"/>
      <c r="J520" s="677"/>
      <c r="K520" s="677"/>
      <c r="L520" s="677"/>
      <c r="M520" s="677"/>
      <c r="N520" s="677"/>
      <c r="O520" s="677"/>
      <c r="P520" s="677"/>
      <c r="Q520" s="677"/>
      <c r="R520" s="677"/>
      <c r="S520" s="677"/>
      <c r="T520" s="677"/>
      <c r="U520" s="677"/>
      <c r="V520" s="677"/>
      <c r="W520" s="677"/>
      <c r="X520" s="677"/>
      <c r="Y520" s="677"/>
      <c r="Z520" s="677"/>
      <c r="AA520" s="658"/>
      <c r="AB520" s="658"/>
      <c r="AC520" s="658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78">
        <v>4607091383409</v>
      </c>
      <c r="E521" s="679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100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1"/>
      <c r="R521" s="681"/>
      <c r="S521" s="681"/>
      <c r="T521" s="682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78">
        <v>4607091383416</v>
      </c>
      <c r="E522" s="679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10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1"/>
      <c r="R522" s="681"/>
      <c r="S522" s="681"/>
      <c r="T522" s="682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78">
        <v>4680115883536</v>
      </c>
      <c r="E523" s="679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9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1"/>
      <c r="R523" s="681"/>
      <c r="S523" s="681"/>
      <c r="T523" s="682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701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702"/>
      <c r="P524" s="673" t="s">
        <v>80</v>
      </c>
      <c r="Q524" s="674"/>
      <c r="R524" s="674"/>
      <c r="S524" s="674"/>
      <c r="T524" s="674"/>
      <c r="U524" s="674"/>
      <c r="V524" s="675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7"/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702"/>
      <c r="P525" s="673" t="s">
        <v>80</v>
      </c>
      <c r="Q525" s="674"/>
      <c r="R525" s="674"/>
      <c r="S525" s="674"/>
      <c r="T525" s="674"/>
      <c r="U525" s="674"/>
      <c r="V525" s="675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76" t="s">
        <v>170</v>
      </c>
      <c r="B526" s="677"/>
      <c r="C526" s="677"/>
      <c r="D526" s="677"/>
      <c r="E526" s="677"/>
      <c r="F526" s="677"/>
      <c r="G526" s="677"/>
      <c r="H526" s="677"/>
      <c r="I526" s="677"/>
      <c r="J526" s="677"/>
      <c r="K526" s="677"/>
      <c r="L526" s="677"/>
      <c r="M526" s="677"/>
      <c r="N526" s="677"/>
      <c r="O526" s="677"/>
      <c r="P526" s="677"/>
      <c r="Q526" s="677"/>
      <c r="R526" s="677"/>
      <c r="S526" s="677"/>
      <c r="T526" s="677"/>
      <c r="U526" s="677"/>
      <c r="V526" s="677"/>
      <c r="W526" s="677"/>
      <c r="X526" s="677"/>
      <c r="Y526" s="677"/>
      <c r="Z526" s="677"/>
      <c r="AA526" s="658"/>
      <c r="AB526" s="658"/>
      <c r="AC526" s="658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78">
        <v>4680115885035</v>
      </c>
      <c r="E527" s="679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99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1"/>
      <c r="R527" s="681"/>
      <c r="S527" s="681"/>
      <c r="T527" s="682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78">
        <v>4680115885936</v>
      </c>
      <c r="E528" s="679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722" t="s">
        <v>832</v>
      </c>
      <c r="Q528" s="681"/>
      <c r="R528" s="681"/>
      <c r="S528" s="681"/>
      <c r="T528" s="682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70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702"/>
      <c r="P529" s="673" t="s">
        <v>80</v>
      </c>
      <c r="Q529" s="674"/>
      <c r="R529" s="674"/>
      <c r="S529" s="674"/>
      <c r="T529" s="674"/>
      <c r="U529" s="674"/>
      <c r="V529" s="675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702"/>
      <c r="P530" s="673" t="s">
        <v>80</v>
      </c>
      <c r="Q530" s="674"/>
      <c r="R530" s="674"/>
      <c r="S530" s="674"/>
      <c r="T530" s="674"/>
      <c r="U530" s="674"/>
      <c r="V530" s="675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71" t="s">
        <v>833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48"/>
      <c r="AB531" s="48"/>
      <c r="AC531" s="48"/>
    </row>
    <row r="532" spans="1:68" ht="16.5" hidden="1" customHeight="1" x14ac:dyDescent="0.25">
      <c r="A532" s="689" t="s">
        <v>833</v>
      </c>
      <c r="B532" s="677"/>
      <c r="C532" s="677"/>
      <c r="D532" s="677"/>
      <c r="E532" s="677"/>
      <c r="F532" s="677"/>
      <c r="G532" s="677"/>
      <c r="H532" s="677"/>
      <c r="I532" s="677"/>
      <c r="J532" s="677"/>
      <c r="K532" s="677"/>
      <c r="L532" s="677"/>
      <c r="M532" s="677"/>
      <c r="N532" s="677"/>
      <c r="O532" s="677"/>
      <c r="P532" s="677"/>
      <c r="Q532" s="677"/>
      <c r="R532" s="677"/>
      <c r="S532" s="677"/>
      <c r="T532" s="677"/>
      <c r="U532" s="677"/>
      <c r="V532" s="677"/>
      <c r="W532" s="677"/>
      <c r="X532" s="677"/>
      <c r="Y532" s="677"/>
      <c r="Z532" s="677"/>
      <c r="AA532" s="660"/>
      <c r="AB532" s="660"/>
      <c r="AC532" s="660"/>
    </row>
    <row r="533" spans="1:68" ht="14.25" hidden="1" customHeight="1" x14ac:dyDescent="0.25">
      <c r="A533" s="676" t="s">
        <v>90</v>
      </c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77"/>
      <c r="P533" s="677"/>
      <c r="Q533" s="677"/>
      <c r="R533" s="677"/>
      <c r="S533" s="677"/>
      <c r="T533" s="677"/>
      <c r="U533" s="677"/>
      <c r="V533" s="677"/>
      <c r="W533" s="677"/>
      <c r="X533" s="677"/>
      <c r="Y533" s="677"/>
      <c r="Z533" s="677"/>
      <c r="AA533" s="658"/>
      <c r="AB533" s="658"/>
      <c r="AC533" s="658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78">
        <v>4640242181011</v>
      </c>
      <c r="E534" s="679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691" t="s">
        <v>836</v>
      </c>
      <c r="Q534" s="681"/>
      <c r="R534" s="681"/>
      <c r="S534" s="681"/>
      <c r="T534" s="682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78">
        <v>4640242180441</v>
      </c>
      <c r="E535" s="679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840" t="s">
        <v>840</v>
      </c>
      <c r="Q535" s="681"/>
      <c r="R535" s="681"/>
      <c r="S535" s="681"/>
      <c r="T535" s="682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78">
        <v>4640242180564</v>
      </c>
      <c r="E536" s="679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692" t="s">
        <v>844</v>
      </c>
      <c r="Q536" s="681"/>
      <c r="R536" s="681"/>
      <c r="S536" s="681"/>
      <c r="T536" s="682"/>
      <c r="U536" s="34"/>
      <c r="V536" s="34"/>
      <c r="W536" s="35" t="s">
        <v>69</v>
      </c>
      <c r="X536" s="665">
        <v>70</v>
      </c>
      <c r="Y536" s="666">
        <f t="shared" si="78"/>
        <v>72</v>
      </c>
      <c r="Z536" s="36">
        <f>IFERROR(IF(Y536=0,"",ROUNDUP(Y536/H536,0)*0.01898),"")</f>
        <v>0.11388000000000001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72.537500000000009</v>
      </c>
      <c r="BN536" s="64">
        <f t="shared" si="80"/>
        <v>74.61</v>
      </c>
      <c r="BO536" s="64">
        <f t="shared" si="81"/>
        <v>9.1145833333333329E-2</v>
      </c>
      <c r="BP536" s="64">
        <f t="shared" si="82"/>
        <v>9.375E-2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78">
        <v>4640242180922</v>
      </c>
      <c r="E537" s="679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979" t="s">
        <v>848</v>
      </c>
      <c r="Q537" s="681"/>
      <c r="R537" s="681"/>
      <c r="S537" s="681"/>
      <c r="T537" s="682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78">
        <v>4640242180038</v>
      </c>
      <c r="E538" s="679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66" t="s">
        <v>852</v>
      </c>
      <c r="Q538" s="681"/>
      <c r="R538" s="681"/>
      <c r="S538" s="681"/>
      <c r="T538" s="682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78">
        <v>4640242181172</v>
      </c>
      <c r="E539" s="679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1000" t="s">
        <v>855</v>
      </c>
      <c r="Q539" s="681"/>
      <c r="R539" s="681"/>
      <c r="S539" s="681"/>
      <c r="T539" s="682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701"/>
      <c r="B540" s="677"/>
      <c r="C540" s="677"/>
      <c r="D540" s="677"/>
      <c r="E540" s="677"/>
      <c r="F540" s="677"/>
      <c r="G540" s="677"/>
      <c r="H540" s="677"/>
      <c r="I540" s="677"/>
      <c r="J540" s="677"/>
      <c r="K540" s="677"/>
      <c r="L540" s="677"/>
      <c r="M540" s="677"/>
      <c r="N540" s="677"/>
      <c r="O540" s="702"/>
      <c r="P540" s="673" t="s">
        <v>80</v>
      </c>
      <c r="Q540" s="674"/>
      <c r="R540" s="674"/>
      <c r="S540" s="674"/>
      <c r="T540" s="674"/>
      <c r="U540" s="674"/>
      <c r="V540" s="675"/>
      <c r="W540" s="37" t="s">
        <v>81</v>
      </c>
      <c r="X540" s="667">
        <f>IFERROR(X534/H534,"0")+IFERROR(X535/H535,"0")+IFERROR(X536/H536,"0")+IFERROR(X537/H537,"0")+IFERROR(X538/H538,"0")+IFERROR(X539/H539,"0")</f>
        <v>5.833333333333333</v>
      </c>
      <c r="Y540" s="667">
        <f>IFERROR(Y534/H534,"0")+IFERROR(Y535/H535,"0")+IFERROR(Y536/H536,"0")+IFERROR(Y537/H537,"0")+IFERROR(Y538/H538,"0")+IFERROR(Y539/H539,"0")</f>
        <v>6</v>
      </c>
      <c r="Z540" s="667">
        <f>IFERROR(IF(Z534="",0,Z534),"0")+IFERROR(IF(Z535="",0,Z535),"0")+IFERROR(IF(Z536="",0,Z536),"0")+IFERROR(IF(Z537="",0,Z537),"0")+IFERROR(IF(Z538="",0,Z538),"0")+IFERROR(IF(Z539="",0,Z539),"0")</f>
        <v>0.11388000000000001</v>
      </c>
      <c r="AA540" s="668"/>
      <c r="AB540" s="668"/>
      <c r="AC540" s="668"/>
    </row>
    <row r="541" spans="1:68" x14ac:dyDescent="0.2">
      <c r="A541" s="677"/>
      <c r="B541" s="677"/>
      <c r="C541" s="677"/>
      <c r="D541" s="677"/>
      <c r="E541" s="677"/>
      <c r="F541" s="677"/>
      <c r="G541" s="677"/>
      <c r="H541" s="677"/>
      <c r="I541" s="677"/>
      <c r="J541" s="677"/>
      <c r="K541" s="677"/>
      <c r="L541" s="677"/>
      <c r="M541" s="677"/>
      <c r="N541" s="677"/>
      <c r="O541" s="702"/>
      <c r="P541" s="673" t="s">
        <v>80</v>
      </c>
      <c r="Q541" s="674"/>
      <c r="R541" s="674"/>
      <c r="S541" s="674"/>
      <c r="T541" s="674"/>
      <c r="U541" s="674"/>
      <c r="V541" s="675"/>
      <c r="W541" s="37" t="s">
        <v>69</v>
      </c>
      <c r="X541" s="667">
        <f>IFERROR(SUM(X534:X539),"0")</f>
        <v>70</v>
      </c>
      <c r="Y541" s="667">
        <f>IFERROR(SUM(Y534:Y539),"0")</f>
        <v>72</v>
      </c>
      <c r="Z541" s="37"/>
      <c r="AA541" s="668"/>
      <c r="AB541" s="668"/>
      <c r="AC541" s="668"/>
    </row>
    <row r="542" spans="1:68" ht="14.25" hidden="1" customHeight="1" x14ac:dyDescent="0.25">
      <c r="A542" s="676" t="s">
        <v>133</v>
      </c>
      <c r="B542" s="677"/>
      <c r="C542" s="677"/>
      <c r="D542" s="677"/>
      <c r="E542" s="677"/>
      <c r="F542" s="677"/>
      <c r="G542" s="677"/>
      <c r="H542" s="677"/>
      <c r="I542" s="677"/>
      <c r="J542" s="677"/>
      <c r="K542" s="677"/>
      <c r="L542" s="677"/>
      <c r="M542" s="677"/>
      <c r="N542" s="677"/>
      <c r="O542" s="677"/>
      <c r="P542" s="677"/>
      <c r="Q542" s="677"/>
      <c r="R542" s="677"/>
      <c r="S542" s="677"/>
      <c r="T542" s="677"/>
      <c r="U542" s="677"/>
      <c r="V542" s="677"/>
      <c r="W542" s="677"/>
      <c r="X542" s="677"/>
      <c r="Y542" s="677"/>
      <c r="Z542" s="677"/>
      <c r="AA542" s="658"/>
      <c r="AB542" s="658"/>
      <c r="AC542" s="658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78">
        <v>4640242180519</v>
      </c>
      <c r="E543" s="679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83" t="s">
        <v>858</v>
      </c>
      <c r="Q543" s="681"/>
      <c r="R543" s="681"/>
      <c r="S543" s="681"/>
      <c r="T543" s="682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78">
        <v>4640242180519</v>
      </c>
      <c r="E544" s="679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922" t="s">
        <v>861</v>
      </c>
      <c r="Q544" s="681"/>
      <c r="R544" s="681"/>
      <c r="S544" s="681"/>
      <c r="T544" s="682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78">
        <v>4640242180526</v>
      </c>
      <c r="E545" s="679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90" t="s">
        <v>865</v>
      </c>
      <c r="Q545" s="681"/>
      <c r="R545" s="681"/>
      <c r="S545" s="681"/>
      <c r="T545" s="682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78">
        <v>4640242180090</v>
      </c>
      <c r="E546" s="679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963" t="s">
        <v>868</v>
      </c>
      <c r="Q546" s="681"/>
      <c r="R546" s="681"/>
      <c r="S546" s="681"/>
      <c r="T546" s="682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78">
        <v>4640242181363</v>
      </c>
      <c r="E547" s="679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775" t="s">
        <v>872</v>
      </c>
      <c r="Q547" s="681"/>
      <c r="R547" s="681"/>
      <c r="S547" s="681"/>
      <c r="T547" s="682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701"/>
      <c r="B548" s="677"/>
      <c r="C548" s="677"/>
      <c r="D548" s="677"/>
      <c r="E548" s="677"/>
      <c r="F548" s="677"/>
      <c r="G548" s="677"/>
      <c r="H548" s="677"/>
      <c r="I548" s="677"/>
      <c r="J548" s="677"/>
      <c r="K548" s="677"/>
      <c r="L548" s="677"/>
      <c r="M548" s="677"/>
      <c r="N548" s="677"/>
      <c r="O548" s="702"/>
      <c r="P548" s="673" t="s">
        <v>80</v>
      </c>
      <c r="Q548" s="674"/>
      <c r="R548" s="674"/>
      <c r="S548" s="674"/>
      <c r="T548" s="674"/>
      <c r="U548" s="674"/>
      <c r="V548" s="675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7"/>
      <c r="B549" s="677"/>
      <c r="C549" s="677"/>
      <c r="D549" s="677"/>
      <c r="E549" s="677"/>
      <c r="F549" s="677"/>
      <c r="G549" s="677"/>
      <c r="H549" s="677"/>
      <c r="I549" s="677"/>
      <c r="J549" s="677"/>
      <c r="K549" s="677"/>
      <c r="L549" s="677"/>
      <c r="M549" s="677"/>
      <c r="N549" s="677"/>
      <c r="O549" s="702"/>
      <c r="P549" s="673" t="s">
        <v>80</v>
      </c>
      <c r="Q549" s="674"/>
      <c r="R549" s="674"/>
      <c r="S549" s="674"/>
      <c r="T549" s="674"/>
      <c r="U549" s="674"/>
      <c r="V549" s="675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76" t="s">
        <v>144</v>
      </c>
      <c r="B550" s="677"/>
      <c r="C550" s="677"/>
      <c r="D550" s="677"/>
      <c r="E550" s="677"/>
      <c r="F550" s="677"/>
      <c r="G550" s="677"/>
      <c r="H550" s="677"/>
      <c r="I550" s="677"/>
      <c r="J550" s="677"/>
      <c r="K550" s="677"/>
      <c r="L550" s="677"/>
      <c r="M550" s="677"/>
      <c r="N550" s="677"/>
      <c r="O550" s="677"/>
      <c r="P550" s="677"/>
      <c r="Q550" s="677"/>
      <c r="R550" s="677"/>
      <c r="S550" s="677"/>
      <c r="T550" s="677"/>
      <c r="U550" s="677"/>
      <c r="V550" s="677"/>
      <c r="W550" s="677"/>
      <c r="X550" s="677"/>
      <c r="Y550" s="677"/>
      <c r="Z550" s="677"/>
      <c r="AA550" s="658"/>
      <c r="AB550" s="658"/>
      <c r="AC550" s="658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78">
        <v>4640242180816</v>
      </c>
      <c r="E551" s="679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792" t="s">
        <v>875</v>
      </c>
      <c r="Q551" s="681"/>
      <c r="R551" s="681"/>
      <c r="S551" s="681"/>
      <c r="T551" s="682"/>
      <c r="U551" s="34"/>
      <c r="V551" s="34"/>
      <c r="W551" s="35" t="s">
        <v>69</v>
      </c>
      <c r="X551" s="665">
        <v>95</v>
      </c>
      <c r="Y551" s="666">
        <f t="shared" ref="Y551:Y557" si="83">IFERROR(IF(X551="",0,CEILING((X551/$H551),1)*$H551),"")</f>
        <v>96.600000000000009</v>
      </c>
      <c r="Z551" s="36">
        <f>IFERROR(IF(Y551=0,"",ROUNDUP(Y551/H551,0)*0.00902),"")</f>
        <v>0.20746000000000001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101.10714285714285</v>
      </c>
      <c r="BN551" s="64">
        <f t="shared" ref="BN551:BN557" si="85">IFERROR(Y551*I551/H551,"0")</f>
        <v>102.81</v>
      </c>
      <c r="BO551" s="64">
        <f t="shared" ref="BO551:BO557" si="86">IFERROR(1/J551*(X551/H551),"0")</f>
        <v>0.17135642135642135</v>
      </c>
      <c r="BP551" s="64">
        <f t="shared" ref="BP551:BP557" si="87">IFERROR(1/J551*(Y551/H551),"0")</f>
        <v>0.17424242424242425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78">
        <v>4640242180595</v>
      </c>
      <c r="E552" s="679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1020" t="s">
        <v>879</v>
      </c>
      <c r="Q552" s="681"/>
      <c r="R552" s="681"/>
      <c r="S552" s="681"/>
      <c r="T552" s="682"/>
      <c r="U552" s="34"/>
      <c r="V552" s="34"/>
      <c r="W552" s="35" t="s">
        <v>69</v>
      </c>
      <c r="X552" s="665">
        <v>240</v>
      </c>
      <c r="Y552" s="666">
        <f t="shared" si="83"/>
        <v>243.60000000000002</v>
      </c>
      <c r="Z552" s="36">
        <f>IFERROR(IF(Y552=0,"",ROUNDUP(Y552/H552,0)*0.00902),"")</f>
        <v>0.52316000000000007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255.42857142857142</v>
      </c>
      <c r="BN552" s="64">
        <f t="shared" si="85"/>
        <v>259.26</v>
      </c>
      <c r="BO552" s="64">
        <f t="shared" si="86"/>
        <v>0.4329004329004329</v>
      </c>
      <c r="BP552" s="64">
        <f t="shared" si="87"/>
        <v>0.43939393939393939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78">
        <v>4640242181615</v>
      </c>
      <c r="E553" s="679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986" t="s">
        <v>883</v>
      </c>
      <c r="Q553" s="681"/>
      <c r="R553" s="681"/>
      <c r="S553" s="681"/>
      <c r="T553" s="682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78">
        <v>4640242181639</v>
      </c>
      <c r="E554" s="679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826" t="s">
        <v>887</v>
      </c>
      <c r="Q554" s="681"/>
      <c r="R554" s="681"/>
      <c r="S554" s="681"/>
      <c r="T554" s="682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78">
        <v>4640242181622</v>
      </c>
      <c r="E555" s="679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796" t="s">
        <v>891</v>
      </c>
      <c r="Q555" s="681"/>
      <c r="R555" s="681"/>
      <c r="S555" s="681"/>
      <c r="T555" s="682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78">
        <v>4640242180908</v>
      </c>
      <c r="E556" s="679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964" t="s">
        <v>895</v>
      </c>
      <c r="Q556" s="681"/>
      <c r="R556" s="681"/>
      <c r="S556" s="681"/>
      <c r="T556" s="682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78">
        <v>4640242180489</v>
      </c>
      <c r="E557" s="679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788" t="s">
        <v>898</v>
      </c>
      <c r="Q557" s="681"/>
      <c r="R557" s="681"/>
      <c r="S557" s="681"/>
      <c r="T557" s="682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701"/>
      <c r="B558" s="677"/>
      <c r="C558" s="677"/>
      <c r="D558" s="677"/>
      <c r="E558" s="677"/>
      <c r="F558" s="677"/>
      <c r="G558" s="677"/>
      <c r="H558" s="677"/>
      <c r="I558" s="677"/>
      <c r="J558" s="677"/>
      <c r="K558" s="677"/>
      <c r="L558" s="677"/>
      <c r="M558" s="677"/>
      <c r="N558" s="677"/>
      <c r="O558" s="702"/>
      <c r="P558" s="673" t="s">
        <v>80</v>
      </c>
      <c r="Q558" s="674"/>
      <c r="R558" s="674"/>
      <c r="S558" s="674"/>
      <c r="T558" s="674"/>
      <c r="U558" s="674"/>
      <c r="V558" s="675"/>
      <c r="W558" s="37" t="s">
        <v>81</v>
      </c>
      <c r="X558" s="667">
        <f>IFERROR(X551/H551,"0")+IFERROR(X552/H552,"0")+IFERROR(X553/H553,"0")+IFERROR(X554/H554,"0")+IFERROR(X555/H555,"0")+IFERROR(X556/H556,"0")+IFERROR(X557/H557,"0")</f>
        <v>79.761904761904759</v>
      </c>
      <c r="Y558" s="667">
        <f>IFERROR(Y551/H551,"0")+IFERROR(Y552/H552,"0")+IFERROR(Y553/H553,"0")+IFERROR(Y554/H554,"0")+IFERROR(Y555/H555,"0")+IFERROR(Y556/H556,"0")+IFERROR(Y557/H557,"0")</f>
        <v>81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0.73062000000000005</v>
      </c>
      <c r="AA558" s="668"/>
      <c r="AB558" s="668"/>
      <c r="AC558" s="668"/>
    </row>
    <row r="559" spans="1:68" x14ac:dyDescent="0.2">
      <c r="A559" s="677"/>
      <c r="B559" s="677"/>
      <c r="C559" s="677"/>
      <c r="D559" s="677"/>
      <c r="E559" s="677"/>
      <c r="F559" s="677"/>
      <c r="G559" s="677"/>
      <c r="H559" s="677"/>
      <c r="I559" s="677"/>
      <c r="J559" s="677"/>
      <c r="K559" s="677"/>
      <c r="L559" s="677"/>
      <c r="M559" s="677"/>
      <c r="N559" s="677"/>
      <c r="O559" s="702"/>
      <c r="P559" s="673" t="s">
        <v>80</v>
      </c>
      <c r="Q559" s="674"/>
      <c r="R559" s="674"/>
      <c r="S559" s="674"/>
      <c r="T559" s="674"/>
      <c r="U559" s="674"/>
      <c r="V559" s="675"/>
      <c r="W559" s="37" t="s">
        <v>69</v>
      </c>
      <c r="X559" s="667">
        <f>IFERROR(SUM(X551:X557),"0")</f>
        <v>335</v>
      </c>
      <c r="Y559" s="667">
        <f>IFERROR(SUM(Y551:Y557),"0")</f>
        <v>340.20000000000005</v>
      </c>
      <c r="Z559" s="37"/>
      <c r="AA559" s="668"/>
      <c r="AB559" s="668"/>
      <c r="AC559" s="668"/>
    </row>
    <row r="560" spans="1:68" ht="14.25" hidden="1" customHeight="1" x14ac:dyDescent="0.25">
      <c r="A560" s="676" t="s">
        <v>64</v>
      </c>
      <c r="B560" s="677"/>
      <c r="C560" s="677"/>
      <c r="D560" s="677"/>
      <c r="E560" s="677"/>
      <c r="F560" s="677"/>
      <c r="G560" s="677"/>
      <c r="H560" s="677"/>
      <c r="I560" s="677"/>
      <c r="J560" s="677"/>
      <c r="K560" s="677"/>
      <c r="L560" s="677"/>
      <c r="M560" s="677"/>
      <c r="N560" s="677"/>
      <c r="O560" s="677"/>
      <c r="P560" s="677"/>
      <c r="Q560" s="677"/>
      <c r="R560" s="677"/>
      <c r="S560" s="677"/>
      <c r="T560" s="677"/>
      <c r="U560" s="677"/>
      <c r="V560" s="677"/>
      <c r="W560" s="677"/>
      <c r="X560" s="677"/>
      <c r="Y560" s="677"/>
      <c r="Z560" s="677"/>
      <c r="AA560" s="658"/>
      <c r="AB560" s="658"/>
      <c r="AC560" s="658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78">
        <v>4640242180533</v>
      </c>
      <c r="E561" s="679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861" t="s">
        <v>901</v>
      </c>
      <c r="Q561" s="681"/>
      <c r="R561" s="681"/>
      <c r="S561" s="681"/>
      <c r="T561" s="682"/>
      <c r="U561" s="34"/>
      <c r="V561" s="34"/>
      <c r="W561" s="35" t="s">
        <v>69</v>
      </c>
      <c r="X561" s="665">
        <v>38</v>
      </c>
      <c r="Y561" s="666">
        <f>IFERROR(IF(X561="",0,CEILING((X561/$H561),1)*$H561),"")</f>
        <v>45</v>
      </c>
      <c r="Z561" s="36">
        <f>IFERROR(IF(Y561=0,"",ROUNDUP(Y561/H561,0)*0.01898),"")</f>
        <v>9.4899999999999998E-2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40.191333333333333</v>
      </c>
      <c r="BN561" s="64">
        <f>IFERROR(Y561*I561/H561,"0")</f>
        <v>47.594999999999999</v>
      </c>
      <c r="BO561" s="64">
        <f>IFERROR(1/J561*(X561/H561),"0")</f>
        <v>6.5972222222222224E-2</v>
      </c>
      <c r="BP561" s="64">
        <f>IFERROR(1/J561*(Y561/H561),"0")</f>
        <v>7.8125E-2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78">
        <v>4640242180533</v>
      </c>
      <c r="E562" s="679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1050" t="s">
        <v>901</v>
      </c>
      <c r="Q562" s="681"/>
      <c r="R562" s="681"/>
      <c r="S562" s="681"/>
      <c r="T562" s="682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78">
        <v>4640242180540</v>
      </c>
      <c r="E563" s="679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1023" t="s">
        <v>906</v>
      </c>
      <c r="Q563" s="681"/>
      <c r="R563" s="681"/>
      <c r="S563" s="681"/>
      <c r="T563" s="682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78">
        <v>4640242181233</v>
      </c>
      <c r="E564" s="679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52" t="s">
        <v>910</v>
      </c>
      <c r="Q564" s="681"/>
      <c r="R564" s="681"/>
      <c r="S564" s="681"/>
      <c r="T564" s="682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78">
        <v>4640242181226</v>
      </c>
      <c r="E565" s="679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995" t="s">
        <v>913</v>
      </c>
      <c r="Q565" s="681"/>
      <c r="R565" s="681"/>
      <c r="S565" s="681"/>
      <c r="T565" s="682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701"/>
      <c r="B566" s="677"/>
      <c r="C566" s="677"/>
      <c r="D566" s="677"/>
      <c r="E566" s="677"/>
      <c r="F566" s="677"/>
      <c r="G566" s="677"/>
      <c r="H566" s="677"/>
      <c r="I566" s="677"/>
      <c r="J566" s="677"/>
      <c r="K566" s="677"/>
      <c r="L566" s="677"/>
      <c r="M566" s="677"/>
      <c r="N566" s="677"/>
      <c r="O566" s="702"/>
      <c r="P566" s="673" t="s">
        <v>80</v>
      </c>
      <c r="Q566" s="674"/>
      <c r="R566" s="674"/>
      <c r="S566" s="674"/>
      <c r="T566" s="674"/>
      <c r="U566" s="674"/>
      <c r="V566" s="675"/>
      <c r="W566" s="37" t="s">
        <v>81</v>
      </c>
      <c r="X566" s="667">
        <f>IFERROR(X561/H561,"0")+IFERROR(X562/H562,"0")+IFERROR(X563/H563,"0")+IFERROR(X564/H564,"0")+IFERROR(X565/H565,"0")</f>
        <v>4.2222222222222223</v>
      </c>
      <c r="Y566" s="667">
        <f>IFERROR(Y561/H561,"0")+IFERROR(Y562/H562,"0")+IFERROR(Y563/H563,"0")+IFERROR(Y564/H564,"0")+IFERROR(Y565/H565,"0")</f>
        <v>5</v>
      </c>
      <c r="Z566" s="667">
        <f>IFERROR(IF(Z561="",0,Z561),"0")+IFERROR(IF(Z562="",0,Z562),"0")+IFERROR(IF(Z563="",0,Z563),"0")+IFERROR(IF(Z564="",0,Z564),"0")+IFERROR(IF(Z565="",0,Z565),"0")</f>
        <v>9.4899999999999998E-2</v>
      </c>
      <c r="AA566" s="668"/>
      <c r="AB566" s="668"/>
      <c r="AC566" s="668"/>
    </row>
    <row r="567" spans="1:68" x14ac:dyDescent="0.2">
      <c r="A567" s="677"/>
      <c r="B567" s="677"/>
      <c r="C567" s="677"/>
      <c r="D567" s="677"/>
      <c r="E567" s="677"/>
      <c r="F567" s="677"/>
      <c r="G567" s="677"/>
      <c r="H567" s="677"/>
      <c r="I567" s="677"/>
      <c r="J567" s="677"/>
      <c r="K567" s="677"/>
      <c r="L567" s="677"/>
      <c r="M567" s="677"/>
      <c r="N567" s="677"/>
      <c r="O567" s="702"/>
      <c r="P567" s="673" t="s">
        <v>80</v>
      </c>
      <c r="Q567" s="674"/>
      <c r="R567" s="674"/>
      <c r="S567" s="674"/>
      <c r="T567" s="674"/>
      <c r="U567" s="674"/>
      <c r="V567" s="675"/>
      <c r="W567" s="37" t="s">
        <v>69</v>
      </c>
      <c r="X567" s="667">
        <f>IFERROR(SUM(X561:X565),"0")</f>
        <v>38</v>
      </c>
      <c r="Y567" s="667">
        <f>IFERROR(SUM(Y561:Y565),"0")</f>
        <v>45</v>
      </c>
      <c r="Z567" s="37"/>
      <c r="AA567" s="668"/>
      <c r="AB567" s="668"/>
      <c r="AC567" s="668"/>
    </row>
    <row r="568" spans="1:68" ht="14.25" hidden="1" customHeight="1" x14ac:dyDescent="0.25">
      <c r="A568" s="676" t="s">
        <v>170</v>
      </c>
      <c r="B568" s="677"/>
      <c r="C568" s="677"/>
      <c r="D568" s="677"/>
      <c r="E568" s="677"/>
      <c r="F568" s="677"/>
      <c r="G568" s="677"/>
      <c r="H568" s="677"/>
      <c r="I568" s="677"/>
      <c r="J568" s="677"/>
      <c r="K568" s="677"/>
      <c r="L568" s="677"/>
      <c r="M568" s="677"/>
      <c r="N568" s="677"/>
      <c r="O568" s="677"/>
      <c r="P568" s="677"/>
      <c r="Q568" s="677"/>
      <c r="R568" s="677"/>
      <c r="S568" s="677"/>
      <c r="T568" s="677"/>
      <c r="U568" s="677"/>
      <c r="V568" s="677"/>
      <c r="W568" s="677"/>
      <c r="X568" s="677"/>
      <c r="Y568" s="677"/>
      <c r="Z568" s="677"/>
      <c r="AA568" s="658"/>
      <c r="AB568" s="658"/>
      <c r="AC568" s="658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78">
        <v>4640242180120</v>
      </c>
      <c r="E569" s="679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813" t="s">
        <v>916</v>
      </c>
      <c r="Q569" s="681"/>
      <c r="R569" s="681"/>
      <c r="S569" s="681"/>
      <c r="T569" s="682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78">
        <v>4640242180120</v>
      </c>
      <c r="E570" s="679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1009" t="s">
        <v>919</v>
      </c>
      <c r="Q570" s="681"/>
      <c r="R570" s="681"/>
      <c r="S570" s="681"/>
      <c r="T570" s="682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78">
        <v>4640242180137</v>
      </c>
      <c r="E571" s="679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978" t="s">
        <v>922</v>
      </c>
      <c r="Q571" s="681"/>
      <c r="R571" s="681"/>
      <c r="S571" s="681"/>
      <c r="T571" s="682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78">
        <v>4640242180137</v>
      </c>
      <c r="E572" s="679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967" t="s">
        <v>925</v>
      </c>
      <c r="Q572" s="681"/>
      <c r="R572" s="681"/>
      <c r="S572" s="681"/>
      <c r="T572" s="682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701"/>
      <c r="B573" s="677"/>
      <c r="C573" s="677"/>
      <c r="D573" s="677"/>
      <c r="E573" s="677"/>
      <c r="F573" s="677"/>
      <c r="G573" s="677"/>
      <c r="H573" s="677"/>
      <c r="I573" s="677"/>
      <c r="J573" s="677"/>
      <c r="K573" s="677"/>
      <c r="L573" s="677"/>
      <c r="M573" s="677"/>
      <c r="N573" s="677"/>
      <c r="O573" s="702"/>
      <c r="P573" s="673" t="s">
        <v>80</v>
      </c>
      <c r="Q573" s="674"/>
      <c r="R573" s="674"/>
      <c r="S573" s="674"/>
      <c r="T573" s="674"/>
      <c r="U573" s="674"/>
      <c r="V573" s="675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7"/>
      <c r="B574" s="677"/>
      <c r="C574" s="677"/>
      <c r="D574" s="677"/>
      <c r="E574" s="677"/>
      <c r="F574" s="677"/>
      <c r="G574" s="677"/>
      <c r="H574" s="677"/>
      <c r="I574" s="677"/>
      <c r="J574" s="677"/>
      <c r="K574" s="677"/>
      <c r="L574" s="677"/>
      <c r="M574" s="677"/>
      <c r="N574" s="677"/>
      <c r="O574" s="702"/>
      <c r="P574" s="673" t="s">
        <v>80</v>
      </c>
      <c r="Q574" s="674"/>
      <c r="R574" s="674"/>
      <c r="S574" s="674"/>
      <c r="T574" s="674"/>
      <c r="U574" s="674"/>
      <c r="V574" s="675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689" t="s">
        <v>926</v>
      </c>
      <c r="B575" s="677"/>
      <c r="C575" s="677"/>
      <c r="D575" s="677"/>
      <c r="E575" s="677"/>
      <c r="F575" s="677"/>
      <c r="G575" s="677"/>
      <c r="H575" s="677"/>
      <c r="I575" s="677"/>
      <c r="J575" s="677"/>
      <c r="K575" s="677"/>
      <c r="L575" s="677"/>
      <c r="M575" s="677"/>
      <c r="N575" s="677"/>
      <c r="O575" s="677"/>
      <c r="P575" s="677"/>
      <c r="Q575" s="677"/>
      <c r="R575" s="677"/>
      <c r="S575" s="677"/>
      <c r="T575" s="677"/>
      <c r="U575" s="677"/>
      <c r="V575" s="677"/>
      <c r="W575" s="677"/>
      <c r="X575" s="677"/>
      <c r="Y575" s="677"/>
      <c r="Z575" s="677"/>
      <c r="AA575" s="660"/>
      <c r="AB575" s="660"/>
      <c r="AC575" s="660"/>
    </row>
    <row r="576" spans="1:68" ht="14.25" hidden="1" customHeight="1" x14ac:dyDescent="0.25">
      <c r="A576" s="676" t="s">
        <v>90</v>
      </c>
      <c r="B576" s="677"/>
      <c r="C576" s="677"/>
      <c r="D576" s="677"/>
      <c r="E576" s="677"/>
      <c r="F576" s="677"/>
      <c r="G576" s="677"/>
      <c r="H576" s="677"/>
      <c r="I576" s="677"/>
      <c r="J576" s="677"/>
      <c r="K576" s="677"/>
      <c r="L576" s="677"/>
      <c r="M576" s="677"/>
      <c r="N576" s="677"/>
      <c r="O576" s="677"/>
      <c r="P576" s="677"/>
      <c r="Q576" s="677"/>
      <c r="R576" s="677"/>
      <c r="S576" s="677"/>
      <c r="T576" s="677"/>
      <c r="U576" s="677"/>
      <c r="V576" s="677"/>
      <c r="W576" s="677"/>
      <c r="X576" s="677"/>
      <c r="Y576" s="677"/>
      <c r="Z576" s="677"/>
      <c r="AA576" s="658"/>
      <c r="AB576" s="658"/>
      <c r="AC576" s="658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78">
        <v>4640242180045</v>
      </c>
      <c r="E577" s="679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778" t="s">
        <v>929</v>
      </c>
      <c r="Q577" s="681"/>
      <c r="R577" s="681"/>
      <c r="S577" s="681"/>
      <c r="T577" s="682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701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702"/>
      <c r="P578" s="673" t="s">
        <v>80</v>
      </c>
      <c r="Q578" s="674"/>
      <c r="R578" s="674"/>
      <c r="S578" s="674"/>
      <c r="T578" s="674"/>
      <c r="U578" s="674"/>
      <c r="V578" s="675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7"/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702"/>
      <c r="P579" s="673" t="s">
        <v>80</v>
      </c>
      <c r="Q579" s="674"/>
      <c r="R579" s="674"/>
      <c r="S579" s="674"/>
      <c r="T579" s="674"/>
      <c r="U579" s="674"/>
      <c r="V579" s="675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76" t="s">
        <v>133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58"/>
      <c r="AB580" s="658"/>
      <c r="AC580" s="658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78">
        <v>4640242180090</v>
      </c>
      <c r="E581" s="679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929" t="s">
        <v>933</v>
      </c>
      <c r="Q581" s="681"/>
      <c r="R581" s="681"/>
      <c r="S581" s="681"/>
      <c r="T581" s="682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70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702"/>
      <c r="P582" s="673" t="s">
        <v>80</v>
      </c>
      <c r="Q582" s="674"/>
      <c r="R582" s="674"/>
      <c r="S582" s="674"/>
      <c r="T582" s="674"/>
      <c r="U582" s="674"/>
      <c r="V582" s="675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702"/>
      <c r="P583" s="673" t="s">
        <v>80</v>
      </c>
      <c r="Q583" s="674"/>
      <c r="R583" s="674"/>
      <c r="S583" s="674"/>
      <c r="T583" s="674"/>
      <c r="U583" s="674"/>
      <c r="V583" s="675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76" t="s">
        <v>144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58"/>
      <c r="AB584" s="658"/>
      <c r="AC584" s="658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78">
        <v>4640242180076</v>
      </c>
      <c r="E585" s="679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938" t="s">
        <v>937</v>
      </c>
      <c r="Q585" s="681"/>
      <c r="R585" s="681"/>
      <c r="S585" s="681"/>
      <c r="T585" s="682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70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702"/>
      <c r="P586" s="673" t="s">
        <v>80</v>
      </c>
      <c r="Q586" s="674"/>
      <c r="R586" s="674"/>
      <c r="S586" s="674"/>
      <c r="T586" s="674"/>
      <c r="U586" s="674"/>
      <c r="V586" s="675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702"/>
      <c r="P587" s="673" t="s">
        <v>80</v>
      </c>
      <c r="Q587" s="674"/>
      <c r="R587" s="674"/>
      <c r="S587" s="674"/>
      <c r="T587" s="674"/>
      <c r="U587" s="674"/>
      <c r="V587" s="675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76" t="s">
        <v>64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58"/>
      <c r="AB588" s="658"/>
      <c r="AC588" s="658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78">
        <v>4640242180113</v>
      </c>
      <c r="E589" s="679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735" t="s">
        <v>941</v>
      </c>
      <c r="Q589" s="681"/>
      <c r="R589" s="681"/>
      <c r="S589" s="681"/>
      <c r="T589" s="682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70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702"/>
      <c r="P590" s="673" t="s">
        <v>80</v>
      </c>
      <c r="Q590" s="674"/>
      <c r="R590" s="674"/>
      <c r="S590" s="674"/>
      <c r="T590" s="674"/>
      <c r="U590" s="674"/>
      <c r="V590" s="675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702"/>
      <c r="P591" s="673" t="s">
        <v>80</v>
      </c>
      <c r="Q591" s="674"/>
      <c r="R591" s="674"/>
      <c r="S591" s="674"/>
      <c r="T591" s="674"/>
      <c r="U591" s="674"/>
      <c r="V591" s="675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76"/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897"/>
      <c r="P592" s="707" t="s">
        <v>943</v>
      </c>
      <c r="Q592" s="708"/>
      <c r="R592" s="708"/>
      <c r="S592" s="708"/>
      <c r="T592" s="708"/>
      <c r="U592" s="708"/>
      <c r="V592" s="69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14255.599999999999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14401.4</v>
      </c>
      <c r="Z592" s="37"/>
      <c r="AA592" s="668"/>
      <c r="AB592" s="668"/>
      <c r="AC592" s="668"/>
    </row>
    <row r="593" spans="1:32" x14ac:dyDescent="0.2">
      <c r="A593" s="677"/>
      <c r="B593" s="677"/>
      <c r="C593" s="677"/>
      <c r="D593" s="677"/>
      <c r="E593" s="677"/>
      <c r="F593" s="677"/>
      <c r="G593" s="677"/>
      <c r="H593" s="677"/>
      <c r="I593" s="677"/>
      <c r="J593" s="677"/>
      <c r="K593" s="677"/>
      <c r="L593" s="677"/>
      <c r="M593" s="677"/>
      <c r="N593" s="677"/>
      <c r="O593" s="897"/>
      <c r="P593" s="707" t="s">
        <v>944</v>
      </c>
      <c r="Q593" s="708"/>
      <c r="R593" s="708"/>
      <c r="S593" s="708"/>
      <c r="T593" s="708"/>
      <c r="U593" s="708"/>
      <c r="V593" s="698"/>
      <c r="W593" s="37" t="s">
        <v>69</v>
      </c>
      <c r="X593" s="667">
        <f>IFERROR(SUM(BM22:BM589),"0")</f>
        <v>14959.336701294998</v>
      </c>
      <c r="Y593" s="667">
        <f>IFERROR(SUM(BN22:BN589),"0")</f>
        <v>15113.290999999997</v>
      </c>
      <c r="Z593" s="37"/>
      <c r="AA593" s="668"/>
      <c r="AB593" s="668"/>
      <c r="AC593" s="668"/>
    </row>
    <row r="594" spans="1:32" x14ac:dyDescent="0.2">
      <c r="A594" s="677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897"/>
      <c r="P594" s="707" t="s">
        <v>945</v>
      </c>
      <c r="Q594" s="708"/>
      <c r="R594" s="708"/>
      <c r="S594" s="708"/>
      <c r="T594" s="708"/>
      <c r="U594" s="708"/>
      <c r="V594" s="698"/>
      <c r="W594" s="37" t="s">
        <v>946</v>
      </c>
      <c r="X594" s="38">
        <f>ROUNDUP(SUM(BO22:BO589),0)</f>
        <v>24</v>
      </c>
      <c r="Y594" s="38">
        <f>ROUNDUP(SUM(BP22:BP589),0)</f>
        <v>24</v>
      </c>
      <c r="Z594" s="37"/>
      <c r="AA594" s="668"/>
      <c r="AB594" s="668"/>
      <c r="AC594" s="668"/>
    </row>
    <row r="595" spans="1:32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897"/>
      <c r="P595" s="707" t="s">
        <v>947</v>
      </c>
      <c r="Q595" s="708"/>
      <c r="R595" s="708"/>
      <c r="S595" s="708"/>
      <c r="T595" s="708"/>
      <c r="U595" s="708"/>
      <c r="V595" s="698"/>
      <c r="W595" s="37" t="s">
        <v>69</v>
      </c>
      <c r="X595" s="667">
        <f>GrossWeightTotal+PalletQtyTotal*25</f>
        <v>15559.336701294998</v>
      </c>
      <c r="Y595" s="667">
        <f>GrossWeightTotalR+PalletQtyTotalR*25</f>
        <v>15713.290999999997</v>
      </c>
      <c r="Z595" s="37"/>
      <c r="AA595" s="668"/>
      <c r="AB595" s="668"/>
      <c r="AC595" s="668"/>
    </row>
    <row r="596" spans="1:32" x14ac:dyDescent="0.2">
      <c r="A596" s="677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97"/>
      <c r="P596" s="707" t="s">
        <v>948</v>
      </c>
      <c r="Q596" s="708"/>
      <c r="R596" s="708"/>
      <c r="S596" s="708"/>
      <c r="T596" s="708"/>
      <c r="U596" s="708"/>
      <c r="V596" s="69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1798.7491206324537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1823</v>
      </c>
      <c r="Z596" s="37"/>
      <c r="AA596" s="668"/>
      <c r="AB596" s="668"/>
      <c r="AC596" s="668"/>
    </row>
    <row r="597" spans="1:32" ht="14.25" hidden="1" customHeight="1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97"/>
      <c r="P597" s="707" t="s">
        <v>949</v>
      </c>
      <c r="Q597" s="708"/>
      <c r="R597" s="708"/>
      <c r="S597" s="708"/>
      <c r="T597" s="708"/>
      <c r="U597" s="708"/>
      <c r="V597" s="69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27.958609999999997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57" t="s">
        <v>63</v>
      </c>
      <c r="C599" s="669" t="s">
        <v>88</v>
      </c>
      <c r="D599" s="837"/>
      <c r="E599" s="837"/>
      <c r="F599" s="837"/>
      <c r="G599" s="837"/>
      <c r="H599" s="706"/>
      <c r="I599" s="669" t="s">
        <v>286</v>
      </c>
      <c r="J599" s="837"/>
      <c r="K599" s="837"/>
      <c r="L599" s="837"/>
      <c r="M599" s="837"/>
      <c r="N599" s="837"/>
      <c r="O599" s="837"/>
      <c r="P599" s="837"/>
      <c r="Q599" s="837"/>
      <c r="R599" s="837"/>
      <c r="S599" s="837"/>
      <c r="T599" s="837"/>
      <c r="U599" s="837"/>
      <c r="V599" s="706"/>
      <c r="W599" s="669" t="s">
        <v>577</v>
      </c>
      <c r="X599" s="706"/>
      <c r="Y599" s="669" t="s">
        <v>658</v>
      </c>
      <c r="Z599" s="837"/>
      <c r="AA599" s="837"/>
      <c r="AB599" s="706"/>
      <c r="AC599" s="657" t="s">
        <v>733</v>
      </c>
      <c r="AD599" s="669" t="s">
        <v>833</v>
      </c>
      <c r="AE599" s="706"/>
      <c r="AF599" s="659"/>
    </row>
    <row r="600" spans="1:32" ht="14.25" customHeight="1" thickTop="1" x14ac:dyDescent="0.2">
      <c r="A600" s="769" t="s">
        <v>952</v>
      </c>
      <c r="B600" s="669" t="s">
        <v>63</v>
      </c>
      <c r="C600" s="669" t="s">
        <v>89</v>
      </c>
      <c r="D600" s="669" t="s">
        <v>110</v>
      </c>
      <c r="E600" s="669" t="s">
        <v>178</v>
      </c>
      <c r="F600" s="669" t="s">
        <v>209</v>
      </c>
      <c r="G600" s="669" t="s">
        <v>254</v>
      </c>
      <c r="H600" s="669" t="s">
        <v>88</v>
      </c>
      <c r="I600" s="669" t="s">
        <v>287</v>
      </c>
      <c r="J600" s="669" t="s">
        <v>322</v>
      </c>
      <c r="K600" s="669" t="s">
        <v>383</v>
      </c>
      <c r="L600" s="669" t="s">
        <v>418</v>
      </c>
      <c r="M600" s="669" t="s">
        <v>436</v>
      </c>
      <c r="N600" s="659"/>
      <c r="O600" s="669" t="s">
        <v>440</v>
      </c>
      <c r="P600" s="669" t="s">
        <v>449</v>
      </c>
      <c r="Q600" s="669" t="s">
        <v>463</v>
      </c>
      <c r="R600" s="669" t="s">
        <v>473</v>
      </c>
      <c r="S600" s="669" t="s">
        <v>477</v>
      </c>
      <c r="T600" s="669" t="s">
        <v>485</v>
      </c>
      <c r="U600" s="669" t="s">
        <v>490</v>
      </c>
      <c r="V600" s="669" t="s">
        <v>564</v>
      </c>
      <c r="W600" s="669" t="s">
        <v>578</v>
      </c>
      <c r="X600" s="669" t="s">
        <v>619</v>
      </c>
      <c r="Y600" s="669" t="s">
        <v>659</v>
      </c>
      <c r="Z600" s="669" t="s">
        <v>698</v>
      </c>
      <c r="AA600" s="669" t="s">
        <v>718</v>
      </c>
      <c r="AB600" s="669" t="s">
        <v>726</v>
      </c>
      <c r="AC600" s="669" t="s">
        <v>733</v>
      </c>
      <c r="AD600" s="669" t="s">
        <v>833</v>
      </c>
      <c r="AE600" s="669" t="s">
        <v>926</v>
      </c>
      <c r="AF600" s="659"/>
    </row>
    <row r="601" spans="1:32" ht="13.5" customHeight="1" thickBot="1" x14ac:dyDescent="0.25">
      <c r="A601" s="770"/>
      <c r="B601" s="670"/>
      <c r="C601" s="670"/>
      <c r="D601" s="670"/>
      <c r="E601" s="670"/>
      <c r="F601" s="670"/>
      <c r="G601" s="670"/>
      <c r="H601" s="670"/>
      <c r="I601" s="670"/>
      <c r="J601" s="670"/>
      <c r="K601" s="670"/>
      <c r="L601" s="670"/>
      <c r="M601" s="670"/>
      <c r="N601" s="659"/>
      <c r="O601" s="670"/>
      <c r="P601" s="670"/>
      <c r="Q601" s="670"/>
      <c r="R601" s="670"/>
      <c r="S601" s="670"/>
      <c r="T601" s="670"/>
      <c r="U601" s="670"/>
      <c r="V601" s="670"/>
      <c r="W601" s="670"/>
      <c r="X601" s="670"/>
      <c r="Y601" s="670"/>
      <c r="Z601" s="670"/>
      <c r="AA601" s="670"/>
      <c r="AB601" s="670"/>
      <c r="AC601" s="670"/>
      <c r="AD601" s="670"/>
      <c r="AE601" s="670"/>
      <c r="AF601" s="659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94.4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2121.3000000000002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370.5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95.85</v>
      </c>
      <c r="G602" s="46">
        <f>IFERROR(Y136*1,"0")+IFERROR(Y137*1,"0")+IFERROR(Y141*1,"0")+IFERROR(Y142*1,"0")+IFERROR(Y146*1,"0")+IFERROR(Y147*1,"0")</f>
        <v>21.2</v>
      </c>
      <c r="H602" s="46">
        <f>IFERROR(Y152*1,"0")+IFERROR(Y156*1,"0")+IFERROR(Y157*1,"0")+IFERROR(Y158*1,"0")+IFERROR(Y159*1,"0")+IFERROR(Y163*1,"0")+IFERROR(Y164*1,"0")</f>
        <v>63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33.6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284.99999999999994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431.6</v>
      </c>
      <c r="M602" s="46">
        <f>IFERROR(Y265*1,"0")</f>
        <v>0</v>
      </c>
      <c r="N602" s="659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10.5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5736.9500000000007</v>
      </c>
      <c r="V602" s="46">
        <f>IFERROR(Y363*1,"0")+IFERROR(Y367*1,"0")+IFERROR(Y368*1,"0")+IFERROR(Y369*1,"0")</f>
        <v>153.30000000000001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4029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73.500000000000014</v>
      </c>
      <c r="Z602" s="46">
        <f>IFERROR(Y452*1,"0")+IFERROR(Y453*1,"0")+IFERROR(Y457*1,"0")+IFERROR(Y458*1,"0")+IFERROR(Y459*1,"0")+IFERROR(Y460*1,"0")</f>
        <v>2.1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422.40000000000003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457.20000000000005</v>
      </c>
      <c r="AE602" s="46">
        <f>IFERROR(Y577*1,"0")+IFERROR(Y581*1,"0")+IFERROR(Y585*1,"0")+IFERROR(Y589*1,"0")</f>
        <v>0</v>
      </c>
      <c r="AF602" s="659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6,00"/>
        <filter val="1 283,00"/>
        <filter val="1 480,00"/>
        <filter val="1 484,00"/>
        <filter val="1 620,00"/>
        <filter val="1 798,75"/>
        <filter val="1,00"/>
        <filter val="10,00"/>
        <filter val="10,50"/>
        <filter val="10,76"/>
        <filter val="108,00"/>
        <filter val="11,20"/>
        <filter val="110,00"/>
        <filter val="12,40"/>
        <filter val="12,60"/>
        <filter val="12,86"/>
        <filter val="126,96"/>
        <filter val="13,50"/>
        <filter val="130,00"/>
        <filter val="131,89"/>
        <filter val="138,00"/>
        <filter val="14 255,60"/>
        <filter val="14 959,34"/>
        <filter val="143,80"/>
        <filter val="15 559,34"/>
        <filter val="15,00"/>
        <filter val="15,15"/>
        <filter val="150,00"/>
        <filter val="155,00"/>
        <filter val="16,00"/>
        <filter val="161,96"/>
        <filter val="169,33"/>
        <filter val="17,38"/>
        <filter val="18,00"/>
        <filter val="18,75"/>
        <filter val="180,00"/>
        <filter val="19,75"/>
        <filter val="2 530,00"/>
        <filter val="2,10"/>
        <filter val="2,38"/>
        <filter val="2,50"/>
        <filter val="2,55"/>
        <filter val="20,00"/>
        <filter val="200,00"/>
        <filter val="206,10"/>
        <filter val="21,60"/>
        <filter val="210,00"/>
        <filter val="22,50"/>
        <filter val="220,00"/>
        <filter val="23,48"/>
        <filter val="24"/>
        <filter val="24,62"/>
        <filter val="240,00"/>
        <filter val="25,90"/>
        <filter val="258,00"/>
        <filter val="270,00"/>
        <filter val="28,75"/>
        <filter val="294,00"/>
        <filter val="3 600,00"/>
        <filter val="3 621,60"/>
        <filter val="3,50"/>
        <filter val="30,00"/>
        <filter val="32,60"/>
        <filter val="333,00"/>
        <filter val="335,00"/>
        <filter val="352,00"/>
        <filter val="36,92"/>
        <filter val="37,88"/>
        <filter val="37,89"/>
        <filter val="38,00"/>
        <filter val="4,00"/>
        <filter val="4,22"/>
        <filter val="4,44"/>
        <filter val="40,00"/>
        <filter val="40,74"/>
        <filter val="420,00"/>
        <filter val="43,61"/>
        <filter val="468,74"/>
        <filter val="47,40"/>
        <filter val="5,00"/>
        <filter val="5,33"/>
        <filter val="5,83"/>
        <filter val="5,93"/>
        <filter val="50,00"/>
        <filter val="50,84"/>
        <filter val="520,80"/>
        <filter val="56,00"/>
        <filter val="58,80"/>
        <filter val="6,30"/>
        <filter val="60,00"/>
        <filter val="60,50"/>
        <filter val="600,00"/>
        <filter val="67,90"/>
        <filter val="7,00"/>
        <filter val="70,00"/>
        <filter val="70,70"/>
        <filter val="750,00"/>
        <filter val="79,76"/>
        <filter val="8,00"/>
        <filter val="8,40"/>
        <filter val="80,00"/>
        <filter val="806,10"/>
        <filter val="820,00"/>
        <filter val="84,00"/>
        <filter val="85,00"/>
        <filter val="88,00"/>
        <filter val="9,41"/>
        <filter val="90,00"/>
        <filter val="95,00"/>
        <filter val="950,00"/>
        <filter val="99,67"/>
      </filters>
    </filterColumn>
    <filterColumn colId="29" showButton="0"/>
    <filterColumn colId="30" showButton="0"/>
  </autoFilter>
  <mergeCells count="1056">
    <mergeCell ref="D535:E535"/>
    <mergeCell ref="P79:T79"/>
    <mergeCell ref="D60:E60"/>
    <mergeCell ref="P73:T73"/>
    <mergeCell ref="P437:T437"/>
    <mergeCell ref="H600:H601"/>
    <mergeCell ref="A165:O166"/>
    <mergeCell ref="P231:T231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220:T220"/>
    <mergeCell ref="P562:T562"/>
    <mergeCell ref="D499:E499"/>
    <mergeCell ref="D486:E486"/>
    <mergeCell ref="P86:T86"/>
    <mergeCell ref="A287:O288"/>
    <mergeCell ref="P157:T157"/>
    <mergeCell ref="P213:T213"/>
    <mergeCell ref="P328:T328"/>
    <mergeCell ref="D205:E205"/>
    <mergeCell ref="D376:E376"/>
    <mergeCell ref="P384:T384"/>
    <mergeCell ref="D572:E572"/>
    <mergeCell ref="AA600:AA601"/>
    <mergeCell ref="D563:E563"/>
    <mergeCell ref="D363:E363"/>
    <mergeCell ref="AC600:AC601"/>
    <mergeCell ref="D357:E357"/>
    <mergeCell ref="R1:T1"/>
    <mergeCell ref="D71:E71"/>
    <mergeCell ref="P586:V586"/>
    <mergeCell ref="P215:T215"/>
    <mergeCell ref="C599:H599"/>
    <mergeCell ref="P115:V115"/>
    <mergeCell ref="A443:O444"/>
    <mergeCell ref="P457:T457"/>
    <mergeCell ref="A503:O504"/>
    <mergeCell ref="P432:T432"/>
    <mergeCell ref="P400:V400"/>
    <mergeCell ref="A89:O90"/>
    <mergeCell ref="D98:E98"/>
    <mergeCell ref="D73:E73"/>
    <mergeCell ref="P77:V77"/>
    <mergeCell ref="P152:T152"/>
    <mergeCell ref="A76:O77"/>
    <mergeCell ref="A282:O283"/>
    <mergeCell ref="A200:Z200"/>
    <mergeCell ref="P166:V166"/>
    <mergeCell ref="P290:T290"/>
    <mergeCell ref="A550:Z550"/>
    <mergeCell ref="P452:T452"/>
    <mergeCell ref="P448:V448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P81:T81"/>
    <mergeCell ref="D124:E124"/>
    <mergeCell ref="V10:W10"/>
    <mergeCell ref="P379:T379"/>
    <mergeCell ref="D493:E493"/>
    <mergeCell ref="D431:E431"/>
    <mergeCell ref="P99:T99"/>
    <mergeCell ref="A300:O301"/>
    <mergeCell ref="P170:T170"/>
    <mergeCell ref="P251:V251"/>
    <mergeCell ref="P522:T522"/>
    <mergeCell ref="D432:E432"/>
    <mergeCell ref="D236:E236"/>
    <mergeCell ref="A472:O473"/>
    <mergeCell ref="D92:E92"/>
    <mergeCell ref="P340:V340"/>
    <mergeCell ref="P242:T242"/>
    <mergeCell ref="A361:Z361"/>
    <mergeCell ref="P413:T413"/>
    <mergeCell ref="D585:E585"/>
    <mergeCell ref="D66:E66"/>
    <mergeCell ref="D126:E126"/>
    <mergeCell ref="D197:E197"/>
    <mergeCell ref="P381:T381"/>
    <mergeCell ref="D53:E53"/>
    <mergeCell ref="P552:T552"/>
    <mergeCell ref="D47:E47"/>
    <mergeCell ref="A84:Z84"/>
    <mergeCell ref="D351:E351"/>
    <mergeCell ref="D482:E482"/>
    <mergeCell ref="P395:V395"/>
    <mergeCell ref="P566:V566"/>
    <mergeCell ref="P147:T147"/>
    <mergeCell ref="A193:O194"/>
    <mergeCell ref="W17:W18"/>
    <mergeCell ref="P90:V90"/>
    <mergeCell ref="P261:V261"/>
    <mergeCell ref="P161:V161"/>
    <mergeCell ref="P332:V332"/>
    <mergeCell ref="P503:V503"/>
    <mergeCell ref="P559:V559"/>
    <mergeCell ref="A151:Z151"/>
    <mergeCell ref="P27:V27"/>
    <mergeCell ref="P234:T234"/>
    <mergeCell ref="P563:T563"/>
    <mergeCell ref="P237:T237"/>
    <mergeCell ref="P472:V472"/>
    <mergeCell ref="P158:T158"/>
    <mergeCell ref="P329:T329"/>
    <mergeCell ref="A148:O149"/>
    <mergeCell ref="D406:E406"/>
    <mergeCell ref="G600:G601"/>
    <mergeCell ref="P154:V154"/>
    <mergeCell ref="A150:Z150"/>
    <mergeCell ref="P325:V325"/>
    <mergeCell ref="I600:I601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P394:T394"/>
    <mergeCell ref="A209:O210"/>
    <mergeCell ref="A450:Z450"/>
    <mergeCell ref="D442:E442"/>
    <mergeCell ref="P521:T521"/>
    <mergeCell ref="D502:E502"/>
    <mergeCell ref="P570:T570"/>
    <mergeCell ref="P29:T29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5:T565"/>
    <mergeCell ref="A590:O591"/>
    <mergeCell ref="AB600:AB601"/>
    <mergeCell ref="AD600:AD601"/>
    <mergeCell ref="A228:Z228"/>
    <mergeCell ref="P95:T95"/>
    <mergeCell ref="P530:V530"/>
    <mergeCell ref="A355:Z355"/>
    <mergeCell ref="A526:Z526"/>
    <mergeCell ref="A461:O462"/>
    <mergeCell ref="P331:T331"/>
    <mergeCell ref="P502:T502"/>
    <mergeCell ref="P527:T527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P407:T407"/>
    <mergeCell ref="D5:E5"/>
    <mergeCell ref="A140:Z140"/>
    <mergeCell ref="A524:O525"/>
    <mergeCell ref="P382:T382"/>
    <mergeCell ref="A238:O239"/>
    <mergeCell ref="P453:T453"/>
    <mergeCell ref="P42:T42"/>
    <mergeCell ref="P553:T553"/>
    <mergeCell ref="D290:E290"/>
    <mergeCell ref="D94:E94"/>
    <mergeCell ref="D417:E417"/>
    <mergeCell ref="P471:T471"/>
    <mergeCell ref="P396:V396"/>
    <mergeCell ref="A392:Z392"/>
    <mergeCell ref="P259:T259"/>
    <mergeCell ref="A395:O396"/>
    <mergeCell ref="D224:E224"/>
    <mergeCell ref="P97:T97"/>
    <mergeCell ref="P230:T230"/>
    <mergeCell ref="P339:T339"/>
    <mergeCell ref="D382:E382"/>
    <mergeCell ref="D37:E37"/>
    <mergeCell ref="D466:E466"/>
    <mergeCell ref="P66:T66"/>
    <mergeCell ref="D9:E9"/>
    <mergeCell ref="P137:T137"/>
    <mergeCell ref="D118:E118"/>
    <mergeCell ref="F9:G9"/>
    <mergeCell ref="P53:T53"/>
    <mergeCell ref="D180:E180"/>
    <mergeCell ref="A183:O184"/>
    <mergeCell ref="P567:V567"/>
    <mergeCell ref="A592:O597"/>
    <mergeCell ref="A109:O110"/>
    <mergeCell ref="P482:T482"/>
    <mergeCell ref="A332:O333"/>
    <mergeCell ref="P226:V226"/>
    <mergeCell ref="D356:E356"/>
    <mergeCell ref="D527:E527"/>
    <mergeCell ref="A45:Z45"/>
    <mergeCell ref="A387:Z387"/>
    <mergeCell ref="P462:V462"/>
    <mergeCell ref="O600:O601"/>
    <mergeCell ref="Q600:Q601"/>
    <mergeCell ref="P399:V399"/>
    <mergeCell ref="P333:V333"/>
    <mergeCell ref="D272:E272"/>
    <mergeCell ref="P571:T571"/>
    <mergeCell ref="D381:E381"/>
    <mergeCell ref="D514:E514"/>
    <mergeCell ref="D308:E308"/>
    <mergeCell ref="A46:Z46"/>
    <mergeCell ref="F600:F601"/>
    <mergeCell ref="P537:T537"/>
    <mergeCell ref="D87:E87"/>
    <mergeCell ref="P337:T337"/>
    <mergeCell ref="D147:E147"/>
    <mergeCell ref="P188:V188"/>
    <mergeCell ref="A187:O188"/>
    <mergeCell ref="D380:E380"/>
    <mergeCell ref="P508:T508"/>
    <mergeCell ref="D516:E516"/>
    <mergeCell ref="D122:E122"/>
    <mergeCell ref="D1:F1"/>
    <mergeCell ref="P466:T466"/>
    <mergeCell ref="P572:T572"/>
    <mergeCell ref="A313:Z313"/>
    <mergeCell ref="P47:T47"/>
    <mergeCell ref="P282:V282"/>
    <mergeCell ref="A307:Z307"/>
    <mergeCell ref="P409:V409"/>
    <mergeCell ref="J17:J18"/>
    <mergeCell ref="L17:L18"/>
    <mergeCell ref="P61:V61"/>
    <mergeCell ref="P359:V359"/>
    <mergeCell ref="D511:E511"/>
    <mergeCell ref="P255:T255"/>
    <mergeCell ref="P346:V346"/>
    <mergeCell ref="A342:Z342"/>
    <mergeCell ref="A542:Z542"/>
    <mergeCell ref="A467:O468"/>
    <mergeCell ref="D141:E141"/>
    <mergeCell ref="P481:T481"/>
    <mergeCell ref="D377:E377"/>
    <mergeCell ref="P281:T281"/>
    <mergeCell ref="A6:C6"/>
    <mergeCell ref="D517:E517"/>
    <mergeCell ref="P182:T182"/>
    <mergeCell ref="P102:V102"/>
    <mergeCell ref="Q12:R12"/>
    <mergeCell ref="P280:T280"/>
    <mergeCell ref="A5:C5"/>
    <mergeCell ref="A17:A18"/>
    <mergeCell ref="K17:K18"/>
    <mergeCell ref="C17:C18"/>
    <mergeCell ref="P582:V582"/>
    <mergeCell ref="P192:T192"/>
    <mergeCell ref="D100:E100"/>
    <mergeCell ref="P113:T113"/>
    <mergeCell ref="A173:Z173"/>
    <mergeCell ref="P17:T18"/>
    <mergeCell ref="A229:Z229"/>
    <mergeCell ref="A414:O415"/>
    <mergeCell ref="D523:E523"/>
    <mergeCell ref="P250:T250"/>
    <mergeCell ref="P50:T50"/>
    <mergeCell ref="P492:T492"/>
    <mergeCell ref="D158:E158"/>
    <mergeCell ref="P286:T286"/>
    <mergeCell ref="D329:E329"/>
    <mergeCell ref="A402:Z402"/>
    <mergeCell ref="D565:E565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A540:O541"/>
    <mergeCell ref="P546:T546"/>
    <mergeCell ref="P556:T556"/>
    <mergeCell ref="P139:V139"/>
    <mergeCell ref="I17:I18"/>
    <mergeCell ref="P585:T585"/>
    <mergeCell ref="P352:T352"/>
    <mergeCell ref="P523:T523"/>
    <mergeCell ref="D72:E72"/>
    <mergeCell ref="P301:V301"/>
    <mergeCell ref="P295:V295"/>
    <mergeCell ref="D235:E235"/>
    <mergeCell ref="D421:E421"/>
    <mergeCell ref="Q9:R9"/>
    <mergeCell ref="P267:V267"/>
    <mergeCell ref="D255:E255"/>
    <mergeCell ref="A32:Z32"/>
    <mergeCell ref="A303:Z303"/>
    <mergeCell ref="D24:E24"/>
    <mergeCell ref="Q11:R11"/>
    <mergeCell ref="P205:T205"/>
    <mergeCell ref="D260:E260"/>
    <mergeCell ref="D322:E322"/>
    <mergeCell ref="P376:T376"/>
    <mergeCell ref="D309:E309"/>
    <mergeCell ref="D113:E113"/>
    <mergeCell ref="D453:E453"/>
    <mergeCell ref="P180:T180"/>
    <mergeCell ref="P415:V415"/>
    <mergeCell ref="P118:T118"/>
    <mergeCell ref="D545:E545"/>
    <mergeCell ref="A558:O559"/>
    <mergeCell ref="D88:E88"/>
    <mergeCell ref="P142:T142"/>
    <mergeCell ref="D324:E324"/>
    <mergeCell ref="P378:T378"/>
    <mergeCell ref="P403:T403"/>
    <mergeCell ref="P600:P601"/>
    <mergeCell ref="D388:E388"/>
    <mergeCell ref="P442:T442"/>
    <mergeCell ref="R600:R601"/>
    <mergeCell ref="A261:O262"/>
    <mergeCell ref="P119:T119"/>
    <mergeCell ref="D546:E546"/>
    <mergeCell ref="P183:V183"/>
    <mergeCell ref="A43:O44"/>
    <mergeCell ref="P246:T246"/>
    <mergeCell ref="P354:V354"/>
    <mergeCell ref="P62:V62"/>
    <mergeCell ref="P133:V133"/>
    <mergeCell ref="P127:V127"/>
    <mergeCell ref="D561:E561"/>
    <mergeCell ref="P198:V198"/>
    <mergeCell ref="P347:V347"/>
    <mergeCell ref="P583:V583"/>
    <mergeCell ref="P406:T406"/>
    <mergeCell ref="D179:E179"/>
    <mergeCell ref="P591:V591"/>
    <mergeCell ref="D337:E337"/>
    <mergeCell ref="P128:V128"/>
    <mergeCell ref="A189:Z189"/>
    <mergeCell ref="P364:V364"/>
    <mergeCell ref="P431:T431"/>
    <mergeCell ref="P493:T493"/>
    <mergeCell ref="D230:E230"/>
    <mergeCell ref="P358:T358"/>
    <mergeCell ref="D339:E339"/>
    <mergeCell ref="A474:Z474"/>
    <mergeCell ref="A548:O549"/>
    <mergeCell ref="P197:T197"/>
    <mergeCell ref="P351:T351"/>
    <mergeCell ref="P495:T495"/>
    <mergeCell ref="D232:E232"/>
    <mergeCell ref="D403:E403"/>
    <mergeCell ref="P67:V67"/>
    <mergeCell ref="P238:V238"/>
    <mergeCell ref="A263:Z263"/>
    <mergeCell ref="A247:O248"/>
    <mergeCell ref="D38:E38"/>
    <mergeCell ref="A588:Z588"/>
    <mergeCell ref="P82:V82"/>
    <mergeCell ref="A134:Z134"/>
    <mergeCell ref="I599:V599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A138:O139"/>
    <mergeCell ref="P581:T581"/>
    <mergeCell ref="P87:T87"/>
    <mergeCell ref="P15:T16"/>
    <mergeCell ref="P208:T208"/>
    <mergeCell ref="A132:O133"/>
    <mergeCell ref="A325:O326"/>
    <mergeCell ref="A496:O497"/>
    <mergeCell ref="D352:E352"/>
    <mergeCell ref="P419:T419"/>
    <mergeCell ref="P219:T219"/>
    <mergeCell ref="P23:T23"/>
    <mergeCell ref="P272:T272"/>
    <mergeCell ref="D156:E156"/>
    <mergeCell ref="A340:O341"/>
    <mergeCell ref="D398:E398"/>
    <mergeCell ref="D460:E460"/>
    <mergeCell ref="D569:E569"/>
    <mergeCell ref="P308:T308"/>
    <mergeCell ref="D106:E106"/>
    <mergeCell ref="P544:T544"/>
    <mergeCell ref="D93:E93"/>
    <mergeCell ref="P277:T277"/>
    <mergeCell ref="D220:E220"/>
    <mergeCell ref="P199:V199"/>
    <mergeCell ref="A195:Z195"/>
    <mergeCell ref="A198:O199"/>
    <mergeCell ref="P370:V370"/>
    <mergeCell ref="P122:T122"/>
    <mergeCell ref="P497:V497"/>
    <mergeCell ref="P291:V291"/>
    <mergeCell ref="P288:V288"/>
    <mergeCell ref="D157:E157"/>
    <mergeCell ref="D328:E328"/>
    <mergeCell ref="A253:Z253"/>
    <mergeCell ref="A12:M12"/>
    <mergeCell ref="A424:Z424"/>
    <mergeCell ref="P501:T501"/>
    <mergeCell ref="D487:E487"/>
    <mergeCell ref="A240:Z240"/>
    <mergeCell ref="D343:E343"/>
    <mergeCell ref="A411:Z411"/>
    <mergeCell ref="A416:Z416"/>
    <mergeCell ref="P597:V597"/>
    <mergeCell ref="P74:T74"/>
    <mergeCell ref="P243:V243"/>
    <mergeCell ref="A19:Z19"/>
    <mergeCell ref="A190:Z190"/>
    <mergeCell ref="D182:E182"/>
    <mergeCell ref="A117:Z117"/>
    <mergeCell ref="P292:V292"/>
    <mergeCell ref="A14:M14"/>
    <mergeCell ref="A111:Z111"/>
    <mergeCell ref="A160:O161"/>
    <mergeCell ref="P163:T163"/>
    <mergeCell ref="D280:E280"/>
    <mergeCell ref="D551:E551"/>
    <mergeCell ref="D345:E345"/>
    <mergeCell ref="A480:Z480"/>
    <mergeCell ref="D538:E538"/>
    <mergeCell ref="P385:V385"/>
    <mergeCell ref="P514:T514"/>
    <mergeCell ref="A582:O583"/>
    <mergeCell ref="A586:O587"/>
    <mergeCell ref="P360:V360"/>
    <mergeCell ref="P489:T489"/>
    <mergeCell ref="D74:E74"/>
    <mergeCell ref="T5:U5"/>
    <mergeCell ref="D119:E119"/>
    <mergeCell ref="V5:W5"/>
    <mergeCell ref="P203:T203"/>
    <mergeCell ref="D246:E246"/>
    <mergeCell ref="D488:E488"/>
    <mergeCell ref="D233:E233"/>
    <mergeCell ref="A295:O296"/>
    <mergeCell ref="D338:E338"/>
    <mergeCell ref="Q8:R8"/>
    <mergeCell ref="P438:T438"/>
    <mergeCell ref="C600:C601"/>
    <mergeCell ref="D419:E419"/>
    <mergeCell ref="D219:E219"/>
    <mergeCell ref="E600:E601"/>
    <mergeCell ref="P83:V83"/>
    <mergeCell ref="P425:T425"/>
    <mergeCell ref="A82:O83"/>
    <mergeCell ref="T6:U9"/>
    <mergeCell ref="Q10:R10"/>
    <mergeCell ref="A30:O31"/>
    <mergeCell ref="A429:Z429"/>
    <mergeCell ref="A315:O316"/>
    <mergeCell ref="D277:E277"/>
    <mergeCell ref="P356:T356"/>
    <mergeCell ref="D564:E564"/>
    <mergeCell ref="D485:E485"/>
    <mergeCell ref="P149:V149"/>
    <mergeCell ref="A145:Z145"/>
    <mergeCell ref="A346:O347"/>
    <mergeCell ref="D137:E137"/>
    <mergeCell ref="P216:T216"/>
    <mergeCell ref="D130:E130"/>
    <mergeCell ref="D201:E201"/>
    <mergeCell ref="D335:E335"/>
    <mergeCell ref="P449:V449"/>
    <mergeCell ref="A470:Z470"/>
    <mergeCell ref="X600:X601"/>
    <mergeCell ref="P516:T516"/>
    <mergeCell ref="Z600:Z601"/>
    <mergeCell ref="P543:T543"/>
    <mergeCell ref="D286:E286"/>
    <mergeCell ref="P224:T224"/>
    <mergeCell ref="P24:T24"/>
    <mergeCell ref="P491:T491"/>
    <mergeCell ref="P322:T322"/>
    <mergeCell ref="P260:T260"/>
    <mergeCell ref="D59:E59"/>
    <mergeCell ref="P309:T309"/>
    <mergeCell ref="A63:Z63"/>
    <mergeCell ref="P545:T545"/>
    <mergeCell ref="D178:E178"/>
    <mergeCell ref="P88:T88"/>
    <mergeCell ref="P51:T51"/>
    <mergeCell ref="P461:V461"/>
    <mergeCell ref="P324:T324"/>
    <mergeCell ref="A143:O144"/>
    <mergeCell ref="A584:Z584"/>
    <mergeCell ref="P511:T511"/>
    <mergeCell ref="D555:E555"/>
    <mergeCell ref="P227:V227"/>
    <mergeCell ref="D36:E36"/>
    <mergeCell ref="P525:V525"/>
    <mergeCell ref="P380:T380"/>
    <mergeCell ref="A13:M13"/>
    <mergeCell ref="P444:V444"/>
    <mergeCell ref="P244:V244"/>
    <mergeCell ref="A69:Z69"/>
    <mergeCell ref="P315:V315"/>
    <mergeCell ref="W600:W601"/>
    <mergeCell ref="Y600:Y601"/>
    <mergeCell ref="A560:Z560"/>
    <mergeCell ref="A15:M15"/>
    <mergeCell ref="A498:Z498"/>
    <mergeCell ref="D48:E48"/>
    <mergeCell ref="A61:O62"/>
    <mergeCell ref="D490:E490"/>
    <mergeCell ref="A359:O360"/>
    <mergeCell ref="P594:V594"/>
    <mergeCell ref="A153:O154"/>
    <mergeCell ref="D125:E125"/>
    <mergeCell ref="P179:T179"/>
    <mergeCell ref="P204:T204"/>
    <mergeCell ref="A264:Z264"/>
    <mergeCell ref="A54:O55"/>
    <mergeCell ref="P207:T207"/>
    <mergeCell ref="A445:Z445"/>
    <mergeCell ref="A372:Z372"/>
    <mergeCell ref="A573:O574"/>
    <mergeCell ref="P172:V172"/>
    <mergeCell ref="P299:T299"/>
    <mergeCell ref="B600:B601"/>
    <mergeCell ref="D600:D601"/>
    <mergeCell ref="P221:V221"/>
    <mergeCell ref="P326:V326"/>
    <mergeCell ref="P386:V386"/>
    <mergeCell ref="J9:M9"/>
    <mergeCell ref="D112:E112"/>
    <mergeCell ref="P375:T375"/>
    <mergeCell ref="P440:T440"/>
    <mergeCell ref="P446:T446"/>
    <mergeCell ref="P538:T538"/>
    <mergeCell ref="D554:E554"/>
    <mergeCell ref="D581:E581"/>
    <mergeCell ref="P141:T141"/>
    <mergeCell ref="P454:V454"/>
    <mergeCell ref="P206:T206"/>
    <mergeCell ref="P377:T377"/>
    <mergeCell ref="P233:T233"/>
    <mergeCell ref="P37:T37"/>
    <mergeCell ref="D176:E176"/>
    <mergeCell ref="P304:T304"/>
    <mergeCell ref="D114:E114"/>
    <mergeCell ref="D491:E491"/>
    <mergeCell ref="D412:E412"/>
    <mergeCell ref="P391:V391"/>
    <mergeCell ref="A390:O391"/>
    <mergeCell ref="A273:O274"/>
    <mergeCell ref="D64:E64"/>
    <mergeCell ref="P518:V518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211:Z211"/>
    <mergeCell ref="P393:T393"/>
    <mergeCell ref="P564:T564"/>
    <mergeCell ref="D203:E203"/>
    <mergeCell ref="P165:V165"/>
    <mergeCell ref="P549:V549"/>
    <mergeCell ref="P232:T232"/>
    <mergeCell ref="P30:V30"/>
    <mergeCell ref="P159:T159"/>
    <mergeCell ref="P330:T330"/>
    <mergeCell ref="A275:Z275"/>
    <mergeCell ref="D438:E438"/>
    <mergeCell ref="P517:T517"/>
    <mergeCell ref="D509:E509"/>
    <mergeCell ref="D425:E425"/>
    <mergeCell ref="P96:T96"/>
    <mergeCell ref="H17:H18"/>
    <mergeCell ref="A291:O292"/>
    <mergeCell ref="D204:E204"/>
    <mergeCell ref="P217:T217"/>
    <mergeCell ref="P388:T388"/>
    <mergeCell ref="P459:T459"/>
    <mergeCell ref="D465:E465"/>
    <mergeCell ref="D440:E440"/>
    <mergeCell ref="A518:O519"/>
    <mergeCell ref="D489:E489"/>
    <mergeCell ref="D75:E75"/>
    <mergeCell ref="D206:E206"/>
    <mergeCell ref="P247:V247"/>
    <mergeCell ref="P561:T561"/>
    <mergeCell ref="A529:O530"/>
    <mergeCell ref="G17:G18"/>
    <mergeCell ref="Y599:AB599"/>
    <mergeCell ref="D181:E181"/>
    <mergeCell ref="A578:O579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H10:M10"/>
    <mergeCell ref="AA17:AA18"/>
    <mergeCell ref="A135:Z135"/>
    <mergeCell ref="AC17:AC18"/>
    <mergeCell ref="P212:T212"/>
    <mergeCell ref="P485:T485"/>
    <mergeCell ref="P101:V101"/>
    <mergeCell ref="A409:O410"/>
    <mergeCell ref="P108:T108"/>
    <mergeCell ref="P279:T279"/>
    <mergeCell ref="D393:E393"/>
    <mergeCell ref="D418:E418"/>
    <mergeCell ref="P209:V209"/>
    <mergeCell ref="P512:T512"/>
    <mergeCell ref="P487:T487"/>
    <mergeCell ref="P343:T343"/>
    <mergeCell ref="D420:E420"/>
    <mergeCell ref="AB17:AB18"/>
    <mergeCell ref="P476:V476"/>
    <mergeCell ref="P35:T35"/>
    <mergeCell ref="V6:W9"/>
    <mergeCell ref="P256:T256"/>
    <mergeCell ref="P38:T38"/>
    <mergeCell ref="P554:T554"/>
    <mergeCell ref="D435:E435"/>
    <mergeCell ref="D186:E186"/>
    <mergeCell ref="D413:E413"/>
    <mergeCell ref="D217:E217"/>
    <mergeCell ref="A226:O227"/>
    <mergeCell ref="P345:T345"/>
    <mergeCell ref="D484:E484"/>
    <mergeCell ref="P22:T22"/>
    <mergeCell ref="D65:E65"/>
    <mergeCell ref="P320:T320"/>
    <mergeCell ref="A580:Z580"/>
    <mergeCell ref="P314:T314"/>
    <mergeCell ref="P257:T257"/>
    <mergeCell ref="P54:V54"/>
    <mergeCell ref="P80:T80"/>
    <mergeCell ref="Z17:Z18"/>
    <mergeCell ref="A41:Z41"/>
    <mergeCell ref="D446:E446"/>
    <mergeCell ref="P44:V44"/>
    <mergeCell ref="A575:Z575"/>
    <mergeCell ref="D367:E367"/>
    <mergeCell ref="P164:T164"/>
    <mergeCell ref="D207:E207"/>
    <mergeCell ref="D256:E256"/>
    <mergeCell ref="P335:T335"/>
    <mergeCell ref="D383:E383"/>
    <mergeCell ref="D299:E299"/>
    <mergeCell ref="A401:Z401"/>
    <mergeCell ref="H5:M5"/>
    <mergeCell ref="P31:V31"/>
    <mergeCell ref="A56:Z56"/>
    <mergeCell ref="P473:V473"/>
    <mergeCell ref="J600:J601"/>
    <mergeCell ref="P98:T98"/>
    <mergeCell ref="L600:L601"/>
    <mergeCell ref="D212:E212"/>
    <mergeCell ref="D146:E146"/>
    <mergeCell ref="P225:T225"/>
    <mergeCell ref="A285:Z285"/>
    <mergeCell ref="D6:M6"/>
    <mergeCell ref="D439:E439"/>
    <mergeCell ref="A456:Z456"/>
    <mergeCell ref="D304:E304"/>
    <mergeCell ref="D510:E510"/>
    <mergeCell ref="P175:T175"/>
    <mergeCell ref="P266:V266"/>
    <mergeCell ref="A85:Z85"/>
    <mergeCell ref="P460:T460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475:T475"/>
    <mergeCell ref="P93:T93"/>
    <mergeCell ref="D481:E481"/>
    <mergeCell ref="P184:V184"/>
    <mergeCell ref="D314:E314"/>
    <mergeCell ref="AE600:AE601"/>
    <mergeCell ref="P171:V171"/>
    <mergeCell ref="A167:Z167"/>
    <mergeCell ref="D159:E159"/>
    <mergeCell ref="D80:E80"/>
    <mergeCell ref="A505:Z505"/>
    <mergeCell ref="A169:Z169"/>
    <mergeCell ref="P551:T551"/>
    <mergeCell ref="D459:E459"/>
    <mergeCell ref="P148:V148"/>
    <mergeCell ref="P59:T59"/>
    <mergeCell ref="A532:Z532"/>
    <mergeCell ref="P130:T130"/>
    <mergeCell ref="D136:E136"/>
    <mergeCell ref="D434:E434"/>
    <mergeCell ref="P488:T488"/>
    <mergeCell ref="D225:E225"/>
    <mergeCell ref="A399:O400"/>
    <mergeCell ref="P555:T555"/>
    <mergeCell ref="P573:V573"/>
    <mergeCell ref="P176:T176"/>
    <mergeCell ref="W599:X599"/>
    <mergeCell ref="P114:T114"/>
    <mergeCell ref="P241:T241"/>
    <mergeCell ref="P483:T483"/>
    <mergeCell ref="P421:T421"/>
    <mergeCell ref="A348:Z348"/>
    <mergeCell ref="P408:T408"/>
    <mergeCell ref="D218:E218"/>
    <mergeCell ref="A249:Z249"/>
    <mergeCell ref="P48:T48"/>
    <mergeCell ref="D436:E436"/>
    <mergeCell ref="A305:O306"/>
    <mergeCell ref="A476:O477"/>
    <mergeCell ref="A243:O244"/>
    <mergeCell ref="P490:T490"/>
    <mergeCell ref="D534:E534"/>
    <mergeCell ref="P262:V262"/>
    <mergeCell ref="A9:C9"/>
    <mergeCell ref="P125:T125"/>
    <mergeCell ref="P321:T321"/>
    <mergeCell ref="D202:E202"/>
    <mergeCell ref="P557:T557"/>
    <mergeCell ref="D58:E58"/>
    <mergeCell ref="P112:T112"/>
    <mergeCell ref="A302:Z302"/>
    <mergeCell ref="D500:E500"/>
    <mergeCell ref="D294:E294"/>
    <mergeCell ref="P273:V273"/>
    <mergeCell ref="A298:Z298"/>
    <mergeCell ref="P323:T323"/>
    <mergeCell ref="D231:E231"/>
    <mergeCell ref="P39:V39"/>
    <mergeCell ref="D358:E358"/>
    <mergeCell ref="A91:Z91"/>
    <mergeCell ref="A327:Z327"/>
    <mergeCell ref="P116:V116"/>
    <mergeCell ref="Q13:R13"/>
    <mergeCell ref="A155:Z155"/>
    <mergeCell ref="A293:Z293"/>
    <mergeCell ref="P201:T201"/>
    <mergeCell ref="D389:E389"/>
    <mergeCell ref="D22:E22"/>
    <mergeCell ref="A284:Z284"/>
    <mergeCell ref="D320:E320"/>
    <mergeCell ref="D447:E447"/>
    <mergeCell ref="A127:O128"/>
    <mergeCell ref="P426:V426"/>
    <mergeCell ref="A520:Z520"/>
    <mergeCell ref="P178:T178"/>
    <mergeCell ref="P105:T105"/>
    <mergeCell ref="P547:T547"/>
    <mergeCell ref="D86:E86"/>
    <mergeCell ref="P214:T214"/>
    <mergeCell ref="D257:E257"/>
    <mergeCell ref="D213:E213"/>
    <mergeCell ref="P270:T270"/>
    <mergeCell ref="D384:E384"/>
    <mergeCell ref="K600:K601"/>
    <mergeCell ref="M600:M601"/>
    <mergeCell ref="P577:T577"/>
    <mergeCell ref="P49:T49"/>
    <mergeCell ref="P36:T36"/>
    <mergeCell ref="P107:T107"/>
    <mergeCell ref="P278:T278"/>
    <mergeCell ref="D321:E321"/>
    <mergeCell ref="D215:E215"/>
    <mergeCell ref="P465:T465"/>
    <mergeCell ref="P194:V194"/>
    <mergeCell ref="A426:O427"/>
    <mergeCell ref="A364:O365"/>
    <mergeCell ref="D513:E513"/>
    <mergeCell ref="A317:Z317"/>
    <mergeCell ref="D557:E557"/>
    <mergeCell ref="M17:M18"/>
    <mergeCell ref="A531:Z531"/>
    <mergeCell ref="O17:O18"/>
    <mergeCell ref="P336:T336"/>
    <mergeCell ref="A469:Z469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185:Z185"/>
    <mergeCell ref="P196:T196"/>
    <mergeCell ref="A600:A601"/>
    <mergeCell ref="D177:E177"/>
    <mergeCell ref="P287:V287"/>
    <mergeCell ref="A312:Z312"/>
    <mergeCell ref="P414:V414"/>
    <mergeCell ref="D164:E164"/>
    <mergeCell ref="P592:V592"/>
    <mergeCell ref="S600:S601"/>
    <mergeCell ref="A20:Z20"/>
    <mergeCell ref="P300:V300"/>
    <mergeCell ref="P371:V371"/>
    <mergeCell ref="A318:Z318"/>
    <mergeCell ref="D452:E452"/>
    <mergeCell ref="P515:T515"/>
    <mergeCell ref="P123:T123"/>
    <mergeCell ref="U600:U601"/>
    <mergeCell ref="P529:V529"/>
    <mergeCell ref="P2:W3"/>
    <mergeCell ref="D589:E589"/>
    <mergeCell ref="D437:E437"/>
    <mergeCell ref="D241:E241"/>
    <mergeCell ref="P369:T369"/>
    <mergeCell ref="D508:E508"/>
    <mergeCell ref="D539:E539"/>
    <mergeCell ref="D35:E35"/>
    <mergeCell ref="P418:T418"/>
    <mergeCell ref="P412:T412"/>
    <mergeCell ref="D404:E404"/>
    <mergeCell ref="A289:Z289"/>
    <mergeCell ref="D10:E10"/>
    <mergeCell ref="P64:T64"/>
    <mergeCell ref="F10:G10"/>
    <mergeCell ref="P191:T191"/>
    <mergeCell ref="D562:E562"/>
    <mergeCell ref="A115:O116"/>
    <mergeCell ref="D544:E544"/>
    <mergeCell ref="D99:E99"/>
    <mergeCell ref="D270:E270"/>
    <mergeCell ref="P349:T349"/>
    <mergeCell ref="P420:T420"/>
    <mergeCell ref="D528:E528"/>
    <mergeCell ref="P121:T121"/>
    <mergeCell ref="P181:T181"/>
    <mergeCell ref="P357:T357"/>
    <mergeCell ref="D29:E29"/>
    <mergeCell ref="D23:E23"/>
    <mergeCell ref="D216:E216"/>
    <mergeCell ref="D265:E265"/>
    <mergeCell ref="P344:T344"/>
    <mergeCell ref="AD17:AF18"/>
    <mergeCell ref="A39:O40"/>
    <mergeCell ref="A310:O311"/>
    <mergeCell ref="D570:E570"/>
    <mergeCell ref="P574:V574"/>
    <mergeCell ref="V600:V601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152:E152"/>
    <mergeCell ref="D323:E323"/>
    <mergeCell ref="D394:E394"/>
    <mergeCell ref="D279:E279"/>
    <mergeCell ref="D521:E521"/>
    <mergeCell ref="A254:Z254"/>
    <mergeCell ref="P422:V422"/>
    <mergeCell ref="P593:V593"/>
    <mergeCell ref="P587:V587"/>
    <mergeCell ref="P68:V68"/>
    <mergeCell ref="P239:V239"/>
    <mergeCell ref="A101:O102"/>
    <mergeCell ref="P439:T439"/>
    <mergeCell ref="P433:T433"/>
    <mergeCell ref="D105:E105"/>
    <mergeCell ref="P353:V353"/>
    <mergeCell ref="P524:V524"/>
    <mergeCell ref="D547:E547"/>
    <mergeCell ref="D170:E170"/>
    <mergeCell ref="P132:V132"/>
    <mergeCell ref="N17:N18"/>
    <mergeCell ref="D49:E49"/>
    <mergeCell ref="Q5:R5"/>
    <mergeCell ref="D120:E120"/>
    <mergeCell ref="F17:F18"/>
    <mergeCell ref="P72:T72"/>
    <mergeCell ref="D242:E242"/>
    <mergeCell ref="D577:E577"/>
    <mergeCell ref="P435:T435"/>
    <mergeCell ref="D107:E107"/>
    <mergeCell ref="D163:E163"/>
    <mergeCell ref="D278:E278"/>
    <mergeCell ref="D234:E234"/>
    <mergeCell ref="D405:E405"/>
    <mergeCell ref="A478:Z478"/>
    <mergeCell ref="P484:T484"/>
    <mergeCell ref="P65:T65"/>
    <mergeCell ref="P589:T589"/>
    <mergeCell ref="P136:T136"/>
    <mergeCell ref="P70:T70"/>
    <mergeCell ref="P305:V305"/>
    <mergeCell ref="P434:T434"/>
    <mergeCell ref="P499:T499"/>
    <mergeCell ref="D336:E336"/>
    <mergeCell ref="D407:E407"/>
    <mergeCell ref="Q6:R6"/>
    <mergeCell ref="A385:O386"/>
    <mergeCell ref="P436:T436"/>
    <mergeCell ref="A251:O252"/>
    <mergeCell ref="A422:O423"/>
    <mergeCell ref="P528:T528"/>
    <mergeCell ref="A33:Z33"/>
    <mergeCell ref="D25:E25"/>
    <mergeCell ref="D196:E196"/>
    <mergeCell ref="A269:Z269"/>
    <mergeCell ref="P294:T294"/>
    <mergeCell ref="P443:V443"/>
    <mergeCell ref="P210:V210"/>
    <mergeCell ref="P510:T510"/>
    <mergeCell ref="P160:V160"/>
    <mergeCell ref="P427:V427"/>
    <mergeCell ref="P283:V283"/>
    <mergeCell ref="D483:E483"/>
    <mergeCell ref="D271:E271"/>
    <mergeCell ref="V12:W12"/>
    <mergeCell ref="A28:Z28"/>
    <mergeCell ref="P519:V519"/>
    <mergeCell ref="D191:E191"/>
    <mergeCell ref="P319:T319"/>
    <mergeCell ref="D433:E433"/>
    <mergeCell ref="A8:C8"/>
    <mergeCell ref="P124:T124"/>
    <mergeCell ref="P310:V310"/>
    <mergeCell ref="D331:E331"/>
    <mergeCell ref="P447:T447"/>
    <mergeCell ref="AD599:AE599"/>
    <mergeCell ref="P595:V595"/>
    <mergeCell ref="D97:E97"/>
    <mergeCell ref="P138:V138"/>
    <mergeCell ref="P76:V76"/>
    <mergeCell ref="P496:V496"/>
    <mergeCell ref="A10:C10"/>
    <mergeCell ref="P126:T126"/>
    <mergeCell ref="D553:E553"/>
    <mergeCell ref="A566:O567"/>
    <mergeCell ref="P218:T218"/>
    <mergeCell ref="P311:V311"/>
    <mergeCell ref="A21:Z21"/>
    <mergeCell ref="D458:E458"/>
    <mergeCell ref="P368:T368"/>
    <mergeCell ref="A362:Z362"/>
    <mergeCell ref="A245:Z245"/>
    <mergeCell ref="P43:V43"/>
    <mergeCell ref="D237:E237"/>
    <mergeCell ref="P25:T25"/>
    <mergeCell ref="P383:T383"/>
    <mergeCell ref="D522:E522"/>
    <mergeCell ref="D571:E571"/>
    <mergeCell ref="P60:T60"/>
    <mergeCell ref="D552:E552"/>
    <mergeCell ref="A103:Z103"/>
    <mergeCell ref="D95:E95"/>
    <mergeCell ref="T600:T601"/>
    <mergeCell ref="A428:Z428"/>
    <mergeCell ref="P590:V590"/>
    <mergeCell ref="A129:Z129"/>
    <mergeCell ref="D121:E121"/>
    <mergeCell ref="D192:E192"/>
    <mergeCell ref="P296:V296"/>
    <mergeCell ref="D42:E42"/>
    <mergeCell ref="P507:T507"/>
    <mergeCell ref="P363:T363"/>
    <mergeCell ref="P338:T338"/>
    <mergeCell ref="D17:E18"/>
    <mergeCell ref="D344:E344"/>
    <mergeCell ref="A479:Z479"/>
    <mergeCell ref="D471:E471"/>
    <mergeCell ref="D515:E515"/>
    <mergeCell ref="P71:T71"/>
    <mergeCell ref="P534:T534"/>
    <mergeCell ref="P536:T536"/>
    <mergeCell ref="X17:X18"/>
    <mergeCell ref="D123:E123"/>
    <mergeCell ref="P58:T58"/>
    <mergeCell ref="D250:E250"/>
    <mergeCell ref="D50:E50"/>
    <mergeCell ref="P202:T202"/>
    <mergeCell ref="D408:E408"/>
    <mergeCell ref="P174:T174"/>
    <mergeCell ref="D537:E537"/>
    <mergeCell ref="U17:V17"/>
    <mergeCell ref="Y17:Y18"/>
    <mergeCell ref="A266:O267"/>
    <mergeCell ref="D57:E5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2025-04-07T12:54:30Z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