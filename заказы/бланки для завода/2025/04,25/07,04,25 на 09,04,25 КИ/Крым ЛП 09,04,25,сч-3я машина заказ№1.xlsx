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5D9B33D-77E8-4E54-9342-432F9003B5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Y325" i="1" s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1" i="1" s="1"/>
  <c r="P170" i="1"/>
  <c r="X166" i="1"/>
  <c r="X165" i="1"/>
  <c r="BO164" i="1"/>
  <c r="BM164" i="1"/>
  <c r="Y164" i="1"/>
  <c r="BP164" i="1" s="1"/>
  <c r="P164" i="1"/>
  <c r="BO163" i="1"/>
  <c r="BM163" i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BO156" i="1"/>
  <c r="BM156" i="1"/>
  <c r="Y156" i="1"/>
  <c r="BP156" i="1" s="1"/>
  <c r="P156" i="1"/>
  <c r="X154" i="1"/>
  <c r="X153" i="1"/>
  <c r="BO152" i="1"/>
  <c r="BM152" i="1"/>
  <c r="Y152" i="1"/>
  <c r="Y153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6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P65" i="1"/>
  <c r="BO64" i="1"/>
  <c r="BM64" i="1"/>
  <c r="Y64" i="1"/>
  <c r="Y68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Y61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Y40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96" i="1" l="1"/>
  <c r="BN96" i="1"/>
  <c r="Z96" i="1"/>
  <c r="BP112" i="1"/>
  <c r="BN112" i="1"/>
  <c r="Z112" i="1"/>
  <c r="BP158" i="1"/>
  <c r="BN158" i="1"/>
  <c r="Z158" i="1"/>
  <c r="BP215" i="1"/>
  <c r="BN215" i="1"/>
  <c r="Z215" i="1"/>
  <c r="BP260" i="1"/>
  <c r="BN260" i="1"/>
  <c r="Z260" i="1"/>
  <c r="BP322" i="1"/>
  <c r="BN322" i="1"/>
  <c r="Z322" i="1"/>
  <c r="BP358" i="1"/>
  <c r="BN358" i="1"/>
  <c r="Z358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X593" i="1"/>
  <c r="Z23" i="1"/>
  <c r="BN23" i="1"/>
  <c r="Z48" i="1"/>
  <c r="BN48" i="1"/>
  <c r="Z60" i="1"/>
  <c r="BN60" i="1"/>
  <c r="Z72" i="1"/>
  <c r="BN72" i="1"/>
  <c r="Z93" i="1"/>
  <c r="BN93" i="1"/>
  <c r="Z94" i="1"/>
  <c r="BN94" i="1"/>
  <c r="BP95" i="1"/>
  <c r="BN95" i="1"/>
  <c r="Z95" i="1"/>
  <c r="BP97" i="1"/>
  <c r="BN97" i="1"/>
  <c r="Z97" i="1"/>
  <c r="BP131" i="1"/>
  <c r="BN131" i="1"/>
  <c r="Z131" i="1"/>
  <c r="BP203" i="1"/>
  <c r="BN203" i="1"/>
  <c r="Z203" i="1"/>
  <c r="BP232" i="1"/>
  <c r="BN232" i="1"/>
  <c r="Z232" i="1"/>
  <c r="BP279" i="1"/>
  <c r="BN279" i="1"/>
  <c r="Z279" i="1"/>
  <c r="BP336" i="1"/>
  <c r="BN336" i="1"/>
  <c r="Z336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Y115" i="1"/>
  <c r="BP356" i="1"/>
  <c r="BN356" i="1"/>
  <c r="Z356" i="1"/>
  <c r="BP407" i="1"/>
  <c r="BN407" i="1"/>
  <c r="Z407" i="1"/>
  <c r="BP418" i="1"/>
  <c r="BN418" i="1"/>
  <c r="Z418" i="1"/>
  <c r="BP466" i="1"/>
  <c r="BN466" i="1"/>
  <c r="Z466" i="1"/>
  <c r="Y472" i="1"/>
  <c r="BP471" i="1"/>
  <c r="BN471" i="1"/>
  <c r="Z471" i="1"/>
  <c r="Z472" i="1" s="1"/>
  <c r="BP481" i="1"/>
  <c r="BN481" i="1"/>
  <c r="Z481" i="1"/>
  <c r="BP511" i="1"/>
  <c r="BN511" i="1"/>
  <c r="Z511" i="1"/>
  <c r="BP352" i="1"/>
  <c r="BN352" i="1"/>
  <c r="Z352" i="1"/>
  <c r="BP377" i="1"/>
  <c r="BN377" i="1"/>
  <c r="Z377" i="1"/>
  <c r="BP389" i="1"/>
  <c r="BN389" i="1"/>
  <c r="Z389" i="1"/>
  <c r="BP441" i="1"/>
  <c r="BN441" i="1"/>
  <c r="Z441" i="1"/>
  <c r="Y477" i="1"/>
  <c r="Y476" i="1"/>
  <c r="BP475" i="1"/>
  <c r="BN475" i="1"/>
  <c r="Z475" i="1"/>
  <c r="Z476" i="1" s="1"/>
  <c r="BP486" i="1"/>
  <c r="BN486" i="1"/>
  <c r="Z486" i="1"/>
  <c r="BP515" i="1"/>
  <c r="BN515" i="1"/>
  <c r="Z515" i="1"/>
  <c r="Z558" i="1"/>
  <c r="B602" i="1"/>
  <c r="X594" i="1"/>
  <c r="X595" i="1" s="1"/>
  <c r="Z25" i="1"/>
  <c r="BN25" i="1"/>
  <c r="X592" i="1"/>
  <c r="Z37" i="1"/>
  <c r="BN37" i="1"/>
  <c r="D602" i="1"/>
  <c r="Z50" i="1"/>
  <c r="BN50" i="1"/>
  <c r="Z58" i="1"/>
  <c r="BN58" i="1"/>
  <c r="Z64" i="1"/>
  <c r="BN64" i="1"/>
  <c r="BP64" i="1"/>
  <c r="Y67" i="1"/>
  <c r="Z70" i="1"/>
  <c r="BN70" i="1"/>
  <c r="BP70" i="1"/>
  <c r="Y77" i="1"/>
  <c r="Z74" i="1"/>
  <c r="BN74" i="1"/>
  <c r="Y83" i="1"/>
  <c r="Z87" i="1"/>
  <c r="BN87" i="1"/>
  <c r="Y102" i="1"/>
  <c r="Z99" i="1"/>
  <c r="BN99" i="1"/>
  <c r="F602" i="1"/>
  <c r="Z108" i="1"/>
  <c r="BN108" i="1"/>
  <c r="Y116" i="1"/>
  <c r="Z114" i="1"/>
  <c r="BN114" i="1"/>
  <c r="Y127" i="1"/>
  <c r="Z121" i="1"/>
  <c r="BN121" i="1"/>
  <c r="Z122" i="1"/>
  <c r="BN122" i="1"/>
  <c r="Z125" i="1"/>
  <c r="BN125" i="1"/>
  <c r="Z136" i="1"/>
  <c r="BN136" i="1"/>
  <c r="Y139" i="1"/>
  <c r="Z147" i="1"/>
  <c r="BN147" i="1"/>
  <c r="Z152" i="1"/>
  <c r="Z153" i="1" s="1"/>
  <c r="BN152" i="1"/>
  <c r="BP152" i="1"/>
  <c r="Z156" i="1"/>
  <c r="BN156" i="1"/>
  <c r="Y161" i="1"/>
  <c r="Z164" i="1"/>
  <c r="BN164" i="1"/>
  <c r="Z170" i="1"/>
  <c r="Z171" i="1" s="1"/>
  <c r="BN170" i="1"/>
  <c r="BP170" i="1"/>
  <c r="Z174" i="1"/>
  <c r="BN174" i="1"/>
  <c r="Y184" i="1"/>
  <c r="Z178" i="1"/>
  <c r="BN178" i="1"/>
  <c r="Z179" i="1"/>
  <c r="BN179" i="1"/>
  <c r="Z197" i="1"/>
  <c r="BN197" i="1"/>
  <c r="Z201" i="1"/>
  <c r="BN201" i="1"/>
  <c r="Y210" i="1"/>
  <c r="Z205" i="1"/>
  <c r="BN205" i="1"/>
  <c r="Z213" i="1"/>
  <c r="BN213" i="1"/>
  <c r="Z217" i="1"/>
  <c r="BN217" i="1"/>
  <c r="Z225" i="1"/>
  <c r="BN225" i="1"/>
  <c r="Z230" i="1"/>
  <c r="BN230" i="1"/>
  <c r="Y239" i="1"/>
  <c r="Z234" i="1"/>
  <c r="BN234" i="1"/>
  <c r="Z246" i="1"/>
  <c r="Z247" i="1" s="1"/>
  <c r="BN246" i="1"/>
  <c r="BP246" i="1"/>
  <c r="Y247" i="1"/>
  <c r="L602" i="1"/>
  <c r="Z258" i="1"/>
  <c r="BN258" i="1"/>
  <c r="Z265" i="1"/>
  <c r="Z266" i="1" s="1"/>
  <c r="BN265" i="1"/>
  <c r="BP265" i="1"/>
  <c r="Y266" i="1"/>
  <c r="Z270" i="1"/>
  <c r="BN270" i="1"/>
  <c r="Y273" i="1"/>
  <c r="Z277" i="1"/>
  <c r="BN277" i="1"/>
  <c r="Y282" i="1"/>
  <c r="Z281" i="1"/>
  <c r="BN281" i="1"/>
  <c r="Z320" i="1"/>
  <c r="BN320" i="1"/>
  <c r="Z324" i="1"/>
  <c r="BN324" i="1"/>
  <c r="Y332" i="1"/>
  <c r="Z330" i="1"/>
  <c r="BN330" i="1"/>
  <c r="Z338" i="1"/>
  <c r="BN338" i="1"/>
  <c r="Y347" i="1"/>
  <c r="Y354" i="1"/>
  <c r="Y353" i="1"/>
  <c r="V602" i="1"/>
  <c r="Y364" i="1"/>
  <c r="BP363" i="1"/>
  <c r="BN363" i="1"/>
  <c r="Z363" i="1"/>
  <c r="Z364" i="1" s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Y444" i="1"/>
  <c r="BP438" i="1"/>
  <c r="BN438" i="1"/>
  <c r="Z438" i="1"/>
  <c r="AA602" i="1"/>
  <c r="Y467" i="1"/>
  <c r="BP465" i="1"/>
  <c r="BN465" i="1"/>
  <c r="Z465" i="1"/>
  <c r="Z467" i="1" s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359" i="1"/>
  <c r="F9" i="1"/>
  <c r="J9" i="1"/>
  <c r="F10" i="1"/>
  <c r="Z22" i="1"/>
  <c r="BN22" i="1"/>
  <c r="BP22" i="1"/>
  <c r="Z24" i="1"/>
  <c r="BN24" i="1"/>
  <c r="X596" i="1"/>
  <c r="Y27" i="1"/>
  <c r="C602" i="1"/>
  <c r="Z36" i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Z67" i="1" s="1"/>
  <c r="BN65" i="1"/>
  <c r="BP65" i="1"/>
  <c r="Z71" i="1"/>
  <c r="BN71" i="1"/>
  <c r="BP71" i="1"/>
  <c r="Z73" i="1"/>
  <c r="BN73" i="1"/>
  <c r="Z75" i="1"/>
  <c r="BN75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Z115" i="1" s="1"/>
  <c r="BN113" i="1"/>
  <c r="BP113" i="1"/>
  <c r="Z120" i="1"/>
  <c r="BN120" i="1"/>
  <c r="BP120" i="1"/>
  <c r="Z123" i="1"/>
  <c r="BN123" i="1"/>
  <c r="Z124" i="1"/>
  <c r="BN124" i="1"/>
  <c r="Z126" i="1"/>
  <c r="BN126" i="1"/>
  <c r="Z130" i="1"/>
  <c r="Z132" i="1" s="1"/>
  <c r="BN130" i="1"/>
  <c r="BP130" i="1"/>
  <c r="Y133" i="1"/>
  <c r="G602" i="1"/>
  <c r="Z137" i="1"/>
  <c r="Z138" i="1" s="1"/>
  <c r="BN137" i="1"/>
  <c r="BP137" i="1"/>
  <c r="Y138" i="1"/>
  <c r="Z141" i="1"/>
  <c r="Z143" i="1" s="1"/>
  <c r="BN141" i="1"/>
  <c r="BP141" i="1"/>
  <c r="Y144" i="1"/>
  <c r="Y149" i="1"/>
  <c r="BP146" i="1"/>
  <c r="BN146" i="1"/>
  <c r="Z146" i="1"/>
  <c r="Z148" i="1" s="1"/>
  <c r="Y160" i="1"/>
  <c r="BP159" i="1"/>
  <c r="BN159" i="1"/>
  <c r="Z159" i="1"/>
  <c r="Y166" i="1"/>
  <c r="BP163" i="1"/>
  <c r="BN163" i="1"/>
  <c r="Z163" i="1"/>
  <c r="Z165" i="1" s="1"/>
  <c r="I602" i="1"/>
  <c r="Y183" i="1"/>
  <c r="BP177" i="1"/>
  <c r="BN177" i="1"/>
  <c r="Z177" i="1"/>
  <c r="BP182" i="1"/>
  <c r="BN182" i="1"/>
  <c r="Z182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43" i="1"/>
  <c r="BP241" i="1"/>
  <c r="BN241" i="1"/>
  <c r="Z241" i="1"/>
  <c r="H9" i="1"/>
  <c r="Y26" i="1"/>
  <c r="Y55" i="1"/>
  <c r="Y90" i="1"/>
  <c r="Y109" i="1"/>
  <c r="BP157" i="1"/>
  <c r="BN157" i="1"/>
  <c r="Z157" i="1"/>
  <c r="Z160" i="1" s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44" i="1"/>
  <c r="Y252" i="1"/>
  <c r="Y251" i="1"/>
  <c r="BP250" i="1"/>
  <c r="BN250" i="1"/>
  <c r="Z250" i="1"/>
  <c r="Z251" i="1" s="1"/>
  <c r="H602" i="1"/>
  <c r="Y154" i="1"/>
  <c r="Y172" i="1"/>
  <c r="J602" i="1"/>
  <c r="Y193" i="1"/>
  <c r="K602" i="1"/>
  <c r="Y238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BP271" i="1"/>
  <c r="Y274" i="1"/>
  <c r="P602" i="1"/>
  <c r="Z278" i="1"/>
  <c r="BN278" i="1"/>
  <c r="BP278" i="1"/>
  <c r="Z280" i="1"/>
  <c r="BN280" i="1"/>
  <c r="Y283" i="1"/>
  <c r="Y288" i="1"/>
  <c r="Y301" i="1"/>
  <c r="S602" i="1"/>
  <c r="Y306" i="1"/>
  <c r="Y310" i="1"/>
  <c r="Z309" i="1"/>
  <c r="Z310" i="1" s="1"/>
  <c r="BN309" i="1"/>
  <c r="BP321" i="1"/>
  <c r="BN321" i="1"/>
  <c r="Z321" i="1"/>
  <c r="BP329" i="1"/>
  <c r="BN329" i="1"/>
  <c r="Z329" i="1"/>
  <c r="BP337" i="1"/>
  <c r="BN337" i="1"/>
  <c r="Z337" i="1"/>
  <c r="BP345" i="1"/>
  <c r="BN345" i="1"/>
  <c r="Z345" i="1"/>
  <c r="BP351" i="1"/>
  <c r="BN351" i="1"/>
  <c r="Z351" i="1"/>
  <c r="Z353" i="1" s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261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BP323" i="1"/>
  <c r="BN323" i="1"/>
  <c r="Z323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BP357" i="1"/>
  <c r="BN357" i="1"/>
  <c r="Z357" i="1"/>
  <c r="Z359" i="1" s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14" i="1" l="1"/>
  <c r="Z346" i="1"/>
  <c r="Z261" i="1"/>
  <c r="Z238" i="1"/>
  <c r="Z209" i="1"/>
  <c r="Z183" i="1"/>
  <c r="Z127" i="1"/>
  <c r="Z76" i="1"/>
  <c r="Z496" i="1"/>
  <c r="Z409" i="1"/>
  <c r="Z385" i="1"/>
  <c r="Z325" i="1"/>
  <c r="Z282" i="1"/>
  <c r="Z39" i="1"/>
  <c r="Z548" i="1"/>
  <c r="Z518" i="1"/>
  <c r="Z422" i="1"/>
  <c r="Z395" i="1"/>
  <c r="Y596" i="1"/>
  <c r="Z221" i="1"/>
  <c r="Y593" i="1"/>
  <c r="Z566" i="1"/>
  <c r="Z529" i="1"/>
  <c r="Z443" i="1"/>
  <c r="Z340" i="1"/>
  <c r="Z332" i="1"/>
  <c r="Z243" i="1"/>
  <c r="Z109" i="1"/>
  <c r="Z101" i="1"/>
  <c r="Z89" i="1"/>
  <c r="Z82" i="1"/>
  <c r="Z61" i="1"/>
  <c r="Z54" i="1"/>
  <c r="Y592" i="1"/>
  <c r="Y594" i="1"/>
  <c r="Z26" i="1"/>
  <c r="Z597" i="1" l="1"/>
  <c r="Y595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<sst xmlns="http://schemas.openxmlformats.org/spreadsheetml/2006/main" count="2738" uniqueCount="970">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</sst>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9" customWidth="1"/>
    <col min="19" max="19" width="6.140625" style="6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9" customWidth="1"/>
    <col min="25" max="25" width="11" style="659" customWidth="1"/>
    <col min="26" max="26" width="10" style="659" customWidth="1"/>
    <col min="27" max="27" width="11.5703125" style="659" customWidth="1"/>
    <col min="28" max="28" width="10.42578125" style="659" customWidth="1"/>
    <col min="29" max="29" width="30" style="6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9" customWidth="1"/>
    <col min="34" max="34" width="9.140625" style="659" customWidth="1"/>
    <col min="35" max="16384" width="9.140625" style="659"/>
  </cols>
  <sheetData>
    <row r="1" spans="1:32" s="662" customFormat="1" ht="45" customHeight="1" x14ac:dyDescent="0.2">
      <c r="A1" s="41"/>
      <c r="B1" s="41"/>
      <c r="C1" s="41"/>
      <c r="D1" s="749" t="s">
        <v>0</v>
      </c>
      <c r="E1" s="697"/>
      <c r="F1" s="697"/>
      <c r="G1" s="12" t="s">
        <v>1</v>
      </c>
      <c r="H1" s="749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2" customFormat="1" ht="23.45" customHeight="1" x14ac:dyDescent="0.2">
      <c r="A5" s="783" t="s">
        <v>8</v>
      </c>
      <c r="B5" s="784"/>
      <c r="C5" s="785"/>
      <c r="D5" s="754"/>
      <c r="E5" s="755"/>
      <c r="F5" s="1008" t="s">
        <v>9</v>
      </c>
      <c r="G5" s="785"/>
      <c r="H5" s="754" t="s">
        <v>969</v>
      </c>
      <c r="I5" s="940"/>
      <c r="J5" s="940"/>
      <c r="K5" s="940"/>
      <c r="L5" s="940"/>
      <c r="M5" s="755"/>
      <c r="N5" s="58"/>
      <c r="P5" s="24" t="s">
        <v>10</v>
      </c>
      <c r="Q5" s="1018">
        <v>45756</v>
      </c>
      <c r="R5" s="816"/>
      <c r="T5" s="855" t="s">
        <v>11</v>
      </c>
      <c r="U5" s="771"/>
      <c r="V5" s="856" t="s">
        <v>12</v>
      </c>
      <c r="W5" s="816"/>
      <c r="AB5" s="51"/>
      <c r="AC5" s="51"/>
      <c r="AD5" s="51"/>
      <c r="AE5" s="51"/>
    </row>
    <row r="6" spans="1:32" s="662" customFormat="1" ht="24" customHeight="1" x14ac:dyDescent="0.2">
      <c r="A6" s="783" t="s">
        <v>13</v>
      </c>
      <c r="B6" s="784"/>
      <c r="C6" s="785"/>
      <c r="D6" s="943" t="s">
        <v>14</v>
      </c>
      <c r="E6" s="944"/>
      <c r="F6" s="944"/>
      <c r="G6" s="944"/>
      <c r="H6" s="944"/>
      <c r="I6" s="944"/>
      <c r="J6" s="944"/>
      <c r="K6" s="944"/>
      <c r="L6" s="944"/>
      <c r="M6" s="816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Среда</v>
      </c>
      <c r="R6" s="670"/>
      <c r="T6" s="860" t="s">
        <v>16</v>
      </c>
      <c r="U6" s="771"/>
      <c r="V6" s="922" t="s">
        <v>17</v>
      </c>
      <c r="W6" s="711"/>
      <c r="AB6" s="51"/>
      <c r="AC6" s="51"/>
      <c r="AD6" s="51"/>
      <c r="AE6" s="51"/>
    </row>
    <row r="7" spans="1:32" s="662" customFormat="1" ht="21.75" hidden="1" customHeight="1" x14ac:dyDescent="0.2">
      <c r="A7" s="55"/>
      <c r="B7" s="55"/>
      <c r="C7" s="55"/>
      <c r="D7" s="727" t="str">
        <f>IFERROR(VLOOKUP(DeliveryAddress,Table,3,0),1)</f>
        <v>1</v>
      </c>
      <c r="E7" s="728"/>
      <c r="F7" s="728"/>
      <c r="G7" s="728"/>
      <c r="H7" s="728"/>
      <c r="I7" s="728"/>
      <c r="J7" s="728"/>
      <c r="K7" s="728"/>
      <c r="L7" s="728"/>
      <c r="M7" s="729"/>
      <c r="N7" s="60"/>
      <c r="P7" s="24"/>
      <c r="Q7" s="42"/>
      <c r="R7" s="42"/>
      <c r="T7" s="679"/>
      <c r="U7" s="771"/>
      <c r="V7" s="923"/>
      <c r="W7" s="924"/>
      <c r="AB7" s="51"/>
      <c r="AC7" s="51"/>
      <c r="AD7" s="51"/>
      <c r="AE7" s="51"/>
    </row>
    <row r="8" spans="1:32" s="662" customFormat="1" ht="25.5" customHeight="1" x14ac:dyDescent="0.2">
      <c r="A8" s="1034" t="s">
        <v>18</v>
      </c>
      <c r="B8" s="686"/>
      <c r="C8" s="687"/>
      <c r="D8" s="740" t="s">
        <v>19</v>
      </c>
      <c r="E8" s="741"/>
      <c r="F8" s="741"/>
      <c r="G8" s="741"/>
      <c r="H8" s="741"/>
      <c r="I8" s="741"/>
      <c r="J8" s="741"/>
      <c r="K8" s="741"/>
      <c r="L8" s="741"/>
      <c r="M8" s="742"/>
      <c r="N8" s="61"/>
      <c r="P8" s="24" t="s">
        <v>20</v>
      </c>
      <c r="Q8" s="787">
        <v>0.5</v>
      </c>
      <c r="R8" s="729"/>
      <c r="T8" s="679"/>
      <c r="U8" s="771"/>
      <c r="V8" s="923"/>
      <c r="W8" s="924"/>
      <c r="AB8" s="51"/>
      <c r="AC8" s="51"/>
      <c r="AD8" s="51"/>
      <c r="AE8" s="51"/>
    </row>
    <row r="9" spans="1:32" s="662" customFormat="1" ht="39.950000000000003" customHeight="1" x14ac:dyDescent="0.2">
      <c r="A9" s="7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766"/>
      <c r="E9" s="684"/>
      <c r="F9" s="7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63"/>
      <c r="P9" s="26" t="s">
        <v>21</v>
      </c>
      <c r="Q9" s="811"/>
      <c r="R9" s="812"/>
      <c r="T9" s="679"/>
      <c r="U9" s="771"/>
      <c r="V9" s="925"/>
      <c r="W9" s="926"/>
      <c r="X9" s="43"/>
      <c r="Y9" s="43"/>
      <c r="Z9" s="43"/>
      <c r="AA9" s="43"/>
      <c r="AB9" s="51"/>
      <c r="AC9" s="51"/>
      <c r="AD9" s="51"/>
      <c r="AE9" s="51"/>
    </row>
    <row r="10" spans="1:32" s="662" customFormat="1" ht="26.45" customHeight="1" x14ac:dyDescent="0.2">
      <c r="A10" s="7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766"/>
      <c r="E10" s="684"/>
      <c r="F10" s="7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1" t="str">
        <f>IFERROR(VLOOKUP($D$10,Proxy,2,FALSE),"")</f>
        <v/>
      </c>
      <c r="I10" s="679"/>
      <c r="J10" s="679"/>
      <c r="K10" s="679"/>
      <c r="L10" s="679"/>
      <c r="M10" s="679"/>
      <c r="N10" s="661"/>
      <c r="P10" s="26" t="s">
        <v>22</v>
      </c>
      <c r="Q10" s="861"/>
      <c r="R10" s="862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71" t="s">
        <v>28</v>
      </c>
      <c r="W11" s="812"/>
      <c r="X11" s="45"/>
      <c r="Y11" s="45"/>
      <c r="Z11" s="45"/>
      <c r="AA11" s="45"/>
      <c r="AB11" s="51"/>
      <c r="AC11" s="51"/>
      <c r="AD11" s="51"/>
      <c r="AE11" s="51"/>
    </row>
    <row r="12" spans="1:32" s="662" customFormat="1" ht="18.600000000000001" customHeight="1" x14ac:dyDescent="0.2">
      <c r="A12" s="849" t="s">
        <v>29</v>
      </c>
      <c r="B12" s="784"/>
      <c r="C12" s="784"/>
      <c r="D12" s="784"/>
      <c r="E12" s="784"/>
      <c r="F12" s="784"/>
      <c r="G12" s="784"/>
      <c r="H12" s="784"/>
      <c r="I12" s="784"/>
      <c r="J12" s="784"/>
      <c r="K12" s="784"/>
      <c r="L12" s="784"/>
      <c r="M12" s="785"/>
      <c r="N12" s="62"/>
      <c r="P12" s="24" t="s">
        <v>30</v>
      </c>
      <c r="Q12" s="787"/>
      <c r="R12" s="729"/>
      <c r="S12" s="23"/>
      <c r="U12" s="24"/>
      <c r="V12" s="697"/>
      <c r="W12" s="679"/>
      <c r="AB12" s="51"/>
      <c r="AC12" s="51"/>
      <c r="AD12" s="51"/>
      <c r="AE12" s="51"/>
    </row>
    <row r="13" spans="1:32" s="662" customFormat="1" ht="23.25" customHeight="1" x14ac:dyDescent="0.2">
      <c r="A13" s="849" t="s">
        <v>31</v>
      </c>
      <c r="B13" s="784"/>
      <c r="C13" s="784"/>
      <c r="D13" s="784"/>
      <c r="E13" s="784"/>
      <c r="F13" s="784"/>
      <c r="G13" s="784"/>
      <c r="H13" s="784"/>
      <c r="I13" s="784"/>
      <c r="J13" s="784"/>
      <c r="K13" s="784"/>
      <c r="L13" s="784"/>
      <c r="M13" s="785"/>
      <c r="N13" s="62"/>
      <c r="O13" s="26"/>
      <c r="P13" s="26" t="s">
        <v>32</v>
      </c>
      <c r="Q13" s="971"/>
      <c r="R13" s="81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2" customFormat="1" ht="18.600000000000001" customHeight="1" x14ac:dyDescent="0.2">
      <c r="A14" s="849" t="s">
        <v>33</v>
      </c>
      <c r="B14" s="784"/>
      <c r="C14" s="784"/>
      <c r="D14" s="784"/>
      <c r="E14" s="784"/>
      <c r="F14" s="784"/>
      <c r="G14" s="784"/>
      <c r="H14" s="784"/>
      <c r="I14" s="784"/>
      <c r="J14" s="784"/>
      <c r="K14" s="784"/>
      <c r="L14" s="784"/>
      <c r="M14" s="7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2" customFormat="1" ht="22.5" customHeight="1" x14ac:dyDescent="0.2">
      <c r="A15" s="879" t="s">
        <v>34</v>
      </c>
      <c r="B15" s="784"/>
      <c r="C15" s="784"/>
      <c r="D15" s="784"/>
      <c r="E15" s="784"/>
      <c r="F15" s="784"/>
      <c r="G15" s="784"/>
      <c r="H15" s="784"/>
      <c r="I15" s="784"/>
      <c r="J15" s="784"/>
      <c r="K15" s="784"/>
      <c r="L15" s="784"/>
      <c r="M15" s="785"/>
      <c r="N15" s="63"/>
      <c r="P15" s="838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9"/>
      <c r="Q16" s="839"/>
      <c r="R16" s="839"/>
      <c r="S16" s="839"/>
      <c r="T16" s="8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6" t="s">
        <v>36</v>
      </c>
      <c r="B17" s="706" t="s">
        <v>37</v>
      </c>
      <c r="C17" s="789" t="s">
        <v>38</v>
      </c>
      <c r="D17" s="706" t="s">
        <v>39</v>
      </c>
      <c r="E17" s="793"/>
      <c r="F17" s="706" t="s">
        <v>40</v>
      </c>
      <c r="G17" s="706" t="s">
        <v>41</v>
      </c>
      <c r="H17" s="706" t="s">
        <v>42</v>
      </c>
      <c r="I17" s="706" t="s">
        <v>43</v>
      </c>
      <c r="J17" s="706" t="s">
        <v>44</v>
      </c>
      <c r="K17" s="706" t="s">
        <v>45</v>
      </c>
      <c r="L17" s="706" t="s">
        <v>46</v>
      </c>
      <c r="M17" s="706" t="s">
        <v>47</v>
      </c>
      <c r="N17" s="706" t="s">
        <v>48</v>
      </c>
      <c r="O17" s="706" t="s">
        <v>49</v>
      </c>
      <c r="P17" s="706" t="s">
        <v>50</v>
      </c>
      <c r="Q17" s="792"/>
      <c r="R17" s="792"/>
      <c r="S17" s="792"/>
      <c r="T17" s="793"/>
      <c r="U17" s="1052" t="s">
        <v>51</v>
      </c>
      <c r="V17" s="785"/>
      <c r="W17" s="706" t="s">
        <v>52</v>
      </c>
      <c r="X17" s="706" t="s">
        <v>53</v>
      </c>
      <c r="Y17" s="1053" t="s">
        <v>54</v>
      </c>
      <c r="Z17" s="936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07"/>
      <c r="B18" s="707"/>
      <c r="C18" s="707"/>
      <c r="D18" s="794"/>
      <c r="E18" s="796"/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94"/>
      <c r="Q18" s="795"/>
      <c r="R18" s="795"/>
      <c r="S18" s="795"/>
      <c r="T18" s="796"/>
      <c r="U18" s="67" t="s">
        <v>61</v>
      </c>
      <c r="V18" s="67" t="s">
        <v>62</v>
      </c>
      <c r="W18" s="707"/>
      <c r="X18" s="707"/>
      <c r="Y18" s="1054"/>
      <c r="Z18" s="937"/>
      <c r="AA18" s="913"/>
      <c r="AB18" s="913"/>
      <c r="AC18" s="913"/>
      <c r="AD18" s="1005"/>
      <c r="AE18" s="1006"/>
      <c r="AF18" s="1007"/>
      <c r="AG18" s="66"/>
      <c r="BD18" s="65"/>
    </row>
    <row r="19" spans="1:68" ht="27.75" hidden="1" customHeight="1" x14ac:dyDescent="0.2">
      <c r="A19" s="813" t="s">
        <v>63</v>
      </c>
      <c r="B19" s="814"/>
      <c r="C19" s="814"/>
      <c r="D19" s="814"/>
      <c r="E19" s="814"/>
      <c r="F19" s="814"/>
      <c r="G19" s="814"/>
      <c r="H19" s="814"/>
      <c r="I19" s="814"/>
      <c r="J19" s="814"/>
      <c r="K19" s="814"/>
      <c r="L19" s="814"/>
      <c r="M19" s="814"/>
      <c r="N19" s="814"/>
      <c r="O19" s="814"/>
      <c r="P19" s="814"/>
      <c r="Q19" s="814"/>
      <c r="R19" s="814"/>
      <c r="S19" s="814"/>
      <c r="T19" s="814"/>
      <c r="U19" s="814"/>
      <c r="V19" s="814"/>
      <c r="W19" s="814"/>
      <c r="X19" s="814"/>
      <c r="Y19" s="814"/>
      <c r="Z19" s="814"/>
      <c r="AA19" s="48"/>
      <c r="AB19" s="48"/>
      <c r="AC19" s="48"/>
    </row>
    <row r="20" spans="1:68" ht="16.5" hidden="1" customHeight="1" x14ac:dyDescent="0.25">
      <c r="A20" s="717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2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58"/>
      <c r="AB21" s="658"/>
      <c r="AC21" s="658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4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8"/>
      <c r="B26" s="679"/>
      <c r="C26" s="679"/>
      <c r="D26" s="679"/>
      <c r="E26" s="679"/>
      <c r="F26" s="679"/>
      <c r="G26" s="679"/>
      <c r="H26" s="679"/>
      <c r="I26" s="679"/>
      <c r="J26" s="679"/>
      <c r="K26" s="679"/>
      <c r="L26" s="679"/>
      <c r="M26" s="679"/>
      <c r="N26" s="679"/>
      <c r="O26" s="680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79"/>
      <c r="B27" s="679"/>
      <c r="C27" s="679"/>
      <c r="D27" s="679"/>
      <c r="E27" s="679"/>
      <c r="F27" s="679"/>
      <c r="G27" s="679"/>
      <c r="H27" s="679"/>
      <c r="I27" s="679"/>
      <c r="J27" s="679"/>
      <c r="K27" s="679"/>
      <c r="L27" s="679"/>
      <c r="M27" s="679"/>
      <c r="N27" s="679"/>
      <c r="O27" s="680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  <c r="AA28" s="658"/>
      <c r="AB28" s="658"/>
      <c r="AC28" s="658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8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80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79"/>
      <c r="B31" s="679"/>
      <c r="C31" s="679"/>
      <c r="D31" s="679"/>
      <c r="E31" s="679"/>
      <c r="F31" s="679"/>
      <c r="G31" s="679"/>
      <c r="H31" s="679"/>
      <c r="I31" s="679"/>
      <c r="J31" s="679"/>
      <c r="K31" s="679"/>
      <c r="L31" s="679"/>
      <c r="M31" s="679"/>
      <c r="N31" s="679"/>
      <c r="O31" s="680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13" t="s">
        <v>88</v>
      </c>
      <c r="B32" s="814"/>
      <c r="C32" s="814"/>
      <c r="D32" s="814"/>
      <c r="E32" s="814"/>
      <c r="F32" s="814"/>
      <c r="G32" s="814"/>
      <c r="H32" s="814"/>
      <c r="I32" s="814"/>
      <c r="J32" s="814"/>
      <c r="K32" s="814"/>
      <c r="L32" s="814"/>
      <c r="M32" s="814"/>
      <c r="N32" s="814"/>
      <c r="O32" s="814"/>
      <c r="P32" s="814"/>
      <c r="Q32" s="814"/>
      <c r="R32" s="814"/>
      <c r="S32" s="814"/>
      <c r="T32" s="814"/>
      <c r="U32" s="814"/>
      <c r="V32" s="814"/>
      <c r="W32" s="814"/>
      <c r="X32" s="814"/>
      <c r="Y32" s="814"/>
      <c r="Z32" s="814"/>
      <c r="AA32" s="48"/>
      <c r="AB32" s="48"/>
      <c r="AC32" s="48"/>
    </row>
    <row r="33" spans="1:68" ht="16.5" hidden="1" customHeight="1" x14ac:dyDescent="0.25">
      <c r="A33" s="717" t="s">
        <v>89</v>
      </c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  <c r="AA33" s="660"/>
      <c r="AB33" s="660"/>
      <c r="AC33" s="660"/>
    </row>
    <row r="34" spans="1:68" ht="14.25" hidden="1" customHeight="1" x14ac:dyDescent="0.25">
      <c r="A34" s="682" t="s">
        <v>90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658"/>
      <c r="AB34" s="658"/>
      <c r="AC34" s="658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20</v>
      </c>
      <c r="Y35" s="666">
        <f>IFERROR(IF(X35="",0,CEILING((X35/$H35),1)*$H35),"")</f>
        <v>21.6</v>
      </c>
      <c r="Z35" s="36">
        <f>IFERROR(IF(Y35=0,"",ROUNDUP(Y35/H35,0)*0.01898),"")</f>
        <v>3.7960000000000001E-2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20.805555555555554</v>
      </c>
      <c r="BN35" s="64">
        <f>IFERROR(Y35*I35/H35,"0")</f>
        <v>22.47</v>
      </c>
      <c r="BO35" s="64">
        <f>IFERROR(1/J35*(X35/H35),"0")</f>
        <v>2.8935185185185182E-2</v>
      </c>
      <c r="BP35" s="64">
        <f>IFERROR(1/J35*(Y35/H35),"0")</f>
        <v>3.125E-2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12</v>
      </c>
      <c r="Y36" s="666">
        <f>IFERROR(IF(X36="",0,CEILING((X36/$H36),1)*$H36),"")</f>
        <v>12</v>
      </c>
      <c r="Z36" s="36">
        <f>IFERROR(IF(Y36=0,"",ROUNDUP(Y36/H36,0)*0.00902),"")</f>
        <v>2.7060000000000001E-2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12.629999999999999</v>
      </c>
      <c r="BN36" s="64">
        <f>IFERROR(Y36*I36/H36,"0")</f>
        <v>12.629999999999999</v>
      </c>
      <c r="BO36" s="64">
        <f>IFERROR(1/J36*(X36/H36),"0")</f>
        <v>2.2727272727272728E-2</v>
      </c>
      <c r="BP36" s="64">
        <f>IFERROR(1/J36*(Y36/H36),"0")</f>
        <v>2.2727272727272728E-2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8"/>
      <c r="B39" s="679"/>
      <c r="C39" s="679"/>
      <c r="D39" s="679"/>
      <c r="E39" s="679"/>
      <c r="F39" s="679"/>
      <c r="G39" s="679"/>
      <c r="H39" s="679"/>
      <c r="I39" s="679"/>
      <c r="J39" s="679"/>
      <c r="K39" s="679"/>
      <c r="L39" s="679"/>
      <c r="M39" s="679"/>
      <c r="N39" s="679"/>
      <c r="O39" s="680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4.8518518518518512</v>
      </c>
      <c r="Y39" s="667">
        <f>IFERROR(Y35/H35,"0")+IFERROR(Y36/H36,"0")+IFERROR(Y37/H37,"0")+IFERROR(Y38/H38,"0")</f>
        <v>5</v>
      </c>
      <c r="Z39" s="667">
        <f>IFERROR(IF(Z35="",0,Z35),"0")+IFERROR(IF(Z36="",0,Z36),"0")+IFERROR(IF(Z37="",0,Z37),"0")+IFERROR(IF(Z38="",0,Z38),"0")</f>
        <v>6.5019999999999994E-2</v>
      </c>
      <c r="AA39" s="668"/>
      <c r="AB39" s="668"/>
      <c r="AC39" s="668"/>
    </row>
    <row r="40" spans="1:68" x14ac:dyDescent="0.2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  <c r="N40" s="679"/>
      <c r="O40" s="680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32</v>
      </c>
      <c r="Y40" s="667">
        <f>IFERROR(SUM(Y35:Y38),"0")</f>
        <v>33.6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  <c r="AA41" s="658"/>
      <c r="AB41" s="658"/>
      <c r="AC41" s="658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8"/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80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79"/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80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17" t="s">
        <v>110</v>
      </c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  <c r="AA45" s="660"/>
      <c r="AB45" s="660"/>
      <c r="AC45" s="660"/>
    </row>
    <row r="46" spans="1:68" ht="14.25" hidden="1" customHeight="1" x14ac:dyDescent="0.25">
      <c r="A46" s="682" t="s">
        <v>90</v>
      </c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  <c r="AA46" s="658"/>
      <c r="AB46" s="658"/>
      <c r="AC46" s="658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250</v>
      </c>
      <c r="Y48" s="666">
        <f t="shared" si="0"/>
        <v>259.20000000000005</v>
      </c>
      <c r="Z48" s="36">
        <f>IFERROR(IF(Y48=0,"",ROUNDUP(Y48/H48,0)*0.01898),"")</f>
        <v>0.45552000000000004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260.0694444444444</v>
      </c>
      <c r="BN48" s="64">
        <f t="shared" si="2"/>
        <v>269.64000000000004</v>
      </c>
      <c r="BO48" s="64">
        <f t="shared" si="3"/>
        <v>0.36168981481481477</v>
      </c>
      <c r="BP48" s="64">
        <f t="shared" si="4"/>
        <v>0.37500000000000006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9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80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7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135</v>
      </c>
      <c r="Y53" s="666">
        <f t="shared" si="0"/>
        <v>135</v>
      </c>
      <c r="Z53" s="36">
        <f>IFERROR(IF(Y53=0,"",ROUNDUP(Y53/H53,0)*0.00902),"")</f>
        <v>0.27060000000000001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141.30000000000001</v>
      </c>
      <c r="BN53" s="64">
        <f t="shared" si="2"/>
        <v>141.30000000000001</v>
      </c>
      <c r="BO53" s="64">
        <f t="shared" si="3"/>
        <v>0.22727272727272729</v>
      </c>
      <c r="BP53" s="64">
        <f t="shared" si="4"/>
        <v>0.22727272727272729</v>
      </c>
    </row>
    <row r="54" spans="1:68" x14ac:dyDescent="0.2">
      <c r="A54" s="678"/>
      <c r="B54" s="679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80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53.148148148148145</v>
      </c>
      <c r="Y54" s="667">
        <f>IFERROR(Y47/H47,"0")+IFERROR(Y48/H48,"0")+IFERROR(Y49/H49,"0")+IFERROR(Y50/H50,"0")+IFERROR(Y51/H51,"0")+IFERROR(Y52/H52,"0")+IFERROR(Y53/H53,"0")</f>
        <v>54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0.7261200000000001</v>
      </c>
      <c r="AA54" s="668"/>
      <c r="AB54" s="668"/>
      <c r="AC54" s="668"/>
    </row>
    <row r="55" spans="1:68" x14ac:dyDescent="0.2">
      <c r="A55" s="679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385</v>
      </c>
      <c r="Y55" s="667">
        <f>IFERROR(SUM(Y47:Y53),"0")</f>
        <v>394.20000000000005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  <c r="AA56" s="658"/>
      <c r="AB56" s="658"/>
      <c r="AC56" s="658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200</v>
      </c>
      <c r="Y57" s="666">
        <f>IFERROR(IF(X57="",0,CEILING((X57/$H57),1)*$H57),"")</f>
        <v>205.20000000000002</v>
      </c>
      <c r="Z57" s="36">
        <f>IFERROR(IF(Y57=0,"",ROUNDUP(Y57/H57,0)*0.01898),"")</f>
        <v>0.36062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208.05555555555554</v>
      </c>
      <c r="BN57" s="64">
        <f>IFERROR(Y57*I57/H57,"0")</f>
        <v>213.46499999999997</v>
      </c>
      <c r="BO57" s="64">
        <f>IFERROR(1/J57*(X57/H57),"0")</f>
        <v>0.28935185185185186</v>
      </c>
      <c r="BP57" s="64">
        <f>IFERROR(1/J57*(Y57/H57),"0")</f>
        <v>0.296875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4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45</v>
      </c>
      <c r="Y60" s="666">
        <f>IFERROR(IF(X60="",0,CEILING((X60/$H60),1)*$H60),"")</f>
        <v>45.900000000000006</v>
      </c>
      <c r="Z60" s="36">
        <f>IFERROR(IF(Y60=0,"",ROUNDUP(Y60/H60,0)*0.00651),"")</f>
        <v>0.11067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47.999999999999993</v>
      </c>
      <c r="BN60" s="64">
        <f>IFERROR(Y60*I60/H60,"0")</f>
        <v>48.96</v>
      </c>
      <c r="BO60" s="64">
        <f>IFERROR(1/J60*(X60/H60),"0")</f>
        <v>9.1575091575091569E-2</v>
      </c>
      <c r="BP60" s="64">
        <f>IFERROR(1/J60*(Y60/H60),"0")</f>
        <v>9.3406593406593408E-2</v>
      </c>
    </row>
    <row r="61" spans="1:68" x14ac:dyDescent="0.2">
      <c r="A61" s="678"/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80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35.185185185185183</v>
      </c>
      <c r="Y61" s="667">
        <f>IFERROR(Y57/H57,"0")+IFERROR(Y58/H58,"0")+IFERROR(Y59/H59,"0")+IFERROR(Y60/H60,"0")</f>
        <v>36</v>
      </c>
      <c r="Z61" s="667">
        <f>IFERROR(IF(Z57="",0,Z57),"0")+IFERROR(IF(Z58="",0,Z58),"0")+IFERROR(IF(Z59="",0,Z59),"0")+IFERROR(IF(Z60="",0,Z60),"0")</f>
        <v>0.47128999999999999</v>
      </c>
      <c r="AA61" s="668"/>
      <c r="AB61" s="668"/>
      <c r="AC61" s="668"/>
    </row>
    <row r="62" spans="1:68" x14ac:dyDescent="0.2">
      <c r="A62" s="679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245</v>
      </c>
      <c r="Y62" s="667">
        <f>IFERROR(SUM(Y57:Y60),"0")</f>
        <v>251.10000000000002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  <c r="AA63" s="658"/>
      <c r="AB63" s="658"/>
      <c r="AC63" s="658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7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8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80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79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58"/>
      <c r="AB69" s="658"/>
      <c r="AC69" s="658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4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48</v>
      </c>
      <c r="Y72" s="666">
        <f t="shared" si="5"/>
        <v>50.400000000000006</v>
      </c>
      <c r="Z72" s="36">
        <f>IFERROR(IF(Y72=0,"",ROUNDUP(Y72/H72,0)*0.01898),"")</f>
        <v>0.11388000000000001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50.897142857142853</v>
      </c>
      <c r="BN72" s="64">
        <f t="shared" si="7"/>
        <v>53.442000000000007</v>
      </c>
      <c r="BO72" s="64">
        <f t="shared" si="8"/>
        <v>8.9285714285714288E-2</v>
      </c>
      <c r="BP72" s="64">
        <f t="shared" si="9"/>
        <v>9.375E-2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5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8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80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5.7142857142857144</v>
      </c>
      <c r="Y76" s="667">
        <f>IFERROR(Y70/H70,"0")+IFERROR(Y71/H71,"0")+IFERROR(Y72/H72,"0")+IFERROR(Y73/H73,"0")+IFERROR(Y74/H74,"0")+IFERROR(Y75/H75,"0")</f>
        <v>6</v>
      </c>
      <c r="Z76" s="667">
        <f>IFERROR(IF(Z70="",0,Z70),"0")+IFERROR(IF(Z71="",0,Z71),"0")+IFERROR(IF(Z72="",0,Z72),"0")+IFERROR(IF(Z73="",0,Z73),"0")+IFERROR(IF(Z74="",0,Z74),"0")+IFERROR(IF(Z75="",0,Z75),"0")</f>
        <v>0.11388000000000001</v>
      </c>
      <c r="AA76" s="668"/>
      <c r="AB76" s="668"/>
      <c r="AC76" s="668"/>
    </row>
    <row r="77" spans="1:68" x14ac:dyDescent="0.2">
      <c r="A77" s="679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48</v>
      </c>
      <c r="Y77" s="667">
        <f>IFERROR(SUM(Y70:Y75),"0")</f>
        <v>50.400000000000006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  <c r="AA78" s="658"/>
      <c r="AB78" s="658"/>
      <c r="AC78" s="658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8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80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79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17" t="s">
        <v>178</v>
      </c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  <c r="AA84" s="660"/>
      <c r="AB84" s="660"/>
      <c r="AC84" s="660"/>
    </row>
    <row r="85" spans="1:68" ht="14.25" hidden="1" customHeight="1" x14ac:dyDescent="0.25">
      <c r="A85" s="682" t="s">
        <v>90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58"/>
      <c r="AB85" s="658"/>
      <c r="AC85" s="658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20</v>
      </c>
      <c r="Y86" s="666">
        <f>IFERROR(IF(X86="",0,CEILING((X86/$H86),1)*$H86),"")</f>
        <v>21.6</v>
      </c>
      <c r="Z86" s="36">
        <f>IFERROR(IF(Y86=0,"",ROUNDUP(Y86/H86,0)*0.01898),"")</f>
        <v>3.7960000000000001E-2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20.805555555555554</v>
      </c>
      <c r="BN86" s="64">
        <f>IFERROR(Y86*I86/H86,"0")</f>
        <v>22.47</v>
      </c>
      <c r="BO86" s="64">
        <f>IFERROR(1/J86*(X86/H86),"0")</f>
        <v>2.8935185185185182E-2</v>
      </c>
      <c r="BP86" s="64">
        <f>IFERROR(1/J86*(Y86/H86),"0")</f>
        <v>3.125E-2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9</v>
      </c>
      <c r="Y88" s="66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9.42</v>
      </c>
      <c r="BN88" s="64">
        <f>IFERROR(Y88*I88/H88,"0")</f>
        <v>9.42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678"/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80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3.8518518518518516</v>
      </c>
      <c r="Y89" s="667">
        <f>IFERROR(Y86/H86,"0")+IFERROR(Y87/H87,"0")+IFERROR(Y88/H88,"0")</f>
        <v>4</v>
      </c>
      <c r="Z89" s="667">
        <f>IFERROR(IF(Z86="",0,Z86),"0")+IFERROR(IF(Z87="",0,Z87),"0")+IFERROR(IF(Z88="",0,Z88),"0")</f>
        <v>5.6000000000000001E-2</v>
      </c>
      <c r="AA89" s="668"/>
      <c r="AB89" s="668"/>
      <c r="AC89" s="668"/>
    </row>
    <row r="90" spans="1:68" x14ac:dyDescent="0.2">
      <c r="A90" s="679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29</v>
      </c>
      <c r="Y90" s="667">
        <f>IFERROR(SUM(Y86:Y88),"0")</f>
        <v>30.6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  <c r="AA91" s="658"/>
      <c r="AB91" s="658"/>
      <c r="AC91" s="658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5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15</v>
      </c>
      <c r="Y93" s="666">
        <f t="shared" si="10"/>
        <v>16.8</v>
      </c>
      <c r="Z93" s="36">
        <f>IFERROR(IF(Y93=0,"",ROUNDUP(Y93/H93,0)*0.01898),"")</f>
        <v>3.7960000000000001E-2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15.926785714285714</v>
      </c>
      <c r="BN93" s="64">
        <f t="shared" si="12"/>
        <v>17.838000000000001</v>
      </c>
      <c r="BO93" s="64">
        <f t="shared" si="13"/>
        <v>2.7901785714285712E-2</v>
      </c>
      <c r="BP93" s="64">
        <f t="shared" si="14"/>
        <v>3.125E-2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8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5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3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62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3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8"/>
      <c r="B101" s="679"/>
      <c r="C101" s="679"/>
      <c r="D101" s="679"/>
      <c r="E101" s="679"/>
      <c r="F101" s="679"/>
      <c r="G101" s="679"/>
      <c r="H101" s="679"/>
      <c r="I101" s="679"/>
      <c r="J101" s="679"/>
      <c r="K101" s="679"/>
      <c r="L101" s="679"/>
      <c r="M101" s="679"/>
      <c r="N101" s="679"/>
      <c r="O101" s="680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1.7857142857142856</v>
      </c>
      <c r="Y101" s="667">
        <f>IFERROR(Y92/H92,"0")+IFERROR(Y93/H93,"0")+IFERROR(Y94/H94,"0")+IFERROR(Y95/H95,"0")+IFERROR(Y96/H96,"0")+IFERROR(Y97/H97,"0")+IFERROR(Y98/H98,"0")+IFERROR(Y99/H99,"0")+IFERROR(Y100/H100,"0")</f>
        <v>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3.7960000000000001E-2</v>
      </c>
      <c r="AA101" s="668"/>
      <c r="AB101" s="668"/>
      <c r="AC101" s="668"/>
    </row>
    <row r="102" spans="1:68" x14ac:dyDescent="0.2">
      <c r="A102" s="679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15</v>
      </c>
      <c r="Y102" s="667">
        <f>IFERROR(SUM(Y92:Y100),"0")</f>
        <v>16.8</v>
      </c>
      <c r="Z102" s="37"/>
      <c r="AA102" s="668"/>
      <c r="AB102" s="668"/>
      <c r="AC102" s="668"/>
    </row>
    <row r="103" spans="1:68" ht="16.5" hidden="1" customHeight="1" x14ac:dyDescent="0.25">
      <c r="A103" s="717" t="s">
        <v>209</v>
      </c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  <c r="AA103" s="660"/>
      <c r="AB103" s="660"/>
      <c r="AC103" s="660"/>
    </row>
    <row r="104" spans="1:68" ht="14.25" hidden="1" customHeight="1" x14ac:dyDescent="0.25">
      <c r="A104" s="682" t="s">
        <v>90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8"/>
      <c r="AB104" s="658"/>
      <c r="AC104" s="658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7.5</v>
      </c>
      <c r="Y106" s="666">
        <f>IFERROR(IF(X106="",0,CEILING((X106/$H106),1)*$H106),"")</f>
        <v>7.5</v>
      </c>
      <c r="Z106" s="36">
        <f>IFERROR(IF(Y106=0,"",ROUNDUP(Y106/H106,0)*0.00902),"")</f>
        <v>1.804E-2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7.92</v>
      </c>
      <c r="BN106" s="64">
        <f>IFERROR(Y106*I106/H106,"0")</f>
        <v>7.92</v>
      </c>
      <c r="BO106" s="64">
        <f>IFERROR(1/J106*(X106/H106),"0")</f>
        <v>1.5151515151515152E-2</v>
      </c>
      <c r="BP106" s="64">
        <f>IFERROR(1/J106*(Y106/H106),"0")</f>
        <v>1.5151515151515152E-2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8"/>
      <c r="B109" s="679"/>
      <c r="C109" s="679"/>
      <c r="D109" s="679"/>
      <c r="E109" s="679"/>
      <c r="F109" s="679"/>
      <c r="G109" s="679"/>
      <c r="H109" s="679"/>
      <c r="I109" s="679"/>
      <c r="J109" s="679"/>
      <c r="K109" s="679"/>
      <c r="L109" s="679"/>
      <c r="M109" s="679"/>
      <c r="N109" s="679"/>
      <c r="O109" s="680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2</v>
      </c>
      <c r="Y109" s="667">
        <f>IFERROR(Y105/H105,"0")+IFERROR(Y106/H106,"0")+IFERROR(Y107/H107,"0")+IFERROR(Y108/H108,"0")</f>
        <v>2</v>
      </c>
      <c r="Z109" s="667">
        <f>IFERROR(IF(Z105="",0,Z105),"0")+IFERROR(IF(Z106="",0,Z106),"0")+IFERROR(IF(Z107="",0,Z107),"0")+IFERROR(IF(Z108="",0,Z108),"0")</f>
        <v>1.804E-2</v>
      </c>
      <c r="AA109" s="668"/>
      <c r="AB109" s="668"/>
      <c r="AC109" s="668"/>
    </row>
    <row r="110" spans="1:68" x14ac:dyDescent="0.2">
      <c r="A110" s="679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7.5</v>
      </c>
      <c r="Y110" s="667">
        <f>IFERROR(SUM(Y105:Y108),"0")</f>
        <v>7.5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  <c r="AA111" s="658"/>
      <c r="AB111" s="658"/>
      <c r="AC111" s="658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9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8"/>
      <c r="B115" s="679"/>
      <c r="C115" s="679"/>
      <c r="D115" s="679"/>
      <c r="E115" s="679"/>
      <c r="F115" s="679"/>
      <c r="G115" s="679"/>
      <c r="H115" s="679"/>
      <c r="I115" s="679"/>
      <c r="J115" s="679"/>
      <c r="K115" s="679"/>
      <c r="L115" s="679"/>
      <c r="M115" s="679"/>
      <c r="N115" s="679"/>
      <c r="O115" s="680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  <c r="AA117" s="658"/>
      <c r="AB117" s="658"/>
      <c r="AC117" s="658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5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15</v>
      </c>
      <c r="Y120" s="666">
        <f t="shared" si="15"/>
        <v>16.8</v>
      </c>
      <c r="Z120" s="36">
        <f>IFERROR(IF(Y120=0,"",ROUNDUP(Y120/H120,0)*0.01898),"")</f>
        <v>3.7960000000000001E-2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15.916071428571428</v>
      </c>
      <c r="BN120" s="64">
        <f t="shared" si="17"/>
        <v>17.826000000000001</v>
      </c>
      <c r="BO120" s="64">
        <f t="shared" si="18"/>
        <v>2.7901785714285712E-2</v>
      </c>
      <c r="BP120" s="64">
        <f t="shared" si="19"/>
        <v>3.125E-2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90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10.8</v>
      </c>
      <c r="Y123" s="666">
        <f t="shared" si="15"/>
        <v>10.8</v>
      </c>
      <c r="Z123" s="36">
        <f t="shared" si="20"/>
        <v>2.6040000000000001E-2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11.808</v>
      </c>
      <c r="BN123" s="64">
        <f t="shared" si="17"/>
        <v>11.808</v>
      </c>
      <c r="BO123" s="64">
        <f t="shared" si="18"/>
        <v>2.197802197802198E-2</v>
      </c>
      <c r="BP123" s="64">
        <f t="shared" si="19"/>
        <v>2.197802197802198E-2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35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3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8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5.7857142857142856</v>
      </c>
      <c r="Y127" s="667">
        <f>IFERROR(Y118/H118,"0")+IFERROR(Y119/H119,"0")+IFERROR(Y120/H120,"0")+IFERROR(Y121/H121,"0")+IFERROR(Y122/H122,"0")+IFERROR(Y123/H123,"0")+IFERROR(Y124/H124,"0")+IFERROR(Y125/H125,"0")+IFERROR(Y126/H126,"0")</f>
        <v>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6.4000000000000001E-2</v>
      </c>
      <c r="AA127" s="668"/>
      <c r="AB127" s="668"/>
      <c r="AC127" s="668"/>
    </row>
    <row r="128" spans="1:68" x14ac:dyDescent="0.2">
      <c r="A128" s="679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25.8</v>
      </c>
      <c r="Y128" s="667">
        <f>IFERROR(SUM(Y118:Y126),"0")</f>
        <v>27.6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  <c r="AA129" s="658"/>
      <c r="AB129" s="658"/>
      <c r="AC129" s="658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80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8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79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17" t="s">
        <v>254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0"/>
      <c r="AB134" s="660"/>
      <c r="AC134" s="660"/>
    </row>
    <row r="135" spans="1:68" ht="14.25" hidden="1" customHeight="1" x14ac:dyDescent="0.25">
      <c r="A135" s="682" t="s">
        <v>90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58"/>
      <c r="AB135" s="658"/>
      <c r="AC135" s="658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12.675000000000001</v>
      </c>
      <c r="BN137" s="64">
        <f>IFERROR(Y137*I137/H137,"0")</f>
        <v>13.52</v>
      </c>
      <c r="BO137" s="64">
        <f>IFERROR(1/J137*(X137/H137),"0")</f>
        <v>2.0604395604395608E-2</v>
      </c>
      <c r="BP137" s="64">
        <f>IFERROR(1/J137*(Y137/H137),"0")</f>
        <v>2.197802197802198E-2</v>
      </c>
    </row>
    <row r="138" spans="1:68" x14ac:dyDescent="0.2">
      <c r="A138" s="678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3.75</v>
      </c>
      <c r="Y138" s="667">
        <f>IFERROR(Y136/H136,"0")+IFERROR(Y137/H137,"0")</f>
        <v>4</v>
      </c>
      <c r="Z138" s="667">
        <f>IFERROR(IF(Z136="",0,Z136),"0")+IFERROR(IF(Z137="",0,Z137),"0")</f>
        <v>2.6040000000000001E-2</v>
      </c>
      <c r="AA138" s="668"/>
      <c r="AB138" s="668"/>
      <c r="AC138" s="668"/>
    </row>
    <row r="139" spans="1:68" x14ac:dyDescent="0.2">
      <c r="A139" s="679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12</v>
      </c>
      <c r="Y139" s="667">
        <f>IFERROR(SUM(Y136:Y137),"0")</f>
        <v>12.8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  <c r="AA140" s="658"/>
      <c r="AB140" s="658"/>
      <c r="AC140" s="658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2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8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79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  <c r="AA145" s="658"/>
      <c r="AB145" s="658"/>
      <c r="AC145" s="658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8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79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17" t="s">
        <v>88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0"/>
      <c r="AB150" s="660"/>
      <c r="AC150" s="660"/>
    </row>
    <row r="151" spans="1:68" ht="14.25" hidden="1" customHeight="1" x14ac:dyDescent="0.25">
      <c r="A151" s="682" t="s">
        <v>90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58"/>
      <c r="AB151" s="658"/>
      <c r="AC151" s="658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8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79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  <c r="AA155" s="658"/>
      <c r="AB155" s="658"/>
      <c r="AC155" s="658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20</v>
      </c>
      <c r="Y156" s="666">
        <f>IFERROR(IF(X156="",0,CEILING((X156/$H156),1)*$H156),"")</f>
        <v>27</v>
      </c>
      <c r="Z156" s="36">
        <f>IFERROR(IF(Y156=0,"",ROUNDUP(Y156/H156,0)*0.01898),"")</f>
        <v>5.6940000000000004E-2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21.3</v>
      </c>
      <c r="BN156" s="64">
        <f>IFERROR(Y156*I156/H156,"0")</f>
        <v>28.755000000000003</v>
      </c>
      <c r="BO156" s="64">
        <f>IFERROR(1/J156*(X156/H156),"0")</f>
        <v>3.4722222222222224E-2</v>
      </c>
      <c r="BP156" s="64">
        <f>IFERROR(1/J156*(Y156/H156),"0")</f>
        <v>4.6875E-2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69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8</v>
      </c>
      <c r="Y158" s="666">
        <f>IFERROR(IF(X158="",0,CEILING((X158/$H158),1)*$H158),"")</f>
        <v>9</v>
      </c>
      <c r="Z158" s="36">
        <f>IFERROR(IF(Y158=0,"",ROUNDUP(Y158/H158,0)*0.01898),"")</f>
        <v>1.898E-2</v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8.5200000000000014</v>
      </c>
      <c r="BN158" s="64">
        <f>IFERROR(Y158*I158/H158,"0")</f>
        <v>9.5850000000000009</v>
      </c>
      <c r="BO158" s="64">
        <f>IFERROR(1/J158*(X158/H158),"0")</f>
        <v>1.3888888888888888E-2</v>
      </c>
      <c r="BP158" s="64">
        <f>IFERROR(1/J158*(Y158/H158),"0")</f>
        <v>1.5625E-2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8"/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80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3.1111111111111112</v>
      </c>
      <c r="Y160" s="667">
        <f>IFERROR(Y156/H156,"0")+IFERROR(Y157/H157,"0")+IFERROR(Y158/H158,"0")+IFERROR(Y159/H159,"0")</f>
        <v>4</v>
      </c>
      <c r="Z160" s="667">
        <f>IFERROR(IF(Z156="",0,Z156),"0")+IFERROR(IF(Z157="",0,Z157),"0")+IFERROR(IF(Z158="",0,Z158),"0")+IFERROR(IF(Z159="",0,Z159),"0")</f>
        <v>7.5920000000000001E-2</v>
      </c>
      <c r="AA160" s="668"/>
      <c r="AB160" s="668"/>
      <c r="AC160" s="668"/>
    </row>
    <row r="161" spans="1:68" x14ac:dyDescent="0.2">
      <c r="A161" s="679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28</v>
      </c>
      <c r="Y161" s="667">
        <f>IFERROR(SUM(Y156:Y159),"0")</f>
        <v>36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  <c r="AA162" s="658"/>
      <c r="AB162" s="658"/>
      <c r="AC162" s="658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38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13" t="s">
        <v>286</v>
      </c>
      <c r="B167" s="814"/>
      <c r="C167" s="814"/>
      <c r="D167" s="814"/>
      <c r="E167" s="814"/>
      <c r="F167" s="814"/>
      <c r="G167" s="814"/>
      <c r="H167" s="814"/>
      <c r="I167" s="814"/>
      <c r="J167" s="814"/>
      <c r="K167" s="814"/>
      <c r="L167" s="814"/>
      <c r="M167" s="814"/>
      <c r="N167" s="814"/>
      <c r="O167" s="814"/>
      <c r="P167" s="814"/>
      <c r="Q167" s="814"/>
      <c r="R167" s="814"/>
      <c r="S167" s="814"/>
      <c r="T167" s="814"/>
      <c r="U167" s="814"/>
      <c r="V167" s="814"/>
      <c r="W167" s="814"/>
      <c r="X167" s="814"/>
      <c r="Y167" s="814"/>
      <c r="Z167" s="814"/>
      <c r="AA167" s="48"/>
      <c r="AB167" s="48"/>
      <c r="AC167" s="48"/>
    </row>
    <row r="168" spans="1:68" ht="16.5" hidden="1" customHeight="1" x14ac:dyDescent="0.25">
      <c r="A168" s="717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58"/>
      <c r="AB169" s="658"/>
      <c r="AC169" s="658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58"/>
      <c r="AB173" s="658"/>
      <c r="AC173" s="658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0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58"/>
      <c r="AB185" s="658"/>
      <c r="AC185" s="658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0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7" t="s">
        <v>322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2" t="s">
        <v>90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58"/>
      <c r="AB190" s="658"/>
      <c r="AC190" s="658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58"/>
      <c r="AB195" s="658"/>
      <c r="AC195" s="658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58"/>
      <c r="AB200" s="658"/>
      <c r="AC200" s="658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1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58"/>
      <c r="AB211" s="658"/>
      <c r="AC211" s="658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5.4</v>
      </c>
      <c r="Y217" s="666">
        <f t="shared" si="31"/>
        <v>7.1999999999999993</v>
      </c>
      <c r="Z217" s="36">
        <f t="shared" si="36"/>
        <v>1.9529999999999999E-2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5.9670000000000014</v>
      </c>
      <c r="BN217" s="64">
        <f t="shared" si="33"/>
        <v>7.9560000000000004</v>
      </c>
      <c r="BO217" s="64">
        <f t="shared" si="34"/>
        <v>1.2362637362637366E-2</v>
      </c>
      <c r="BP217" s="64">
        <f t="shared" si="35"/>
        <v>1.6483516483516484E-2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2.2500000000000004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1.9529999999999999E-2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5.4</v>
      </c>
      <c r="Y222" s="667">
        <f>IFERROR(SUM(Y212:Y220),"0")</f>
        <v>7.1999999999999993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58"/>
      <c r="AB223" s="658"/>
      <c r="AC223" s="658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7" t="s">
        <v>383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2" t="s">
        <v>90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58"/>
      <c r="AB229" s="658"/>
      <c r="AC229" s="658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9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58"/>
      <c r="AB240" s="658"/>
      <c r="AC240" s="658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1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58"/>
      <c r="AB245" s="658"/>
      <c r="AC245" s="658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6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58"/>
      <c r="AB249" s="658"/>
      <c r="AC249" s="658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9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7" t="s">
        <v>418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2" t="s">
        <v>90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58"/>
      <c r="AB254" s="658"/>
      <c r="AC254" s="658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20</v>
      </c>
      <c r="Y255" s="666">
        <f t="shared" ref="Y255:Y260" si="42"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20.805555555555554</v>
      </c>
      <c r="BN255" s="64">
        <f t="shared" ref="BN255:BN260" si="44">IFERROR(Y255*I255/H255,"0")</f>
        <v>22.47</v>
      </c>
      <c r="BO255" s="64">
        <f t="shared" ref="BO255:BO260" si="45">IFERROR(1/J255*(X255/H255),"0")</f>
        <v>2.8935185185185182E-2</v>
      </c>
      <c r="BP255" s="64">
        <f t="shared" ref="BP255:BP260" si="46">IFERROR(1/J255*(Y255/H255),"0")</f>
        <v>3.125E-2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120</v>
      </c>
      <c r="Y257" s="666">
        <f t="shared" si="42"/>
        <v>129.60000000000002</v>
      </c>
      <c r="Z257" s="36">
        <f>IFERROR(IF(Y257=0,"",ROUNDUP(Y257/H257,0)*0.01898),"")</f>
        <v>0.22776000000000002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124.83333333333331</v>
      </c>
      <c r="BN257" s="64">
        <f t="shared" si="44"/>
        <v>134.82000000000002</v>
      </c>
      <c r="BO257" s="64">
        <f t="shared" si="45"/>
        <v>0.1736111111111111</v>
      </c>
      <c r="BP257" s="64">
        <f t="shared" si="46"/>
        <v>0.18750000000000003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80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20</v>
      </c>
      <c r="Y258" s="666">
        <f t="shared" si="42"/>
        <v>21.6</v>
      </c>
      <c r="Z258" s="36">
        <f>IFERROR(IF(Y258=0,"",ROUNDUP(Y258/H258,0)*0.01898),"")</f>
        <v>3.7960000000000001E-2</v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20.805555555555554</v>
      </c>
      <c r="BN258" s="64">
        <f t="shared" si="44"/>
        <v>22.47</v>
      </c>
      <c r="BO258" s="64">
        <f t="shared" si="45"/>
        <v>2.8935185185185182E-2</v>
      </c>
      <c r="BP258" s="64">
        <f t="shared" si="46"/>
        <v>3.125E-2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14.814814814814813</v>
      </c>
      <c r="Y261" s="667">
        <f>IFERROR(Y255/H255,"0")+IFERROR(Y256/H256,"0")+IFERROR(Y257/H257,"0")+IFERROR(Y258/H258,"0")+IFERROR(Y259/H259,"0")+IFERROR(Y260/H260,"0")</f>
        <v>16</v>
      </c>
      <c r="Z261" s="667">
        <f>IFERROR(IF(Z255="",0,Z255),"0")+IFERROR(IF(Z256="",0,Z256),"0")+IFERROR(IF(Z257="",0,Z257),"0")+IFERROR(IF(Z258="",0,Z258),"0")+IFERROR(IF(Z259="",0,Z259),"0")+IFERROR(IF(Z260="",0,Z260),"0")</f>
        <v>0.30368000000000001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160</v>
      </c>
      <c r="Y262" s="667">
        <f>IFERROR(SUM(Y255:Y260),"0")</f>
        <v>172.8</v>
      </c>
      <c r="Z262" s="37"/>
      <c r="AA262" s="668"/>
      <c r="AB262" s="668"/>
      <c r="AC262" s="668"/>
    </row>
    <row r="263" spans="1:68" ht="16.5" hidden="1" customHeight="1" x14ac:dyDescent="0.25">
      <c r="A263" s="717" t="s">
        <v>436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2" t="s">
        <v>90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58"/>
      <c r="AB264" s="658"/>
      <c r="AC264" s="658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7" t="s">
        <v>440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2" t="s">
        <v>90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58"/>
      <c r="AB269" s="658"/>
      <c r="AC269" s="658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7" t="s">
        <v>449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2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58"/>
      <c r="AB276" s="658"/>
      <c r="AC276" s="658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8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7" t="s">
        <v>463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2" t="s">
        <v>90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58"/>
      <c r="AB285" s="658"/>
      <c r="AC285" s="658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80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58"/>
      <c r="AB289" s="658"/>
      <c r="AC289" s="658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58"/>
      <c r="AB293" s="658"/>
      <c r="AC293" s="658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7" t="s">
        <v>473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2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58"/>
      <c r="AB298" s="658"/>
      <c r="AC298" s="658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8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7" t="s">
        <v>477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2" t="s">
        <v>90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58"/>
      <c r="AB303" s="658"/>
      <c r="AC303" s="658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58"/>
      <c r="AB307" s="658"/>
      <c r="AC307" s="658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7" t="s">
        <v>485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2" t="s">
        <v>90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58"/>
      <c r="AB313" s="658"/>
      <c r="AC313" s="658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7" t="s">
        <v>490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2" t="s">
        <v>90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58"/>
      <c r="AB318" s="658"/>
      <c r="AC318" s="658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50</v>
      </c>
      <c r="Y319" s="666">
        <f t="shared" ref="Y319:Y324" si="47">IFERROR(IF(X319="",0,CEILING((X319/$H319),1)*$H319),"")</f>
        <v>54</v>
      </c>
      <c r="Z319" s="36">
        <f>IFERROR(IF(Y319=0,"",ROUNDUP(Y319/H319,0)*0.01898),"")</f>
        <v>9.4899999999999998E-2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52.013888888888886</v>
      </c>
      <c r="BN319" s="64">
        <f t="shared" ref="BN319:BN324" si="49">IFERROR(Y319*I319/H319,"0")</f>
        <v>56.17499999999999</v>
      </c>
      <c r="BO319" s="64">
        <f t="shared" ref="BO319:BO324" si="50">IFERROR(1/J319*(X319/H319),"0")</f>
        <v>7.2337962962962965E-2</v>
      </c>
      <c r="BP319" s="64">
        <f t="shared" ref="BP319:BP324" si="51">IFERROR(1/J319*(Y319/H319),"0")</f>
        <v>7.8125E-2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220</v>
      </c>
      <c r="Y321" s="666">
        <f t="shared" si="47"/>
        <v>226.8</v>
      </c>
      <c r="Z321" s="36">
        <f>IFERROR(IF(Y321=0,"",ROUNDUP(Y321/H321,0)*0.01898),"")</f>
        <v>0.39857999999999999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228.86111111111109</v>
      </c>
      <c r="BN321" s="64">
        <f t="shared" si="49"/>
        <v>235.93499999999997</v>
      </c>
      <c r="BO321" s="64">
        <f t="shared" si="50"/>
        <v>0.31828703703703703</v>
      </c>
      <c r="BP321" s="64">
        <f t="shared" si="51"/>
        <v>0.328125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40</v>
      </c>
      <c r="Y322" s="666">
        <f t="shared" si="47"/>
        <v>43.2</v>
      </c>
      <c r="Z322" s="36">
        <f>IFERROR(IF(Y322=0,"",ROUNDUP(Y322/H322,0)*0.01898),"")</f>
        <v>7.5920000000000001E-2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41.611111111111107</v>
      </c>
      <c r="BN322" s="64">
        <f t="shared" si="49"/>
        <v>44.94</v>
      </c>
      <c r="BO322" s="64">
        <f t="shared" si="50"/>
        <v>5.7870370370370364E-2</v>
      </c>
      <c r="BP322" s="64">
        <f t="shared" si="51"/>
        <v>6.25E-2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12</v>
      </c>
      <c r="Y323" s="666">
        <f t="shared" si="47"/>
        <v>12</v>
      </c>
      <c r="Z323" s="36">
        <f>IFERROR(IF(Y323=0,"",ROUNDUP(Y323/H323,0)*0.00902),"")</f>
        <v>2.7060000000000001E-2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12.629999999999999</v>
      </c>
      <c r="BN323" s="64">
        <f t="shared" si="49"/>
        <v>12.629999999999999</v>
      </c>
      <c r="BO323" s="64">
        <f t="shared" si="50"/>
        <v>2.2727272727272728E-2</v>
      </c>
      <c r="BP323" s="64">
        <f t="shared" si="51"/>
        <v>2.2727272727272728E-2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31.703703703703702</v>
      </c>
      <c r="Y325" s="667">
        <f>IFERROR(Y319/H319,"0")+IFERROR(Y320/H320,"0")+IFERROR(Y321/H321,"0")+IFERROR(Y322/H322,"0")+IFERROR(Y323/H323,"0")+IFERROR(Y324/H324,"0")</f>
        <v>33</v>
      </c>
      <c r="Z325" s="667">
        <f>IFERROR(IF(Z319="",0,Z319),"0")+IFERROR(IF(Z320="",0,Z320),"0")+IFERROR(IF(Z321="",0,Z321),"0")+IFERROR(IF(Z322="",0,Z322),"0")+IFERROR(IF(Z323="",0,Z323),"0")+IFERROR(IF(Z324="",0,Z324),"0")</f>
        <v>0.59645999999999999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322</v>
      </c>
      <c r="Y326" s="667">
        <f>IFERROR(SUM(Y319:Y324),"0")</f>
        <v>336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8"/>
      <c r="AB327" s="658"/>
      <c r="AC327" s="658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50</v>
      </c>
      <c r="Y328" s="666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110</v>
      </c>
      <c r="Y329" s="666">
        <f>IFERROR(IF(X329="",0,CEILING((X329/$H329),1)*$H329),"")</f>
        <v>113.4</v>
      </c>
      <c r="Z329" s="36">
        <f>IFERROR(IF(Y329=0,"",ROUNDUP(Y329/H329,0)*0.00902),"")</f>
        <v>0.24354000000000001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117.07142857142857</v>
      </c>
      <c r="BN329" s="64">
        <f>IFERROR(Y329*I329/H329,"0")</f>
        <v>120.69</v>
      </c>
      <c r="BO329" s="64">
        <f>IFERROR(1/J329*(X329/H329),"0")</f>
        <v>0.1984126984126984</v>
      </c>
      <c r="BP329" s="64">
        <f>IFERROR(1/J329*(Y329/H329),"0")</f>
        <v>0.20454545454545456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10.5</v>
      </c>
      <c r="Y331" s="666">
        <f>IFERROR(IF(X331="",0,CEILING((X331/$H331),1)*$H331),"")</f>
        <v>10.5</v>
      </c>
      <c r="Z331" s="36">
        <f>IFERROR(IF(Y331=0,"",ROUNDUP(Y331/H331,0)*0.00502),"")</f>
        <v>2.5100000000000001E-2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11.149999999999999</v>
      </c>
      <c r="BN331" s="64">
        <f>IFERROR(Y331*I331/H331,"0")</f>
        <v>11.149999999999999</v>
      </c>
      <c r="BO331" s="64">
        <f>IFERROR(1/J331*(X331/H331),"0")</f>
        <v>2.1367521367521368E-2</v>
      </c>
      <c r="BP331" s="64">
        <f>IFERROR(1/J331*(Y331/H331),"0")</f>
        <v>2.1367521367521368E-2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43.095238095238095</v>
      </c>
      <c r="Y332" s="667">
        <f>IFERROR(Y328/H328,"0")+IFERROR(Y329/H329,"0")+IFERROR(Y330/H330,"0")+IFERROR(Y331/H331,"0")</f>
        <v>44</v>
      </c>
      <c r="Z332" s="667">
        <f>IFERROR(IF(Z328="",0,Z328),"0")+IFERROR(IF(Z329="",0,Z329),"0")+IFERROR(IF(Z330="",0,Z330),"0")+IFERROR(IF(Z331="",0,Z331),"0")</f>
        <v>0.37687999999999999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170.5</v>
      </c>
      <c r="Y333" s="667">
        <f>IFERROR(SUM(Y328:Y331),"0")</f>
        <v>174.3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58"/>
      <c r="AB334" s="658"/>
      <c r="AC334" s="658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850</v>
      </c>
      <c r="Y335" s="666">
        <f>IFERROR(IF(X335="",0,CEILING((X335/$H335),1)*$H335),"")</f>
        <v>850.19999999999993</v>
      </c>
      <c r="Z335" s="36">
        <f>IFERROR(IF(Y335=0,"",ROUNDUP(Y335/H335,0)*0.01898),"")</f>
        <v>2.0688200000000001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905.90384615384619</v>
      </c>
      <c r="BN335" s="64">
        <f>IFERROR(Y335*I335/H335,"0")</f>
        <v>906.11699999999996</v>
      </c>
      <c r="BO335" s="64">
        <f>IFERROR(1/J335*(X335/H335),"0")</f>
        <v>1.702724358974359</v>
      </c>
      <c r="BP335" s="64">
        <f>IFERROR(1/J335*(Y335/H335),"0")</f>
        <v>1.703125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6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108.97435897435898</v>
      </c>
      <c r="Y340" s="667">
        <f>IFERROR(Y335/H335,"0")+IFERROR(Y336/H336,"0")+IFERROR(Y337/H337,"0")+IFERROR(Y338/H338,"0")+IFERROR(Y339/H339,"0")</f>
        <v>109</v>
      </c>
      <c r="Z340" s="667">
        <f>IFERROR(IF(Z335="",0,Z335),"0")+IFERROR(IF(Z336="",0,Z336),"0")+IFERROR(IF(Z337="",0,Z337),"0")+IFERROR(IF(Z338="",0,Z338),"0")+IFERROR(IF(Z339="",0,Z339),"0")</f>
        <v>2.0688200000000001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850</v>
      </c>
      <c r="Y341" s="667">
        <f>IFERROR(SUM(Y335:Y339),"0")</f>
        <v>850.19999999999993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58"/>
      <c r="AB342" s="658"/>
      <c r="AC342" s="658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45</v>
      </c>
      <c r="Y344" s="666">
        <f>IFERROR(IF(X344="",0,CEILING((X344/$H344),1)*$H344),"")</f>
        <v>46.8</v>
      </c>
      <c r="Z344" s="36">
        <f>IFERROR(IF(Y344=0,"",ROUNDUP(Y344/H344,0)*0.01898),"")</f>
        <v>0.11388000000000001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47.994230769230775</v>
      </c>
      <c r="BN344" s="64">
        <f>IFERROR(Y344*I344/H344,"0")</f>
        <v>49.914000000000001</v>
      </c>
      <c r="BO344" s="64">
        <f>IFERROR(1/J344*(X344/H344),"0")</f>
        <v>9.0144230769230768E-2</v>
      </c>
      <c r="BP344" s="64">
        <f>IFERROR(1/J344*(Y344/H344),"0")</f>
        <v>9.375E-2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38</v>
      </c>
      <c r="Y345" s="666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40.347857142857144</v>
      </c>
      <c r="BN345" s="64">
        <f>IFERROR(Y345*I345/H345,"0")</f>
        <v>44.594999999999999</v>
      </c>
      <c r="BO345" s="64">
        <f>IFERROR(1/J345*(X345/H345),"0")</f>
        <v>7.0684523809523808E-2</v>
      </c>
      <c r="BP345" s="64">
        <f>IFERROR(1/J345*(Y345/H345),"0")</f>
        <v>7.8125E-2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10.293040293040292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0.20878000000000002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83</v>
      </c>
      <c r="Y347" s="667">
        <f>IFERROR(SUM(Y343:Y345),"0")</f>
        <v>88.8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8"/>
      <c r="AB348" s="658"/>
      <c r="AC348" s="658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805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8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5.1000000000000014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5.7600000000000025</v>
      </c>
      <c r="BN352" s="64">
        <f>IFERROR(Y352*I352/H352,"0")</f>
        <v>5.76</v>
      </c>
      <c r="BO352" s="64">
        <f>IFERROR(1/J352*(X352/H352),"0")</f>
        <v>1.0989010989010995E-2</v>
      </c>
      <c r="BP352" s="64">
        <f>IFERROR(1/J352*(Y352/H352),"0")</f>
        <v>1.098901098901099E-2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2.0000000000000009</v>
      </c>
      <c r="Y353" s="667">
        <f>IFERROR(Y349/H349,"0")+IFERROR(Y350/H350,"0")+IFERROR(Y351/H351,"0")+IFERROR(Y352/H352,"0")</f>
        <v>2</v>
      </c>
      <c r="Z353" s="667">
        <f>IFERROR(IF(Z349="",0,Z349),"0")+IFERROR(IF(Z350="",0,Z350),"0")+IFERROR(IF(Z351="",0,Z351),"0")+IFERROR(IF(Z352="",0,Z352),"0")</f>
        <v>1.302E-2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5.1000000000000014</v>
      </c>
      <c r="Y354" s="667">
        <f>IFERROR(SUM(Y349:Y352),"0")</f>
        <v>5.0999999999999996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58"/>
      <c r="AB355" s="658"/>
      <c r="AC355" s="658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7" t="s">
        <v>564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58"/>
      <c r="AB362" s="658"/>
      <c r="AC362" s="658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58"/>
      <c r="AB366" s="658"/>
      <c r="AC366" s="658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56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59.58814814814815</v>
      </c>
      <c r="BN367" s="64">
        <f>IFERROR(Y367*I367/H367,"0")</f>
        <v>60.332999999999991</v>
      </c>
      <c r="BO367" s="64">
        <f>IFERROR(1/J367*(X367/H367),"0")</f>
        <v>0.1080246913580247</v>
      </c>
      <c r="BP367" s="64">
        <f>IFERROR(1/J367*(Y367/H367),"0")</f>
        <v>0.109375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4.1999999999999993</v>
      </c>
      <c r="Y368" s="666">
        <f>IFERROR(IF(X368="",0,CEILING((X368/$H368),1)*$H368),"")</f>
        <v>4.2</v>
      </c>
      <c r="Z368" s="36">
        <f>IFERROR(IF(Y368=0,"",ROUNDUP(Y368/H368,0)*0.00651),"")</f>
        <v>1.302E-2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4.7039999999999988</v>
      </c>
      <c r="BN368" s="64">
        <f>IFERROR(Y368*I368/H368,"0")</f>
        <v>4.7039999999999997</v>
      </c>
      <c r="BO368" s="64">
        <f>IFERROR(1/J368*(X368/H368),"0")</f>
        <v>1.0989010989010988E-2</v>
      </c>
      <c r="BP368" s="64">
        <f>IFERROR(1/J368*(Y368/H368),"0")</f>
        <v>1.098901098901099E-2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4.1999999999999993</v>
      </c>
      <c r="Y369" s="666">
        <f>IFERROR(IF(X369="",0,CEILING((X369/$H369),1)*$H369),"")</f>
        <v>4.2</v>
      </c>
      <c r="Z369" s="36">
        <f>IFERROR(IF(Y369=0,"",ROUNDUP(Y369/H369,0)*0.00651),"")</f>
        <v>1.302E-2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4.6799999999999988</v>
      </c>
      <c r="BN369" s="64">
        <f>IFERROR(Y369*I369/H369,"0")</f>
        <v>4.68</v>
      </c>
      <c r="BO369" s="64">
        <f>IFERROR(1/J369*(X369/H369),"0")</f>
        <v>1.0989010989010988E-2</v>
      </c>
      <c r="BP369" s="64">
        <f>IFERROR(1/J369*(Y369/H369),"0")</f>
        <v>1.098901098901099E-2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10.913580246913581</v>
      </c>
      <c r="Y370" s="667">
        <f>IFERROR(Y367/H367,"0")+IFERROR(Y368/H368,"0")+IFERROR(Y369/H369,"0")</f>
        <v>11</v>
      </c>
      <c r="Z370" s="667">
        <f>IFERROR(IF(Z367="",0,Z367),"0")+IFERROR(IF(Z368="",0,Z368),"0")+IFERROR(IF(Z369="",0,Z369),"0")</f>
        <v>0.15890000000000001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64.400000000000006</v>
      </c>
      <c r="Y371" s="667">
        <f>IFERROR(SUM(Y367:Y369),"0")</f>
        <v>65.099999999999994</v>
      </c>
      <c r="Z371" s="37"/>
      <c r="AA371" s="668"/>
      <c r="AB371" s="668"/>
      <c r="AC371" s="668"/>
    </row>
    <row r="372" spans="1:68" ht="27.75" hidden="1" customHeight="1" x14ac:dyDescent="0.2">
      <c r="A372" s="813" t="s">
        <v>577</v>
      </c>
      <c r="B372" s="814"/>
      <c r="C372" s="814"/>
      <c r="D372" s="814"/>
      <c r="E372" s="814"/>
      <c r="F372" s="814"/>
      <c r="G372" s="814"/>
      <c r="H372" s="814"/>
      <c r="I372" s="814"/>
      <c r="J372" s="814"/>
      <c r="K372" s="814"/>
      <c r="L372" s="814"/>
      <c r="M372" s="814"/>
      <c r="N372" s="814"/>
      <c r="O372" s="814"/>
      <c r="P372" s="814"/>
      <c r="Q372" s="814"/>
      <c r="R372" s="814"/>
      <c r="S372" s="814"/>
      <c r="T372" s="814"/>
      <c r="U372" s="814"/>
      <c r="V372" s="814"/>
      <c r="W372" s="814"/>
      <c r="X372" s="814"/>
      <c r="Y372" s="814"/>
      <c r="Z372" s="814"/>
      <c r="AA372" s="48"/>
      <c r="AB372" s="48"/>
      <c r="AC372" s="48"/>
    </row>
    <row r="373" spans="1:68" ht="16.5" hidden="1" customHeight="1" x14ac:dyDescent="0.25">
      <c r="A373" s="717" t="s">
        <v>578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2" t="s">
        <v>90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58"/>
      <c r="AB374" s="658"/>
      <c r="AC374" s="658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30</v>
      </c>
      <c r="Y376" s="666">
        <f t="shared" si="52"/>
        <v>30</v>
      </c>
      <c r="Z376" s="36">
        <f>IFERROR(IF(Y376=0,"",ROUNDUP(Y376/H376,0)*0.02175),"")</f>
        <v>4.3499999999999997E-2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30.96</v>
      </c>
      <c r="BN376" s="64">
        <f t="shared" si="54"/>
        <v>30.96</v>
      </c>
      <c r="BO376" s="64">
        <f t="shared" si="55"/>
        <v>4.1666666666666664E-2</v>
      </c>
      <c r="BP376" s="64">
        <f t="shared" si="56"/>
        <v>4.1666666666666664E-2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9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100</v>
      </c>
      <c r="Y378" s="666">
        <f t="shared" si="52"/>
        <v>105</v>
      </c>
      <c r="Z378" s="36">
        <f>IFERROR(IF(Y378=0,"",ROUNDUP(Y378/H378,0)*0.02175),"")</f>
        <v>0.15225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103.2</v>
      </c>
      <c r="BN378" s="64">
        <f t="shared" si="54"/>
        <v>108.36</v>
      </c>
      <c r="BO378" s="64">
        <f t="shared" si="55"/>
        <v>0.1388888888888889</v>
      </c>
      <c r="BP378" s="64">
        <f t="shared" si="56"/>
        <v>0.14583333333333331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220</v>
      </c>
      <c r="Y379" s="666">
        <f t="shared" si="52"/>
        <v>225</v>
      </c>
      <c r="Z379" s="36">
        <f>IFERROR(IF(Y379=0,"",ROUNDUP(Y379/H379,0)*0.02175),"")</f>
        <v>0.32624999999999998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227.04</v>
      </c>
      <c r="BN379" s="64">
        <f t="shared" si="54"/>
        <v>232.2</v>
      </c>
      <c r="BO379" s="64">
        <f t="shared" si="55"/>
        <v>0.30555555555555552</v>
      </c>
      <c r="BP379" s="64">
        <f t="shared" si="56"/>
        <v>0.3125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hidden="1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4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23.333333333333336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0.52200000000000002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350</v>
      </c>
      <c r="Y386" s="667">
        <f>IFERROR(SUM(Y375:Y384),"0")</f>
        <v>360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58"/>
      <c r="AB387" s="658"/>
      <c r="AC387" s="658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250</v>
      </c>
      <c r="Y388" s="666">
        <f>IFERROR(IF(X388="",0,CEILING((X388/$H388),1)*$H388),"")</f>
        <v>255</v>
      </c>
      <c r="Z388" s="36">
        <f>IFERROR(IF(Y388=0,"",ROUNDUP(Y388/H388,0)*0.02175),"")</f>
        <v>0.36974999999999997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258</v>
      </c>
      <c r="BN388" s="64">
        <f>IFERROR(Y388*I388/H388,"0")</f>
        <v>263.16000000000003</v>
      </c>
      <c r="BO388" s="64">
        <f>IFERROR(1/J388*(X388/H388),"0")</f>
        <v>0.34722222222222221</v>
      </c>
      <c r="BP388" s="64">
        <f>IFERROR(1/J388*(Y388/H388),"0")</f>
        <v>0.35416666666666663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16.666666666666668</v>
      </c>
      <c r="Y390" s="667">
        <f>IFERROR(Y388/H388,"0")+IFERROR(Y389/H389,"0")</f>
        <v>17</v>
      </c>
      <c r="Z390" s="667">
        <f>IFERROR(IF(Z388="",0,Z388),"0")+IFERROR(IF(Z389="",0,Z389),"0")</f>
        <v>0.36974999999999997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250</v>
      </c>
      <c r="Y391" s="667">
        <f>IFERROR(SUM(Y388:Y389),"0")</f>
        <v>255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58"/>
      <c r="AB392" s="658"/>
      <c r="AC392" s="658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2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58"/>
      <c r="AB397" s="658"/>
      <c r="AC397" s="658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7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7" t="s">
        <v>619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2" t="s">
        <v>90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8"/>
      <c r="AB402" s="658"/>
      <c r="AC402" s="658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52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7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9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8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79"/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80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79"/>
      <c r="C411" s="679"/>
      <c r="D411" s="679"/>
      <c r="E411" s="679"/>
      <c r="F411" s="679"/>
      <c r="G411" s="679"/>
      <c r="H411" s="679"/>
      <c r="I411" s="679"/>
      <c r="J411" s="679"/>
      <c r="K411" s="679"/>
      <c r="L411" s="679"/>
      <c r="M411" s="679"/>
      <c r="N411" s="679"/>
      <c r="O411" s="679"/>
      <c r="P411" s="679"/>
      <c r="Q411" s="679"/>
      <c r="R411" s="679"/>
      <c r="S411" s="679"/>
      <c r="T411" s="679"/>
      <c r="U411" s="679"/>
      <c r="V411" s="679"/>
      <c r="W411" s="679"/>
      <c r="X411" s="679"/>
      <c r="Y411" s="679"/>
      <c r="Z411" s="679"/>
      <c r="AA411" s="658"/>
      <c r="AB411" s="658"/>
      <c r="AC411" s="658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18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8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79"/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80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79"/>
      <c r="P416" s="679"/>
      <c r="Q416" s="679"/>
      <c r="R416" s="679"/>
      <c r="S416" s="679"/>
      <c r="T416" s="679"/>
      <c r="U416" s="679"/>
      <c r="V416" s="679"/>
      <c r="W416" s="679"/>
      <c r="X416" s="679"/>
      <c r="Y416" s="679"/>
      <c r="Z416" s="679"/>
      <c r="AA416" s="658"/>
      <c r="AB416" s="658"/>
      <c r="AC416" s="658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9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96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8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79"/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80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79"/>
      <c r="C424" s="679"/>
      <c r="D424" s="679"/>
      <c r="E424" s="679"/>
      <c r="F424" s="679"/>
      <c r="G424" s="679"/>
      <c r="H424" s="679"/>
      <c r="I424" s="679"/>
      <c r="J424" s="679"/>
      <c r="K424" s="679"/>
      <c r="L424" s="679"/>
      <c r="M424" s="679"/>
      <c r="N424" s="679"/>
      <c r="O424" s="679"/>
      <c r="P424" s="679"/>
      <c r="Q424" s="679"/>
      <c r="R424" s="679"/>
      <c r="S424" s="679"/>
      <c r="T424" s="679"/>
      <c r="U424" s="679"/>
      <c r="V424" s="679"/>
      <c r="W424" s="679"/>
      <c r="X424" s="679"/>
      <c r="Y424" s="679"/>
      <c r="Z424" s="679"/>
      <c r="AA424" s="658"/>
      <c r="AB424" s="658"/>
      <c r="AC424" s="658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8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79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13" t="s">
        <v>658</v>
      </c>
      <c r="B428" s="814"/>
      <c r="C428" s="814"/>
      <c r="D428" s="814"/>
      <c r="E428" s="814"/>
      <c r="F428" s="814"/>
      <c r="G428" s="814"/>
      <c r="H428" s="814"/>
      <c r="I428" s="814"/>
      <c r="J428" s="814"/>
      <c r="K428" s="814"/>
      <c r="L428" s="814"/>
      <c r="M428" s="814"/>
      <c r="N428" s="814"/>
      <c r="O428" s="814"/>
      <c r="P428" s="814"/>
      <c r="Q428" s="814"/>
      <c r="R428" s="814"/>
      <c r="S428" s="814"/>
      <c r="T428" s="814"/>
      <c r="U428" s="814"/>
      <c r="V428" s="814"/>
      <c r="W428" s="814"/>
      <c r="X428" s="814"/>
      <c r="Y428" s="814"/>
      <c r="Z428" s="814"/>
      <c r="AA428" s="48"/>
      <c r="AB428" s="48"/>
      <c r="AC428" s="48"/>
    </row>
    <row r="429" spans="1:68" ht="16.5" hidden="1" customHeight="1" x14ac:dyDescent="0.25">
      <c r="A429" s="717" t="s">
        <v>659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79"/>
      <c r="C430" s="679"/>
      <c r="D430" s="679"/>
      <c r="E430" s="679"/>
      <c r="F430" s="679"/>
      <c r="G430" s="679"/>
      <c r="H430" s="679"/>
      <c r="I430" s="679"/>
      <c r="J430" s="679"/>
      <c r="K430" s="679"/>
      <c r="L430" s="679"/>
      <c r="M430" s="679"/>
      <c r="N430" s="679"/>
      <c r="O430" s="679"/>
      <c r="P430" s="679"/>
      <c r="Q430" s="679"/>
      <c r="R430" s="679"/>
      <c r="S430" s="679"/>
      <c r="T430" s="679"/>
      <c r="U430" s="679"/>
      <c r="V430" s="679"/>
      <c r="W430" s="679"/>
      <c r="X430" s="679"/>
      <c r="Y430" s="679"/>
      <c r="Z430" s="679"/>
      <c r="AA430" s="658"/>
      <c r="AB430" s="658"/>
      <c r="AC430" s="658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8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5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8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79"/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80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79"/>
      <c r="C445" s="679"/>
      <c r="D445" s="679"/>
      <c r="E445" s="679"/>
      <c r="F445" s="679"/>
      <c r="G445" s="679"/>
      <c r="H445" s="679"/>
      <c r="I445" s="679"/>
      <c r="J445" s="679"/>
      <c r="K445" s="679"/>
      <c r="L445" s="679"/>
      <c r="M445" s="679"/>
      <c r="N445" s="679"/>
      <c r="O445" s="679"/>
      <c r="P445" s="679"/>
      <c r="Q445" s="679"/>
      <c r="R445" s="679"/>
      <c r="S445" s="679"/>
      <c r="T445" s="679"/>
      <c r="U445" s="679"/>
      <c r="V445" s="679"/>
      <c r="W445" s="679"/>
      <c r="X445" s="679"/>
      <c r="Y445" s="679"/>
      <c r="Z445" s="679"/>
      <c r="AA445" s="658"/>
      <c r="AB445" s="658"/>
      <c r="AC445" s="658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17" t="s">
        <v>698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79"/>
      <c r="C451" s="679"/>
      <c r="D451" s="679"/>
      <c r="E451" s="679"/>
      <c r="F451" s="679"/>
      <c r="G451" s="679"/>
      <c r="H451" s="679"/>
      <c r="I451" s="679"/>
      <c r="J451" s="679"/>
      <c r="K451" s="679"/>
      <c r="L451" s="679"/>
      <c r="M451" s="679"/>
      <c r="N451" s="679"/>
      <c r="O451" s="679"/>
      <c r="P451" s="679"/>
      <c r="Q451" s="679"/>
      <c r="R451" s="679"/>
      <c r="S451" s="679"/>
      <c r="T451" s="679"/>
      <c r="U451" s="679"/>
      <c r="V451" s="679"/>
      <c r="W451" s="679"/>
      <c r="X451" s="679"/>
      <c r="Y451" s="679"/>
      <c r="Z451" s="679"/>
      <c r="AA451" s="658"/>
      <c r="AB451" s="658"/>
      <c r="AC451" s="658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8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79"/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80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58"/>
      <c r="AB456" s="658"/>
      <c r="AC456" s="658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6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8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79"/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80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17" t="s">
        <v>718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79"/>
      <c r="C464" s="679"/>
      <c r="D464" s="679"/>
      <c r="E464" s="679"/>
      <c r="F464" s="679"/>
      <c r="G464" s="679"/>
      <c r="H464" s="679"/>
      <c r="I464" s="679"/>
      <c r="J464" s="679"/>
      <c r="K464" s="679"/>
      <c r="L464" s="679"/>
      <c r="M464" s="679"/>
      <c r="N464" s="679"/>
      <c r="O464" s="679"/>
      <c r="P464" s="679"/>
      <c r="Q464" s="679"/>
      <c r="R464" s="679"/>
      <c r="S464" s="679"/>
      <c r="T464" s="679"/>
      <c r="U464" s="679"/>
      <c r="V464" s="679"/>
      <c r="W464" s="679"/>
      <c r="X464" s="679"/>
      <c r="Y464" s="679"/>
      <c r="Z464" s="679"/>
      <c r="AA464" s="658"/>
      <c r="AB464" s="658"/>
      <c r="AC464" s="658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3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7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8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79"/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80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17" t="s">
        <v>726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79"/>
      <c r="C470" s="679"/>
      <c r="D470" s="679"/>
      <c r="E470" s="679"/>
      <c r="F470" s="679"/>
      <c r="G470" s="679"/>
      <c r="H470" s="679"/>
      <c r="I470" s="679"/>
      <c r="J470" s="679"/>
      <c r="K470" s="679"/>
      <c r="L470" s="679"/>
      <c r="M470" s="679"/>
      <c r="N470" s="679"/>
      <c r="O470" s="679"/>
      <c r="P470" s="679"/>
      <c r="Q470" s="679"/>
      <c r="R470" s="679"/>
      <c r="S470" s="679"/>
      <c r="T470" s="679"/>
      <c r="U470" s="679"/>
      <c r="V470" s="679"/>
      <c r="W470" s="679"/>
      <c r="X470" s="679"/>
      <c r="Y470" s="679"/>
      <c r="Z470" s="679"/>
      <c r="AA470" s="658"/>
      <c r="AB470" s="658"/>
      <c r="AC470" s="658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58"/>
      <c r="AB474" s="658"/>
      <c r="AC474" s="658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8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79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13" t="s">
        <v>733</v>
      </c>
      <c r="B478" s="814"/>
      <c r="C478" s="814"/>
      <c r="D478" s="814"/>
      <c r="E478" s="814"/>
      <c r="F478" s="814"/>
      <c r="G478" s="814"/>
      <c r="H478" s="814"/>
      <c r="I478" s="814"/>
      <c r="J478" s="814"/>
      <c r="K478" s="814"/>
      <c r="L478" s="814"/>
      <c r="M478" s="814"/>
      <c r="N478" s="814"/>
      <c r="O478" s="814"/>
      <c r="P478" s="814"/>
      <c r="Q478" s="814"/>
      <c r="R478" s="814"/>
      <c r="S478" s="814"/>
      <c r="T478" s="814"/>
      <c r="U478" s="814"/>
      <c r="V478" s="814"/>
      <c r="W478" s="814"/>
      <c r="X478" s="814"/>
      <c r="Y478" s="814"/>
      <c r="Z478" s="814"/>
      <c r="AA478" s="48"/>
      <c r="AB478" s="48"/>
      <c r="AC478" s="48"/>
    </row>
    <row r="479" spans="1:68" ht="16.5" hidden="1" customHeight="1" x14ac:dyDescent="0.25">
      <c r="A479" s="717" t="s">
        <v>733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0"/>
      <c r="AB479" s="660"/>
      <c r="AC479" s="660"/>
    </row>
    <row r="480" spans="1:68" ht="14.25" hidden="1" customHeight="1" x14ac:dyDescent="0.25">
      <c r="A480" s="682" t="s">
        <v>90</v>
      </c>
      <c r="B480" s="679"/>
      <c r="C480" s="679"/>
      <c r="D480" s="679"/>
      <c r="E480" s="679"/>
      <c r="F480" s="679"/>
      <c r="G480" s="679"/>
      <c r="H480" s="679"/>
      <c r="I480" s="679"/>
      <c r="J480" s="679"/>
      <c r="K480" s="679"/>
      <c r="L480" s="679"/>
      <c r="M480" s="679"/>
      <c r="N480" s="679"/>
      <c r="O480" s="679"/>
      <c r="P480" s="679"/>
      <c r="Q480" s="679"/>
      <c r="R480" s="679"/>
      <c r="S480" s="679"/>
      <c r="T480" s="679"/>
      <c r="U480" s="679"/>
      <c r="V480" s="679"/>
      <c r="W480" s="679"/>
      <c r="X480" s="679"/>
      <c r="Y480" s="679"/>
      <c r="Z480" s="679"/>
      <c r="AA480" s="658"/>
      <c r="AB480" s="658"/>
      <c r="AC480" s="658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30</v>
      </c>
      <c r="Y481" s="666">
        <f t="shared" ref="Y481:Y495" si="68">IFERROR(IF(X481="",0,CEILING((X481/$H481),1)*$H481),"")</f>
        <v>31.68</v>
      </c>
      <c r="Z481" s="36">
        <f>IFERROR(IF(Y481=0,"",ROUNDUP(Y481/H481,0)*0.01196),"")</f>
        <v>7.1760000000000004E-2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32.04545454545454</v>
      </c>
      <c r="BN481" s="64">
        <f t="shared" ref="BN481:BN495" si="70">IFERROR(Y481*I481/H481,"0")</f>
        <v>33.839999999999996</v>
      </c>
      <c r="BO481" s="64">
        <f t="shared" ref="BO481:BO495" si="71">IFERROR(1/J481*(X481/H481),"0")</f>
        <v>5.4632867132867136E-2</v>
      </c>
      <c r="BP481" s="64">
        <f t="shared" ref="BP481:BP495" si="72">IFERROR(1/J481*(Y481/H481),"0")</f>
        <v>5.7692307692307696E-2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10</v>
      </c>
      <c r="Y484" s="666">
        <f t="shared" si="68"/>
        <v>10.56</v>
      </c>
      <c r="Z484" s="36">
        <f>IFERROR(IF(Y484=0,"",ROUNDUP(Y484/H484,0)*0.01196),"")</f>
        <v>2.392E-2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10.681818181818182</v>
      </c>
      <c r="BN484" s="64">
        <f t="shared" si="70"/>
        <v>11.28</v>
      </c>
      <c r="BO484" s="64">
        <f t="shared" si="71"/>
        <v>1.8210955710955712E-2</v>
      </c>
      <c r="BP484" s="64">
        <f t="shared" si="72"/>
        <v>1.9230769230769232E-2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13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65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9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9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80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3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7.5757575757575752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9.5680000000000001E-2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40</v>
      </c>
      <c r="Y497" s="667">
        <f>IFERROR(SUM(Y481:Y495),"0")</f>
        <v>42.24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58"/>
      <c r="AB498" s="658"/>
      <c r="AC498" s="658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30</v>
      </c>
      <c r="Y499" s="666">
        <f>IFERROR(IF(X499="",0,CEILING((X499/$H499),1)*$H499),"")</f>
        <v>31.68</v>
      </c>
      <c r="Z499" s="36">
        <f>IFERROR(IF(Y499=0,"",ROUNDUP(Y499/H499,0)*0.01196),"")</f>
        <v>7.1760000000000004E-2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32.04545454545454</v>
      </c>
      <c r="BN499" s="64">
        <f>IFERROR(Y499*I499/H499,"0")</f>
        <v>33.839999999999996</v>
      </c>
      <c r="BO499" s="64">
        <f>IFERROR(1/J499*(X499/H499),"0")</f>
        <v>5.4632867132867136E-2</v>
      </c>
      <c r="BP499" s="64">
        <f>IFERROR(1/J499*(Y499/H499),"0")</f>
        <v>5.7692307692307696E-2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9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5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7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5.6818181818181817</v>
      </c>
      <c r="Y503" s="667">
        <f>IFERROR(Y499/H499,"0")+IFERROR(Y500/H500,"0")+IFERROR(Y501/H501,"0")+IFERROR(Y502/H502,"0")</f>
        <v>6</v>
      </c>
      <c r="Z503" s="667">
        <f>IFERROR(IF(Z499="",0,Z499),"0")+IFERROR(IF(Z500="",0,Z500),"0")+IFERROR(IF(Z501="",0,Z501),"0")+IFERROR(IF(Z502="",0,Z502),"0")</f>
        <v>7.1760000000000004E-2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30</v>
      </c>
      <c r="Y504" s="667">
        <f>IFERROR(SUM(Y499:Y502),"0")</f>
        <v>31.68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58"/>
      <c r="AB505" s="658"/>
      <c r="AC505" s="658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6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3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10</v>
      </c>
      <c r="Y508" s="666">
        <f t="shared" si="73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10.681818181818182</v>
      </c>
      <c r="BN508" s="64">
        <f t="shared" si="75"/>
        <v>11.28</v>
      </c>
      <c r="BO508" s="64">
        <f t="shared" si="76"/>
        <v>1.8210955710955712E-2</v>
      </c>
      <c r="BP508" s="64">
        <f t="shared" si="77"/>
        <v>1.9230769230769232E-2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9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8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3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8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2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1.8939393939393938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2.392E-2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10</v>
      </c>
      <c r="Y519" s="667">
        <f>IFERROR(SUM(Y506:Y517),"0")</f>
        <v>10.56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58"/>
      <c r="AB520" s="658"/>
      <c r="AC520" s="658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1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8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8"/>
      <c r="AB526" s="658"/>
      <c r="AC526" s="658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13" t="s">
        <v>833</v>
      </c>
      <c r="B531" s="814"/>
      <c r="C531" s="814"/>
      <c r="D531" s="814"/>
      <c r="E531" s="814"/>
      <c r="F531" s="814"/>
      <c r="G531" s="814"/>
      <c r="H531" s="814"/>
      <c r="I531" s="814"/>
      <c r="J531" s="814"/>
      <c r="K531" s="814"/>
      <c r="L531" s="814"/>
      <c r="M531" s="814"/>
      <c r="N531" s="814"/>
      <c r="O531" s="814"/>
      <c r="P531" s="814"/>
      <c r="Q531" s="814"/>
      <c r="R531" s="814"/>
      <c r="S531" s="814"/>
      <c r="T531" s="814"/>
      <c r="U531" s="814"/>
      <c r="V531" s="814"/>
      <c r="W531" s="814"/>
      <c r="X531" s="814"/>
      <c r="Y531" s="814"/>
      <c r="Z531" s="814"/>
      <c r="AA531" s="48"/>
      <c r="AB531" s="48"/>
      <c r="AC531" s="48"/>
    </row>
    <row r="532" spans="1:68" ht="16.5" hidden="1" customHeight="1" x14ac:dyDescent="0.25">
      <c r="A532" s="717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2" t="s">
        <v>90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58"/>
      <c r="AB533" s="658"/>
      <c r="AC533" s="658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7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0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8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150</v>
      </c>
      <c r="Y536" s="666">
        <f t="shared" si="78"/>
        <v>156</v>
      </c>
      <c r="Z536" s="36">
        <f>IFERROR(IF(Y536=0,"",ROUNDUP(Y536/H536,0)*0.01898),"")</f>
        <v>0.24674000000000001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155.4375</v>
      </c>
      <c r="BN536" s="64">
        <f t="shared" si="80"/>
        <v>161.655</v>
      </c>
      <c r="BO536" s="64">
        <f t="shared" si="81"/>
        <v>0.1953125</v>
      </c>
      <c r="BP536" s="64">
        <f t="shared" si="82"/>
        <v>0.203125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7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50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12.5</v>
      </c>
      <c r="Y540" s="667">
        <f>IFERROR(Y534/H534,"0")+IFERROR(Y535/H535,"0")+IFERROR(Y536/H536,"0")+IFERROR(Y537/H537,"0")+IFERROR(Y538/H538,"0")+IFERROR(Y539/H539,"0")</f>
        <v>13</v>
      </c>
      <c r="Z540" s="667">
        <f>IFERROR(IF(Z534="",0,Z534),"0")+IFERROR(IF(Z535="",0,Z535),"0")+IFERROR(IF(Z536="",0,Z536),"0")+IFERROR(IF(Z537="",0,Z537),"0")+IFERROR(IF(Z538="",0,Z538),"0")+IFERROR(IF(Z539="",0,Z539),"0")</f>
        <v>0.24674000000000001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150</v>
      </c>
      <c r="Y541" s="667">
        <f>IFERROR(SUM(Y534:Y539),"0")</f>
        <v>156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58"/>
      <c r="AB542" s="658"/>
      <c r="AC542" s="658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6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3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806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58"/>
      <c r="AB550" s="658"/>
      <c r="AC550" s="658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145</v>
      </c>
      <c r="Y551" s="666">
        <f t="shared" ref="Y551:Y557" si="83">IFERROR(IF(X551="",0,CEILING((X551/$H551),1)*$H551),"")</f>
        <v>147</v>
      </c>
      <c r="Z551" s="36">
        <f>IFERROR(IF(Y551=0,"",ROUNDUP(Y551/H551,0)*0.00902),"")</f>
        <v>0.31569999999999998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154.32142857142856</v>
      </c>
      <c r="BN551" s="64">
        <f t="shared" ref="BN551:BN557" si="85">IFERROR(Y551*I551/H551,"0")</f>
        <v>156.44999999999996</v>
      </c>
      <c r="BO551" s="64">
        <f t="shared" ref="BO551:BO557" si="86">IFERROR(1/J551*(X551/H551),"0")</f>
        <v>0.26154401154401158</v>
      </c>
      <c r="BP551" s="64">
        <f t="shared" ref="BP551:BP557" si="87">IFERROR(1/J551*(Y551/H551),"0")</f>
        <v>0.26515151515151514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0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135</v>
      </c>
      <c r="Y552" s="666">
        <f t="shared" si="83"/>
        <v>138.6</v>
      </c>
      <c r="Z552" s="36">
        <f>IFERROR(IF(Y552=0,"",ROUNDUP(Y552/H552,0)*0.00902),"")</f>
        <v>0.29766000000000004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143.67857142857142</v>
      </c>
      <c r="BN552" s="64">
        <f t="shared" si="85"/>
        <v>147.50999999999996</v>
      </c>
      <c r="BO552" s="64">
        <f t="shared" si="86"/>
        <v>0.24350649350649348</v>
      </c>
      <c r="BP552" s="64">
        <f t="shared" si="87"/>
        <v>0.25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9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9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80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8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66.666666666666657</v>
      </c>
      <c r="Y558" s="667">
        <f>IFERROR(Y551/H551,"0")+IFERROR(Y552/H552,"0")+IFERROR(Y553/H553,"0")+IFERROR(Y554/H554,"0")+IFERROR(Y555/H555,"0")+IFERROR(Y556/H556,"0")+IFERROR(Y557/H557,"0")</f>
        <v>68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0.61336000000000002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280</v>
      </c>
      <c r="Y559" s="667">
        <f>IFERROR(SUM(Y551:Y557),"0")</f>
        <v>285.60000000000002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58"/>
      <c r="AB560" s="658"/>
      <c r="AC560" s="658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7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30</v>
      </c>
      <c r="Y561" s="666">
        <f>IFERROR(IF(X561="",0,CEILING((X561/$H561),1)*$H561),"")</f>
        <v>36</v>
      </c>
      <c r="Z561" s="36">
        <f>IFERROR(IF(Y561=0,"",ROUNDUP(Y561/H561,0)*0.01898),"")</f>
        <v>7.5920000000000001E-2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31.73</v>
      </c>
      <c r="BN561" s="64">
        <f>IFERROR(Y561*I561/H561,"0")</f>
        <v>38.076000000000001</v>
      </c>
      <c r="BO561" s="64">
        <f>IFERROR(1/J561*(X561/H561),"0")</f>
        <v>5.2083333333333336E-2</v>
      </c>
      <c r="BP561" s="64">
        <f>IFERROR(1/J561*(Y561/H561),"0")</f>
        <v>6.25E-2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2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4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3.3333333333333335</v>
      </c>
      <c r="Y566" s="667">
        <f>IFERROR(Y561/H561,"0")+IFERROR(Y562/H562,"0")+IFERROR(Y563/H563,"0")+IFERROR(Y564/H564,"0")+IFERROR(Y565/H565,"0")</f>
        <v>4</v>
      </c>
      <c r="Z566" s="667">
        <f>IFERROR(IF(Z561="",0,Z561),"0")+IFERROR(IF(Z562="",0,Z562),"0")+IFERROR(IF(Z563="",0,Z563),"0")+IFERROR(IF(Z564="",0,Z564),"0")+IFERROR(IF(Z565="",0,Z565),"0")</f>
        <v>7.5920000000000001E-2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30</v>
      </c>
      <c r="Y567" s="667">
        <f>IFERROR(SUM(Y561:Y565),"0")</f>
        <v>36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58"/>
      <c r="AB568" s="658"/>
      <c r="AC568" s="658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4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3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7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7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2" t="s">
        <v>90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58"/>
      <c r="AB576" s="658"/>
      <c r="AC576" s="658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58"/>
      <c r="AB580" s="658"/>
      <c r="AC580" s="658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36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58"/>
      <c r="AB584" s="658"/>
      <c r="AC584" s="658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808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58"/>
      <c r="AB588" s="658"/>
      <c r="AC588" s="658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3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71"/>
      <c r="P592" s="834" t="s">
        <v>943</v>
      </c>
      <c r="Q592" s="784"/>
      <c r="R592" s="784"/>
      <c r="S592" s="784"/>
      <c r="T592" s="784"/>
      <c r="U592" s="784"/>
      <c r="V592" s="785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3627.7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3737.1799999999994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71"/>
      <c r="P593" s="834" t="s">
        <v>944</v>
      </c>
      <c r="Q593" s="784"/>
      <c r="R593" s="784"/>
      <c r="S593" s="784"/>
      <c r="T593" s="784"/>
      <c r="U593" s="784"/>
      <c r="V593" s="785"/>
      <c r="W593" s="37" t="s">
        <v>69</v>
      </c>
      <c r="X593" s="667">
        <f>IFERROR(SUM(BM22:BM589),"0")</f>
        <v>3813.8125086210089</v>
      </c>
      <c r="Y593" s="667">
        <f>IFERROR(SUM(BN22:BN589),"0")</f>
        <v>3928.639000000001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71"/>
      <c r="P594" s="834" t="s">
        <v>945</v>
      </c>
      <c r="Q594" s="784"/>
      <c r="R594" s="784"/>
      <c r="S594" s="784"/>
      <c r="T594" s="784"/>
      <c r="U594" s="784"/>
      <c r="V594" s="785"/>
      <c r="W594" s="37" t="s">
        <v>946</v>
      </c>
      <c r="X594" s="38">
        <f>ROUNDUP(SUM(BO22:BO589),0)</f>
        <v>7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71"/>
      <c r="P595" s="834" t="s">
        <v>947</v>
      </c>
      <c r="Q595" s="784"/>
      <c r="R595" s="784"/>
      <c r="S595" s="784"/>
      <c r="T595" s="784"/>
      <c r="U595" s="784"/>
      <c r="V595" s="785"/>
      <c r="W595" s="37" t="s">
        <v>69</v>
      </c>
      <c r="X595" s="667">
        <f>GrossWeightTotal+PalletQtyTotal*25</f>
        <v>3988.8125086210089</v>
      </c>
      <c r="Y595" s="667">
        <f>GrossWeightTotalR+PalletQtyTotalR*25</f>
        <v>4103.639000000001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71"/>
      <c r="P596" s="834" t="s">
        <v>948</v>
      </c>
      <c r="Q596" s="784"/>
      <c r="R596" s="784"/>
      <c r="S596" s="784"/>
      <c r="T596" s="784"/>
      <c r="U596" s="784"/>
      <c r="V596" s="785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480.88011371344697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494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71"/>
      <c r="P597" s="834" t="s">
        <v>949</v>
      </c>
      <c r="Q597" s="784"/>
      <c r="R597" s="784"/>
      <c r="S597" s="784"/>
      <c r="T597" s="784"/>
      <c r="U597" s="784"/>
      <c r="V597" s="785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7.4194700000000013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57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57" t="s">
        <v>733</v>
      </c>
      <c r="AD599" s="676" t="s">
        <v>833</v>
      </c>
      <c r="AE599" s="700"/>
      <c r="AF599" s="659"/>
    </row>
    <row r="600" spans="1:32" ht="14.25" customHeight="1" thickTop="1" x14ac:dyDescent="0.2">
      <c r="A600" s="987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59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59"/>
    </row>
    <row r="601" spans="1:32" ht="13.5" customHeight="1" thickBot="1" x14ac:dyDescent="0.25">
      <c r="A601" s="988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59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59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33.6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695.7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47.400000000000006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35.1</v>
      </c>
      <c r="G602" s="46">
        <f>IFERROR(Y136*1,"0")+IFERROR(Y137*1,"0")+IFERROR(Y141*1,"0")+IFERROR(Y142*1,"0")+IFERROR(Y146*1,"0")+IFERROR(Y147*1,"0")</f>
        <v>12.8</v>
      </c>
      <c r="H602" s="46">
        <f>IFERROR(Y152*1,"0")+IFERROR(Y156*1,"0")+IFERROR(Y157*1,"0")+IFERROR(Y158*1,"0")+IFERROR(Y159*1,"0")+IFERROR(Y163*1,"0")+IFERROR(Y164*1,"0")</f>
        <v>36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7.1999999999999993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172.8</v>
      </c>
      <c r="M602" s="46">
        <f>IFERROR(Y265*1,"0")</f>
        <v>0</v>
      </c>
      <c r="N602" s="659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1454.3999999999999</v>
      </c>
      <c r="V602" s="46">
        <f>IFERROR(Y363*1,"0")+IFERROR(Y367*1,"0")+IFERROR(Y368*1,"0")+IFERROR(Y369*1,"0")</f>
        <v>65.099999999999994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615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84.48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477.6</v>
      </c>
      <c r="AE602" s="46">
        <f>IFERROR(Y577*1,"0")+IFERROR(Y581*1,"0")+IFERROR(Y585*1,"0")+IFERROR(Y589*1,"0")</f>
        <v>0</v>
      </c>
      <c r="AF602" s="659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79"/>
        <filter val="1,89"/>
        <filter val="10,00"/>
        <filter val="10,29"/>
        <filter val="10,50"/>
        <filter val="10,80"/>
        <filter val="10,91"/>
        <filter val="100,00"/>
        <filter val="108,97"/>
        <filter val="110,00"/>
        <filter val="12,00"/>
        <filter val="12,50"/>
        <filter val="120,00"/>
        <filter val="135,00"/>
        <filter val="14,81"/>
        <filter val="145,00"/>
        <filter val="15,00"/>
        <filter val="150,00"/>
        <filter val="16,67"/>
        <filter val="160,00"/>
        <filter val="170,50"/>
        <filter val="2,00"/>
        <filter val="2,25"/>
        <filter val="20,00"/>
        <filter val="200,00"/>
        <filter val="220,00"/>
        <filter val="23,33"/>
        <filter val="245,00"/>
        <filter val="25,80"/>
        <filter val="250,00"/>
        <filter val="28,00"/>
        <filter val="280,00"/>
        <filter val="29,00"/>
        <filter val="3 627,70"/>
        <filter val="3 813,81"/>
        <filter val="3 988,81"/>
        <filter val="3,11"/>
        <filter val="3,33"/>
        <filter val="3,75"/>
        <filter val="3,85"/>
        <filter val="30,00"/>
        <filter val="31,70"/>
        <filter val="32,00"/>
        <filter val="322,00"/>
        <filter val="35,19"/>
        <filter val="350,00"/>
        <filter val="38,00"/>
        <filter val="385,00"/>
        <filter val="4,20"/>
        <filter val="4,85"/>
        <filter val="40,00"/>
        <filter val="43,10"/>
        <filter val="45,00"/>
        <filter val="48,00"/>
        <filter val="480,88"/>
        <filter val="5,10"/>
        <filter val="5,40"/>
        <filter val="5,68"/>
        <filter val="5,71"/>
        <filter val="5,79"/>
        <filter val="50,00"/>
        <filter val="53,15"/>
        <filter val="56,00"/>
        <filter val="64,40"/>
        <filter val="66,67"/>
        <filter val="7"/>
        <filter val="7,50"/>
        <filter val="7,58"/>
        <filter val="8,00"/>
        <filter val="83,00"/>
        <filter val="850,00"/>
        <filter val="9,00"/>
      </filters>
    </filterColumn>
    <filterColumn colId="29" showButton="0"/>
    <filterColumn colId="30" showButton="0"/>
  </autoFilter>
  <mergeCells count="1056">
    <mergeCell ref="T600:T601"/>
    <mergeCell ref="A428:Z428"/>
    <mergeCell ref="P590:V590"/>
    <mergeCell ref="A129:Z129"/>
    <mergeCell ref="D121:E121"/>
    <mergeCell ref="D192:E192"/>
    <mergeCell ref="P296:V296"/>
    <mergeCell ref="D42:E42"/>
    <mergeCell ref="P507:T507"/>
    <mergeCell ref="P363:T363"/>
    <mergeCell ref="P338:T338"/>
    <mergeCell ref="D17:E18"/>
    <mergeCell ref="D344:E344"/>
    <mergeCell ref="A479:Z479"/>
    <mergeCell ref="D471:E471"/>
    <mergeCell ref="D515:E515"/>
    <mergeCell ref="P71:T71"/>
    <mergeCell ref="P534:T534"/>
    <mergeCell ref="P536:T536"/>
    <mergeCell ref="X17:X18"/>
    <mergeCell ref="D123:E123"/>
    <mergeCell ref="P58:T58"/>
    <mergeCell ref="D250:E250"/>
    <mergeCell ref="D50:E50"/>
    <mergeCell ref="P202:T202"/>
    <mergeCell ref="D408:E408"/>
    <mergeCell ref="P174:T174"/>
    <mergeCell ref="D537:E537"/>
    <mergeCell ref="U17:V17"/>
    <mergeCell ref="Y17:Y18"/>
    <mergeCell ref="A266:O267"/>
    <mergeCell ref="D57:E57"/>
    <mergeCell ref="A8:C8"/>
    <mergeCell ref="P124:T124"/>
    <mergeCell ref="P310:V310"/>
    <mergeCell ref="D331:E331"/>
    <mergeCell ref="P447:T447"/>
    <mergeCell ref="AD599:AE599"/>
    <mergeCell ref="P595:V595"/>
    <mergeCell ref="D97:E97"/>
    <mergeCell ref="P138:V138"/>
    <mergeCell ref="P76:V76"/>
    <mergeCell ref="P496:V496"/>
    <mergeCell ref="A10:C10"/>
    <mergeCell ref="P126:T126"/>
    <mergeCell ref="D553:E553"/>
    <mergeCell ref="A566:O567"/>
    <mergeCell ref="P218:T218"/>
    <mergeCell ref="P311:V311"/>
    <mergeCell ref="A21:Z21"/>
    <mergeCell ref="D458:E458"/>
    <mergeCell ref="P368:T368"/>
    <mergeCell ref="A362:Z362"/>
    <mergeCell ref="A245:Z245"/>
    <mergeCell ref="P43:V43"/>
    <mergeCell ref="D237:E237"/>
    <mergeCell ref="P25:T25"/>
    <mergeCell ref="P383:T383"/>
    <mergeCell ref="D522:E522"/>
    <mergeCell ref="D571:E571"/>
    <mergeCell ref="P60:T60"/>
    <mergeCell ref="D552:E552"/>
    <mergeCell ref="A103:Z103"/>
    <mergeCell ref="D95:E95"/>
    <mergeCell ref="P136:T136"/>
    <mergeCell ref="P70:T70"/>
    <mergeCell ref="P305:V305"/>
    <mergeCell ref="P434:T434"/>
    <mergeCell ref="P499:T499"/>
    <mergeCell ref="D336:E336"/>
    <mergeCell ref="D407:E407"/>
    <mergeCell ref="Q6:R6"/>
    <mergeCell ref="A385:O386"/>
    <mergeCell ref="P436:T436"/>
    <mergeCell ref="A251:O252"/>
    <mergeCell ref="A422:O423"/>
    <mergeCell ref="P528:T528"/>
    <mergeCell ref="A33:Z33"/>
    <mergeCell ref="D25:E25"/>
    <mergeCell ref="D196:E196"/>
    <mergeCell ref="A269:Z269"/>
    <mergeCell ref="P294:T294"/>
    <mergeCell ref="P443:V443"/>
    <mergeCell ref="P210:V210"/>
    <mergeCell ref="P510:T510"/>
    <mergeCell ref="P160:V160"/>
    <mergeCell ref="P427:V427"/>
    <mergeCell ref="P283:V283"/>
    <mergeCell ref="D483:E483"/>
    <mergeCell ref="D271:E271"/>
    <mergeCell ref="V12:W12"/>
    <mergeCell ref="A28:Z28"/>
    <mergeCell ref="P519:V519"/>
    <mergeCell ref="D191:E191"/>
    <mergeCell ref="P319:T319"/>
    <mergeCell ref="D433:E433"/>
    <mergeCell ref="P422:V422"/>
    <mergeCell ref="P593:V593"/>
    <mergeCell ref="P587:V587"/>
    <mergeCell ref="P68:V68"/>
    <mergeCell ref="P239:V239"/>
    <mergeCell ref="A101:O102"/>
    <mergeCell ref="P439:T439"/>
    <mergeCell ref="P433:T433"/>
    <mergeCell ref="D105:E105"/>
    <mergeCell ref="P353:V353"/>
    <mergeCell ref="P524:V524"/>
    <mergeCell ref="D547:E547"/>
    <mergeCell ref="D170:E170"/>
    <mergeCell ref="P132:V132"/>
    <mergeCell ref="N17:N18"/>
    <mergeCell ref="D49:E49"/>
    <mergeCell ref="Q5:R5"/>
    <mergeCell ref="D120:E120"/>
    <mergeCell ref="F17:F18"/>
    <mergeCell ref="P72:T72"/>
    <mergeCell ref="D242:E242"/>
    <mergeCell ref="D577:E577"/>
    <mergeCell ref="P435:T435"/>
    <mergeCell ref="D107:E107"/>
    <mergeCell ref="D163:E163"/>
    <mergeCell ref="D278:E278"/>
    <mergeCell ref="D234:E234"/>
    <mergeCell ref="D405:E405"/>
    <mergeCell ref="A478:Z478"/>
    <mergeCell ref="P484:T484"/>
    <mergeCell ref="P65:T65"/>
    <mergeCell ref="P589:T589"/>
    <mergeCell ref="AD17:AF18"/>
    <mergeCell ref="A39:O40"/>
    <mergeCell ref="A310:O311"/>
    <mergeCell ref="D570:E570"/>
    <mergeCell ref="P574:V574"/>
    <mergeCell ref="V600:V601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152:E152"/>
    <mergeCell ref="D323:E323"/>
    <mergeCell ref="D394:E394"/>
    <mergeCell ref="D279:E279"/>
    <mergeCell ref="D521:E521"/>
    <mergeCell ref="A254:Z254"/>
    <mergeCell ref="P2:W3"/>
    <mergeCell ref="D589:E589"/>
    <mergeCell ref="D437:E437"/>
    <mergeCell ref="D241:E241"/>
    <mergeCell ref="P369:T369"/>
    <mergeCell ref="D508:E508"/>
    <mergeCell ref="D539:E539"/>
    <mergeCell ref="D35:E35"/>
    <mergeCell ref="P418:T418"/>
    <mergeCell ref="P412:T412"/>
    <mergeCell ref="D404:E404"/>
    <mergeCell ref="A289:Z289"/>
    <mergeCell ref="D10:E10"/>
    <mergeCell ref="P64:T64"/>
    <mergeCell ref="F10:G10"/>
    <mergeCell ref="P191:T191"/>
    <mergeCell ref="D562:E562"/>
    <mergeCell ref="A115:O116"/>
    <mergeCell ref="D544:E544"/>
    <mergeCell ref="D99:E99"/>
    <mergeCell ref="D270:E270"/>
    <mergeCell ref="P349:T349"/>
    <mergeCell ref="P420:T420"/>
    <mergeCell ref="D528:E528"/>
    <mergeCell ref="P121:T121"/>
    <mergeCell ref="P181:T181"/>
    <mergeCell ref="P357:T357"/>
    <mergeCell ref="D29:E29"/>
    <mergeCell ref="D23:E23"/>
    <mergeCell ref="D216:E216"/>
    <mergeCell ref="D265:E265"/>
    <mergeCell ref="P344:T344"/>
    <mergeCell ref="M17:M18"/>
    <mergeCell ref="A531:Z531"/>
    <mergeCell ref="O17:O18"/>
    <mergeCell ref="P336:T336"/>
    <mergeCell ref="A469:Z469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185:Z185"/>
    <mergeCell ref="P196:T196"/>
    <mergeCell ref="A600:A601"/>
    <mergeCell ref="D177:E177"/>
    <mergeCell ref="P287:V287"/>
    <mergeCell ref="A312:Z312"/>
    <mergeCell ref="P414:V414"/>
    <mergeCell ref="D164:E164"/>
    <mergeCell ref="P592:V592"/>
    <mergeCell ref="S600:S601"/>
    <mergeCell ref="A20:Z20"/>
    <mergeCell ref="P300:V300"/>
    <mergeCell ref="P371:V371"/>
    <mergeCell ref="A318:Z318"/>
    <mergeCell ref="D452:E452"/>
    <mergeCell ref="P515:T515"/>
    <mergeCell ref="P123:T123"/>
    <mergeCell ref="U600:U601"/>
    <mergeCell ref="P529:V529"/>
    <mergeCell ref="D22:E22"/>
    <mergeCell ref="A284:Z284"/>
    <mergeCell ref="D320:E320"/>
    <mergeCell ref="D447:E447"/>
    <mergeCell ref="A127:O128"/>
    <mergeCell ref="P426:V426"/>
    <mergeCell ref="A520:Z520"/>
    <mergeCell ref="P178:T178"/>
    <mergeCell ref="P105:T105"/>
    <mergeCell ref="P547:T547"/>
    <mergeCell ref="D86:E86"/>
    <mergeCell ref="P214:T214"/>
    <mergeCell ref="D257:E257"/>
    <mergeCell ref="D213:E213"/>
    <mergeCell ref="P270:T270"/>
    <mergeCell ref="D384:E384"/>
    <mergeCell ref="K600:K601"/>
    <mergeCell ref="M600:M601"/>
    <mergeCell ref="P577:T577"/>
    <mergeCell ref="P49:T49"/>
    <mergeCell ref="P36:T36"/>
    <mergeCell ref="P107:T107"/>
    <mergeCell ref="P278:T278"/>
    <mergeCell ref="D321:E321"/>
    <mergeCell ref="D215:E215"/>
    <mergeCell ref="P465:T465"/>
    <mergeCell ref="P194:V194"/>
    <mergeCell ref="A426:O427"/>
    <mergeCell ref="A364:O365"/>
    <mergeCell ref="D513:E513"/>
    <mergeCell ref="A317:Z317"/>
    <mergeCell ref="D557:E557"/>
    <mergeCell ref="P48:T48"/>
    <mergeCell ref="D436:E436"/>
    <mergeCell ref="A305:O306"/>
    <mergeCell ref="A476:O477"/>
    <mergeCell ref="A243:O244"/>
    <mergeCell ref="P490:T490"/>
    <mergeCell ref="D534:E534"/>
    <mergeCell ref="P262:V262"/>
    <mergeCell ref="A9:C9"/>
    <mergeCell ref="P125:T125"/>
    <mergeCell ref="P321:T321"/>
    <mergeCell ref="D202:E202"/>
    <mergeCell ref="P557:T557"/>
    <mergeCell ref="D58:E58"/>
    <mergeCell ref="P112:T112"/>
    <mergeCell ref="A302:Z302"/>
    <mergeCell ref="D500:E500"/>
    <mergeCell ref="D294:E294"/>
    <mergeCell ref="P273:V273"/>
    <mergeCell ref="A298:Z298"/>
    <mergeCell ref="P323:T323"/>
    <mergeCell ref="D231:E231"/>
    <mergeCell ref="P39:V39"/>
    <mergeCell ref="D358:E358"/>
    <mergeCell ref="A91:Z91"/>
    <mergeCell ref="A327:Z327"/>
    <mergeCell ref="P116:V116"/>
    <mergeCell ref="Q13:R13"/>
    <mergeCell ref="A155:Z155"/>
    <mergeCell ref="A293:Z293"/>
    <mergeCell ref="P201:T201"/>
    <mergeCell ref="D389:E389"/>
    <mergeCell ref="P184:V184"/>
    <mergeCell ref="D314:E314"/>
    <mergeCell ref="AE600:AE601"/>
    <mergeCell ref="P171:V171"/>
    <mergeCell ref="A167:Z167"/>
    <mergeCell ref="D159:E159"/>
    <mergeCell ref="D80:E80"/>
    <mergeCell ref="A505:Z505"/>
    <mergeCell ref="A169:Z169"/>
    <mergeCell ref="P551:T551"/>
    <mergeCell ref="D459:E459"/>
    <mergeCell ref="P148:V148"/>
    <mergeCell ref="P59:T59"/>
    <mergeCell ref="A532:Z532"/>
    <mergeCell ref="P130:T130"/>
    <mergeCell ref="D136:E136"/>
    <mergeCell ref="D434:E434"/>
    <mergeCell ref="P488:T488"/>
    <mergeCell ref="D225:E225"/>
    <mergeCell ref="A399:O400"/>
    <mergeCell ref="P555:T555"/>
    <mergeCell ref="P573:V573"/>
    <mergeCell ref="P176:T176"/>
    <mergeCell ref="W599:X599"/>
    <mergeCell ref="P114:T114"/>
    <mergeCell ref="P241:T241"/>
    <mergeCell ref="P483:T483"/>
    <mergeCell ref="P421:T421"/>
    <mergeCell ref="A348:Z348"/>
    <mergeCell ref="P408:T408"/>
    <mergeCell ref="D218:E218"/>
    <mergeCell ref="A249:Z249"/>
    <mergeCell ref="H5:M5"/>
    <mergeCell ref="P31:V31"/>
    <mergeCell ref="A56:Z56"/>
    <mergeCell ref="P473:V473"/>
    <mergeCell ref="J600:J601"/>
    <mergeCell ref="P98:T98"/>
    <mergeCell ref="L600:L601"/>
    <mergeCell ref="D212:E212"/>
    <mergeCell ref="D146:E146"/>
    <mergeCell ref="P225:T225"/>
    <mergeCell ref="A285:Z285"/>
    <mergeCell ref="D6:M6"/>
    <mergeCell ref="D439:E439"/>
    <mergeCell ref="A456:Z456"/>
    <mergeCell ref="D304:E304"/>
    <mergeCell ref="D510:E510"/>
    <mergeCell ref="P175:T175"/>
    <mergeCell ref="P266:V266"/>
    <mergeCell ref="A85:Z85"/>
    <mergeCell ref="P460:T460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475:T475"/>
    <mergeCell ref="P93:T93"/>
    <mergeCell ref="D481:E481"/>
    <mergeCell ref="V6:W9"/>
    <mergeCell ref="P256:T256"/>
    <mergeCell ref="P38:T38"/>
    <mergeCell ref="P554:T554"/>
    <mergeCell ref="D435:E435"/>
    <mergeCell ref="D186:E186"/>
    <mergeCell ref="D413:E413"/>
    <mergeCell ref="D217:E217"/>
    <mergeCell ref="A226:O227"/>
    <mergeCell ref="P345:T345"/>
    <mergeCell ref="D484:E484"/>
    <mergeCell ref="P22:T22"/>
    <mergeCell ref="D65:E65"/>
    <mergeCell ref="P320:T320"/>
    <mergeCell ref="A580:Z580"/>
    <mergeCell ref="P314:T314"/>
    <mergeCell ref="P257:T257"/>
    <mergeCell ref="P54:V54"/>
    <mergeCell ref="P80:T80"/>
    <mergeCell ref="Z17:Z18"/>
    <mergeCell ref="A41:Z41"/>
    <mergeCell ref="D446:E446"/>
    <mergeCell ref="P44:V44"/>
    <mergeCell ref="A575:Z575"/>
    <mergeCell ref="D367:E367"/>
    <mergeCell ref="P164:T164"/>
    <mergeCell ref="D207:E207"/>
    <mergeCell ref="D256:E256"/>
    <mergeCell ref="P335:T335"/>
    <mergeCell ref="D383:E383"/>
    <mergeCell ref="D299:E299"/>
    <mergeCell ref="A401:Z401"/>
    <mergeCell ref="Y599:AB599"/>
    <mergeCell ref="D181:E181"/>
    <mergeCell ref="A578:O579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H10:M10"/>
    <mergeCell ref="AA17:AA18"/>
    <mergeCell ref="A135:Z135"/>
    <mergeCell ref="AC17:AC18"/>
    <mergeCell ref="P212:T212"/>
    <mergeCell ref="P485:T485"/>
    <mergeCell ref="P101:V101"/>
    <mergeCell ref="A409:O410"/>
    <mergeCell ref="P108:T108"/>
    <mergeCell ref="P279:T279"/>
    <mergeCell ref="D393:E393"/>
    <mergeCell ref="D418:E418"/>
    <mergeCell ref="P209:V209"/>
    <mergeCell ref="P512:T512"/>
    <mergeCell ref="P487:T487"/>
    <mergeCell ref="P343:T343"/>
    <mergeCell ref="D420:E420"/>
    <mergeCell ref="AB17:AB18"/>
    <mergeCell ref="P476:V476"/>
    <mergeCell ref="P35:T35"/>
    <mergeCell ref="A211:Z211"/>
    <mergeCell ref="P393:T393"/>
    <mergeCell ref="P564:T564"/>
    <mergeCell ref="D203:E203"/>
    <mergeCell ref="P165:V165"/>
    <mergeCell ref="P549:V549"/>
    <mergeCell ref="P232:T232"/>
    <mergeCell ref="P30:V30"/>
    <mergeCell ref="P159:T159"/>
    <mergeCell ref="P330:T330"/>
    <mergeCell ref="A275:Z275"/>
    <mergeCell ref="D438:E438"/>
    <mergeCell ref="P517:T517"/>
    <mergeCell ref="D509:E509"/>
    <mergeCell ref="D425:E425"/>
    <mergeCell ref="P96:T96"/>
    <mergeCell ref="H17:H18"/>
    <mergeCell ref="A291:O292"/>
    <mergeCell ref="D204:E204"/>
    <mergeCell ref="P217:T217"/>
    <mergeCell ref="P388:T388"/>
    <mergeCell ref="P459:T459"/>
    <mergeCell ref="D465:E465"/>
    <mergeCell ref="D440:E440"/>
    <mergeCell ref="A518:O519"/>
    <mergeCell ref="D489:E489"/>
    <mergeCell ref="D75:E75"/>
    <mergeCell ref="D206:E206"/>
    <mergeCell ref="P247:V247"/>
    <mergeCell ref="P561:T561"/>
    <mergeCell ref="A529:O530"/>
    <mergeCell ref="G17:G18"/>
    <mergeCell ref="J9:M9"/>
    <mergeCell ref="D112:E112"/>
    <mergeCell ref="P375:T375"/>
    <mergeCell ref="P440:T440"/>
    <mergeCell ref="P446:T446"/>
    <mergeCell ref="P538:T538"/>
    <mergeCell ref="D554:E554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P304:T304"/>
    <mergeCell ref="D114:E114"/>
    <mergeCell ref="D491:E491"/>
    <mergeCell ref="D412:E412"/>
    <mergeCell ref="P391:V391"/>
    <mergeCell ref="A390:O391"/>
    <mergeCell ref="A273:O274"/>
    <mergeCell ref="D64:E64"/>
    <mergeCell ref="P518:V518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13:M13"/>
    <mergeCell ref="P444:V444"/>
    <mergeCell ref="P244:V244"/>
    <mergeCell ref="A69:Z69"/>
    <mergeCell ref="P315:V315"/>
    <mergeCell ref="W600:W601"/>
    <mergeCell ref="Y600:Y601"/>
    <mergeCell ref="A560:Z560"/>
    <mergeCell ref="A15:M15"/>
    <mergeCell ref="A498:Z498"/>
    <mergeCell ref="D48:E48"/>
    <mergeCell ref="A61:O62"/>
    <mergeCell ref="D490:E490"/>
    <mergeCell ref="A359:O360"/>
    <mergeCell ref="P594:V594"/>
    <mergeCell ref="A153:O154"/>
    <mergeCell ref="D125:E125"/>
    <mergeCell ref="P179:T179"/>
    <mergeCell ref="P204:T204"/>
    <mergeCell ref="A264:Z264"/>
    <mergeCell ref="A54:O55"/>
    <mergeCell ref="P207:T207"/>
    <mergeCell ref="A445:Z445"/>
    <mergeCell ref="A372:Z372"/>
    <mergeCell ref="A573:O574"/>
    <mergeCell ref="P172:V172"/>
    <mergeCell ref="P299:T299"/>
    <mergeCell ref="B600:B601"/>
    <mergeCell ref="D600:D601"/>
    <mergeCell ref="P221:V221"/>
    <mergeCell ref="P326:V326"/>
    <mergeCell ref="P386:V386"/>
    <mergeCell ref="D130:E130"/>
    <mergeCell ref="D201:E201"/>
    <mergeCell ref="D335:E335"/>
    <mergeCell ref="P449:V449"/>
    <mergeCell ref="A470:Z470"/>
    <mergeCell ref="X600:X601"/>
    <mergeCell ref="P516:T516"/>
    <mergeCell ref="Z600:Z601"/>
    <mergeCell ref="P543:T543"/>
    <mergeCell ref="D286:E286"/>
    <mergeCell ref="P224:T224"/>
    <mergeCell ref="P24:T24"/>
    <mergeCell ref="P491:T491"/>
    <mergeCell ref="P322:T322"/>
    <mergeCell ref="P260:T260"/>
    <mergeCell ref="D59:E59"/>
    <mergeCell ref="P309:T309"/>
    <mergeCell ref="A63:Z63"/>
    <mergeCell ref="P545:T545"/>
    <mergeCell ref="D178:E178"/>
    <mergeCell ref="P88:T88"/>
    <mergeCell ref="P51:T51"/>
    <mergeCell ref="P461:V461"/>
    <mergeCell ref="P324:T324"/>
    <mergeCell ref="A143:O144"/>
    <mergeCell ref="A584:Z584"/>
    <mergeCell ref="P511:T511"/>
    <mergeCell ref="D555:E555"/>
    <mergeCell ref="P227:V227"/>
    <mergeCell ref="D36:E36"/>
    <mergeCell ref="P525:V525"/>
    <mergeCell ref="P380:T380"/>
    <mergeCell ref="T5:U5"/>
    <mergeCell ref="D119:E119"/>
    <mergeCell ref="V5:W5"/>
    <mergeCell ref="P203:T203"/>
    <mergeCell ref="D246:E246"/>
    <mergeCell ref="D488:E488"/>
    <mergeCell ref="D233:E233"/>
    <mergeCell ref="A295:O296"/>
    <mergeCell ref="D338:E338"/>
    <mergeCell ref="Q8:R8"/>
    <mergeCell ref="P438:T438"/>
    <mergeCell ref="C600:C601"/>
    <mergeCell ref="D419:E419"/>
    <mergeCell ref="D219:E219"/>
    <mergeCell ref="E600:E601"/>
    <mergeCell ref="P83:V83"/>
    <mergeCell ref="P425:T425"/>
    <mergeCell ref="A82:O83"/>
    <mergeCell ref="T6:U9"/>
    <mergeCell ref="Q10:R10"/>
    <mergeCell ref="A30:O31"/>
    <mergeCell ref="A429:Z429"/>
    <mergeCell ref="A315:O316"/>
    <mergeCell ref="D277:E277"/>
    <mergeCell ref="P356:T356"/>
    <mergeCell ref="D564:E564"/>
    <mergeCell ref="D485:E485"/>
    <mergeCell ref="P149:V149"/>
    <mergeCell ref="A145:Z145"/>
    <mergeCell ref="A346:O347"/>
    <mergeCell ref="D137:E137"/>
    <mergeCell ref="P216:T216"/>
    <mergeCell ref="A12:M12"/>
    <mergeCell ref="A424:Z424"/>
    <mergeCell ref="P501:T501"/>
    <mergeCell ref="D487:E487"/>
    <mergeCell ref="A240:Z240"/>
    <mergeCell ref="D343:E343"/>
    <mergeCell ref="A411:Z411"/>
    <mergeCell ref="A416:Z416"/>
    <mergeCell ref="P597:V597"/>
    <mergeCell ref="P74:T74"/>
    <mergeCell ref="P243:V243"/>
    <mergeCell ref="A19:Z19"/>
    <mergeCell ref="A190:Z190"/>
    <mergeCell ref="D182:E182"/>
    <mergeCell ref="A117:Z117"/>
    <mergeCell ref="P292:V292"/>
    <mergeCell ref="A14:M14"/>
    <mergeCell ref="A111:Z111"/>
    <mergeCell ref="A160:O161"/>
    <mergeCell ref="P163:T163"/>
    <mergeCell ref="D280:E280"/>
    <mergeCell ref="D551:E551"/>
    <mergeCell ref="D345:E345"/>
    <mergeCell ref="A480:Z480"/>
    <mergeCell ref="D538:E538"/>
    <mergeCell ref="P385:V385"/>
    <mergeCell ref="P514:T514"/>
    <mergeCell ref="A582:O583"/>
    <mergeCell ref="A586:O587"/>
    <mergeCell ref="P360:V360"/>
    <mergeCell ref="P489:T489"/>
    <mergeCell ref="D74:E74"/>
    <mergeCell ref="P15:T16"/>
    <mergeCell ref="P208:T208"/>
    <mergeCell ref="A132:O133"/>
    <mergeCell ref="A325:O326"/>
    <mergeCell ref="A496:O497"/>
    <mergeCell ref="D352:E352"/>
    <mergeCell ref="P419:T419"/>
    <mergeCell ref="P219:T219"/>
    <mergeCell ref="P23:T23"/>
    <mergeCell ref="P272:T272"/>
    <mergeCell ref="D156:E156"/>
    <mergeCell ref="A340:O341"/>
    <mergeCell ref="D398:E398"/>
    <mergeCell ref="D460:E460"/>
    <mergeCell ref="D569:E569"/>
    <mergeCell ref="P308:T308"/>
    <mergeCell ref="D106:E106"/>
    <mergeCell ref="P544:T544"/>
    <mergeCell ref="D93:E93"/>
    <mergeCell ref="P277:T277"/>
    <mergeCell ref="D220:E220"/>
    <mergeCell ref="P199:V199"/>
    <mergeCell ref="A195:Z195"/>
    <mergeCell ref="A198:O199"/>
    <mergeCell ref="P370:V370"/>
    <mergeCell ref="P122:T122"/>
    <mergeCell ref="P497:V497"/>
    <mergeCell ref="P291:V291"/>
    <mergeCell ref="P288:V288"/>
    <mergeCell ref="D157:E157"/>
    <mergeCell ref="D328:E328"/>
    <mergeCell ref="A253:Z253"/>
    <mergeCell ref="P197:T197"/>
    <mergeCell ref="P351:T351"/>
    <mergeCell ref="P495:T495"/>
    <mergeCell ref="D232:E232"/>
    <mergeCell ref="D403:E403"/>
    <mergeCell ref="P67:V67"/>
    <mergeCell ref="P238:V238"/>
    <mergeCell ref="A263:Z263"/>
    <mergeCell ref="A247:O248"/>
    <mergeCell ref="D38:E38"/>
    <mergeCell ref="A588:Z588"/>
    <mergeCell ref="P82:V82"/>
    <mergeCell ref="A134:Z134"/>
    <mergeCell ref="I599:V599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A138:O139"/>
    <mergeCell ref="P581:T581"/>
    <mergeCell ref="P87:T87"/>
    <mergeCell ref="P600:P601"/>
    <mergeCell ref="D388:E388"/>
    <mergeCell ref="P442:T442"/>
    <mergeCell ref="R600:R601"/>
    <mergeCell ref="A261:O262"/>
    <mergeCell ref="P119:T119"/>
    <mergeCell ref="D546:E546"/>
    <mergeCell ref="P183:V183"/>
    <mergeCell ref="A43:O44"/>
    <mergeCell ref="P246:T246"/>
    <mergeCell ref="P354:V354"/>
    <mergeCell ref="P62:V62"/>
    <mergeCell ref="P133:V133"/>
    <mergeCell ref="P127:V127"/>
    <mergeCell ref="D561:E561"/>
    <mergeCell ref="P198:V198"/>
    <mergeCell ref="P347:V347"/>
    <mergeCell ref="P583:V583"/>
    <mergeCell ref="P406:T406"/>
    <mergeCell ref="D179:E179"/>
    <mergeCell ref="P591:V591"/>
    <mergeCell ref="D337:E337"/>
    <mergeCell ref="P128:V128"/>
    <mergeCell ref="A189:Z189"/>
    <mergeCell ref="P364:V364"/>
    <mergeCell ref="P431:T431"/>
    <mergeCell ref="P493:T493"/>
    <mergeCell ref="D230:E230"/>
    <mergeCell ref="P358:T358"/>
    <mergeCell ref="D339:E339"/>
    <mergeCell ref="A474:Z474"/>
    <mergeCell ref="A548:O549"/>
    <mergeCell ref="P585:T585"/>
    <mergeCell ref="P352:T352"/>
    <mergeCell ref="P523:T523"/>
    <mergeCell ref="D72:E72"/>
    <mergeCell ref="P301:V301"/>
    <mergeCell ref="P295:V295"/>
    <mergeCell ref="D235:E235"/>
    <mergeCell ref="D421:E421"/>
    <mergeCell ref="Q9:R9"/>
    <mergeCell ref="P267:V267"/>
    <mergeCell ref="D255:E255"/>
    <mergeCell ref="A32:Z32"/>
    <mergeCell ref="A303:Z303"/>
    <mergeCell ref="D24:E24"/>
    <mergeCell ref="Q11:R11"/>
    <mergeCell ref="P205:T205"/>
    <mergeCell ref="D260:E260"/>
    <mergeCell ref="D322:E322"/>
    <mergeCell ref="P376:T376"/>
    <mergeCell ref="D309:E309"/>
    <mergeCell ref="D113:E113"/>
    <mergeCell ref="D453:E453"/>
    <mergeCell ref="P180:T180"/>
    <mergeCell ref="P415:V415"/>
    <mergeCell ref="P118:T118"/>
    <mergeCell ref="D545:E545"/>
    <mergeCell ref="A558:O559"/>
    <mergeCell ref="D88:E88"/>
    <mergeCell ref="P142:T142"/>
    <mergeCell ref="D324:E324"/>
    <mergeCell ref="P378:T378"/>
    <mergeCell ref="P403:T403"/>
    <mergeCell ref="P582:V582"/>
    <mergeCell ref="P192:T192"/>
    <mergeCell ref="D100:E100"/>
    <mergeCell ref="P113:T113"/>
    <mergeCell ref="A173:Z173"/>
    <mergeCell ref="P17:T18"/>
    <mergeCell ref="A229:Z229"/>
    <mergeCell ref="A414:O415"/>
    <mergeCell ref="D523:E523"/>
    <mergeCell ref="P250:T250"/>
    <mergeCell ref="P50:T50"/>
    <mergeCell ref="P492:T492"/>
    <mergeCell ref="D158:E158"/>
    <mergeCell ref="P286:T286"/>
    <mergeCell ref="D329:E329"/>
    <mergeCell ref="A402:Z402"/>
    <mergeCell ref="D565:E565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A540:O541"/>
    <mergeCell ref="P546:T546"/>
    <mergeCell ref="P556:T556"/>
    <mergeCell ref="P139:V139"/>
    <mergeCell ref="I17:I18"/>
    <mergeCell ref="D1:F1"/>
    <mergeCell ref="P466:T466"/>
    <mergeCell ref="P572:T572"/>
    <mergeCell ref="A313:Z313"/>
    <mergeCell ref="P47:T47"/>
    <mergeCell ref="P282:V282"/>
    <mergeCell ref="A307:Z307"/>
    <mergeCell ref="P409:V409"/>
    <mergeCell ref="J17:J18"/>
    <mergeCell ref="L17:L18"/>
    <mergeCell ref="P61:V61"/>
    <mergeCell ref="P359:V359"/>
    <mergeCell ref="D511:E511"/>
    <mergeCell ref="P255:T255"/>
    <mergeCell ref="P346:V346"/>
    <mergeCell ref="A342:Z342"/>
    <mergeCell ref="A542:Z542"/>
    <mergeCell ref="A467:O468"/>
    <mergeCell ref="D141:E141"/>
    <mergeCell ref="P481:T481"/>
    <mergeCell ref="D377:E377"/>
    <mergeCell ref="P281:T281"/>
    <mergeCell ref="A6:C6"/>
    <mergeCell ref="D517:E517"/>
    <mergeCell ref="P182:T182"/>
    <mergeCell ref="P102:V102"/>
    <mergeCell ref="Q12:R12"/>
    <mergeCell ref="P280:T280"/>
    <mergeCell ref="A5:C5"/>
    <mergeCell ref="A17:A18"/>
    <mergeCell ref="K17:K18"/>
    <mergeCell ref="C17:C18"/>
    <mergeCell ref="P567:V567"/>
    <mergeCell ref="A592:O597"/>
    <mergeCell ref="A109:O110"/>
    <mergeCell ref="P482:T482"/>
    <mergeCell ref="A332:O333"/>
    <mergeCell ref="P226:V226"/>
    <mergeCell ref="D356:E356"/>
    <mergeCell ref="D527:E527"/>
    <mergeCell ref="A45:Z45"/>
    <mergeCell ref="A387:Z387"/>
    <mergeCell ref="P462:V462"/>
    <mergeCell ref="O600:O601"/>
    <mergeCell ref="Q600:Q601"/>
    <mergeCell ref="P399:V399"/>
    <mergeCell ref="P333:V333"/>
    <mergeCell ref="D272:E272"/>
    <mergeCell ref="P571:T571"/>
    <mergeCell ref="D381:E381"/>
    <mergeCell ref="D514:E514"/>
    <mergeCell ref="D308:E308"/>
    <mergeCell ref="A46:Z46"/>
    <mergeCell ref="F600:F601"/>
    <mergeCell ref="P537:T537"/>
    <mergeCell ref="D87:E87"/>
    <mergeCell ref="P337:T337"/>
    <mergeCell ref="D147:E147"/>
    <mergeCell ref="P188:V188"/>
    <mergeCell ref="A187:O188"/>
    <mergeCell ref="D380:E380"/>
    <mergeCell ref="P508:T508"/>
    <mergeCell ref="D516:E516"/>
    <mergeCell ref="D122:E122"/>
    <mergeCell ref="P407:T407"/>
    <mergeCell ref="D5:E5"/>
    <mergeCell ref="A140:Z140"/>
    <mergeCell ref="A524:O525"/>
    <mergeCell ref="P382:T382"/>
    <mergeCell ref="A238:O239"/>
    <mergeCell ref="P453:T453"/>
    <mergeCell ref="P42:T42"/>
    <mergeCell ref="P553:T553"/>
    <mergeCell ref="D290:E290"/>
    <mergeCell ref="D94:E94"/>
    <mergeCell ref="D417:E417"/>
    <mergeCell ref="P471:T471"/>
    <mergeCell ref="P396:V396"/>
    <mergeCell ref="A392:Z392"/>
    <mergeCell ref="P259:T259"/>
    <mergeCell ref="A395:O396"/>
    <mergeCell ref="D224:E224"/>
    <mergeCell ref="P97:T97"/>
    <mergeCell ref="P230:T230"/>
    <mergeCell ref="P339:T339"/>
    <mergeCell ref="D382:E382"/>
    <mergeCell ref="D37:E37"/>
    <mergeCell ref="D466:E466"/>
    <mergeCell ref="P66:T66"/>
    <mergeCell ref="D9:E9"/>
    <mergeCell ref="P137:T137"/>
    <mergeCell ref="D118:E118"/>
    <mergeCell ref="F9:G9"/>
    <mergeCell ref="P53:T53"/>
    <mergeCell ref="D180:E180"/>
    <mergeCell ref="A183:O184"/>
    <mergeCell ref="P565:T565"/>
    <mergeCell ref="A590:O591"/>
    <mergeCell ref="AB600:AB601"/>
    <mergeCell ref="AD600:AD601"/>
    <mergeCell ref="A228:Z228"/>
    <mergeCell ref="P95:T95"/>
    <mergeCell ref="P530:V530"/>
    <mergeCell ref="A355:Z355"/>
    <mergeCell ref="A526:Z526"/>
    <mergeCell ref="A461:O462"/>
    <mergeCell ref="P331:T331"/>
    <mergeCell ref="P502:T502"/>
    <mergeCell ref="P527:T527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G600:G601"/>
    <mergeCell ref="P154:V154"/>
    <mergeCell ref="A150:Z150"/>
    <mergeCell ref="P325:V325"/>
    <mergeCell ref="I600:I601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P394:T394"/>
    <mergeCell ref="A209:O210"/>
    <mergeCell ref="A450:Z450"/>
    <mergeCell ref="D442:E442"/>
    <mergeCell ref="P521:T521"/>
    <mergeCell ref="D502:E502"/>
    <mergeCell ref="P570:T570"/>
    <mergeCell ref="P29:T29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D585:E585"/>
    <mergeCell ref="D66:E66"/>
    <mergeCell ref="D126:E126"/>
    <mergeCell ref="D197:E197"/>
    <mergeCell ref="P381:T381"/>
    <mergeCell ref="D53:E53"/>
    <mergeCell ref="P552:T552"/>
    <mergeCell ref="D47:E47"/>
    <mergeCell ref="A84:Z84"/>
    <mergeCell ref="D351:E351"/>
    <mergeCell ref="D482:E482"/>
    <mergeCell ref="P395:V395"/>
    <mergeCell ref="P566:V566"/>
    <mergeCell ref="P147:T147"/>
    <mergeCell ref="A193:O194"/>
    <mergeCell ref="W17:W18"/>
    <mergeCell ref="P90:V90"/>
    <mergeCell ref="P261:V261"/>
    <mergeCell ref="P161:V161"/>
    <mergeCell ref="P332:V332"/>
    <mergeCell ref="P503:V503"/>
    <mergeCell ref="P559:V559"/>
    <mergeCell ref="A151:Z151"/>
    <mergeCell ref="P27:V27"/>
    <mergeCell ref="P234:T234"/>
    <mergeCell ref="P563:T563"/>
    <mergeCell ref="P237:T237"/>
    <mergeCell ref="P472:V472"/>
    <mergeCell ref="P158:T158"/>
    <mergeCell ref="P329:T329"/>
    <mergeCell ref="A148:O149"/>
    <mergeCell ref="D406:E406"/>
    <mergeCell ref="P448:V448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P81:T81"/>
    <mergeCell ref="D124:E124"/>
    <mergeCell ref="V10:W10"/>
    <mergeCell ref="P379:T379"/>
    <mergeCell ref="D493:E493"/>
    <mergeCell ref="D431:E431"/>
    <mergeCell ref="P99:T99"/>
    <mergeCell ref="A300:O301"/>
    <mergeCell ref="P170:T170"/>
    <mergeCell ref="P251:V251"/>
    <mergeCell ref="P522:T522"/>
    <mergeCell ref="D432:E432"/>
    <mergeCell ref="D236:E236"/>
    <mergeCell ref="A472:O473"/>
    <mergeCell ref="D92:E92"/>
    <mergeCell ref="P340:V340"/>
    <mergeCell ref="P242:T242"/>
    <mergeCell ref="A361:Z361"/>
    <mergeCell ref="P413:T413"/>
    <mergeCell ref="D205:E205"/>
    <mergeCell ref="D376:E376"/>
    <mergeCell ref="P384:T384"/>
    <mergeCell ref="D572:E572"/>
    <mergeCell ref="AA600:AA601"/>
    <mergeCell ref="D563:E563"/>
    <mergeCell ref="D363:E363"/>
    <mergeCell ref="AC600:AC601"/>
    <mergeCell ref="D357:E357"/>
    <mergeCell ref="R1:T1"/>
    <mergeCell ref="D71:E71"/>
    <mergeCell ref="P586:V586"/>
    <mergeCell ref="P215:T215"/>
    <mergeCell ref="C599:H599"/>
    <mergeCell ref="P115:V115"/>
    <mergeCell ref="A443:O444"/>
    <mergeCell ref="P457:T457"/>
    <mergeCell ref="A503:O504"/>
    <mergeCell ref="P432:T432"/>
    <mergeCell ref="P400:V400"/>
    <mergeCell ref="A89:O90"/>
    <mergeCell ref="D98:E98"/>
    <mergeCell ref="D73:E73"/>
    <mergeCell ref="P77:V77"/>
    <mergeCell ref="P152:T152"/>
    <mergeCell ref="A76:O77"/>
    <mergeCell ref="A282:O283"/>
    <mergeCell ref="A200:Z200"/>
    <mergeCell ref="P166:V166"/>
    <mergeCell ref="P290:T290"/>
    <mergeCell ref="A550:Z550"/>
    <mergeCell ref="P452:T452"/>
    <mergeCell ref="D535:E535"/>
    <mergeCell ref="P79:T79"/>
    <mergeCell ref="D60:E60"/>
    <mergeCell ref="P73:T73"/>
    <mergeCell ref="P437:T437"/>
    <mergeCell ref="H600:H601"/>
    <mergeCell ref="A165:O166"/>
    <mergeCell ref="P231:T231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220:T220"/>
    <mergeCell ref="P562:T562"/>
    <mergeCell ref="D499:E499"/>
    <mergeCell ref="D486:E486"/>
    <mergeCell ref="P86:T86"/>
    <mergeCell ref="A287:O288"/>
    <mergeCell ref="P157:T157"/>
    <mergeCell ref="P213:T213"/>
    <mergeCell ref="P328:T3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