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8F6A4DE-BEFC-4032-A314-C81EDE2498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N176" i="1"/>
  <c r="BM176" i="1"/>
  <c r="Z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41" i="1" l="1"/>
  <c r="BN141" i="1"/>
  <c r="BP164" i="1"/>
  <c r="BN164" i="1"/>
  <c r="Z164" i="1"/>
  <c r="BP215" i="1"/>
  <c r="BN215" i="1"/>
  <c r="Z215" i="1"/>
  <c r="Y248" i="1"/>
  <c r="Y247" i="1"/>
  <c r="BP246" i="1"/>
  <c r="BN246" i="1"/>
  <c r="Z246" i="1"/>
  <c r="Z247" i="1" s="1"/>
  <c r="M602" i="1"/>
  <c r="Y266" i="1"/>
  <c r="BP265" i="1"/>
  <c r="BN265" i="1"/>
  <c r="Z265" i="1"/>
  <c r="Z266" i="1" s="1"/>
  <c r="BP270" i="1"/>
  <c r="BN270" i="1"/>
  <c r="Z270" i="1"/>
  <c r="BP324" i="1"/>
  <c r="BN324" i="1"/>
  <c r="Z324" i="1"/>
  <c r="BP349" i="1"/>
  <c r="BN349" i="1"/>
  <c r="Z349" i="1"/>
  <c r="BP369" i="1"/>
  <c r="BN369" i="1"/>
  <c r="Z369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Z38" i="1"/>
  <c r="BN38" i="1"/>
  <c r="Z53" i="1"/>
  <c r="BN53" i="1"/>
  <c r="Y61" i="1"/>
  <c r="Z71" i="1"/>
  <c r="BN71" i="1"/>
  <c r="Z81" i="1"/>
  <c r="BN81" i="1"/>
  <c r="Z98" i="1"/>
  <c r="BN98" i="1"/>
  <c r="Z113" i="1"/>
  <c r="BN113" i="1"/>
  <c r="Y128" i="1"/>
  <c r="Z120" i="1"/>
  <c r="BN120" i="1"/>
  <c r="Z123" i="1"/>
  <c r="BN123" i="1"/>
  <c r="Z124" i="1"/>
  <c r="BN124" i="1"/>
  <c r="Z141" i="1"/>
  <c r="BP203" i="1"/>
  <c r="BN203" i="1"/>
  <c r="Z203" i="1"/>
  <c r="BP230" i="1"/>
  <c r="BN230" i="1"/>
  <c r="Z230" i="1"/>
  <c r="BP281" i="1"/>
  <c r="BN281" i="1"/>
  <c r="Z281" i="1"/>
  <c r="BP338" i="1"/>
  <c r="BN338" i="1"/>
  <c r="Z338" i="1"/>
  <c r="BP350" i="1"/>
  <c r="BN350" i="1"/>
  <c r="Z350" i="1"/>
  <c r="BP379" i="1"/>
  <c r="BN379" i="1"/>
  <c r="Z379" i="1"/>
  <c r="BP420" i="1"/>
  <c r="BN420" i="1"/>
  <c r="Z420" i="1"/>
  <c r="BP436" i="1"/>
  <c r="BN436" i="1"/>
  <c r="Z436" i="1"/>
  <c r="BP457" i="1"/>
  <c r="BN457" i="1"/>
  <c r="Z457" i="1"/>
  <c r="BP483" i="1"/>
  <c r="BN483" i="1"/>
  <c r="Z483" i="1"/>
  <c r="BP493" i="1"/>
  <c r="BN493" i="1"/>
  <c r="Z493" i="1"/>
  <c r="Y183" i="1"/>
  <c r="J9" i="1"/>
  <c r="BP181" i="1"/>
  <c r="BN181" i="1"/>
  <c r="Z181" i="1"/>
  <c r="BP213" i="1"/>
  <c r="BN213" i="1"/>
  <c r="Z213" i="1"/>
  <c r="BP225" i="1"/>
  <c r="BN225" i="1"/>
  <c r="Z225" i="1"/>
  <c r="BP236" i="1"/>
  <c r="BN236" i="1"/>
  <c r="Z236" i="1"/>
  <c r="BP260" i="1"/>
  <c r="BN260" i="1"/>
  <c r="Z260" i="1"/>
  <c r="BP279" i="1"/>
  <c r="BN279" i="1"/>
  <c r="Z279" i="1"/>
  <c r="BP322" i="1"/>
  <c r="BN322" i="1"/>
  <c r="Z322" i="1"/>
  <c r="BP336" i="1"/>
  <c r="BN336" i="1"/>
  <c r="Z336" i="1"/>
  <c r="V602" i="1"/>
  <c r="Y364" i="1"/>
  <c r="BP363" i="1"/>
  <c r="BN363" i="1"/>
  <c r="Z363" i="1"/>
  <c r="Z364" i="1" s="1"/>
  <c r="Y371" i="1"/>
  <c r="BP367" i="1"/>
  <c r="BN367" i="1"/>
  <c r="Z367" i="1"/>
  <c r="Y370" i="1"/>
  <c r="Y209" i="1"/>
  <c r="BP201" i="1"/>
  <c r="BN201" i="1"/>
  <c r="Z201" i="1"/>
  <c r="F9" i="1"/>
  <c r="F10" i="1"/>
  <c r="Z22" i="1"/>
  <c r="BN22" i="1"/>
  <c r="X596" i="1"/>
  <c r="Z36" i="1"/>
  <c r="BN36" i="1"/>
  <c r="Z42" i="1"/>
  <c r="Z43" i="1" s="1"/>
  <c r="BN42" i="1"/>
  <c r="BP42" i="1"/>
  <c r="Y43" i="1"/>
  <c r="Z47" i="1"/>
  <c r="BN47" i="1"/>
  <c r="Z51" i="1"/>
  <c r="BN51" i="1"/>
  <c r="Z57" i="1"/>
  <c r="BN57" i="1"/>
  <c r="BP57" i="1"/>
  <c r="Z65" i="1"/>
  <c r="BN65" i="1"/>
  <c r="Y77" i="1"/>
  <c r="Z73" i="1"/>
  <c r="BN73" i="1"/>
  <c r="Z79" i="1"/>
  <c r="BN79" i="1"/>
  <c r="BP79" i="1"/>
  <c r="Z86" i="1"/>
  <c r="BN86" i="1"/>
  <c r="Z92" i="1"/>
  <c r="BN92" i="1"/>
  <c r="BP92" i="1"/>
  <c r="Z100" i="1"/>
  <c r="BN100" i="1"/>
  <c r="Z107" i="1"/>
  <c r="BN107" i="1"/>
  <c r="Y115" i="1"/>
  <c r="Z126" i="1"/>
  <c r="BN126" i="1"/>
  <c r="Y132" i="1"/>
  <c r="Z137" i="1"/>
  <c r="BN137" i="1"/>
  <c r="Y143" i="1"/>
  <c r="Z147" i="1"/>
  <c r="BN147" i="1"/>
  <c r="Y160" i="1"/>
  <c r="Z158" i="1"/>
  <c r="BN158" i="1"/>
  <c r="Z170" i="1"/>
  <c r="Z171" i="1" s="1"/>
  <c r="BN170" i="1"/>
  <c r="BP170" i="1"/>
  <c r="Y171" i="1"/>
  <c r="Z174" i="1"/>
  <c r="BN174" i="1"/>
  <c r="BP174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BP256" i="1"/>
  <c r="BN256" i="1"/>
  <c r="Z256" i="1"/>
  <c r="BP272" i="1"/>
  <c r="BN272" i="1"/>
  <c r="Z272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Y332" i="1"/>
  <c r="BP328" i="1"/>
  <c r="BN328" i="1"/>
  <c r="Z328" i="1"/>
  <c r="BP344" i="1"/>
  <c r="BN344" i="1"/>
  <c r="Z344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Y422" i="1"/>
  <c r="BP417" i="1"/>
  <c r="BN417" i="1"/>
  <c r="Z417" i="1"/>
  <c r="BP438" i="1"/>
  <c r="BN438" i="1"/>
  <c r="Z438" i="1"/>
  <c r="AA602" i="1"/>
  <c r="Y467" i="1"/>
  <c r="BP465" i="1"/>
  <c r="BN465" i="1"/>
  <c r="Z465" i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BP352" i="1"/>
  <c r="BN352" i="1"/>
  <c r="Z352" i="1"/>
  <c r="BP356" i="1"/>
  <c r="BN356" i="1"/>
  <c r="Z356" i="1"/>
  <c r="BP377" i="1"/>
  <c r="BN377" i="1"/>
  <c r="Z377" i="1"/>
  <c r="BP389" i="1"/>
  <c r="BN389" i="1"/>
  <c r="Z389" i="1"/>
  <c r="BP407" i="1"/>
  <c r="BN407" i="1"/>
  <c r="Z407" i="1"/>
  <c r="BP418" i="1"/>
  <c r="BN418" i="1"/>
  <c r="Z418" i="1"/>
  <c r="BP441" i="1"/>
  <c r="BN441" i="1"/>
  <c r="Z441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Y354" i="1"/>
  <c r="Y353" i="1"/>
  <c r="Y39" i="1"/>
  <c r="Y27" i="1"/>
  <c r="Y31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Z148" i="1" s="1"/>
  <c r="BP159" i="1"/>
  <c r="BN159" i="1"/>
  <c r="Z159" i="1"/>
  <c r="Y161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BN142" i="1"/>
  <c r="Y148" i="1"/>
  <c r="BP157" i="1"/>
  <c r="BN157" i="1"/>
  <c r="Z157" i="1"/>
  <c r="Z160" i="1" s="1"/>
  <c r="Y165" i="1"/>
  <c r="BP175" i="1"/>
  <c r="BN175" i="1"/>
  <c r="Z175" i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BP351" i="1"/>
  <c r="BN351" i="1"/>
  <c r="Z351" i="1"/>
  <c r="Z353" i="1" s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Z422" i="1" s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96" i="1" l="1"/>
  <c r="Z261" i="1"/>
  <c r="Z209" i="1"/>
  <c r="Z143" i="1"/>
  <c r="Z115" i="1"/>
  <c r="Z67" i="1"/>
  <c r="Z39" i="1"/>
  <c r="Z273" i="1"/>
  <c r="Z226" i="1"/>
  <c r="Z109" i="1"/>
  <c r="Z54" i="1"/>
  <c r="Y594" i="1"/>
  <c r="Y595" i="1" s="1"/>
  <c r="Z26" i="1"/>
  <c r="Z409" i="1"/>
  <c r="Z461" i="1"/>
  <c r="Z385" i="1"/>
  <c r="Z101" i="1"/>
  <c r="Z61" i="1"/>
  <c r="Y593" i="1"/>
  <c r="Z467" i="1"/>
  <c r="Z548" i="1"/>
  <c r="Z518" i="1"/>
  <c r="Z443" i="1"/>
  <c r="Z325" i="1"/>
  <c r="Z346" i="1"/>
  <c r="Z340" i="1"/>
  <c r="Z566" i="1"/>
  <c r="Z524" i="1"/>
  <c r="Z529" i="1"/>
  <c r="Z238" i="1"/>
  <c r="Z183" i="1"/>
  <c r="Z127" i="1"/>
  <c r="Z76" i="1"/>
  <c r="Y596" i="1"/>
  <c r="Z243" i="1"/>
  <c r="Z221" i="1"/>
  <c r="Y592" i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<sst xmlns="http://schemas.openxmlformats.org/spreadsheetml/2006/main" count="2738" uniqueCount="970">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</sst>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45756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Среда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0.45833333333333331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222</v>
      </c>
      <c r="Y35" s="666">
        <f>IFERROR(IF(X35="",0,CEILING((X35/$H35),1)*$H35),"")</f>
        <v>226.8</v>
      </c>
      <c r="Z35" s="36">
        <f>IFERROR(IF(Y35=0,"",ROUNDUP(Y35/H35,0)*0.01898),"")</f>
        <v>0.39857999999999999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230.94166666666666</v>
      </c>
      <c r="BN35" s="64">
        <f>IFERROR(Y35*I35/H35,"0")</f>
        <v>235.93499999999997</v>
      </c>
      <c r="BO35" s="64">
        <f>IFERROR(1/J35*(X35/H35),"0")</f>
        <v>0.32118055555555552</v>
      </c>
      <c r="BP35" s="64">
        <f>IFERROR(1/J35*(Y35/H35),"0")</f>
        <v>0.328125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140</v>
      </c>
      <c r="Y36" s="666">
        <f>IFERROR(IF(X36="",0,CEILING((X36/$H36),1)*$H36),"")</f>
        <v>140</v>
      </c>
      <c r="Z36" s="36">
        <f>IFERROR(IF(Y36=0,"",ROUNDUP(Y36/H36,0)*0.00902),"")</f>
        <v>0.31569999999999998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147.35</v>
      </c>
      <c r="BN36" s="64">
        <f>IFERROR(Y36*I36/H36,"0")</f>
        <v>147.35</v>
      </c>
      <c r="BO36" s="64">
        <f>IFERROR(1/J36*(X36/H36),"0")</f>
        <v>0.26515151515151514</v>
      </c>
      <c r="BP36" s="64">
        <f>IFERROR(1/J36*(Y36/H36),"0")</f>
        <v>0.26515151515151514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55.555555555555557</v>
      </c>
      <c r="Y39" s="667">
        <f>IFERROR(Y35/H35,"0")+IFERROR(Y36/H36,"0")+IFERROR(Y37/H37,"0")+IFERROR(Y38/H38,"0")</f>
        <v>56</v>
      </c>
      <c r="Z39" s="667">
        <f>IFERROR(IF(Z35="",0,Z35),"0")+IFERROR(IF(Z36="",0,Z36),"0")+IFERROR(IF(Z37="",0,Z37),"0")+IFERROR(IF(Z38="",0,Z38),"0")</f>
        <v>0.71428000000000003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362</v>
      </c>
      <c r="Y40" s="667">
        <f>IFERROR(SUM(Y35:Y38),"0")</f>
        <v>366.8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392</v>
      </c>
      <c r="Y48" s="666">
        <f t="shared" si="0"/>
        <v>399.6</v>
      </c>
      <c r="Z48" s="36">
        <f>IFERROR(IF(Y48=0,"",ROUNDUP(Y48/H48,0)*0.01898),"")</f>
        <v>0.70226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407.78888888888883</v>
      </c>
      <c r="BN48" s="64">
        <f t="shared" si="2"/>
        <v>415.69499999999999</v>
      </c>
      <c r="BO48" s="64">
        <f t="shared" si="3"/>
        <v>0.56712962962962954</v>
      </c>
      <c r="BP48" s="64">
        <f t="shared" si="4"/>
        <v>0.578125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339</v>
      </c>
      <c r="Y53" s="666">
        <f t="shared" si="0"/>
        <v>342</v>
      </c>
      <c r="Z53" s="36">
        <f>IFERROR(IF(Y53=0,"",ROUNDUP(Y53/H53,0)*0.00902),"")</f>
        <v>0.68552000000000002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354.82</v>
      </c>
      <c r="BN53" s="64">
        <f t="shared" si="2"/>
        <v>357.96</v>
      </c>
      <c r="BO53" s="64">
        <f t="shared" si="3"/>
        <v>0.57070707070707072</v>
      </c>
      <c r="BP53" s="64">
        <f t="shared" si="4"/>
        <v>0.5757575757575758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111.62962962962962</v>
      </c>
      <c r="Y54" s="667">
        <f>IFERROR(Y47/H47,"0")+IFERROR(Y48/H48,"0")+IFERROR(Y49/H49,"0")+IFERROR(Y50/H50,"0")+IFERROR(Y51/H51,"0")+IFERROR(Y52/H52,"0")+IFERROR(Y53/H53,"0")</f>
        <v>113</v>
      </c>
      <c r="Z54" s="667">
        <f>IFERROR(IF(Z47="",0,Z47),"0")+IFERROR(IF(Z48="",0,Z48),"0")+IFERROR(IF(Z49="",0,Z49),"0")+IFERROR(IF(Z50="",0,Z50),"0")+IFERROR(IF(Z51="",0,Z51),"0")+IFERROR(IF(Z52="",0,Z52),"0")+IFERROR(IF(Z53="",0,Z53),"0")</f>
        <v>1.38778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731</v>
      </c>
      <c r="Y55" s="667">
        <f>IFERROR(SUM(Y47:Y53),"0")</f>
        <v>741.6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132</v>
      </c>
      <c r="Y57" s="666">
        <f>IFERROR(IF(X57="",0,CEILING((X57/$H57),1)*$H57),"")</f>
        <v>140.4</v>
      </c>
      <c r="Z57" s="36">
        <f>IFERROR(IF(Y57=0,"",ROUNDUP(Y57/H57,0)*0.01898),"")</f>
        <v>0.24674000000000001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137.31666666666666</v>
      </c>
      <c r="BN57" s="64">
        <f>IFERROR(Y57*I57/H57,"0")</f>
        <v>146.05499999999998</v>
      </c>
      <c r="BO57" s="64">
        <f>IFERROR(1/J57*(X57/H57),"0")</f>
        <v>0.19097222222222221</v>
      </c>
      <c r="BP57" s="64">
        <f>IFERROR(1/J57*(Y57/H57),"0")</f>
        <v>0.203125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133</v>
      </c>
      <c r="Y60" s="666">
        <f>IFERROR(IF(X60="",0,CEILING((X60/$H60),1)*$H60),"")</f>
        <v>135</v>
      </c>
      <c r="Z60" s="36">
        <f>IFERROR(IF(Y60=0,"",ROUNDUP(Y60/H60,0)*0.00651),"")</f>
        <v>0.32550000000000001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141.86666666666665</v>
      </c>
      <c r="BN60" s="64">
        <f>IFERROR(Y60*I60/H60,"0")</f>
        <v>144</v>
      </c>
      <c r="BO60" s="64">
        <f>IFERROR(1/J60*(X60/H60),"0")</f>
        <v>0.27065527065527067</v>
      </c>
      <c r="BP60" s="64">
        <f>IFERROR(1/J60*(Y60/H60),"0")</f>
        <v>0.27472527472527475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61.481481481481481</v>
      </c>
      <c r="Y61" s="667">
        <f>IFERROR(Y57/H57,"0")+IFERROR(Y58/H58,"0")+IFERROR(Y59/H59,"0")+IFERROR(Y60/H60,"0")</f>
        <v>63</v>
      </c>
      <c r="Z61" s="667">
        <f>IFERROR(IF(Z57="",0,Z57),"0")+IFERROR(IF(Z58="",0,Z58),"0")+IFERROR(IF(Z59="",0,Z59),"0")+IFERROR(IF(Z60="",0,Z60),"0")</f>
        <v>0.57224000000000008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265</v>
      </c>
      <c r="Y62" s="667">
        <f>IFERROR(SUM(Y57:Y60),"0")</f>
        <v>275.39999999999998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194</v>
      </c>
      <c r="Y86" s="666">
        <f>IFERROR(IF(X86="",0,CEILING((X86/$H86),1)*$H86),"")</f>
        <v>194.4</v>
      </c>
      <c r="Z86" s="36">
        <f>IFERROR(IF(Y86=0,"",ROUNDUP(Y86/H86,0)*0.01898),"")</f>
        <v>0.34164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201.81388888888884</v>
      </c>
      <c r="BN86" s="64">
        <f>IFERROR(Y86*I86/H86,"0")</f>
        <v>202.22999999999996</v>
      </c>
      <c r="BO86" s="64">
        <f>IFERROR(1/J86*(X86/H86),"0")</f>
        <v>0.28067129629629628</v>
      </c>
      <c r="BP86" s="64">
        <f>IFERROR(1/J86*(Y86/H86),"0")</f>
        <v>0.28125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228</v>
      </c>
      <c r="Y88" s="666">
        <f>IFERROR(IF(X88="",0,CEILING((X88/$H88),1)*$H88),"")</f>
        <v>229.5</v>
      </c>
      <c r="Z88" s="36">
        <f>IFERROR(IF(Y88=0,"",ROUNDUP(Y88/H88,0)*0.00902),"")</f>
        <v>0.46001999999999998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238.64</v>
      </c>
      <c r="BN88" s="64">
        <f>IFERROR(Y88*I88/H88,"0")</f>
        <v>240.20999999999998</v>
      </c>
      <c r="BO88" s="64">
        <f>IFERROR(1/J88*(X88/H88),"0")</f>
        <v>0.38383838383838381</v>
      </c>
      <c r="BP88" s="64">
        <f>IFERROR(1/J88*(Y88/H88),"0")</f>
        <v>0.38636363636363635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68.629629629629619</v>
      </c>
      <c r="Y89" s="667">
        <f>IFERROR(Y86/H86,"0")+IFERROR(Y87/H87,"0")+IFERROR(Y88/H88,"0")</f>
        <v>69</v>
      </c>
      <c r="Z89" s="667">
        <f>IFERROR(IF(Z86="",0,Z86),"0")+IFERROR(IF(Z87="",0,Z87),"0")+IFERROR(IF(Z88="",0,Z88),"0")</f>
        <v>0.80166000000000004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422</v>
      </c>
      <c r="Y90" s="667">
        <f>IFERROR(SUM(Y86:Y88),"0")</f>
        <v>423.9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17</v>
      </c>
      <c r="Y93" s="666">
        <f t="shared" si="10"/>
        <v>25.200000000000003</v>
      </c>
      <c r="Z93" s="36">
        <f>IFERROR(IF(Y93=0,"",ROUNDUP(Y93/H93,0)*0.01898),"")</f>
        <v>5.6940000000000004E-2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18.050357142857145</v>
      </c>
      <c r="BN93" s="64">
        <f t="shared" si="12"/>
        <v>26.757000000000001</v>
      </c>
      <c r="BO93" s="64">
        <f t="shared" si="13"/>
        <v>3.1622023809523808E-2</v>
      </c>
      <c r="BP93" s="64">
        <f t="shared" si="14"/>
        <v>4.6875E-2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42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65</v>
      </c>
      <c r="Y97" s="666">
        <f t="shared" si="10"/>
        <v>67.5</v>
      </c>
      <c r="Z97" s="36">
        <f>IFERROR(IF(Y97=0,"",ROUNDUP(Y97/H97,0)*0.00651),"")</f>
        <v>0.16275000000000001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71.066666666666663</v>
      </c>
      <c r="BN97" s="64">
        <f t="shared" si="12"/>
        <v>73.8</v>
      </c>
      <c r="BO97" s="64">
        <f t="shared" si="13"/>
        <v>0.13227513227513227</v>
      </c>
      <c r="BP97" s="64">
        <f t="shared" si="14"/>
        <v>0.13736263736263737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44</v>
      </c>
      <c r="Y98" s="666">
        <f t="shared" si="10"/>
        <v>45.54</v>
      </c>
      <c r="Z98" s="36">
        <f>IFERROR(IF(Y98=0,"",ROUNDUP(Y98/H98,0)*0.00651),"")</f>
        <v>0.14973</v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49.733333333333334</v>
      </c>
      <c r="BN98" s="64">
        <f t="shared" si="12"/>
        <v>51.474000000000004</v>
      </c>
      <c r="BO98" s="64">
        <f t="shared" si="13"/>
        <v>0.12210012210012211</v>
      </c>
      <c r="BP98" s="64">
        <f t="shared" si="14"/>
        <v>0.1263736263736264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48.320105820105816</v>
      </c>
      <c r="Y101" s="667">
        <f>IFERROR(Y92/H92,"0")+IFERROR(Y93/H93,"0")+IFERROR(Y94/H94,"0")+IFERROR(Y95/H95,"0")+IFERROR(Y96/H96,"0")+IFERROR(Y97/H97,"0")+IFERROR(Y98/H98,"0")+IFERROR(Y99/H99,"0")+IFERROR(Y100/H100,"0")</f>
        <v>51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0.36941999999999997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126</v>
      </c>
      <c r="Y102" s="667">
        <f>IFERROR(SUM(Y92:Y100),"0")</f>
        <v>138.24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8</v>
      </c>
      <c r="Y105" s="666">
        <f>IFERROR(IF(X105="",0,CEILING((X105/$H105),1)*$H105),"")</f>
        <v>10.8</v>
      </c>
      <c r="Z105" s="36">
        <f>IFERROR(IF(Y105=0,"",ROUNDUP(Y105/H105,0)*0.01898),"")</f>
        <v>1.898E-2</v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8.3222222222222211</v>
      </c>
      <c r="BN105" s="64">
        <f>IFERROR(Y105*I105/H105,"0")</f>
        <v>11.234999999999999</v>
      </c>
      <c r="BO105" s="64">
        <f>IFERROR(1/J105*(X105/H105),"0")</f>
        <v>1.1574074074074073E-2</v>
      </c>
      <c r="BP105" s="64">
        <f>IFERROR(1/J105*(Y105/H105),"0")</f>
        <v>1.5625E-2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79</v>
      </c>
      <c r="Y106" s="666">
        <f>IFERROR(IF(X106="",0,CEILING((X106/$H106),1)*$H106),"")</f>
        <v>82.5</v>
      </c>
      <c r="Z106" s="36">
        <f>IFERROR(IF(Y106=0,"",ROUNDUP(Y106/H106,0)*0.00902),"")</f>
        <v>0.19844000000000001</v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83.423999999999992</v>
      </c>
      <c r="BN106" s="64">
        <f>IFERROR(Y106*I106/H106,"0")</f>
        <v>87.11999999999999</v>
      </c>
      <c r="BO106" s="64">
        <f>IFERROR(1/J106*(X106/H106),"0")</f>
        <v>0.1595959595959596</v>
      </c>
      <c r="BP106" s="64">
        <f>IFERROR(1/J106*(Y106/H106),"0")</f>
        <v>0.16666666666666669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21.807407407407407</v>
      </c>
      <c r="Y109" s="667">
        <f>IFERROR(Y105/H105,"0")+IFERROR(Y106/H106,"0")+IFERROR(Y107/H107,"0")+IFERROR(Y108/H108,"0")</f>
        <v>23</v>
      </c>
      <c r="Z109" s="667">
        <f>IFERROR(IF(Z105="",0,Z105),"0")+IFERROR(IF(Z106="",0,Z106),"0")+IFERROR(IF(Z107="",0,Z107),"0")+IFERROR(IF(Z108="",0,Z108),"0")</f>
        <v>0.21742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87</v>
      </c>
      <c r="Y110" s="667">
        <f>IFERROR(SUM(Y105:Y108),"0")</f>
        <v>93.3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6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23</v>
      </c>
      <c r="Y120" s="666">
        <f t="shared" si="15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24.404642857142857</v>
      </c>
      <c r="BN120" s="64">
        <f t="shared" si="17"/>
        <v>26.739000000000001</v>
      </c>
      <c r="BO120" s="64">
        <f t="shared" si="18"/>
        <v>4.2782738095238096E-2</v>
      </c>
      <c r="BP120" s="64">
        <f t="shared" si="19"/>
        <v>4.6875E-2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122</v>
      </c>
      <c r="Y121" s="666">
        <f t="shared" si="15"/>
        <v>122.76</v>
      </c>
      <c r="Z121" s="36">
        <f t="shared" ref="Z121:Z126" si="20">IFERROR(IF(Y121=0,"",ROUNDUP(Y121/H121,0)*0.00651),"")</f>
        <v>0.40362000000000003</v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137.15757575757576</v>
      </c>
      <c r="BN121" s="64">
        <f t="shared" si="17"/>
        <v>138.012</v>
      </c>
      <c r="BO121" s="64">
        <f t="shared" si="18"/>
        <v>0.33855033855033861</v>
      </c>
      <c r="BP121" s="64">
        <f t="shared" si="19"/>
        <v>0.34065934065934067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79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hidden="1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64.35425685425686</v>
      </c>
      <c r="Y127" s="667">
        <f>IFERROR(Y118/H118,"0")+IFERROR(Y119/H119,"0")+IFERROR(Y120/H120,"0")+IFERROR(Y121/H121,"0")+IFERROR(Y122/H122,"0")+IFERROR(Y123/H123,"0")+IFERROR(Y124/H124,"0")+IFERROR(Y125/H125,"0")+IFERROR(Y126/H126,"0")</f>
        <v>65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0.46056000000000002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145</v>
      </c>
      <c r="Y128" s="667">
        <f>IFERROR(SUM(Y118:Y126),"0")</f>
        <v>147.96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66</v>
      </c>
      <c r="Y152" s="666">
        <f>IFERROR(IF(X152="",0,CEILING((X152/$H152),1)*$H152),"")</f>
        <v>68</v>
      </c>
      <c r="Z152" s="36">
        <f>IFERROR(IF(Y152=0,"",ROUNDUP(Y152/H152,0)*0.00902),"")</f>
        <v>0.15334</v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69.465000000000003</v>
      </c>
      <c r="BN152" s="64">
        <f>IFERROR(Y152*I152/H152,"0")</f>
        <v>71.569999999999993</v>
      </c>
      <c r="BO152" s="64">
        <f>IFERROR(1/J152*(X152/H152),"0")</f>
        <v>0.125</v>
      </c>
      <c r="BP152" s="64">
        <f>IFERROR(1/J152*(Y152/H152),"0")</f>
        <v>0.12878787878787878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16.5</v>
      </c>
      <c r="Y153" s="667">
        <f>IFERROR(Y152/H152,"0")</f>
        <v>17</v>
      </c>
      <c r="Z153" s="667">
        <f>IFERROR(IF(Z152="",0,Z152),"0")</f>
        <v>0.15334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66</v>
      </c>
      <c r="Y154" s="667">
        <f>IFERROR(SUM(Y152:Y152),"0")</f>
        <v>68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36</v>
      </c>
      <c r="Y156" s="666">
        <f>IFERROR(IF(X156="",0,CEILING((X156/$H156),1)*$H156),"")</f>
        <v>36</v>
      </c>
      <c r="Z156" s="36">
        <f>IFERROR(IF(Y156=0,"",ROUNDUP(Y156/H156,0)*0.01898),"")</f>
        <v>7.5920000000000001E-2</v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38.340000000000003</v>
      </c>
      <c r="BN156" s="64">
        <f>IFERROR(Y156*I156/H156,"0")</f>
        <v>38.340000000000003</v>
      </c>
      <c r="BO156" s="64">
        <f>IFERROR(1/J156*(X156/H156),"0")</f>
        <v>6.25E-2</v>
      </c>
      <c r="BP156" s="64">
        <f>IFERROR(1/J156*(Y156/H156),"0")</f>
        <v>6.25E-2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4</v>
      </c>
      <c r="Y160" s="667">
        <f>IFERROR(Y156/H156,"0")+IFERROR(Y157/H157,"0")+IFERROR(Y158/H158,"0")+IFERROR(Y159/H159,"0")</f>
        <v>4</v>
      </c>
      <c r="Z160" s="667">
        <f>IFERROR(IF(Z156="",0,Z156),"0")+IFERROR(IF(Z157="",0,Z157),"0")+IFERROR(IF(Z158="",0,Z158),"0")+IFERROR(IF(Z159="",0,Z159),"0")</f>
        <v>7.5920000000000001E-2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36</v>
      </c>
      <c r="Y161" s="667">
        <f>IFERROR(SUM(Y156:Y159),"0")</f>
        <v>36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36</v>
      </c>
      <c r="Y164" s="666">
        <f>IFERROR(IF(X164="",0,CEILING((X164/$H164),1)*$H164),"")</f>
        <v>36</v>
      </c>
      <c r="Z164" s="36">
        <f>IFERROR(IF(Y164=0,"",ROUNDUP(Y164/H164,0)*0.00651),"")</f>
        <v>7.8119999999999995E-2</v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39.023999999999994</v>
      </c>
      <c r="BN164" s="64">
        <f>IFERROR(Y164*I164/H164,"0")</f>
        <v>39.023999999999994</v>
      </c>
      <c r="BO164" s="64">
        <f>IFERROR(1/J164*(X164/H164),"0")</f>
        <v>6.5934065934065936E-2</v>
      </c>
      <c r="BP164" s="64">
        <f>IFERROR(1/J164*(Y164/H164),"0")</f>
        <v>6.5934065934065936E-2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12</v>
      </c>
      <c r="Y165" s="667">
        <f>IFERROR(Y163/H163,"0")+IFERROR(Y164/H164,"0")</f>
        <v>12</v>
      </c>
      <c r="Z165" s="667">
        <f>IFERROR(IF(Z163="",0,Z163),"0")+IFERROR(IF(Z164="",0,Z164),"0")</f>
        <v>7.8119999999999995E-2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36</v>
      </c>
      <c r="Y166" s="667">
        <f>IFERROR(SUM(Y163:Y164),"0")</f>
        <v>36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18</v>
      </c>
      <c r="Y176" s="666">
        <f t="shared" si="21"/>
        <v>21</v>
      </c>
      <c r="Z176" s="36">
        <f>IFERROR(IF(Y176=0,"",ROUNDUP(Y176/H176,0)*0.00902),"")</f>
        <v>4.5100000000000001E-2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18.899999999999999</v>
      </c>
      <c r="BN176" s="64">
        <f t="shared" si="23"/>
        <v>22.049999999999997</v>
      </c>
      <c r="BO176" s="64">
        <f t="shared" si="24"/>
        <v>3.2467532467532464E-2</v>
      </c>
      <c r="BP176" s="64">
        <f t="shared" si="25"/>
        <v>3.787878787878788E-2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58</v>
      </c>
      <c r="Y177" s="666">
        <f t="shared" si="21"/>
        <v>58.800000000000004</v>
      </c>
      <c r="Z177" s="36">
        <f>IFERROR(IF(Y177=0,"",ROUNDUP(Y177/H177,0)*0.00502),"")</f>
        <v>0.14056000000000002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61.590476190476188</v>
      </c>
      <c r="BN177" s="64">
        <f t="shared" si="23"/>
        <v>62.44</v>
      </c>
      <c r="BO177" s="64">
        <f t="shared" si="24"/>
        <v>0.11803011803011804</v>
      </c>
      <c r="BP177" s="64">
        <f t="shared" si="25"/>
        <v>0.11965811965811968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41</v>
      </c>
      <c r="Y178" s="666">
        <f t="shared" si="21"/>
        <v>42</v>
      </c>
      <c r="Z178" s="36">
        <f>IFERROR(IF(Y178=0,"",ROUNDUP(Y178/H178,0)*0.00502),"")</f>
        <v>0.1004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43.538095238095231</v>
      </c>
      <c r="BN178" s="64">
        <f t="shared" si="23"/>
        <v>44.599999999999994</v>
      </c>
      <c r="BO178" s="64">
        <f t="shared" si="24"/>
        <v>8.3435083435083435E-2</v>
      </c>
      <c r="BP178" s="64">
        <f t="shared" si="25"/>
        <v>8.5470085470085472E-2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95</v>
      </c>
      <c r="Y180" s="666">
        <f t="shared" si="21"/>
        <v>96.600000000000009</v>
      </c>
      <c r="Z180" s="36">
        <f>IFERROR(IF(Y180=0,"",ROUNDUP(Y180/H180,0)*0.00502),"")</f>
        <v>0.23092000000000001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99.523809523809533</v>
      </c>
      <c r="BN180" s="64">
        <f t="shared" si="23"/>
        <v>101.20000000000002</v>
      </c>
      <c r="BO180" s="64">
        <f t="shared" si="24"/>
        <v>0.19332519332519332</v>
      </c>
      <c r="BP180" s="64">
        <f t="shared" si="25"/>
        <v>0.1965811965811966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96.666666666666657</v>
      </c>
      <c r="Y183" s="667">
        <f>IFERROR(Y174/H174,"0")+IFERROR(Y175/H175,"0")+IFERROR(Y176/H176,"0")+IFERROR(Y177/H177,"0")+IFERROR(Y178/H178,"0")+IFERROR(Y179/H179,"0")+IFERROR(Y180/H180,"0")+IFERROR(Y181/H181,"0")+IFERROR(Y182/H182,"0")</f>
        <v>99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0.51698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212</v>
      </c>
      <c r="Y184" s="667">
        <f>IFERROR(SUM(Y174:Y182),"0")</f>
        <v>218.40000000000003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hidden="1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24</v>
      </c>
      <c r="Y203" s="666">
        <f t="shared" si="26"/>
        <v>27</v>
      </c>
      <c r="Z203" s="36">
        <f>IFERROR(IF(Y203=0,"",ROUNDUP(Y203/H203,0)*0.00902),"")</f>
        <v>4.5100000000000001E-2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24.933333333333334</v>
      </c>
      <c r="BN203" s="64">
        <f t="shared" si="28"/>
        <v>28.049999999999997</v>
      </c>
      <c r="BO203" s="64">
        <f t="shared" si="29"/>
        <v>3.3670033670033662E-2</v>
      </c>
      <c r="BP203" s="64">
        <f t="shared" si="30"/>
        <v>3.787878787878788E-2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20</v>
      </c>
      <c r="Y205" s="666">
        <f t="shared" si="26"/>
        <v>21.6</v>
      </c>
      <c r="Z205" s="36">
        <f>IFERROR(IF(Y205=0,"",ROUNDUP(Y205/H205,0)*0.00502),"")</f>
        <v>6.0240000000000002E-2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21.444444444444446</v>
      </c>
      <c r="BN205" s="64">
        <f t="shared" si="28"/>
        <v>23.16</v>
      </c>
      <c r="BO205" s="64">
        <f t="shared" si="29"/>
        <v>4.7483380816714153E-2</v>
      </c>
      <c r="BP205" s="64">
        <f t="shared" si="30"/>
        <v>5.1282051282051287E-2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24</v>
      </c>
      <c r="Y206" s="666">
        <f t="shared" si="26"/>
        <v>25.2</v>
      </c>
      <c r="Z206" s="36">
        <f>IFERROR(IF(Y206=0,"",ROUNDUP(Y206/H206,0)*0.00502),"")</f>
        <v>7.0280000000000009E-2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25.333333333333329</v>
      </c>
      <c r="BN206" s="64">
        <f t="shared" si="28"/>
        <v>26.599999999999998</v>
      </c>
      <c r="BO206" s="64">
        <f t="shared" si="29"/>
        <v>5.6980056980056981E-2</v>
      </c>
      <c r="BP206" s="64">
        <f t="shared" si="30"/>
        <v>5.9829059829059839E-2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22</v>
      </c>
      <c r="Y208" s="666">
        <f t="shared" si="26"/>
        <v>23.400000000000002</v>
      </c>
      <c r="Z208" s="36">
        <f>IFERROR(IF(Y208=0,"",ROUNDUP(Y208/H208,0)*0.00502),"")</f>
        <v>6.5259999999999999E-2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23.222222222222221</v>
      </c>
      <c r="BN208" s="64">
        <f t="shared" si="28"/>
        <v>24.7</v>
      </c>
      <c r="BO208" s="64">
        <f t="shared" si="29"/>
        <v>5.2231718898385564E-2</v>
      </c>
      <c r="BP208" s="64">
        <f t="shared" si="30"/>
        <v>5.5555555555555559E-2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41.111111111111107</v>
      </c>
      <c r="Y209" s="667">
        <f>IFERROR(Y201/H201,"0")+IFERROR(Y202/H202,"0")+IFERROR(Y203/H203,"0")+IFERROR(Y204/H204,"0")+IFERROR(Y205/H205,"0")+IFERROR(Y206/H206,"0")+IFERROR(Y207/H207,"0")+IFERROR(Y208/H208,"0")</f>
        <v>44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0.24087999999999998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90</v>
      </c>
      <c r="Y210" s="667">
        <f>IFERROR(SUM(Y201:Y208),"0")</f>
        <v>97.2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62</v>
      </c>
      <c r="Y215" s="666">
        <f t="shared" si="31"/>
        <v>62.4</v>
      </c>
      <c r="Z215" s="36">
        <f t="shared" ref="Z215:Z220" si="36">IFERROR(IF(Y215=0,"",ROUNDUP(Y215/H215,0)*0.00651),"")</f>
        <v>0.16925999999999999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68.974999999999994</v>
      </c>
      <c r="BN215" s="64">
        <f t="shared" si="33"/>
        <v>69.42</v>
      </c>
      <c r="BO215" s="64">
        <f t="shared" si="34"/>
        <v>0.14194139194139196</v>
      </c>
      <c r="BP215" s="64">
        <f t="shared" si="35"/>
        <v>0.14285714285714288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188</v>
      </c>
      <c r="Y217" s="666">
        <f t="shared" si="31"/>
        <v>189.6</v>
      </c>
      <c r="Z217" s="36">
        <f t="shared" si="36"/>
        <v>0.51429000000000002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207.74</v>
      </c>
      <c r="BN217" s="64">
        <f t="shared" si="33"/>
        <v>209.50800000000001</v>
      </c>
      <c r="BO217" s="64">
        <f t="shared" si="34"/>
        <v>0.43040293040293048</v>
      </c>
      <c r="BP217" s="64">
        <f t="shared" si="35"/>
        <v>0.43406593406593408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115</v>
      </c>
      <c r="Y218" s="666">
        <f t="shared" si="31"/>
        <v>115.19999999999999</v>
      </c>
      <c r="Z218" s="36">
        <f t="shared" si="36"/>
        <v>0.31247999999999998</v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127.07500000000002</v>
      </c>
      <c r="BN218" s="64">
        <f t="shared" si="33"/>
        <v>127.29600000000001</v>
      </c>
      <c r="BO218" s="64">
        <f t="shared" si="34"/>
        <v>0.26327838827838834</v>
      </c>
      <c r="BP218" s="64">
        <f t="shared" si="35"/>
        <v>0.26373626373626374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42</v>
      </c>
      <c r="Y220" s="666">
        <f t="shared" si="31"/>
        <v>43.199999999999996</v>
      </c>
      <c r="Z220" s="36">
        <f t="shared" si="36"/>
        <v>0.11718000000000001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46.515000000000001</v>
      </c>
      <c r="BN220" s="64">
        <f t="shared" si="33"/>
        <v>47.843999999999994</v>
      </c>
      <c r="BO220" s="64">
        <f t="shared" si="34"/>
        <v>9.6153846153846159E-2</v>
      </c>
      <c r="BP220" s="64">
        <f t="shared" si="35"/>
        <v>9.8901098901098911E-2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169.58333333333337</v>
      </c>
      <c r="Y221" s="667">
        <f>IFERROR(Y212/H212,"0")+IFERROR(Y213/H213,"0")+IFERROR(Y214/H214,"0")+IFERROR(Y215/H215,"0")+IFERROR(Y216/H216,"0")+IFERROR(Y217/H217,"0")+IFERROR(Y218/H218,"0")+IFERROR(Y219/H219,"0")+IFERROR(Y220/H220,"0")</f>
        <v>171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1.11321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407</v>
      </c>
      <c r="Y222" s="667">
        <f>IFERROR(SUM(Y212:Y220),"0")</f>
        <v>410.4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58</v>
      </c>
      <c r="Y255" s="666">
        <f t="shared" ref="Y255:Y260" si="42">IFERROR(IF(X255="",0,CEILING((X255/$H255),1)*$H255),"")</f>
        <v>64.800000000000011</v>
      </c>
      <c r="Z255" s="36">
        <f>IFERROR(IF(Y255=0,"",ROUNDUP(Y255/H255,0)*0.01898),"")</f>
        <v>0.11388000000000001</v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60.336111111111109</v>
      </c>
      <c r="BN255" s="64">
        <f t="shared" ref="BN255:BN260" si="44">IFERROR(Y255*I255/H255,"0")</f>
        <v>67.410000000000011</v>
      </c>
      <c r="BO255" s="64">
        <f t="shared" ref="BO255:BO260" si="45">IFERROR(1/J255*(X255/H255),"0")</f>
        <v>8.3912037037037035E-2</v>
      </c>
      <c r="BP255" s="64">
        <f t="shared" ref="BP255:BP260" si="46">IFERROR(1/J255*(Y255/H255),"0")</f>
        <v>9.3750000000000014E-2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190</v>
      </c>
      <c r="Y257" s="666">
        <f t="shared" si="42"/>
        <v>194.4</v>
      </c>
      <c r="Z257" s="36">
        <f>IFERROR(IF(Y257=0,"",ROUNDUP(Y257/H257,0)*0.01898),"")</f>
        <v>0.34164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197.65277777777777</v>
      </c>
      <c r="BN257" s="64">
        <f t="shared" si="44"/>
        <v>202.22999999999996</v>
      </c>
      <c r="BO257" s="64">
        <f t="shared" si="45"/>
        <v>0.27488425925925924</v>
      </c>
      <c r="BP257" s="64">
        <f t="shared" si="46"/>
        <v>0.28125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22.962962962962962</v>
      </c>
      <c r="Y261" s="667">
        <f>IFERROR(Y255/H255,"0")+IFERROR(Y256/H256,"0")+IFERROR(Y257/H257,"0")+IFERROR(Y258/H258,"0")+IFERROR(Y259/H259,"0")+IFERROR(Y260/H260,"0")</f>
        <v>24</v>
      </c>
      <c r="Z261" s="667">
        <f>IFERROR(IF(Z255="",0,Z255),"0")+IFERROR(IF(Z256="",0,Z256),"0")+IFERROR(IF(Z257="",0,Z257),"0")+IFERROR(IF(Z258="",0,Z258),"0")+IFERROR(IF(Z259="",0,Z259),"0")+IFERROR(IF(Z260="",0,Z260),"0")</f>
        <v>0.45552000000000004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248</v>
      </c>
      <c r="Y262" s="667">
        <f>IFERROR(SUM(Y255:Y260),"0")</f>
        <v>259.20000000000005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37</v>
      </c>
      <c r="Y308" s="666">
        <f>IFERROR(IF(X308="",0,CEILING((X308/$H308),1)*$H308),"")</f>
        <v>37.800000000000004</v>
      </c>
      <c r="Z308" s="36">
        <f>IFERROR(IF(Y308=0,"",ROUNDUP(Y308/H308,0)*0.00502),"")</f>
        <v>9.0359999999999996E-2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38.761904761904766</v>
      </c>
      <c r="BN308" s="64">
        <f>IFERROR(Y308*I308/H308,"0")</f>
        <v>39.6</v>
      </c>
      <c r="BO308" s="64">
        <f>IFERROR(1/J308*(X308/H308),"0")</f>
        <v>7.5295075295075287E-2</v>
      </c>
      <c r="BP308" s="64">
        <f>IFERROR(1/J308*(Y308/H308),"0")</f>
        <v>7.6923076923076927E-2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17.619047619047617</v>
      </c>
      <c r="Y310" s="667">
        <f>IFERROR(Y308/H308,"0")+IFERROR(Y309/H309,"0")</f>
        <v>18</v>
      </c>
      <c r="Z310" s="667">
        <f>IFERROR(IF(Z308="",0,Z308),"0")+IFERROR(IF(Z309="",0,Z309),"0")</f>
        <v>9.0359999999999996E-2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37</v>
      </c>
      <c r="Y311" s="667">
        <f>IFERROR(SUM(Y308:Y309),"0")</f>
        <v>37.800000000000004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137</v>
      </c>
      <c r="Y319" s="666">
        <f t="shared" ref="Y319:Y324" si="47">IFERROR(IF(X319="",0,CEILING((X319/$H319),1)*$H319),"")</f>
        <v>140.4</v>
      </c>
      <c r="Z319" s="36">
        <f>IFERROR(IF(Y319=0,"",ROUNDUP(Y319/H319,0)*0.01898),"")</f>
        <v>0.24674000000000001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142.51805555555555</v>
      </c>
      <c r="BN319" s="64">
        <f t="shared" ref="BN319:BN324" si="49">IFERROR(Y319*I319/H319,"0")</f>
        <v>146.05499999999998</v>
      </c>
      <c r="BO319" s="64">
        <f t="shared" ref="BO319:BO324" si="50">IFERROR(1/J319*(X319/H319),"0")</f>
        <v>0.19820601851851852</v>
      </c>
      <c r="BP319" s="64">
        <f t="shared" ref="BP319:BP324" si="51">IFERROR(1/J319*(Y319/H319),"0")</f>
        <v>0.203125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406</v>
      </c>
      <c r="Y321" s="666">
        <f t="shared" si="47"/>
        <v>410.40000000000003</v>
      </c>
      <c r="Z321" s="36">
        <f>IFERROR(IF(Y321=0,"",ROUNDUP(Y321/H321,0)*0.01898),"")</f>
        <v>0.72123999999999999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422.35277777777776</v>
      </c>
      <c r="BN321" s="64">
        <f t="shared" si="49"/>
        <v>426.92999999999995</v>
      </c>
      <c r="BO321" s="64">
        <f t="shared" si="50"/>
        <v>0.58738425925925919</v>
      </c>
      <c r="BP321" s="64">
        <f t="shared" si="51"/>
        <v>0.59375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105</v>
      </c>
      <c r="Y322" s="666">
        <f t="shared" si="47"/>
        <v>108</v>
      </c>
      <c r="Z322" s="36">
        <f>IFERROR(IF(Y322=0,"",ROUNDUP(Y322/H322,0)*0.01898),"")</f>
        <v>0.1898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109.22916666666666</v>
      </c>
      <c r="BN322" s="64">
        <f t="shared" si="49"/>
        <v>112.34999999999998</v>
      </c>
      <c r="BO322" s="64">
        <f t="shared" si="50"/>
        <v>0.15190972222222221</v>
      </c>
      <c r="BP322" s="64">
        <f t="shared" si="51"/>
        <v>0.15625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41</v>
      </c>
      <c r="Y323" s="666">
        <f t="shared" si="47"/>
        <v>44</v>
      </c>
      <c r="Z323" s="36">
        <f>IFERROR(IF(Y323=0,"",ROUNDUP(Y323/H323,0)*0.00902),"")</f>
        <v>9.9220000000000003E-2</v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43.152499999999996</v>
      </c>
      <c r="BN323" s="64">
        <f t="shared" si="49"/>
        <v>46.31</v>
      </c>
      <c r="BO323" s="64">
        <f t="shared" si="50"/>
        <v>7.7651515151515152E-2</v>
      </c>
      <c r="BP323" s="64">
        <f t="shared" si="51"/>
        <v>8.3333333333333343E-2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8</v>
      </c>
      <c r="Y324" s="666">
        <f t="shared" si="47"/>
        <v>8</v>
      </c>
      <c r="Z324" s="36">
        <f>IFERROR(IF(Y324=0,"",ROUNDUP(Y324/H324,0)*0.00902),"")</f>
        <v>1.804E-2</v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8.42</v>
      </c>
      <c r="BN324" s="64">
        <f t="shared" si="49"/>
        <v>8.42</v>
      </c>
      <c r="BO324" s="64">
        <f t="shared" si="50"/>
        <v>1.5151515151515152E-2</v>
      </c>
      <c r="BP324" s="64">
        <f t="shared" si="51"/>
        <v>1.5151515151515152E-2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72.25</v>
      </c>
      <c r="Y325" s="667">
        <f>IFERROR(Y319/H319,"0")+IFERROR(Y320/H320,"0")+IFERROR(Y321/H321,"0")+IFERROR(Y322/H322,"0")+IFERROR(Y323/H323,"0")+IFERROR(Y324/H324,"0")</f>
        <v>74</v>
      </c>
      <c r="Z325" s="667">
        <f>IFERROR(IF(Z319="",0,Z319),"0")+IFERROR(IF(Z320="",0,Z320),"0")+IFERROR(IF(Z321="",0,Z321),"0")+IFERROR(IF(Z322="",0,Z322),"0")+IFERROR(IF(Z323="",0,Z323),"0")+IFERROR(IF(Z324="",0,Z324),"0")</f>
        <v>1.2750400000000002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697</v>
      </c>
      <c r="Y326" s="667">
        <f>IFERROR(SUM(Y319:Y324),"0")</f>
        <v>710.80000000000007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100</v>
      </c>
      <c r="Y328" s="666">
        <f>IFERROR(IF(X328="",0,CEILING((X328/$H328),1)*$H328),"")</f>
        <v>100.80000000000001</v>
      </c>
      <c r="Z328" s="36">
        <f>IFERROR(IF(Y328=0,"",ROUNDUP(Y328/H328,0)*0.00902),"")</f>
        <v>0.21648000000000001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106.42857142857143</v>
      </c>
      <c r="BN328" s="64">
        <f>IFERROR(Y328*I328/H328,"0")</f>
        <v>107.28</v>
      </c>
      <c r="BO328" s="64">
        <f>IFERROR(1/J328*(X328/H328),"0")</f>
        <v>0.18037518037518038</v>
      </c>
      <c r="BP328" s="64">
        <f>IFERROR(1/J328*(Y328/H328),"0")</f>
        <v>0.18181818181818182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76</v>
      </c>
      <c r="Y329" s="666">
        <f>IFERROR(IF(X329="",0,CEILING((X329/$H329),1)*$H329),"")</f>
        <v>79.8</v>
      </c>
      <c r="Z329" s="36">
        <f>IFERROR(IF(Y329=0,"",ROUNDUP(Y329/H329,0)*0.00902),"")</f>
        <v>0.17138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80.885714285714272</v>
      </c>
      <c r="BN329" s="64">
        <f>IFERROR(Y329*I329/H329,"0")</f>
        <v>84.929999999999993</v>
      </c>
      <c r="BO329" s="64">
        <f>IFERROR(1/J329*(X329/H329),"0")</f>
        <v>0.13708513708513709</v>
      </c>
      <c r="BP329" s="64">
        <f>IFERROR(1/J329*(Y329/H329),"0")</f>
        <v>0.14393939393939395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41.904761904761905</v>
      </c>
      <c r="Y332" s="667">
        <f>IFERROR(Y328/H328,"0")+IFERROR(Y329/H329,"0")+IFERROR(Y330/H330,"0")+IFERROR(Y331/H331,"0")</f>
        <v>43</v>
      </c>
      <c r="Z332" s="667">
        <f>IFERROR(IF(Z328="",0,Z328),"0")+IFERROR(IF(Z329="",0,Z329),"0")+IFERROR(IF(Z330="",0,Z330),"0")+IFERROR(IF(Z331="",0,Z331),"0")</f>
        <v>0.38785999999999998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176</v>
      </c>
      <c r="Y333" s="667">
        <f>IFERROR(SUM(Y328:Y331),"0")</f>
        <v>180.60000000000002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1441</v>
      </c>
      <c r="Y335" s="666">
        <f>IFERROR(IF(X335="",0,CEILING((X335/$H335),1)*$H335),"")</f>
        <v>1443</v>
      </c>
      <c r="Z335" s="36">
        <f>IFERROR(IF(Y335=0,"",ROUNDUP(Y335/H335,0)*0.01898),"")</f>
        <v>3.5112999999999999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1535.7734615384618</v>
      </c>
      <c r="BN335" s="64">
        <f>IFERROR(Y335*I335/H335,"0")</f>
        <v>1537.9050000000002</v>
      </c>
      <c r="BO335" s="64">
        <f>IFERROR(1/J335*(X335/H335),"0")</f>
        <v>2.8866185897435899</v>
      </c>
      <c r="BP335" s="64">
        <f>IFERROR(1/J335*(Y335/H335),"0")</f>
        <v>2.890625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110</v>
      </c>
      <c r="Y338" s="666">
        <f>IFERROR(IF(X338="",0,CEILING((X338/$H338),1)*$H338),"")</f>
        <v>111</v>
      </c>
      <c r="Z338" s="36">
        <f>IFERROR(IF(Y338=0,"",ROUNDUP(Y338/H338,0)*0.00651),"")</f>
        <v>0.24087</v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119.02</v>
      </c>
      <c r="BN338" s="64">
        <f>IFERROR(Y338*I338/H338,"0")</f>
        <v>120.10199999999999</v>
      </c>
      <c r="BO338" s="64">
        <f>IFERROR(1/J338*(X338/H338),"0")</f>
        <v>0.20146520146520147</v>
      </c>
      <c r="BP338" s="64">
        <f>IFERROR(1/J338*(Y338/H338),"0")</f>
        <v>0.20329670329670332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221.41025641025641</v>
      </c>
      <c r="Y340" s="667">
        <f>IFERROR(Y335/H335,"0")+IFERROR(Y336/H336,"0")+IFERROR(Y337/H337,"0")+IFERROR(Y338/H338,"0")+IFERROR(Y339/H339,"0")</f>
        <v>222</v>
      </c>
      <c r="Z340" s="667">
        <f>IFERROR(IF(Z335="",0,Z335),"0")+IFERROR(IF(Z336="",0,Z336),"0")+IFERROR(IF(Z337="",0,Z337),"0")+IFERROR(IF(Z338="",0,Z338),"0")+IFERROR(IF(Z339="",0,Z339),"0")</f>
        <v>3.75217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1551</v>
      </c>
      <c r="Y341" s="667">
        <f>IFERROR(SUM(Y335:Y339),"0")</f>
        <v>1554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72</v>
      </c>
      <c r="Y344" s="666">
        <f>IFERROR(IF(X344="",0,CEILING((X344/$H344),1)*$H344),"")</f>
        <v>78</v>
      </c>
      <c r="Z344" s="36">
        <f>IFERROR(IF(Y344=0,"",ROUNDUP(Y344/H344,0)*0.01898),"")</f>
        <v>0.1898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76.790769230769243</v>
      </c>
      <c r="BN344" s="64">
        <f>IFERROR(Y344*I344/H344,"0")</f>
        <v>83.190000000000012</v>
      </c>
      <c r="BO344" s="64">
        <f>IFERROR(1/J344*(X344/H344),"0")</f>
        <v>0.14423076923076925</v>
      </c>
      <c r="BP344" s="64">
        <f>IFERROR(1/J344*(Y344/H344),"0")</f>
        <v>0.15625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31</v>
      </c>
      <c r="Y345" s="666">
        <f>IFERROR(IF(X345="",0,CEILING((X345/$H345),1)*$H345),"")</f>
        <v>33.6</v>
      </c>
      <c r="Z345" s="36">
        <f>IFERROR(IF(Y345=0,"",ROUNDUP(Y345/H345,0)*0.01898),"")</f>
        <v>7.5920000000000001E-2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32.915357142857147</v>
      </c>
      <c r="BN345" s="64">
        <f>IFERROR(Y345*I345/H345,"0")</f>
        <v>35.676000000000002</v>
      </c>
      <c r="BO345" s="64">
        <f>IFERROR(1/J345*(X345/H345),"0")</f>
        <v>5.7663690476190473E-2</v>
      </c>
      <c r="BP345" s="64">
        <f>IFERROR(1/J345*(Y345/H345),"0")</f>
        <v>6.25E-2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12.921245421245422</v>
      </c>
      <c r="Y346" s="667">
        <f>IFERROR(Y343/H343,"0")+IFERROR(Y344/H344,"0")+IFERROR(Y345/H345,"0")</f>
        <v>14</v>
      </c>
      <c r="Z346" s="667">
        <f>IFERROR(IF(Z343="",0,Z343),"0")+IFERROR(IF(Z344="",0,Z344),"0")+IFERROR(IF(Z345="",0,Z345),"0")</f>
        <v>0.26572000000000001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103</v>
      </c>
      <c r="Y347" s="667">
        <f>IFERROR(SUM(Y343:Y345),"0")</f>
        <v>111.6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13</v>
      </c>
      <c r="Y351" s="666">
        <f>IFERROR(IF(X351="",0,CEILING((X351/$H351),1)*$H351),"")</f>
        <v>15.299999999999999</v>
      </c>
      <c r="Z351" s="36">
        <f>IFERROR(IF(Y351=0,"",ROUNDUP(Y351/H351,0)*0.00651),"")</f>
        <v>3.9059999999999997E-2</v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15.064705882352943</v>
      </c>
      <c r="BN351" s="64">
        <f>IFERROR(Y351*I351/H351,"0")</f>
        <v>17.73</v>
      </c>
      <c r="BO351" s="64">
        <f>IFERROR(1/J351*(X351/H351),"0")</f>
        <v>2.8011204481792722E-2</v>
      </c>
      <c r="BP351" s="64">
        <f>IFERROR(1/J351*(Y351/H351),"0")</f>
        <v>3.2967032967032968E-2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16</v>
      </c>
      <c r="Y352" s="666">
        <f>IFERROR(IF(X352="",0,CEILING((X352/$H352),1)*$H352),"")</f>
        <v>17.849999999999998</v>
      </c>
      <c r="Z352" s="36">
        <f>IFERROR(IF(Y352=0,"",ROUNDUP(Y352/H352,0)*0.00651),"")</f>
        <v>4.5569999999999999E-2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18.070588235294117</v>
      </c>
      <c r="BN352" s="64">
        <f>IFERROR(Y352*I352/H352,"0")</f>
        <v>20.16</v>
      </c>
      <c r="BO352" s="64">
        <f>IFERROR(1/J352*(X352/H352),"0")</f>
        <v>3.4475328592975661E-2</v>
      </c>
      <c r="BP352" s="64">
        <f>IFERROR(1/J352*(Y352/H352),"0")</f>
        <v>3.8461538461538464E-2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11.372549019607845</v>
      </c>
      <c r="Y353" s="667">
        <f>IFERROR(Y349/H349,"0")+IFERROR(Y350/H350,"0")+IFERROR(Y351/H351,"0")+IFERROR(Y352/H352,"0")</f>
        <v>13</v>
      </c>
      <c r="Z353" s="667">
        <f>IFERROR(IF(Z349="",0,Z349),"0")+IFERROR(IF(Z350="",0,Z350),"0")+IFERROR(IF(Z351="",0,Z351),"0")+IFERROR(IF(Z352="",0,Z352),"0")</f>
        <v>8.4629999999999997E-2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29</v>
      </c>
      <c r="Y354" s="667">
        <f>IFERROR(SUM(Y349:Y352),"0")</f>
        <v>33.15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16</v>
      </c>
      <c r="Y356" s="666">
        <f>IFERROR(IF(X356="",0,CEILING((X356/$H356),1)*$H356),"")</f>
        <v>16</v>
      </c>
      <c r="Z356" s="36">
        <f>IFERROR(IF(Y356=0,"",ROUNDUP(Y356/H356,0)*0.00474),"")</f>
        <v>3.7920000000000002E-2</v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17.920000000000002</v>
      </c>
      <c r="BN356" s="64">
        <f>IFERROR(Y356*I356/H356,"0")</f>
        <v>17.920000000000002</v>
      </c>
      <c r="BO356" s="64">
        <f>IFERROR(1/J356*(X356/H356),"0")</f>
        <v>3.3613445378151259E-2</v>
      </c>
      <c r="BP356" s="64">
        <f>IFERROR(1/J356*(Y356/H356),"0")</f>
        <v>3.3613445378151259E-2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16</v>
      </c>
      <c r="Y357" s="666">
        <f>IFERROR(IF(X357="",0,CEILING((X357/$H357),1)*$H357),"")</f>
        <v>16</v>
      </c>
      <c r="Z357" s="36">
        <f>IFERROR(IF(Y357=0,"",ROUNDUP(Y357/H357,0)*0.00474),"")</f>
        <v>3.7920000000000002E-2</v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17.920000000000002</v>
      </c>
      <c r="BN357" s="64">
        <f>IFERROR(Y357*I357/H357,"0")</f>
        <v>17.920000000000002</v>
      </c>
      <c r="BO357" s="64">
        <f>IFERROR(1/J357*(X357/H357),"0")</f>
        <v>3.3613445378151259E-2</v>
      </c>
      <c r="BP357" s="64">
        <f>IFERROR(1/J357*(Y357/H357),"0")</f>
        <v>3.3613445378151259E-2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18</v>
      </c>
      <c r="Y358" s="666">
        <f>IFERROR(IF(X358="",0,CEILING((X358/$H358),1)*$H358),"")</f>
        <v>18</v>
      </c>
      <c r="Z358" s="36">
        <f>IFERROR(IF(Y358=0,"",ROUNDUP(Y358/H358,0)*0.00474),"")</f>
        <v>4.2660000000000003E-2</v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20.160000000000004</v>
      </c>
      <c r="BN358" s="64">
        <f>IFERROR(Y358*I358/H358,"0")</f>
        <v>20.160000000000004</v>
      </c>
      <c r="BO358" s="64">
        <f>IFERROR(1/J358*(X358/H358),"0")</f>
        <v>3.7815126050420166E-2</v>
      </c>
      <c r="BP358" s="64">
        <f>IFERROR(1/J358*(Y358/H358),"0")</f>
        <v>3.7815126050420166E-2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25</v>
      </c>
      <c r="Y359" s="667">
        <f>IFERROR(Y356/H356,"0")+IFERROR(Y357/H357,"0")+IFERROR(Y358/H358,"0")</f>
        <v>25</v>
      </c>
      <c r="Z359" s="667">
        <f>IFERROR(IF(Z356="",0,Z356),"0")+IFERROR(IF(Z357="",0,Z357),"0")+IFERROR(IF(Z358="",0,Z358),"0")</f>
        <v>0.11850000000000001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50</v>
      </c>
      <c r="Y360" s="667">
        <f>IFERROR(SUM(Y356:Y358),"0")</f>
        <v>50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4</v>
      </c>
      <c r="Y363" s="666">
        <f>IFERROR(IF(X363="",0,CEILING((X363/$H363),1)*$H363),"")</f>
        <v>5.4</v>
      </c>
      <c r="Z363" s="36">
        <f>IFERROR(IF(Y363=0,"",ROUNDUP(Y363/H363,0)*0.00651),"")</f>
        <v>1.9529999999999999E-2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4.5066666666666668</v>
      </c>
      <c r="BN363" s="64">
        <f>IFERROR(Y363*I363/H363,"0")</f>
        <v>6.0839999999999996</v>
      </c>
      <c r="BO363" s="64">
        <f>IFERROR(1/J363*(X363/H363),"0")</f>
        <v>1.2210012210012212E-2</v>
      </c>
      <c r="BP363" s="64">
        <f>IFERROR(1/J363*(Y363/H363),"0")</f>
        <v>1.6483516483516484E-2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2.2222222222222223</v>
      </c>
      <c r="Y364" s="667">
        <f>IFERROR(Y363/H363,"0")</f>
        <v>3</v>
      </c>
      <c r="Z364" s="667">
        <f>IFERROR(IF(Z363="",0,Z363),"0")</f>
        <v>1.9529999999999999E-2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4</v>
      </c>
      <c r="Y365" s="667">
        <f>IFERROR(SUM(Y363:Y363),"0")</f>
        <v>5.4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186</v>
      </c>
      <c r="Y368" s="666">
        <f>IFERROR(IF(X368="",0,CEILING((X368/$H368),1)*$H368),"")</f>
        <v>186.9</v>
      </c>
      <c r="Z368" s="36">
        <f>IFERROR(IF(Y368=0,"",ROUNDUP(Y368/H368,0)*0.00651),"")</f>
        <v>0.57938999999999996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208.32</v>
      </c>
      <c r="BN368" s="64">
        <f>IFERROR(Y368*I368/H368,"0")</f>
        <v>209.32799999999997</v>
      </c>
      <c r="BO368" s="64">
        <f>IFERROR(1/J368*(X368/H368),"0")</f>
        <v>0.48665620094191525</v>
      </c>
      <c r="BP368" s="64">
        <f>IFERROR(1/J368*(Y368/H368),"0")</f>
        <v>0.48901098901098905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103</v>
      </c>
      <c r="Y369" s="666">
        <f>IFERROR(IF(X369="",0,CEILING((X369/$H369),1)*$H369),"")</f>
        <v>105</v>
      </c>
      <c r="Z369" s="36">
        <f>IFERROR(IF(Y369=0,"",ROUNDUP(Y369/H369,0)*0.00651),"")</f>
        <v>0.32550000000000001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114.77142857142856</v>
      </c>
      <c r="BN369" s="64">
        <f>IFERROR(Y369*I369/H369,"0")</f>
        <v>116.99999999999999</v>
      </c>
      <c r="BO369" s="64">
        <f>IFERROR(1/J369*(X369/H369),"0")</f>
        <v>0.26949241234955523</v>
      </c>
      <c r="BP369" s="64">
        <f>IFERROR(1/J369*(Y369/H369),"0")</f>
        <v>0.27472527472527475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137.61904761904762</v>
      </c>
      <c r="Y370" s="667">
        <f>IFERROR(Y367/H367,"0")+IFERROR(Y368/H368,"0")+IFERROR(Y369/H369,"0")</f>
        <v>139</v>
      </c>
      <c r="Z370" s="667">
        <f>IFERROR(IF(Z367="",0,Z367),"0")+IFERROR(IF(Z368="",0,Z368),"0")+IFERROR(IF(Z369="",0,Z369),"0")</f>
        <v>0.90488999999999997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289</v>
      </c>
      <c r="Y371" s="667">
        <f>IFERROR(SUM(Y367:Y369),"0")</f>
        <v>291.89999999999998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275</v>
      </c>
      <c r="Y376" s="666">
        <f t="shared" si="52"/>
        <v>285</v>
      </c>
      <c r="Z376" s="36">
        <f>IFERROR(IF(Y376=0,"",ROUNDUP(Y376/H376,0)*0.02175),"")</f>
        <v>0.41324999999999995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283.8</v>
      </c>
      <c r="BN376" s="64">
        <f t="shared" si="54"/>
        <v>294.12</v>
      </c>
      <c r="BO376" s="64">
        <f t="shared" si="55"/>
        <v>0.38194444444444442</v>
      </c>
      <c r="BP376" s="64">
        <f t="shared" si="56"/>
        <v>0.39583333333333331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469</v>
      </c>
      <c r="Y378" s="666">
        <f t="shared" si="52"/>
        <v>480</v>
      </c>
      <c r="Z378" s="36">
        <f>IFERROR(IF(Y378=0,"",ROUNDUP(Y378/H378,0)*0.02175),"")</f>
        <v>0.69599999999999995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484.00799999999998</v>
      </c>
      <c r="BN378" s="64">
        <f t="shared" si="54"/>
        <v>495.36</v>
      </c>
      <c r="BO378" s="64">
        <f t="shared" si="55"/>
        <v>0.6513888888888888</v>
      </c>
      <c r="BP378" s="64">
        <f t="shared" si="56"/>
        <v>0.66666666666666663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153</v>
      </c>
      <c r="Y379" s="666">
        <f t="shared" si="52"/>
        <v>165</v>
      </c>
      <c r="Z379" s="36">
        <f>IFERROR(IF(Y379=0,"",ROUNDUP(Y379/H379,0)*0.02175),"")</f>
        <v>0.23924999999999999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157.89600000000002</v>
      </c>
      <c r="BN379" s="64">
        <f t="shared" si="54"/>
        <v>170.28000000000003</v>
      </c>
      <c r="BO379" s="64">
        <f t="shared" si="55"/>
        <v>0.21249999999999997</v>
      </c>
      <c r="BP379" s="64">
        <f t="shared" si="56"/>
        <v>0.22916666666666666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420</v>
      </c>
      <c r="Y381" s="666">
        <f t="shared" si="52"/>
        <v>420</v>
      </c>
      <c r="Z381" s="36">
        <f>IFERROR(IF(Y381=0,"",ROUNDUP(Y381/H381,0)*0.02175),"")</f>
        <v>0.60899999999999999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433.44</v>
      </c>
      <c r="BN381" s="64">
        <f t="shared" si="54"/>
        <v>433.44</v>
      </c>
      <c r="BO381" s="64">
        <f t="shared" si="55"/>
        <v>0.58333333333333326</v>
      </c>
      <c r="BP381" s="64">
        <f t="shared" si="56"/>
        <v>0.58333333333333326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18</v>
      </c>
      <c r="Y383" s="666">
        <f t="shared" si="52"/>
        <v>20</v>
      </c>
      <c r="Z383" s="36">
        <f>IFERROR(IF(Y383=0,"",ROUNDUP(Y383/H383,0)*0.00902),"")</f>
        <v>3.6080000000000001E-2</v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18.756</v>
      </c>
      <c r="BN383" s="64">
        <f t="shared" si="54"/>
        <v>20.84</v>
      </c>
      <c r="BO383" s="64">
        <f t="shared" si="55"/>
        <v>2.7272727272727275E-2</v>
      </c>
      <c r="BP383" s="64">
        <f t="shared" si="56"/>
        <v>3.0303030303030304E-2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27</v>
      </c>
      <c r="Y384" s="666">
        <f t="shared" si="52"/>
        <v>30</v>
      </c>
      <c r="Z384" s="36">
        <f>IFERROR(IF(Y384=0,"",ROUNDUP(Y384/H384,0)*0.00902),"")</f>
        <v>5.4120000000000001E-2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28.133999999999997</v>
      </c>
      <c r="BN384" s="64">
        <f t="shared" si="54"/>
        <v>31.26</v>
      </c>
      <c r="BO384" s="64">
        <f t="shared" si="55"/>
        <v>4.0909090909090916E-2</v>
      </c>
      <c r="BP384" s="64">
        <f t="shared" si="56"/>
        <v>4.5454545454545456E-2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96.8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100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2.0476999999999999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1362</v>
      </c>
      <c r="Y386" s="667">
        <f>IFERROR(SUM(Y375:Y384),"0")</f>
        <v>1400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426</v>
      </c>
      <c r="Y388" s="666">
        <f>IFERROR(IF(X388="",0,CEILING((X388/$H388),1)*$H388),"")</f>
        <v>435</v>
      </c>
      <c r="Z388" s="36">
        <f>IFERROR(IF(Y388=0,"",ROUNDUP(Y388/H388,0)*0.02175),"")</f>
        <v>0.63074999999999992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439.63200000000001</v>
      </c>
      <c r="BN388" s="64">
        <f>IFERROR(Y388*I388/H388,"0")</f>
        <v>448.92</v>
      </c>
      <c r="BO388" s="64">
        <f>IFERROR(1/J388*(X388/H388),"0")</f>
        <v>0.59166666666666656</v>
      </c>
      <c r="BP388" s="64">
        <f>IFERROR(1/J388*(Y388/H388),"0")</f>
        <v>0.60416666666666663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28.4</v>
      </c>
      <c r="Y390" s="667">
        <f>IFERROR(Y388/H388,"0")+IFERROR(Y389/H389,"0")</f>
        <v>29</v>
      </c>
      <c r="Z390" s="667">
        <f>IFERROR(IF(Z388="",0,Z388),"0")+IFERROR(IF(Z389="",0,Z389),"0")</f>
        <v>0.63074999999999992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426</v>
      </c>
      <c r="Y391" s="667">
        <f>IFERROR(SUM(Y388:Y389),"0")</f>
        <v>435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63</v>
      </c>
      <c r="Y419" s="666">
        <f>IFERROR(IF(X419="",0,CEILING((X419/$H419),1)*$H419),"")</f>
        <v>64.8</v>
      </c>
      <c r="Z419" s="36">
        <f>IFERROR(IF(Y419=0,"",ROUNDUP(Y419/H419,0)*0.00651),"")</f>
        <v>0.17577000000000001</v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69.930000000000007</v>
      </c>
      <c r="BN419" s="64">
        <f>IFERROR(Y419*I419/H419,"0")</f>
        <v>71.927999999999997</v>
      </c>
      <c r="BO419" s="64">
        <f>IFERROR(1/J419*(X419/H419),"0")</f>
        <v>0.14423076923076925</v>
      </c>
      <c r="BP419" s="64">
        <f>IFERROR(1/J419*(Y419/H419),"0")</f>
        <v>0.14835164835164835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26.25</v>
      </c>
      <c r="Y422" s="667">
        <f>IFERROR(Y417/H417,"0")+IFERROR(Y418/H418,"0")+IFERROR(Y419/H419,"0")+IFERROR(Y420/H420,"0")+IFERROR(Y421/H421,"0")</f>
        <v>27</v>
      </c>
      <c r="Z422" s="667">
        <f>IFERROR(IF(Z417="",0,Z417),"0")+IFERROR(IF(Z418="",0,Z418),"0")+IFERROR(IF(Z419="",0,Z419),"0")+IFERROR(IF(Z420="",0,Z420),"0")+IFERROR(IF(Z421="",0,Z421),"0")</f>
        <v>0.17577000000000001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63</v>
      </c>
      <c r="Y423" s="667">
        <f>IFERROR(SUM(Y417:Y421),"0")</f>
        <v>64.8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20</v>
      </c>
      <c r="Y441" s="666">
        <f t="shared" si="62"/>
        <v>21</v>
      </c>
      <c r="Z441" s="36">
        <f t="shared" si="67"/>
        <v>5.0200000000000002E-2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21.238095238095237</v>
      </c>
      <c r="BN441" s="64">
        <f t="shared" si="64"/>
        <v>22.299999999999997</v>
      </c>
      <c r="BO441" s="64">
        <f t="shared" si="65"/>
        <v>4.0700040700040706E-2</v>
      </c>
      <c r="BP441" s="64">
        <f t="shared" si="66"/>
        <v>4.2735042735042736E-2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9.5238095238095237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10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5.0200000000000002E-2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20</v>
      </c>
      <c r="Y444" s="667">
        <f>IFERROR(SUM(Y431:Y442),"0")</f>
        <v>21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24</v>
      </c>
      <c r="Y481" s="666">
        <f t="shared" ref="Y481:Y495" si="68">IFERROR(IF(X481="",0,CEILING((X481/$H481),1)*$H481),"")</f>
        <v>26.400000000000002</v>
      </c>
      <c r="Z481" s="36">
        <f>IFERROR(IF(Y481=0,"",ROUNDUP(Y481/H481,0)*0.01196),"")</f>
        <v>5.9799999999999999E-2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25.636363636363633</v>
      </c>
      <c r="BN481" s="64">
        <f t="shared" ref="BN481:BN495" si="70">IFERROR(Y481*I481/H481,"0")</f>
        <v>28.200000000000003</v>
      </c>
      <c r="BO481" s="64">
        <f t="shared" ref="BO481:BO495" si="71">IFERROR(1/J481*(X481/H481),"0")</f>
        <v>4.3706293706293704E-2</v>
      </c>
      <c r="BP481" s="64">
        <f t="shared" ref="BP481:BP495" si="72">IFERROR(1/J481*(Y481/H481),"0")</f>
        <v>4.807692307692308E-2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hidden="1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23</v>
      </c>
      <c r="Y484" s="666">
        <f t="shared" si="68"/>
        <v>26.400000000000002</v>
      </c>
      <c r="Z484" s="36">
        <f>IFERROR(IF(Y484=0,"",ROUNDUP(Y484/H484,0)*0.01196),"")</f>
        <v>5.9799999999999999E-2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24.568181818181817</v>
      </c>
      <c r="BN484" s="64">
        <f t="shared" si="70"/>
        <v>28.200000000000003</v>
      </c>
      <c r="BO484" s="64">
        <f t="shared" si="71"/>
        <v>4.1885198135198129E-2</v>
      </c>
      <c r="BP484" s="64">
        <f t="shared" si="72"/>
        <v>4.807692307692308E-2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8.9015151515151505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0.1196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47</v>
      </c>
      <c r="Y497" s="667">
        <f>IFERROR(SUM(Y481:Y495),"0")</f>
        <v>52.800000000000004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10</v>
      </c>
      <c r="Y499" s="666">
        <f>IFERROR(IF(X499="",0,CEILING((X499/$H499),1)*$H499),"")</f>
        <v>10.56</v>
      </c>
      <c r="Z499" s="36">
        <f>IFERROR(IF(Y499=0,"",ROUNDUP(Y499/H499,0)*0.01196),"")</f>
        <v>2.392E-2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10.681818181818182</v>
      </c>
      <c r="BN499" s="64">
        <f>IFERROR(Y499*I499/H499,"0")</f>
        <v>11.28</v>
      </c>
      <c r="BO499" s="64">
        <f>IFERROR(1/J499*(X499/H499),"0")</f>
        <v>1.8210955710955712E-2</v>
      </c>
      <c r="BP499" s="64">
        <f>IFERROR(1/J499*(Y499/H499),"0")</f>
        <v>1.9230769230769232E-2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1.8939393939393938</v>
      </c>
      <c r="Y503" s="667">
        <f>IFERROR(Y499/H499,"0")+IFERROR(Y500/H500,"0")+IFERROR(Y501/H501,"0")+IFERROR(Y502/H502,"0")</f>
        <v>2</v>
      </c>
      <c r="Z503" s="667">
        <f>IFERROR(IF(Z499="",0,Z499),"0")+IFERROR(IF(Z500="",0,Z500),"0")+IFERROR(IF(Z501="",0,Z501),"0")+IFERROR(IF(Z502="",0,Z502),"0")</f>
        <v>2.392E-2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10</v>
      </c>
      <c r="Y504" s="667">
        <f>IFERROR(SUM(Y499:Y502),"0")</f>
        <v>10.56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23</v>
      </c>
      <c r="Y506" s="666">
        <f t="shared" ref="Y506:Y517" si="73">IFERROR(IF(X506="",0,CEILING((X506/$H506),1)*$H506),"")</f>
        <v>26.400000000000002</v>
      </c>
      <c r="Z506" s="36">
        <f>IFERROR(IF(Y506=0,"",ROUNDUP(Y506/H506,0)*0.01196),"")</f>
        <v>5.9799999999999999E-2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24.568181818181817</v>
      </c>
      <c r="BN506" s="64">
        <f t="shared" ref="BN506:BN517" si="75">IFERROR(Y506*I506/H506,"0")</f>
        <v>28.200000000000003</v>
      </c>
      <c r="BO506" s="64">
        <f t="shared" ref="BO506:BO517" si="76">IFERROR(1/J506*(X506/H506),"0")</f>
        <v>4.1885198135198129E-2</v>
      </c>
      <c r="BP506" s="64">
        <f t="shared" ref="BP506:BP517" si="77">IFERROR(1/J506*(Y506/H506),"0")</f>
        <v>4.807692307692308E-2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45</v>
      </c>
      <c r="Y508" s="666">
        <f t="shared" si="73"/>
        <v>47.52</v>
      </c>
      <c r="Z508" s="36">
        <f>IFERROR(IF(Y508=0,"",ROUNDUP(Y508/H508,0)*0.01196),"")</f>
        <v>0.10764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48.068181818181813</v>
      </c>
      <c r="BN508" s="64">
        <f t="shared" si="75"/>
        <v>50.760000000000005</v>
      </c>
      <c r="BO508" s="64">
        <f t="shared" si="76"/>
        <v>8.1949300699300689E-2</v>
      </c>
      <c r="BP508" s="64">
        <f t="shared" si="77"/>
        <v>8.6538461538461536E-2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12.878787878787877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0.16744000000000001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68</v>
      </c>
      <c r="Y519" s="667">
        <f>IFERROR(SUM(Y506:Y517),"0")</f>
        <v>73.92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34</v>
      </c>
      <c r="Y551" s="666">
        <f t="shared" ref="Y551:Y557" si="83">IFERROR(IF(X551="",0,CEILING((X551/$H551),1)*$H551),"")</f>
        <v>37.800000000000004</v>
      </c>
      <c r="Z551" s="36">
        <f>IFERROR(IF(Y551=0,"",ROUNDUP(Y551/H551,0)*0.00902),"")</f>
        <v>8.1180000000000002E-2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36.185714285714283</v>
      </c>
      <c r="BN551" s="64">
        <f t="shared" ref="BN551:BN557" si="85">IFERROR(Y551*I551/H551,"0")</f>
        <v>40.229999999999997</v>
      </c>
      <c r="BO551" s="64">
        <f t="shared" ref="BO551:BO557" si="86">IFERROR(1/J551*(X551/H551),"0")</f>
        <v>6.1327561327561328E-2</v>
      </c>
      <c r="BP551" s="64">
        <f t="shared" ref="BP551:BP557" si="87">IFERROR(1/J551*(Y551/H551),"0")</f>
        <v>6.8181818181818177E-2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33</v>
      </c>
      <c r="Y552" s="666">
        <f t="shared" si="83"/>
        <v>33.6</v>
      </c>
      <c r="Z552" s="36">
        <f>IFERROR(IF(Y552=0,"",ROUNDUP(Y552/H552,0)*0.00902),"")</f>
        <v>7.2160000000000002E-2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35.121428571428567</v>
      </c>
      <c r="BN552" s="64">
        <f t="shared" si="85"/>
        <v>35.76</v>
      </c>
      <c r="BO552" s="64">
        <f t="shared" si="86"/>
        <v>5.9523809523809521E-2</v>
      </c>
      <c r="BP552" s="64">
        <f t="shared" si="87"/>
        <v>6.0606060606060608E-2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15.952380952380953</v>
      </c>
      <c r="Y558" s="667">
        <f>IFERROR(Y551/H551,"0")+IFERROR(Y552/H552,"0")+IFERROR(Y553/H553,"0")+IFERROR(Y554/H554,"0")+IFERROR(Y555/H555,"0")+IFERROR(Y556/H556,"0")+IFERROR(Y557/H557,"0")</f>
        <v>17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0.15334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67</v>
      </c>
      <c r="Y559" s="667">
        <f>IFERROR(SUM(Y551:Y557),"0")</f>
        <v>71.400000000000006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8232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8417.1299999999992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8700.9508120441642</v>
      </c>
      <c r="Y593" s="667">
        <f>IFERROR(SUM(BN22:BN589),"0")</f>
        <v>8896.1419999999998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15</v>
      </c>
      <c r="Y594" s="38">
        <f>ROUNDUP(SUM(BP22:BP589),0)</f>
        <v>15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9075.9508120441642</v>
      </c>
      <c r="Y595" s="667">
        <f>GrossWeightTotalR+PalletQtyTotalR*25</f>
        <v>9271.1419999999998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1537.5217035687626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1571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17.424749999999996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366.8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1017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562.13999999999987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241.26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140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218.40000000000003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507.59999999999997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259.20000000000005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37.800000000000004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2640.15</v>
      </c>
      <c r="V602" s="46">
        <f>IFERROR(Y363*1,"0")+IFERROR(Y367*1,"0")+IFERROR(Y368*1,"0")+IFERROR(Y369*1,"0")</f>
        <v>297.3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1835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64.8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21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137.28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71.400000000000006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62,00"/>
        <filter val="1 441,00"/>
        <filter val="1 537,52"/>
        <filter val="1 551,00"/>
        <filter val="1,89"/>
        <filter val="10,00"/>
        <filter val="100,00"/>
        <filter val="103,00"/>
        <filter val="105,00"/>
        <filter val="11,37"/>
        <filter val="110,00"/>
        <filter val="111,63"/>
        <filter val="115,00"/>
        <filter val="12,00"/>
        <filter val="12,88"/>
        <filter val="12,92"/>
        <filter val="122,00"/>
        <filter val="126,00"/>
        <filter val="13,00"/>
        <filter val="132,00"/>
        <filter val="133,00"/>
        <filter val="137,00"/>
        <filter val="137,62"/>
        <filter val="140,00"/>
        <filter val="145,00"/>
        <filter val="15"/>
        <filter val="15,95"/>
        <filter val="153,00"/>
        <filter val="16,00"/>
        <filter val="16,50"/>
        <filter val="169,58"/>
        <filter val="17,00"/>
        <filter val="17,62"/>
        <filter val="176,00"/>
        <filter val="18,00"/>
        <filter val="186,00"/>
        <filter val="188,00"/>
        <filter val="190,00"/>
        <filter val="194,00"/>
        <filter val="2,22"/>
        <filter val="20,00"/>
        <filter val="21,81"/>
        <filter val="212,00"/>
        <filter val="22,00"/>
        <filter val="22,96"/>
        <filter val="221,41"/>
        <filter val="222,00"/>
        <filter val="228,00"/>
        <filter val="23,00"/>
        <filter val="24,00"/>
        <filter val="248,00"/>
        <filter val="25,00"/>
        <filter val="26,25"/>
        <filter val="265,00"/>
        <filter val="27,00"/>
        <filter val="275,00"/>
        <filter val="28,40"/>
        <filter val="289,00"/>
        <filter val="29,00"/>
        <filter val="31,00"/>
        <filter val="33,00"/>
        <filter val="339,00"/>
        <filter val="34,00"/>
        <filter val="36,00"/>
        <filter val="362,00"/>
        <filter val="37,00"/>
        <filter val="392,00"/>
        <filter val="4,00"/>
        <filter val="406,00"/>
        <filter val="407,00"/>
        <filter val="41,00"/>
        <filter val="41,11"/>
        <filter val="41,90"/>
        <filter val="42,00"/>
        <filter val="420,00"/>
        <filter val="422,00"/>
        <filter val="426,00"/>
        <filter val="44,00"/>
        <filter val="45,00"/>
        <filter val="469,00"/>
        <filter val="47,00"/>
        <filter val="48,32"/>
        <filter val="50,00"/>
        <filter val="55,56"/>
        <filter val="58,00"/>
        <filter val="61,48"/>
        <filter val="62,00"/>
        <filter val="63,00"/>
        <filter val="64,35"/>
        <filter val="65,00"/>
        <filter val="66,00"/>
        <filter val="67,00"/>
        <filter val="68,00"/>
        <filter val="68,63"/>
        <filter val="697,00"/>
        <filter val="72,00"/>
        <filter val="72,25"/>
        <filter val="731,00"/>
        <filter val="76,00"/>
        <filter val="79,00"/>
        <filter val="8 232,00"/>
        <filter val="8 700,95"/>
        <filter val="8,00"/>
        <filter val="8,90"/>
        <filter val="87,00"/>
        <filter val="9 075,95"/>
        <filter val="9,52"/>
        <filter val="90,00"/>
        <filter val="95,00"/>
        <filter val="96,67"/>
        <filter val="96,8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2025-04-07T12:51:24Z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