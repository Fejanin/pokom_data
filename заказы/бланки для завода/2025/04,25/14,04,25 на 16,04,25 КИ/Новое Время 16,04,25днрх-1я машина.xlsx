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6CB341E-CF4E-4223-A87A-0B313978CA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X586" i="1"/>
  <c r="X585" i="1"/>
  <c r="BO584" i="1"/>
  <c r="BM584" i="1"/>
  <c r="Y584" i="1"/>
  <c r="X582" i="1"/>
  <c r="X581" i="1"/>
  <c r="BO580" i="1"/>
  <c r="BM580" i="1"/>
  <c r="Y580" i="1"/>
  <c r="X578" i="1"/>
  <c r="X577" i="1"/>
  <c r="BO576" i="1"/>
  <c r="BM576" i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BP533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Y523" i="1" s="1"/>
  <c r="P521" i="1"/>
  <c r="BP520" i="1"/>
  <c r="BO520" i="1"/>
  <c r="BN520" i="1"/>
  <c r="BM520" i="1"/>
  <c r="Z520" i="1"/>
  <c r="Y520" i="1"/>
  <c r="P520" i="1"/>
  <c r="X518" i="1"/>
  <c r="X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P498" i="1"/>
  <c r="X496" i="1"/>
  <c r="X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Y476" i="1" s="1"/>
  <c r="P474" i="1"/>
  <c r="X472" i="1"/>
  <c r="X471" i="1"/>
  <c r="BO470" i="1"/>
  <c r="BM470" i="1"/>
  <c r="Y470" i="1"/>
  <c r="AB60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BP435" i="1" s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Y426" i="1" s="1"/>
  <c r="X422" i="1"/>
  <c r="X421" i="1"/>
  <c r="BO420" i="1"/>
  <c r="BM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1" i="1" s="1"/>
  <c r="P416" i="1"/>
  <c r="X414" i="1"/>
  <c r="X413" i="1"/>
  <c r="BO412" i="1"/>
  <c r="BM412" i="1"/>
  <c r="Y412" i="1"/>
  <c r="Y414" i="1" s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N376" i="1"/>
  <c r="BM376" i="1"/>
  <c r="Z376" i="1"/>
  <c r="Y376" i="1"/>
  <c r="BP376" i="1" s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BP368" i="1" s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BP351" i="1" s="1"/>
  <c r="P351" i="1"/>
  <c r="BO350" i="1"/>
  <c r="BM350" i="1"/>
  <c r="Y350" i="1"/>
  <c r="BP350" i="1" s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BP319" i="1" s="1"/>
  <c r="P319" i="1"/>
  <c r="X316" i="1"/>
  <c r="X315" i="1"/>
  <c r="BO314" i="1"/>
  <c r="BM314" i="1"/>
  <c r="Y314" i="1"/>
  <c r="T601" i="1" s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X140" i="1"/>
  <c r="X139" i="1"/>
  <c r="BO138" i="1"/>
  <c r="BM138" i="1"/>
  <c r="Y138" i="1"/>
  <c r="BP138" i="1" s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Y129" i="1" s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P54" i="1"/>
  <c r="BO54" i="1"/>
  <c r="BN54" i="1"/>
  <c r="BM54" i="1"/>
  <c r="Z54" i="1"/>
  <c r="Y54" i="1"/>
  <c r="P54" i="1"/>
  <c r="BO53" i="1"/>
  <c r="BN53" i="1"/>
  <c r="BM53" i="1"/>
  <c r="Z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216" i="1" l="1"/>
  <c r="BN216" i="1"/>
  <c r="Z216" i="1"/>
  <c r="BP259" i="1"/>
  <c r="BN259" i="1"/>
  <c r="Z259" i="1"/>
  <c r="BP329" i="1"/>
  <c r="BN329" i="1"/>
  <c r="Z329" i="1"/>
  <c r="BP357" i="1"/>
  <c r="BN357" i="1"/>
  <c r="Z357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7" i="1"/>
  <c r="BN527" i="1"/>
  <c r="Z527" i="1"/>
  <c r="Y577" i="1"/>
  <c r="BP576" i="1"/>
  <c r="BN576" i="1"/>
  <c r="Z576" i="1"/>
  <c r="Z577" i="1" s="1"/>
  <c r="Y586" i="1"/>
  <c r="Y585" i="1"/>
  <c r="BP584" i="1"/>
  <c r="BN584" i="1"/>
  <c r="Z584" i="1"/>
  <c r="Z585" i="1" s="1"/>
  <c r="Z22" i="1"/>
  <c r="BN22" i="1"/>
  <c r="Z44" i="1"/>
  <c r="Z45" i="1" s="1"/>
  <c r="BN44" i="1"/>
  <c r="BP44" i="1"/>
  <c r="Y45" i="1"/>
  <c r="Z49" i="1"/>
  <c r="BN49" i="1"/>
  <c r="Z60" i="1"/>
  <c r="BN60" i="1"/>
  <c r="Z76" i="1"/>
  <c r="BN76" i="1"/>
  <c r="Z87" i="1"/>
  <c r="BN87" i="1"/>
  <c r="Z108" i="1"/>
  <c r="BN108" i="1"/>
  <c r="Z121" i="1"/>
  <c r="BN121" i="1"/>
  <c r="Z122" i="1"/>
  <c r="BN122" i="1"/>
  <c r="Z125" i="1"/>
  <c r="BN125" i="1"/>
  <c r="Z142" i="1"/>
  <c r="BN142" i="1"/>
  <c r="Y145" i="1"/>
  <c r="Z175" i="1"/>
  <c r="BN175" i="1"/>
  <c r="Z182" i="1"/>
  <c r="BN182" i="1"/>
  <c r="Z192" i="1"/>
  <c r="BN192" i="1"/>
  <c r="Z206" i="1"/>
  <c r="BN206" i="1"/>
  <c r="BP231" i="1"/>
  <c r="BN231" i="1"/>
  <c r="Z231" i="1"/>
  <c r="BP309" i="1"/>
  <c r="BN309" i="1"/>
  <c r="Z309" i="1"/>
  <c r="BP339" i="1"/>
  <c r="BN339" i="1"/>
  <c r="Z339" i="1"/>
  <c r="BP381" i="1"/>
  <c r="BN381" i="1"/>
  <c r="Z381" i="1"/>
  <c r="BP430" i="1"/>
  <c r="BN430" i="1"/>
  <c r="Z430" i="1"/>
  <c r="BP432" i="1"/>
  <c r="BN432" i="1"/>
  <c r="Z432" i="1"/>
  <c r="BP436" i="1"/>
  <c r="BN436" i="1"/>
  <c r="Z436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Y529" i="1"/>
  <c r="Y528" i="1"/>
  <c r="BP526" i="1"/>
  <c r="BN526" i="1"/>
  <c r="Z526" i="1"/>
  <c r="Z528" i="1" s="1"/>
  <c r="Y442" i="1"/>
  <c r="Y83" i="1"/>
  <c r="BP383" i="1"/>
  <c r="BN383" i="1"/>
  <c r="Z383" i="1"/>
  <c r="BP407" i="1"/>
  <c r="BN407" i="1"/>
  <c r="Z407" i="1"/>
  <c r="BP438" i="1"/>
  <c r="BN438" i="1"/>
  <c r="Z438" i="1"/>
  <c r="Y447" i="1"/>
  <c r="BP445" i="1"/>
  <c r="BN445" i="1"/>
  <c r="Z445" i="1"/>
  <c r="BP486" i="1"/>
  <c r="BN486" i="1"/>
  <c r="Z486" i="1"/>
  <c r="BP516" i="1"/>
  <c r="BN516" i="1"/>
  <c r="Z516" i="1"/>
  <c r="Y548" i="1"/>
  <c r="Y547" i="1"/>
  <c r="BP542" i="1"/>
  <c r="BN542" i="1"/>
  <c r="Z542" i="1"/>
  <c r="BP544" i="1"/>
  <c r="BN544" i="1"/>
  <c r="Z544" i="1"/>
  <c r="BP546" i="1"/>
  <c r="BN546" i="1"/>
  <c r="Z546" i="1"/>
  <c r="Y566" i="1"/>
  <c r="Y565" i="1"/>
  <c r="BP560" i="1"/>
  <c r="BN560" i="1"/>
  <c r="Z560" i="1"/>
  <c r="BP562" i="1"/>
  <c r="BN562" i="1"/>
  <c r="Z562" i="1"/>
  <c r="BP564" i="1"/>
  <c r="BN564" i="1"/>
  <c r="Z564" i="1"/>
  <c r="Y29" i="1"/>
  <c r="Z26" i="1"/>
  <c r="BN26" i="1"/>
  <c r="X591" i="1"/>
  <c r="C601" i="1"/>
  <c r="Z40" i="1"/>
  <c r="BN40" i="1"/>
  <c r="Y55" i="1"/>
  <c r="Z51" i="1"/>
  <c r="BN51" i="1"/>
  <c r="Z58" i="1"/>
  <c r="BN58" i="1"/>
  <c r="Z66" i="1"/>
  <c r="BN66" i="1"/>
  <c r="Z74" i="1"/>
  <c r="BN74" i="1"/>
  <c r="Z80" i="1"/>
  <c r="BN80" i="1"/>
  <c r="BP80" i="1"/>
  <c r="Z89" i="1"/>
  <c r="BN89" i="1"/>
  <c r="Z94" i="1"/>
  <c r="BN94" i="1"/>
  <c r="Z99" i="1"/>
  <c r="BN99" i="1"/>
  <c r="Z106" i="1"/>
  <c r="BN106" i="1"/>
  <c r="Y111" i="1"/>
  <c r="Z114" i="1"/>
  <c r="BN114" i="1"/>
  <c r="Z119" i="1"/>
  <c r="BN119" i="1"/>
  <c r="BP119" i="1"/>
  <c r="Y128" i="1"/>
  <c r="Z127" i="1"/>
  <c r="BN127" i="1"/>
  <c r="Y133" i="1"/>
  <c r="Z138" i="1"/>
  <c r="BN138" i="1"/>
  <c r="Y144" i="1"/>
  <c r="Z148" i="1"/>
  <c r="BN148" i="1"/>
  <c r="Y161" i="1"/>
  <c r="Z159" i="1"/>
  <c r="BN159" i="1"/>
  <c r="I601" i="1"/>
  <c r="Y183" i="1"/>
  <c r="Z177" i="1"/>
  <c r="BN177" i="1"/>
  <c r="Z180" i="1"/>
  <c r="BN180" i="1"/>
  <c r="J601" i="1"/>
  <c r="Z196" i="1"/>
  <c r="BN196" i="1"/>
  <c r="BP196" i="1"/>
  <c r="Y199" i="1"/>
  <c r="Y209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Y227" i="1"/>
  <c r="K601" i="1"/>
  <c r="Z233" i="1"/>
  <c r="BN233" i="1"/>
  <c r="Z237" i="1"/>
  <c r="BN237" i="1"/>
  <c r="Z242" i="1"/>
  <c r="BN242" i="1"/>
  <c r="Z257" i="1"/>
  <c r="BN257" i="1"/>
  <c r="Z271" i="1"/>
  <c r="BN271" i="1"/>
  <c r="P601" i="1"/>
  <c r="Z280" i="1"/>
  <c r="BN280" i="1"/>
  <c r="Z314" i="1"/>
  <c r="Z315" i="1" s="1"/>
  <c r="BN314" i="1"/>
  <c r="BP314" i="1"/>
  <c r="Y315" i="1"/>
  <c r="Z319" i="1"/>
  <c r="BN319" i="1"/>
  <c r="Y326" i="1"/>
  <c r="Z323" i="1"/>
  <c r="BN323" i="1"/>
  <c r="Y332" i="1"/>
  <c r="Z331" i="1"/>
  <c r="BN331" i="1"/>
  <c r="Y341" i="1"/>
  <c r="Z337" i="1"/>
  <c r="BN337" i="1"/>
  <c r="Z343" i="1"/>
  <c r="BN343" i="1"/>
  <c r="BP343" i="1"/>
  <c r="Y346" i="1"/>
  <c r="Y354" i="1"/>
  <c r="Z351" i="1"/>
  <c r="BN351" i="1"/>
  <c r="Y360" i="1"/>
  <c r="Z368" i="1"/>
  <c r="BN368" i="1"/>
  <c r="BP379" i="1"/>
  <c r="BN379" i="1"/>
  <c r="Z379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BP522" i="1"/>
  <c r="BN522" i="1"/>
  <c r="Z522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386" i="1"/>
  <c r="Y413" i="1"/>
  <c r="Y448" i="1"/>
  <c r="Z601" i="1"/>
  <c r="Y461" i="1"/>
  <c r="AC601" i="1"/>
  <c r="Y503" i="1"/>
  <c r="Y517" i="1"/>
  <c r="Y524" i="1"/>
  <c r="H9" i="1"/>
  <c r="A10" i="1"/>
  <c r="F9" i="1"/>
  <c r="J9" i="1"/>
  <c r="Y33" i="1"/>
  <c r="Y41" i="1"/>
  <c r="BP59" i="1"/>
  <c r="BN59" i="1"/>
  <c r="Z59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B601" i="1"/>
  <c r="X592" i="1"/>
  <c r="X593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Z37" i="1"/>
  <c r="BN37" i="1"/>
  <c r="BP37" i="1"/>
  <c r="Z39" i="1"/>
  <c r="BN39" i="1"/>
  <c r="Y42" i="1"/>
  <c r="D601" i="1"/>
  <c r="Y56" i="1"/>
  <c r="Z50" i="1"/>
  <c r="BN50" i="1"/>
  <c r="Z52" i="1"/>
  <c r="BN52" i="1"/>
  <c r="Y62" i="1"/>
  <c r="BP61" i="1"/>
  <c r="BN61" i="1"/>
  <c r="Z61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Y90" i="1"/>
  <c r="Y102" i="1"/>
  <c r="Y103" i="1"/>
  <c r="BP93" i="1"/>
  <c r="BN93" i="1"/>
  <c r="Z93" i="1"/>
  <c r="E601" i="1"/>
  <c r="Y91" i="1"/>
  <c r="Z95" i="1"/>
  <c r="BN95" i="1"/>
  <c r="Z96" i="1"/>
  <c r="BN96" i="1"/>
  <c r="Z97" i="1"/>
  <c r="BN97" i="1"/>
  <c r="Z98" i="1"/>
  <c r="BN98" i="1"/>
  <c r="Z100" i="1"/>
  <c r="BN100" i="1"/>
  <c r="F601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BP120" i="1"/>
  <c r="Z123" i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Y244" i="1"/>
  <c r="Z246" i="1"/>
  <c r="Z247" i="1" s="1"/>
  <c r="BN246" i="1"/>
  <c r="BP246" i="1"/>
  <c r="Y247" i="1"/>
  <c r="L601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1" i="1"/>
  <c r="Z320" i="1"/>
  <c r="BN320" i="1"/>
  <c r="BP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BP336" i="1"/>
  <c r="Z338" i="1"/>
  <c r="BN338" i="1"/>
  <c r="Z344" i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BP375" i="1"/>
  <c r="BP380" i="1"/>
  <c r="BN380" i="1"/>
  <c r="Z380" i="1"/>
  <c r="BP384" i="1"/>
  <c r="BN384" i="1"/>
  <c r="Z384" i="1"/>
  <c r="Y391" i="1"/>
  <c r="BP388" i="1"/>
  <c r="BN388" i="1"/>
  <c r="Z388" i="1"/>
  <c r="Z390" i="1" s="1"/>
  <c r="BP394" i="1"/>
  <c r="BN394" i="1"/>
  <c r="Z394" i="1"/>
  <c r="Y408" i="1"/>
  <c r="BP404" i="1"/>
  <c r="BN404" i="1"/>
  <c r="Z404" i="1"/>
  <c r="Y139" i="1"/>
  <c r="Y172" i="1"/>
  <c r="Y193" i="1"/>
  <c r="Y238" i="1"/>
  <c r="Y267" i="1"/>
  <c r="Y274" i="1"/>
  <c r="Y283" i="1"/>
  <c r="Y288" i="1"/>
  <c r="Y301" i="1"/>
  <c r="Y306" i="1"/>
  <c r="Y365" i="1"/>
  <c r="W601" i="1"/>
  <c r="Y385" i="1"/>
  <c r="BP378" i="1"/>
  <c r="BN378" i="1"/>
  <c r="Z378" i="1"/>
  <c r="BP382" i="1"/>
  <c r="BN382" i="1"/>
  <c r="Z382" i="1"/>
  <c r="Y395" i="1"/>
  <c r="BP393" i="1"/>
  <c r="BN393" i="1"/>
  <c r="Z393" i="1"/>
  <c r="Z395" i="1" s="1"/>
  <c r="X601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1" i="1"/>
  <c r="Z434" i="1"/>
  <c r="BN434" i="1"/>
  <c r="BP434" i="1"/>
  <c r="Z435" i="1"/>
  <c r="BN435" i="1"/>
  <c r="Z437" i="1"/>
  <c r="BN437" i="1"/>
  <c r="Z440" i="1"/>
  <c r="BN440" i="1"/>
  <c r="Y443" i="1"/>
  <c r="Z446" i="1"/>
  <c r="BN446" i="1"/>
  <c r="BP446" i="1"/>
  <c r="Z451" i="1"/>
  <c r="Z453" i="1" s="1"/>
  <c r="BN451" i="1"/>
  <c r="BP451" i="1"/>
  <c r="Y454" i="1"/>
  <c r="Z456" i="1"/>
  <c r="Z460" i="1" s="1"/>
  <c r="BN456" i="1"/>
  <c r="BP456" i="1"/>
  <c r="Z459" i="1"/>
  <c r="BN459" i="1"/>
  <c r="Y460" i="1"/>
  <c r="Z464" i="1"/>
  <c r="Z466" i="1" s="1"/>
  <c r="BN464" i="1"/>
  <c r="BP464" i="1"/>
  <c r="Z465" i="1"/>
  <c r="BN465" i="1"/>
  <c r="Y466" i="1"/>
  <c r="Z470" i="1"/>
  <c r="Z471" i="1" s="1"/>
  <c r="BN470" i="1"/>
  <c r="BP470" i="1"/>
  <c r="Y471" i="1"/>
  <c r="Z474" i="1"/>
  <c r="Z475" i="1" s="1"/>
  <c r="BN474" i="1"/>
  <c r="BP474" i="1"/>
  <c r="Y475" i="1"/>
  <c r="Z480" i="1"/>
  <c r="Z495" i="1" s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Z502" i="1" s="1"/>
  <c r="BN498" i="1"/>
  <c r="BP498" i="1"/>
  <c r="Z499" i="1"/>
  <c r="BN499" i="1"/>
  <c r="Z500" i="1"/>
  <c r="BN500" i="1"/>
  <c r="Z501" i="1"/>
  <c r="BN501" i="1"/>
  <c r="Y502" i="1"/>
  <c r="Z511" i="1"/>
  <c r="BN511" i="1"/>
  <c r="Z512" i="1"/>
  <c r="BN512" i="1"/>
  <c r="Z515" i="1"/>
  <c r="BN515" i="1"/>
  <c r="Y518" i="1"/>
  <c r="Z521" i="1"/>
  <c r="Z523" i="1" s="1"/>
  <c r="BN521" i="1"/>
  <c r="BP521" i="1"/>
  <c r="Z533" i="1"/>
  <c r="BN533" i="1"/>
  <c r="Z534" i="1"/>
  <c r="BN534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73" i="1"/>
  <c r="Y581" i="1"/>
  <c r="BP580" i="1"/>
  <c r="BN580" i="1"/>
  <c r="Z580" i="1"/>
  <c r="Z581" i="1" s="1"/>
  <c r="Y582" i="1"/>
  <c r="Y589" i="1"/>
  <c r="BP588" i="1"/>
  <c r="BN588" i="1"/>
  <c r="Z588" i="1"/>
  <c r="Z589" i="1" s="1"/>
  <c r="Y590" i="1"/>
  <c r="Y453" i="1"/>
  <c r="Y467" i="1"/>
  <c r="Y472" i="1"/>
  <c r="Y496" i="1"/>
  <c r="AD601" i="1"/>
  <c r="Y539" i="1"/>
  <c r="BP536" i="1"/>
  <c r="BN536" i="1"/>
  <c r="Z536" i="1"/>
  <c r="BP538" i="1"/>
  <c r="BN538" i="1"/>
  <c r="Z538" i="1"/>
  <c r="Y540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58" i="1"/>
  <c r="Y572" i="1"/>
  <c r="BP568" i="1"/>
  <c r="BN568" i="1"/>
  <c r="Z568" i="1"/>
  <c r="Z572" i="1" s="1"/>
  <c r="BP570" i="1"/>
  <c r="BN570" i="1"/>
  <c r="Z570" i="1"/>
  <c r="AE601" i="1"/>
  <c r="Y578" i="1"/>
  <c r="Z447" i="1" l="1"/>
  <c r="Z346" i="1"/>
  <c r="Z243" i="1"/>
  <c r="Z161" i="1"/>
  <c r="Z68" i="1"/>
  <c r="Z41" i="1"/>
  <c r="X594" i="1"/>
  <c r="Z90" i="1"/>
  <c r="Z62" i="1"/>
  <c r="Z517" i="1"/>
  <c r="Z442" i="1"/>
  <c r="Z421" i="1"/>
  <c r="Z408" i="1"/>
  <c r="Z55" i="1"/>
  <c r="Y592" i="1"/>
  <c r="Z28" i="1"/>
  <c r="Y591" i="1"/>
  <c r="Z565" i="1"/>
  <c r="Z370" i="1"/>
  <c r="Z359" i="1"/>
  <c r="Z353" i="1"/>
  <c r="Z340" i="1"/>
  <c r="Z332" i="1"/>
  <c r="Z325" i="1"/>
  <c r="Z282" i="1"/>
  <c r="Z273" i="1"/>
  <c r="Z261" i="1"/>
  <c r="Z221" i="1"/>
  <c r="Z183" i="1"/>
  <c r="Z128" i="1"/>
  <c r="Z116" i="1"/>
  <c r="Z110" i="1"/>
  <c r="Z102" i="1"/>
  <c r="Y593" i="1"/>
  <c r="Z547" i="1"/>
  <c r="Z557" i="1"/>
  <c r="Z385" i="1"/>
  <c r="Y595" i="1"/>
  <c r="Z539" i="1"/>
  <c r="Z238" i="1"/>
  <c r="Z209" i="1"/>
  <c r="Z77" i="1"/>
  <c r="Z596" i="1" s="1"/>
  <c r="Y594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<sst xmlns="http://schemas.openxmlformats.org/spreadsheetml/2006/main" count="2721" uniqueCount="976">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</sst>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45763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Среда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1000</v>
      </c>
      <c r="Y37" s="664">
        <f>IFERROR(IF(X37="",0,CEILING((X37/$H37),1)*$H37),"")</f>
        <v>1004.4000000000001</v>
      </c>
      <c r="Z37" s="36">
        <f>IFERROR(IF(Y37=0,"",ROUNDUP(Y37/H37,0)*0.01898),"")</f>
        <v>1.7651399999999999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1040.2777777777776</v>
      </c>
      <c r="BN37" s="64">
        <f>IFERROR(Y37*I37/H37,"0")</f>
        <v>1044.855</v>
      </c>
      <c r="BO37" s="64">
        <f>IFERROR(1/J37*(X37/H37),"0")</f>
        <v>1.4467592592592591</v>
      </c>
      <c r="BP37" s="64">
        <f>IFERROR(1/J37*(Y37/H37),"0")</f>
        <v>1.453125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92.592592592592581</v>
      </c>
      <c r="Y41" s="665">
        <f>IFERROR(Y37/H37,"0")+IFERROR(Y38/H38,"0")+IFERROR(Y39/H39,"0")+IFERROR(Y40/H40,"0")</f>
        <v>93</v>
      </c>
      <c r="Z41" s="665">
        <f>IFERROR(IF(Z37="",0,Z37),"0")+IFERROR(IF(Z38="",0,Z38),"0")+IFERROR(IF(Z39="",0,Z39),"0")+IFERROR(IF(Z40="",0,Z40),"0")</f>
        <v>1.7651399999999999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1000</v>
      </c>
      <c r="Y42" s="665">
        <f>IFERROR(SUM(Y37:Y40),"0")</f>
        <v>1004.4000000000001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700</v>
      </c>
      <c r="Y50" s="664">
        <f t="shared" si="6"/>
        <v>702</v>
      </c>
      <c r="Z50" s="36">
        <f>IFERROR(IF(Y50=0,"",ROUNDUP(Y50/H50,0)*0.01898),"")</f>
        <v>1.2337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728.19444444444434</v>
      </c>
      <c r="BN50" s="64">
        <f t="shared" si="8"/>
        <v>730.27499999999986</v>
      </c>
      <c r="BO50" s="64">
        <f t="shared" si="9"/>
        <v>1.0127314814814814</v>
      </c>
      <c r="BP50" s="64">
        <f t="shared" si="10"/>
        <v>1.015625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64.81481481481481</v>
      </c>
      <c r="Y55" s="665">
        <f>IFERROR(Y49/H49,"0")+IFERROR(Y50/H50,"0")+IFERROR(Y51/H51,"0")+IFERROR(Y52/H52,"0")+IFERROR(Y53/H53,"0")+IFERROR(Y54/H54,"0")</f>
        <v>65</v>
      </c>
      <c r="Z55" s="665">
        <f>IFERROR(IF(Z49="",0,Z49),"0")+IFERROR(IF(Z50="",0,Z50),"0")+IFERROR(IF(Z51="",0,Z51),"0")+IFERROR(IF(Z52="",0,Z52),"0")+IFERROR(IF(Z53="",0,Z53),"0")+IFERROR(IF(Z54="",0,Z54),"0")</f>
        <v>1.2337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700</v>
      </c>
      <c r="Y56" s="665">
        <f>IFERROR(SUM(Y49:Y54),"0")</f>
        <v>702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150</v>
      </c>
      <c r="Y58" s="664">
        <f>IFERROR(IF(X58="",0,CEILING((X58/$H58),1)*$H58),"")</f>
        <v>151.20000000000002</v>
      </c>
      <c r="Z58" s="36">
        <f>IFERROR(IF(Y58=0,"",ROUNDUP(Y58/H58,0)*0.01898),"")</f>
        <v>0.26572000000000001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156.04166666666666</v>
      </c>
      <c r="BN58" s="64">
        <f>IFERROR(Y58*I58/H58,"0")</f>
        <v>157.29000000000002</v>
      </c>
      <c r="BO58" s="64">
        <f>IFERROR(1/J58*(X58/H58),"0")</f>
        <v>0.21701388888888887</v>
      </c>
      <c r="BP58" s="64">
        <f>IFERROR(1/J58*(Y58/H58),"0")</f>
        <v>0.21875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13.888888888888888</v>
      </c>
      <c r="Y62" s="665">
        <f>IFERROR(Y58/H58,"0")+IFERROR(Y59/H59,"0")+IFERROR(Y60/H60,"0")+IFERROR(Y61/H61,"0")</f>
        <v>14</v>
      </c>
      <c r="Z62" s="665">
        <f>IFERROR(IF(Z58="",0,Z58),"0")+IFERROR(IF(Z59="",0,Z59),"0")+IFERROR(IF(Z60="",0,Z60),"0")+IFERROR(IF(Z61="",0,Z61),"0")</f>
        <v>0.26572000000000001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150</v>
      </c>
      <c r="Y63" s="665">
        <f>IFERROR(SUM(Y58:Y61),"0")</f>
        <v>151.20000000000002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700</v>
      </c>
      <c r="Y87" s="664">
        <f>IFERROR(IF(X87="",0,CEILING((X87/$H87),1)*$H87),"")</f>
        <v>702</v>
      </c>
      <c r="Z87" s="36">
        <f>IFERROR(IF(Y87=0,"",ROUNDUP(Y87/H87,0)*0.01898),"")</f>
        <v>1.2337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728.19444444444434</v>
      </c>
      <c r="BN87" s="64">
        <f>IFERROR(Y87*I87/H87,"0")</f>
        <v>730.27499999999986</v>
      </c>
      <c r="BO87" s="64">
        <f>IFERROR(1/J87*(X87/H87),"0")</f>
        <v>1.0127314814814814</v>
      </c>
      <c r="BP87" s="64">
        <f>IFERROR(1/J87*(Y87/H87),"0")</f>
        <v>1.015625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64.81481481481481</v>
      </c>
      <c r="Y90" s="665">
        <f>IFERROR(Y87/H87,"0")+IFERROR(Y88/H88,"0")+IFERROR(Y89/H89,"0")</f>
        <v>65</v>
      </c>
      <c r="Z90" s="665">
        <f>IFERROR(IF(Z87="",0,Z87),"0")+IFERROR(IF(Z88="",0,Z88),"0")+IFERROR(IF(Z89="",0,Z89),"0")</f>
        <v>1.2337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700</v>
      </c>
      <c r="Y91" s="665">
        <f>IFERROR(SUM(Y87:Y89),"0")</f>
        <v>702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300</v>
      </c>
      <c r="Y94" s="664">
        <f t="shared" si="16"/>
        <v>302.40000000000003</v>
      </c>
      <c r="Z94" s="36">
        <f>IFERROR(IF(Y94=0,"",ROUNDUP(Y94/H94,0)*0.01898),"")</f>
        <v>0.68328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318.53571428571428</v>
      </c>
      <c r="BN94" s="64">
        <f t="shared" si="18"/>
        <v>321.084</v>
      </c>
      <c r="BO94" s="64">
        <f t="shared" si="19"/>
        <v>0.5580357142857143</v>
      </c>
      <c r="BP94" s="64">
        <f t="shared" si="20"/>
        <v>0.5625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450</v>
      </c>
      <c r="Y98" s="664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492</v>
      </c>
      <c r="BN98" s="64">
        <f t="shared" si="18"/>
        <v>492.98399999999998</v>
      </c>
      <c r="BO98" s="64">
        <f t="shared" si="19"/>
        <v>0.91575091575091572</v>
      </c>
      <c r="BP98" s="64">
        <f t="shared" si="20"/>
        <v>0.91758241758241765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202.38095238095238</v>
      </c>
      <c r="Y102" s="665">
        <f>IFERROR(Y93/H93,"0")+IFERROR(Y94/H94,"0")+IFERROR(Y95/H95,"0")+IFERROR(Y96/H96,"0")+IFERROR(Y97/H97,"0")+IFERROR(Y98/H98,"0")+IFERROR(Y99/H99,"0")+IFERROR(Y100/H100,"0")+IFERROR(Y101/H101,"0")</f>
        <v>203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1.7704499999999999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750</v>
      </c>
      <c r="Y103" s="665">
        <f>IFERROR(SUM(Y93:Y101),"0")</f>
        <v>753.30000000000007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700</v>
      </c>
      <c r="Y106" s="664">
        <f>IFERROR(IF(X106="",0,CEILING((X106/$H106),1)*$H106),"")</f>
        <v>702</v>
      </c>
      <c r="Z106" s="36">
        <f>IFERROR(IF(Y106=0,"",ROUNDUP(Y106/H106,0)*0.01898),"")</f>
        <v>1.2337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728.19444444444434</v>
      </c>
      <c r="BN106" s="64">
        <f>IFERROR(Y106*I106/H106,"0")</f>
        <v>730.27499999999986</v>
      </c>
      <c r="BO106" s="64">
        <f>IFERROR(1/J106*(X106/H106),"0")</f>
        <v>1.0127314814814814</v>
      </c>
      <c r="BP106" s="64">
        <f>IFERROR(1/J106*(Y106/H106),"0")</f>
        <v>1.015625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64.81481481481481</v>
      </c>
      <c r="Y110" s="665">
        <f>IFERROR(Y106/H106,"0")+IFERROR(Y107/H107,"0")+IFERROR(Y108/H108,"0")+IFERROR(Y109/H109,"0")</f>
        <v>65</v>
      </c>
      <c r="Z110" s="665">
        <f>IFERROR(IF(Z106="",0,Z106),"0")+IFERROR(IF(Z107="",0,Z107),"0")+IFERROR(IF(Z108="",0,Z108),"0")+IFERROR(IF(Z109="",0,Z109),"0")</f>
        <v>1.2337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700</v>
      </c>
      <c r="Y111" s="665">
        <f>IFERROR(SUM(Y106:Y109),"0")</f>
        <v>702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300</v>
      </c>
      <c r="Y120" s="664">
        <f t="shared" si="21"/>
        <v>302.40000000000003</v>
      </c>
      <c r="Z120" s="36">
        <f>IFERROR(IF(Y120=0,"",ROUNDUP(Y120/H120,0)*0.01898),"")</f>
        <v>0.68328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318.32142857142856</v>
      </c>
      <c r="BN120" s="64">
        <f t="shared" si="23"/>
        <v>320.86800000000005</v>
      </c>
      <c r="BO120" s="64">
        <f t="shared" si="24"/>
        <v>0.5580357142857143</v>
      </c>
      <c r="BP120" s="64">
        <f t="shared" si="25"/>
        <v>0.5625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450</v>
      </c>
      <c r="Y125" s="664">
        <f t="shared" si="21"/>
        <v>450.90000000000003</v>
      </c>
      <c r="Z125" s="36">
        <f t="shared" si="26"/>
        <v>1.08717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492</v>
      </c>
      <c r="BN125" s="64">
        <f t="shared" si="23"/>
        <v>492.98399999999998</v>
      </c>
      <c r="BO125" s="64">
        <f t="shared" si="24"/>
        <v>0.91575091575091572</v>
      </c>
      <c r="BP125" s="64">
        <f t="shared" si="25"/>
        <v>0.91758241758241765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202.38095238095238</v>
      </c>
      <c r="Y128" s="665">
        <f>IFERROR(Y119/H119,"0")+IFERROR(Y120/H120,"0")+IFERROR(Y121/H121,"0")+IFERROR(Y122/H122,"0")+IFERROR(Y123/H123,"0")+IFERROR(Y124/H124,"0")+IFERROR(Y125/H125,"0")+IFERROR(Y126/H126,"0")+IFERROR(Y127/H127,"0")</f>
        <v>203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1.7704499999999999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750</v>
      </c>
      <c r="Y129" s="665">
        <f>IFERROR(SUM(Y119:Y127),"0")</f>
        <v>753.30000000000007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200</v>
      </c>
      <c r="Y212" s="664">
        <f t="shared" ref="Y212:Y220" si="37">IFERROR(IF(X212="",0,CEILING((X212/$H212),1)*$H212),"")</f>
        <v>202.5</v>
      </c>
      <c r="Z212" s="36">
        <f>IFERROR(IF(Y212=0,"",ROUNDUP(Y212/H212,0)*0.01898),"")</f>
        <v>0.47450000000000003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212.81481481481481</v>
      </c>
      <c r="BN212" s="64">
        <f t="shared" ref="BN212:BN220" si="39">IFERROR(Y212*I212/H212,"0")</f>
        <v>215.47499999999999</v>
      </c>
      <c r="BO212" s="64">
        <f t="shared" ref="BO212:BO220" si="40">IFERROR(1/J212*(X212/H212),"0")</f>
        <v>0.38580246913580246</v>
      </c>
      <c r="BP212" s="64">
        <f t="shared" ref="BP212:BP220" si="41">IFERROR(1/J212*(Y212/H212),"0")</f>
        <v>0.390625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80</v>
      </c>
      <c r="Y218" s="664">
        <f t="shared" si="37"/>
        <v>81.599999999999994</v>
      </c>
      <c r="Z218" s="36">
        <f t="shared" si="42"/>
        <v>0.22134000000000001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88.40000000000002</v>
      </c>
      <c r="BN218" s="64">
        <f t="shared" si="39"/>
        <v>90.168000000000006</v>
      </c>
      <c r="BO218" s="64">
        <f t="shared" si="40"/>
        <v>0.18315018315018317</v>
      </c>
      <c r="BP218" s="64">
        <f t="shared" si="41"/>
        <v>0.18681318681318682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141.35802469135803</v>
      </c>
      <c r="Y221" s="665">
        <f>IFERROR(Y212/H212,"0")+IFERROR(Y213/H213,"0")+IFERROR(Y214/H214,"0")+IFERROR(Y215/H215,"0")+IFERROR(Y216/H216,"0")+IFERROR(Y217/H217,"0")+IFERROR(Y218/H218,"0")+IFERROR(Y219/H219,"0")+IFERROR(Y220/H220,"0")</f>
        <v>143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1.24268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480</v>
      </c>
      <c r="Y222" s="665">
        <f>IFERROR(SUM(Y212:Y220),"0")</f>
        <v>485.70000000000005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300</v>
      </c>
      <c r="Y335" s="664">
        <f>IFERROR(IF(X335="",0,CEILING((X335/$H335),1)*$H335),"")</f>
        <v>304.2</v>
      </c>
      <c r="Z335" s="36">
        <f>IFERROR(IF(Y335=0,"",ROUNDUP(Y335/H335,0)*0.01898),"")</f>
        <v>0.74021999999999999</v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319.73076923076923</v>
      </c>
      <c r="BN335" s="64">
        <f>IFERROR(Y335*I335/H335,"0")</f>
        <v>324.20700000000005</v>
      </c>
      <c r="BO335" s="64">
        <f>IFERROR(1/J335*(X335/H335),"0")</f>
        <v>0.60096153846153844</v>
      </c>
      <c r="BP335" s="64">
        <f>IFERROR(1/J335*(Y335/H335),"0")</f>
        <v>0.609375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38.46153846153846</v>
      </c>
      <c r="Y340" s="665">
        <f>IFERROR(Y335/H335,"0")+IFERROR(Y336/H336,"0")+IFERROR(Y337/H337,"0")+IFERROR(Y338/H338,"0")+IFERROR(Y339/H339,"0")</f>
        <v>39</v>
      </c>
      <c r="Z340" s="665">
        <f>IFERROR(IF(Z335="",0,Z335),"0")+IFERROR(IF(Z336="",0,Z336),"0")+IFERROR(IF(Z337="",0,Z337),"0")+IFERROR(IF(Z338="",0,Z338),"0")+IFERROR(IF(Z339="",0,Z339),"0")</f>
        <v>0.74021999999999999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300</v>
      </c>
      <c r="Y341" s="665">
        <f>IFERROR(SUM(Y335:Y339),"0")</f>
        <v>304.2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200</v>
      </c>
      <c r="Y344" s="664">
        <f>IFERROR(IF(X344="",0,CEILING((X344/$H344),1)*$H344),"")</f>
        <v>202.79999999999998</v>
      </c>
      <c r="Z344" s="36">
        <f>IFERROR(IF(Y344=0,"",ROUNDUP(Y344/H344,0)*0.01898),"")</f>
        <v>0.49348000000000003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213.30769230769235</v>
      </c>
      <c r="BN344" s="64">
        <f>IFERROR(Y344*I344/H344,"0")</f>
        <v>216.29400000000001</v>
      </c>
      <c r="BO344" s="64">
        <f>IFERROR(1/J344*(X344/H344),"0")</f>
        <v>0.40064102564102566</v>
      </c>
      <c r="BP344" s="64">
        <f>IFERROR(1/J344*(Y344/H344),"0")</f>
        <v>0.40625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25.641025641025642</v>
      </c>
      <c r="Y346" s="665">
        <f>IFERROR(Y343/H343,"0")+IFERROR(Y344/H344,"0")+IFERROR(Y345/H345,"0")</f>
        <v>26</v>
      </c>
      <c r="Z346" s="665">
        <f>IFERROR(IF(Z343="",0,Z343),"0")+IFERROR(IF(Z344="",0,Z344),"0")+IFERROR(IF(Z345="",0,Z345),"0")</f>
        <v>0.49348000000000003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200</v>
      </c>
      <c r="Y347" s="665">
        <f>IFERROR(SUM(Y343:Y345),"0")</f>
        <v>202.79999999999998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17</v>
      </c>
      <c r="Y352" s="664">
        <f>IFERROR(IF(X352="",0,CEILING((X352/$H352),1)*$H352),"")</f>
        <v>17.849999999999998</v>
      </c>
      <c r="Z352" s="36">
        <f>IFERROR(IF(Y352=0,"",ROUNDUP(Y352/H352,0)*0.00651),"")</f>
        <v>4.5569999999999999E-2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19.200000000000003</v>
      </c>
      <c r="BN352" s="64">
        <f>IFERROR(Y352*I352/H352,"0")</f>
        <v>20.16</v>
      </c>
      <c r="BO352" s="64">
        <f>IFERROR(1/J352*(X352/H352),"0")</f>
        <v>3.6630036630036632E-2</v>
      </c>
      <c r="BP352" s="64">
        <f>IFERROR(1/J352*(Y352/H352),"0")</f>
        <v>3.8461538461538464E-2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6.666666666666667</v>
      </c>
      <c r="Y353" s="665">
        <f>IFERROR(Y349/H349,"0")+IFERROR(Y350/H350,"0")+IFERROR(Y351/H351,"0")+IFERROR(Y352/H352,"0")</f>
        <v>7</v>
      </c>
      <c r="Z353" s="665">
        <f>IFERROR(IF(Z349="",0,Z349),"0")+IFERROR(IF(Z350="",0,Z350),"0")+IFERROR(IF(Z351="",0,Z351),"0")+IFERROR(IF(Z352="",0,Z352),"0")</f>
        <v>4.5569999999999999E-2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17</v>
      </c>
      <c r="Y354" s="665">
        <f>IFERROR(SUM(Y349:Y352),"0")</f>
        <v>17.849999999999998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42</v>
      </c>
      <c r="Y368" s="664">
        <f>IFERROR(IF(X368="",0,CEILING((X368/$H368),1)*$H368),"")</f>
        <v>42</v>
      </c>
      <c r="Z368" s="36">
        <f>IFERROR(IF(Y368=0,"",ROUNDUP(Y368/H368,0)*0.00651),"")</f>
        <v>0.13020000000000001</v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47.039999999999992</v>
      </c>
      <c r="BN368" s="64">
        <f>IFERROR(Y368*I368/H368,"0")</f>
        <v>47.039999999999992</v>
      </c>
      <c r="BO368" s="64">
        <f>IFERROR(1/J368*(X368/H368),"0")</f>
        <v>0.1098901098901099</v>
      </c>
      <c r="BP368" s="64">
        <f>IFERROR(1/J368*(Y368/H368),"0")</f>
        <v>0.1098901098901099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126</v>
      </c>
      <c r="Y369" s="664">
        <f>IFERROR(IF(X369="",0,CEILING((X369/$H369),1)*$H369),"")</f>
        <v>126</v>
      </c>
      <c r="Z369" s="36">
        <f>IFERROR(IF(Y369=0,"",ROUNDUP(Y369/H369,0)*0.00651),"")</f>
        <v>0.3906</v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140.39999999999998</v>
      </c>
      <c r="BN369" s="64">
        <f>IFERROR(Y369*I369/H369,"0")</f>
        <v>140.39999999999998</v>
      </c>
      <c r="BO369" s="64">
        <f>IFERROR(1/J369*(X369/H369),"0")</f>
        <v>0.32967032967032972</v>
      </c>
      <c r="BP369" s="64">
        <f>IFERROR(1/J369*(Y369/H369),"0")</f>
        <v>0.32967032967032972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80</v>
      </c>
      <c r="Y370" s="665">
        <f>IFERROR(Y367/H367,"0")+IFERROR(Y368/H368,"0")+IFERROR(Y369/H369,"0")</f>
        <v>80</v>
      </c>
      <c r="Z370" s="665">
        <f>IFERROR(IF(Z367="",0,Z367),"0")+IFERROR(IF(Z368="",0,Z368),"0")+IFERROR(IF(Z369="",0,Z369),"0")</f>
        <v>0.52080000000000004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168</v>
      </c>
      <c r="Y371" s="665">
        <f>IFERROR(SUM(Y367:Y369),"0")</f>
        <v>168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1000</v>
      </c>
      <c r="Y375" s="664">
        <f t="shared" ref="Y375:Y384" si="58">IFERROR(IF(X375="",0,CEILING((X375/$H375),1)*$H375),"")</f>
        <v>1005</v>
      </c>
      <c r="Z375" s="36">
        <f>IFERROR(IF(Y375=0,"",ROUNDUP(Y375/H375,0)*0.02175),"")</f>
        <v>1.4572499999999999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1032</v>
      </c>
      <c r="BN375" s="64">
        <f t="shared" ref="BN375:BN384" si="60">IFERROR(Y375*I375/H375,"0")</f>
        <v>1037.1600000000001</v>
      </c>
      <c r="BO375" s="64">
        <f t="shared" ref="BO375:BO384" si="61">IFERROR(1/J375*(X375/H375),"0")</f>
        <v>1.3888888888888888</v>
      </c>
      <c r="BP375" s="64">
        <f t="shared" ref="BP375:BP384" si="62">IFERROR(1/J375*(Y375/H375),"0")</f>
        <v>1.3958333333333333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1000</v>
      </c>
      <c r="Y377" s="664">
        <f t="shared" si="58"/>
        <v>1005</v>
      </c>
      <c r="Z377" s="36">
        <f>IFERROR(IF(Y377=0,"",ROUNDUP(Y377/H377,0)*0.02175),"")</f>
        <v>1.4572499999999999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1032</v>
      </c>
      <c r="BN377" s="64">
        <f t="shared" si="60"/>
        <v>1037.1600000000001</v>
      </c>
      <c r="BO377" s="64">
        <f t="shared" si="61"/>
        <v>1.3888888888888888</v>
      </c>
      <c r="BP377" s="64">
        <f t="shared" si="62"/>
        <v>1.3958333333333333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200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201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4.3717499999999996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3000</v>
      </c>
      <c r="Y386" s="665">
        <f>IFERROR(SUM(Y375:Y384),"0")</f>
        <v>3015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500</v>
      </c>
      <c r="Y416" s="664">
        <f>IFERROR(IF(X416="",0,CEILING((X416/$H416),1)*$H416),"")</f>
        <v>504</v>
      </c>
      <c r="Z416" s="36">
        <f>IFERROR(IF(Y416=0,"",ROUNDUP(Y416/H416,0)*0.01898),"")</f>
        <v>1.06288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528.83333333333337</v>
      </c>
      <c r="BN416" s="64">
        <f>IFERROR(Y416*I416/H416,"0")</f>
        <v>533.06399999999996</v>
      </c>
      <c r="BO416" s="64">
        <f>IFERROR(1/J416*(X416/H416),"0")</f>
        <v>0.86805555555555558</v>
      </c>
      <c r="BP416" s="64">
        <f>IFERROR(1/J416*(Y416/H416),"0")</f>
        <v>0.875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200</v>
      </c>
      <c r="Y419" s="664">
        <f>IFERROR(IF(X419="",0,CEILING((X419/$H419),1)*$H419),"")</f>
        <v>201.6</v>
      </c>
      <c r="Z419" s="36">
        <f>IFERROR(IF(Y419=0,"",ROUNDUP(Y419/H419,0)*0.00651),"")</f>
        <v>0.54683999999999999</v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222.00000000000003</v>
      </c>
      <c r="BN419" s="64">
        <f>IFERROR(Y419*I419/H419,"0")</f>
        <v>223.77600000000001</v>
      </c>
      <c r="BO419" s="64">
        <f>IFERROR(1/J419*(X419/H419),"0")</f>
        <v>0.45787545787545797</v>
      </c>
      <c r="BP419" s="64">
        <f>IFERROR(1/J419*(Y419/H419),"0")</f>
        <v>0.46153846153846156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138.88888888888891</v>
      </c>
      <c r="Y421" s="665">
        <f>IFERROR(Y416/H416,"0")+IFERROR(Y417/H417,"0")+IFERROR(Y418/H418,"0")+IFERROR(Y419/H419,"0")+IFERROR(Y420/H420,"0")</f>
        <v>140</v>
      </c>
      <c r="Z421" s="665">
        <f>IFERROR(IF(Z416="",0,Z416),"0")+IFERROR(IF(Z417="",0,Z417),"0")+IFERROR(IF(Z418="",0,Z418),"0")+IFERROR(IF(Z419="",0,Z419),"0")+IFERROR(IF(Z420="",0,Z420),"0")</f>
        <v>1.60972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700</v>
      </c>
      <c r="Y422" s="665">
        <f>IFERROR(SUM(Y416:Y420),"0")</f>
        <v>705.6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500</v>
      </c>
      <c r="Y480" s="664">
        <f t="shared" ref="Y480:Y494" si="69">IFERROR(IF(X480="",0,CEILING((X480/$H480),1)*$H480),"")</f>
        <v>501.6</v>
      </c>
      <c r="Z480" s="36">
        <f>IFERROR(IF(Y480=0,"",ROUNDUP(Y480/H480,0)*0.01196),"")</f>
        <v>1.1362000000000001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534.09090909090912</v>
      </c>
      <c r="BN480" s="64">
        <f t="shared" ref="BN480:BN494" si="71">IFERROR(Y480*I480/H480,"0")</f>
        <v>535.79999999999995</v>
      </c>
      <c r="BO480" s="64">
        <f t="shared" ref="BO480:BO494" si="72">IFERROR(1/J480*(X480/H480),"0")</f>
        <v>0.91054778554778548</v>
      </c>
      <c r="BP480" s="64">
        <f t="shared" ref="BP480:BP494" si="73">IFERROR(1/J480*(Y480/H480),"0")</f>
        <v>0.91346153846153855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700</v>
      </c>
      <c r="Y481" s="664">
        <f t="shared" si="69"/>
        <v>702.24</v>
      </c>
      <c r="Z481" s="36">
        <f>IFERROR(IF(Y481=0,"",ROUNDUP(Y481/H481,0)*0.01196),"")</f>
        <v>1.5906800000000001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747.72727272727275</v>
      </c>
      <c r="BN481" s="64">
        <f t="shared" si="71"/>
        <v>750.11999999999989</v>
      </c>
      <c r="BO481" s="64">
        <f t="shared" si="72"/>
        <v>1.2747668997668997</v>
      </c>
      <c r="BP481" s="64">
        <f t="shared" si="73"/>
        <v>1.278846153846154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1000</v>
      </c>
      <c r="Y482" s="664">
        <f t="shared" si="69"/>
        <v>1003.2</v>
      </c>
      <c r="Z482" s="36">
        <f>IFERROR(IF(Y482=0,"",ROUNDUP(Y482/H482,0)*0.01196),"")</f>
        <v>2.2724000000000002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1068.1818181818182</v>
      </c>
      <c r="BN482" s="64">
        <f t="shared" si="71"/>
        <v>1071.5999999999999</v>
      </c>
      <c r="BO482" s="64">
        <f t="shared" si="72"/>
        <v>1.821095571095571</v>
      </c>
      <c r="BP482" s="64">
        <f t="shared" si="73"/>
        <v>1.8269230769230771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1000</v>
      </c>
      <c r="Y483" s="664">
        <f t="shared" si="69"/>
        <v>1003.2</v>
      </c>
      <c r="Z483" s="36">
        <f>IFERROR(IF(Y483=0,"",ROUNDUP(Y483/H483,0)*0.01196),"")</f>
        <v>2.2724000000000002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1068.1818181818182</v>
      </c>
      <c r="BN483" s="64">
        <f t="shared" si="71"/>
        <v>1071.5999999999999</v>
      </c>
      <c r="BO483" s="64">
        <f t="shared" si="72"/>
        <v>1.821095571095571</v>
      </c>
      <c r="BP483" s="64">
        <f t="shared" si="73"/>
        <v>1.8269230769230771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606.06060606060601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608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7.2716800000000008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3200</v>
      </c>
      <c r="Y496" s="665">
        <f>IFERROR(SUM(Y480:Y494),"0")</f>
        <v>3210.24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1000</v>
      </c>
      <c r="Y498" s="664">
        <f>IFERROR(IF(X498="",0,CEILING((X498/$H498),1)*$H498),"")</f>
        <v>1003.2</v>
      </c>
      <c r="Z498" s="36">
        <f>IFERROR(IF(Y498=0,"",ROUNDUP(Y498/H498,0)*0.01196),"")</f>
        <v>2.2724000000000002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1068.1818181818182</v>
      </c>
      <c r="BN498" s="64">
        <f>IFERROR(Y498*I498/H498,"0")</f>
        <v>1071.5999999999999</v>
      </c>
      <c r="BO498" s="64">
        <f>IFERROR(1/J498*(X498/H498),"0")</f>
        <v>1.821095571095571</v>
      </c>
      <c r="BP498" s="64">
        <f>IFERROR(1/J498*(Y498/H498),"0")</f>
        <v>1.8269230769230771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189.39393939393938</v>
      </c>
      <c r="Y502" s="665">
        <f>IFERROR(Y498/H498,"0")+IFERROR(Y499/H499,"0")+IFERROR(Y500/H500,"0")+IFERROR(Y501/H501,"0")</f>
        <v>190</v>
      </c>
      <c r="Z502" s="665">
        <f>IFERROR(IF(Z498="",0,Z498),"0")+IFERROR(IF(Z499="",0,Z499),"0")+IFERROR(IF(Z500="",0,Z500),"0")+IFERROR(IF(Z501="",0,Z501),"0")</f>
        <v>2.2724000000000002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1000</v>
      </c>
      <c r="Y503" s="665">
        <f>IFERROR(SUM(Y498:Y501),"0")</f>
        <v>1003.2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500</v>
      </c>
      <c r="Y505" s="664">
        <f t="shared" ref="Y505:Y516" si="74">IFERROR(IF(X505="",0,CEILING((X505/$H505),1)*$H505),"")</f>
        <v>501.6</v>
      </c>
      <c r="Z505" s="36">
        <f>IFERROR(IF(Y505=0,"",ROUNDUP(Y505/H505,0)*0.01196),"")</f>
        <v>1.1362000000000001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534.09090909090912</v>
      </c>
      <c r="BN505" s="64">
        <f t="shared" ref="BN505:BN516" si="76">IFERROR(Y505*I505/H505,"0")</f>
        <v>535.79999999999995</v>
      </c>
      <c r="BO505" s="64">
        <f t="shared" ref="BO505:BO516" si="77">IFERROR(1/J505*(X505/H505),"0")</f>
        <v>0.91054778554778548</v>
      </c>
      <c r="BP505" s="64">
        <f t="shared" ref="BP505:BP516" si="78">IFERROR(1/J505*(Y505/H505),"0")</f>
        <v>0.91346153846153855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500</v>
      </c>
      <c r="Y506" s="664">
        <f t="shared" si="74"/>
        <v>501.6</v>
      </c>
      <c r="Z506" s="36">
        <f>IFERROR(IF(Y506=0,"",ROUNDUP(Y506/H506,0)*0.01196),"")</f>
        <v>1.1362000000000001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534.09090909090912</v>
      </c>
      <c r="BN506" s="64">
        <f t="shared" si="76"/>
        <v>535.79999999999995</v>
      </c>
      <c r="BO506" s="64">
        <f t="shared" si="77"/>
        <v>0.91054778554778548</v>
      </c>
      <c r="BP506" s="64">
        <f t="shared" si="78"/>
        <v>0.91346153846153855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500</v>
      </c>
      <c r="Y507" s="664">
        <f t="shared" si="74"/>
        <v>501.6</v>
      </c>
      <c r="Z507" s="36">
        <f>IFERROR(IF(Y507=0,"",ROUNDUP(Y507/H507,0)*0.01196),"")</f>
        <v>1.1362000000000001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534.09090909090912</v>
      </c>
      <c r="BN507" s="64">
        <f t="shared" si="76"/>
        <v>535.79999999999995</v>
      </c>
      <c r="BO507" s="64">
        <f t="shared" si="77"/>
        <v>0.91054778554778548</v>
      </c>
      <c r="BP507" s="64">
        <f t="shared" si="78"/>
        <v>0.91346153846153855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284.09090909090907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285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3.4086000000000003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1500</v>
      </c>
      <c r="Y518" s="665">
        <f>IFERROR(SUM(Y505:Y516),"0")</f>
        <v>1504.8000000000002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400</v>
      </c>
      <c r="Y535" s="664">
        <f t="shared" si="79"/>
        <v>408</v>
      </c>
      <c r="Z535" s="36">
        <f>IFERROR(IF(Y535=0,"",ROUNDUP(Y535/H535,0)*0.01898),"")</f>
        <v>0.64532</v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414.5</v>
      </c>
      <c r="BN535" s="64">
        <f t="shared" si="81"/>
        <v>422.79</v>
      </c>
      <c r="BO535" s="64">
        <f t="shared" si="82"/>
        <v>0.52083333333333337</v>
      </c>
      <c r="BP535" s="64">
        <f t="shared" si="83"/>
        <v>0.53125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33.333333333333336</v>
      </c>
      <c r="Y539" s="665">
        <f>IFERROR(Y533/H533,"0")+IFERROR(Y534/H534,"0")+IFERROR(Y535/H535,"0")+IFERROR(Y536/H536,"0")+IFERROR(Y537/H537,"0")+IFERROR(Y538/H538,"0")</f>
        <v>34</v>
      </c>
      <c r="Z539" s="665">
        <f>IFERROR(IF(Z533="",0,Z533),"0")+IFERROR(IF(Z534="",0,Z534),"0")+IFERROR(IF(Z535="",0,Z535),"0")+IFERROR(IF(Z536="",0,Z536),"0")+IFERROR(IF(Z537="",0,Z537),"0")+IFERROR(IF(Z538="",0,Z538),"0")</f>
        <v>0.64532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400</v>
      </c>
      <c r="Y540" s="665">
        <f>IFERROR(SUM(Y533:Y538),"0")</f>
        <v>408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600</v>
      </c>
      <c r="Y560" s="664">
        <f>IFERROR(IF(X560="",0,CEILING((X560/$H560),1)*$H560),"")</f>
        <v>603</v>
      </c>
      <c r="Z560" s="36">
        <f>IFERROR(IF(Y560=0,"",ROUNDUP(Y560/H560,0)*0.01898),"")</f>
        <v>1.27166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634.59999999999991</v>
      </c>
      <c r="BN560" s="64">
        <f>IFERROR(Y560*I560/H560,"0")</f>
        <v>637.77300000000002</v>
      </c>
      <c r="BO560" s="64">
        <f>IFERROR(1/J560*(X560/H560),"0")</f>
        <v>1.0416666666666667</v>
      </c>
      <c r="BP560" s="64">
        <f>IFERROR(1/J560*(Y560/H560),"0")</f>
        <v>1.046875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66.666666666666671</v>
      </c>
      <c r="Y565" s="665">
        <f>IFERROR(Y560/H560,"0")+IFERROR(Y561/H561,"0")+IFERROR(Y562/H562,"0")+IFERROR(Y563/H563,"0")+IFERROR(Y564/H564,"0")</f>
        <v>67</v>
      </c>
      <c r="Z565" s="665">
        <f>IFERROR(IF(Z560="",0,Z560),"0")+IFERROR(IF(Z561="",0,Z561),"0")+IFERROR(IF(Z562="",0,Z562),"0")+IFERROR(IF(Z563="",0,Z563),"0")+IFERROR(IF(Z564="",0,Z564),"0")</f>
        <v>1.27166</v>
      </c>
      <c r="AA565" s="666"/>
      <c r="AB565" s="666"/>
      <c r="AC565" s="666"/>
    </row>
    <row r="566" spans="1:68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600</v>
      </c>
      <c r="Y566" s="665">
        <f>IFERROR(SUM(Y560:Y564),"0")</f>
        <v>603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17315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17401.59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18280.222893957889</v>
      </c>
      <c r="Y592" s="665">
        <f>IFERROR(SUM(BN22:BN588),"0")</f>
        <v>18371.565000000002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29</v>
      </c>
      <c r="Y593" s="38">
        <f>ROUNDUP(SUM(BP22:BP588),0)</f>
        <v>30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19005.222893957889</v>
      </c>
      <c r="Y594" s="665">
        <f>GrossWeightTotalR+PalletQtyTotalR*25</f>
        <v>19121.565000000002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2582.9160962494293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2595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34.623989999999992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1004.4000000000001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853.2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1455.3000000000002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1455.3000000000002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485.70000000000005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524.85</v>
      </c>
      <c r="V601" s="46">
        <f>IFERROR(Y363*1,"0")+IFERROR(Y367*1,"0")+IFERROR(Y368*1,"0")+IFERROR(Y369*1,"0")</f>
        <v>168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705.6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5718.2400000000007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1011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26,00"/>
        <filter val="13,89"/>
        <filter val="138,89"/>
        <filter val="141,36"/>
        <filter val="150,00"/>
        <filter val="168,00"/>
        <filter val="17 315,00"/>
        <filter val="17,00"/>
        <filter val="18 280,22"/>
        <filter val="189,39"/>
        <filter val="19 005,22"/>
        <filter val="2 582,92"/>
        <filter val="200,00"/>
        <filter val="202,38"/>
        <filter val="25,64"/>
        <filter val="284,09"/>
        <filter val="29"/>
        <filter val="3 000,00"/>
        <filter val="3 200,00"/>
        <filter val="300,00"/>
        <filter val="33,33"/>
        <filter val="38,46"/>
        <filter val="400,00"/>
        <filter val="42,00"/>
        <filter val="450,00"/>
        <filter val="480,00"/>
        <filter val="500,00"/>
        <filter val="6,67"/>
        <filter val="600,00"/>
        <filter val="606,06"/>
        <filter val="64,81"/>
        <filter val="66,67"/>
        <filter val="700,00"/>
        <filter val="750,00"/>
        <filter val="80,00"/>
        <filter val="92,59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2025-04-14T13:23:17Z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