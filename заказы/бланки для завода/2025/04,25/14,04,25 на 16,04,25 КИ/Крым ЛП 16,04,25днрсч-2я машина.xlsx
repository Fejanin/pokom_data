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0369831-24DE-48AB-BD57-1512F6861FD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BP515" i="1" s="1"/>
  <c r="BO514" i="1"/>
  <c r="BM514" i="1"/>
  <c r="Y514" i="1"/>
  <c r="BP514" i="1" s="1"/>
  <c r="P514" i="1"/>
  <c r="BO513" i="1"/>
  <c r="BM513" i="1"/>
  <c r="Y513" i="1"/>
  <c r="BO512" i="1"/>
  <c r="BM512" i="1"/>
  <c r="Y512" i="1"/>
  <c r="P512" i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P498" i="1"/>
  <c r="X496" i="1"/>
  <c r="X495" i="1"/>
  <c r="BO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BP487" i="1" s="1"/>
  <c r="P487" i="1"/>
  <c r="BO486" i="1"/>
  <c r="BM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O480" i="1"/>
  <c r="BM480" i="1"/>
  <c r="Y480" i="1"/>
  <c r="AC601" i="1" s="1"/>
  <c r="P480" i="1"/>
  <c r="X476" i="1"/>
  <c r="X475" i="1"/>
  <c r="BO474" i="1"/>
  <c r="BM474" i="1"/>
  <c r="Y474" i="1"/>
  <c r="Y475" i="1" s="1"/>
  <c r="P474" i="1"/>
  <c r="X472" i="1"/>
  <c r="X471" i="1"/>
  <c r="BO470" i="1"/>
  <c r="BM470" i="1"/>
  <c r="Y470" i="1"/>
  <c r="Y471" i="1" s="1"/>
  <c r="P470" i="1"/>
  <c r="X467" i="1"/>
  <c r="X466" i="1"/>
  <c r="BO465" i="1"/>
  <c r="BM465" i="1"/>
  <c r="Y465" i="1"/>
  <c r="BP465" i="1" s="1"/>
  <c r="BO464" i="1"/>
  <c r="BM464" i="1"/>
  <c r="Y464" i="1"/>
  <c r="P464" i="1"/>
  <c r="X461" i="1"/>
  <c r="X460" i="1"/>
  <c r="BO459" i="1"/>
  <c r="BM459" i="1"/>
  <c r="Y459" i="1"/>
  <c r="BP459" i="1" s="1"/>
  <c r="P459" i="1"/>
  <c r="BO458" i="1"/>
  <c r="BM458" i="1"/>
  <c r="Y458" i="1"/>
  <c r="BO457" i="1"/>
  <c r="BM457" i="1"/>
  <c r="Y457" i="1"/>
  <c r="P457" i="1"/>
  <c r="BO456" i="1"/>
  <c r="BM456" i="1"/>
  <c r="Y456" i="1"/>
  <c r="Y460" i="1" s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O434" i="1"/>
  <c r="BM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Y364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BP351" i="1" s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BP319" i="1" s="1"/>
  <c r="P319" i="1"/>
  <c r="X316" i="1"/>
  <c r="X315" i="1"/>
  <c r="BO314" i="1"/>
  <c r="BM314" i="1"/>
  <c r="Y314" i="1"/>
  <c r="T601" i="1" s="1"/>
  <c r="P314" i="1"/>
  <c r="X311" i="1"/>
  <c r="X310" i="1"/>
  <c r="BO309" i="1"/>
  <c r="BM309" i="1"/>
  <c r="Y309" i="1"/>
  <c r="BP309" i="1" s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9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O80" i="1"/>
  <c r="BM80" i="1"/>
  <c r="Y80" i="1"/>
  <c r="Y84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76" i="1" l="1"/>
  <c r="BN76" i="1"/>
  <c r="Z76" i="1"/>
  <c r="BP106" i="1"/>
  <c r="BN106" i="1"/>
  <c r="Z106" i="1"/>
  <c r="Y154" i="1"/>
  <c r="BP153" i="1"/>
  <c r="BN153" i="1"/>
  <c r="Z153" i="1"/>
  <c r="Z154" i="1" s="1"/>
  <c r="BP157" i="1"/>
  <c r="BN157" i="1"/>
  <c r="Z157" i="1"/>
  <c r="BP212" i="1"/>
  <c r="BN212" i="1"/>
  <c r="Z212" i="1"/>
  <c r="BP235" i="1"/>
  <c r="BN235" i="1"/>
  <c r="Z235" i="1"/>
  <c r="BP321" i="1"/>
  <c r="BN321" i="1"/>
  <c r="Z321" i="1"/>
  <c r="BP345" i="1"/>
  <c r="BN345" i="1"/>
  <c r="Z345" i="1"/>
  <c r="BP381" i="1"/>
  <c r="BN381" i="1"/>
  <c r="Z381" i="1"/>
  <c r="BP420" i="1"/>
  <c r="BN420" i="1"/>
  <c r="Z420" i="1"/>
  <c r="BP483" i="1"/>
  <c r="BN483" i="1"/>
  <c r="Z483" i="1"/>
  <c r="BP493" i="1"/>
  <c r="BN493" i="1"/>
  <c r="Z493" i="1"/>
  <c r="BP513" i="1"/>
  <c r="BN513" i="1"/>
  <c r="Z513" i="1"/>
  <c r="X592" i="1"/>
  <c r="Z23" i="1"/>
  <c r="BN23" i="1"/>
  <c r="Z24" i="1"/>
  <c r="BN24" i="1"/>
  <c r="Z25" i="1"/>
  <c r="BN25" i="1"/>
  <c r="Z50" i="1"/>
  <c r="BN50" i="1"/>
  <c r="Z60" i="1"/>
  <c r="BN60" i="1"/>
  <c r="BP89" i="1"/>
  <c r="BN89" i="1"/>
  <c r="Z89" i="1"/>
  <c r="BP131" i="1"/>
  <c r="BN131" i="1"/>
  <c r="Z131" i="1"/>
  <c r="BP202" i="1"/>
  <c r="BN202" i="1"/>
  <c r="Z202" i="1"/>
  <c r="BP220" i="1"/>
  <c r="BN220" i="1"/>
  <c r="Z220" i="1"/>
  <c r="Y252" i="1"/>
  <c r="Y251" i="1"/>
  <c r="BP250" i="1"/>
  <c r="BN250" i="1"/>
  <c r="Z250" i="1"/>
  <c r="Z251" i="1" s="1"/>
  <c r="BP255" i="1"/>
  <c r="BN255" i="1"/>
  <c r="Z255" i="1"/>
  <c r="BP335" i="1"/>
  <c r="BN335" i="1"/>
  <c r="Z335" i="1"/>
  <c r="BP369" i="1"/>
  <c r="BN369" i="1"/>
  <c r="Z369" i="1"/>
  <c r="BP407" i="1"/>
  <c r="BN407" i="1"/>
  <c r="Z407" i="1"/>
  <c r="BP445" i="1"/>
  <c r="BN445" i="1"/>
  <c r="Z445" i="1"/>
  <c r="BP486" i="1"/>
  <c r="BN486" i="1"/>
  <c r="Z486" i="1"/>
  <c r="BP512" i="1"/>
  <c r="BN512" i="1"/>
  <c r="Z512" i="1"/>
  <c r="BP516" i="1"/>
  <c r="BN516" i="1"/>
  <c r="Z516" i="1"/>
  <c r="Y102" i="1"/>
  <c r="Y111" i="1"/>
  <c r="Y162" i="1"/>
  <c r="Y340" i="1"/>
  <c r="Y502" i="1"/>
  <c r="Y370" i="1"/>
  <c r="BP379" i="1"/>
  <c r="BN379" i="1"/>
  <c r="Z379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41" i="1"/>
  <c r="BN441" i="1"/>
  <c r="Z441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601" i="1"/>
  <c r="X593" i="1"/>
  <c r="X594" i="1" s="1"/>
  <c r="Z27" i="1"/>
  <c r="BN27" i="1"/>
  <c r="X591" i="1"/>
  <c r="Z39" i="1"/>
  <c r="BN39" i="1"/>
  <c r="D601" i="1"/>
  <c r="Z52" i="1"/>
  <c r="BN52" i="1"/>
  <c r="Z58" i="1"/>
  <c r="BN58" i="1"/>
  <c r="BP58" i="1"/>
  <c r="Y63" i="1"/>
  <c r="Z66" i="1"/>
  <c r="BN66" i="1"/>
  <c r="Y77" i="1"/>
  <c r="Z74" i="1"/>
  <c r="BN74" i="1"/>
  <c r="Z80" i="1"/>
  <c r="BN80" i="1"/>
  <c r="BP80" i="1"/>
  <c r="Y83" i="1"/>
  <c r="Z87" i="1"/>
  <c r="BN87" i="1"/>
  <c r="Y90" i="1"/>
  <c r="Z93" i="1"/>
  <c r="BN93" i="1"/>
  <c r="BP93" i="1"/>
  <c r="Z101" i="1"/>
  <c r="BN101" i="1"/>
  <c r="Z108" i="1"/>
  <c r="BN108" i="1"/>
  <c r="Y117" i="1"/>
  <c r="Z127" i="1"/>
  <c r="BN127" i="1"/>
  <c r="Z138" i="1"/>
  <c r="BN138" i="1"/>
  <c r="Y144" i="1"/>
  <c r="Z148" i="1"/>
  <c r="BN148" i="1"/>
  <c r="Y161" i="1"/>
  <c r="Z159" i="1"/>
  <c r="BN159" i="1"/>
  <c r="I601" i="1"/>
  <c r="Y183" i="1"/>
  <c r="Z177" i="1"/>
  <c r="BN177" i="1"/>
  <c r="Z180" i="1"/>
  <c r="BN180" i="1"/>
  <c r="J601" i="1"/>
  <c r="Z196" i="1"/>
  <c r="BN196" i="1"/>
  <c r="BP196" i="1"/>
  <c r="Y199" i="1"/>
  <c r="Y209" i="1"/>
  <c r="Z204" i="1"/>
  <c r="BN204" i="1"/>
  <c r="Z208" i="1"/>
  <c r="BN208" i="1"/>
  <c r="Y221" i="1"/>
  <c r="Z214" i="1"/>
  <c r="BN214" i="1"/>
  <c r="Z218" i="1"/>
  <c r="BN218" i="1"/>
  <c r="Z224" i="1"/>
  <c r="BN224" i="1"/>
  <c r="BP224" i="1"/>
  <c r="Y227" i="1"/>
  <c r="K601" i="1"/>
  <c r="Z233" i="1"/>
  <c r="BN233" i="1"/>
  <c r="Z237" i="1"/>
  <c r="BN237" i="1"/>
  <c r="Z242" i="1"/>
  <c r="BN242" i="1"/>
  <c r="Z257" i="1"/>
  <c r="BN257" i="1"/>
  <c r="Z286" i="1"/>
  <c r="Z287" i="1" s="1"/>
  <c r="BN286" i="1"/>
  <c r="BP286" i="1"/>
  <c r="Y287" i="1"/>
  <c r="Z290" i="1"/>
  <c r="Z291" i="1" s="1"/>
  <c r="BN290" i="1"/>
  <c r="BP290" i="1"/>
  <c r="Y291" i="1"/>
  <c r="Z309" i="1"/>
  <c r="BN309" i="1"/>
  <c r="Z314" i="1"/>
  <c r="Z315" i="1" s="1"/>
  <c r="BN314" i="1"/>
  <c r="BP314" i="1"/>
  <c r="Y315" i="1"/>
  <c r="Z319" i="1"/>
  <c r="BN319" i="1"/>
  <c r="Z323" i="1"/>
  <c r="BN323" i="1"/>
  <c r="Y332" i="1"/>
  <c r="Z331" i="1"/>
  <c r="BN331" i="1"/>
  <c r="Y341" i="1"/>
  <c r="Z337" i="1"/>
  <c r="BN337" i="1"/>
  <c r="Z343" i="1"/>
  <c r="BN343" i="1"/>
  <c r="BP343" i="1"/>
  <c r="Y346" i="1"/>
  <c r="Y354" i="1"/>
  <c r="Z351" i="1"/>
  <c r="BN351" i="1"/>
  <c r="Y360" i="1"/>
  <c r="Z367" i="1"/>
  <c r="BN367" i="1"/>
  <c r="BP367" i="1"/>
  <c r="BP375" i="1"/>
  <c r="BN375" i="1"/>
  <c r="Z375" i="1"/>
  <c r="BP383" i="1"/>
  <c r="BN383" i="1"/>
  <c r="Z383" i="1"/>
  <c r="Y413" i="1"/>
  <c r="BP411" i="1"/>
  <c r="BN411" i="1"/>
  <c r="Z411" i="1"/>
  <c r="BP430" i="1"/>
  <c r="BN430" i="1"/>
  <c r="Z430" i="1"/>
  <c r="BP432" i="1"/>
  <c r="BN432" i="1"/>
  <c r="Z432" i="1"/>
  <c r="BP436" i="1"/>
  <c r="BN436" i="1"/>
  <c r="Z436" i="1"/>
  <c r="BP452" i="1"/>
  <c r="BN452" i="1"/>
  <c r="Z452" i="1"/>
  <c r="BP458" i="1"/>
  <c r="BN458" i="1"/>
  <c r="Z458" i="1"/>
  <c r="BP488" i="1"/>
  <c r="BN488" i="1"/>
  <c r="Z488" i="1"/>
  <c r="BP490" i="1"/>
  <c r="BN490" i="1"/>
  <c r="Z490" i="1"/>
  <c r="BP505" i="1"/>
  <c r="BN505" i="1"/>
  <c r="Z505" i="1"/>
  <c r="BP507" i="1"/>
  <c r="BN507" i="1"/>
  <c r="Z507" i="1"/>
  <c r="BP509" i="1"/>
  <c r="BN509" i="1"/>
  <c r="Z509" i="1"/>
  <c r="BP521" i="1"/>
  <c r="BN521" i="1"/>
  <c r="Z521" i="1"/>
  <c r="Y409" i="1"/>
  <c r="Y421" i="1"/>
  <c r="Y447" i="1"/>
  <c r="AA601" i="1"/>
  <c r="F9" i="1"/>
  <c r="J9" i="1"/>
  <c r="F10" i="1"/>
  <c r="Z22" i="1"/>
  <c r="BN22" i="1"/>
  <c r="BP22" i="1"/>
  <c r="Z26" i="1"/>
  <c r="BN26" i="1"/>
  <c r="X595" i="1"/>
  <c r="Y29" i="1"/>
  <c r="C601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BN119" i="1"/>
  <c r="BP119" i="1"/>
  <c r="Z120" i="1"/>
  <c r="BN120" i="1"/>
  <c r="BP122" i="1"/>
  <c r="BN122" i="1"/>
  <c r="Z122" i="1"/>
  <c r="BP126" i="1"/>
  <c r="BN126" i="1"/>
  <c r="Z126" i="1"/>
  <c r="Y133" i="1"/>
  <c r="H9" i="1"/>
  <c r="Y28" i="1"/>
  <c r="Y55" i="1"/>
  <c r="BP123" i="1"/>
  <c r="BN123" i="1"/>
  <c r="Z123" i="1"/>
  <c r="Y128" i="1"/>
  <c r="BP132" i="1"/>
  <c r="BN132" i="1"/>
  <c r="Z132" i="1"/>
  <c r="Z133" i="1" s="1"/>
  <c r="Y134" i="1"/>
  <c r="G601" i="1"/>
  <c r="Y139" i="1"/>
  <c r="Y140" i="1"/>
  <c r="BP137" i="1"/>
  <c r="BN137" i="1"/>
  <c r="Z137" i="1"/>
  <c r="Z139" i="1" s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Y172" i="1"/>
  <c r="Y193" i="1"/>
  <c r="Y238" i="1"/>
  <c r="Y262" i="1"/>
  <c r="Y267" i="1"/>
  <c r="Z271" i="1"/>
  <c r="BN271" i="1"/>
  <c r="Y274" i="1"/>
  <c r="Z278" i="1"/>
  <c r="BN278" i="1"/>
  <c r="Z280" i="1"/>
  <c r="BN280" i="1"/>
  <c r="Y283" i="1"/>
  <c r="Y288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Y316" i="1"/>
  <c r="U601" i="1"/>
  <c r="Z320" i="1"/>
  <c r="BN320" i="1"/>
  <c r="Z322" i="1"/>
  <c r="BN322" i="1"/>
  <c r="Z324" i="1"/>
  <c r="BN324" i="1"/>
  <c r="Y325" i="1"/>
  <c r="Z328" i="1"/>
  <c r="BN328" i="1"/>
  <c r="BP328" i="1"/>
  <c r="Z330" i="1"/>
  <c r="BN330" i="1"/>
  <c r="Y333" i="1"/>
  <c r="Z336" i="1"/>
  <c r="BN336" i="1"/>
  <c r="BP336" i="1"/>
  <c r="Z338" i="1"/>
  <c r="BN338" i="1"/>
  <c r="Z344" i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BP368" i="1"/>
  <c r="BN368" i="1"/>
  <c r="Z368" i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BP417" i="1"/>
  <c r="BN417" i="1"/>
  <c r="Z417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Y453" i="1"/>
  <c r="Y326" i="1"/>
  <c r="V601" i="1"/>
  <c r="Y365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BP404" i="1"/>
  <c r="BN404" i="1"/>
  <c r="Z404" i="1"/>
  <c r="Y408" i="1"/>
  <c r="BP412" i="1"/>
  <c r="BN412" i="1"/>
  <c r="Z412" i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61" i="1"/>
  <c r="Y467" i="1"/>
  <c r="Y472" i="1"/>
  <c r="Y476" i="1"/>
  <c r="Y496" i="1"/>
  <c r="Y503" i="1"/>
  <c r="Y518" i="1"/>
  <c r="Y523" i="1"/>
  <c r="BP520" i="1"/>
  <c r="BN520" i="1"/>
  <c r="Z520" i="1"/>
  <c r="BP527" i="1"/>
  <c r="BN527" i="1"/>
  <c r="Z527" i="1"/>
  <c r="Y529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AB601" i="1"/>
  <c r="W601" i="1"/>
  <c r="Y385" i="1"/>
  <c r="Y601" i="1"/>
  <c r="Y443" i="1"/>
  <c r="Z456" i="1"/>
  <c r="BN456" i="1"/>
  <c r="BP456" i="1"/>
  <c r="Z459" i="1"/>
  <c r="BN459" i="1"/>
  <c r="Z464" i="1"/>
  <c r="BN464" i="1"/>
  <c r="BP464" i="1"/>
  <c r="Z465" i="1"/>
  <c r="BN465" i="1"/>
  <c r="Y466" i="1"/>
  <c r="Z470" i="1"/>
  <c r="Z471" i="1" s="1"/>
  <c r="BN470" i="1"/>
  <c r="BP470" i="1"/>
  <c r="Z474" i="1"/>
  <c r="Z475" i="1" s="1"/>
  <c r="BN474" i="1"/>
  <c r="BP474" i="1"/>
  <c r="Z480" i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8" i="1"/>
  <c r="BN498" i="1"/>
  <c r="BP498" i="1"/>
  <c r="Z499" i="1"/>
  <c r="BN499" i="1"/>
  <c r="Z500" i="1"/>
  <c r="BN500" i="1"/>
  <c r="Z501" i="1"/>
  <c r="BN501" i="1"/>
  <c r="Y517" i="1"/>
  <c r="Z511" i="1"/>
  <c r="BN511" i="1"/>
  <c r="Z514" i="1"/>
  <c r="BN514" i="1"/>
  <c r="Z515" i="1"/>
  <c r="BN515" i="1"/>
  <c r="BP522" i="1"/>
  <c r="BN522" i="1"/>
  <c r="Z522" i="1"/>
  <c r="Y524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Z282" i="1" l="1"/>
  <c r="Z517" i="1"/>
  <c r="Z413" i="1"/>
  <c r="Z408" i="1"/>
  <c r="Z370" i="1"/>
  <c r="Z346" i="1"/>
  <c r="Z325" i="1"/>
  <c r="Z385" i="1"/>
  <c r="Z395" i="1"/>
  <c r="Z221" i="1"/>
  <c r="Z102" i="1"/>
  <c r="Z460" i="1"/>
  <c r="Z523" i="1"/>
  <c r="Z442" i="1"/>
  <c r="Z359" i="1"/>
  <c r="Z353" i="1"/>
  <c r="Z340" i="1"/>
  <c r="Z332" i="1"/>
  <c r="Z261" i="1"/>
  <c r="Z62" i="1"/>
  <c r="Z41" i="1"/>
  <c r="Z547" i="1"/>
  <c r="Z273" i="1"/>
  <c r="Z128" i="1"/>
  <c r="Y592" i="1"/>
  <c r="Z502" i="1"/>
  <c r="Z495" i="1"/>
  <c r="Z466" i="1"/>
  <c r="Z565" i="1"/>
  <c r="Z421" i="1"/>
  <c r="Z183" i="1"/>
  <c r="Y595" i="1"/>
  <c r="Z55" i="1"/>
  <c r="Y591" i="1"/>
  <c r="Y593" i="1"/>
  <c r="Z28" i="1"/>
  <c r="Y594" i="1" l="1"/>
  <c r="Z596" i="1"/>
</calcChain>
</file>

<file path=xl/sharedStrings.xml><?xml version="1.0" encoding="utf-8"?>
<sst xmlns="http://schemas.openxmlformats.org/spreadsheetml/2006/main" count="2733" uniqueCount="968">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</sst>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121" sqref="AA121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45763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Среда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0.45833333333333331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138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149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175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183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184</v>
      </c>
      <c r="B87" s="54" t="s">
        <v>185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hidden="1" customHeight="1" x14ac:dyDescent="0.25">
      <c r="A93" s="54" t="s">
        <v>192</v>
      </c>
      <c r="B93" s="54" t="s">
        <v>193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19" t="s">
        <v>197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201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205</v>
      </c>
      <c r="Q97" s="668"/>
      <c r="R97" s="668"/>
      <c r="S97" s="668"/>
      <c r="T97" s="669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8" t="s">
        <v>207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214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138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400</v>
      </c>
      <c r="Y121" s="664">
        <f t="shared" si="21"/>
        <v>403.20000000000005</v>
      </c>
      <c r="Z121" s="36">
        <f>IFERROR(IF(Y121=0,"",ROUNDUP(Y121/H121,0)*0.01898),"")</f>
        <v>0.91104000000000007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424.42857142857144</v>
      </c>
      <c r="BN121" s="64">
        <f t="shared" si="23"/>
        <v>427.82400000000001</v>
      </c>
      <c r="BO121" s="64">
        <f t="shared" si="24"/>
        <v>0.74404761904761907</v>
      </c>
      <c r="BP121" s="64">
        <f t="shared" si="25"/>
        <v>0.75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21" t="s">
        <v>242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315</v>
      </c>
      <c r="Y124" s="664">
        <f t="shared" si="21"/>
        <v>315.90000000000003</v>
      </c>
      <c r="Z124" s="36">
        <f t="shared" si="26"/>
        <v>0.76167000000000007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344.4</v>
      </c>
      <c r="BN124" s="64">
        <f t="shared" si="23"/>
        <v>345.38400000000001</v>
      </c>
      <c r="BO124" s="64">
        <f t="shared" si="24"/>
        <v>0.64102564102564097</v>
      </c>
      <c r="BP124" s="64">
        <f t="shared" si="25"/>
        <v>0.6428571428571429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8" t="s">
        <v>246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164.28571428571428</v>
      </c>
      <c r="Y128" s="665">
        <f>IFERROR(Y119/H119,"0")+IFERROR(Y120/H120,"0")+IFERROR(Y121/H121,"0")+IFERROR(Y122/H122,"0")+IFERROR(Y123/H123,"0")+IFERROR(Y124/H124,"0")+IFERROR(Y125/H125,"0")+IFERROR(Y126/H126,"0")+IFERROR(Y127/H127,"0")</f>
        <v>165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1.6727100000000001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715</v>
      </c>
      <c r="Y129" s="665">
        <f>IFERROR(SUM(Y119:Y127),"0")</f>
        <v>719.10000000000014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175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259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260</v>
      </c>
      <c r="B137" s="54" t="s">
        <v>261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149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264</v>
      </c>
      <c r="B142" s="54" t="s">
        <v>265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149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289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138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149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">
        <v>308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1" t="s">
        <v>321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324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325</v>
      </c>
      <c r="B191" s="54" t="s">
        <v>326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328</v>
      </c>
      <c r="B192" s="54" t="s">
        <v>329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138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330</v>
      </c>
      <c r="B196" s="54" t="s">
        <v>331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333</v>
      </c>
      <c r="B197" s="54" t="s">
        <v>334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149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335</v>
      </c>
      <c r="B201" s="54" t="s">
        <v>336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338</v>
      </c>
      <c r="B202" s="54" t="s">
        <v>339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349</v>
      </c>
      <c r="B206" s="54" t="s">
        <v>350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353</v>
      </c>
      <c r="B208" s="54" t="s">
        <v>354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355</v>
      </c>
      <c r="B212" s="54" t="s">
        <v>356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358</v>
      </c>
      <c r="B213" s="54" t="s">
        <v>359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361</v>
      </c>
      <c r="B214" s="54" t="s">
        <v>362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364</v>
      </c>
      <c r="B215" s="54" t="s">
        <v>365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366</v>
      </c>
      <c r="B216" s="54" t="s">
        <v>367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369</v>
      </c>
      <c r="B217" s="54" t="s">
        <v>370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175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379</v>
      </c>
      <c r="B224" s="54" t="s">
        <v>380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382</v>
      </c>
      <c r="B225" s="54" t="s">
        <v>383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385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386</v>
      </c>
      <c r="B230" s="54" t="s">
        <v>387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386</v>
      </c>
      <c r="B231" s="54" t="s">
        <v>389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395</v>
      </c>
      <c r="B234" s="54" t="s">
        <v>398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401</v>
      </c>
      <c r="B236" s="54" t="s">
        <v>402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403</v>
      </c>
      <c r="B237" s="54" t="s">
        <v>404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138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405</v>
      </c>
      <c r="B241" s="54" t="s">
        <v>406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5" t="s">
        <v>407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405</v>
      </c>
      <c r="B242" s="54" t="s">
        <v>409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410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411</v>
      </c>
      <c r="B246" s="54" t="s">
        <v>412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792" t="s">
        <v>413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415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416</v>
      </c>
      <c r="B250" s="54" t="s">
        <v>417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7" t="s">
        <v>418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420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421</v>
      </c>
      <c r="B255" s="54" t="s">
        <v>422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424</v>
      </c>
      <c r="B256" s="54" t="s">
        <v>425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424</v>
      </c>
      <c r="B257" s="54" t="s">
        <v>427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429</v>
      </c>
      <c r="B258" s="54" t="s">
        <v>430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432</v>
      </c>
      <c r="B259" s="54" t="s">
        <v>433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435</v>
      </c>
      <c r="B260" s="54" t="s">
        <v>436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438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439</v>
      </c>
      <c r="B265" s="54" t="s">
        <v>440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442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443</v>
      </c>
      <c r="B270" s="54" t="s">
        <v>444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445</v>
      </c>
      <c r="B271" s="54" t="s">
        <v>446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448</v>
      </c>
      <c r="B272" s="54" t="s">
        <v>449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451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452</v>
      </c>
      <c r="B277" s="54" t="s">
        <v>453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455</v>
      </c>
      <c r="B278" s="54" t="s">
        <v>456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458</v>
      </c>
      <c r="B279" s="54" t="s">
        <v>459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460</v>
      </c>
      <c r="B280" s="54" t="s">
        <v>461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465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466</v>
      </c>
      <c r="B286" s="54" t="s">
        <v>467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149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469</v>
      </c>
      <c r="B290" s="54" t="s">
        <v>470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472</v>
      </c>
      <c r="B294" s="54" t="s">
        <v>473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475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476</v>
      </c>
      <c r="B299" s="54" t="s">
        <v>477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479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480</v>
      </c>
      <c r="B304" s="54" t="s">
        <v>481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149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482</v>
      </c>
      <c r="B308" s="54" t="s">
        <v>483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485</v>
      </c>
      <c r="B309" s="54" t="s">
        <v>486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487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488</v>
      </c>
      <c r="B314" s="54" t="s">
        <v>489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492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493</v>
      </c>
      <c r="B319" s="54" t="s">
        <v>494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496</v>
      </c>
      <c r="B320" s="54" t="s">
        <v>497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496</v>
      </c>
      <c r="B321" s="54" t="s">
        <v>499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149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175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149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hidden="1" customHeight="1" x14ac:dyDescent="0.25">
      <c r="A375" s="54" t="s">
        <v>581</v>
      </c>
      <c r="B375" s="54" t="s">
        <v>582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581</v>
      </c>
      <c r="B376" s="54" t="s">
        <v>584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586</v>
      </c>
      <c r="B378" s="54" t="s">
        <v>589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4301011832</v>
      </c>
      <c r="D379" s="675">
        <v>4607091383997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hidden="1" customHeight="1" x14ac:dyDescent="0.25">
      <c r="A380" s="54" t="s">
        <v>593</v>
      </c>
      <c r="B380" s="54" t="s">
        <v>594</v>
      </c>
      <c r="C380" s="31">
        <v>4301011867</v>
      </c>
      <c r="D380" s="675">
        <v>4680115884830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593</v>
      </c>
      <c r="B381" s="54" t="s">
        <v>596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hidden="1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6"/>
      <c r="AB385" s="666"/>
      <c r="AC385" s="666"/>
    </row>
    <row r="386" spans="1:68" hidden="1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0</v>
      </c>
      <c r="Y386" s="665">
        <f>IFERROR(SUM(Y375:Y384),"0")</f>
        <v>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2000</v>
      </c>
      <c r="Y388" s="664">
        <f>IFERROR(IF(X388="",0,CEILING((X388/$H388),1)*$H388),"")</f>
        <v>2010</v>
      </c>
      <c r="Z388" s="36">
        <f>IFERROR(IF(Y388=0,"",ROUNDUP(Y388/H388,0)*0.02175),"")</f>
        <v>2.9144999999999999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2064</v>
      </c>
      <c r="BN388" s="64">
        <f>IFERROR(Y388*I388/H388,"0")</f>
        <v>2074.3200000000002</v>
      </c>
      <c r="BO388" s="64">
        <f>IFERROR(1/J388*(X388/H388),"0")</f>
        <v>2.7777777777777777</v>
      </c>
      <c r="BP388" s="64">
        <f>IFERROR(1/J388*(Y388/H388),"0")</f>
        <v>2.7916666666666665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133.33333333333334</v>
      </c>
      <c r="Y390" s="665">
        <f>IFERROR(Y388/H388,"0")+IFERROR(Y389/H389,"0")</f>
        <v>134</v>
      </c>
      <c r="Z390" s="665">
        <f>IFERROR(IF(Z388="",0,Z388),"0")+IFERROR(IF(Z389="",0,Z389),"0")</f>
        <v>2.9144999999999999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2000</v>
      </c>
      <c r="Y391" s="665">
        <f>IFERROR(SUM(Y388:Y389),"0")</f>
        <v>2010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175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149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6500</v>
      </c>
      <c r="Y416" s="664">
        <f>IFERROR(IF(X416="",0,CEILING((X416/$H416),1)*$H416),"")</f>
        <v>6507</v>
      </c>
      <c r="Z416" s="36">
        <f>IFERROR(IF(Y416=0,"",ROUNDUP(Y416/H416,0)*0.01898),"")</f>
        <v>13.72254</v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6874.833333333333</v>
      </c>
      <c r="BN416" s="64">
        <f>IFERROR(Y416*I416/H416,"0")</f>
        <v>6882.2370000000001</v>
      </c>
      <c r="BO416" s="64">
        <f>IFERROR(1/J416*(X416/H416),"0")</f>
        <v>11.284722222222221</v>
      </c>
      <c r="BP416" s="64">
        <f>IFERROR(1/J416*(Y416/H416),"0")</f>
        <v>11.296875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722.22222222222217</v>
      </c>
      <c r="Y421" s="665">
        <f>IFERROR(Y416/H416,"0")+IFERROR(Y417/H417,"0")+IFERROR(Y418/H418,"0")+IFERROR(Y419/H419,"0")+IFERROR(Y420/H420,"0")</f>
        <v>723</v>
      </c>
      <c r="Z421" s="665">
        <f>IFERROR(IF(Z416="",0,Z416),"0")+IFERROR(IF(Z417="",0,Z417),"0")+IFERROR(IF(Z418="",0,Z418),"0")+IFERROR(IF(Z419="",0,Z419),"0")+IFERROR(IF(Z420="",0,Z420),"0")</f>
        <v>13.72254</v>
      </c>
      <c r="AA421" s="666"/>
      <c r="AB421" s="666"/>
      <c r="AC421" s="666"/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6500</v>
      </c>
      <c r="Y422" s="665">
        <f>IFERROR(SUM(Y416:Y420),"0")</f>
        <v>6507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175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149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138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149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149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149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175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4000</v>
      </c>
      <c r="Y482" s="664">
        <f t="shared" si="69"/>
        <v>4002.2400000000002</v>
      </c>
      <c r="Z482" s="36">
        <f>IFERROR(IF(Y482=0,"",ROUNDUP(Y482/H482,0)*0.01196),"")</f>
        <v>9.0656800000000004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4272.727272727273</v>
      </c>
      <c r="BN482" s="64">
        <f t="shared" si="71"/>
        <v>4275.12</v>
      </c>
      <c r="BO482" s="64">
        <f t="shared" si="72"/>
        <v>7.2843822843822839</v>
      </c>
      <c r="BP482" s="64">
        <f t="shared" si="73"/>
        <v>7.2884615384615392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1000</v>
      </c>
      <c r="Y483" s="664">
        <f t="shared" si="69"/>
        <v>1003.2</v>
      </c>
      <c r="Z483" s="36">
        <f>IFERROR(IF(Y483=0,"",ROUNDUP(Y483/H483,0)*0.01196),"")</f>
        <v>2.2724000000000002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1068.1818181818182</v>
      </c>
      <c r="BN483" s="64">
        <f t="shared" si="71"/>
        <v>1071.5999999999999</v>
      </c>
      <c r="BO483" s="64">
        <f t="shared" si="72"/>
        <v>1.821095571095571</v>
      </c>
      <c r="BP483" s="64">
        <f t="shared" si="73"/>
        <v>1.8269230769230771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751</v>
      </c>
      <c r="B487" s="54" t="s">
        <v>753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768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946.96969696969688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948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11.338080000000001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5000</v>
      </c>
      <c r="Y496" s="665">
        <f>IFERROR(SUM(Y480:Y494),"0")</f>
        <v>5005.4400000000005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138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1500</v>
      </c>
      <c r="Y498" s="664">
        <f>IFERROR(IF(X498="",0,CEILING((X498/$H498),1)*$H498),"")</f>
        <v>1504.8000000000002</v>
      </c>
      <c r="Z498" s="36">
        <f>IFERROR(IF(Y498=0,"",ROUNDUP(Y498/H498,0)*0.01196),"")</f>
        <v>3.4085999999999999</v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1602.2727272727273</v>
      </c>
      <c r="BN498" s="64">
        <f>IFERROR(Y498*I498/H498,"0")</f>
        <v>1607.3999999999999</v>
      </c>
      <c r="BO498" s="64">
        <f>IFERROR(1/J498*(X498/H498),"0")</f>
        <v>2.7316433566433567</v>
      </c>
      <c r="BP498" s="64">
        <f>IFERROR(1/J498*(Y498/H498),"0")</f>
        <v>2.7403846153846154</v>
      </c>
    </row>
    <row r="499" spans="1:68" ht="16.5" hidden="1" customHeight="1" x14ac:dyDescent="0.25">
      <c r="A499" s="54" t="s">
        <v>771</v>
      </c>
      <c r="B499" s="54" t="s">
        <v>774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32" t="s">
        <v>775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284.09090909090907</v>
      </c>
      <c r="Y502" s="665">
        <f>IFERROR(Y498/H498,"0")+IFERROR(Y499/H499,"0")+IFERROR(Y500/H500,"0")+IFERROR(Y501/H501,"0")</f>
        <v>285</v>
      </c>
      <c r="Z502" s="665">
        <f>IFERROR(IF(Z498="",0,Z498),"0")+IFERROR(IF(Z499="",0,Z499),"0")+IFERROR(IF(Z500="",0,Z500),"0")+IFERROR(IF(Z501="",0,Z501),"0")</f>
        <v>3.4085999999999999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1500</v>
      </c>
      <c r="Y503" s="665">
        <f>IFERROR(SUM(Y498:Y501),"0")</f>
        <v>1504.8000000000002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149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500</v>
      </c>
      <c r="Y505" s="664">
        <f t="shared" ref="Y505:Y516" si="74">IFERROR(IF(X505="",0,CEILING((X505/$H505),1)*$H505),"")</f>
        <v>501.6</v>
      </c>
      <c r="Z505" s="36">
        <f>IFERROR(IF(Y505=0,"",ROUNDUP(Y505/H505,0)*0.01196),"")</f>
        <v>1.1362000000000001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534.09090909090912</v>
      </c>
      <c r="BN505" s="64">
        <f t="shared" ref="BN505:BN516" si="76">IFERROR(Y505*I505/H505,"0")</f>
        <v>535.79999999999995</v>
      </c>
      <c r="BO505" s="64">
        <f t="shared" ref="BO505:BO516" si="77">IFERROR(1/J505*(X505/H505),"0")</f>
        <v>0.91054778554778548</v>
      </c>
      <c r="BP505" s="64">
        <f t="shared" ref="BP505:BP516" si="78">IFERROR(1/J505*(Y505/H505),"0")</f>
        <v>0.91346153846153855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500</v>
      </c>
      <c r="Y506" s="664">
        <f t="shared" si="74"/>
        <v>501.6</v>
      </c>
      <c r="Z506" s="36">
        <f>IFERROR(IF(Y506=0,"",ROUNDUP(Y506/H506,0)*0.01196),"")</f>
        <v>1.1362000000000001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534.09090909090912</v>
      </c>
      <c r="BN506" s="64">
        <f t="shared" si="76"/>
        <v>535.79999999999995</v>
      </c>
      <c r="BO506" s="64">
        <f t="shared" si="77"/>
        <v>0.91054778554778548</v>
      </c>
      <c r="BP506" s="64">
        <f t="shared" si="78"/>
        <v>0.91346153846153855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500</v>
      </c>
      <c r="Y507" s="664">
        <f t="shared" si="74"/>
        <v>501.6</v>
      </c>
      <c r="Z507" s="36">
        <f>IFERROR(IF(Y507=0,"",ROUNDUP(Y507/H507,0)*0.01196),"")</f>
        <v>1.1362000000000001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534.09090909090912</v>
      </c>
      <c r="BN507" s="64">
        <f t="shared" si="76"/>
        <v>535.79999999999995</v>
      </c>
      <c r="BO507" s="64">
        <f t="shared" si="77"/>
        <v>0.91054778554778548</v>
      </c>
      <c r="BP507" s="64">
        <f t="shared" si="78"/>
        <v>0.91346153846153855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46" t="s">
        <v>802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4301031253</v>
      </c>
      <c r="D514" s="675">
        <v>4680115882096</v>
      </c>
      <c r="E514" s="676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813</v>
      </c>
      <c r="C515" s="31">
        <v>4301031417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9" t="s">
        <v>814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815</v>
      </c>
      <c r="C516" s="31">
        <v>4301031384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3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284.09090909090907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285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3.4086000000000003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1500</v>
      </c>
      <c r="Y518" s="665">
        <f>IFERROR(SUM(Y505:Y516),"0")</f>
        <v>1504.8000000000002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175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138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149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175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138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149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17215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17251.14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18253.116450216447</v>
      </c>
      <c r="Y592" s="665">
        <f>IFERROR(SUM(BN22:BN588),"0")</f>
        <v>18291.284999999996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31</v>
      </c>
      <c r="Y593" s="38">
        <f>ROUNDUP(SUM(BP22:BP588),0)</f>
        <v>31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19028.116450216447</v>
      </c>
      <c r="Y594" s="665">
        <f>GrossWeightTotalR+PalletQtyTotalR*25</f>
        <v>19066.284999999996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2534.9927849927849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2540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36.465030000000006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288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183</v>
      </c>
      <c r="F599" s="693" t="s">
        <v>214</v>
      </c>
      <c r="G599" s="693" t="s">
        <v>259</v>
      </c>
      <c r="H599" s="693" t="s">
        <v>96</v>
      </c>
      <c r="I599" s="693" t="s">
        <v>289</v>
      </c>
      <c r="J599" s="693" t="s">
        <v>324</v>
      </c>
      <c r="K599" s="693" t="s">
        <v>385</v>
      </c>
      <c r="L599" s="693" t="s">
        <v>420</v>
      </c>
      <c r="M599" s="693" t="s">
        <v>438</v>
      </c>
      <c r="N599" s="661"/>
      <c r="O599" s="693" t="s">
        <v>442</v>
      </c>
      <c r="P599" s="693" t="s">
        <v>451</v>
      </c>
      <c r="Q599" s="693" t="s">
        <v>465</v>
      </c>
      <c r="R599" s="693" t="s">
        <v>475</v>
      </c>
      <c r="S599" s="693" t="s">
        <v>479</v>
      </c>
      <c r="T599" s="693" t="s">
        <v>487</v>
      </c>
      <c r="U599" s="693" t="s">
        <v>492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719.10000000000014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2010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6507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8015.0400000000018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33,33"/>
        <filter val="164,29"/>
        <filter val="17 215,00"/>
        <filter val="18 253,12"/>
        <filter val="19 028,12"/>
        <filter val="2 000,00"/>
        <filter val="2 534,99"/>
        <filter val="284,09"/>
        <filter val="31"/>
        <filter val="315,00"/>
        <filter val="4 000,00"/>
        <filter val="400,00"/>
        <filter val="5 000,00"/>
        <filter val="500,00"/>
        <filter val="6 500,00"/>
        <filter val="715,00"/>
        <filter val="722,22"/>
        <filter val="946,97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2025-04-14T13:24:19Z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