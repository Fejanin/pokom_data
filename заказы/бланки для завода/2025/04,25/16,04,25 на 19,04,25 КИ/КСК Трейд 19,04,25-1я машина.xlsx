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B809E9-745C-41DC-8B61-6ACDEF46B9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BP514" i="1" s="1"/>
  <c r="P514" i="1"/>
  <c r="BO513" i="1"/>
  <c r="BM513" i="1"/>
  <c r="Y513" i="1"/>
  <c r="BO512" i="1"/>
  <c r="BM512" i="1"/>
  <c r="Y512" i="1"/>
  <c r="P512" i="1"/>
  <c r="BO511" i="1"/>
  <c r="BM511" i="1"/>
  <c r="Y511" i="1"/>
  <c r="BP511" i="1" s="1"/>
  <c r="BO510" i="1"/>
  <c r="BM510" i="1"/>
  <c r="Y510" i="1"/>
  <c r="BP510" i="1" s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P499" i="1"/>
  <c r="BO498" i="1"/>
  <c r="BM498" i="1"/>
  <c r="Y498" i="1"/>
  <c r="X496" i="1"/>
  <c r="X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BP446" i="1" s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5" i="1" s="1"/>
  <c r="X422" i="1"/>
  <c r="X421" i="1"/>
  <c r="BO420" i="1"/>
  <c r="BM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2" i="1" s="1"/>
  <c r="P416" i="1"/>
  <c r="X414" i="1"/>
  <c r="X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39" i="1" l="1"/>
  <c r="BN39" i="1"/>
  <c r="Z39" i="1"/>
  <c r="BP74" i="1"/>
  <c r="BN74" i="1"/>
  <c r="Z74" i="1"/>
  <c r="BP101" i="1"/>
  <c r="BN101" i="1"/>
  <c r="Z101" i="1"/>
  <c r="Y154" i="1"/>
  <c r="BP153" i="1"/>
  <c r="BN153" i="1"/>
  <c r="Z153" i="1"/>
  <c r="Z154" i="1" s="1"/>
  <c r="BP157" i="1"/>
  <c r="BN157" i="1"/>
  <c r="Z157" i="1"/>
  <c r="BP212" i="1"/>
  <c r="BN212" i="1"/>
  <c r="Z212" i="1"/>
  <c r="BP235" i="1"/>
  <c r="BN235" i="1"/>
  <c r="Z235" i="1"/>
  <c r="BP309" i="1"/>
  <c r="BN309" i="1"/>
  <c r="Z309" i="1"/>
  <c r="BP352" i="1"/>
  <c r="Z352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515" i="1"/>
  <c r="BN515" i="1"/>
  <c r="Z515" i="1"/>
  <c r="B601" i="1"/>
  <c r="X593" i="1"/>
  <c r="BP58" i="1"/>
  <c r="BN58" i="1"/>
  <c r="Z58" i="1"/>
  <c r="BP87" i="1"/>
  <c r="BN87" i="1"/>
  <c r="Z87" i="1"/>
  <c r="BP131" i="1"/>
  <c r="BN131" i="1"/>
  <c r="Z131" i="1"/>
  <c r="BP202" i="1"/>
  <c r="BN202" i="1"/>
  <c r="Z202" i="1"/>
  <c r="BP220" i="1"/>
  <c r="BN220" i="1"/>
  <c r="Z220" i="1"/>
  <c r="BP259" i="1"/>
  <c r="BN259" i="1"/>
  <c r="Z259" i="1"/>
  <c r="BP329" i="1"/>
  <c r="BN329" i="1"/>
  <c r="Z329" i="1"/>
  <c r="BP369" i="1"/>
  <c r="BN369" i="1"/>
  <c r="Z36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516" i="1"/>
  <c r="BN516" i="1"/>
  <c r="Z516" i="1"/>
  <c r="D601" i="1"/>
  <c r="BP148" i="1"/>
  <c r="BN148" i="1"/>
  <c r="Z148" i="1"/>
  <c r="BP177" i="1"/>
  <c r="BN177" i="1"/>
  <c r="Z177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57" i="1"/>
  <c r="BN257" i="1"/>
  <c r="Z257" i="1"/>
  <c r="BP280" i="1"/>
  <c r="BN280" i="1"/>
  <c r="Z280" i="1"/>
  <c r="BP323" i="1"/>
  <c r="BN323" i="1"/>
  <c r="Z323" i="1"/>
  <c r="BP344" i="1"/>
  <c r="BN344" i="1"/>
  <c r="Z344" i="1"/>
  <c r="X592" i="1"/>
  <c r="Z23" i="1"/>
  <c r="BN23" i="1"/>
  <c r="Z24" i="1"/>
  <c r="BN24" i="1"/>
  <c r="Z25" i="1"/>
  <c r="BN25" i="1"/>
  <c r="X59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3" i="1"/>
  <c r="Z60" i="1"/>
  <c r="BN60" i="1"/>
  <c r="Y69" i="1"/>
  <c r="Z72" i="1"/>
  <c r="BN72" i="1"/>
  <c r="Z76" i="1"/>
  <c r="BN76" i="1"/>
  <c r="Y83" i="1"/>
  <c r="Z82" i="1"/>
  <c r="BN82" i="1"/>
  <c r="Z89" i="1"/>
  <c r="BN89" i="1"/>
  <c r="Y102" i="1"/>
  <c r="Z99" i="1"/>
  <c r="BN99" i="1"/>
  <c r="Z106" i="1"/>
  <c r="BN106" i="1"/>
  <c r="Z114" i="1"/>
  <c r="BN114" i="1"/>
  <c r="Y129" i="1"/>
  <c r="Z121" i="1"/>
  <c r="BN121" i="1"/>
  <c r="Z124" i="1"/>
  <c r="BN124" i="1"/>
  <c r="Z125" i="1"/>
  <c r="BN125" i="1"/>
  <c r="BP127" i="1"/>
  <c r="BN127" i="1"/>
  <c r="G601" i="1"/>
  <c r="BP138" i="1"/>
  <c r="BN138" i="1"/>
  <c r="Z138" i="1"/>
  <c r="BP159" i="1"/>
  <c r="BN159" i="1"/>
  <c r="Z159" i="1"/>
  <c r="BP180" i="1"/>
  <c r="BN180" i="1"/>
  <c r="Z180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71" i="1"/>
  <c r="BN271" i="1"/>
  <c r="Z271" i="1"/>
  <c r="T601" i="1"/>
  <c r="Y315" i="1"/>
  <c r="BP314" i="1"/>
  <c r="BN314" i="1"/>
  <c r="Z314" i="1"/>
  <c r="Z315" i="1" s="1"/>
  <c r="Y326" i="1"/>
  <c r="BP319" i="1"/>
  <c r="BN319" i="1"/>
  <c r="Z319" i="1"/>
  <c r="Y341" i="1"/>
  <c r="BP336" i="1"/>
  <c r="BN336" i="1"/>
  <c r="Z336" i="1"/>
  <c r="Y353" i="1"/>
  <c r="BP349" i="1"/>
  <c r="BN349" i="1"/>
  <c r="Z349" i="1"/>
  <c r="Y360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86" i="1"/>
  <c r="BN486" i="1"/>
  <c r="Z486" i="1"/>
  <c r="Y502" i="1"/>
  <c r="BP498" i="1"/>
  <c r="BN498" i="1"/>
  <c r="Z498" i="1"/>
  <c r="BP506" i="1"/>
  <c r="BN506" i="1"/>
  <c r="Z506" i="1"/>
  <c r="BP508" i="1"/>
  <c r="BN508" i="1"/>
  <c r="Z508" i="1"/>
  <c r="BP512" i="1"/>
  <c r="BN512" i="1"/>
  <c r="Z512" i="1"/>
  <c r="BP521" i="1"/>
  <c r="BN521" i="1"/>
  <c r="Z521" i="1"/>
  <c r="Y133" i="1"/>
  <c r="Y144" i="1"/>
  <c r="Y161" i="1"/>
  <c r="I601" i="1"/>
  <c r="Y184" i="1"/>
  <c r="J601" i="1"/>
  <c r="Y210" i="1"/>
  <c r="Y222" i="1"/>
  <c r="K601" i="1"/>
  <c r="Y262" i="1"/>
  <c r="P601" i="1"/>
  <c r="Y333" i="1"/>
  <c r="BP350" i="1"/>
  <c r="BN350" i="1"/>
  <c r="Z350" i="1"/>
  <c r="V601" i="1"/>
  <c r="Y364" i="1"/>
  <c r="BP363" i="1"/>
  <c r="BN363" i="1"/>
  <c r="Z363" i="1"/>
  <c r="Z364" i="1" s="1"/>
  <c r="Y371" i="1"/>
  <c r="BP367" i="1"/>
  <c r="BN367" i="1"/>
  <c r="Z367" i="1"/>
  <c r="Z370" i="1" s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413" i="1"/>
  <c r="Z601" i="1"/>
  <c r="Y460" i="1"/>
  <c r="AC601" i="1"/>
  <c r="F9" i="1"/>
  <c r="J9" i="1"/>
  <c r="F10" i="1"/>
  <c r="Z22" i="1"/>
  <c r="BN22" i="1"/>
  <c r="BP22" i="1"/>
  <c r="Z26" i="1"/>
  <c r="BN26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Z61" i="1"/>
  <c r="BN61" i="1"/>
  <c r="Y62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Y84" i="1"/>
  <c r="E601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Y103" i="1"/>
  <c r="F601" i="1"/>
  <c r="BP109" i="1"/>
  <c r="BN109" i="1"/>
  <c r="Z109" i="1"/>
  <c r="H9" i="1"/>
  <c r="Y28" i="1"/>
  <c r="Y55" i="1"/>
  <c r="Y90" i="1"/>
  <c r="BP107" i="1"/>
  <c r="BN107" i="1"/>
  <c r="Z107" i="1"/>
  <c r="Y111" i="1"/>
  <c r="Y117" i="1"/>
  <c r="Y128" i="1"/>
  <c r="Y134" i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8" i="1"/>
  <c r="Y267" i="1"/>
  <c r="Y274" i="1"/>
  <c r="Y283" i="1"/>
  <c r="Y288" i="1"/>
  <c r="Y292" i="1"/>
  <c r="Y296" i="1"/>
  <c r="Y301" i="1"/>
  <c r="Y306" i="1"/>
  <c r="Y310" i="1"/>
  <c r="Z331" i="1"/>
  <c r="BN331" i="1"/>
  <c r="Y332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Z353" i="1" s="1"/>
  <c r="BN351" i="1"/>
  <c r="Y354" i="1"/>
  <c r="Z357" i="1"/>
  <c r="BN357" i="1"/>
  <c r="Y359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BN137" i="1"/>
  <c r="BP137" i="1"/>
  <c r="Y140" i="1"/>
  <c r="Z143" i="1"/>
  <c r="Z144" i="1" s="1"/>
  <c r="BN143" i="1"/>
  <c r="Z147" i="1"/>
  <c r="BN147" i="1"/>
  <c r="BP147" i="1"/>
  <c r="H601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BN352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Y396" i="1"/>
  <c r="BP404" i="1"/>
  <c r="BN404" i="1"/>
  <c r="Z404" i="1"/>
  <c r="Y408" i="1"/>
  <c r="Y414" i="1"/>
  <c r="Y421" i="1"/>
  <c r="Y426" i="1"/>
  <c r="Y442" i="1"/>
  <c r="Y448" i="1"/>
  <c r="Y453" i="1"/>
  <c r="Y461" i="1"/>
  <c r="Y467" i="1"/>
  <c r="Y472" i="1"/>
  <c r="Y476" i="1"/>
  <c r="Y496" i="1"/>
  <c r="Y503" i="1"/>
  <c r="Y518" i="1"/>
  <c r="Y523" i="1"/>
  <c r="BP520" i="1"/>
  <c r="BN520" i="1"/>
  <c r="Z520" i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Y365" i="1"/>
  <c r="W601" i="1"/>
  <c r="Y385" i="1"/>
  <c r="Z406" i="1"/>
  <c r="BN406" i="1"/>
  <c r="Z412" i="1"/>
  <c r="Z413" i="1" s="1"/>
  <c r="BN412" i="1"/>
  <c r="Z416" i="1"/>
  <c r="BN416" i="1"/>
  <c r="BP416" i="1"/>
  <c r="Z417" i="1"/>
  <c r="BN417" i="1"/>
  <c r="Z419" i="1"/>
  <c r="BN419" i="1"/>
  <c r="Z424" i="1"/>
  <c r="Z425" i="1" s="1"/>
  <c r="BN424" i="1"/>
  <c r="BP424" i="1"/>
  <c r="Y601" i="1"/>
  <c r="Z434" i="1"/>
  <c r="BN434" i="1"/>
  <c r="Z435" i="1"/>
  <c r="BN435" i="1"/>
  <c r="Z437" i="1"/>
  <c r="BN437" i="1"/>
  <c r="Z440" i="1"/>
  <c r="BN440" i="1"/>
  <c r="Y443" i="1"/>
  <c r="Z446" i="1"/>
  <c r="BN446" i="1"/>
  <c r="Z451" i="1"/>
  <c r="Z453" i="1" s="1"/>
  <c r="BN451" i="1"/>
  <c r="BP451" i="1"/>
  <c r="Y454" i="1"/>
  <c r="Z456" i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9" i="1"/>
  <c r="BN499" i="1"/>
  <c r="Z500" i="1"/>
  <c r="BN500" i="1"/>
  <c r="Z501" i="1"/>
  <c r="BN501" i="1"/>
  <c r="Y517" i="1"/>
  <c r="Z510" i="1"/>
  <c r="BN510" i="1"/>
  <c r="Z511" i="1"/>
  <c r="BN511" i="1"/>
  <c r="Z514" i="1"/>
  <c r="BN514" i="1"/>
  <c r="BP522" i="1"/>
  <c r="BN522" i="1"/>
  <c r="Z522" i="1"/>
  <c r="Y524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261" i="1" l="1"/>
  <c r="Z161" i="1"/>
  <c r="Z102" i="1"/>
  <c r="Z442" i="1"/>
  <c r="Z408" i="1"/>
  <c r="Z149" i="1"/>
  <c r="Z139" i="1"/>
  <c r="Z346" i="1"/>
  <c r="Z340" i="1"/>
  <c r="Z359" i="1"/>
  <c r="X594" i="1"/>
  <c r="Z502" i="1"/>
  <c r="Z385" i="1"/>
  <c r="Z325" i="1"/>
  <c r="Z221" i="1"/>
  <c r="Z62" i="1"/>
  <c r="Z517" i="1"/>
  <c r="Z460" i="1"/>
  <c r="Z447" i="1"/>
  <c r="Z421" i="1"/>
  <c r="Z390" i="1"/>
  <c r="Z332" i="1"/>
  <c r="Z282" i="1"/>
  <c r="Z273" i="1"/>
  <c r="Z209" i="1"/>
  <c r="Z198" i="1"/>
  <c r="Z183" i="1"/>
  <c r="Z116" i="1"/>
  <c r="Z110" i="1"/>
  <c r="Z90" i="1"/>
  <c r="Z83" i="1"/>
  <c r="Z77" i="1"/>
  <c r="Z68" i="1"/>
  <c r="Z28" i="1"/>
  <c r="Z565" i="1"/>
  <c r="Y593" i="1"/>
  <c r="Z528" i="1"/>
  <c r="Z495" i="1"/>
  <c r="Z466" i="1"/>
  <c r="Z547" i="1"/>
  <c r="Z523" i="1"/>
  <c r="Z238" i="1"/>
  <c r="Z128" i="1"/>
  <c r="Z395" i="1"/>
  <c r="Y595" i="1"/>
  <c r="Z55" i="1"/>
  <c r="Y591" i="1"/>
  <c r="Y592" i="1"/>
  <c r="Z596" i="1" l="1"/>
  <c r="Y594" i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<sst xmlns="http://schemas.openxmlformats.org/spreadsheetml/2006/main" count="2731" uniqueCount="968">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</sst>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0.375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150</v>
      </c>
      <c r="Y37" s="664">
        <f>IFERROR(IF(X37="",0,CEILING((X37/$H37),1)*$H37),"")</f>
        <v>151.20000000000002</v>
      </c>
      <c r="Z37" s="36">
        <f>IFERROR(IF(Y37=0,"",ROUNDUP(Y37/H37,0)*0.01898),"")</f>
        <v>0.26572000000000001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156.04166666666666</v>
      </c>
      <c r="BN37" s="64">
        <f>IFERROR(Y37*I37/H37,"0")</f>
        <v>157.29000000000002</v>
      </c>
      <c r="BO37" s="64">
        <f>IFERROR(1/J37*(X37/H37),"0")</f>
        <v>0.21701388888888887</v>
      </c>
      <c r="BP37" s="64">
        <f>IFERROR(1/J37*(Y37/H37),"0")</f>
        <v>0.21875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240</v>
      </c>
      <c r="Y38" s="664">
        <f>IFERROR(IF(X38="",0,CEILING((X38/$H38),1)*$H38),"")</f>
        <v>240</v>
      </c>
      <c r="Z38" s="36">
        <f>IFERROR(IF(Y38=0,"",ROUNDUP(Y38/H38,0)*0.00902),"")</f>
        <v>0.54120000000000001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252.6</v>
      </c>
      <c r="BN38" s="64">
        <f>IFERROR(Y38*I38/H38,"0")</f>
        <v>252.6</v>
      </c>
      <c r="BO38" s="64">
        <f>IFERROR(1/J38*(X38/H38),"0")</f>
        <v>0.45454545454545459</v>
      </c>
      <c r="BP38" s="64">
        <f>IFERROR(1/J38*(Y38/H38),"0")</f>
        <v>0.45454545454545459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73.888888888888886</v>
      </c>
      <c r="Y41" s="665">
        <f>IFERROR(Y37/H37,"0")+IFERROR(Y38/H38,"0")+IFERROR(Y39/H39,"0")+IFERROR(Y40/H40,"0")</f>
        <v>74</v>
      </c>
      <c r="Z41" s="665">
        <f>IFERROR(IF(Z37="",0,Z37),"0")+IFERROR(IF(Z38="",0,Z38),"0")+IFERROR(IF(Z39="",0,Z39),"0")+IFERROR(IF(Z40="",0,Z40),"0")</f>
        <v>0.80692000000000008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390</v>
      </c>
      <c r="Y42" s="665">
        <f>IFERROR(SUM(Y37:Y40),"0")</f>
        <v>391.20000000000005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315</v>
      </c>
      <c r="Y54" s="664">
        <f t="shared" si="6"/>
        <v>315</v>
      </c>
      <c r="Z54" s="36">
        <f>IFERROR(IF(Y54=0,"",ROUNDUP(Y54/H54,0)*0.00902),"")</f>
        <v>0.63139999999999996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329.70000000000005</v>
      </c>
      <c r="BN54" s="64">
        <f t="shared" si="8"/>
        <v>329.70000000000005</v>
      </c>
      <c r="BO54" s="64">
        <f t="shared" si="9"/>
        <v>0.53030303030303028</v>
      </c>
      <c r="BP54" s="64">
        <f t="shared" si="10"/>
        <v>0.53030303030303028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88.518518518518519</v>
      </c>
      <c r="Y55" s="665">
        <f>IFERROR(Y49/H49,"0")+IFERROR(Y50/H50,"0")+IFERROR(Y51/H51,"0")+IFERROR(Y52/H52,"0")+IFERROR(Y53/H53,"0")+IFERROR(Y54/H54,"0")</f>
        <v>89</v>
      </c>
      <c r="Z55" s="665">
        <f>IFERROR(IF(Z49="",0,Z49),"0")+IFERROR(IF(Z50="",0,Z50),"0")+IFERROR(IF(Z51="",0,Z51),"0")+IFERROR(IF(Z52="",0,Z52),"0")+IFERROR(IF(Z53="",0,Z53),"0")+IFERROR(IF(Z54="",0,Z54),"0")</f>
        <v>0.9920199999999999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515</v>
      </c>
      <c r="Y56" s="665">
        <f>IFERROR(SUM(Y49:Y54),"0")</f>
        <v>520.20000000000005</v>
      </c>
      <c r="Z56" s="37"/>
      <c r="AA56" s="666"/>
      <c r="AB56" s="666"/>
      <c r="AC56" s="666"/>
    </row>
    <row r="57" spans="1:68" ht="14.25" hidden="1" customHeight="1" x14ac:dyDescent="0.25">
      <c r="A57" s="679" t="s">
        <v>136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37.962962962962962</v>
      </c>
      <c r="Y62" s="665">
        <f>IFERROR(Y58/H58,"0")+IFERROR(Y59/H59,"0")+IFERROR(Y60/H60,"0")+IFERROR(Y61/H61,"0")</f>
        <v>39</v>
      </c>
      <c r="Z62" s="665">
        <f>IFERROR(IF(Z58="",0,Z58),"0")+IFERROR(IF(Z59="",0,Z59),"0")+IFERROR(IF(Z60="",0,Z60),"0")+IFERROR(IF(Z61="",0,Z61),"0")</f>
        <v>0.31624000000000002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140</v>
      </c>
      <c r="Y63" s="665">
        <f>IFERROR(SUM(Y58:Y61),"0")</f>
        <v>145.80000000000001</v>
      </c>
      <c r="Z63" s="37"/>
      <c r="AA63" s="666"/>
      <c r="AB63" s="666"/>
      <c r="AC63" s="666"/>
    </row>
    <row r="64" spans="1:68" ht="14.25" hidden="1" customHeight="1" x14ac:dyDescent="0.25">
      <c r="A64" s="679" t="s">
        <v>147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173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20</v>
      </c>
      <c r="Y81" s="664">
        <f>IFERROR(IF(X81="",0,CEILING((X81/$H81),1)*$H81),"")</f>
        <v>25.200000000000003</v>
      </c>
      <c r="Z81" s="36">
        <f>IFERROR(IF(Y81=0,"",ROUNDUP(Y81/H81,0)*0.01898),"")</f>
        <v>5.6940000000000004E-2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21.235714285714284</v>
      </c>
      <c r="BN81" s="64">
        <f>IFERROR(Y81*I81/H81,"0")</f>
        <v>26.757000000000001</v>
      </c>
      <c r="BO81" s="64">
        <f>IFERROR(1/J81*(X81/H81),"0")</f>
        <v>3.7202380952380952E-2</v>
      </c>
      <c r="BP81" s="64">
        <f>IFERROR(1/J81*(Y81/H81),"0")</f>
        <v>4.6875E-2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2.3809523809523809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20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hidden="1" customHeight="1" x14ac:dyDescent="0.25">
      <c r="A85" s="716" t="s">
        <v>181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150</v>
      </c>
      <c r="Y87" s="664">
        <f>IFERROR(IF(X87="",0,CEILING((X87/$H87),1)*$H87),"")</f>
        <v>151.20000000000002</v>
      </c>
      <c r="Z87" s="36">
        <f>IFERROR(IF(Y87=0,"",ROUNDUP(Y87/H87,0)*0.01898),"")</f>
        <v>0.26572000000000001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156.04166666666666</v>
      </c>
      <c r="BN87" s="64">
        <f>IFERROR(Y87*I87/H87,"0")</f>
        <v>157.29000000000002</v>
      </c>
      <c r="BO87" s="64">
        <f>IFERROR(1/J87*(X87/H87),"0")</f>
        <v>0.21701388888888887</v>
      </c>
      <c r="BP87" s="64">
        <f>IFERROR(1/J87*(Y87/H87),"0")</f>
        <v>0.21875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405</v>
      </c>
      <c r="Y89" s="664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103.88888888888889</v>
      </c>
      <c r="Y90" s="665">
        <f>IFERROR(Y87/H87,"0")+IFERROR(Y88/H88,"0")+IFERROR(Y89/H89,"0")</f>
        <v>104</v>
      </c>
      <c r="Z90" s="665">
        <f>IFERROR(IF(Z87="",0,Z87),"0")+IFERROR(IF(Z88="",0,Z88),"0")+IFERROR(IF(Z89="",0,Z89),"0")</f>
        <v>1.07752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555</v>
      </c>
      <c r="Y91" s="665">
        <f>IFERROR(SUM(Y87:Y89),"0")</f>
        <v>556.20000000000005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120</v>
      </c>
      <c r="Y93" s="664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19" t="s">
        <v>195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199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203</v>
      </c>
      <c r="Q97" s="668"/>
      <c r="R97" s="668"/>
      <c r="S97" s="668"/>
      <c r="T97" s="669"/>
      <c r="U97" s="34"/>
      <c r="V97" s="34"/>
      <c r="W97" s="35" t="s">
        <v>69</v>
      </c>
      <c r="X97" s="663">
        <v>540</v>
      </c>
      <c r="Y97" s="664">
        <f t="shared" si="16"/>
        <v>540</v>
      </c>
      <c r="Z97" s="36">
        <f>IFERROR(IF(Y97=0,"",ROUNDUP(Y97/H97,0)*0.00651),"")</f>
        <v>1.302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590.4</v>
      </c>
      <c r="BN97" s="64">
        <f t="shared" si="18"/>
        <v>590.4</v>
      </c>
      <c r="BO97" s="64">
        <f t="shared" si="19"/>
        <v>1.098901098901099</v>
      </c>
      <c r="BP97" s="64">
        <f t="shared" si="20"/>
        <v>1.098901098901099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8" t="s">
        <v>205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214.28571428571428</v>
      </c>
      <c r="Y102" s="665">
        <f>IFERROR(Y93/H93,"0")+IFERROR(Y94/H94,"0")+IFERROR(Y95/H95,"0")+IFERROR(Y96/H96,"0")+IFERROR(Y97/H97,"0")+IFERROR(Y98/H98,"0")+IFERROR(Y99/H99,"0")+IFERROR(Y100/H100,"0")+IFERROR(Y101/H101,"0")</f>
        <v>215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1.5867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660</v>
      </c>
      <c r="Y103" s="665">
        <f>IFERROR(SUM(Y93:Y101),"0")</f>
        <v>666</v>
      </c>
      <c r="Z103" s="37"/>
      <c r="AA103" s="666"/>
      <c r="AB103" s="666"/>
      <c r="AC103" s="666"/>
    </row>
    <row r="104" spans="1:68" ht="16.5" hidden="1" customHeight="1" x14ac:dyDescent="0.25">
      <c r="A104" s="716" t="s">
        <v>212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50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52.013888888888886</v>
      </c>
      <c r="BN106" s="64">
        <f>IFERROR(Y106*I106/H106,"0")</f>
        <v>56.17499999999999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270</v>
      </c>
      <c r="Y108" s="664">
        <f>IFERROR(IF(X108="",0,CEILING((X108/$H108),1)*$H108),"")</f>
        <v>270</v>
      </c>
      <c r="Z108" s="36">
        <f>IFERROR(IF(Y108=0,"",ROUNDUP(Y108/H108,0)*0.00902),"")</f>
        <v>0.54120000000000001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282.60000000000002</v>
      </c>
      <c r="BN108" s="64">
        <f>IFERROR(Y108*I108/H108,"0")</f>
        <v>282.60000000000002</v>
      </c>
      <c r="BO108" s="64">
        <f>IFERROR(1/J108*(X108/H108),"0")</f>
        <v>0.45454545454545459</v>
      </c>
      <c r="BP108" s="64">
        <f>IFERROR(1/J108*(Y108/H108),"0")</f>
        <v>0.45454545454545459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64.629629629629633</v>
      </c>
      <c r="Y110" s="665">
        <f>IFERROR(Y106/H106,"0")+IFERROR(Y107/H107,"0")+IFERROR(Y108/H108,"0")+IFERROR(Y109/H109,"0")</f>
        <v>65</v>
      </c>
      <c r="Z110" s="665">
        <f>IFERROR(IF(Z106="",0,Z106),"0")+IFERROR(IF(Z107="",0,Z107),"0")+IFERROR(IF(Z108="",0,Z108),"0")+IFERROR(IF(Z109="",0,Z109),"0")</f>
        <v>0.6361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320</v>
      </c>
      <c r="Y111" s="665">
        <f>IFERROR(SUM(Y106:Y109),"0")</f>
        <v>324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136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850</v>
      </c>
      <c r="Y121" s="664">
        <f t="shared" si="21"/>
        <v>856.80000000000007</v>
      </c>
      <c r="Z121" s="36">
        <f>IFERROR(IF(Y121=0,"",ROUNDUP(Y121/H121,0)*0.01898),"")</f>
        <v>1.9359600000000001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901.91071428571422</v>
      </c>
      <c r="BN121" s="64">
        <f t="shared" si="23"/>
        <v>909.12600000000009</v>
      </c>
      <c r="BO121" s="64">
        <f t="shared" si="24"/>
        <v>1.5811011904761905</v>
      </c>
      <c r="BP121" s="64">
        <f t="shared" si="25"/>
        <v>1.59375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21" t="s">
        <v>240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540</v>
      </c>
      <c r="Y124" s="664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8" t="s">
        <v>244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18</v>
      </c>
      <c r="Y126" s="664">
        <f t="shared" si="21"/>
        <v>18</v>
      </c>
      <c r="Z126" s="36">
        <f t="shared" si="26"/>
        <v>6.5100000000000005E-2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19.8</v>
      </c>
      <c r="BN126" s="64">
        <f t="shared" si="23"/>
        <v>19.8</v>
      </c>
      <c r="BO126" s="64">
        <f t="shared" si="24"/>
        <v>5.4945054945054951E-2</v>
      </c>
      <c r="BP126" s="64">
        <f t="shared" si="25"/>
        <v>5.4945054945054951E-2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311.1904761904762</v>
      </c>
      <c r="Y128" s="665">
        <f>IFERROR(Y119/H119,"0")+IFERROR(Y120/H120,"0")+IFERROR(Y121/H121,"0")+IFERROR(Y122/H122,"0")+IFERROR(Y123/H123,"0")+IFERROR(Y124/H124,"0")+IFERROR(Y125/H125,"0")+IFERROR(Y126/H126,"0")+IFERROR(Y127/H127,"0")</f>
        <v>312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3.3030600000000003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1408</v>
      </c>
      <c r="Y129" s="665">
        <f>IFERROR(SUM(Y119:Y127),"0")</f>
        <v>1414.8000000000002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173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9.9</v>
      </c>
      <c r="Y132" s="664">
        <f>IFERROR(IF(X132="",0,CEILING((X132/$H132),1)*$H132),"")</f>
        <v>9.9</v>
      </c>
      <c r="Z132" s="36">
        <f>IFERROR(IF(Y132=0,"",ROUNDUP(Y132/H132,0)*0.00651),"")</f>
        <v>3.2550000000000003E-2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11.190000000000001</v>
      </c>
      <c r="BN132" s="64">
        <f>IFERROR(Y132*I132/H132,"0")</f>
        <v>11.190000000000001</v>
      </c>
      <c r="BO132" s="64">
        <f>IFERROR(1/J132*(X132/H132),"0")</f>
        <v>2.7472527472527476E-2</v>
      </c>
      <c r="BP132" s="64">
        <f>IFERROR(1/J132*(Y132/H132),"0")</f>
        <v>2.7472527472527476E-2</v>
      </c>
    </row>
    <row r="133" spans="1:68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5</v>
      </c>
      <c r="Y133" s="665">
        <f>IFERROR(Y131/H131,"0")+IFERROR(Y132/H132,"0")</f>
        <v>5</v>
      </c>
      <c r="Z133" s="665">
        <f>IFERROR(IF(Z131="",0,Z131),"0")+IFERROR(IF(Z132="",0,Z132),"0")</f>
        <v>3.2550000000000003E-2</v>
      </c>
      <c r="AA133" s="666"/>
      <c r="AB133" s="666"/>
      <c r="AC133" s="666"/>
    </row>
    <row r="134" spans="1:68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9.9</v>
      </c>
      <c r="Y134" s="665">
        <f>IFERROR(SUM(Y131:Y132),"0")</f>
        <v>9.9</v>
      </c>
      <c r="Z134" s="37"/>
      <c r="AA134" s="666"/>
      <c r="AB134" s="666"/>
      <c r="AC134" s="666"/>
    </row>
    <row r="135" spans="1:68" ht="16.5" hidden="1" customHeight="1" x14ac:dyDescent="0.25">
      <c r="A135" s="716" t="s">
        <v>257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60</v>
      </c>
      <c r="Y138" s="664">
        <f>IFERROR(IF(X138="",0,CEILING((X138/$H138),1)*$H138),"")</f>
        <v>60.800000000000004</v>
      </c>
      <c r="Z138" s="36">
        <f>IFERROR(IF(Y138=0,"",ROUNDUP(Y138/H138,0)*0.00651),"")</f>
        <v>0.12369000000000001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63.374999999999993</v>
      </c>
      <c r="BN138" s="64">
        <f>IFERROR(Y138*I138/H138,"0")</f>
        <v>64.22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18.75</v>
      </c>
      <c r="Y139" s="665">
        <f>IFERROR(Y137/H137,"0")+IFERROR(Y138/H138,"0")</f>
        <v>19</v>
      </c>
      <c r="Z139" s="665">
        <f>IFERROR(IF(Z137="",0,Z137),"0")+IFERROR(IF(Z138="",0,Z138),"0")</f>
        <v>0.12369000000000001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60</v>
      </c>
      <c r="Y140" s="665">
        <f>IFERROR(SUM(Y137:Y138),"0")</f>
        <v>60.800000000000004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147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35</v>
      </c>
      <c r="Y142" s="664">
        <f>IFERROR(IF(X142="",0,CEILING((X142/$H142),1)*$H142),"")</f>
        <v>36.4</v>
      </c>
      <c r="Z142" s="36">
        <f>IFERROR(IF(Y142=0,"",ROUNDUP(Y142/H142,0)*0.00651),"")</f>
        <v>8.4629999999999997E-2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38.35</v>
      </c>
      <c r="BN142" s="64">
        <f>IFERROR(Y142*I142/H142,"0")</f>
        <v>39.884</v>
      </c>
      <c r="BO142" s="64">
        <f>IFERROR(1/J142*(X142/H142),"0")</f>
        <v>6.8681318681318687E-2</v>
      </c>
      <c r="BP142" s="64">
        <f>IFERROR(1/J142*(Y142/H142),"0")</f>
        <v>7.1428571428571438E-2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12.5</v>
      </c>
      <c r="Y144" s="665">
        <f>IFERROR(Y142/H142,"0")+IFERROR(Y143/H143,"0")</f>
        <v>13</v>
      </c>
      <c r="Z144" s="665">
        <f>IFERROR(IF(Z142="",0,Z142),"0")+IFERROR(IF(Z143="",0,Z143),"0")</f>
        <v>8.4629999999999997E-2</v>
      </c>
      <c r="AA144" s="666"/>
      <c r="AB144" s="666"/>
      <c r="AC144" s="666"/>
    </row>
    <row r="145" spans="1:68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35</v>
      </c>
      <c r="Y145" s="665">
        <f>IFERROR(SUM(Y142:Y143),"0")</f>
        <v>36.4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33</v>
      </c>
      <c r="Y148" s="664">
        <f>IFERROR(IF(X148="",0,CEILING((X148/$H148),1)*$H148),"")</f>
        <v>34.32</v>
      </c>
      <c r="Z148" s="36">
        <f>IFERROR(IF(Y148=0,"",ROUNDUP(Y148/H148,0)*0.00651),"")</f>
        <v>8.4629999999999997E-2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36.349999999999994</v>
      </c>
      <c r="BN148" s="64">
        <f>IFERROR(Y148*I148/H148,"0")</f>
        <v>37.803999999999995</v>
      </c>
      <c r="BO148" s="64">
        <f>IFERROR(1/J148*(X148/H148),"0")</f>
        <v>6.8681318681318687E-2</v>
      </c>
      <c r="BP148" s="64">
        <f>IFERROR(1/J148*(Y148/H148),"0")</f>
        <v>7.1428571428571438E-2</v>
      </c>
    </row>
    <row r="149" spans="1:68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12.5</v>
      </c>
      <c r="Y149" s="665">
        <f>IFERROR(Y147/H147,"0")+IFERROR(Y148/H148,"0")</f>
        <v>13</v>
      </c>
      <c r="Z149" s="665">
        <f>IFERROR(IF(Z147="",0,Z147),"0")+IFERROR(IF(Z148="",0,Z148),"0")</f>
        <v>8.4629999999999997E-2</v>
      </c>
      <c r="AA149" s="666"/>
      <c r="AB149" s="666"/>
      <c r="AC149" s="666"/>
    </row>
    <row r="150" spans="1:68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33</v>
      </c>
      <c r="Y150" s="665">
        <f>IFERROR(SUM(Y147:Y148),"0")</f>
        <v>34.32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147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287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136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147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80</v>
      </c>
      <c r="Y174" s="664">
        <f t="shared" ref="Y174:Y182" si="27">IFERROR(IF(X174="",0,CEILING((X174/$H174),1)*$H174),"")</f>
        <v>84</v>
      </c>
      <c r="Z174" s="36">
        <f>IFERROR(IF(Y174=0,"",ROUNDUP(Y174/H174,0)*0.00902),"")</f>
        <v>0.1804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85.142857142857125</v>
      </c>
      <c r="BN174" s="64">
        <f t="shared" ref="BN174:BN182" si="29">IFERROR(Y174*I174/H174,"0")</f>
        <v>89.399999999999991</v>
      </c>
      <c r="BO174" s="64">
        <f t="shared" ref="BO174:BO182" si="30">IFERROR(1/J174*(X174/H174),"0")</f>
        <v>0.14430014430014429</v>
      </c>
      <c r="BP174" s="64">
        <f t="shared" ref="BP174:BP182" si="31">IFERROR(1/J174*(Y174/H174),"0")</f>
        <v>0.15151515151515152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20</v>
      </c>
      <c r="Y175" s="664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90</v>
      </c>
      <c r="Y176" s="664">
        <f t="shared" si="27"/>
        <v>92.4</v>
      </c>
      <c r="Z176" s="36">
        <f>IFERROR(IF(Y176=0,"",ROUNDUP(Y176/H176,0)*0.00902),"")</f>
        <v>0.19844000000000001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94.5</v>
      </c>
      <c r="BN176" s="64">
        <f t="shared" si="29"/>
        <v>97.02000000000001</v>
      </c>
      <c r="BO176" s="64">
        <f t="shared" si="30"/>
        <v>0.16233766233766234</v>
      </c>
      <c r="BP176" s="64">
        <f t="shared" si="31"/>
        <v>0.16666666666666669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35</v>
      </c>
      <c r="Y177" s="664">
        <f t="shared" si="27"/>
        <v>35.700000000000003</v>
      </c>
      <c r="Z177" s="36">
        <f>IFERROR(IF(Y177=0,"",ROUNDUP(Y177/H177,0)*0.00502),"")</f>
        <v>8.5339999999999999E-2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37.166666666666664</v>
      </c>
      <c r="BN177" s="64">
        <f t="shared" si="29"/>
        <v>37.910000000000004</v>
      </c>
      <c r="BO177" s="64">
        <f t="shared" si="30"/>
        <v>7.1225071225071226E-2</v>
      </c>
      <c r="BP177" s="64">
        <f t="shared" si="31"/>
        <v>7.2649572649572655E-2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98</v>
      </c>
      <c r="Y178" s="664">
        <f t="shared" si="27"/>
        <v>98.7</v>
      </c>
      <c r="Z178" s="36">
        <f>IFERROR(IF(Y178=0,"",ROUNDUP(Y178/H178,0)*0.00502),"")</f>
        <v>0.23594000000000001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104.06666666666666</v>
      </c>
      <c r="BN178" s="64">
        <f t="shared" si="29"/>
        <v>104.80999999999999</v>
      </c>
      <c r="BO178" s="64">
        <f t="shared" si="30"/>
        <v>0.19943019943019943</v>
      </c>
      <c r="BP178" s="64">
        <f t="shared" si="31"/>
        <v>0.20085470085470086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">
        <v>306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157.5</v>
      </c>
      <c r="Y180" s="664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165</v>
      </c>
      <c r="BN180" s="64">
        <f t="shared" si="29"/>
        <v>165</v>
      </c>
      <c r="BO180" s="64">
        <f t="shared" si="30"/>
        <v>0.32051282051282054</v>
      </c>
      <c r="BP180" s="64">
        <f t="shared" si="31"/>
        <v>0.32051282051282054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183.57142857142856</v>
      </c>
      <c r="Y183" s="665">
        <f>IFERROR(Y174/H174,"0")+IFERROR(Y175/H175,"0")+IFERROR(Y176/H176,"0")+IFERROR(Y177/H177,"0")+IFERROR(Y178/H178,"0")+IFERROR(Y179/H179,"0")+IFERROR(Y180/H180,"0")+IFERROR(Y181/H181,"0")+IFERROR(Y182/H182,"0")</f>
        <v>186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1.1217200000000001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480.5</v>
      </c>
      <c r="Y184" s="665">
        <f>IFERROR(SUM(Y174:Y182),"0")</f>
        <v>489.3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11" t="s">
        <v>319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322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136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147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80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83.111111111111114</v>
      </c>
      <c r="BN202" s="64">
        <f t="shared" si="34"/>
        <v>84.15</v>
      </c>
      <c r="BO202" s="64">
        <f t="shared" si="35"/>
        <v>0.11223344556677889</v>
      </c>
      <c r="BP202" s="64">
        <f t="shared" si="36"/>
        <v>0.11363636363636363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220</v>
      </c>
      <c r="Y203" s="664">
        <f t="shared" si="32"/>
        <v>221.4</v>
      </c>
      <c r="Z203" s="36">
        <f>IFERROR(IF(Y203=0,"",ROUNDUP(Y203/H203,0)*0.00902),"")</f>
        <v>0.36982000000000004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228.55555555555554</v>
      </c>
      <c r="BN203" s="64">
        <f t="shared" si="34"/>
        <v>230.01</v>
      </c>
      <c r="BO203" s="64">
        <f t="shared" si="35"/>
        <v>0.30864197530864196</v>
      </c>
      <c r="BP203" s="64">
        <f t="shared" si="36"/>
        <v>0.31060606060606061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110</v>
      </c>
      <c r="Y204" s="664">
        <f t="shared" si="32"/>
        <v>113.4</v>
      </c>
      <c r="Z204" s="36">
        <f>IFERROR(IF(Y204=0,"",ROUNDUP(Y204/H204,0)*0.00902),"")</f>
        <v>0.18942000000000001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114.27777777777777</v>
      </c>
      <c r="BN204" s="64">
        <f t="shared" si="34"/>
        <v>117.81</v>
      </c>
      <c r="BO204" s="64">
        <f t="shared" si="35"/>
        <v>0.15432098765432098</v>
      </c>
      <c r="BP204" s="64">
        <f t="shared" si="36"/>
        <v>0.15909090909090909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105</v>
      </c>
      <c r="Y205" s="664">
        <f t="shared" si="32"/>
        <v>106.2</v>
      </c>
      <c r="Z205" s="36">
        <f>IFERROR(IF(Y205=0,"",ROUNDUP(Y205/H205,0)*0.00502),"")</f>
        <v>0.29618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112.58333333333333</v>
      </c>
      <c r="BN205" s="64">
        <f t="shared" si="34"/>
        <v>113.87</v>
      </c>
      <c r="BO205" s="64">
        <f t="shared" si="35"/>
        <v>0.2492877492877493</v>
      </c>
      <c r="BP205" s="64">
        <f t="shared" si="36"/>
        <v>0.25213675213675218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60</v>
      </c>
      <c r="Y206" s="664">
        <f t="shared" si="32"/>
        <v>61.2</v>
      </c>
      <c r="Z206" s="36">
        <f>IFERROR(IF(Y206=0,"",ROUNDUP(Y206/H206,0)*0.00502),"")</f>
        <v>0.17068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63.333333333333329</v>
      </c>
      <c r="BN206" s="64">
        <f t="shared" si="34"/>
        <v>64.599999999999994</v>
      </c>
      <c r="BO206" s="64">
        <f t="shared" si="35"/>
        <v>0.14245014245014248</v>
      </c>
      <c r="BP206" s="64">
        <f t="shared" si="36"/>
        <v>0.14529914529914531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75</v>
      </c>
      <c r="Y207" s="664">
        <f t="shared" si="32"/>
        <v>75.600000000000009</v>
      </c>
      <c r="Z207" s="36">
        <f>IFERROR(IF(Y207=0,"",ROUNDUP(Y207/H207,0)*0.00502),"")</f>
        <v>0.21084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79.166666666666671</v>
      </c>
      <c r="BN207" s="64">
        <f t="shared" si="34"/>
        <v>79.800000000000011</v>
      </c>
      <c r="BO207" s="64">
        <f t="shared" si="35"/>
        <v>0.17806267806267806</v>
      </c>
      <c r="BP207" s="64">
        <f t="shared" si="36"/>
        <v>0.17948717948717954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60</v>
      </c>
      <c r="Y208" s="664">
        <f t="shared" si="32"/>
        <v>61.2</v>
      </c>
      <c r="Z208" s="36">
        <f>IFERROR(IF(Y208=0,"",ROUNDUP(Y208/H208,0)*0.00502),"")</f>
        <v>0.17068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63.333333333333329</v>
      </c>
      <c r="BN208" s="64">
        <f t="shared" si="34"/>
        <v>64.599999999999994</v>
      </c>
      <c r="BO208" s="64">
        <f t="shared" si="35"/>
        <v>0.14245014245014248</v>
      </c>
      <c r="BP208" s="64">
        <f t="shared" si="36"/>
        <v>0.14529914529914531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270.37037037037032</v>
      </c>
      <c r="Y209" s="665">
        <f>IFERROR(Y201/H201,"0")+IFERROR(Y202/H202,"0")+IFERROR(Y203/H203,"0")+IFERROR(Y204/H204,"0")+IFERROR(Y205/H205,"0")+IFERROR(Y206/H206,"0")+IFERROR(Y207/H207,"0")+IFERROR(Y208/H208,"0")</f>
        <v>274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1.7954799999999997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860</v>
      </c>
      <c r="Y210" s="665">
        <f>IFERROR(SUM(Y201:Y208),"0")</f>
        <v>871.20000000000016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100</v>
      </c>
      <c r="Y214" s="664">
        <f t="shared" si="37"/>
        <v>104.39999999999999</v>
      </c>
      <c r="Z214" s="36">
        <f>IFERROR(IF(Y214=0,"",ROUNDUP(Y214/H214,0)*0.01898),"")</f>
        <v>0.22776000000000002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105.96551724137932</v>
      </c>
      <c r="BN214" s="64">
        <f t="shared" si="39"/>
        <v>110.62799999999999</v>
      </c>
      <c r="BO214" s="64">
        <f t="shared" si="40"/>
        <v>0.1795977011494253</v>
      </c>
      <c r="BP214" s="64">
        <f t="shared" si="41"/>
        <v>0.1875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280</v>
      </c>
      <c r="Y215" s="664">
        <f t="shared" si="37"/>
        <v>280.8</v>
      </c>
      <c r="Z215" s="36">
        <f t="shared" ref="Z215:Z220" si="42">IFERROR(IF(Y215=0,"",ROUNDUP(Y215/H215,0)*0.00651),"")</f>
        <v>0.76167000000000007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311.5</v>
      </c>
      <c r="BN215" s="64">
        <f t="shared" si="39"/>
        <v>312.39</v>
      </c>
      <c r="BO215" s="64">
        <f t="shared" si="40"/>
        <v>0.64102564102564108</v>
      </c>
      <c r="BP215" s="64">
        <f t="shared" si="41"/>
        <v>0.64285714285714302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361.4942528735632</v>
      </c>
      <c r="Y221" s="665">
        <f>IFERROR(Y212/H212,"0")+IFERROR(Y213/H213,"0")+IFERROR(Y214/H214,"0")+IFERROR(Y215/H215,"0")+IFERROR(Y216/H216,"0")+IFERROR(Y217/H217,"0")+IFERROR(Y218/H218,"0")+IFERROR(Y219/H219,"0")+IFERROR(Y220/H220,"0")</f>
        <v>363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2.5127700000000002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940</v>
      </c>
      <c r="Y222" s="665">
        <f>IFERROR(SUM(Y212:Y220),"0")</f>
        <v>946.80000000000007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173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28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36</v>
      </c>
      <c r="Y225" s="664">
        <f>IFERROR(IF(X225="",0,CEILING((X225/$H225),1)*$H225),"")</f>
        <v>36</v>
      </c>
      <c r="Z225" s="36">
        <f>IFERROR(IF(Y225=0,"",ROUNDUP(Y225/H225,0)*0.00651),"")</f>
        <v>9.7650000000000001E-2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39.780000000000008</v>
      </c>
      <c r="BN225" s="64">
        <f>IFERROR(Y225*I225/H225,"0")</f>
        <v>39.780000000000008</v>
      </c>
      <c r="BO225" s="64">
        <f>IFERROR(1/J225*(X225/H225),"0")</f>
        <v>8.241758241758243E-2</v>
      </c>
      <c r="BP225" s="64">
        <f>IFERROR(1/J225*(Y225/H225),"0")</f>
        <v>8.241758241758243E-2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26.666666666666668</v>
      </c>
      <c r="Y226" s="665">
        <f>IFERROR(Y224/H224,"0")+IFERROR(Y225/H225,"0")</f>
        <v>27</v>
      </c>
      <c r="Z226" s="665">
        <f>IFERROR(IF(Z224="",0,Z224),"0")+IFERROR(IF(Z225="",0,Z225),"0")</f>
        <v>0.17576999999999998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64</v>
      </c>
      <c r="Y227" s="665">
        <f>IFERROR(SUM(Y224:Y225),"0")</f>
        <v>64.8</v>
      </c>
      <c r="Z227" s="37"/>
      <c r="AA227" s="666"/>
      <c r="AB227" s="666"/>
      <c r="AC227" s="666"/>
    </row>
    <row r="228" spans="1:68" ht="16.5" hidden="1" customHeight="1" x14ac:dyDescent="0.25">
      <c r="A228" s="716" t="s">
        <v>383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30</v>
      </c>
      <c r="Y231" s="664">
        <f t="shared" si="43"/>
        <v>34.799999999999997</v>
      </c>
      <c r="Z231" s="36">
        <f>IFERROR(IF(Y231=0,"",ROUNDUP(Y231/H231,0)*0.01898),"")</f>
        <v>5.6940000000000004E-2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31.125000000000004</v>
      </c>
      <c r="BN231" s="64">
        <f t="shared" si="45"/>
        <v>36.104999999999997</v>
      </c>
      <c r="BO231" s="64">
        <f t="shared" si="46"/>
        <v>4.0409482758620691E-2</v>
      </c>
      <c r="BP231" s="64">
        <f t="shared" si="47"/>
        <v>4.6875E-2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70</v>
      </c>
      <c r="Y234" s="664">
        <f t="shared" si="43"/>
        <v>81.2</v>
      </c>
      <c r="Z234" s="36">
        <f>IFERROR(IF(Y234=0,"",ROUNDUP(Y234/H234,0)*0.01898),"")</f>
        <v>0.13286000000000001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72.625</v>
      </c>
      <c r="BN234" s="64">
        <f t="shared" si="45"/>
        <v>84.245000000000005</v>
      </c>
      <c r="BO234" s="64">
        <f t="shared" si="46"/>
        <v>9.4288793103448273E-2</v>
      </c>
      <c r="BP234" s="64">
        <f t="shared" si="47"/>
        <v>0.10937500000000001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20</v>
      </c>
      <c r="Y235" s="664">
        <f t="shared" si="43"/>
        <v>20</v>
      </c>
      <c r="Z235" s="36">
        <f>IFERROR(IF(Y235=0,"",ROUNDUP(Y235/H235,0)*0.00902),"")</f>
        <v>4.5100000000000001E-2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21.05</v>
      </c>
      <c r="BN235" s="64">
        <f t="shared" si="45"/>
        <v>21.05</v>
      </c>
      <c r="BO235" s="64">
        <f t="shared" si="46"/>
        <v>3.787878787878788E-2</v>
      </c>
      <c r="BP235" s="64">
        <f t="shared" si="47"/>
        <v>3.787878787878788E-2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32</v>
      </c>
      <c r="Y237" s="664">
        <f t="shared" si="43"/>
        <v>32</v>
      </c>
      <c r="Z237" s="36">
        <f>IFERROR(IF(Y237=0,"",ROUNDUP(Y237/H237,0)*0.00902),"")</f>
        <v>7.2160000000000002E-2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33.68</v>
      </c>
      <c r="BN237" s="64">
        <f t="shared" si="45"/>
        <v>33.68</v>
      </c>
      <c r="BO237" s="64">
        <f t="shared" si="46"/>
        <v>6.0606060606060608E-2</v>
      </c>
      <c r="BP237" s="64">
        <f t="shared" si="47"/>
        <v>6.0606060606060608E-2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21.620689655172413</v>
      </c>
      <c r="Y238" s="665">
        <f>IFERROR(Y230/H230,"0")+IFERROR(Y231/H231,"0")+IFERROR(Y232/H232,"0")+IFERROR(Y233/H233,"0")+IFERROR(Y234/H234,"0")+IFERROR(Y235/H235,"0")+IFERROR(Y236/H236,"0")+IFERROR(Y237/H237,"0")</f>
        <v>23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0.30706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152</v>
      </c>
      <c r="Y239" s="665">
        <f>IFERROR(SUM(Y230:Y237),"0")</f>
        <v>168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136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5">
        <v>4680115885721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5">
        <v>4680115885981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408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792" t="s">
        <v>411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418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436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440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449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80</v>
      </c>
      <c r="Y279" s="664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160</v>
      </c>
      <c r="Y280" s="664">
        <f>IFERROR(IF(X280="",0,CEILING((X280/$H280),1)*$H280),"")</f>
        <v>160.79999999999998</v>
      </c>
      <c r="Z280" s="36">
        <f>IFERROR(IF(Y280=0,"",ROUNDUP(Y280/H280,0)*0.00651),"")</f>
        <v>0.43617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172</v>
      </c>
      <c r="BN280" s="64">
        <f>IFERROR(Y280*I280/H280,"0")</f>
        <v>172.85999999999999</v>
      </c>
      <c r="BO280" s="64">
        <f>IFERROR(1/J280*(X280/H280),"0")</f>
        <v>0.36630036630036633</v>
      </c>
      <c r="BP280" s="64">
        <f>IFERROR(1/J280*(Y280/H280),"0")</f>
        <v>0.36813186813186816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100</v>
      </c>
      <c r="Y282" s="665">
        <f>IFERROR(Y277/H277,"0")+IFERROR(Y278/H278,"0")+IFERROR(Y279/H279,"0")+IFERROR(Y280/H280,"0")+IFERROR(Y281/H281,"0")</f>
        <v>101</v>
      </c>
      <c r="Z282" s="665">
        <f>IFERROR(IF(Z277="",0,Z277),"0")+IFERROR(IF(Z278="",0,Z278),"0")+IFERROR(IF(Z279="",0,Z279),"0")+IFERROR(IF(Z280="",0,Z280),"0")+IFERROR(IF(Z281="",0,Z281),"0")</f>
        <v>0.65751000000000004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240</v>
      </c>
      <c r="Y283" s="665">
        <f>IFERROR(SUM(Y277:Y281),"0")</f>
        <v>242.39999999999998</v>
      </c>
      <c r="Z283" s="37"/>
      <c r="AA283" s="666"/>
      <c r="AB283" s="666"/>
      <c r="AC283" s="666"/>
    </row>
    <row r="284" spans="1:68" ht="16.5" hidden="1" customHeight="1" x14ac:dyDescent="0.25">
      <c r="A284" s="716" t="s">
        <v>463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147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473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477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147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105</v>
      </c>
      <c r="Y308" s="664">
        <f>IFERROR(IF(X308="",0,CEILING((X308/$H308),1)*$H308),"")</f>
        <v>105</v>
      </c>
      <c r="Z308" s="36">
        <f>IFERROR(IF(Y308=0,"",ROUNDUP(Y308/H308,0)*0.00502),"")</f>
        <v>0.251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110.00000000000001</v>
      </c>
      <c r="BN308" s="64">
        <f>IFERROR(Y308*I308/H308,"0")</f>
        <v>110.00000000000001</v>
      </c>
      <c r="BO308" s="64">
        <f>IFERROR(1/J308*(X308/H308),"0")</f>
        <v>0.21367521367521369</v>
      </c>
      <c r="BP308" s="64">
        <f>IFERROR(1/J308*(Y308/H308),"0")</f>
        <v>0.21367521367521369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50</v>
      </c>
      <c r="Y310" s="665">
        <f>IFERROR(Y308/H308,"0")+IFERROR(Y309/H309,"0")</f>
        <v>50</v>
      </c>
      <c r="Z310" s="665">
        <f>IFERROR(IF(Z308="",0,Z308),"0")+IFERROR(IF(Z309="",0,Z309),"0")</f>
        <v>0.251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105</v>
      </c>
      <c r="Y311" s="665">
        <f>IFERROR(SUM(Y308:Y309),"0")</f>
        <v>105</v>
      </c>
      <c r="Z311" s="37"/>
      <c r="AA311" s="666"/>
      <c r="AB311" s="666"/>
      <c r="AC311" s="666"/>
    </row>
    <row r="312" spans="1:68" ht="16.5" hidden="1" customHeight="1" x14ac:dyDescent="0.25">
      <c r="A312" s="716" t="s">
        <v>485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490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173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30.402930402930401</v>
      </c>
      <c r="Y346" s="665">
        <f>IFERROR(Y343/H343,"0")+IFERROR(Y344/H344,"0")+IFERROR(Y345/H345,"0")</f>
        <v>32</v>
      </c>
      <c r="Z346" s="665">
        <f>IFERROR(IF(Z343="",0,Z343),"0")+IFERROR(IF(Z344="",0,Z344),"0")+IFERROR(IF(Z345="",0,Z345),"0")</f>
        <v>0.60736000000000001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240</v>
      </c>
      <c r="Y347" s="665">
        <f>IFERROR(SUM(Y343:Y345),"0")</f>
        <v>253.2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34</v>
      </c>
      <c r="Y351" s="664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102</v>
      </c>
      <c r="Y352" s="664">
        <f>IFERROR(IF(X352="",0,CEILING((X352/$H352),1)*$H352),"")</f>
        <v>102</v>
      </c>
      <c r="Z352" s="36">
        <f>IFERROR(IF(Y352=0,"",ROUNDUP(Y352/H352,0)*0.00651),"")</f>
        <v>0.26040000000000002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115.2</v>
      </c>
      <c r="BN352" s="64">
        <f>IFERROR(Y352*I352/H352,"0")</f>
        <v>115.2</v>
      </c>
      <c r="BO352" s="64">
        <f>IFERROR(1/J352*(X352/H352),"0")</f>
        <v>0.2197802197802198</v>
      </c>
      <c r="BP352" s="64">
        <f>IFERROR(1/J352*(Y352/H352),"0")</f>
        <v>0.2197802197802198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53.333333333333336</v>
      </c>
      <c r="Y353" s="665">
        <f>IFERROR(Y349/H349,"0")+IFERROR(Y350/H350,"0")+IFERROR(Y351/H351,"0")+IFERROR(Y352/H352,"0")</f>
        <v>54</v>
      </c>
      <c r="Z353" s="665">
        <f>IFERROR(IF(Z349="",0,Z349),"0")+IFERROR(IF(Z350="",0,Z350),"0")+IFERROR(IF(Z351="",0,Z351),"0")+IFERROR(IF(Z352="",0,Z352),"0")</f>
        <v>0.35154000000000002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136</v>
      </c>
      <c r="Y354" s="665">
        <f>IFERROR(SUM(Y349:Y352),"0")</f>
        <v>137.69999999999999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50</v>
      </c>
      <c r="Y358" s="664">
        <f>IFERROR(IF(X358="",0,CEILING((X358/$H358),1)*$H358),"")</f>
        <v>50</v>
      </c>
      <c r="Z358" s="36">
        <f>IFERROR(IF(Y358=0,"",ROUNDUP(Y358/H358,0)*0.00474),"")</f>
        <v>0.11850000000000001</v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56.000000000000007</v>
      </c>
      <c r="BN358" s="64">
        <f>IFERROR(Y358*I358/H358,"0")</f>
        <v>56.000000000000007</v>
      </c>
      <c r="BO358" s="64">
        <f>IFERROR(1/J358*(X358/H358),"0")</f>
        <v>0.10504201680672269</v>
      </c>
      <c r="BP358" s="64">
        <f>IFERROR(1/J358*(Y358/H358),"0")</f>
        <v>0.10504201680672269</v>
      </c>
    </row>
    <row r="359" spans="1:68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25</v>
      </c>
      <c r="Y359" s="665">
        <f>IFERROR(Y356/H356,"0")+IFERROR(Y357/H357,"0")+IFERROR(Y358/H358,"0")</f>
        <v>25</v>
      </c>
      <c r="Z359" s="665">
        <f>IFERROR(IF(Z356="",0,Z356),"0")+IFERROR(IF(Z357="",0,Z357),"0")+IFERROR(IF(Z358="",0,Z358),"0")</f>
        <v>0.11850000000000001</v>
      </c>
      <c r="AA359" s="666"/>
      <c r="AB359" s="666"/>
      <c r="AC359" s="666"/>
    </row>
    <row r="360" spans="1:68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50</v>
      </c>
      <c r="Y360" s="665">
        <f>IFERROR(SUM(Y356:Y358),"0")</f>
        <v>50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147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489.99999999999989</v>
      </c>
      <c r="Y368" s="664">
        <f>IFERROR(IF(X368="",0,CEILING((X368/$H368),1)*$H368),"")</f>
        <v>491.40000000000003</v>
      </c>
      <c r="Z368" s="36">
        <f>IFERROR(IF(Y368=0,"",ROUNDUP(Y368/H368,0)*0.00651),"")</f>
        <v>1.5233400000000001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548.79999999999973</v>
      </c>
      <c r="BN368" s="64">
        <f>IFERROR(Y368*I368/H368,"0")</f>
        <v>550.36799999999994</v>
      </c>
      <c r="BO368" s="64">
        <f>IFERROR(1/J368*(X368/H368),"0")</f>
        <v>1.2820512820512817</v>
      </c>
      <c r="BP368" s="64">
        <f>IFERROR(1/J368*(Y368/H368),"0")</f>
        <v>1.2857142857142858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350</v>
      </c>
      <c r="Y369" s="664">
        <f>IFERROR(IF(X369="",0,CEILING((X369/$H369),1)*$H369),"")</f>
        <v>350.7</v>
      </c>
      <c r="Z369" s="36">
        <f>IFERROR(IF(Y369=0,"",ROUNDUP(Y369/H369,0)*0.00651),"")</f>
        <v>1.08717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390</v>
      </c>
      <c r="BN369" s="64">
        <f>IFERROR(Y369*I369/H369,"0")</f>
        <v>390.78</v>
      </c>
      <c r="BO369" s="64">
        <f>IFERROR(1/J369*(X369/H369),"0")</f>
        <v>0.91575091575091572</v>
      </c>
      <c r="BP369" s="64">
        <f>IFERROR(1/J369*(Y369/H369),"0")</f>
        <v>0.91758241758241765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399.99999999999989</v>
      </c>
      <c r="Y370" s="665">
        <f>IFERROR(Y367/H367,"0")+IFERROR(Y368/H368,"0")+IFERROR(Y369/H369,"0")</f>
        <v>401</v>
      </c>
      <c r="Z370" s="665">
        <f>IFERROR(IF(Z367="",0,Z367),"0")+IFERROR(IF(Z368="",0,Z368),"0")+IFERROR(IF(Z369="",0,Z369),"0")</f>
        <v>2.6105100000000001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839.99999999999989</v>
      </c>
      <c r="Y371" s="665">
        <f>IFERROR(SUM(Y367:Y369),"0")</f>
        <v>842.1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1800</v>
      </c>
      <c r="Y376" s="664">
        <f t="shared" si="58"/>
        <v>1800</v>
      </c>
      <c r="Z376" s="36">
        <f>IFERROR(IF(Y376=0,"",ROUNDUP(Y376/H376,0)*0.02175),"")</f>
        <v>2.61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1857.6</v>
      </c>
      <c r="BN376" s="64">
        <f t="shared" si="60"/>
        <v>1857.6</v>
      </c>
      <c r="BO376" s="64">
        <f t="shared" si="61"/>
        <v>2.5</v>
      </c>
      <c r="BP376" s="64">
        <f t="shared" si="62"/>
        <v>2.5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9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1400</v>
      </c>
      <c r="Y378" s="664">
        <f t="shared" si="58"/>
        <v>1410</v>
      </c>
      <c r="Z378" s="36">
        <f>IFERROR(IF(Y378=0,"",ROUNDUP(Y378/H378,0)*0.02175),"")</f>
        <v>2.0444999999999998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1444.8</v>
      </c>
      <c r="BN378" s="64">
        <f t="shared" si="60"/>
        <v>1455.12</v>
      </c>
      <c r="BO378" s="64">
        <f t="shared" si="61"/>
        <v>1.9444444444444442</v>
      </c>
      <c r="BP378" s="64">
        <f t="shared" si="62"/>
        <v>1.9583333333333333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200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206.4</v>
      </c>
      <c r="BN380" s="64">
        <f t="shared" si="60"/>
        <v>216.72</v>
      </c>
      <c r="BO380" s="64">
        <f t="shared" si="61"/>
        <v>0.27777777777777779</v>
      </c>
      <c r="BP380" s="64">
        <f t="shared" si="62"/>
        <v>0.29166666666666663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1600</v>
      </c>
      <c r="Y381" s="664">
        <f t="shared" si="58"/>
        <v>1605</v>
      </c>
      <c r="Z381" s="36">
        <f>IFERROR(IF(Y381=0,"",ROUNDUP(Y381/H381,0)*0.02175),"")</f>
        <v>2.3272499999999998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1651.2</v>
      </c>
      <c r="BN381" s="64">
        <f t="shared" si="60"/>
        <v>1656.3600000000001</v>
      </c>
      <c r="BO381" s="64">
        <f t="shared" si="61"/>
        <v>2.2222222222222223</v>
      </c>
      <c r="BP381" s="64">
        <f t="shared" si="62"/>
        <v>2.2291666666666665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333.33333333333331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335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7.286249999999999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5000</v>
      </c>
      <c r="Y386" s="665">
        <f>IFERROR(SUM(Y375:Y384),"0")</f>
        <v>5025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136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1600</v>
      </c>
      <c r="Y388" s="664">
        <f>IFERROR(IF(X388="",0,CEILING((X388/$H388),1)*$H388),"")</f>
        <v>1605</v>
      </c>
      <c r="Z388" s="36">
        <f>IFERROR(IF(Y388=0,"",ROUNDUP(Y388/H388,0)*0.02175),"")</f>
        <v>2.3272499999999998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1651.2</v>
      </c>
      <c r="BN388" s="64">
        <f>IFERROR(Y388*I388/H388,"0")</f>
        <v>1656.3600000000001</v>
      </c>
      <c r="BO388" s="64">
        <f>IFERROR(1/J388*(X388/H388),"0")</f>
        <v>2.2222222222222223</v>
      </c>
      <c r="BP388" s="64">
        <f>IFERROR(1/J388*(Y388/H388),"0")</f>
        <v>2.2291666666666665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106.66666666666667</v>
      </c>
      <c r="Y390" s="665">
        <f>IFERROR(Y388/H388,"0")+IFERROR(Y389/H389,"0")</f>
        <v>107</v>
      </c>
      <c r="Z390" s="665">
        <f>IFERROR(IF(Z388="",0,Z388),"0")+IFERROR(IF(Z389="",0,Z389),"0")</f>
        <v>2.3272499999999998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1600</v>
      </c>
      <c r="Y391" s="665">
        <f>IFERROR(SUM(Y388:Y389),"0")</f>
        <v>1605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30</v>
      </c>
      <c r="Y394" s="664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3.3333333333333335</v>
      </c>
      <c r="Y395" s="665">
        <f>IFERROR(Y393/H393,"0")+IFERROR(Y394/H394,"0")</f>
        <v>4</v>
      </c>
      <c r="Z395" s="665">
        <f>IFERROR(IF(Z393="",0,Z393),"0")+IFERROR(IF(Z394="",0,Z394),"0")</f>
        <v>7.5920000000000001E-2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30</v>
      </c>
      <c r="Y396" s="665">
        <f>IFERROR(SUM(Y393:Y394),"0")</f>
        <v>36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173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20</v>
      </c>
      <c r="Y398" s="664">
        <f>IFERROR(IF(X398="",0,CEILING((X398/$H398),1)*$H398),"")</f>
        <v>27</v>
      </c>
      <c r="Z398" s="36">
        <f>IFERROR(IF(Y398=0,"",ROUNDUP(Y398/H398,0)*0.01898),"")</f>
        <v>5.6940000000000004E-2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21.153333333333332</v>
      </c>
      <c r="BN398" s="64">
        <f>IFERROR(Y398*I398/H398,"0")</f>
        <v>28.556999999999999</v>
      </c>
      <c r="BO398" s="64">
        <f>IFERROR(1/J398*(X398/H398),"0")</f>
        <v>3.4722222222222224E-2</v>
      </c>
      <c r="BP398" s="64">
        <f>IFERROR(1/J398*(Y398/H398),"0")</f>
        <v>4.6875E-2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2.2222222222222223</v>
      </c>
      <c r="Y399" s="665">
        <f>IFERROR(Y398/H398,"0")</f>
        <v>3</v>
      </c>
      <c r="Z399" s="665">
        <f>IFERROR(IF(Z398="",0,Z398),"0")</f>
        <v>5.6940000000000004E-2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20</v>
      </c>
      <c r="Y400" s="665">
        <f>IFERROR(SUM(Y398:Y398),"0")</f>
        <v>27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40</v>
      </c>
      <c r="Y406" s="664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41.45</v>
      </c>
      <c r="BN406" s="64">
        <f>IFERROR(Y406*I406/H406,"0")</f>
        <v>49.74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3.3333333333333335</v>
      </c>
      <c r="Y408" s="665">
        <f>IFERROR(Y403/H403,"0")+IFERROR(Y404/H404,"0")+IFERROR(Y405/H405,"0")+IFERROR(Y406/H406,"0")+IFERROR(Y407/H407,"0")</f>
        <v>4</v>
      </c>
      <c r="Z408" s="665">
        <f>IFERROR(IF(Z403="",0,Z403),"0")+IFERROR(IF(Z404="",0,Z404),"0")+IFERROR(IF(Z405="",0,Z405),"0")+IFERROR(IF(Z406="",0,Z406),"0")+IFERROR(IF(Z407="",0,Z407),"0")</f>
        <v>7.5920000000000001E-2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40</v>
      </c>
      <c r="Y409" s="665">
        <f>IFERROR(SUM(Y403:Y407),"0")</f>
        <v>48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147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173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147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87.5</v>
      </c>
      <c r="Y436" s="664">
        <f t="shared" si="63"/>
        <v>88.2</v>
      </c>
      <c r="Z436" s="36">
        <f t="shared" si="68"/>
        <v>0.21084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92.916666666666657</v>
      </c>
      <c r="BN436" s="64">
        <f t="shared" si="65"/>
        <v>93.66</v>
      </c>
      <c r="BO436" s="64">
        <f t="shared" si="66"/>
        <v>0.17806267806267806</v>
      </c>
      <c r="BP436" s="64">
        <f t="shared" si="67"/>
        <v>0.17948717948717952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21</v>
      </c>
      <c r="Y437" s="664">
        <f t="shared" si="63"/>
        <v>21</v>
      </c>
      <c r="Z437" s="36">
        <f t="shared" si="68"/>
        <v>5.0200000000000002E-2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22.299999999999997</v>
      </c>
      <c r="BN437" s="64">
        <f t="shared" si="65"/>
        <v>22.299999999999997</v>
      </c>
      <c r="BO437" s="64">
        <f t="shared" si="66"/>
        <v>4.2735042735042736E-2</v>
      </c>
      <c r="BP437" s="64">
        <f t="shared" si="67"/>
        <v>4.2735042735042736E-2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70</v>
      </c>
      <c r="Y440" s="664">
        <f t="shared" si="63"/>
        <v>71.400000000000006</v>
      </c>
      <c r="Z440" s="36">
        <f t="shared" si="68"/>
        <v>0.17068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74.333333333333329</v>
      </c>
      <c r="BN440" s="64">
        <f t="shared" si="65"/>
        <v>75.820000000000007</v>
      </c>
      <c r="BO440" s="64">
        <f t="shared" si="66"/>
        <v>0.14245014245014245</v>
      </c>
      <c r="BP440" s="64">
        <f t="shared" si="67"/>
        <v>0.14529914529914531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86.851851851851848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88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0.44975999999999999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188.5</v>
      </c>
      <c r="Y443" s="665">
        <f>IFERROR(SUM(Y430:Y441),"0")</f>
        <v>191.4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136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147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7</v>
      </c>
      <c r="Y459" s="664">
        <f>IFERROR(IF(X459="",0,CEILING((X459/$H459),1)*$H459),"")</f>
        <v>8.4</v>
      </c>
      <c r="Z459" s="36">
        <f>IFERROR(IF(Y459=0,"",ROUNDUP(Y459/H459,0)*0.00502),"")</f>
        <v>2.0080000000000001E-2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7.4333333333333327</v>
      </c>
      <c r="BN459" s="64">
        <f>IFERROR(Y459*I459/H459,"0")</f>
        <v>8.92</v>
      </c>
      <c r="BO459" s="64">
        <f>IFERROR(1/J459*(X459/H459),"0")</f>
        <v>1.4245014245014245E-2</v>
      </c>
      <c r="BP459" s="64">
        <f>IFERROR(1/J459*(Y459/H459),"0")</f>
        <v>1.7094017094017096E-2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3.333333333333333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2.0080000000000001E-2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7</v>
      </c>
      <c r="Y461" s="665">
        <f>IFERROR(SUM(Y456:Y459),"0")</f>
        <v>8.4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147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14</v>
      </c>
      <c r="Y465" s="664">
        <f>IFERROR(IF(X465="",0,CEILING((X465/$H465),1)*$H465),"")</f>
        <v>14.399999999999999</v>
      </c>
      <c r="Z465" s="36">
        <f>IFERROR(IF(Y465=0,"",ROUNDUP(Y465/H465,0)*0.00651),"")</f>
        <v>7.8119999999999995E-2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24.500000000000004</v>
      </c>
      <c r="BN465" s="64">
        <f>IFERROR(Y465*I465/H465,"0")</f>
        <v>25.2</v>
      </c>
      <c r="BO465" s="64">
        <f>IFERROR(1/J465*(X465/H465),"0")</f>
        <v>6.4102564102564111E-2</v>
      </c>
      <c r="BP465" s="64">
        <f>IFERROR(1/J465*(Y465/H465),"0")</f>
        <v>6.5934065934065936E-2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11.666666666666668</v>
      </c>
      <c r="Y466" s="665">
        <f>IFERROR(Y464/H464,"0")+IFERROR(Y465/H465,"0")</f>
        <v>12</v>
      </c>
      <c r="Z466" s="665">
        <f>IFERROR(IF(Z464="",0,Z464),"0")+IFERROR(IF(Z465="",0,Z465),"0")</f>
        <v>7.8119999999999995E-2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14</v>
      </c>
      <c r="Y467" s="665">
        <f>IFERROR(SUM(Y464:Y465),"0")</f>
        <v>14.399999999999999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173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100</v>
      </c>
      <c r="Y480" s="664">
        <f t="shared" ref="Y480:Y494" si="69">IFERROR(IF(X480="",0,CEILING((X480/$H480),1)*$H480),"")</f>
        <v>100.32000000000001</v>
      </c>
      <c r="Z480" s="36">
        <f>IFERROR(IF(Y480=0,"",ROUNDUP(Y480/H480,0)*0.01196),"")</f>
        <v>0.22724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106.81818181818181</v>
      </c>
      <c r="BN480" s="64">
        <f t="shared" ref="BN480:BN494" si="71">IFERROR(Y480*I480/H480,"0")</f>
        <v>107.16</v>
      </c>
      <c r="BO480" s="64">
        <f t="shared" ref="BO480:BO494" si="72">IFERROR(1/J480*(X480/H480),"0")</f>
        <v>0.18210955710955709</v>
      </c>
      <c r="BP480" s="64">
        <f t="shared" ref="BP480:BP494" si="73">IFERROR(1/J480*(Y480/H480),"0")</f>
        <v>0.18269230769230771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150</v>
      </c>
      <c r="Y482" s="664">
        <f t="shared" si="69"/>
        <v>153.12</v>
      </c>
      <c r="Z482" s="36">
        <f>IFERROR(IF(Y482=0,"",ROUNDUP(Y482/H482,0)*0.01196),"")</f>
        <v>0.34683999999999998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160.22727272727272</v>
      </c>
      <c r="BN482" s="64">
        <f t="shared" si="71"/>
        <v>163.56</v>
      </c>
      <c r="BO482" s="64">
        <f t="shared" si="72"/>
        <v>0.27316433566433568</v>
      </c>
      <c r="BP482" s="64">
        <f t="shared" si="73"/>
        <v>0.27884615384615385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120</v>
      </c>
      <c r="Y483" s="664">
        <f t="shared" si="69"/>
        <v>121.44000000000001</v>
      </c>
      <c r="Z483" s="36">
        <f>IFERROR(IF(Y483=0,"",ROUNDUP(Y483/H483,0)*0.01196),"")</f>
        <v>0.27507999999999999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128.18181818181816</v>
      </c>
      <c r="BN483" s="64">
        <f t="shared" si="71"/>
        <v>129.72</v>
      </c>
      <c r="BO483" s="64">
        <f t="shared" si="72"/>
        <v>0.21853146853146854</v>
      </c>
      <c r="BP483" s="64">
        <f t="shared" si="73"/>
        <v>0.22115384615384617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5">
        <v>4680115880603</v>
      </c>
      <c r="E486" s="676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5">
        <v>4680115880603</v>
      </c>
      <c r="E487" s="676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108</v>
      </c>
      <c r="Y487" s="664">
        <f t="shared" si="69"/>
        <v>108</v>
      </c>
      <c r="Z487" s="36">
        <f>IFERROR(IF(Y487=0,"",ROUNDUP(Y487/H487,0)*0.00902),"")</f>
        <v>0.27060000000000001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114.3</v>
      </c>
      <c r="BN487" s="64">
        <f t="shared" si="71"/>
        <v>114.3</v>
      </c>
      <c r="BO487" s="64">
        <f t="shared" si="72"/>
        <v>0.22727272727272729</v>
      </c>
      <c r="BP487" s="64">
        <f t="shared" si="73"/>
        <v>0.22727272727272729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5">
        <v>4607091389982</v>
      </c>
      <c r="E492" s="676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5">
        <v>4607091389982</v>
      </c>
      <c r="E493" s="676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132</v>
      </c>
      <c r="Y493" s="664">
        <f t="shared" si="69"/>
        <v>133.20000000000002</v>
      </c>
      <c r="Z493" s="36">
        <f>IFERROR(IF(Y493=0,"",ROUNDUP(Y493/H493,0)*0.00902),"")</f>
        <v>0.33374000000000004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139.69999999999999</v>
      </c>
      <c r="BN493" s="64">
        <f t="shared" si="71"/>
        <v>140.97000000000003</v>
      </c>
      <c r="BO493" s="64">
        <f t="shared" si="72"/>
        <v>0.27777777777777779</v>
      </c>
      <c r="BP493" s="64">
        <f t="shared" si="73"/>
        <v>0.28030303030303039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136.74242424242422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1.4535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610</v>
      </c>
      <c r="Y496" s="665">
        <f>IFERROR(SUM(Y480:Y494),"0")</f>
        <v>616.08000000000004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136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5" t="s">
        <v>773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32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250</v>
      </c>
      <c r="Y499" s="664">
        <f>IFERROR(IF(X499="",0,CEILING((X499/$H499),1)*$H499),"")</f>
        <v>253.44</v>
      </c>
      <c r="Z499" s="36">
        <f>IFERROR(IF(Y499=0,"",ROUNDUP(Y499/H499,0)*0.01196),"")</f>
        <v>0.57408000000000003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267.04545454545456</v>
      </c>
      <c r="BN499" s="64">
        <f>IFERROR(Y499*I499/H499,"0")</f>
        <v>270.71999999999997</v>
      </c>
      <c r="BO499" s="64">
        <f>IFERROR(1/J499*(X499/H499),"0")</f>
        <v>0.45527389277389274</v>
      </c>
      <c r="BP499" s="64">
        <f>IFERROR(1/J499*(Y499/H499),"0")</f>
        <v>0.46153846153846156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47.348484848484844</v>
      </c>
      <c r="Y502" s="665">
        <f>IFERROR(Y498/H498,"0")+IFERROR(Y499/H499,"0")+IFERROR(Y500/H500,"0")+IFERROR(Y501/H501,"0")</f>
        <v>48</v>
      </c>
      <c r="Z502" s="665">
        <f>IFERROR(IF(Z498="",0,Z498),"0")+IFERROR(IF(Z499="",0,Z499),"0")+IFERROR(IF(Z500="",0,Z500),"0")+IFERROR(IF(Z501="",0,Z501),"0")</f>
        <v>0.57408000000000003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250</v>
      </c>
      <c r="Y503" s="665">
        <f>IFERROR(SUM(Y498:Y501),"0")</f>
        <v>253.44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147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40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42.727272727272727</v>
      </c>
      <c r="BN506" s="64">
        <f t="shared" si="76"/>
        <v>45.12</v>
      </c>
      <c r="BO506" s="64">
        <f t="shared" si="77"/>
        <v>7.2843822843822847E-2</v>
      </c>
      <c r="BP506" s="64">
        <f t="shared" si="78"/>
        <v>7.6923076923076927E-2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5">
        <v>4680115882072</v>
      </c>
      <c r="E509" s="676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5">
        <v>4680115882072</v>
      </c>
      <c r="E510" s="676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94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7" t="s">
        <v>804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54</v>
      </c>
      <c r="Y511" s="664">
        <f t="shared" si="74"/>
        <v>57.599999999999994</v>
      </c>
      <c r="Z511" s="36">
        <f>IFERROR(IF(Y511=0,"",ROUNDUP(Y511/H511,0)*0.00902),"")</f>
        <v>0.10824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77.962499999999991</v>
      </c>
      <c r="BN511" s="64">
        <f t="shared" si="76"/>
        <v>83.16</v>
      </c>
      <c r="BO511" s="64">
        <f t="shared" si="77"/>
        <v>8.5227272727272735E-2</v>
      </c>
      <c r="BP511" s="64">
        <f t="shared" si="78"/>
        <v>9.0909090909090912E-2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75">
        <v>4680115882096</v>
      </c>
      <c r="E515" s="676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60</v>
      </c>
      <c r="Y515" s="664">
        <f t="shared" si="74"/>
        <v>61.2</v>
      </c>
      <c r="Z515" s="36">
        <f>IFERROR(IF(Y515=0,"",ROUNDUP(Y515/H515,0)*0.00902),"")</f>
        <v>0.15334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63.5</v>
      </c>
      <c r="BN515" s="64">
        <f t="shared" si="76"/>
        <v>64.77000000000001</v>
      </c>
      <c r="BO515" s="64">
        <f t="shared" si="77"/>
        <v>0.12626262626262627</v>
      </c>
      <c r="BP515" s="64">
        <f t="shared" si="78"/>
        <v>0.12878787878787878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37" t="s">
        <v>815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76.47727272727272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0.84488000000000008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362</v>
      </c>
      <c r="Y518" s="665">
        <f>IFERROR(SUM(Y505:Y516),"0")</f>
        <v>374.40000000000003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173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136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147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5">
        <v>4640242180533</v>
      </c>
      <c r="E560" s="676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75">
        <v>4640242180533</v>
      </c>
      <c r="E561" s="676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1000</v>
      </c>
      <c r="Y561" s="664">
        <f>IFERROR(IF(X561="",0,CEILING((X561/$H561),1)*$H561),"")</f>
        <v>1008</v>
      </c>
      <c r="Z561" s="36">
        <f>IFERROR(IF(Y561=0,"",ROUNDUP(Y561/H561,0)*0.01898),"")</f>
        <v>2.1257600000000001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1057.6666666666667</v>
      </c>
      <c r="BN561" s="64">
        <f>IFERROR(Y561*I561/H561,"0")</f>
        <v>1066.1279999999999</v>
      </c>
      <c r="BO561" s="64">
        <f>IFERROR(1/J561*(X561/H561),"0")</f>
        <v>1.7361111111111112</v>
      </c>
      <c r="BP561" s="64">
        <f>IFERROR(1/J561*(Y561/H561),"0")</f>
        <v>1.75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111.11111111111111</v>
      </c>
      <c r="Y565" s="665">
        <f>IFERROR(Y560/H560,"0")+IFERROR(Y561/H561,"0")+IFERROR(Y562/H562,"0")+IFERROR(Y563/H563,"0")+IFERROR(Y564/H564,"0")</f>
        <v>112</v>
      </c>
      <c r="Z565" s="665">
        <f>IFERROR(IF(Z560="",0,Z560),"0")+IFERROR(IF(Z561="",0,Z561),"0")+IFERROR(IF(Z562="",0,Z562),"0")+IFERROR(IF(Z563="",0,Z563),"0")+IFERROR(IF(Z564="",0,Z564),"0")</f>
        <v>2.1257600000000001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1000</v>
      </c>
      <c r="Y566" s="665">
        <f>IFERROR(SUM(Y560:Y564),"0")</f>
        <v>1008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173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5">
        <v>4640242180120</v>
      </c>
      <c r="E568" s="676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4301060496</v>
      </c>
      <c r="D569" s="675">
        <v>4640242180120</v>
      </c>
      <c r="E569" s="676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5">
        <v>4640242180137</v>
      </c>
      <c r="E570" s="676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5">
        <v>4640242180137</v>
      </c>
      <c r="E571" s="676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136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147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17399.900000000001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17590.64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18412.795135955996</v>
      </c>
      <c r="Y592" s="665">
        <f>IFERROR(SUM(BN22:BN588),"0")</f>
        <v>18616.361000000004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31</v>
      </c>
      <c r="Y593" s="38">
        <f>ROUNDUP(SUM(BP22:BP588),0)</f>
        <v>31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19187.795135955996</v>
      </c>
      <c r="Y594" s="665">
        <f>GrossWeightTotalR+PalletQtyTotalR*25</f>
        <v>19391.361000000004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3399.5424039561976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3431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35.056250000000006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286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181</v>
      </c>
      <c r="F599" s="693" t="s">
        <v>212</v>
      </c>
      <c r="G599" s="693" t="s">
        <v>257</v>
      </c>
      <c r="H599" s="693" t="s">
        <v>96</v>
      </c>
      <c r="I599" s="693" t="s">
        <v>287</v>
      </c>
      <c r="J599" s="693" t="s">
        <v>322</v>
      </c>
      <c r="K599" s="693" t="s">
        <v>383</v>
      </c>
      <c r="L599" s="693" t="s">
        <v>418</v>
      </c>
      <c r="M599" s="693" t="s">
        <v>436</v>
      </c>
      <c r="N599" s="661"/>
      <c r="O599" s="693" t="s">
        <v>440</v>
      </c>
      <c r="P599" s="693" t="s">
        <v>449</v>
      </c>
      <c r="Q599" s="693" t="s">
        <v>463</v>
      </c>
      <c r="R599" s="693" t="s">
        <v>473</v>
      </c>
      <c r="S599" s="693" t="s">
        <v>477</v>
      </c>
      <c r="T599" s="693" t="s">
        <v>485</v>
      </c>
      <c r="U599" s="693" t="s">
        <v>490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391.20000000000005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691.2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1222.2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1748.7000000000003</v>
      </c>
      <c r="G601" s="46">
        <f>IFERROR(Y137*1,"0")+IFERROR(Y138*1,"0")+IFERROR(Y142*1,"0")+IFERROR(Y143*1,"0")+IFERROR(Y147*1,"0")+IFERROR(Y148*1,"0")</f>
        <v>131.52000000000001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489.3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1882.8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168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242.39999999999998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105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440.9</v>
      </c>
      <c r="V601" s="46">
        <f>IFERROR(Y363*1,"0")+IFERROR(Y367*1,"0")+IFERROR(Y368*1,"0")+IFERROR(Y369*1,"0")</f>
        <v>842.1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6693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191.4</v>
      </c>
      <c r="Z601" s="46">
        <f>IFERROR(Y451*1,"0")+IFERROR(Y452*1,"0")+IFERROR(Y456*1,"0")+IFERROR(Y457*1,"0")+IFERROR(Y458*1,"0")+IFERROR(Y459*1,"0")</f>
        <v>8.4</v>
      </c>
      <c r="AA601" s="46">
        <f>IFERROR(Y464*1,"0")+IFERROR(Y465*1,"0")</f>
        <v>14.399999999999999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1243.9199999999998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1020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400,00"/>
        <filter val="1 408,00"/>
        <filter val="1 600,00"/>
        <filter val="1 800,00"/>
        <filter val="10,00"/>
        <filter val="100,00"/>
        <filter val="102,00"/>
        <filter val="103,89"/>
        <filter val="105,00"/>
        <filter val="106,67"/>
        <filter val="108,00"/>
        <filter val="11,67"/>
        <filter val="110,00"/>
        <filter val="111,11"/>
        <filter val="12,50"/>
        <filter val="120,00"/>
        <filter val="132,00"/>
        <filter val="136,00"/>
        <filter val="136,74"/>
        <filter val="14,00"/>
        <filter val="140,00"/>
        <filter val="15,00"/>
        <filter val="150,00"/>
        <filter val="152,00"/>
        <filter val="157,50"/>
        <filter val="160,00"/>
        <filter val="17 399,90"/>
        <filter val="18 412,80"/>
        <filter val="18,00"/>
        <filter val="18,75"/>
        <filter val="183,57"/>
        <filter val="188,50"/>
        <filter val="19 187,80"/>
        <filter val="2,22"/>
        <filter val="2,38"/>
        <filter val="20,00"/>
        <filter val="200,00"/>
        <filter val="21,00"/>
        <filter val="21,62"/>
        <filter val="214,29"/>
        <filter val="220,00"/>
        <filter val="240,00"/>
        <filter val="25,00"/>
        <filter val="250,00"/>
        <filter val="26,67"/>
        <filter val="270,00"/>
        <filter val="270,37"/>
        <filter val="28,00"/>
        <filter val="280,00"/>
        <filter val="3 399,54"/>
        <filter val="3,33"/>
        <filter val="30,00"/>
        <filter val="30,40"/>
        <filter val="31"/>
        <filter val="311,19"/>
        <filter val="315,00"/>
        <filter val="32,00"/>
        <filter val="320,00"/>
        <filter val="33,00"/>
        <filter val="333,33"/>
        <filter val="34,00"/>
        <filter val="35,00"/>
        <filter val="350,00"/>
        <filter val="36,00"/>
        <filter val="361,49"/>
        <filter val="362,00"/>
        <filter val="37,96"/>
        <filter val="390,00"/>
        <filter val="40,00"/>
        <filter val="400,00"/>
        <filter val="405,00"/>
        <filter val="47,35"/>
        <filter val="480,50"/>
        <filter val="490,00"/>
        <filter val="5 000,00"/>
        <filter val="5,00"/>
        <filter val="50,00"/>
        <filter val="515,00"/>
        <filter val="53,33"/>
        <filter val="54,00"/>
        <filter val="540,00"/>
        <filter val="555,00"/>
        <filter val="60,00"/>
        <filter val="610,00"/>
        <filter val="64,00"/>
        <filter val="64,63"/>
        <filter val="660,00"/>
        <filter val="7,00"/>
        <filter val="70,00"/>
        <filter val="73,89"/>
        <filter val="75,00"/>
        <filter val="76,48"/>
        <filter val="8,33"/>
        <filter val="80,00"/>
        <filter val="840,00"/>
        <filter val="850,00"/>
        <filter val="86,85"/>
        <filter val="860,00"/>
        <filter val="87,50"/>
        <filter val="88,52"/>
        <filter val="9,90"/>
        <filter val="90,00"/>
        <filter val="940,00"/>
        <filter val="98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