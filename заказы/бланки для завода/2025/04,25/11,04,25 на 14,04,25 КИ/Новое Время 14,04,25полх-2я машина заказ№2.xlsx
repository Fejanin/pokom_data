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FC1A20-8FC2-4B60-9BEB-57471721E7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77" i="1" l="1"/>
  <c r="Z55" i="1"/>
  <c r="Z421" i="1"/>
  <c r="Z346" i="1"/>
  <c r="Z502" i="1"/>
  <c r="Z28" i="1"/>
  <c r="Z466" i="1"/>
  <c r="Z395" i="1"/>
  <c r="Z528" i="1"/>
  <c r="Z353" i="1"/>
  <c r="Z495" i="1"/>
  <c r="Z340" i="1"/>
  <c r="Z261" i="1"/>
  <c r="Z128" i="1"/>
  <c r="Z110" i="1"/>
  <c r="Z102" i="1"/>
  <c r="Z90" i="1"/>
  <c r="Z62" i="1"/>
  <c r="Y593" i="1"/>
  <c r="Z41" i="1"/>
  <c r="Y592" i="1"/>
  <c r="Z238" i="1"/>
  <c r="Z209" i="1"/>
  <c r="Z183" i="1"/>
  <c r="Y594" i="1"/>
  <c r="Z565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<sst xmlns="http://schemas.openxmlformats.org/spreadsheetml/2006/main" count="2721" uniqueCount="976">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</sst>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45761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Понедельник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45</v>
      </c>
      <c r="Y54" s="664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28.518518518518519</v>
      </c>
      <c r="Y55" s="665">
        <f>IFERROR(Y49/H49,"0")+IFERROR(Y50/H50,"0")+IFERROR(Y51/H51,"0")+IFERROR(Y52/H52,"0")+IFERROR(Y53/H53,"0")+IFERROR(Y54/H54,"0")</f>
        <v>29</v>
      </c>
      <c r="Z55" s="665">
        <f>IFERROR(IF(Z49="",0,Z49),"0")+IFERROR(IF(Z50="",0,Z50),"0")+IFERROR(IF(Z51="",0,Z51),"0")+IFERROR(IF(Z52="",0,Z52),"0")+IFERROR(IF(Z53="",0,Z53),"0")+IFERROR(IF(Z54="",0,Z54),"0")</f>
        <v>0.45082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245</v>
      </c>
      <c r="Y56" s="665">
        <f>IFERROR(SUM(Y49:Y54),"0")</f>
        <v>250.20000000000002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100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9.2592592592592595</v>
      </c>
      <c r="Y62" s="665">
        <f>IFERROR(Y58/H58,"0")+IFERROR(Y59/H59,"0")+IFERROR(Y60/H60,"0")+IFERROR(Y61/H61,"0")</f>
        <v>10</v>
      </c>
      <c r="Z62" s="665">
        <f>IFERROR(IF(Z58="",0,Z58),"0")+IFERROR(IF(Z59="",0,Z59),"0")+IFERROR(IF(Z60="",0,Z60),"0")+IFERROR(IF(Z61="",0,Z61),"0")</f>
        <v>0.1898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100</v>
      </c>
      <c r="Y63" s="665">
        <f>IFERROR(SUM(Y58:Y61),"0")</f>
        <v>108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100</v>
      </c>
      <c r="Y73" s="664">
        <f t="shared" si="11"/>
        <v>100.80000000000001</v>
      </c>
      <c r="Z73" s="36">
        <f>IFERROR(IF(Y73=0,"",ROUNDUP(Y73/H73,0)*0.01898),"")</f>
        <v>0.22776000000000002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106.03571428571429</v>
      </c>
      <c r="BN73" s="64">
        <f t="shared" si="13"/>
        <v>106.88400000000001</v>
      </c>
      <c r="BO73" s="64">
        <f t="shared" si="14"/>
        <v>0.18601190476190477</v>
      </c>
      <c r="BP73" s="64">
        <f t="shared" si="15"/>
        <v>0.1875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11.904761904761905</v>
      </c>
      <c r="Y77" s="665">
        <f>IFERROR(Y71/H71,"0")+IFERROR(Y72/H72,"0")+IFERROR(Y73/H73,"0")+IFERROR(Y74/H74,"0")+IFERROR(Y75/H75,"0")+IFERROR(Y76/H76,"0")</f>
        <v>12</v>
      </c>
      <c r="Z77" s="665">
        <f>IFERROR(IF(Z71="",0,Z71),"0")+IFERROR(IF(Z72="",0,Z72),"0")+IFERROR(IF(Z73="",0,Z73),"0")+IFERROR(IF(Z74="",0,Z74),"0")+IFERROR(IF(Z75="",0,Z75),"0")+IFERROR(IF(Z76="",0,Z76),"0")</f>
        <v>0.22776000000000002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100</v>
      </c>
      <c r="Y78" s="665">
        <f>IFERROR(SUM(Y71:Y76),"0")</f>
        <v>100.80000000000001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200</v>
      </c>
      <c r="Y343" s="664">
        <f>IFERROR(IF(X343="",0,CEILING((X343/$H343),1)*$H343),"")</f>
        <v>201.60000000000002</v>
      </c>
      <c r="Z343" s="36">
        <f>IFERROR(IF(Y343=0,"",ROUNDUP(Y343/H343,0)*0.01898),"")</f>
        <v>0.45552000000000004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212.35714285714286</v>
      </c>
      <c r="BN343" s="64">
        <f>IFERROR(Y343*I343/H343,"0")</f>
        <v>214.05600000000001</v>
      </c>
      <c r="BO343" s="64">
        <f>IFERROR(1/J343*(X343/H343),"0")</f>
        <v>0.37202380952380953</v>
      </c>
      <c r="BP343" s="64">
        <f>IFERROR(1/J343*(Y343/H343),"0")</f>
        <v>0.375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23.80952380952381</v>
      </c>
      <c r="Y346" s="665">
        <f>IFERROR(Y343/H343,"0")+IFERROR(Y344/H344,"0")+IFERROR(Y345/H345,"0")</f>
        <v>24</v>
      </c>
      <c r="Z346" s="665">
        <f>IFERROR(IF(Z343="",0,Z343),"0")+IFERROR(IF(Z344="",0,Z344),"0")+IFERROR(IF(Z345="",0,Z345),"0")</f>
        <v>0.45552000000000004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201.60000000000002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1500</v>
      </c>
      <c r="Y375" s="664">
        <f t="shared" ref="Y375:Y384" si="58">IFERROR(IF(X375="",0,CEILING((X375/$H375),1)*$H375),"")</f>
        <v>1500</v>
      </c>
      <c r="Z375" s="36">
        <f>IFERROR(IF(Y375=0,"",ROUNDUP(Y375/H375,0)*0.02175),"")</f>
        <v>2.1749999999999998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1548</v>
      </c>
      <c r="BN375" s="64">
        <f t="shared" ref="BN375:BN384" si="60">IFERROR(Y375*I375/H375,"0")</f>
        <v>1548</v>
      </c>
      <c r="BO375" s="64">
        <f t="shared" ref="BO375:BO384" si="61">IFERROR(1/J375*(X375/H375),"0")</f>
        <v>2.083333333333333</v>
      </c>
      <c r="BP375" s="64">
        <f t="shared" ref="BP375:BP384" si="62">IFERROR(1/J375*(Y375/H375),"0")</f>
        <v>2.083333333333333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166.66666666666669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167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3.63225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2500</v>
      </c>
      <c r="Y386" s="665">
        <f>IFERROR(SUM(Y375:Y384),"0")</f>
        <v>2505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2000</v>
      </c>
      <c r="Y388" s="664">
        <f>IFERROR(IF(X388="",0,CEILING((X388/$H388),1)*$H388),"")</f>
        <v>2010</v>
      </c>
      <c r="Z388" s="36">
        <f>IFERROR(IF(Y388=0,"",ROUNDUP(Y388/H388,0)*0.02175),"")</f>
        <v>2.9144999999999999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2064</v>
      </c>
      <c r="BN388" s="64">
        <f>IFERROR(Y388*I388/H388,"0")</f>
        <v>2074.3200000000002</v>
      </c>
      <c r="BO388" s="64">
        <f>IFERROR(1/J388*(X388/H388),"0")</f>
        <v>2.7777777777777777</v>
      </c>
      <c r="BP388" s="64">
        <f>IFERROR(1/J388*(Y388/H388),"0")</f>
        <v>2.7916666666666665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133.33333333333334</v>
      </c>
      <c r="Y390" s="665">
        <f>IFERROR(Y388/H388,"0")+IFERROR(Y389/H389,"0")</f>
        <v>134</v>
      </c>
      <c r="Z390" s="665">
        <f>IFERROR(IF(Z388="",0,Z388),"0")+IFERROR(IF(Z389="",0,Z389),"0")</f>
        <v>2.9144999999999999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2000</v>
      </c>
      <c r="Y391" s="665">
        <f>IFERROR(SUM(Y388:Y389),"0")</f>
        <v>2010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350</v>
      </c>
      <c r="Y398" s="664">
        <f>IFERROR(IF(X398="",0,CEILING((X398/$H398),1)*$H398),"")</f>
        <v>351</v>
      </c>
      <c r="Z398" s="36">
        <f>IFERROR(IF(Y398=0,"",ROUNDUP(Y398/H398,0)*0.01898),"")</f>
        <v>0.74021999999999999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370.18333333333334</v>
      </c>
      <c r="BN398" s="64">
        <f>IFERROR(Y398*I398/H398,"0")</f>
        <v>371.24099999999999</v>
      </c>
      <c r="BO398" s="64">
        <f>IFERROR(1/J398*(X398/H398),"0")</f>
        <v>0.60763888888888884</v>
      </c>
      <c r="BP398" s="64">
        <f>IFERROR(1/J398*(Y398/H398),"0")</f>
        <v>0.609375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38.888888888888886</v>
      </c>
      <c r="Y399" s="665">
        <f>IFERROR(Y398/H398,"0")</f>
        <v>39</v>
      </c>
      <c r="Z399" s="665">
        <f>IFERROR(IF(Z398="",0,Z398),"0")</f>
        <v>0.74021999999999999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350</v>
      </c>
      <c r="Y400" s="665">
        <f>IFERROR(SUM(Y398:Y398),"0")</f>
        <v>351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100</v>
      </c>
      <c r="Y411" s="664">
        <f>IFERROR(IF(X411="",0,CEILING((X411/$H411),1)*$H411),"")</f>
        <v>100.74</v>
      </c>
      <c r="Z411" s="36">
        <f>IFERROR(IF(Y411=0,"",ROUNDUP(Y411/H411,0)*0.00902),"")</f>
        <v>0.20746000000000001</v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106.16438356164385</v>
      </c>
      <c r="BN411" s="64">
        <f>IFERROR(Y411*I411/H411,"0")</f>
        <v>106.95</v>
      </c>
      <c r="BO411" s="64">
        <f>IFERROR(1/J411*(X411/H411),"0")</f>
        <v>0.17296250172962502</v>
      </c>
      <c r="BP411" s="64">
        <f>IFERROR(1/J411*(Y411/H411),"0")</f>
        <v>0.17424242424242425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22.831050228310502</v>
      </c>
      <c r="Y413" s="665">
        <f>IFERROR(Y411/H411,"0")+IFERROR(Y412/H412,"0")</f>
        <v>23</v>
      </c>
      <c r="Z413" s="665">
        <f>IFERROR(IF(Z411="",0,Z411),"0")+IFERROR(IF(Z412="",0,Z412),"0")</f>
        <v>0.20746000000000001</v>
      </c>
      <c r="AA413" s="666"/>
      <c r="AB413" s="666"/>
      <c r="AC413" s="666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100</v>
      </c>
      <c r="Y414" s="665">
        <f>IFERROR(SUM(Y411:Y412),"0")</f>
        <v>100.74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600</v>
      </c>
      <c r="Y483" s="664">
        <f t="shared" si="69"/>
        <v>601.92000000000007</v>
      </c>
      <c r="Z483" s="36">
        <f>IFERROR(IF(Y483=0,"",ROUNDUP(Y483/H483,0)*0.01196),"")</f>
        <v>1.36344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640.90909090909088</v>
      </c>
      <c r="BN483" s="64">
        <f t="shared" si="71"/>
        <v>642.96</v>
      </c>
      <c r="BO483" s="64">
        <f t="shared" si="72"/>
        <v>1.0926573426573427</v>
      </c>
      <c r="BP483" s="64">
        <f t="shared" si="73"/>
        <v>1.0961538461538463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400</v>
      </c>
      <c r="Y498" s="664">
        <f>IFERROR(IF(X498="",0,CEILING((X498/$H498),1)*$H498),"")</f>
        <v>401.28000000000003</v>
      </c>
      <c r="Z498" s="36">
        <f>IFERROR(IF(Y498=0,"",ROUNDUP(Y498/H498,0)*0.01196),"")</f>
        <v>0.90895999999999999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427.27272727272725</v>
      </c>
      <c r="BN498" s="64">
        <f>IFERROR(Y498*I498/H498,"0")</f>
        <v>428.64</v>
      </c>
      <c r="BO498" s="64">
        <f>IFERROR(1/J498*(X498/H498),"0")</f>
        <v>0.72843822843822836</v>
      </c>
      <c r="BP498" s="64">
        <f>IFERROR(1/J498*(Y498/H498),"0")</f>
        <v>0.73076923076923084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75.757575757575751</v>
      </c>
      <c r="Y502" s="665">
        <f>IFERROR(Y498/H498,"0")+IFERROR(Y499/H499,"0")+IFERROR(Y500/H500,"0")+IFERROR(Y501/H501,"0")</f>
        <v>76</v>
      </c>
      <c r="Z502" s="665">
        <f>IFERROR(IF(Z498="",0,Z498),"0")+IFERROR(IF(Z499="",0,Z499),"0")+IFERROR(IF(Z500="",0,Z500),"0")+IFERROR(IF(Z501="",0,Z501),"0")</f>
        <v>0.90895999999999999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400</v>
      </c>
      <c r="Y503" s="665">
        <f>IFERROR(SUM(Y498:Y501),"0")</f>
        <v>401.28000000000003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100</v>
      </c>
      <c r="Y505" s="664">
        <f t="shared" ref="Y505:Y516" si="74"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106.81818181818181</v>
      </c>
      <c r="BN505" s="64">
        <f t="shared" ref="BN505:BN516" si="76">IFERROR(Y505*I505/H505,"0")</f>
        <v>107.16</v>
      </c>
      <c r="BO505" s="64">
        <f t="shared" ref="BO505:BO516" si="77">IFERROR(1/J505*(X505/H505),"0")</f>
        <v>0.18210955710955709</v>
      </c>
      <c r="BP505" s="64">
        <f t="shared" ref="BP505:BP516" si="78">IFERROR(1/J505*(Y505/H505),"0")</f>
        <v>0.18269230769230771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0.80132000000000003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353.76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6945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6984.3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7239.9693619166228</v>
      </c>
      <c r="Y592" s="665">
        <f>IFERROR(SUM(BN22:BN588),"0")</f>
        <v>7281.0060000000012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11</v>
      </c>
      <c r="Y593" s="38">
        <f>ROUNDUP(SUM(BP22:BP588),0)</f>
        <v>11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7514.9693619166228</v>
      </c>
      <c r="Y594" s="665">
        <f>GrossWeightTotalR+PalletQtyTotalR*25</f>
        <v>7556.0060000000012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690.893820791081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695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11.892050000000001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459.00000000000006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201.60000000000002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4866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100.74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1356.96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1"/>
        <filter val="11,90"/>
        <filter val="113,64"/>
        <filter val="133,33"/>
        <filter val="150,00"/>
        <filter val="166,67"/>
        <filter val="2 000,00"/>
        <filter val="2 500,00"/>
        <filter val="200,00"/>
        <filter val="22,83"/>
        <filter val="23,81"/>
        <filter val="245,00"/>
        <filter val="28,52"/>
        <filter val="350,00"/>
        <filter val="38,89"/>
        <filter val="400,00"/>
        <filter val="45,00"/>
        <filter val="6 945,00"/>
        <filter val="600,00"/>
        <filter val="66,29"/>
        <filter val="690,89"/>
        <filter val="7 239,97"/>
        <filter val="7 514,97"/>
        <filter val="75,76"/>
        <filter val="9,26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