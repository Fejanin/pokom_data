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F7A9B5C-F733-45FE-A025-A5F64D880C8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O485" i="1"/>
  <c r="BM485" i="1"/>
  <c r="Y485" i="1"/>
  <c r="BO484" i="1"/>
  <c r="BM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Z314" i="1"/>
  <c r="Z315" i="1" s="1"/>
  <c r="Y314" i="1"/>
  <c r="P314" i="1"/>
  <c r="X311" i="1"/>
  <c r="X310" i="1"/>
  <c r="BO309" i="1"/>
  <c r="BM309" i="1"/>
  <c r="Y309" i="1"/>
  <c r="P309" i="1"/>
  <c r="BO308" i="1"/>
  <c r="BM308" i="1"/>
  <c r="Y308" i="1"/>
  <c r="BP308" i="1" s="1"/>
  <c r="P308" i="1"/>
  <c r="X306" i="1"/>
  <c r="X305" i="1"/>
  <c r="BO304" i="1"/>
  <c r="BM304" i="1"/>
  <c r="Y304" i="1"/>
  <c r="Y305" i="1" s="1"/>
  <c r="P304" i="1"/>
  <c r="X301" i="1"/>
  <c r="X300" i="1"/>
  <c r="BO299" i="1"/>
  <c r="BM299" i="1"/>
  <c r="Y299" i="1"/>
  <c r="R601" i="1" s="1"/>
  <c r="P299" i="1"/>
  <c r="X296" i="1"/>
  <c r="X295" i="1"/>
  <c r="BO294" i="1"/>
  <c r="BM294" i="1"/>
  <c r="Y294" i="1"/>
  <c r="Y296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BP260" i="1" s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X244" i="1"/>
  <c r="X243" i="1"/>
  <c r="BO242" i="1"/>
  <c r="BM242" i="1"/>
  <c r="Y242" i="1"/>
  <c r="P242" i="1"/>
  <c r="BO241" i="1"/>
  <c r="BM241" i="1"/>
  <c r="Y241" i="1"/>
  <c r="X239" i="1"/>
  <c r="X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BP230" i="1" s="1"/>
  <c r="P230" i="1"/>
  <c r="X227" i="1"/>
  <c r="X226" i="1"/>
  <c r="BO225" i="1"/>
  <c r="BM225" i="1"/>
  <c r="Y225" i="1"/>
  <c r="BP225" i="1" s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O201" i="1"/>
  <c r="BM201" i="1"/>
  <c r="Y201" i="1"/>
  <c r="BP201" i="1" s="1"/>
  <c r="P201" i="1"/>
  <c r="X199" i="1"/>
  <c r="X198" i="1"/>
  <c r="BO197" i="1"/>
  <c r="BM197" i="1"/>
  <c r="Y197" i="1"/>
  <c r="BP197" i="1" s="1"/>
  <c r="P197" i="1"/>
  <c r="BO196" i="1"/>
  <c r="BM196" i="1"/>
  <c r="Y196" i="1"/>
  <c r="Y198" i="1" s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BP174" i="1" s="1"/>
  <c r="P174" i="1"/>
  <c r="X172" i="1"/>
  <c r="X171" i="1"/>
  <c r="BO170" i="1"/>
  <c r="BM170" i="1"/>
  <c r="Y170" i="1"/>
  <c r="Y172" i="1" s="1"/>
  <c r="P170" i="1"/>
  <c r="X166" i="1"/>
  <c r="X165" i="1"/>
  <c r="BO164" i="1"/>
  <c r="BM164" i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BO158" i="1"/>
  <c r="BM158" i="1"/>
  <c r="Y158" i="1"/>
  <c r="BP158" i="1" s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BP143" i="1" s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O132" i="1"/>
  <c r="BM132" i="1"/>
  <c r="Y132" i="1"/>
  <c r="BP132" i="1" s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O126" i="1"/>
  <c r="BM126" i="1"/>
  <c r="Y126" i="1"/>
  <c r="P126" i="1"/>
  <c r="BO125" i="1"/>
  <c r="BM125" i="1"/>
  <c r="Y125" i="1"/>
  <c r="BP125" i="1" s="1"/>
  <c r="P125" i="1"/>
  <c r="BO124" i="1"/>
  <c r="BM124" i="1"/>
  <c r="Y124" i="1"/>
  <c r="BP124" i="1" s="1"/>
  <c r="BO123" i="1"/>
  <c r="BM123" i="1"/>
  <c r="Y123" i="1"/>
  <c r="BP123" i="1" s="1"/>
  <c r="P123" i="1"/>
  <c r="BO122" i="1"/>
  <c r="BM122" i="1"/>
  <c r="Y122" i="1"/>
  <c r="BP122" i="1" s="1"/>
  <c r="BO121" i="1"/>
  <c r="BM121" i="1"/>
  <c r="Y121" i="1"/>
  <c r="BP121" i="1" s="1"/>
  <c r="P121" i="1"/>
  <c r="BO120" i="1"/>
  <c r="BM120" i="1"/>
  <c r="Y120" i="1"/>
  <c r="BP120" i="1" s="1"/>
  <c r="P120" i="1"/>
  <c r="BO119" i="1"/>
  <c r="BM119" i="1"/>
  <c r="Y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O93" i="1"/>
  <c r="BM93" i="1"/>
  <c r="Y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E601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P37" i="1"/>
  <c r="X33" i="1"/>
  <c r="X32" i="1"/>
  <c r="BO31" i="1"/>
  <c r="BM31" i="1"/>
  <c r="Y31" i="1"/>
  <c r="Y32" i="1" s="1"/>
  <c r="P31" i="1"/>
  <c r="X29" i="1"/>
  <c r="X28" i="1"/>
  <c r="X595" i="1" s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147" i="1" l="1"/>
  <c r="BN147" i="1"/>
  <c r="Z147" i="1"/>
  <c r="BP181" i="1"/>
  <c r="BN181" i="1"/>
  <c r="Z181" i="1"/>
  <c r="BP207" i="1"/>
  <c r="BN207" i="1"/>
  <c r="Z207" i="1"/>
  <c r="BP236" i="1"/>
  <c r="BN236" i="1"/>
  <c r="Z236" i="1"/>
  <c r="Y248" i="1"/>
  <c r="Y247" i="1"/>
  <c r="BP246" i="1"/>
  <c r="BN246" i="1"/>
  <c r="Z246" i="1"/>
  <c r="Z247" i="1" s="1"/>
  <c r="M601" i="1"/>
  <c r="Y266" i="1"/>
  <c r="BP265" i="1"/>
  <c r="BN265" i="1"/>
  <c r="Z265" i="1"/>
  <c r="Z266" i="1" s="1"/>
  <c r="BP270" i="1"/>
  <c r="BN270" i="1"/>
  <c r="Z270" i="1"/>
  <c r="BP321" i="1"/>
  <c r="BN321" i="1"/>
  <c r="Z321" i="1"/>
  <c r="BP345" i="1"/>
  <c r="BN345" i="1"/>
  <c r="Z345" i="1"/>
  <c r="BP384" i="1"/>
  <c r="BN384" i="1"/>
  <c r="Z384" i="1"/>
  <c r="Y503" i="1"/>
  <c r="Y502" i="1"/>
  <c r="BP498" i="1"/>
  <c r="BN498" i="1"/>
  <c r="Z498" i="1"/>
  <c r="BP500" i="1"/>
  <c r="BN500" i="1"/>
  <c r="Z500" i="1"/>
  <c r="BP512" i="1"/>
  <c r="BN512" i="1"/>
  <c r="Z512" i="1"/>
  <c r="Z22" i="1"/>
  <c r="BN22" i="1"/>
  <c r="Z44" i="1"/>
  <c r="Z45" i="1" s="1"/>
  <c r="BN44" i="1"/>
  <c r="BP44" i="1"/>
  <c r="Y45" i="1"/>
  <c r="Z49" i="1"/>
  <c r="BN49" i="1"/>
  <c r="Z61" i="1"/>
  <c r="BN61" i="1"/>
  <c r="Z73" i="1"/>
  <c r="BN73" i="1"/>
  <c r="Y102" i="1"/>
  <c r="Z107" i="1"/>
  <c r="BN107" i="1"/>
  <c r="Y128" i="1"/>
  <c r="BP126" i="1"/>
  <c r="BN126" i="1"/>
  <c r="Z126" i="1"/>
  <c r="BP176" i="1"/>
  <c r="BN176" i="1"/>
  <c r="Z176" i="1"/>
  <c r="Y188" i="1"/>
  <c r="Y187" i="1"/>
  <c r="BP186" i="1"/>
  <c r="BN186" i="1"/>
  <c r="Z186" i="1"/>
  <c r="Z187" i="1" s="1"/>
  <c r="BP191" i="1"/>
  <c r="BN191" i="1"/>
  <c r="Z191" i="1"/>
  <c r="BP219" i="1"/>
  <c r="BN219" i="1"/>
  <c r="Z219" i="1"/>
  <c r="BP241" i="1"/>
  <c r="BN241" i="1"/>
  <c r="Z241" i="1"/>
  <c r="BP281" i="1"/>
  <c r="BN281" i="1"/>
  <c r="Z281" i="1"/>
  <c r="BP335" i="1"/>
  <c r="BN335" i="1"/>
  <c r="Z335" i="1"/>
  <c r="BP376" i="1"/>
  <c r="BN376" i="1"/>
  <c r="Z376" i="1"/>
  <c r="BP404" i="1"/>
  <c r="BN404" i="1"/>
  <c r="Z404" i="1"/>
  <c r="BP499" i="1"/>
  <c r="BN499" i="1"/>
  <c r="Z499" i="1"/>
  <c r="BP501" i="1"/>
  <c r="BN501" i="1"/>
  <c r="Z501" i="1"/>
  <c r="BP511" i="1"/>
  <c r="BN511" i="1"/>
  <c r="Z511" i="1"/>
  <c r="BP515" i="1"/>
  <c r="BN515" i="1"/>
  <c r="Z515" i="1"/>
  <c r="BP319" i="1"/>
  <c r="BN319" i="1"/>
  <c r="Z319" i="1"/>
  <c r="BP331" i="1"/>
  <c r="BN331" i="1"/>
  <c r="Z331" i="1"/>
  <c r="BP343" i="1"/>
  <c r="BN343" i="1"/>
  <c r="Z343" i="1"/>
  <c r="BP368" i="1"/>
  <c r="BN368" i="1"/>
  <c r="Z368" i="1"/>
  <c r="BP382" i="1"/>
  <c r="BN382" i="1"/>
  <c r="Z382" i="1"/>
  <c r="Y396" i="1"/>
  <c r="Y395" i="1"/>
  <c r="BP393" i="1"/>
  <c r="BN393" i="1"/>
  <c r="Z393" i="1"/>
  <c r="Y421" i="1"/>
  <c r="BP416" i="1"/>
  <c r="BN416" i="1"/>
  <c r="Z416" i="1"/>
  <c r="BP437" i="1"/>
  <c r="BN437" i="1"/>
  <c r="Z437" i="1"/>
  <c r="AA601" i="1"/>
  <c r="Y466" i="1"/>
  <c r="BP464" i="1"/>
  <c r="BN464" i="1"/>
  <c r="Z464" i="1"/>
  <c r="BP484" i="1"/>
  <c r="BN484" i="1"/>
  <c r="Z484" i="1"/>
  <c r="BP494" i="1"/>
  <c r="BN494" i="1"/>
  <c r="Z494" i="1"/>
  <c r="J9" i="1"/>
  <c r="X592" i="1"/>
  <c r="Z26" i="1"/>
  <c r="BN26" i="1"/>
  <c r="C601" i="1"/>
  <c r="Z40" i="1"/>
  <c r="BN40" i="1"/>
  <c r="Z51" i="1"/>
  <c r="BN51" i="1"/>
  <c r="Z59" i="1"/>
  <c r="BN59" i="1"/>
  <c r="Z65" i="1"/>
  <c r="BN65" i="1"/>
  <c r="BP65" i="1"/>
  <c r="Z71" i="1"/>
  <c r="BN71" i="1"/>
  <c r="BP71" i="1"/>
  <c r="Z75" i="1"/>
  <c r="BN75" i="1"/>
  <c r="Y83" i="1"/>
  <c r="Z88" i="1"/>
  <c r="BN88" i="1"/>
  <c r="Z93" i="1"/>
  <c r="BN93" i="1"/>
  <c r="BP93" i="1"/>
  <c r="Z100" i="1"/>
  <c r="BN100" i="1"/>
  <c r="F601" i="1"/>
  <c r="Z109" i="1"/>
  <c r="BN109" i="1"/>
  <c r="Y117" i="1"/>
  <c r="Z115" i="1"/>
  <c r="BN115" i="1"/>
  <c r="Z120" i="1"/>
  <c r="BN120" i="1"/>
  <c r="Z123" i="1"/>
  <c r="BN123" i="1"/>
  <c r="Z124" i="1"/>
  <c r="BN124" i="1"/>
  <c r="Z132" i="1"/>
  <c r="BN132" i="1"/>
  <c r="Z143" i="1"/>
  <c r="BN143" i="1"/>
  <c r="Z158" i="1"/>
  <c r="BN158" i="1"/>
  <c r="Z164" i="1"/>
  <c r="Z165" i="1" s="1"/>
  <c r="BN164" i="1"/>
  <c r="BP164" i="1"/>
  <c r="Y165" i="1"/>
  <c r="Z170" i="1"/>
  <c r="Z171" i="1" s="1"/>
  <c r="BN170" i="1"/>
  <c r="BP170" i="1"/>
  <c r="Y171" i="1"/>
  <c r="Z174" i="1"/>
  <c r="BN174" i="1"/>
  <c r="Z178" i="1"/>
  <c r="BN178" i="1"/>
  <c r="Z179" i="1"/>
  <c r="BN179" i="1"/>
  <c r="Z197" i="1"/>
  <c r="BN197" i="1"/>
  <c r="Z201" i="1"/>
  <c r="BN201" i="1"/>
  <c r="Z205" i="1"/>
  <c r="BN205" i="1"/>
  <c r="Z213" i="1"/>
  <c r="BN213" i="1"/>
  <c r="Z217" i="1"/>
  <c r="BN217" i="1"/>
  <c r="Z225" i="1"/>
  <c r="BN225" i="1"/>
  <c r="Z230" i="1"/>
  <c r="BN230" i="1"/>
  <c r="Z234" i="1"/>
  <c r="BN234" i="1"/>
  <c r="Y243" i="1"/>
  <c r="Z256" i="1"/>
  <c r="BN256" i="1"/>
  <c r="Z260" i="1"/>
  <c r="BN260" i="1"/>
  <c r="Z272" i="1"/>
  <c r="BN272" i="1"/>
  <c r="Z279" i="1"/>
  <c r="BN279" i="1"/>
  <c r="Z286" i="1"/>
  <c r="Z287" i="1" s="1"/>
  <c r="BN286" i="1"/>
  <c r="BP286" i="1"/>
  <c r="Y287" i="1"/>
  <c r="Z290" i="1"/>
  <c r="Z291" i="1" s="1"/>
  <c r="BN290" i="1"/>
  <c r="BP290" i="1"/>
  <c r="Y291" i="1"/>
  <c r="Z294" i="1"/>
  <c r="Z295" i="1" s="1"/>
  <c r="BN294" i="1"/>
  <c r="BP294" i="1"/>
  <c r="Y295" i="1"/>
  <c r="Z299" i="1"/>
  <c r="Z300" i="1" s="1"/>
  <c r="BN299" i="1"/>
  <c r="BP299" i="1"/>
  <c r="Y300" i="1"/>
  <c r="Z304" i="1"/>
  <c r="Z305" i="1" s="1"/>
  <c r="BN304" i="1"/>
  <c r="BP304" i="1"/>
  <c r="Z308" i="1"/>
  <c r="BN308" i="1"/>
  <c r="T601" i="1"/>
  <c r="Y315" i="1"/>
  <c r="BP314" i="1"/>
  <c r="BN314" i="1"/>
  <c r="BP323" i="1"/>
  <c r="BN323" i="1"/>
  <c r="Z323" i="1"/>
  <c r="BP337" i="1"/>
  <c r="BN337" i="1"/>
  <c r="Z337" i="1"/>
  <c r="BP351" i="1"/>
  <c r="BN351" i="1"/>
  <c r="Z351" i="1"/>
  <c r="BP378" i="1"/>
  <c r="BN378" i="1"/>
  <c r="Z378" i="1"/>
  <c r="BP388" i="1"/>
  <c r="BN388" i="1"/>
  <c r="Z388" i="1"/>
  <c r="BP394" i="1"/>
  <c r="BN394" i="1"/>
  <c r="Z394" i="1"/>
  <c r="BP406" i="1"/>
  <c r="BN406" i="1"/>
  <c r="Z406" i="1"/>
  <c r="BP417" i="1"/>
  <c r="BN417" i="1"/>
  <c r="Z417" i="1"/>
  <c r="BP440" i="1"/>
  <c r="BN440" i="1"/>
  <c r="Z440" i="1"/>
  <c r="BP465" i="1"/>
  <c r="BN465" i="1"/>
  <c r="Z465" i="1"/>
  <c r="Y471" i="1"/>
  <c r="BP470" i="1"/>
  <c r="BN470" i="1"/>
  <c r="Z470" i="1"/>
  <c r="Z471" i="1" s="1"/>
  <c r="Y476" i="1"/>
  <c r="Y475" i="1"/>
  <c r="BP474" i="1"/>
  <c r="BN474" i="1"/>
  <c r="Z474" i="1"/>
  <c r="Z475" i="1" s="1"/>
  <c r="BP480" i="1"/>
  <c r="BN480" i="1"/>
  <c r="Z480" i="1"/>
  <c r="BP485" i="1"/>
  <c r="BN485" i="1"/>
  <c r="Z485" i="1"/>
  <c r="BP521" i="1"/>
  <c r="BN521" i="1"/>
  <c r="Z521" i="1"/>
  <c r="Y29" i="1"/>
  <c r="Y33" i="1"/>
  <c r="Y41" i="1"/>
  <c r="Y56" i="1"/>
  <c r="Y62" i="1"/>
  <c r="Y68" i="1"/>
  <c r="Y78" i="1"/>
  <c r="Y84" i="1"/>
  <c r="Y91" i="1"/>
  <c r="Y103" i="1"/>
  <c r="Y110" i="1"/>
  <c r="Y116" i="1"/>
  <c r="Y129" i="1"/>
  <c r="Y133" i="1"/>
  <c r="Y140" i="1"/>
  <c r="Y144" i="1"/>
  <c r="BP148" i="1"/>
  <c r="BN148" i="1"/>
  <c r="Z148" i="1"/>
  <c r="Z149" i="1" s="1"/>
  <c r="Y150" i="1"/>
  <c r="H601" i="1"/>
  <c r="Y154" i="1"/>
  <c r="BP153" i="1"/>
  <c r="BN153" i="1"/>
  <c r="Z153" i="1"/>
  <c r="Z154" i="1" s="1"/>
  <c r="Y155" i="1"/>
  <c r="Y162" i="1"/>
  <c r="BP157" i="1"/>
  <c r="BN157" i="1"/>
  <c r="Z157" i="1"/>
  <c r="Y161" i="1"/>
  <c r="BP175" i="1"/>
  <c r="BN175" i="1"/>
  <c r="Z175" i="1"/>
  <c r="BP180" i="1"/>
  <c r="BN180" i="1"/>
  <c r="Z180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BP257" i="1"/>
  <c r="BN257" i="1"/>
  <c r="Z257" i="1"/>
  <c r="Y261" i="1"/>
  <c r="BP271" i="1"/>
  <c r="BN271" i="1"/>
  <c r="Z271" i="1"/>
  <c r="Z273" i="1" s="1"/>
  <c r="BP280" i="1"/>
  <c r="BN280" i="1"/>
  <c r="Z280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1" i="1"/>
  <c r="H9" i="1"/>
  <c r="B601" i="1"/>
  <c r="X593" i="1"/>
  <c r="X594" i="1" s="1"/>
  <c r="Z23" i="1"/>
  <c r="BN23" i="1"/>
  <c r="Z24" i="1"/>
  <c r="BN24" i="1"/>
  <c r="Z25" i="1"/>
  <c r="BN25" i="1"/>
  <c r="Z27" i="1"/>
  <c r="BN27" i="1"/>
  <c r="Y28" i="1"/>
  <c r="X591" i="1"/>
  <c r="Z31" i="1"/>
  <c r="Z32" i="1" s="1"/>
  <c r="BN31" i="1"/>
  <c r="BP31" i="1"/>
  <c r="Z37" i="1"/>
  <c r="BN37" i="1"/>
  <c r="BP37" i="1"/>
  <c r="Z39" i="1"/>
  <c r="BN39" i="1"/>
  <c r="Y42" i="1"/>
  <c r="D601" i="1"/>
  <c r="Z50" i="1"/>
  <c r="BN50" i="1"/>
  <c r="Z52" i="1"/>
  <c r="BN52" i="1"/>
  <c r="Z54" i="1"/>
  <c r="BN54" i="1"/>
  <c r="Y55" i="1"/>
  <c r="Z58" i="1"/>
  <c r="BN58" i="1"/>
  <c r="BP58" i="1"/>
  <c r="Z60" i="1"/>
  <c r="BN60" i="1"/>
  <c r="Z66" i="1"/>
  <c r="Z68" i="1" s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BN87" i="1"/>
  <c r="BP87" i="1"/>
  <c r="Z89" i="1"/>
  <c r="BN89" i="1"/>
  <c r="Y90" i="1"/>
  <c r="Z94" i="1"/>
  <c r="BN94" i="1"/>
  <c r="Z99" i="1"/>
  <c r="BN99" i="1"/>
  <c r="Z101" i="1"/>
  <c r="BN101" i="1"/>
  <c r="Z106" i="1"/>
  <c r="BN106" i="1"/>
  <c r="BP106" i="1"/>
  <c r="Z108" i="1"/>
  <c r="BN108" i="1"/>
  <c r="Y111" i="1"/>
  <c r="Z114" i="1"/>
  <c r="Z116" i="1" s="1"/>
  <c r="BN114" i="1"/>
  <c r="Z119" i="1"/>
  <c r="BN119" i="1"/>
  <c r="BP119" i="1"/>
  <c r="Z121" i="1"/>
  <c r="BN121" i="1"/>
  <c r="Z122" i="1"/>
  <c r="BN122" i="1"/>
  <c r="Z125" i="1"/>
  <c r="BN125" i="1"/>
  <c r="Z127" i="1"/>
  <c r="BN127" i="1"/>
  <c r="Z131" i="1"/>
  <c r="Z133" i="1" s="1"/>
  <c r="BN131" i="1"/>
  <c r="BP131" i="1"/>
  <c r="G601" i="1"/>
  <c r="Z138" i="1"/>
  <c r="Z139" i="1" s="1"/>
  <c r="BN138" i="1"/>
  <c r="Y139" i="1"/>
  <c r="Z142" i="1"/>
  <c r="Z144" i="1" s="1"/>
  <c r="BN142" i="1"/>
  <c r="BP142" i="1"/>
  <c r="Y149" i="1"/>
  <c r="BP159" i="1"/>
  <c r="BN159" i="1"/>
  <c r="Z159" i="1"/>
  <c r="Y183" i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BP242" i="1"/>
  <c r="BN242" i="1"/>
  <c r="Z242" i="1"/>
  <c r="Z243" i="1" s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BP259" i="1"/>
  <c r="BN259" i="1"/>
  <c r="Z259" i="1"/>
  <c r="Y273" i="1"/>
  <c r="BP278" i="1"/>
  <c r="BN278" i="1"/>
  <c r="Z278" i="1"/>
  <c r="Z282" i="1" s="1"/>
  <c r="Y282" i="1"/>
  <c r="BP309" i="1"/>
  <c r="BN309" i="1"/>
  <c r="Z309" i="1"/>
  <c r="Z310" i="1" s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0" i="1"/>
  <c r="BP344" i="1"/>
  <c r="BN344" i="1"/>
  <c r="Z344" i="1"/>
  <c r="Y346" i="1"/>
  <c r="BP420" i="1"/>
  <c r="BN420" i="1"/>
  <c r="Z420" i="1"/>
  <c r="Y422" i="1"/>
  <c r="Y601" i="1"/>
  <c r="Y442" i="1"/>
  <c r="BP430" i="1"/>
  <c r="BN430" i="1"/>
  <c r="Z430" i="1"/>
  <c r="Y443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P481" i="1"/>
  <c r="BN481" i="1"/>
  <c r="Z481" i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Y311" i="1"/>
  <c r="Y310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Z359" i="1" s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Y316" i="1"/>
  <c r="U601" i="1"/>
  <c r="Y325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2" i="1"/>
  <c r="BN522" i="1"/>
  <c r="Z522" i="1"/>
  <c r="Y524" i="1"/>
  <c r="Y528" i="1"/>
  <c r="BP526" i="1"/>
  <c r="BN526" i="1"/>
  <c r="Z526" i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421" i="1" l="1"/>
  <c r="Z340" i="1"/>
  <c r="Z346" i="1"/>
  <c r="Z502" i="1"/>
  <c r="Z460" i="1"/>
  <c r="Z102" i="1"/>
  <c r="Z238" i="1"/>
  <c r="Z183" i="1"/>
  <c r="Z466" i="1"/>
  <c r="Z395" i="1"/>
  <c r="Z495" i="1"/>
  <c r="Z325" i="1"/>
  <c r="Z83" i="1"/>
  <c r="Z77" i="1"/>
  <c r="Z55" i="1"/>
  <c r="Y592" i="1"/>
  <c r="Y593" i="1"/>
  <c r="Z28" i="1"/>
  <c r="Z408" i="1"/>
  <c r="Z209" i="1"/>
  <c r="Z547" i="1"/>
  <c r="Z442" i="1"/>
  <c r="Y595" i="1"/>
  <c r="Z370" i="1"/>
  <c r="Z565" i="1"/>
  <c r="Z523" i="1"/>
  <c r="Z528" i="1"/>
  <c r="Z385" i="1"/>
  <c r="Z353" i="1"/>
  <c r="Z261" i="1"/>
  <c r="Z221" i="1"/>
  <c r="Z128" i="1"/>
  <c r="Z110" i="1"/>
  <c r="Z90" i="1"/>
  <c r="Z62" i="1"/>
  <c r="Z41" i="1"/>
  <c r="Z161" i="1"/>
  <c r="Z517" i="1"/>
  <c r="Z332" i="1"/>
  <c r="Y591" i="1"/>
  <c r="Z596" i="1" l="1"/>
  <c r="Y594" i="1"/>
</calcChain>
</file>

<file path=xl/sharedStrings.xml><?xml version="1.0" encoding="utf-8"?>
<sst xmlns="http://schemas.openxmlformats.org/spreadsheetml/2006/main" count="2721" uniqueCount="976">
  <si>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</si>
  <si>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</si>
  <si>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</si>
  <si>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</si>
  <si>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</si>
  <si>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</si>
  <si>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</si>
  <si>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</si>
  <si>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</si>
  <si>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</si>
  <si>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</si>
  <si>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</si>
  <si>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</si>
  <si>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</si>
  <si>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</si>
  <si>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</si>
  <si>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</si>
  <si>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</si>
  <si>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</si>
  <si>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</si>
  <si>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</si>
  <si>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</si>
  <si>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</si>
  <si>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</si>
  <si>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</si>
  <si>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</si>
  <si>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</si>
  <si>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</si>
  <si>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</si>
  <si>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</si>
  <si>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</si>
  <si>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</si>
  <si>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</si>
  <si>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</si>
  <si>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</si>
  <si>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</si>
  <si>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</si>
  <si>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</si>
  <si>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</si>
  <si>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</si>
  <si>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</si>
  <si>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</si>
  <si>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</si>
  <si>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</si>
  <si>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</si>
  <si>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</si>
  <si>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</si>
  <si>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</si>
  <si>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</si>
  <si>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</si>
  <si>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</si>
  <si>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</si>
  <si>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</si>
  <si>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</si>
  <si>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</si>
  <si>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</si>
  <si>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</si>
  <si>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</si>
  <si>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</si>
  <si>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</si>
  <si>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</si>
  <si>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</si>
  <si>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</si>
  <si>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</si>
  <si>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</si>
  <si>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</si>
  <si>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</si>
  <si>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</si>
  <si>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</si>
  <si>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</si>
  <si>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</si>
  <si>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</si>
  <si>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</si>
  <si>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</si>
  <si>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</si>
  <si>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</si>
  <si>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</si>
  <si>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</si>
  <si>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</si>
  <si>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</si>
  <si>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</si>
  <si>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</si>
  <si>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</si>
  <si>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</si>
  <si>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</si>
  <si>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</si>
  <si>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</si>
  <si>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</si>
  <si>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</si>
  <si>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</si>
  <si>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</si>
  <si>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</si>
  <si>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</si>
  <si>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</si>
  <si>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</si>
  <si>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</si>
  <si>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</si>
  <si>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</si>
  <si>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</si>
  <si>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</si>
  <si>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</si>
  <si>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</si>
  <si>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</si>
  <si>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</si>
  <si>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</si>
  <si>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</si>
  <si>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</si>
  <si>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</si>
  <si>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</si>
  <si>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</si>
  <si>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</si>
  <si>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</si>
  <si>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</si>
  <si>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</si>
  <si>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</si>
  <si>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</si>
  <si>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</si>
  <si>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</si>
  <si>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</si>
  <si>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</si>
  <si>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</si>
  <si>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</si>
  <si>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</si>
  <si>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</si>
  <si>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</si>
  <si>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</si>
  <si>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</si>
  <si>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</si>
  <si>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</si>
  <si>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</si>
  <si>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</si>
  <si>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</si>
  <si>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</si>
  <si>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</si>
  <si>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</si>
  <si>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</si>
  <si>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</si>
  <si>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</si>
  <si>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</si>
  <si>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</si>
  <si>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</si>
  <si>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</si>
  <si>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</si>
  <si>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</si>
  <si>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</si>
  <si>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</si>
  <si>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</si>
  <si>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</si>
  <si>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</si>
  <si>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</si>
  <si>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</si>
  <si>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</si>
  <si>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</si>
  <si>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</si>
  <si>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</si>
  <si>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</si>
  <si>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</si>
  <si>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</si>
  <si>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</si>
  <si>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</si>
  <si>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</si>
  <si>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</si>
  <si>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</si>
  <si>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</si>
  <si>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</si>
  <si>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</si>
  <si>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</si>
  <si>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</si>
  <si>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</si>
  <si>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</si>
  <si>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</si>
  <si>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</si>
  <si>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</si>
  <si>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</si>
  <si>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</si>
  <si>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</si>
  <si>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</si>
  <si>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</si>
  <si>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</si>
  <si>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</si>
  <si>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</si>
  <si>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</si>
  <si>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</si>
  <si>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</si>
  <si>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</si>
  <si>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</si>
  <si>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</si>
  <si>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</si>
  <si>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</si>
  <si>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</si>
  <si>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</si>
  <si>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</si>
  <si>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</si>
  <si>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</si>
  <si>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</si>
  <si>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</si>
  <si>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</si>
  <si>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</si>
  <si>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</si>
  <si>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</si>
  <si>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</si>
  <si>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</si>
  <si>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</si>
  <si>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</si>
  <si>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</si>
  <si>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</si>
  <si>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</si>
  <si>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</si>
  <si>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</si>
  <si>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</si>
  <si>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</si>
  <si>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</si>
  <si>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</si>
  <si>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</si>
  <si>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</si>
  <si>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</si>
  <si>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</si>
  <si>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</si>
  <si>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</si>
  <si>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</si>
  <si>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</si>
  <si>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</si>
  <si>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</si>
  <si>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</si>
  <si>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</si>
  <si>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</si>
  <si>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</si>
  <si>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</si>
  <si>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</si>
  <si>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</si>
  <si>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</si>
  <si>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</si>
  <si>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</si>
  <si>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</si>
  <si>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</si>
  <si>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</si>
  <si>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</si>
  <si>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</si>
  <si>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</si>
  <si>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</si>
  <si>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</si>
  <si>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</si>
  <si>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</si>
  <si>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</si>
  <si>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</si>
  <si>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</si>
  <si>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</si>
  <si>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</si>
  <si>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</si>
  <si>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</si>
  <si>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</si>
  <si>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</si>
  <si>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</si>
  <si>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</si>
  <si>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</si>
  <si>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</si>
  <si>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</si>
  <si>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</si>
  <si>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</si>
  <si>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</si>
  <si>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</si>
  <si>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</si>
  <si>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</si>
  <si>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</si>
  <si>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</si>
  <si>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</si>
  <si>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</si>
  <si>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</si>
  <si>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</si>
  <si>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</si>
  <si>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</si>
  <si>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</si>
  <si>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</si>
  <si>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</si>
  <si>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</si>
  <si>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</si>
  <si>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</si>
  <si>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</si>
  <si>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</si>
  <si>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</si>
  <si>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</si>
  <si>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</si>
  <si>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</si>
  <si>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</si>
  <si>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</si>
  <si>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</si>
  <si>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</si>
  <si>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</si>
  <si>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</si>
  <si>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</si>
  <si>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</si>
  <si>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</si>
  <si>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</si>
  <si>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</si>
  <si>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</si>
  <si>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</si>
  <si>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</si>
  <si>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</si>
  <si>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</si>
  <si>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</si>
  <si>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</si>
  <si>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</si>
  <si>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</si>
  <si>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</si>
  <si>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</si>
  <si>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</si>
  <si>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</si>
  <si>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</si>
  <si>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</si>
  <si>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</si>
  <si>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</si>
  <si>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</si>
  <si>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</si>
  <si>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</si>
  <si>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</si>
  <si>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</si>
  <si>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</si>
  <si>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</si>
  <si>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</si>
  <si>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</si>
  <si>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</si>
  <si>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</si>
  <si>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</si>
  <si>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</si>
  <si>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</si>
  <si>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</si>
  <si>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</si>
  <si>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</si>
  <si>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</si>
  <si>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</si>
  <si>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</si>
  <si>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</si>
  <si>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</si>
  <si>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</si>
  <si>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</si>
  <si>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</si>
  <si>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</si>
  <si>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</si>
  <si>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</si>
  <si>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</si>
  <si>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</si>
  <si>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</si>
  <si>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</si>
  <si>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</si>
  <si>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</si>
  <si>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</si>
  <si>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</si>
  <si>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</si>
  <si>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</si>
  <si>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</si>
  <si>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</si>
  <si>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</si>
  <si>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</si>
  <si>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</si>
  <si>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</si>
  <si>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</si>
  <si>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</si>
  <si>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</si>
  <si>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</si>
  <si>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</si>
  <si>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</si>
  <si>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</si>
  <si>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</si>
  <si>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</si>
  <si>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</si>
  <si>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</si>
  <si>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</si>
  <si>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</si>
  <si>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</si>
  <si>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</si>
  <si>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</si>
  <si>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</si>
  <si>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</si>
  <si>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</si>
  <si>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</si>
  <si>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</si>
  <si>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</si>
  <si>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</si>
  <si>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</si>
  <si>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</si>
  <si>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</si>
  <si>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</si>
  <si>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</si>
  <si>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</si>
  <si>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</si>
  <si>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</si>
  <si>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</si>
  <si>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</si>
  <si>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</si>
  <si>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</si>
  <si>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</si>
  <si>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</si>
  <si>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</si>
  <si>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</si>
  <si>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</si>
  <si>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</si>
  <si>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</si>
  <si>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</si>
  <si>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</si>
  <si>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</si>
  <si>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</si>
  <si>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</si>
  <si>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</si>
  <si>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</si>
  <si>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</si>
  <si>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</si>
  <si>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</si>
  <si>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</si>
  <si>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</si>
  <si>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</si>
  <si>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</si>
  <si>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</si>
  <si>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</si>
  <si>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</si>
  <si>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</si>
  <si>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</si>
  <si>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</si>
  <si>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</si>
  <si>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</si>
  <si>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</si>
  <si>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</si>
  <si>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</si>
  <si>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</si>
  <si>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</si>
  <si>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</si>
  <si>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</si>
  <si>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</si>
  <si>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</si>
  <si>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</si>
  <si>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</si>
  <si>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</si>
  <si>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</si>
  <si>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</si>
  <si>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</si>
  <si>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</si>
  <si>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</si>
  <si>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</si>
  <si>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</si>
  <si>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</si>
  <si>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</si>
  <si>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</si>
  <si>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</si>
  <si>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</si>
  <si>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</si>
  <si>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</si>
  <si>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</si>
  <si>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</si>
  <si>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</si>
  <si>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</si>
  <si>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</si>
  <si>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</si>
  <si>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</si>
  <si>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</si>
  <si>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</si>
  <si>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</si>
  <si>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</si>
  <si>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</si>
  <si>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</si>
  <si>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</si>
  <si>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</si>
  <si>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</si>
  <si>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</si>
  <si>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</si>
  <si>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</si>
  <si>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</si>
  <si>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</si>
  <si>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</si>
  <si>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</si>
  <si>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</si>
  <si>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</si>
  <si>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</si>
  <si>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</si>
  <si>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</si>
  <si>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</si>
  <si>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</si>
  <si>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</si>
  <si>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</si>
  <si>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</si>
  <si>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</si>
  <si>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</si>
  <si>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</si>
  <si>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</si>
  <si>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</si>
  <si>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</si>
  <si>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</si>
  <si>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</si>
  <si>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</si>
  <si>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</si>
  <si>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</si>
  <si>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</si>
  <si>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</si>
  <si>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</si>
  <si>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</si>
  <si>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</si>
  <si>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</si>
  <si>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</si>
  <si>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</si>
  <si>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</si>
  <si>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</si>
  <si>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</si>
  <si>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</si>
  <si>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</si>
  <si>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</si>
  <si>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</si>
  <si>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</si>
  <si>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</si>
  <si>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</si>
  <si>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</si>
  <si>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</si>
  <si>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</si>
  <si>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</si>
  <si>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</si>
  <si>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</si>
  <si>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</si>
  <si>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</si>
  <si>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</si>
  <si>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</si>
  <si>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</si>
  <si>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</si>
  <si>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</si>
  <si>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</si>
  <si>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</si>
  <si>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</si>
  <si>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</si>
  <si>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</si>
  <si>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</si>
  <si>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</si>
  <si>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</si>
  <si>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</si>
  <si>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</si>
  <si>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</si>
  <si>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</si>
  <si>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</si>
  <si>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</si>
  <si>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</si>
  <si>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</si>
  <si>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</si>
  <si>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</si>
  <si>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</si>
  <si>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</si>
  <si>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</si>
  <si>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</si>
  <si>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</si>
  <si>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</si>
  <si>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</si>
  <si>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</si>
  <si>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</si>
  <si>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</si>
  <si>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</si>
  <si>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</si>
  <si>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</si>
  <si>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</si>
  <si>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</si>
  <si>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</si>
  <si>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</si>
  <si>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</si>
  <si>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</si>
  <si>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</si>
  <si>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</si>
  <si>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</si>
  <si>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</si>
  <si>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</si>
  <si>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</si>
  <si>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</si>
  <si>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</si>
  <si>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</si>
  <si>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</si>
  <si>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</si>
  <si>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</si>
  <si>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</si>
  <si>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</si>
  <si>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</si>
  <si>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</si>
  <si>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</si>
  <si>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</si>
  <si>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</si>
  <si>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</si>
  <si>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</si>
  <si>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</si>
  <si>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</si>
  <si>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</si>
  <si>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</si>
  <si>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</si>
  <si>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</si>
  <si>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</si>
  <si>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</si>
  <si>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</si>
  <si>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</si>
  <si>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</si>
  <si>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</si>
  <si>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</si>
  <si>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</si>
  <si>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</si>
  <si>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</si>
  <si>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</si>
  <si>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</si>
  <si>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</si>
  <si>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</si>
  <si>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</si>
  <si>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</si>
  <si>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</si>
  <si>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</si>
  <si>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</si>
  <si>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</si>
  <si>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</si>
  <si>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</si>
  <si>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</si>
  <si>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</si>
  <si>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</si>
  <si>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</si>
  <si>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</si>
  <si>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</si>
  <si>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</si>
  <si>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</si>
  <si>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</si>
  <si>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</si>
  <si>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</si>
  <si>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</si>
  <si>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</si>
  <si>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</si>
  <si>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</si>
  <si>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</si>
  <si>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</si>
  <si>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</si>
  <si>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</si>
  <si>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</si>
  <si>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</si>
  <si>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</si>
  <si>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</si>
  <si>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</si>
  <si>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</si>
  <si>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</si>
  <si>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</si>
  <si>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</si>
  <si>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</si>
  <si>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</si>
  <si>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</si>
  <si>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</si>
  <si>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</si>
  <si>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</si>
  <si>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</si>
  <si>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</si>
  <si>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</si>
  <si>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</si>
  <si>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</si>
  <si>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</si>
  <si>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</si>
  <si>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</si>
  <si>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</si>
  <si>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</si>
  <si>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</si>
  <si>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</si>
  <si>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</si>
  <si>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</si>
  <si>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</si>
  <si>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</si>
  <si>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</si>
  <si>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</si>
  <si>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</si>
  <si>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</si>
  <si>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</si>
  <si>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</si>
  <si>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</si>
  <si>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</si>
  <si>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</si>
  <si>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</si>
  <si>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</si>
  <si>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</si>
  <si>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</si>
  <si>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</si>
  <si>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</si>
  <si>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</si>
  <si>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</si>
  <si>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</si>
  <si>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</si>
  <si>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</si>
  <si>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</si>
  <si>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</si>
  <si>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</si>
  <si>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</si>
  <si>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</si>
  <si>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</si>
  <si>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</si>
  <si>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</si>
  <si>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</si>
  <si>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</si>
  <si>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</si>
  <si>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</si>
  <si>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</si>
  <si>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</si>
  <si>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</si>
  <si>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</si>
  <si>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</si>
  <si>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</si>
  <si>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</si>
  <si>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</si>
  <si>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</si>
  <si>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</si>
  <si>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</si>
  <si>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</si>
  <si>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</si>
  <si>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</si>
  <si>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</si>
  <si>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</si>
  <si>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</si>
  <si>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</si>
  <si>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</si>
  <si>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</si>
  <si>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</si>
  <si>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</si>
  <si>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</si>
  <si>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</si>
  <si>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</si>
  <si>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</si>
  <si>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</si>
  <si>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</si>
  <si>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</si>
  <si>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</si>
  <si>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</si>
  <si>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</si>
  <si>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</si>
  <si>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</si>
  <si>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</si>
  <si>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</si>
  <si>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</si>
  <si>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</si>
  <si>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</si>
  <si>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</si>
  <si>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</si>
  <si>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</si>
  <si>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</si>
  <si>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</si>
  <si>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</si>
  <si>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</si>
  <si>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</si>
  <si>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</si>
  <si>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</si>
  <si>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</si>
  <si>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</si>
  <si>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</si>
  <si>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</si>
  <si>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</si>
  <si>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</si>
  <si>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</si>
  <si>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</si>
  <si>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</si>
  <si>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</si>
  <si>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</si>
  <si>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</si>
  <si>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</si>
  <si>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</si>
  <si>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</si>
  <si>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</si>
  <si>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</si>
  <si>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</si>
  <si>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</si>
  <si>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</si>
  <si>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</si>
  <si>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</si>
  <si>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</si>
  <si>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</si>
  <si>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</si>
  <si>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</si>
  <si>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</si>
  <si>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</si>
  <si>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</si>
  <si>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</si>
  <si>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</si>
  <si>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</si>
  <si>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</si>
  <si>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</si>
  <si>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</si>
  <si>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</si>
  <si>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</si>
  <si>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</si>
  <si>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</si>
  <si>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</si>
  <si>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</si>
  <si>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</si>
  <si>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</si>
  <si>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</si>
  <si>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</si>
  <si>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</si>
  <si>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</si>
  <si>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</si>
  <si>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</si>
  <si>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</si>
  <si>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</si>
  <si>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</si>
  <si>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</si>
  <si>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</si>
  <si>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</si>
  <si>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</si>
  <si>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</si>
  <si>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</si>
  <si>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</si>
  <si>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</si>
  <si>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</si>
  <si>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</si>
  <si>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</si>
  <si>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</si>
  <si>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</si>
  <si>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</si>
  <si>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</si>
  <si>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</si>
  <si>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</si>
  <si>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</si>
  <si>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</si>
  <si>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</si>
  <si>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</si>
  <si>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</si>
  <si>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</si>
  <si>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</si>
  <si>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</si>
  <si>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</si>
  <si>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</si>
  <si>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</si>
  <si>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</si>
  <si>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</si>
  <si>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</si>
  <si>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</si>
  <si>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</si>
  <si>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</si>
  <si>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</si>
  <si>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</si>
  <si>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</si>
  <si>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</si>
  <si>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</si>
  <si>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</si>
  <si>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</si>
  <si>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</si>
  <si>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</si>
  <si>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</si>
  <si>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</si>
  <si>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</si>
  <si>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</si>
  <si>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</si>
  <si>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</si>
  <si>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</si>
  <si>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</si>
  <si>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</si>
  <si>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</si>
  <si>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</si>
  <si>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</si>
  <si>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</si>
  <si>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</si>
  <si>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</si>
  <si>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</si>
  <si>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</si>
  <si>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</si>
  <si>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</si>
  <si>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</si>
  <si>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</si>
  <si>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</si>
  <si>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</si>
  <si>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</si>
  <si>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</si>
  <si>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</si>
  <si>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</si>
  <si>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</si>
  <si>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</si>
  <si>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</si>
  <si>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</si>
  <si>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</si>
  <si>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</si>
  <si>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</si>
  <si>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</si>
  <si>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</si>
  <si>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</si>
  <si>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</si>
  <si>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</si>
  <si>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</si>
  <si>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</si>
  <si>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</si>
  <si>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</si>
  <si>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</si>
  <si>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</si>
  <si>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</si>
  <si>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</si>
  <si>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</si>
  <si>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</si>
  <si>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</si>
  <si>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</si>
  <si>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</si>
  <si>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</si>
  <si>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</si>
  <si>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</si>
  <si>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</si>
  <si>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</si>
  <si>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</si>
  <si>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</si>
  <si>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</si>
  <si>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</si>
  <si>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</si>
  <si>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</si>
  <si>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</si>
  <si>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</si>
  <si>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</si>
  <si>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</si>
  <si>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</si>
  <si>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</si>
  <si>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</si>
  <si>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</si>
  <si>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</si>
  <si>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</si>
  <si>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</si>
  <si>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</si>
  <si>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</si>
  <si>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</si>
  <si>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</si>
  <si>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</si>
  <si>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</si>
  <si>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</si>
  <si>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</si>
  <si>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</si>
  <si>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</si>
  <si>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</si>
  <si>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</si>
  <si>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</si>
  <si>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</si>
  <si>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</si>
  <si>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</si>
  <si>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</si>
  <si>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</si>
  <si>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</si>
  <si>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</si>
  <si>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</si>
  <si>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</si>
  <si>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</si>
  <si>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</si>
  <si>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</si>
  <si>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</si>
  <si>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</si>
  <si>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</si>
  <si>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</si>
  <si>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</si>
  <si>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</si>
  <si>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</si>
  <si>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</si>
  <si>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</si>
  <si>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</si>
  <si>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</si>
  <si>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</si>
  <si>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</si>
  <si>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</si>
  <si>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</si>
  <si>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</si>
  <si>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</si>
  <si>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</si>
  <si>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</si>
  <si>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</si>
  <si>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</si>
  <si>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</si>
  <si>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</si>
  <si>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</si>
  <si>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</si>
  <si>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</si>
  <si>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</si>
  <si>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</si>
  <si>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</si>
  <si>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</si>
  <si>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</si>
  <si>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</si>
  <si>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</si>
  <si>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</si>
  <si>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</si>
  <si>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</si>
  <si>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</si>
  <si>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</si>
  <si>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</si>
  <si>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</si>
  <si>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</si>
  <si>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</si>
  <si>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</si>
  <si>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</si>
  <si>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Бердянск.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</si>
</sst>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52" sqref="AA52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707"/>
      <c r="F1" s="707"/>
      <c r="G1" s="12" t="s">
        <v>1</v>
      </c>
      <c r="H1" s="744" t="s">
        <v>2</v>
      </c>
      <c r="I1" s="707"/>
      <c r="J1" s="707"/>
      <c r="K1" s="707"/>
      <c r="L1" s="707"/>
      <c r="M1" s="707"/>
      <c r="N1" s="707"/>
      <c r="O1" s="707"/>
      <c r="P1" s="707"/>
      <c r="Q1" s="707"/>
      <c r="R1" s="706" t="s">
        <v>3</v>
      </c>
      <c r="S1" s="707"/>
      <c r="T1" s="70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3"/>
      <c r="R2" s="673"/>
      <c r="S2" s="673"/>
      <c r="T2" s="673"/>
      <c r="U2" s="673"/>
      <c r="V2" s="673"/>
      <c r="W2" s="673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3"/>
      <c r="Q3" s="673"/>
      <c r="R3" s="673"/>
      <c r="S3" s="673"/>
      <c r="T3" s="673"/>
      <c r="U3" s="673"/>
      <c r="V3" s="673"/>
      <c r="W3" s="673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18" t="s">
        <v>8</v>
      </c>
      <c r="B5" s="819"/>
      <c r="C5" s="820"/>
      <c r="D5" s="749"/>
      <c r="E5" s="750"/>
      <c r="F5" s="1008" t="s">
        <v>9</v>
      </c>
      <c r="G5" s="820"/>
      <c r="H5" s="749" t="s">
        <v>975</v>
      </c>
      <c r="I5" s="947"/>
      <c r="J5" s="947"/>
      <c r="K5" s="947"/>
      <c r="L5" s="947"/>
      <c r="M5" s="750"/>
      <c r="N5" s="58"/>
      <c r="P5" s="24" t="s">
        <v>10</v>
      </c>
      <c r="Q5" s="1026">
        <v>45761</v>
      </c>
      <c r="R5" s="774"/>
      <c r="T5" s="858" t="s">
        <v>11</v>
      </c>
      <c r="U5" s="859"/>
      <c r="V5" s="861" t="s">
        <v>12</v>
      </c>
      <c r="W5" s="774"/>
      <c r="AB5" s="51"/>
      <c r="AC5" s="51"/>
      <c r="AD5" s="51"/>
      <c r="AE5" s="51"/>
    </row>
    <row r="6" spans="1:32" s="657" customFormat="1" ht="24" customHeight="1" x14ac:dyDescent="0.2">
      <c r="A6" s="818" t="s">
        <v>13</v>
      </c>
      <c r="B6" s="819"/>
      <c r="C6" s="820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774"/>
      <c r="N6" s="59"/>
      <c r="P6" s="24" t="s">
        <v>15</v>
      </c>
      <c r="Q6" s="945" t="str">
        <f>IF(Q5=0," ",CHOOSE(WEEKDAY(Q5,2),"Понедельник","Вторник","Среда","Четверг","Пятница","Суббота","Воскресенье"))</f>
        <v>Понедельник</v>
      </c>
      <c r="R6" s="676"/>
      <c r="T6" s="864" t="s">
        <v>16</v>
      </c>
      <c r="U6" s="859"/>
      <c r="V6" s="930" t="s">
        <v>17</v>
      </c>
      <c r="W6" s="68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22" t="str">
        <f>IFERROR(VLOOKUP(DeliveryAddress,Table,3,0),1)</f>
        <v>4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73"/>
      <c r="U7" s="859"/>
      <c r="V7" s="931"/>
      <c r="W7" s="932"/>
      <c r="AB7" s="51"/>
      <c r="AC7" s="51"/>
      <c r="AD7" s="51"/>
      <c r="AE7" s="51"/>
    </row>
    <row r="8" spans="1:32" s="657" customFormat="1" ht="25.5" customHeight="1" x14ac:dyDescent="0.2">
      <c r="A8" s="1044" t="s">
        <v>18</v>
      </c>
      <c r="B8" s="683"/>
      <c r="C8" s="684"/>
      <c r="D8" s="735"/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19</v>
      </c>
      <c r="Q8" s="789">
        <v>0.41666666666666669</v>
      </c>
      <c r="R8" s="724"/>
      <c r="T8" s="673"/>
      <c r="U8" s="859"/>
      <c r="V8" s="931"/>
      <c r="W8" s="932"/>
      <c r="AB8" s="51"/>
      <c r="AC8" s="51"/>
      <c r="AD8" s="51"/>
      <c r="AE8" s="51"/>
    </row>
    <row r="9" spans="1:32" s="657" customFormat="1" ht="39.950000000000003" customHeight="1" x14ac:dyDescent="0.2">
      <c r="A9" s="7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777"/>
      <c r="E9" s="681"/>
      <c r="F9" s="7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69"/>
      <c r="R9" s="770"/>
      <c r="T9" s="673"/>
      <c r="U9" s="859"/>
      <c r="V9" s="933"/>
      <c r="W9" s="934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7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777"/>
      <c r="E10" s="681"/>
      <c r="F10" s="7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921" t="str">
        <f>IFERROR(VLOOKUP($D$10,Proxy,2,FALSE),"")</f>
        <v/>
      </c>
      <c r="I10" s="673"/>
      <c r="J10" s="673"/>
      <c r="K10" s="673"/>
      <c r="L10" s="673"/>
      <c r="M10" s="673"/>
      <c r="N10" s="656"/>
      <c r="P10" s="26" t="s">
        <v>21</v>
      </c>
      <c r="Q10" s="865"/>
      <c r="R10" s="866"/>
      <c r="U10" s="24" t="s">
        <v>22</v>
      </c>
      <c r="V10" s="686" t="s">
        <v>23</v>
      </c>
      <c r="W10" s="68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73"/>
      <c r="R11" s="774"/>
      <c r="U11" s="24" t="s">
        <v>26</v>
      </c>
      <c r="V11" s="970" t="s">
        <v>27</v>
      </c>
      <c r="W11" s="770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50" t="s">
        <v>28</v>
      </c>
      <c r="B12" s="819"/>
      <c r="C12" s="819"/>
      <c r="D12" s="819"/>
      <c r="E12" s="819"/>
      <c r="F12" s="819"/>
      <c r="G12" s="819"/>
      <c r="H12" s="819"/>
      <c r="I12" s="819"/>
      <c r="J12" s="819"/>
      <c r="K12" s="819"/>
      <c r="L12" s="819"/>
      <c r="M12" s="820"/>
      <c r="N12" s="62"/>
      <c r="P12" s="24" t="s">
        <v>29</v>
      </c>
      <c r="Q12" s="789"/>
      <c r="R12" s="724"/>
      <c r="S12" s="23"/>
      <c r="U12" s="24"/>
      <c r="V12" s="707"/>
      <c r="W12" s="673"/>
      <c r="AB12" s="51"/>
      <c r="AC12" s="51"/>
      <c r="AD12" s="51"/>
      <c r="AE12" s="51"/>
    </row>
    <row r="13" spans="1:32" s="657" customFormat="1" ht="23.25" customHeight="1" x14ac:dyDescent="0.2">
      <c r="A13" s="850" t="s">
        <v>30</v>
      </c>
      <c r="B13" s="819"/>
      <c r="C13" s="819"/>
      <c r="D13" s="819"/>
      <c r="E13" s="819"/>
      <c r="F13" s="819"/>
      <c r="G13" s="819"/>
      <c r="H13" s="819"/>
      <c r="I13" s="819"/>
      <c r="J13" s="819"/>
      <c r="K13" s="819"/>
      <c r="L13" s="819"/>
      <c r="M13" s="820"/>
      <c r="N13" s="62"/>
      <c r="O13" s="26"/>
      <c r="P13" s="26" t="s">
        <v>31</v>
      </c>
      <c r="Q13" s="970"/>
      <c r="R13" s="7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50" t="s">
        <v>32</v>
      </c>
      <c r="B14" s="819"/>
      <c r="C14" s="819"/>
      <c r="D14" s="819"/>
      <c r="E14" s="819"/>
      <c r="F14" s="819"/>
      <c r="G14" s="819"/>
      <c r="H14" s="819"/>
      <c r="I14" s="819"/>
      <c r="J14" s="819"/>
      <c r="K14" s="819"/>
      <c r="L14" s="819"/>
      <c r="M14" s="82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6" t="s">
        <v>33</v>
      </c>
      <c r="B15" s="819"/>
      <c r="C15" s="819"/>
      <c r="D15" s="819"/>
      <c r="E15" s="819"/>
      <c r="F15" s="819"/>
      <c r="G15" s="819"/>
      <c r="H15" s="819"/>
      <c r="I15" s="819"/>
      <c r="J15" s="819"/>
      <c r="K15" s="819"/>
      <c r="L15" s="819"/>
      <c r="M15" s="820"/>
      <c r="N15" s="63"/>
      <c r="P15" s="779" t="s">
        <v>34</v>
      </c>
      <c r="Q15" s="707"/>
      <c r="R15" s="707"/>
      <c r="S15" s="707"/>
      <c r="T15" s="70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3" t="s">
        <v>35</v>
      </c>
      <c r="B17" s="713" t="s">
        <v>36</v>
      </c>
      <c r="C17" s="825" t="s">
        <v>37</v>
      </c>
      <c r="D17" s="713" t="s">
        <v>38</v>
      </c>
      <c r="E17" s="783"/>
      <c r="F17" s="713" t="s">
        <v>39</v>
      </c>
      <c r="G17" s="713" t="s">
        <v>40</v>
      </c>
      <c r="H17" s="713" t="s">
        <v>41</v>
      </c>
      <c r="I17" s="713" t="s">
        <v>42</v>
      </c>
      <c r="J17" s="713" t="s">
        <v>43</v>
      </c>
      <c r="K17" s="713" t="s">
        <v>44</v>
      </c>
      <c r="L17" s="713" t="s">
        <v>45</v>
      </c>
      <c r="M17" s="713" t="s">
        <v>46</v>
      </c>
      <c r="N17" s="713" t="s">
        <v>47</v>
      </c>
      <c r="O17" s="713" t="s">
        <v>48</v>
      </c>
      <c r="P17" s="713" t="s">
        <v>49</v>
      </c>
      <c r="Q17" s="782"/>
      <c r="R17" s="782"/>
      <c r="S17" s="782"/>
      <c r="T17" s="783"/>
      <c r="U17" s="1039" t="s">
        <v>50</v>
      </c>
      <c r="V17" s="820"/>
      <c r="W17" s="713" t="s">
        <v>51</v>
      </c>
      <c r="X17" s="713" t="s">
        <v>52</v>
      </c>
      <c r="Y17" s="1040" t="s">
        <v>53</v>
      </c>
      <c r="Z17" s="928" t="s">
        <v>54</v>
      </c>
      <c r="AA17" s="918" t="s">
        <v>55</v>
      </c>
      <c r="AB17" s="918" t="s">
        <v>56</v>
      </c>
      <c r="AC17" s="918" t="s">
        <v>57</v>
      </c>
      <c r="AD17" s="918" t="s">
        <v>58</v>
      </c>
      <c r="AE17" s="1003"/>
      <c r="AF17" s="1004"/>
      <c r="AG17" s="66"/>
      <c r="BD17" s="65" t="s">
        <v>59</v>
      </c>
    </row>
    <row r="18" spans="1:68" ht="14.25" customHeight="1" x14ac:dyDescent="0.2">
      <c r="A18" s="714"/>
      <c r="B18" s="714"/>
      <c r="C18" s="714"/>
      <c r="D18" s="784"/>
      <c r="E18" s="786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84"/>
      <c r="Q18" s="785"/>
      <c r="R18" s="785"/>
      <c r="S18" s="785"/>
      <c r="T18" s="786"/>
      <c r="U18" s="67" t="s">
        <v>60</v>
      </c>
      <c r="V18" s="67" t="s">
        <v>61</v>
      </c>
      <c r="W18" s="714"/>
      <c r="X18" s="714"/>
      <c r="Y18" s="1041"/>
      <c r="Z18" s="929"/>
      <c r="AA18" s="919"/>
      <c r="AB18" s="919"/>
      <c r="AC18" s="919"/>
      <c r="AD18" s="1005"/>
      <c r="AE18" s="1006"/>
      <c r="AF18" s="1007"/>
      <c r="AG18" s="66"/>
      <c r="BD18" s="65"/>
    </row>
    <row r="19" spans="1:68" ht="27.75" hidden="1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hidden="1" customHeight="1" x14ac:dyDescent="0.25">
      <c r="A20" s="716" t="s">
        <v>62</v>
      </c>
      <c r="B20" s="673"/>
      <c r="C20" s="673"/>
      <c r="D20" s="673"/>
      <c r="E20" s="673"/>
      <c r="F20" s="673"/>
      <c r="G20" s="673"/>
      <c r="H20" s="673"/>
      <c r="I20" s="673"/>
      <c r="J20" s="673"/>
      <c r="K20" s="673"/>
      <c r="L20" s="673"/>
      <c r="M20" s="673"/>
      <c r="N20" s="673"/>
      <c r="O20" s="673"/>
      <c r="P20" s="673"/>
      <c r="Q20" s="673"/>
      <c r="R20" s="673"/>
      <c r="S20" s="673"/>
      <c r="T20" s="673"/>
      <c r="U20" s="673"/>
      <c r="V20" s="673"/>
      <c r="W20" s="673"/>
      <c r="X20" s="673"/>
      <c r="Y20" s="673"/>
      <c r="Z20" s="673"/>
      <c r="AA20" s="658"/>
      <c r="AB20" s="658"/>
      <c r="AC20" s="658"/>
    </row>
    <row r="21" spans="1:68" ht="14.25" hidden="1" customHeight="1" x14ac:dyDescent="0.25">
      <c r="A21" s="679" t="s">
        <v>63</v>
      </c>
      <c r="B21" s="673"/>
      <c r="C21" s="673"/>
      <c r="D21" s="673"/>
      <c r="E21" s="673"/>
      <c r="F21" s="673"/>
      <c r="G21" s="673"/>
      <c r="H21" s="673"/>
      <c r="I21" s="673"/>
      <c r="J21" s="673"/>
      <c r="K21" s="673"/>
      <c r="L21" s="673"/>
      <c r="M21" s="673"/>
      <c r="N21" s="673"/>
      <c r="O21" s="673"/>
      <c r="P21" s="673"/>
      <c r="Q21" s="673"/>
      <c r="R21" s="673"/>
      <c r="S21" s="673"/>
      <c r="T21" s="673"/>
      <c r="U21" s="673"/>
      <c r="V21" s="673"/>
      <c r="W21" s="673"/>
      <c r="X21" s="673"/>
      <c r="Y21" s="673"/>
      <c r="Z21" s="673"/>
      <c r="AA21" s="659"/>
      <c r="AB21" s="659"/>
      <c r="AC21" s="659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75">
        <v>4680115885912</v>
      </c>
      <c r="E22" s="676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68"/>
      <c r="R22" s="668"/>
      <c r="S22" s="668"/>
      <c r="T22" s="669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75">
        <v>4607091388237</v>
      </c>
      <c r="E23" s="676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68"/>
      <c r="R23" s="668"/>
      <c r="S23" s="668"/>
      <c r="T23" s="669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75">
        <v>4680115886230</v>
      </c>
      <c r="E24" s="676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913" t="s">
        <v>75</v>
      </c>
      <c r="Q24" s="668"/>
      <c r="R24" s="668"/>
      <c r="S24" s="668"/>
      <c r="T24" s="669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75">
        <v>4680115886247</v>
      </c>
      <c r="E25" s="676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5" t="s">
        <v>79</v>
      </c>
      <c r="Q25" s="668"/>
      <c r="R25" s="668"/>
      <c r="S25" s="668"/>
      <c r="T25" s="669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75">
        <v>4680115885905</v>
      </c>
      <c r="E26" s="676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68"/>
      <c r="R26" s="668"/>
      <c r="S26" s="668"/>
      <c r="T26" s="669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75">
        <v>4607091388244</v>
      </c>
      <c r="E27" s="676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0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68"/>
      <c r="R27" s="668"/>
      <c r="S27" s="668"/>
      <c r="T27" s="669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2"/>
      <c r="B28" s="673"/>
      <c r="C28" s="673"/>
      <c r="D28" s="673"/>
      <c r="E28" s="673"/>
      <c r="F28" s="673"/>
      <c r="G28" s="673"/>
      <c r="H28" s="673"/>
      <c r="I28" s="673"/>
      <c r="J28" s="673"/>
      <c r="K28" s="673"/>
      <c r="L28" s="673"/>
      <c r="M28" s="673"/>
      <c r="N28" s="673"/>
      <c r="O28" s="674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3"/>
      <c r="B29" s="673"/>
      <c r="C29" s="673"/>
      <c r="D29" s="673"/>
      <c r="E29" s="673"/>
      <c r="F29" s="673"/>
      <c r="G29" s="673"/>
      <c r="H29" s="673"/>
      <c r="I29" s="673"/>
      <c r="J29" s="673"/>
      <c r="K29" s="673"/>
      <c r="L29" s="673"/>
      <c r="M29" s="673"/>
      <c r="N29" s="673"/>
      <c r="O29" s="674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79" t="s">
        <v>89</v>
      </c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  <c r="M30" s="673"/>
      <c r="N30" s="673"/>
      <c r="O30" s="673"/>
      <c r="P30" s="673"/>
      <c r="Q30" s="673"/>
      <c r="R30" s="673"/>
      <c r="S30" s="673"/>
      <c r="T30" s="673"/>
      <c r="U30" s="673"/>
      <c r="V30" s="673"/>
      <c r="W30" s="673"/>
      <c r="X30" s="673"/>
      <c r="Y30" s="673"/>
      <c r="Z30" s="673"/>
      <c r="AA30" s="659"/>
      <c r="AB30" s="659"/>
      <c r="AC30" s="659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75">
        <v>4607091388503</v>
      </c>
      <c r="E31" s="676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68"/>
      <c r="R31" s="668"/>
      <c r="S31" s="668"/>
      <c r="T31" s="669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2"/>
      <c r="B32" s="673"/>
      <c r="C32" s="673"/>
      <c r="D32" s="673"/>
      <c r="E32" s="673"/>
      <c r="F32" s="673"/>
      <c r="G32" s="673"/>
      <c r="H32" s="673"/>
      <c r="I32" s="673"/>
      <c r="J32" s="673"/>
      <c r="K32" s="673"/>
      <c r="L32" s="673"/>
      <c r="M32" s="673"/>
      <c r="N32" s="673"/>
      <c r="O32" s="674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3"/>
      <c r="B33" s="673"/>
      <c r="C33" s="673"/>
      <c r="D33" s="673"/>
      <c r="E33" s="673"/>
      <c r="F33" s="673"/>
      <c r="G33" s="673"/>
      <c r="H33" s="673"/>
      <c r="I33" s="673"/>
      <c r="J33" s="673"/>
      <c r="K33" s="673"/>
      <c r="L33" s="673"/>
      <c r="M33" s="673"/>
      <c r="N33" s="673"/>
      <c r="O33" s="674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hidden="1" customHeight="1" x14ac:dyDescent="0.25">
      <c r="A35" s="716" t="s">
        <v>96</v>
      </c>
      <c r="B35" s="673"/>
      <c r="C35" s="673"/>
      <c r="D35" s="673"/>
      <c r="E35" s="673"/>
      <c r="F35" s="673"/>
      <c r="G35" s="673"/>
      <c r="H35" s="673"/>
      <c r="I35" s="673"/>
      <c r="J35" s="673"/>
      <c r="K35" s="673"/>
      <c r="L35" s="673"/>
      <c r="M35" s="673"/>
      <c r="N35" s="673"/>
      <c r="O35" s="673"/>
      <c r="P35" s="673"/>
      <c r="Q35" s="673"/>
      <c r="R35" s="673"/>
      <c r="S35" s="673"/>
      <c r="T35" s="673"/>
      <c r="U35" s="673"/>
      <c r="V35" s="673"/>
      <c r="W35" s="673"/>
      <c r="X35" s="673"/>
      <c r="Y35" s="673"/>
      <c r="Z35" s="673"/>
      <c r="AA35" s="658"/>
      <c r="AB35" s="658"/>
      <c r="AC35" s="658"/>
    </row>
    <row r="36" spans="1:68" ht="14.25" hidden="1" customHeight="1" x14ac:dyDescent="0.25">
      <c r="A36" s="679" t="s">
        <v>97</v>
      </c>
      <c r="B36" s="673"/>
      <c r="C36" s="673"/>
      <c r="D36" s="673"/>
      <c r="E36" s="673"/>
      <c r="F36" s="673"/>
      <c r="G36" s="673"/>
      <c r="H36" s="673"/>
      <c r="I36" s="673"/>
      <c r="J36" s="673"/>
      <c r="K36" s="673"/>
      <c r="L36" s="673"/>
      <c r="M36" s="673"/>
      <c r="N36" s="673"/>
      <c r="O36" s="673"/>
      <c r="P36" s="673"/>
      <c r="Q36" s="673"/>
      <c r="R36" s="673"/>
      <c r="S36" s="673"/>
      <c r="T36" s="673"/>
      <c r="U36" s="673"/>
      <c r="V36" s="673"/>
      <c r="W36" s="673"/>
      <c r="X36" s="673"/>
      <c r="Y36" s="673"/>
      <c r="Z36" s="673"/>
      <c r="AA36" s="659"/>
      <c r="AB36" s="659"/>
      <c r="AC36" s="659"/>
    </row>
    <row r="37" spans="1:68" ht="16.5" hidden="1" customHeight="1" x14ac:dyDescent="0.25">
      <c r="A37" s="54" t="s">
        <v>98</v>
      </c>
      <c r="B37" s="54" t="s">
        <v>99</v>
      </c>
      <c r="C37" s="31">
        <v>4301011380</v>
      </c>
      <c r="D37" s="675">
        <v>4607091385670</v>
      </c>
      <c r="E37" s="676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68"/>
      <c r="R37" s="668"/>
      <c r="S37" s="668"/>
      <c r="T37" s="669"/>
      <c r="U37" s="34"/>
      <c r="V37" s="34"/>
      <c r="W37" s="35" t="s">
        <v>68</v>
      </c>
      <c r="X37" s="663">
        <v>0</v>
      </c>
      <c r="Y37" s="664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75">
        <v>4607091385687</v>
      </c>
      <c r="E38" s="676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68"/>
      <c r="R38" s="668"/>
      <c r="S38" s="668"/>
      <c r="T38" s="669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75">
        <v>4680115882539</v>
      </c>
      <c r="E39" s="676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68"/>
      <c r="R39" s="668"/>
      <c r="S39" s="668"/>
      <c r="T39" s="669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75">
        <v>4680115883949</v>
      </c>
      <c r="E40" s="676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4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68"/>
      <c r="R40" s="668"/>
      <c r="S40" s="668"/>
      <c r="T40" s="669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72"/>
      <c r="B41" s="673"/>
      <c r="C41" s="673"/>
      <c r="D41" s="673"/>
      <c r="E41" s="673"/>
      <c r="F41" s="673"/>
      <c r="G41" s="673"/>
      <c r="H41" s="673"/>
      <c r="I41" s="673"/>
      <c r="J41" s="673"/>
      <c r="K41" s="673"/>
      <c r="L41" s="673"/>
      <c r="M41" s="673"/>
      <c r="N41" s="673"/>
      <c r="O41" s="674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0</v>
      </c>
      <c r="Y41" s="665">
        <f>IFERROR(Y37/H37,"0")+IFERROR(Y38/H38,"0")+IFERROR(Y39/H39,"0")+IFERROR(Y40/H40,"0")</f>
        <v>0</v>
      </c>
      <c r="Z41" s="665">
        <f>IFERROR(IF(Z37="",0,Z37),"0")+IFERROR(IF(Z38="",0,Z38),"0")+IFERROR(IF(Z39="",0,Z39),"0")+IFERROR(IF(Z40="",0,Z40),"0")</f>
        <v>0</v>
      </c>
      <c r="AA41" s="666"/>
      <c r="AB41" s="666"/>
      <c r="AC41" s="666"/>
    </row>
    <row r="42" spans="1:68" hidden="1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0</v>
      </c>
      <c r="Y42" s="665">
        <f>IFERROR(SUM(Y37:Y40),"0")</f>
        <v>0</v>
      </c>
      <c r="Z42" s="37"/>
      <c r="AA42" s="666"/>
      <c r="AB42" s="666"/>
      <c r="AC42" s="666"/>
    </row>
    <row r="43" spans="1:68" ht="14.25" hidden="1" customHeight="1" x14ac:dyDescent="0.25">
      <c r="A43" s="679" t="s">
        <v>63</v>
      </c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3"/>
      <c r="P43" s="673"/>
      <c r="Q43" s="673"/>
      <c r="R43" s="673"/>
      <c r="S43" s="673"/>
      <c r="T43" s="673"/>
      <c r="U43" s="673"/>
      <c r="V43" s="673"/>
      <c r="W43" s="673"/>
      <c r="X43" s="673"/>
      <c r="Y43" s="673"/>
      <c r="Z43" s="673"/>
      <c r="AA43" s="659"/>
      <c r="AB43" s="659"/>
      <c r="AC43" s="659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75">
        <v>4680115884915</v>
      </c>
      <c r="E44" s="676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68"/>
      <c r="R44" s="668"/>
      <c r="S44" s="668"/>
      <c r="T44" s="669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2"/>
      <c r="B45" s="673"/>
      <c r="C45" s="673"/>
      <c r="D45" s="673"/>
      <c r="E45" s="673"/>
      <c r="F45" s="673"/>
      <c r="G45" s="673"/>
      <c r="H45" s="673"/>
      <c r="I45" s="673"/>
      <c r="J45" s="673"/>
      <c r="K45" s="673"/>
      <c r="L45" s="673"/>
      <c r="M45" s="673"/>
      <c r="N45" s="673"/>
      <c r="O45" s="674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3"/>
      <c r="B46" s="673"/>
      <c r="C46" s="673"/>
      <c r="D46" s="673"/>
      <c r="E46" s="673"/>
      <c r="F46" s="673"/>
      <c r="G46" s="673"/>
      <c r="H46" s="673"/>
      <c r="I46" s="673"/>
      <c r="J46" s="673"/>
      <c r="K46" s="673"/>
      <c r="L46" s="673"/>
      <c r="M46" s="673"/>
      <c r="N46" s="673"/>
      <c r="O46" s="674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16" t="s">
        <v>115</v>
      </c>
      <c r="B47" s="673"/>
      <c r="C47" s="673"/>
      <c r="D47" s="673"/>
      <c r="E47" s="673"/>
      <c r="F47" s="673"/>
      <c r="G47" s="673"/>
      <c r="H47" s="673"/>
      <c r="I47" s="673"/>
      <c r="J47" s="673"/>
      <c r="K47" s="673"/>
      <c r="L47" s="673"/>
      <c r="M47" s="673"/>
      <c r="N47" s="673"/>
      <c r="O47" s="673"/>
      <c r="P47" s="673"/>
      <c r="Q47" s="673"/>
      <c r="R47" s="673"/>
      <c r="S47" s="673"/>
      <c r="T47" s="673"/>
      <c r="U47" s="673"/>
      <c r="V47" s="673"/>
      <c r="W47" s="673"/>
      <c r="X47" s="673"/>
      <c r="Y47" s="673"/>
      <c r="Z47" s="673"/>
      <c r="AA47" s="658"/>
      <c r="AB47" s="658"/>
      <c r="AC47" s="658"/>
    </row>
    <row r="48" spans="1:68" ht="14.25" hidden="1" customHeight="1" x14ac:dyDescent="0.25">
      <c r="A48" s="679" t="s">
        <v>97</v>
      </c>
      <c r="B48" s="673"/>
      <c r="C48" s="673"/>
      <c r="D48" s="673"/>
      <c r="E48" s="673"/>
      <c r="F48" s="673"/>
      <c r="G48" s="673"/>
      <c r="H48" s="673"/>
      <c r="I48" s="673"/>
      <c r="J48" s="673"/>
      <c r="K48" s="673"/>
      <c r="L48" s="673"/>
      <c r="M48" s="673"/>
      <c r="N48" s="673"/>
      <c r="O48" s="673"/>
      <c r="P48" s="673"/>
      <c r="Q48" s="673"/>
      <c r="R48" s="673"/>
      <c r="S48" s="673"/>
      <c r="T48" s="673"/>
      <c r="U48" s="673"/>
      <c r="V48" s="673"/>
      <c r="W48" s="673"/>
      <c r="X48" s="673"/>
      <c r="Y48" s="673"/>
      <c r="Z48" s="673"/>
      <c r="AA48" s="659"/>
      <c r="AB48" s="659"/>
      <c r="AC48" s="659"/>
    </row>
    <row r="49" spans="1:68" ht="27" hidden="1" customHeight="1" x14ac:dyDescent="0.25">
      <c r="A49" s="54" t="s">
        <v>116</v>
      </c>
      <c r="B49" s="54" t="s">
        <v>117</v>
      </c>
      <c r="C49" s="31">
        <v>4301012030</v>
      </c>
      <c r="D49" s="675">
        <v>4680115885882</v>
      </c>
      <c r="E49" s="676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68"/>
      <c r="R49" s="668"/>
      <c r="S49" s="668"/>
      <c r="T49" s="669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hidden="1" customHeight="1" x14ac:dyDescent="0.25">
      <c r="A50" s="54" t="s">
        <v>119</v>
      </c>
      <c r="B50" s="54" t="s">
        <v>120</v>
      </c>
      <c r="C50" s="31">
        <v>4301011816</v>
      </c>
      <c r="D50" s="675">
        <v>4680115881426</v>
      </c>
      <c r="E50" s="676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68"/>
      <c r="R50" s="668"/>
      <c r="S50" s="668"/>
      <c r="T50" s="669"/>
      <c r="U50" s="34"/>
      <c r="V50" s="34"/>
      <c r="W50" s="35" t="s">
        <v>68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75">
        <v>4680115880283</v>
      </c>
      <c r="E51" s="676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68"/>
      <c r="R51" s="668"/>
      <c r="S51" s="668"/>
      <c r="T51" s="669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75">
        <v>4680115881525</v>
      </c>
      <c r="E52" s="676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68"/>
      <c r="R52" s="668"/>
      <c r="S52" s="668"/>
      <c r="T52" s="669"/>
      <c r="U52" s="34"/>
      <c r="V52" s="34"/>
      <c r="W52" s="35" t="s">
        <v>68</v>
      </c>
      <c r="X52" s="663">
        <v>10</v>
      </c>
      <c r="Y52" s="664">
        <f t="shared" si="6"/>
        <v>12</v>
      </c>
      <c r="Z52" s="36">
        <f>IFERROR(IF(Y52=0,"",ROUNDUP(Y52/H52,0)*0.00902),"")</f>
        <v>2.7060000000000001E-2</v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10.525</v>
      </c>
      <c r="BN52" s="64">
        <f t="shared" si="8"/>
        <v>12.629999999999999</v>
      </c>
      <c r="BO52" s="64">
        <f t="shared" si="9"/>
        <v>1.893939393939394E-2</v>
      </c>
      <c r="BP52" s="64">
        <f t="shared" si="10"/>
        <v>2.2727272727272728E-2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75">
        <v>4680115885899</v>
      </c>
      <c r="E53" s="676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77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68"/>
      <c r="R53" s="668"/>
      <c r="S53" s="668"/>
      <c r="T53" s="669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75">
        <v>4680115881419</v>
      </c>
      <c r="E54" s="676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68"/>
      <c r="R54" s="668"/>
      <c r="S54" s="668"/>
      <c r="T54" s="669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2"/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  <c r="M55" s="673"/>
      <c r="N55" s="673"/>
      <c r="O55" s="674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2.5</v>
      </c>
      <c r="Y55" s="665">
        <f>IFERROR(Y49/H49,"0")+IFERROR(Y50/H50,"0")+IFERROR(Y51/H51,"0")+IFERROR(Y52/H52,"0")+IFERROR(Y53/H53,"0")+IFERROR(Y54/H54,"0")</f>
        <v>3</v>
      </c>
      <c r="Z55" s="665">
        <f>IFERROR(IF(Z49="",0,Z49),"0")+IFERROR(IF(Z50="",0,Z50),"0")+IFERROR(IF(Z51="",0,Z51),"0")+IFERROR(IF(Z52="",0,Z52),"0")+IFERROR(IF(Z53="",0,Z53),"0")+IFERROR(IF(Z54="",0,Z54),"0")</f>
        <v>2.7060000000000001E-2</v>
      </c>
      <c r="AA55" s="666"/>
      <c r="AB55" s="666"/>
      <c r="AC55" s="666"/>
    </row>
    <row r="56" spans="1:68" x14ac:dyDescent="0.2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  <c r="M56" s="673"/>
      <c r="N56" s="673"/>
      <c r="O56" s="674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10</v>
      </c>
      <c r="Y56" s="665">
        <f>IFERROR(SUM(Y49:Y54),"0")</f>
        <v>12</v>
      </c>
      <c r="Z56" s="37"/>
      <c r="AA56" s="666"/>
      <c r="AB56" s="666"/>
      <c r="AC56" s="666"/>
    </row>
    <row r="57" spans="1:68" ht="14.25" hidden="1" customHeight="1" x14ac:dyDescent="0.25">
      <c r="A57" s="679" t="s">
        <v>133</v>
      </c>
      <c r="B57" s="673"/>
      <c r="C57" s="673"/>
      <c r="D57" s="673"/>
      <c r="E57" s="673"/>
      <c r="F57" s="673"/>
      <c r="G57" s="673"/>
      <c r="H57" s="673"/>
      <c r="I57" s="673"/>
      <c r="J57" s="673"/>
      <c r="K57" s="673"/>
      <c r="L57" s="673"/>
      <c r="M57" s="673"/>
      <c r="N57" s="673"/>
      <c r="O57" s="673"/>
      <c r="P57" s="673"/>
      <c r="Q57" s="673"/>
      <c r="R57" s="673"/>
      <c r="S57" s="673"/>
      <c r="T57" s="673"/>
      <c r="U57" s="673"/>
      <c r="V57" s="673"/>
      <c r="W57" s="673"/>
      <c r="X57" s="673"/>
      <c r="Y57" s="673"/>
      <c r="Z57" s="673"/>
      <c r="AA57" s="659"/>
      <c r="AB57" s="659"/>
      <c r="AC57" s="659"/>
    </row>
    <row r="58" spans="1:68" ht="16.5" hidden="1" customHeight="1" x14ac:dyDescent="0.25">
      <c r="A58" s="54" t="s">
        <v>134</v>
      </c>
      <c r="B58" s="54" t="s">
        <v>135</v>
      </c>
      <c r="C58" s="31">
        <v>4301020298</v>
      </c>
      <c r="D58" s="675">
        <v>4680115881440</v>
      </c>
      <c r="E58" s="676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68"/>
      <c r="R58" s="668"/>
      <c r="S58" s="668"/>
      <c r="T58" s="669"/>
      <c r="U58" s="34"/>
      <c r="V58" s="34"/>
      <c r="W58" s="35" t="s">
        <v>68</v>
      </c>
      <c r="X58" s="663">
        <v>0</v>
      </c>
      <c r="Y58" s="664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75">
        <v>4680115882751</v>
      </c>
      <c r="E59" s="676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68"/>
      <c r="R59" s="668"/>
      <c r="S59" s="668"/>
      <c r="T59" s="669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75">
        <v>4680115885950</v>
      </c>
      <c r="E60" s="676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68"/>
      <c r="R60" s="668"/>
      <c r="S60" s="668"/>
      <c r="T60" s="669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75">
        <v>4680115881433</v>
      </c>
      <c r="E61" s="676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68"/>
      <c r="R61" s="668"/>
      <c r="S61" s="668"/>
      <c r="T61" s="669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idden="1" x14ac:dyDescent="0.2">
      <c r="A62" s="672"/>
      <c r="B62" s="673"/>
      <c r="C62" s="673"/>
      <c r="D62" s="673"/>
      <c r="E62" s="673"/>
      <c r="F62" s="673"/>
      <c r="G62" s="673"/>
      <c r="H62" s="673"/>
      <c r="I62" s="673"/>
      <c r="J62" s="673"/>
      <c r="K62" s="673"/>
      <c r="L62" s="673"/>
      <c r="M62" s="673"/>
      <c r="N62" s="673"/>
      <c r="O62" s="674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0</v>
      </c>
      <c r="Y62" s="665">
        <f>IFERROR(Y58/H58,"0")+IFERROR(Y59/H59,"0")+IFERROR(Y60/H60,"0")+IFERROR(Y61/H61,"0")</f>
        <v>0</v>
      </c>
      <c r="Z62" s="665">
        <f>IFERROR(IF(Z58="",0,Z58),"0")+IFERROR(IF(Z59="",0,Z59),"0")+IFERROR(IF(Z60="",0,Z60),"0")+IFERROR(IF(Z61="",0,Z61),"0")</f>
        <v>0</v>
      </c>
      <c r="AA62" s="666"/>
      <c r="AB62" s="666"/>
      <c r="AC62" s="666"/>
    </row>
    <row r="63" spans="1:68" hidden="1" x14ac:dyDescent="0.2">
      <c r="A63" s="673"/>
      <c r="B63" s="673"/>
      <c r="C63" s="673"/>
      <c r="D63" s="673"/>
      <c r="E63" s="673"/>
      <c r="F63" s="673"/>
      <c r="G63" s="673"/>
      <c r="H63" s="673"/>
      <c r="I63" s="673"/>
      <c r="J63" s="673"/>
      <c r="K63" s="673"/>
      <c r="L63" s="673"/>
      <c r="M63" s="673"/>
      <c r="N63" s="673"/>
      <c r="O63" s="674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0</v>
      </c>
      <c r="Y63" s="665">
        <f>IFERROR(SUM(Y58:Y61),"0")</f>
        <v>0</v>
      </c>
      <c r="Z63" s="37"/>
      <c r="AA63" s="666"/>
      <c r="AB63" s="666"/>
      <c r="AC63" s="666"/>
    </row>
    <row r="64" spans="1:68" ht="14.25" hidden="1" customHeight="1" x14ac:dyDescent="0.25">
      <c r="A64" s="679" t="s">
        <v>144</v>
      </c>
      <c r="B64" s="673"/>
      <c r="C64" s="673"/>
      <c r="D64" s="673"/>
      <c r="E64" s="673"/>
      <c r="F64" s="673"/>
      <c r="G64" s="673"/>
      <c r="H64" s="673"/>
      <c r="I64" s="673"/>
      <c r="J64" s="673"/>
      <c r="K64" s="673"/>
      <c r="L64" s="673"/>
      <c r="M64" s="673"/>
      <c r="N64" s="673"/>
      <c r="O64" s="673"/>
      <c r="P64" s="673"/>
      <c r="Q64" s="673"/>
      <c r="R64" s="673"/>
      <c r="S64" s="673"/>
      <c r="T64" s="673"/>
      <c r="U64" s="673"/>
      <c r="V64" s="673"/>
      <c r="W64" s="673"/>
      <c r="X64" s="673"/>
      <c r="Y64" s="673"/>
      <c r="Z64" s="673"/>
      <c r="AA64" s="659"/>
      <c r="AB64" s="659"/>
      <c r="AC64" s="659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75">
        <v>4680115885073</v>
      </c>
      <c r="E65" s="676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3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68"/>
      <c r="R65" s="668"/>
      <c r="S65" s="668"/>
      <c r="T65" s="669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75">
        <v>4680115885059</v>
      </c>
      <c r="E66" s="676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68"/>
      <c r="R66" s="668"/>
      <c r="S66" s="668"/>
      <c r="T66" s="669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75">
        <v>4680115885097</v>
      </c>
      <c r="E67" s="676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68"/>
      <c r="R67" s="668"/>
      <c r="S67" s="668"/>
      <c r="T67" s="669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2"/>
      <c r="B68" s="673"/>
      <c r="C68" s="673"/>
      <c r="D68" s="673"/>
      <c r="E68" s="673"/>
      <c r="F68" s="673"/>
      <c r="G68" s="673"/>
      <c r="H68" s="673"/>
      <c r="I68" s="673"/>
      <c r="J68" s="673"/>
      <c r="K68" s="673"/>
      <c r="L68" s="673"/>
      <c r="M68" s="673"/>
      <c r="N68" s="673"/>
      <c r="O68" s="674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3"/>
      <c r="B69" s="673"/>
      <c r="C69" s="673"/>
      <c r="D69" s="673"/>
      <c r="E69" s="673"/>
      <c r="F69" s="673"/>
      <c r="G69" s="673"/>
      <c r="H69" s="673"/>
      <c r="I69" s="673"/>
      <c r="J69" s="673"/>
      <c r="K69" s="673"/>
      <c r="L69" s="673"/>
      <c r="M69" s="673"/>
      <c r="N69" s="673"/>
      <c r="O69" s="674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79" t="s">
        <v>63</v>
      </c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3"/>
      <c r="P70" s="673"/>
      <c r="Q70" s="673"/>
      <c r="R70" s="673"/>
      <c r="S70" s="673"/>
      <c r="T70" s="673"/>
      <c r="U70" s="673"/>
      <c r="V70" s="673"/>
      <c r="W70" s="673"/>
      <c r="X70" s="673"/>
      <c r="Y70" s="673"/>
      <c r="Z70" s="673"/>
      <c r="AA70" s="659"/>
      <c r="AB70" s="659"/>
      <c r="AC70" s="659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75">
        <v>4680115881891</v>
      </c>
      <c r="E71" s="676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3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68"/>
      <c r="R71" s="668"/>
      <c r="S71" s="668"/>
      <c r="T71" s="669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75">
        <v>4680115885769</v>
      </c>
      <c r="E72" s="676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2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68"/>
      <c r="R72" s="668"/>
      <c r="S72" s="668"/>
      <c r="T72" s="669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75">
        <v>4680115884410</v>
      </c>
      <c r="E73" s="676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68"/>
      <c r="R73" s="668"/>
      <c r="S73" s="668"/>
      <c r="T73" s="669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75">
        <v>4680115884311</v>
      </c>
      <c r="E74" s="676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68"/>
      <c r="R74" s="668"/>
      <c r="S74" s="668"/>
      <c r="T74" s="669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75">
        <v>4680115885929</v>
      </c>
      <c r="E75" s="676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68"/>
      <c r="R75" s="668"/>
      <c r="S75" s="668"/>
      <c r="T75" s="669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75">
        <v>4680115884403</v>
      </c>
      <c r="E76" s="676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68"/>
      <c r="R76" s="668"/>
      <c r="S76" s="668"/>
      <c r="T76" s="669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2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hidden="1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hidden="1" customHeight="1" x14ac:dyDescent="0.25">
      <c r="A79" s="679" t="s">
        <v>170</v>
      </c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73"/>
      <c r="M79" s="673"/>
      <c r="N79" s="673"/>
      <c r="O79" s="673"/>
      <c r="P79" s="673"/>
      <c r="Q79" s="673"/>
      <c r="R79" s="673"/>
      <c r="S79" s="673"/>
      <c r="T79" s="673"/>
      <c r="U79" s="673"/>
      <c r="V79" s="673"/>
      <c r="W79" s="673"/>
      <c r="X79" s="673"/>
      <c r="Y79" s="673"/>
      <c r="Z79" s="673"/>
      <c r="AA79" s="659"/>
      <c r="AB79" s="659"/>
      <c r="AC79" s="659"/>
    </row>
    <row r="80" spans="1:68" ht="37.5" hidden="1" customHeight="1" x14ac:dyDescent="0.25">
      <c r="A80" s="54" t="s">
        <v>171</v>
      </c>
      <c r="B80" s="54" t="s">
        <v>172</v>
      </c>
      <c r="C80" s="31">
        <v>4301060371</v>
      </c>
      <c r="D80" s="675">
        <v>4680115881532</v>
      </c>
      <c r="E80" s="676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68"/>
      <c r="R80" s="668"/>
      <c r="S80" s="668"/>
      <c r="T80" s="669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4301060366</v>
      </c>
      <c r="D81" s="675">
        <v>4680115881532</v>
      </c>
      <c r="E81" s="676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68"/>
      <c r="R81" s="668"/>
      <c r="S81" s="668"/>
      <c r="T81" s="669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75">
        <v>4680115881464</v>
      </c>
      <c r="E82" s="676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2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hidden="1" x14ac:dyDescent="0.2">
      <c r="A84" s="673"/>
      <c r="B84" s="673"/>
      <c r="C84" s="673"/>
      <c r="D84" s="673"/>
      <c r="E84" s="673"/>
      <c r="F84" s="673"/>
      <c r="G84" s="673"/>
      <c r="H84" s="673"/>
      <c r="I84" s="673"/>
      <c r="J84" s="673"/>
      <c r="K84" s="673"/>
      <c r="L84" s="673"/>
      <c r="M84" s="673"/>
      <c r="N84" s="673"/>
      <c r="O84" s="674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hidden="1" customHeight="1" x14ac:dyDescent="0.25">
      <c r="A85" s="716" t="s">
        <v>178</v>
      </c>
      <c r="B85" s="673"/>
      <c r="C85" s="673"/>
      <c r="D85" s="673"/>
      <c r="E85" s="673"/>
      <c r="F85" s="673"/>
      <c r="G85" s="673"/>
      <c r="H85" s="673"/>
      <c r="I85" s="673"/>
      <c r="J85" s="673"/>
      <c r="K85" s="673"/>
      <c r="L85" s="673"/>
      <c r="M85" s="673"/>
      <c r="N85" s="673"/>
      <c r="O85" s="673"/>
      <c r="P85" s="673"/>
      <c r="Q85" s="673"/>
      <c r="R85" s="673"/>
      <c r="S85" s="673"/>
      <c r="T85" s="673"/>
      <c r="U85" s="673"/>
      <c r="V85" s="673"/>
      <c r="W85" s="673"/>
      <c r="X85" s="673"/>
      <c r="Y85" s="673"/>
      <c r="Z85" s="673"/>
      <c r="AA85" s="658"/>
      <c r="AB85" s="658"/>
      <c r="AC85" s="658"/>
    </row>
    <row r="86" spans="1:68" ht="14.25" hidden="1" customHeight="1" x14ac:dyDescent="0.25">
      <c r="A86" s="679" t="s">
        <v>97</v>
      </c>
      <c r="B86" s="673"/>
      <c r="C86" s="673"/>
      <c r="D86" s="673"/>
      <c r="E86" s="673"/>
      <c r="F86" s="673"/>
      <c r="G86" s="673"/>
      <c r="H86" s="673"/>
      <c r="I86" s="673"/>
      <c r="J86" s="673"/>
      <c r="K86" s="673"/>
      <c r="L86" s="673"/>
      <c r="M86" s="673"/>
      <c r="N86" s="673"/>
      <c r="O86" s="673"/>
      <c r="P86" s="673"/>
      <c r="Q86" s="673"/>
      <c r="R86" s="673"/>
      <c r="S86" s="673"/>
      <c r="T86" s="673"/>
      <c r="U86" s="673"/>
      <c r="V86" s="673"/>
      <c r="W86" s="673"/>
      <c r="X86" s="673"/>
      <c r="Y86" s="673"/>
      <c r="Z86" s="673"/>
      <c r="AA86" s="659"/>
      <c r="AB86" s="659"/>
      <c r="AC86" s="659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75">
        <v>4680115881327</v>
      </c>
      <c r="E87" s="676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4"/>
      <c r="V87" s="34"/>
      <c r="W87" s="35" t="s">
        <v>68</v>
      </c>
      <c r="X87" s="663">
        <v>45</v>
      </c>
      <c r="Y87" s="664">
        <f>IFERROR(IF(X87="",0,CEILING((X87/$H87),1)*$H87),"")</f>
        <v>54</v>
      </c>
      <c r="Z87" s="36">
        <f>IFERROR(IF(Y87=0,"",ROUNDUP(Y87/H87,0)*0.01898),"")</f>
        <v>9.4899999999999998E-2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46.812499999999993</v>
      </c>
      <c r="BN87" s="64">
        <f>IFERROR(Y87*I87/H87,"0")</f>
        <v>56.17499999999999</v>
      </c>
      <c r="BO87" s="64">
        <f>IFERROR(1/J87*(X87/H87),"0")</f>
        <v>6.5104166666666657E-2</v>
      </c>
      <c r="BP87" s="64">
        <f>IFERROR(1/J87*(Y87/H87),"0")</f>
        <v>7.8125E-2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75">
        <v>4680115881518</v>
      </c>
      <c r="E88" s="676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675">
        <v>4680115881303</v>
      </c>
      <c r="E89" s="676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2"/>
      <c r="B90" s="673"/>
      <c r="C90" s="673"/>
      <c r="D90" s="673"/>
      <c r="E90" s="673"/>
      <c r="F90" s="673"/>
      <c r="G90" s="673"/>
      <c r="H90" s="673"/>
      <c r="I90" s="673"/>
      <c r="J90" s="673"/>
      <c r="K90" s="673"/>
      <c r="L90" s="673"/>
      <c r="M90" s="673"/>
      <c r="N90" s="673"/>
      <c r="O90" s="674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4.1666666666666661</v>
      </c>
      <c r="Y90" s="665">
        <f>IFERROR(Y87/H87,"0")+IFERROR(Y88/H88,"0")+IFERROR(Y89/H89,"0")</f>
        <v>5</v>
      </c>
      <c r="Z90" s="665">
        <f>IFERROR(IF(Z87="",0,Z87),"0")+IFERROR(IF(Z88="",0,Z88),"0")+IFERROR(IF(Z89="",0,Z89),"0")</f>
        <v>9.4899999999999998E-2</v>
      </c>
      <c r="AA90" s="666"/>
      <c r="AB90" s="666"/>
      <c r="AC90" s="666"/>
    </row>
    <row r="91" spans="1:68" x14ac:dyDescent="0.2">
      <c r="A91" s="673"/>
      <c r="B91" s="673"/>
      <c r="C91" s="673"/>
      <c r="D91" s="673"/>
      <c r="E91" s="673"/>
      <c r="F91" s="673"/>
      <c r="G91" s="673"/>
      <c r="H91" s="673"/>
      <c r="I91" s="673"/>
      <c r="J91" s="673"/>
      <c r="K91" s="673"/>
      <c r="L91" s="673"/>
      <c r="M91" s="673"/>
      <c r="N91" s="673"/>
      <c r="O91" s="674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45</v>
      </c>
      <c r="Y91" s="665">
        <f>IFERROR(SUM(Y87:Y89),"0")</f>
        <v>54</v>
      </c>
      <c r="Z91" s="37"/>
      <c r="AA91" s="666"/>
      <c r="AB91" s="666"/>
      <c r="AC91" s="666"/>
    </row>
    <row r="92" spans="1:68" ht="14.25" hidden="1" customHeight="1" x14ac:dyDescent="0.25">
      <c r="A92" s="679" t="s">
        <v>63</v>
      </c>
      <c r="B92" s="673"/>
      <c r="C92" s="673"/>
      <c r="D92" s="673"/>
      <c r="E92" s="673"/>
      <c r="F92" s="673"/>
      <c r="G92" s="673"/>
      <c r="H92" s="673"/>
      <c r="I92" s="673"/>
      <c r="J92" s="673"/>
      <c r="K92" s="673"/>
      <c r="L92" s="673"/>
      <c r="M92" s="673"/>
      <c r="N92" s="673"/>
      <c r="O92" s="673"/>
      <c r="P92" s="673"/>
      <c r="Q92" s="673"/>
      <c r="R92" s="673"/>
      <c r="S92" s="673"/>
      <c r="T92" s="673"/>
      <c r="U92" s="673"/>
      <c r="V92" s="673"/>
      <c r="W92" s="673"/>
      <c r="X92" s="673"/>
      <c r="Y92" s="673"/>
      <c r="Z92" s="673"/>
      <c r="AA92" s="659"/>
      <c r="AB92" s="659"/>
      <c r="AC92" s="659"/>
    </row>
    <row r="93" spans="1:68" ht="16.5" hidden="1" customHeight="1" x14ac:dyDescent="0.25">
      <c r="A93" s="54" t="s">
        <v>187</v>
      </c>
      <c r="B93" s="54" t="s">
        <v>188</v>
      </c>
      <c r="C93" s="31">
        <v>4301051712</v>
      </c>
      <c r="D93" s="675">
        <v>4607091386967</v>
      </c>
      <c r="E93" s="676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24" t="s">
        <v>189</v>
      </c>
      <c r="Q93" s="668"/>
      <c r="R93" s="668"/>
      <c r="S93" s="668"/>
      <c r="T93" s="669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75">
        <v>4607091386967</v>
      </c>
      <c r="E94" s="676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68"/>
      <c r="R94" s="668"/>
      <c r="S94" s="668"/>
      <c r="T94" s="669"/>
      <c r="U94" s="34"/>
      <c r="V94" s="34"/>
      <c r="W94" s="35" t="s">
        <v>68</v>
      </c>
      <c r="X94" s="663">
        <v>26</v>
      </c>
      <c r="Y94" s="664">
        <f t="shared" si="16"/>
        <v>33.6</v>
      </c>
      <c r="Z94" s="36">
        <f>IFERROR(IF(Y94=0,"",ROUNDUP(Y94/H94,0)*0.01898),"")</f>
        <v>7.5920000000000001E-2</v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27.60642857142857</v>
      </c>
      <c r="BN94" s="64">
        <f t="shared" si="18"/>
        <v>35.676000000000002</v>
      </c>
      <c r="BO94" s="64">
        <f t="shared" si="19"/>
        <v>4.8363095238095233E-2</v>
      </c>
      <c r="BP94" s="64">
        <f t="shared" si="20"/>
        <v>6.25E-2</v>
      </c>
    </row>
    <row r="95" spans="1:68" ht="27" hidden="1" customHeight="1" x14ac:dyDescent="0.25">
      <c r="A95" s="54" t="s">
        <v>187</v>
      </c>
      <c r="B95" s="54" t="s">
        <v>193</v>
      </c>
      <c r="C95" s="31">
        <v>4301051437</v>
      </c>
      <c r="D95" s="675">
        <v>4607091386967</v>
      </c>
      <c r="E95" s="676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19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68"/>
      <c r="R95" s="668"/>
      <c r="S95" s="668"/>
      <c r="T95" s="669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75">
        <v>4680115884953</v>
      </c>
      <c r="E96" s="676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849" t="s">
        <v>196</v>
      </c>
      <c r="Q96" s="668"/>
      <c r="R96" s="668"/>
      <c r="S96" s="668"/>
      <c r="T96" s="669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75">
        <v>4607091385731</v>
      </c>
      <c r="E97" s="676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7" t="s">
        <v>200</v>
      </c>
      <c r="Q97" s="668"/>
      <c r="R97" s="668"/>
      <c r="S97" s="668"/>
      <c r="T97" s="669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75">
        <v>4607091385731</v>
      </c>
      <c r="E98" s="676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8" t="s">
        <v>202</v>
      </c>
      <c r="Q98" s="668"/>
      <c r="R98" s="668"/>
      <c r="S98" s="668"/>
      <c r="T98" s="669"/>
      <c r="U98" s="34"/>
      <c r="V98" s="34"/>
      <c r="W98" s="35" t="s">
        <v>68</v>
      </c>
      <c r="X98" s="663">
        <v>13</v>
      </c>
      <c r="Y98" s="664">
        <f t="shared" si="16"/>
        <v>13.5</v>
      </c>
      <c r="Z98" s="36">
        <f>IFERROR(IF(Y98=0,"",ROUNDUP(Y98/H98,0)*0.00651),"")</f>
        <v>3.2550000000000003E-2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14.213333333333331</v>
      </c>
      <c r="BN98" s="64">
        <f t="shared" si="18"/>
        <v>14.759999999999998</v>
      </c>
      <c r="BO98" s="64">
        <f t="shared" si="19"/>
        <v>2.6455026455026457E-2</v>
      </c>
      <c r="BP98" s="64">
        <f t="shared" si="20"/>
        <v>2.7472527472527476E-2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75">
        <v>4680115880894</v>
      </c>
      <c r="E99" s="676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68"/>
      <c r="R99" s="668"/>
      <c r="S99" s="668"/>
      <c r="T99" s="669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4301051687</v>
      </c>
      <c r="D100" s="675">
        <v>4680115880214</v>
      </c>
      <c r="E100" s="676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30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68"/>
      <c r="R100" s="668"/>
      <c r="S100" s="668"/>
      <c r="T100" s="669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4301051439</v>
      </c>
      <c r="D101" s="675">
        <v>4680115880214</v>
      </c>
      <c r="E101" s="676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7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68"/>
      <c r="R101" s="668"/>
      <c r="S101" s="668"/>
      <c r="T101" s="669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2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7.9100529100529098</v>
      </c>
      <c r="Y102" s="665">
        <f>IFERROR(Y93/H93,"0")+IFERROR(Y94/H94,"0")+IFERROR(Y95/H95,"0")+IFERROR(Y96/H96,"0")+IFERROR(Y97/H97,"0")+IFERROR(Y98/H98,"0")+IFERROR(Y99/H99,"0")+IFERROR(Y100/H100,"0")+IFERROR(Y101/H101,"0")</f>
        <v>9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0.10847000000000001</v>
      </c>
      <c r="AA102" s="666"/>
      <c r="AB102" s="666"/>
      <c r="AC102" s="666"/>
    </row>
    <row r="103" spans="1:68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39</v>
      </c>
      <c r="Y103" s="665">
        <f>IFERROR(SUM(Y93:Y101),"0")</f>
        <v>47.1</v>
      </c>
      <c r="Z103" s="37"/>
      <c r="AA103" s="666"/>
      <c r="AB103" s="666"/>
      <c r="AC103" s="666"/>
    </row>
    <row r="104" spans="1:68" ht="16.5" hidden="1" customHeight="1" x14ac:dyDescent="0.25">
      <c r="A104" s="716" t="s">
        <v>209</v>
      </c>
      <c r="B104" s="673"/>
      <c r="C104" s="673"/>
      <c r="D104" s="673"/>
      <c r="E104" s="673"/>
      <c r="F104" s="673"/>
      <c r="G104" s="673"/>
      <c r="H104" s="673"/>
      <c r="I104" s="673"/>
      <c r="J104" s="673"/>
      <c r="K104" s="673"/>
      <c r="L104" s="673"/>
      <c r="M104" s="673"/>
      <c r="N104" s="673"/>
      <c r="O104" s="673"/>
      <c r="P104" s="673"/>
      <c r="Q104" s="673"/>
      <c r="R104" s="673"/>
      <c r="S104" s="673"/>
      <c r="T104" s="673"/>
      <c r="U104" s="673"/>
      <c r="V104" s="673"/>
      <c r="W104" s="673"/>
      <c r="X104" s="673"/>
      <c r="Y104" s="673"/>
      <c r="Z104" s="673"/>
      <c r="AA104" s="658"/>
      <c r="AB104" s="658"/>
      <c r="AC104" s="658"/>
    </row>
    <row r="105" spans="1:68" ht="14.25" hidden="1" customHeight="1" x14ac:dyDescent="0.25">
      <c r="A105" s="679" t="s">
        <v>97</v>
      </c>
      <c r="B105" s="673"/>
      <c r="C105" s="673"/>
      <c r="D105" s="673"/>
      <c r="E105" s="673"/>
      <c r="F105" s="673"/>
      <c r="G105" s="673"/>
      <c r="H105" s="673"/>
      <c r="I105" s="673"/>
      <c r="J105" s="673"/>
      <c r="K105" s="673"/>
      <c r="L105" s="673"/>
      <c r="M105" s="673"/>
      <c r="N105" s="673"/>
      <c r="O105" s="673"/>
      <c r="P105" s="673"/>
      <c r="Q105" s="673"/>
      <c r="R105" s="673"/>
      <c r="S105" s="673"/>
      <c r="T105" s="673"/>
      <c r="U105" s="673"/>
      <c r="V105" s="673"/>
      <c r="W105" s="673"/>
      <c r="X105" s="673"/>
      <c r="Y105" s="673"/>
      <c r="Z105" s="673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75">
        <v>4680115882133</v>
      </c>
      <c r="E106" s="676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8"/>
      <c r="R106" s="668"/>
      <c r="S106" s="668"/>
      <c r="T106" s="669"/>
      <c r="U106" s="34"/>
      <c r="V106" s="34"/>
      <c r="W106" s="35" t="s">
        <v>68</v>
      </c>
      <c r="X106" s="663">
        <v>55</v>
      </c>
      <c r="Y106" s="664">
        <f>IFERROR(IF(X106="",0,CEILING((X106/$H106),1)*$H106),"")</f>
        <v>64.800000000000011</v>
      </c>
      <c r="Z106" s="36">
        <f>IFERROR(IF(Y106=0,"",ROUNDUP(Y106/H106,0)*0.01898),"")</f>
        <v>0.11388000000000001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57.215277777777771</v>
      </c>
      <c r="BN106" s="64">
        <f>IFERROR(Y106*I106/H106,"0")</f>
        <v>67.410000000000011</v>
      </c>
      <c r="BO106" s="64">
        <f>IFERROR(1/J106*(X106/H106),"0")</f>
        <v>7.9571759259259259E-2</v>
      </c>
      <c r="BP106" s="64">
        <f>IFERROR(1/J106*(Y106/H106),"0")</f>
        <v>9.3750000000000014E-2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75">
        <v>4680115880269</v>
      </c>
      <c r="E107" s="676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75">
        <v>4680115880429</v>
      </c>
      <c r="E108" s="676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4"/>
      <c r="V108" s="34"/>
      <c r="W108" s="35" t="s">
        <v>68</v>
      </c>
      <c r="X108" s="663">
        <v>10</v>
      </c>
      <c r="Y108" s="664">
        <f>IFERROR(IF(X108="",0,CEILING((X108/$H108),1)*$H108),"")</f>
        <v>13.5</v>
      </c>
      <c r="Z108" s="36">
        <f>IFERROR(IF(Y108=0,"",ROUNDUP(Y108/H108,0)*0.00902),"")</f>
        <v>2.7060000000000001E-2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10.466666666666667</v>
      </c>
      <c r="BN108" s="64">
        <f>IFERROR(Y108*I108/H108,"0")</f>
        <v>14.13</v>
      </c>
      <c r="BO108" s="64">
        <f>IFERROR(1/J108*(X108/H108),"0")</f>
        <v>1.6835016835016835E-2</v>
      </c>
      <c r="BP108" s="64">
        <f>IFERROR(1/J108*(Y108/H108),"0")</f>
        <v>2.2727272727272728E-2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75">
        <v>4680115881457</v>
      </c>
      <c r="E109" s="676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2"/>
      <c r="B110" s="673"/>
      <c r="C110" s="673"/>
      <c r="D110" s="673"/>
      <c r="E110" s="673"/>
      <c r="F110" s="673"/>
      <c r="G110" s="673"/>
      <c r="H110" s="673"/>
      <c r="I110" s="673"/>
      <c r="J110" s="673"/>
      <c r="K110" s="673"/>
      <c r="L110" s="673"/>
      <c r="M110" s="673"/>
      <c r="N110" s="673"/>
      <c r="O110" s="674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7.3148148148148149</v>
      </c>
      <c r="Y110" s="665">
        <f>IFERROR(Y106/H106,"0")+IFERROR(Y107/H107,"0")+IFERROR(Y108/H108,"0")+IFERROR(Y109/H109,"0")</f>
        <v>9</v>
      </c>
      <c r="Z110" s="665">
        <f>IFERROR(IF(Z106="",0,Z106),"0")+IFERROR(IF(Z107="",0,Z107),"0")+IFERROR(IF(Z108="",0,Z108),"0")+IFERROR(IF(Z109="",0,Z109),"0")</f>
        <v>0.14094000000000001</v>
      </c>
      <c r="AA110" s="666"/>
      <c r="AB110" s="666"/>
      <c r="AC110" s="666"/>
    </row>
    <row r="111" spans="1:68" x14ac:dyDescent="0.2">
      <c r="A111" s="673"/>
      <c r="B111" s="673"/>
      <c r="C111" s="673"/>
      <c r="D111" s="673"/>
      <c r="E111" s="673"/>
      <c r="F111" s="673"/>
      <c r="G111" s="673"/>
      <c r="H111" s="673"/>
      <c r="I111" s="673"/>
      <c r="J111" s="673"/>
      <c r="K111" s="673"/>
      <c r="L111" s="673"/>
      <c r="M111" s="673"/>
      <c r="N111" s="673"/>
      <c r="O111" s="674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65</v>
      </c>
      <c r="Y111" s="665">
        <f>IFERROR(SUM(Y106:Y109),"0")</f>
        <v>78.300000000000011</v>
      </c>
      <c r="Z111" s="37"/>
      <c r="AA111" s="666"/>
      <c r="AB111" s="666"/>
      <c r="AC111" s="666"/>
    </row>
    <row r="112" spans="1:68" ht="14.25" hidden="1" customHeight="1" x14ac:dyDescent="0.25">
      <c r="A112" s="679" t="s">
        <v>133</v>
      </c>
      <c r="B112" s="673"/>
      <c r="C112" s="673"/>
      <c r="D112" s="673"/>
      <c r="E112" s="673"/>
      <c r="F112" s="673"/>
      <c r="G112" s="673"/>
      <c r="H112" s="673"/>
      <c r="I112" s="673"/>
      <c r="J112" s="673"/>
      <c r="K112" s="673"/>
      <c r="L112" s="673"/>
      <c r="M112" s="673"/>
      <c r="N112" s="673"/>
      <c r="O112" s="673"/>
      <c r="P112" s="673"/>
      <c r="Q112" s="673"/>
      <c r="R112" s="673"/>
      <c r="S112" s="673"/>
      <c r="T112" s="673"/>
      <c r="U112" s="673"/>
      <c r="V112" s="673"/>
      <c r="W112" s="673"/>
      <c r="X112" s="673"/>
      <c r="Y112" s="673"/>
      <c r="Z112" s="673"/>
      <c r="AA112" s="659"/>
      <c r="AB112" s="659"/>
      <c r="AC112" s="659"/>
    </row>
    <row r="113" spans="1:68" ht="16.5" hidden="1" customHeight="1" x14ac:dyDescent="0.25">
      <c r="A113" s="54" t="s">
        <v>219</v>
      </c>
      <c r="B113" s="54" t="s">
        <v>220</v>
      </c>
      <c r="C113" s="31">
        <v>4301020345</v>
      </c>
      <c r="D113" s="675">
        <v>4680115881488</v>
      </c>
      <c r="E113" s="676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68"/>
      <c r="R113" s="668"/>
      <c r="S113" s="668"/>
      <c r="T113" s="669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75">
        <v>4680115882775</v>
      </c>
      <c r="E114" s="676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68"/>
      <c r="R114" s="668"/>
      <c r="S114" s="668"/>
      <c r="T114" s="669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75">
        <v>4680115880658</v>
      </c>
      <c r="E115" s="676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68"/>
      <c r="R115" s="668"/>
      <c r="S115" s="668"/>
      <c r="T115" s="669"/>
      <c r="U115" s="34"/>
      <c r="V115" s="34"/>
      <c r="W115" s="35" t="s">
        <v>68</v>
      </c>
      <c r="X115" s="663">
        <v>6</v>
      </c>
      <c r="Y115" s="664">
        <f>IFERROR(IF(X115="",0,CEILING((X115/$H115),1)*$H115),"")</f>
        <v>7.1999999999999993</v>
      </c>
      <c r="Z115" s="36">
        <f>IFERROR(IF(Y115=0,"",ROUNDUP(Y115/H115,0)*0.00651),"")</f>
        <v>1.9529999999999999E-2</v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6.45</v>
      </c>
      <c r="BN115" s="64">
        <f>IFERROR(Y115*I115/H115,"0")</f>
        <v>7.7399999999999993</v>
      </c>
      <c r="BO115" s="64">
        <f>IFERROR(1/J115*(X115/H115),"0")</f>
        <v>1.3736263736263738E-2</v>
      </c>
      <c r="BP115" s="64">
        <f>IFERROR(1/J115*(Y115/H115),"0")</f>
        <v>1.6483516483516484E-2</v>
      </c>
    </row>
    <row r="116" spans="1:68" x14ac:dyDescent="0.2">
      <c r="A116" s="672"/>
      <c r="B116" s="673"/>
      <c r="C116" s="673"/>
      <c r="D116" s="673"/>
      <c r="E116" s="673"/>
      <c r="F116" s="673"/>
      <c r="G116" s="673"/>
      <c r="H116" s="673"/>
      <c r="I116" s="673"/>
      <c r="J116" s="673"/>
      <c r="K116" s="673"/>
      <c r="L116" s="673"/>
      <c r="M116" s="673"/>
      <c r="N116" s="673"/>
      <c r="O116" s="674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2.5</v>
      </c>
      <c r="Y116" s="665">
        <f>IFERROR(Y113/H113,"0")+IFERROR(Y114/H114,"0")+IFERROR(Y115/H115,"0")</f>
        <v>3</v>
      </c>
      <c r="Z116" s="665">
        <f>IFERROR(IF(Z113="",0,Z113),"0")+IFERROR(IF(Z114="",0,Z114),"0")+IFERROR(IF(Z115="",0,Z115),"0")</f>
        <v>1.9529999999999999E-2</v>
      </c>
      <c r="AA116" s="666"/>
      <c r="AB116" s="666"/>
      <c r="AC116" s="666"/>
    </row>
    <row r="117" spans="1:68" x14ac:dyDescent="0.2">
      <c r="A117" s="673"/>
      <c r="B117" s="673"/>
      <c r="C117" s="673"/>
      <c r="D117" s="673"/>
      <c r="E117" s="673"/>
      <c r="F117" s="673"/>
      <c r="G117" s="673"/>
      <c r="H117" s="673"/>
      <c r="I117" s="673"/>
      <c r="J117" s="673"/>
      <c r="K117" s="673"/>
      <c r="L117" s="673"/>
      <c r="M117" s="673"/>
      <c r="N117" s="673"/>
      <c r="O117" s="674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6</v>
      </c>
      <c r="Y117" s="665">
        <f>IFERROR(SUM(Y113:Y115),"0")</f>
        <v>7.1999999999999993</v>
      </c>
      <c r="Z117" s="37"/>
      <c r="AA117" s="666"/>
      <c r="AB117" s="666"/>
      <c r="AC117" s="666"/>
    </row>
    <row r="118" spans="1:68" ht="14.25" hidden="1" customHeight="1" x14ac:dyDescent="0.25">
      <c r="A118" s="679" t="s">
        <v>63</v>
      </c>
      <c r="B118" s="673"/>
      <c r="C118" s="673"/>
      <c r="D118" s="673"/>
      <c r="E118" s="673"/>
      <c r="F118" s="673"/>
      <c r="G118" s="673"/>
      <c r="H118" s="673"/>
      <c r="I118" s="673"/>
      <c r="J118" s="673"/>
      <c r="K118" s="673"/>
      <c r="L118" s="673"/>
      <c r="M118" s="673"/>
      <c r="N118" s="673"/>
      <c r="O118" s="673"/>
      <c r="P118" s="673"/>
      <c r="Q118" s="673"/>
      <c r="R118" s="673"/>
      <c r="S118" s="673"/>
      <c r="T118" s="673"/>
      <c r="U118" s="673"/>
      <c r="V118" s="673"/>
      <c r="W118" s="673"/>
      <c r="X118" s="673"/>
      <c r="Y118" s="673"/>
      <c r="Z118" s="673"/>
      <c r="AA118" s="659"/>
      <c r="AB118" s="659"/>
      <c r="AC118" s="659"/>
    </row>
    <row r="119" spans="1:68" ht="16.5" hidden="1" customHeight="1" x14ac:dyDescent="0.25">
      <c r="A119" s="54" t="s">
        <v>226</v>
      </c>
      <c r="B119" s="54" t="s">
        <v>227</v>
      </c>
      <c r="C119" s="31">
        <v>4301051724</v>
      </c>
      <c r="D119" s="675">
        <v>4607091385168</v>
      </c>
      <c r="E119" s="676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791" t="s">
        <v>228</v>
      </c>
      <c r="Q119" s="668"/>
      <c r="R119" s="668"/>
      <c r="S119" s="668"/>
      <c r="T119" s="669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75">
        <v>4607091385168</v>
      </c>
      <c r="E120" s="676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68"/>
      <c r="R120" s="668"/>
      <c r="S120" s="668"/>
      <c r="T120" s="669"/>
      <c r="U120" s="34"/>
      <c r="V120" s="34"/>
      <c r="W120" s="35" t="s">
        <v>68</v>
      </c>
      <c r="X120" s="663">
        <v>24</v>
      </c>
      <c r="Y120" s="664">
        <f t="shared" si="21"/>
        <v>25.200000000000003</v>
      </c>
      <c r="Z120" s="36">
        <f>IFERROR(IF(Y120=0,"",ROUNDUP(Y120/H120,0)*0.01898),"")</f>
        <v>5.6940000000000004E-2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25.465714285714284</v>
      </c>
      <c r="BN120" s="64">
        <f t="shared" si="23"/>
        <v>26.739000000000001</v>
      </c>
      <c r="BO120" s="64">
        <f t="shared" si="24"/>
        <v>4.4642857142857144E-2</v>
      </c>
      <c r="BP120" s="64">
        <f t="shared" si="25"/>
        <v>4.6875E-2</v>
      </c>
    </row>
    <row r="121" spans="1:68" ht="37.5" hidden="1" customHeight="1" x14ac:dyDescent="0.25">
      <c r="A121" s="54" t="s">
        <v>226</v>
      </c>
      <c r="B121" s="54" t="s">
        <v>232</v>
      </c>
      <c r="C121" s="31">
        <v>4301051360</v>
      </c>
      <c r="D121" s="675">
        <v>4607091385168</v>
      </c>
      <c r="E121" s="676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1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68"/>
      <c r="R121" s="668"/>
      <c r="S121" s="668"/>
      <c r="T121" s="669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75">
        <v>4607091383256</v>
      </c>
      <c r="E122" s="676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5" t="s">
        <v>236</v>
      </c>
      <c r="Q122" s="668"/>
      <c r="R122" s="668"/>
      <c r="S122" s="668"/>
      <c r="T122" s="669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234</v>
      </c>
      <c r="B123" s="54" t="s">
        <v>237</v>
      </c>
      <c r="C123" s="31">
        <v>4301051362</v>
      </c>
      <c r="D123" s="675">
        <v>4607091383256</v>
      </c>
      <c r="E123" s="676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21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68"/>
      <c r="R123" s="668"/>
      <c r="S123" s="668"/>
      <c r="T123" s="669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238</v>
      </c>
      <c r="B124" s="54" t="s">
        <v>239</v>
      </c>
      <c r="C124" s="31">
        <v>4301051721</v>
      </c>
      <c r="D124" s="675">
        <v>4607091385748</v>
      </c>
      <c r="E124" s="676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42" t="s">
        <v>240</v>
      </c>
      <c r="Q124" s="668"/>
      <c r="R124" s="668"/>
      <c r="S124" s="668"/>
      <c r="T124" s="669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75">
        <v>4607091385748</v>
      </c>
      <c r="E125" s="676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8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68"/>
      <c r="R125" s="668"/>
      <c r="S125" s="668"/>
      <c r="T125" s="669"/>
      <c r="U125" s="34"/>
      <c r="V125" s="34"/>
      <c r="W125" s="35" t="s">
        <v>68</v>
      </c>
      <c r="X125" s="663">
        <v>8</v>
      </c>
      <c r="Y125" s="664">
        <f t="shared" si="21"/>
        <v>8.1000000000000014</v>
      </c>
      <c r="Z125" s="36">
        <f t="shared" si="26"/>
        <v>1.9529999999999999E-2</v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8.7466666666666661</v>
      </c>
      <c r="BN125" s="64">
        <f t="shared" si="23"/>
        <v>8.8560000000000016</v>
      </c>
      <c r="BO125" s="64">
        <f t="shared" si="24"/>
        <v>1.6280016280016279E-2</v>
      </c>
      <c r="BP125" s="64">
        <f t="shared" si="25"/>
        <v>1.6483516483516487E-2</v>
      </c>
    </row>
    <row r="126" spans="1:68" ht="27" hidden="1" customHeight="1" x14ac:dyDescent="0.25">
      <c r="A126" s="54" t="s">
        <v>242</v>
      </c>
      <c r="B126" s="54" t="s">
        <v>243</v>
      </c>
      <c r="C126" s="31">
        <v>4301051740</v>
      </c>
      <c r="D126" s="675">
        <v>4680115884533</v>
      </c>
      <c r="E126" s="676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68"/>
      <c r="R126" s="668"/>
      <c r="S126" s="668"/>
      <c r="T126" s="669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245</v>
      </c>
      <c r="B127" s="54" t="s">
        <v>246</v>
      </c>
      <c r="C127" s="31">
        <v>4301051480</v>
      </c>
      <c r="D127" s="675">
        <v>4680115882645</v>
      </c>
      <c r="E127" s="676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68"/>
      <c r="R127" s="668"/>
      <c r="S127" s="668"/>
      <c r="T127" s="669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2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5.8201058201058196</v>
      </c>
      <c r="Y128" s="665">
        <f>IFERROR(Y119/H119,"0")+IFERROR(Y120/H120,"0")+IFERROR(Y121/H121,"0")+IFERROR(Y122/H122,"0")+IFERROR(Y123/H123,"0")+IFERROR(Y124/H124,"0")+IFERROR(Y125/H125,"0")+IFERROR(Y126/H126,"0")+IFERROR(Y127/H127,"0")</f>
        <v>6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7.647000000000001E-2</v>
      </c>
      <c r="AA128" s="666"/>
      <c r="AB128" s="666"/>
      <c r="AC128" s="666"/>
    </row>
    <row r="129" spans="1:68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32</v>
      </c>
      <c r="Y129" s="665">
        <f>IFERROR(SUM(Y119:Y127),"0")</f>
        <v>33.300000000000004</v>
      </c>
      <c r="Z129" s="37"/>
      <c r="AA129" s="666"/>
      <c r="AB129" s="666"/>
      <c r="AC129" s="666"/>
    </row>
    <row r="130" spans="1:68" ht="14.25" hidden="1" customHeight="1" x14ac:dyDescent="0.25">
      <c r="A130" s="679" t="s">
        <v>170</v>
      </c>
      <c r="B130" s="673"/>
      <c r="C130" s="673"/>
      <c r="D130" s="673"/>
      <c r="E130" s="673"/>
      <c r="F130" s="673"/>
      <c r="G130" s="673"/>
      <c r="H130" s="673"/>
      <c r="I130" s="673"/>
      <c r="J130" s="673"/>
      <c r="K130" s="673"/>
      <c r="L130" s="673"/>
      <c r="M130" s="673"/>
      <c r="N130" s="673"/>
      <c r="O130" s="673"/>
      <c r="P130" s="673"/>
      <c r="Q130" s="673"/>
      <c r="R130" s="673"/>
      <c r="S130" s="673"/>
      <c r="T130" s="673"/>
      <c r="U130" s="673"/>
      <c r="V130" s="673"/>
      <c r="W130" s="673"/>
      <c r="X130" s="673"/>
      <c r="Y130" s="673"/>
      <c r="Z130" s="673"/>
      <c r="AA130" s="659"/>
      <c r="AB130" s="659"/>
      <c r="AC130" s="659"/>
    </row>
    <row r="131" spans="1:68" ht="37.5" hidden="1" customHeight="1" x14ac:dyDescent="0.25">
      <c r="A131" s="54" t="s">
        <v>248</v>
      </c>
      <c r="B131" s="54" t="s">
        <v>249</v>
      </c>
      <c r="C131" s="31">
        <v>4301060356</v>
      </c>
      <c r="D131" s="675">
        <v>4680115882652</v>
      </c>
      <c r="E131" s="676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9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68"/>
      <c r="R131" s="668"/>
      <c r="S131" s="668"/>
      <c r="T131" s="669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251</v>
      </c>
      <c r="B132" s="54" t="s">
        <v>252</v>
      </c>
      <c r="C132" s="31">
        <v>4301060317</v>
      </c>
      <c r="D132" s="675">
        <v>4680115880238</v>
      </c>
      <c r="E132" s="676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2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3"/>
      <c r="B134" s="673"/>
      <c r="C134" s="673"/>
      <c r="D134" s="673"/>
      <c r="E134" s="673"/>
      <c r="F134" s="673"/>
      <c r="G134" s="673"/>
      <c r="H134" s="673"/>
      <c r="I134" s="673"/>
      <c r="J134" s="673"/>
      <c r="K134" s="673"/>
      <c r="L134" s="673"/>
      <c r="M134" s="673"/>
      <c r="N134" s="673"/>
      <c r="O134" s="674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716" t="s">
        <v>254</v>
      </c>
      <c r="B135" s="673"/>
      <c r="C135" s="673"/>
      <c r="D135" s="673"/>
      <c r="E135" s="673"/>
      <c r="F135" s="673"/>
      <c r="G135" s="673"/>
      <c r="H135" s="673"/>
      <c r="I135" s="673"/>
      <c r="J135" s="673"/>
      <c r="K135" s="673"/>
      <c r="L135" s="673"/>
      <c r="M135" s="673"/>
      <c r="N135" s="673"/>
      <c r="O135" s="673"/>
      <c r="P135" s="673"/>
      <c r="Q135" s="673"/>
      <c r="R135" s="673"/>
      <c r="S135" s="673"/>
      <c r="T135" s="673"/>
      <c r="U135" s="673"/>
      <c r="V135" s="673"/>
      <c r="W135" s="673"/>
      <c r="X135" s="673"/>
      <c r="Y135" s="673"/>
      <c r="Z135" s="673"/>
      <c r="AA135" s="658"/>
      <c r="AB135" s="658"/>
      <c r="AC135" s="658"/>
    </row>
    <row r="136" spans="1:68" ht="14.25" hidden="1" customHeight="1" x14ac:dyDescent="0.25">
      <c r="A136" s="679" t="s">
        <v>97</v>
      </c>
      <c r="B136" s="673"/>
      <c r="C136" s="673"/>
      <c r="D136" s="673"/>
      <c r="E136" s="673"/>
      <c r="F136" s="673"/>
      <c r="G136" s="673"/>
      <c r="H136" s="673"/>
      <c r="I136" s="673"/>
      <c r="J136" s="673"/>
      <c r="K136" s="673"/>
      <c r="L136" s="673"/>
      <c r="M136" s="673"/>
      <c r="N136" s="673"/>
      <c r="O136" s="673"/>
      <c r="P136" s="673"/>
      <c r="Q136" s="673"/>
      <c r="R136" s="673"/>
      <c r="S136" s="673"/>
      <c r="T136" s="673"/>
      <c r="U136" s="673"/>
      <c r="V136" s="673"/>
      <c r="W136" s="673"/>
      <c r="X136" s="673"/>
      <c r="Y136" s="673"/>
      <c r="Z136" s="673"/>
      <c r="AA136" s="659"/>
      <c r="AB136" s="659"/>
      <c r="AC136" s="659"/>
    </row>
    <row r="137" spans="1:68" ht="27" hidden="1" customHeight="1" x14ac:dyDescent="0.25">
      <c r="A137" s="54" t="s">
        <v>255</v>
      </c>
      <c r="B137" s="54" t="s">
        <v>256</v>
      </c>
      <c r="C137" s="31">
        <v>4301011562</v>
      </c>
      <c r="D137" s="675">
        <v>4680115882577</v>
      </c>
      <c r="E137" s="676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68"/>
      <c r="R137" s="668"/>
      <c r="S137" s="668"/>
      <c r="T137" s="669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255</v>
      </c>
      <c r="B138" s="54" t="s">
        <v>258</v>
      </c>
      <c r="C138" s="31">
        <v>4301011564</v>
      </c>
      <c r="D138" s="675">
        <v>4680115882577</v>
      </c>
      <c r="E138" s="676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68"/>
      <c r="R138" s="668"/>
      <c r="S138" s="668"/>
      <c r="T138" s="669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2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hidden="1" x14ac:dyDescent="0.2">
      <c r="A140" s="673"/>
      <c r="B140" s="673"/>
      <c r="C140" s="673"/>
      <c r="D140" s="673"/>
      <c r="E140" s="673"/>
      <c r="F140" s="673"/>
      <c r="G140" s="673"/>
      <c r="H140" s="673"/>
      <c r="I140" s="673"/>
      <c r="J140" s="673"/>
      <c r="K140" s="673"/>
      <c r="L140" s="673"/>
      <c r="M140" s="673"/>
      <c r="N140" s="673"/>
      <c r="O140" s="674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hidden="1" customHeight="1" x14ac:dyDescent="0.25">
      <c r="A141" s="679" t="s">
        <v>144</v>
      </c>
      <c r="B141" s="673"/>
      <c r="C141" s="673"/>
      <c r="D141" s="673"/>
      <c r="E141" s="673"/>
      <c r="F141" s="673"/>
      <c r="G141" s="673"/>
      <c r="H141" s="673"/>
      <c r="I141" s="673"/>
      <c r="J141" s="673"/>
      <c r="K141" s="673"/>
      <c r="L141" s="673"/>
      <c r="M141" s="673"/>
      <c r="N141" s="673"/>
      <c r="O141" s="673"/>
      <c r="P141" s="673"/>
      <c r="Q141" s="673"/>
      <c r="R141" s="673"/>
      <c r="S141" s="673"/>
      <c r="T141" s="673"/>
      <c r="U141" s="673"/>
      <c r="V141" s="673"/>
      <c r="W141" s="673"/>
      <c r="X141" s="673"/>
      <c r="Y141" s="673"/>
      <c r="Z141" s="673"/>
      <c r="AA141" s="659"/>
      <c r="AB141" s="659"/>
      <c r="AC141" s="659"/>
    </row>
    <row r="142" spans="1:68" ht="27" hidden="1" customHeight="1" x14ac:dyDescent="0.25">
      <c r="A142" s="54" t="s">
        <v>259</v>
      </c>
      <c r="B142" s="54" t="s">
        <v>260</v>
      </c>
      <c r="C142" s="31">
        <v>4301031235</v>
      </c>
      <c r="D142" s="675">
        <v>4680115883444</v>
      </c>
      <c r="E142" s="676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8"/>
      <c r="R142" s="668"/>
      <c r="S142" s="668"/>
      <c r="T142" s="669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259</v>
      </c>
      <c r="B143" s="54" t="s">
        <v>262</v>
      </c>
      <c r="C143" s="31">
        <v>4301031234</v>
      </c>
      <c r="D143" s="675">
        <v>4680115883444</v>
      </c>
      <c r="E143" s="676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2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hidden="1" x14ac:dyDescent="0.2">
      <c r="A145" s="673"/>
      <c r="B145" s="673"/>
      <c r="C145" s="673"/>
      <c r="D145" s="673"/>
      <c r="E145" s="673"/>
      <c r="F145" s="673"/>
      <c r="G145" s="673"/>
      <c r="H145" s="673"/>
      <c r="I145" s="673"/>
      <c r="J145" s="673"/>
      <c r="K145" s="673"/>
      <c r="L145" s="673"/>
      <c r="M145" s="673"/>
      <c r="N145" s="673"/>
      <c r="O145" s="674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hidden="1" customHeight="1" x14ac:dyDescent="0.25">
      <c r="A146" s="679" t="s">
        <v>63</v>
      </c>
      <c r="B146" s="673"/>
      <c r="C146" s="673"/>
      <c r="D146" s="673"/>
      <c r="E146" s="673"/>
      <c r="F146" s="673"/>
      <c r="G146" s="673"/>
      <c r="H146" s="673"/>
      <c r="I146" s="673"/>
      <c r="J146" s="673"/>
      <c r="K146" s="673"/>
      <c r="L146" s="673"/>
      <c r="M146" s="673"/>
      <c r="N146" s="673"/>
      <c r="O146" s="673"/>
      <c r="P146" s="673"/>
      <c r="Q146" s="673"/>
      <c r="R146" s="673"/>
      <c r="S146" s="673"/>
      <c r="T146" s="673"/>
      <c r="U146" s="673"/>
      <c r="V146" s="673"/>
      <c r="W146" s="673"/>
      <c r="X146" s="673"/>
      <c r="Y146" s="673"/>
      <c r="Z146" s="673"/>
      <c r="AA146" s="659"/>
      <c r="AB146" s="659"/>
      <c r="AC146" s="659"/>
    </row>
    <row r="147" spans="1:68" ht="16.5" hidden="1" customHeight="1" x14ac:dyDescent="0.25">
      <c r="A147" s="54" t="s">
        <v>263</v>
      </c>
      <c r="B147" s="54" t="s">
        <v>264</v>
      </c>
      <c r="C147" s="31">
        <v>4301051477</v>
      </c>
      <c r="D147" s="675">
        <v>4680115882584</v>
      </c>
      <c r="E147" s="676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8"/>
      <c r="R147" s="668"/>
      <c r="S147" s="668"/>
      <c r="T147" s="669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263</v>
      </c>
      <c r="B148" s="54" t="s">
        <v>265</v>
      </c>
      <c r="C148" s="31">
        <v>4301051476</v>
      </c>
      <c r="D148" s="675">
        <v>4680115882584</v>
      </c>
      <c r="E148" s="676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2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3"/>
      <c r="B150" s="673"/>
      <c r="C150" s="673"/>
      <c r="D150" s="673"/>
      <c r="E150" s="673"/>
      <c r="F150" s="673"/>
      <c r="G150" s="673"/>
      <c r="H150" s="673"/>
      <c r="I150" s="673"/>
      <c r="J150" s="673"/>
      <c r="K150" s="673"/>
      <c r="L150" s="673"/>
      <c r="M150" s="673"/>
      <c r="N150" s="673"/>
      <c r="O150" s="674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716" t="s">
        <v>95</v>
      </c>
      <c r="B151" s="673"/>
      <c r="C151" s="673"/>
      <c r="D151" s="673"/>
      <c r="E151" s="673"/>
      <c r="F151" s="673"/>
      <c r="G151" s="673"/>
      <c r="H151" s="673"/>
      <c r="I151" s="673"/>
      <c r="J151" s="673"/>
      <c r="K151" s="673"/>
      <c r="L151" s="673"/>
      <c r="M151" s="673"/>
      <c r="N151" s="673"/>
      <c r="O151" s="673"/>
      <c r="P151" s="673"/>
      <c r="Q151" s="673"/>
      <c r="R151" s="673"/>
      <c r="S151" s="673"/>
      <c r="T151" s="673"/>
      <c r="U151" s="673"/>
      <c r="V151" s="673"/>
      <c r="W151" s="673"/>
      <c r="X151" s="673"/>
      <c r="Y151" s="673"/>
      <c r="Z151" s="673"/>
      <c r="AA151" s="658"/>
      <c r="AB151" s="658"/>
      <c r="AC151" s="658"/>
    </row>
    <row r="152" spans="1:68" ht="14.25" hidden="1" customHeight="1" x14ac:dyDescent="0.25">
      <c r="A152" s="679" t="s">
        <v>97</v>
      </c>
      <c r="B152" s="673"/>
      <c r="C152" s="673"/>
      <c r="D152" s="673"/>
      <c r="E152" s="673"/>
      <c r="F152" s="673"/>
      <c r="G152" s="673"/>
      <c r="H152" s="673"/>
      <c r="I152" s="673"/>
      <c r="J152" s="673"/>
      <c r="K152" s="673"/>
      <c r="L152" s="673"/>
      <c r="M152" s="673"/>
      <c r="N152" s="673"/>
      <c r="O152" s="673"/>
      <c r="P152" s="673"/>
      <c r="Q152" s="673"/>
      <c r="R152" s="673"/>
      <c r="S152" s="673"/>
      <c r="T152" s="673"/>
      <c r="U152" s="673"/>
      <c r="V152" s="673"/>
      <c r="W152" s="673"/>
      <c r="X152" s="673"/>
      <c r="Y152" s="673"/>
      <c r="Z152" s="673"/>
      <c r="AA152" s="659"/>
      <c r="AB152" s="659"/>
      <c r="AC152" s="659"/>
    </row>
    <row r="153" spans="1:68" ht="27" hidden="1" customHeight="1" x14ac:dyDescent="0.25">
      <c r="A153" s="54" t="s">
        <v>266</v>
      </c>
      <c r="B153" s="54" t="s">
        <v>267</v>
      </c>
      <c r="C153" s="31">
        <v>4301011705</v>
      </c>
      <c r="D153" s="675">
        <v>4607091384604</v>
      </c>
      <c r="E153" s="676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68"/>
      <c r="R153" s="668"/>
      <c r="S153" s="668"/>
      <c r="T153" s="669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2"/>
      <c r="B154" s="673"/>
      <c r="C154" s="673"/>
      <c r="D154" s="673"/>
      <c r="E154" s="673"/>
      <c r="F154" s="673"/>
      <c r="G154" s="673"/>
      <c r="H154" s="673"/>
      <c r="I154" s="673"/>
      <c r="J154" s="673"/>
      <c r="K154" s="673"/>
      <c r="L154" s="673"/>
      <c r="M154" s="673"/>
      <c r="N154" s="673"/>
      <c r="O154" s="674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3"/>
      <c r="B155" s="673"/>
      <c r="C155" s="673"/>
      <c r="D155" s="673"/>
      <c r="E155" s="673"/>
      <c r="F155" s="673"/>
      <c r="G155" s="673"/>
      <c r="H155" s="673"/>
      <c r="I155" s="673"/>
      <c r="J155" s="673"/>
      <c r="K155" s="673"/>
      <c r="L155" s="673"/>
      <c r="M155" s="673"/>
      <c r="N155" s="673"/>
      <c r="O155" s="674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9" t="s">
        <v>144</v>
      </c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3"/>
      <c r="P156" s="673"/>
      <c r="Q156" s="673"/>
      <c r="R156" s="673"/>
      <c r="S156" s="673"/>
      <c r="T156" s="673"/>
      <c r="U156" s="673"/>
      <c r="V156" s="673"/>
      <c r="W156" s="673"/>
      <c r="X156" s="673"/>
      <c r="Y156" s="673"/>
      <c r="Z156" s="673"/>
      <c r="AA156" s="659"/>
      <c r="AB156" s="659"/>
      <c r="AC156" s="659"/>
    </row>
    <row r="157" spans="1:68" ht="16.5" hidden="1" customHeight="1" x14ac:dyDescent="0.25">
      <c r="A157" s="54" t="s">
        <v>269</v>
      </c>
      <c r="B157" s="54" t="s">
        <v>270</v>
      </c>
      <c r="C157" s="31">
        <v>4301030895</v>
      </c>
      <c r="D157" s="675">
        <v>4607091387667</v>
      </c>
      <c r="E157" s="676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7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68"/>
      <c r="R157" s="668"/>
      <c r="S157" s="668"/>
      <c r="T157" s="669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272</v>
      </c>
      <c r="B158" s="54" t="s">
        <v>273</v>
      </c>
      <c r="C158" s="31">
        <v>4301030961</v>
      </c>
      <c r="D158" s="675">
        <v>4607091387636</v>
      </c>
      <c r="E158" s="676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68"/>
      <c r="R158" s="668"/>
      <c r="S158" s="668"/>
      <c r="T158" s="669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275</v>
      </c>
      <c r="B159" s="54" t="s">
        <v>276</v>
      </c>
      <c r="C159" s="31">
        <v>4301030963</v>
      </c>
      <c r="D159" s="675">
        <v>4607091382426</v>
      </c>
      <c r="E159" s="676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88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68"/>
      <c r="R159" s="668"/>
      <c r="S159" s="668"/>
      <c r="T159" s="669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278</v>
      </c>
      <c r="B160" s="54" t="s">
        <v>279</v>
      </c>
      <c r="C160" s="31">
        <v>4301030962</v>
      </c>
      <c r="D160" s="675">
        <v>4607091386547</v>
      </c>
      <c r="E160" s="676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69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68"/>
      <c r="R160" s="668"/>
      <c r="S160" s="668"/>
      <c r="T160" s="669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2"/>
      <c r="B161" s="673"/>
      <c r="C161" s="673"/>
      <c r="D161" s="673"/>
      <c r="E161" s="673"/>
      <c r="F161" s="673"/>
      <c r="G161" s="673"/>
      <c r="H161" s="673"/>
      <c r="I161" s="673"/>
      <c r="J161" s="673"/>
      <c r="K161" s="673"/>
      <c r="L161" s="673"/>
      <c r="M161" s="673"/>
      <c r="N161" s="673"/>
      <c r="O161" s="674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79" t="s">
        <v>63</v>
      </c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3"/>
      <c r="P163" s="673"/>
      <c r="Q163" s="673"/>
      <c r="R163" s="673"/>
      <c r="S163" s="673"/>
      <c r="T163" s="673"/>
      <c r="U163" s="673"/>
      <c r="V163" s="673"/>
      <c r="W163" s="673"/>
      <c r="X163" s="673"/>
      <c r="Y163" s="673"/>
      <c r="Z163" s="673"/>
      <c r="AA163" s="659"/>
      <c r="AB163" s="659"/>
      <c r="AC163" s="659"/>
    </row>
    <row r="164" spans="1:68" ht="16.5" hidden="1" customHeight="1" x14ac:dyDescent="0.25">
      <c r="A164" s="54" t="s">
        <v>280</v>
      </c>
      <c r="B164" s="54" t="s">
        <v>281</v>
      </c>
      <c r="C164" s="31">
        <v>4301051653</v>
      </c>
      <c r="D164" s="675">
        <v>4607091386264</v>
      </c>
      <c r="E164" s="676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68"/>
      <c r="R164" s="668"/>
      <c r="S164" s="668"/>
      <c r="T164" s="669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2"/>
      <c r="B165" s="673"/>
      <c r="C165" s="673"/>
      <c r="D165" s="673"/>
      <c r="E165" s="673"/>
      <c r="F165" s="673"/>
      <c r="G165" s="673"/>
      <c r="H165" s="673"/>
      <c r="I165" s="673"/>
      <c r="J165" s="673"/>
      <c r="K165" s="673"/>
      <c r="L165" s="673"/>
      <c r="M165" s="673"/>
      <c r="N165" s="673"/>
      <c r="O165" s="674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hidden="1" customHeight="1" x14ac:dyDescent="0.25">
      <c r="A168" s="716" t="s">
        <v>284</v>
      </c>
      <c r="B168" s="673"/>
      <c r="C168" s="673"/>
      <c r="D168" s="673"/>
      <c r="E168" s="673"/>
      <c r="F168" s="673"/>
      <c r="G168" s="673"/>
      <c r="H168" s="673"/>
      <c r="I168" s="673"/>
      <c r="J168" s="673"/>
      <c r="K168" s="673"/>
      <c r="L168" s="673"/>
      <c r="M168" s="673"/>
      <c r="N168" s="673"/>
      <c r="O168" s="673"/>
      <c r="P168" s="673"/>
      <c r="Q168" s="673"/>
      <c r="R168" s="673"/>
      <c r="S168" s="673"/>
      <c r="T168" s="673"/>
      <c r="U168" s="673"/>
      <c r="V168" s="673"/>
      <c r="W168" s="673"/>
      <c r="X168" s="673"/>
      <c r="Y168" s="673"/>
      <c r="Z168" s="673"/>
      <c r="AA168" s="658"/>
      <c r="AB168" s="658"/>
      <c r="AC168" s="658"/>
    </row>
    <row r="169" spans="1:68" ht="14.25" hidden="1" customHeight="1" x14ac:dyDescent="0.25">
      <c r="A169" s="679" t="s">
        <v>133</v>
      </c>
      <c r="B169" s="673"/>
      <c r="C169" s="673"/>
      <c r="D169" s="673"/>
      <c r="E169" s="673"/>
      <c r="F169" s="673"/>
      <c r="G169" s="673"/>
      <c r="H169" s="673"/>
      <c r="I169" s="673"/>
      <c r="J169" s="673"/>
      <c r="K169" s="673"/>
      <c r="L169" s="673"/>
      <c r="M169" s="673"/>
      <c r="N169" s="673"/>
      <c r="O169" s="673"/>
      <c r="P169" s="673"/>
      <c r="Q169" s="673"/>
      <c r="R169" s="673"/>
      <c r="S169" s="673"/>
      <c r="T169" s="673"/>
      <c r="U169" s="673"/>
      <c r="V169" s="673"/>
      <c r="W169" s="673"/>
      <c r="X169" s="673"/>
      <c r="Y169" s="673"/>
      <c r="Z169" s="673"/>
      <c r="AA169" s="659"/>
      <c r="AB169" s="659"/>
      <c r="AC169" s="659"/>
    </row>
    <row r="170" spans="1:68" ht="27" hidden="1" customHeight="1" x14ac:dyDescent="0.25">
      <c r="A170" s="54" t="s">
        <v>285</v>
      </c>
      <c r="B170" s="54" t="s">
        <v>286</v>
      </c>
      <c r="C170" s="31">
        <v>4301020323</v>
      </c>
      <c r="D170" s="675">
        <v>4680115886223</v>
      </c>
      <c r="E170" s="676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0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68"/>
      <c r="R170" s="668"/>
      <c r="S170" s="668"/>
      <c r="T170" s="669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2"/>
      <c r="B171" s="673"/>
      <c r="C171" s="673"/>
      <c r="D171" s="673"/>
      <c r="E171" s="673"/>
      <c r="F171" s="673"/>
      <c r="G171" s="673"/>
      <c r="H171" s="673"/>
      <c r="I171" s="673"/>
      <c r="J171" s="673"/>
      <c r="K171" s="673"/>
      <c r="L171" s="673"/>
      <c r="M171" s="673"/>
      <c r="N171" s="673"/>
      <c r="O171" s="674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3"/>
      <c r="B172" s="673"/>
      <c r="C172" s="673"/>
      <c r="D172" s="673"/>
      <c r="E172" s="673"/>
      <c r="F172" s="673"/>
      <c r="G172" s="673"/>
      <c r="H172" s="673"/>
      <c r="I172" s="673"/>
      <c r="J172" s="673"/>
      <c r="K172" s="673"/>
      <c r="L172" s="673"/>
      <c r="M172" s="673"/>
      <c r="N172" s="673"/>
      <c r="O172" s="674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79" t="s">
        <v>144</v>
      </c>
      <c r="B173" s="673"/>
      <c r="C173" s="673"/>
      <c r="D173" s="673"/>
      <c r="E173" s="673"/>
      <c r="F173" s="673"/>
      <c r="G173" s="673"/>
      <c r="H173" s="673"/>
      <c r="I173" s="673"/>
      <c r="J173" s="673"/>
      <c r="K173" s="673"/>
      <c r="L173" s="673"/>
      <c r="M173" s="673"/>
      <c r="N173" s="673"/>
      <c r="O173" s="673"/>
      <c r="P173" s="673"/>
      <c r="Q173" s="673"/>
      <c r="R173" s="673"/>
      <c r="S173" s="673"/>
      <c r="T173" s="673"/>
      <c r="U173" s="673"/>
      <c r="V173" s="673"/>
      <c r="W173" s="673"/>
      <c r="X173" s="673"/>
      <c r="Y173" s="673"/>
      <c r="Z173" s="673"/>
      <c r="AA173" s="659"/>
      <c r="AB173" s="659"/>
      <c r="AC173" s="659"/>
    </row>
    <row r="174" spans="1:68" ht="27" hidden="1" customHeight="1" x14ac:dyDescent="0.25">
      <c r="A174" s="54" t="s">
        <v>288</v>
      </c>
      <c r="B174" s="54" t="s">
        <v>289</v>
      </c>
      <c r="C174" s="31">
        <v>4301031191</v>
      </c>
      <c r="D174" s="675">
        <v>4680115880993</v>
      </c>
      <c r="E174" s="676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68"/>
      <c r="R174" s="668"/>
      <c r="S174" s="668"/>
      <c r="T174" s="669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4301031204</v>
      </c>
      <c r="D175" s="675">
        <v>4680115881761</v>
      </c>
      <c r="E175" s="676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68"/>
      <c r="R175" s="668"/>
      <c r="S175" s="668"/>
      <c r="T175" s="669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4301031201</v>
      </c>
      <c r="D176" s="675">
        <v>4680115881563</v>
      </c>
      <c r="E176" s="676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68"/>
      <c r="R176" s="668"/>
      <c r="S176" s="668"/>
      <c r="T176" s="669"/>
      <c r="U176" s="34"/>
      <c r="V176" s="34"/>
      <c r="W176" s="35" t="s">
        <v>68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75">
        <v>4680115880986</v>
      </c>
      <c r="E177" s="676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68"/>
      <c r="R177" s="668"/>
      <c r="S177" s="668"/>
      <c r="T177" s="669"/>
      <c r="U177" s="34"/>
      <c r="V177" s="34"/>
      <c r="W177" s="35" t="s">
        <v>68</v>
      </c>
      <c r="X177" s="663">
        <v>11</v>
      </c>
      <c r="Y177" s="664">
        <f t="shared" si="27"/>
        <v>12.600000000000001</v>
      </c>
      <c r="Z177" s="36">
        <f>IFERROR(IF(Y177=0,"",ROUNDUP(Y177/H177,0)*0.00502),"")</f>
        <v>3.0120000000000001E-2</v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11.68095238095238</v>
      </c>
      <c r="BN177" s="64">
        <f t="shared" si="29"/>
        <v>13.38</v>
      </c>
      <c r="BO177" s="64">
        <f t="shared" si="30"/>
        <v>2.2385022385022386E-2</v>
      </c>
      <c r="BP177" s="64">
        <f t="shared" si="31"/>
        <v>2.5641025641025644E-2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4301031205</v>
      </c>
      <c r="D178" s="675">
        <v>4680115881785</v>
      </c>
      <c r="E178" s="676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68"/>
      <c r="R178" s="668"/>
      <c r="S178" s="668"/>
      <c r="T178" s="669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301</v>
      </c>
      <c r="B179" s="54" t="s">
        <v>302</v>
      </c>
      <c r="C179" s="31">
        <v>4301031399</v>
      </c>
      <c r="D179" s="675">
        <v>4680115886537</v>
      </c>
      <c r="E179" s="676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90" t="s">
        <v>303</v>
      </c>
      <c r="Q179" s="668"/>
      <c r="R179" s="668"/>
      <c r="S179" s="668"/>
      <c r="T179" s="669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hidden="1" customHeight="1" x14ac:dyDescent="0.25">
      <c r="A180" s="54" t="s">
        <v>305</v>
      </c>
      <c r="B180" s="54" t="s">
        <v>306</v>
      </c>
      <c r="C180" s="31">
        <v>4301031202</v>
      </c>
      <c r="D180" s="675">
        <v>4680115881679</v>
      </c>
      <c r="E180" s="676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68"/>
      <c r="R180" s="668"/>
      <c r="S180" s="668"/>
      <c r="T180" s="669"/>
      <c r="U180" s="34"/>
      <c r="V180" s="34"/>
      <c r="W180" s="35" t="s">
        <v>68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307</v>
      </c>
      <c r="B181" s="54" t="s">
        <v>308</v>
      </c>
      <c r="C181" s="31">
        <v>4301031158</v>
      </c>
      <c r="D181" s="675">
        <v>4680115880191</v>
      </c>
      <c r="E181" s="676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68"/>
      <c r="R181" s="668"/>
      <c r="S181" s="668"/>
      <c r="T181" s="669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309</v>
      </c>
      <c r="B182" s="54" t="s">
        <v>310</v>
      </c>
      <c r="C182" s="31">
        <v>4301031245</v>
      </c>
      <c r="D182" s="675">
        <v>4680115883963</v>
      </c>
      <c r="E182" s="676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68"/>
      <c r="R182" s="668"/>
      <c r="S182" s="668"/>
      <c r="T182" s="669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2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5.2380952380952381</v>
      </c>
      <c r="Y183" s="665">
        <f>IFERROR(Y174/H174,"0")+IFERROR(Y175/H175,"0")+IFERROR(Y176/H176,"0")+IFERROR(Y177/H177,"0")+IFERROR(Y178/H178,"0")+IFERROR(Y179/H179,"0")+IFERROR(Y180/H180,"0")+IFERROR(Y181/H181,"0")+IFERROR(Y182/H182,"0")</f>
        <v>6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3.0120000000000001E-2</v>
      </c>
      <c r="AA183" s="666"/>
      <c r="AB183" s="666"/>
      <c r="AC183" s="666"/>
    </row>
    <row r="184" spans="1:68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11</v>
      </c>
      <c r="Y184" s="665">
        <f>IFERROR(SUM(Y174:Y182),"0")</f>
        <v>12.600000000000001</v>
      </c>
      <c r="Z184" s="37"/>
      <c r="AA184" s="666"/>
      <c r="AB184" s="666"/>
      <c r="AC184" s="666"/>
    </row>
    <row r="185" spans="1:68" ht="14.25" hidden="1" customHeight="1" x14ac:dyDescent="0.25">
      <c r="A185" s="679" t="s">
        <v>89</v>
      </c>
      <c r="B185" s="673"/>
      <c r="C185" s="673"/>
      <c r="D185" s="673"/>
      <c r="E185" s="673"/>
      <c r="F185" s="673"/>
      <c r="G185" s="673"/>
      <c r="H185" s="673"/>
      <c r="I185" s="673"/>
      <c r="J185" s="673"/>
      <c r="K185" s="673"/>
      <c r="L185" s="673"/>
      <c r="M185" s="673"/>
      <c r="N185" s="673"/>
      <c r="O185" s="673"/>
      <c r="P185" s="673"/>
      <c r="Q185" s="673"/>
      <c r="R185" s="673"/>
      <c r="S185" s="673"/>
      <c r="T185" s="673"/>
      <c r="U185" s="673"/>
      <c r="V185" s="673"/>
      <c r="W185" s="673"/>
      <c r="X185" s="673"/>
      <c r="Y185" s="673"/>
      <c r="Z185" s="673"/>
      <c r="AA185" s="659"/>
      <c r="AB185" s="659"/>
      <c r="AC185" s="659"/>
    </row>
    <row r="186" spans="1:68" ht="27" hidden="1" customHeight="1" x14ac:dyDescent="0.25">
      <c r="A186" s="54" t="s">
        <v>312</v>
      </c>
      <c r="B186" s="54" t="s">
        <v>313</v>
      </c>
      <c r="C186" s="31">
        <v>4301032053</v>
      </c>
      <c r="D186" s="675">
        <v>4680115886780</v>
      </c>
      <c r="E186" s="676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11" t="s">
        <v>316</v>
      </c>
      <c r="Q186" s="668"/>
      <c r="R186" s="668"/>
      <c r="S186" s="668"/>
      <c r="T186" s="669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2"/>
      <c r="B187" s="673"/>
      <c r="C187" s="673"/>
      <c r="D187" s="673"/>
      <c r="E187" s="673"/>
      <c r="F187" s="673"/>
      <c r="G187" s="673"/>
      <c r="H187" s="673"/>
      <c r="I187" s="673"/>
      <c r="J187" s="673"/>
      <c r="K187" s="673"/>
      <c r="L187" s="673"/>
      <c r="M187" s="673"/>
      <c r="N187" s="673"/>
      <c r="O187" s="674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716" t="s">
        <v>319</v>
      </c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3"/>
      <c r="P189" s="673"/>
      <c r="Q189" s="673"/>
      <c r="R189" s="673"/>
      <c r="S189" s="673"/>
      <c r="T189" s="673"/>
      <c r="U189" s="673"/>
      <c r="V189" s="673"/>
      <c r="W189" s="673"/>
      <c r="X189" s="673"/>
      <c r="Y189" s="673"/>
      <c r="Z189" s="673"/>
      <c r="AA189" s="658"/>
      <c r="AB189" s="658"/>
      <c r="AC189" s="658"/>
    </row>
    <row r="190" spans="1:68" ht="14.25" hidden="1" customHeight="1" x14ac:dyDescent="0.25">
      <c r="A190" s="679" t="s">
        <v>97</v>
      </c>
      <c r="B190" s="673"/>
      <c r="C190" s="673"/>
      <c r="D190" s="673"/>
      <c r="E190" s="673"/>
      <c r="F190" s="673"/>
      <c r="G190" s="673"/>
      <c r="H190" s="673"/>
      <c r="I190" s="673"/>
      <c r="J190" s="673"/>
      <c r="K190" s="673"/>
      <c r="L190" s="673"/>
      <c r="M190" s="673"/>
      <c r="N190" s="673"/>
      <c r="O190" s="673"/>
      <c r="P190" s="673"/>
      <c r="Q190" s="673"/>
      <c r="R190" s="673"/>
      <c r="S190" s="673"/>
      <c r="T190" s="673"/>
      <c r="U190" s="673"/>
      <c r="V190" s="673"/>
      <c r="W190" s="673"/>
      <c r="X190" s="673"/>
      <c r="Y190" s="673"/>
      <c r="Z190" s="673"/>
      <c r="AA190" s="659"/>
      <c r="AB190" s="659"/>
      <c r="AC190" s="659"/>
    </row>
    <row r="191" spans="1:68" ht="16.5" hidden="1" customHeight="1" x14ac:dyDescent="0.25">
      <c r="A191" s="54" t="s">
        <v>320</v>
      </c>
      <c r="B191" s="54" t="s">
        <v>321</v>
      </c>
      <c r="C191" s="31">
        <v>4301011450</v>
      </c>
      <c r="D191" s="675">
        <v>4680115881402</v>
      </c>
      <c r="E191" s="676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68"/>
      <c r="R191" s="668"/>
      <c r="S191" s="668"/>
      <c r="T191" s="669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4301011768</v>
      </c>
      <c r="D192" s="675">
        <v>4680115881396</v>
      </c>
      <c r="E192" s="676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68"/>
      <c r="R192" s="668"/>
      <c r="S192" s="668"/>
      <c r="T192" s="669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2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3"/>
      <c r="B194" s="673"/>
      <c r="C194" s="673"/>
      <c r="D194" s="673"/>
      <c r="E194" s="673"/>
      <c r="F194" s="673"/>
      <c r="G194" s="673"/>
      <c r="H194" s="673"/>
      <c r="I194" s="673"/>
      <c r="J194" s="673"/>
      <c r="K194" s="673"/>
      <c r="L194" s="673"/>
      <c r="M194" s="673"/>
      <c r="N194" s="673"/>
      <c r="O194" s="674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9" t="s">
        <v>133</v>
      </c>
      <c r="B195" s="673"/>
      <c r="C195" s="673"/>
      <c r="D195" s="673"/>
      <c r="E195" s="673"/>
      <c r="F195" s="673"/>
      <c r="G195" s="673"/>
      <c r="H195" s="673"/>
      <c r="I195" s="673"/>
      <c r="J195" s="673"/>
      <c r="K195" s="673"/>
      <c r="L195" s="673"/>
      <c r="M195" s="673"/>
      <c r="N195" s="673"/>
      <c r="O195" s="673"/>
      <c r="P195" s="673"/>
      <c r="Q195" s="673"/>
      <c r="R195" s="673"/>
      <c r="S195" s="673"/>
      <c r="T195" s="673"/>
      <c r="U195" s="673"/>
      <c r="V195" s="673"/>
      <c r="W195" s="673"/>
      <c r="X195" s="673"/>
      <c r="Y195" s="673"/>
      <c r="Z195" s="673"/>
      <c r="AA195" s="659"/>
      <c r="AB195" s="659"/>
      <c r="AC195" s="659"/>
    </row>
    <row r="196" spans="1:68" ht="16.5" hidden="1" customHeight="1" x14ac:dyDescent="0.25">
      <c r="A196" s="54" t="s">
        <v>325</v>
      </c>
      <c r="B196" s="54" t="s">
        <v>326</v>
      </c>
      <c r="C196" s="31">
        <v>4301020262</v>
      </c>
      <c r="D196" s="675">
        <v>4680115882935</v>
      </c>
      <c r="E196" s="676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68"/>
      <c r="R196" s="668"/>
      <c r="S196" s="668"/>
      <c r="T196" s="669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328</v>
      </c>
      <c r="B197" s="54" t="s">
        <v>329</v>
      </c>
      <c r="C197" s="31">
        <v>4301020220</v>
      </c>
      <c r="D197" s="675">
        <v>4680115880764</v>
      </c>
      <c r="E197" s="676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68"/>
      <c r="R197" s="668"/>
      <c r="S197" s="668"/>
      <c r="T197" s="669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2"/>
      <c r="B198" s="673"/>
      <c r="C198" s="673"/>
      <c r="D198" s="673"/>
      <c r="E198" s="673"/>
      <c r="F198" s="673"/>
      <c r="G198" s="673"/>
      <c r="H198" s="673"/>
      <c r="I198" s="673"/>
      <c r="J198" s="673"/>
      <c r="K198" s="673"/>
      <c r="L198" s="673"/>
      <c r="M198" s="673"/>
      <c r="N198" s="673"/>
      <c r="O198" s="674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3"/>
      <c r="B199" s="673"/>
      <c r="C199" s="673"/>
      <c r="D199" s="673"/>
      <c r="E199" s="673"/>
      <c r="F199" s="673"/>
      <c r="G199" s="673"/>
      <c r="H199" s="673"/>
      <c r="I199" s="673"/>
      <c r="J199" s="673"/>
      <c r="K199" s="673"/>
      <c r="L199" s="673"/>
      <c r="M199" s="673"/>
      <c r="N199" s="673"/>
      <c r="O199" s="674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79" t="s">
        <v>144</v>
      </c>
      <c r="B200" s="673"/>
      <c r="C200" s="673"/>
      <c r="D200" s="673"/>
      <c r="E200" s="673"/>
      <c r="F200" s="673"/>
      <c r="G200" s="673"/>
      <c r="H200" s="673"/>
      <c r="I200" s="673"/>
      <c r="J200" s="673"/>
      <c r="K200" s="673"/>
      <c r="L200" s="673"/>
      <c r="M200" s="673"/>
      <c r="N200" s="673"/>
      <c r="O200" s="673"/>
      <c r="P200" s="673"/>
      <c r="Q200" s="673"/>
      <c r="R200" s="673"/>
      <c r="S200" s="673"/>
      <c r="T200" s="673"/>
      <c r="U200" s="673"/>
      <c r="V200" s="673"/>
      <c r="W200" s="673"/>
      <c r="X200" s="673"/>
      <c r="Y200" s="673"/>
      <c r="Z200" s="673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75">
        <v>4680115882683</v>
      </c>
      <c r="E201" s="676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68"/>
      <c r="R201" s="668"/>
      <c r="S201" s="668"/>
      <c r="T201" s="669"/>
      <c r="U201" s="34"/>
      <c r="V201" s="34"/>
      <c r="W201" s="35" t="s">
        <v>68</v>
      </c>
      <c r="X201" s="663">
        <v>24</v>
      </c>
      <c r="Y201" s="664">
        <f t="shared" ref="Y201:Y208" si="32">IFERROR(IF(X201="",0,CEILING((X201/$H201),1)*$H201),"")</f>
        <v>27</v>
      </c>
      <c r="Z201" s="36">
        <f>IFERROR(IF(Y201=0,"",ROUNDUP(Y201/H201,0)*0.00902),"")</f>
        <v>4.5100000000000001E-2</v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24.933333333333334</v>
      </c>
      <c r="BN201" s="64">
        <f t="shared" ref="BN201:BN208" si="34">IFERROR(Y201*I201/H201,"0")</f>
        <v>28.049999999999997</v>
      </c>
      <c r="BO201" s="64">
        <f t="shared" ref="BO201:BO208" si="35">IFERROR(1/J201*(X201/H201),"0")</f>
        <v>3.3670033670033662E-2</v>
      </c>
      <c r="BP201" s="64">
        <f t="shared" ref="BP201:BP208" si="36">IFERROR(1/J201*(Y201/H201),"0")</f>
        <v>3.787878787878788E-2</v>
      </c>
    </row>
    <row r="202" spans="1:68" ht="27" hidden="1" customHeight="1" x14ac:dyDescent="0.25">
      <c r="A202" s="54" t="s">
        <v>333</v>
      </c>
      <c r="B202" s="54" t="s">
        <v>334</v>
      </c>
      <c r="C202" s="31">
        <v>4301031230</v>
      </c>
      <c r="D202" s="675">
        <v>4680115882690</v>
      </c>
      <c r="E202" s="676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9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68"/>
      <c r="R202" s="668"/>
      <c r="S202" s="668"/>
      <c r="T202" s="669"/>
      <c r="U202" s="34"/>
      <c r="V202" s="34"/>
      <c r="W202" s="35" t="s">
        <v>68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hidden="1" customHeight="1" x14ac:dyDescent="0.25">
      <c r="A203" s="54" t="s">
        <v>336</v>
      </c>
      <c r="B203" s="54" t="s">
        <v>337</v>
      </c>
      <c r="C203" s="31">
        <v>4301031220</v>
      </c>
      <c r="D203" s="675">
        <v>4680115882669</v>
      </c>
      <c r="E203" s="676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68"/>
      <c r="R203" s="668"/>
      <c r="S203" s="668"/>
      <c r="T203" s="669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339</v>
      </c>
      <c r="B204" s="54" t="s">
        <v>340</v>
      </c>
      <c r="C204" s="31">
        <v>4301031221</v>
      </c>
      <c r="D204" s="675">
        <v>4680115882676</v>
      </c>
      <c r="E204" s="676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68"/>
      <c r="R204" s="668"/>
      <c r="S204" s="668"/>
      <c r="T204" s="669"/>
      <c r="U204" s="34"/>
      <c r="V204" s="34"/>
      <c r="W204" s="35" t="s">
        <v>68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hidden="1" customHeight="1" x14ac:dyDescent="0.25">
      <c r="A205" s="54" t="s">
        <v>342</v>
      </c>
      <c r="B205" s="54" t="s">
        <v>343</v>
      </c>
      <c r="C205" s="31">
        <v>4301031223</v>
      </c>
      <c r="D205" s="675">
        <v>4680115884014</v>
      </c>
      <c r="E205" s="676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68"/>
      <c r="R205" s="668"/>
      <c r="S205" s="668"/>
      <c r="T205" s="669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hidden="1" customHeight="1" x14ac:dyDescent="0.25">
      <c r="A206" s="54" t="s">
        <v>344</v>
      </c>
      <c r="B206" s="54" t="s">
        <v>345</v>
      </c>
      <c r="C206" s="31">
        <v>4301031222</v>
      </c>
      <c r="D206" s="675">
        <v>4680115884007</v>
      </c>
      <c r="E206" s="676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68"/>
      <c r="R206" s="668"/>
      <c r="S206" s="668"/>
      <c r="T206" s="669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4301031229</v>
      </c>
      <c r="D207" s="675">
        <v>4680115884038</v>
      </c>
      <c r="E207" s="676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9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68"/>
      <c r="R207" s="668"/>
      <c r="S207" s="668"/>
      <c r="T207" s="669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75">
        <v>4680115884021</v>
      </c>
      <c r="E208" s="676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68"/>
      <c r="R208" s="668"/>
      <c r="S208" s="668"/>
      <c r="T208" s="669"/>
      <c r="U208" s="34"/>
      <c r="V208" s="34"/>
      <c r="W208" s="35" t="s">
        <v>68</v>
      </c>
      <c r="X208" s="663">
        <v>14</v>
      </c>
      <c r="Y208" s="664">
        <f t="shared" si="32"/>
        <v>14.4</v>
      </c>
      <c r="Z208" s="36">
        <f>IFERROR(IF(Y208=0,"",ROUNDUP(Y208/H208,0)*0.00502),"")</f>
        <v>4.0160000000000001E-2</v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14.777777777777777</v>
      </c>
      <c r="BN208" s="64">
        <f t="shared" si="34"/>
        <v>15.2</v>
      </c>
      <c r="BO208" s="64">
        <f t="shared" si="35"/>
        <v>3.3238366571699908E-2</v>
      </c>
      <c r="BP208" s="64">
        <f t="shared" si="36"/>
        <v>3.4188034188034191E-2</v>
      </c>
    </row>
    <row r="209" spans="1:68" x14ac:dyDescent="0.2">
      <c r="A209" s="672"/>
      <c r="B209" s="673"/>
      <c r="C209" s="673"/>
      <c r="D209" s="673"/>
      <c r="E209" s="673"/>
      <c r="F209" s="673"/>
      <c r="G209" s="673"/>
      <c r="H209" s="673"/>
      <c r="I209" s="673"/>
      <c r="J209" s="673"/>
      <c r="K209" s="673"/>
      <c r="L209" s="673"/>
      <c r="M209" s="673"/>
      <c r="N209" s="673"/>
      <c r="O209" s="674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12.222222222222221</v>
      </c>
      <c r="Y209" s="665">
        <f>IFERROR(Y201/H201,"0")+IFERROR(Y202/H202,"0")+IFERROR(Y203/H203,"0")+IFERROR(Y204/H204,"0")+IFERROR(Y205/H205,"0")+IFERROR(Y206/H206,"0")+IFERROR(Y207/H207,"0")+IFERROR(Y208/H208,"0")</f>
        <v>13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8.5260000000000002E-2</v>
      </c>
      <c r="AA209" s="666"/>
      <c r="AB209" s="666"/>
      <c r="AC209" s="666"/>
    </row>
    <row r="210" spans="1:68" x14ac:dyDescent="0.2">
      <c r="A210" s="673"/>
      <c r="B210" s="673"/>
      <c r="C210" s="673"/>
      <c r="D210" s="673"/>
      <c r="E210" s="673"/>
      <c r="F210" s="673"/>
      <c r="G210" s="673"/>
      <c r="H210" s="673"/>
      <c r="I210" s="673"/>
      <c r="J210" s="673"/>
      <c r="K210" s="673"/>
      <c r="L210" s="673"/>
      <c r="M210" s="673"/>
      <c r="N210" s="673"/>
      <c r="O210" s="674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38</v>
      </c>
      <c r="Y210" s="665">
        <f>IFERROR(SUM(Y201:Y208),"0")</f>
        <v>41.4</v>
      </c>
      <c r="Z210" s="37"/>
      <c r="AA210" s="666"/>
      <c r="AB210" s="666"/>
      <c r="AC210" s="666"/>
    </row>
    <row r="211" spans="1:68" ht="14.25" hidden="1" customHeight="1" x14ac:dyDescent="0.25">
      <c r="A211" s="679" t="s">
        <v>63</v>
      </c>
      <c r="B211" s="673"/>
      <c r="C211" s="673"/>
      <c r="D211" s="673"/>
      <c r="E211" s="673"/>
      <c r="F211" s="673"/>
      <c r="G211" s="673"/>
      <c r="H211" s="673"/>
      <c r="I211" s="673"/>
      <c r="J211" s="673"/>
      <c r="K211" s="673"/>
      <c r="L211" s="673"/>
      <c r="M211" s="673"/>
      <c r="N211" s="673"/>
      <c r="O211" s="673"/>
      <c r="P211" s="673"/>
      <c r="Q211" s="673"/>
      <c r="R211" s="673"/>
      <c r="S211" s="673"/>
      <c r="T211" s="673"/>
      <c r="U211" s="673"/>
      <c r="V211" s="673"/>
      <c r="W211" s="673"/>
      <c r="X211" s="673"/>
      <c r="Y211" s="673"/>
      <c r="Z211" s="673"/>
      <c r="AA211" s="659"/>
      <c r="AB211" s="659"/>
      <c r="AC211" s="659"/>
    </row>
    <row r="212" spans="1:68" ht="27" hidden="1" customHeight="1" x14ac:dyDescent="0.25">
      <c r="A212" s="54" t="s">
        <v>350</v>
      </c>
      <c r="B212" s="54" t="s">
        <v>351</v>
      </c>
      <c r="C212" s="31">
        <v>4301051408</v>
      </c>
      <c r="D212" s="675">
        <v>4680115881594</v>
      </c>
      <c r="E212" s="676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68"/>
      <c r="R212" s="668"/>
      <c r="S212" s="668"/>
      <c r="T212" s="669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353</v>
      </c>
      <c r="B213" s="54" t="s">
        <v>354</v>
      </c>
      <c r="C213" s="31">
        <v>4301051411</v>
      </c>
      <c r="D213" s="675">
        <v>4680115881617</v>
      </c>
      <c r="E213" s="676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68"/>
      <c r="R213" s="668"/>
      <c r="S213" s="668"/>
      <c r="T213" s="669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75">
        <v>4680115880573</v>
      </c>
      <c r="E214" s="676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68"/>
      <c r="R214" s="668"/>
      <c r="S214" s="668"/>
      <c r="T214" s="669"/>
      <c r="U214" s="34"/>
      <c r="V214" s="34"/>
      <c r="W214" s="35" t="s">
        <v>68</v>
      </c>
      <c r="X214" s="663">
        <v>52</v>
      </c>
      <c r="Y214" s="664">
        <f t="shared" si="37"/>
        <v>52.199999999999996</v>
      </c>
      <c r="Z214" s="36">
        <f>IFERROR(IF(Y214=0,"",ROUNDUP(Y214/H214,0)*0.01898),"")</f>
        <v>0.11388000000000001</v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55.10206896551724</v>
      </c>
      <c r="BN214" s="64">
        <f t="shared" si="39"/>
        <v>55.313999999999993</v>
      </c>
      <c r="BO214" s="64">
        <f t="shared" si="40"/>
        <v>9.339080459770116E-2</v>
      </c>
      <c r="BP214" s="64">
        <f t="shared" si="41"/>
        <v>9.375E-2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75">
        <v>4680115882195</v>
      </c>
      <c r="E215" s="676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68"/>
      <c r="R215" s="668"/>
      <c r="S215" s="668"/>
      <c r="T215" s="669"/>
      <c r="U215" s="34"/>
      <c r="V215" s="34"/>
      <c r="W215" s="35" t="s">
        <v>68</v>
      </c>
      <c r="X215" s="663">
        <v>66</v>
      </c>
      <c r="Y215" s="664">
        <f t="shared" si="37"/>
        <v>67.2</v>
      </c>
      <c r="Z215" s="36">
        <f t="shared" ref="Z215:Z220" si="42">IFERROR(IF(Y215=0,"",ROUNDUP(Y215/H215,0)*0.00651),"")</f>
        <v>0.18228</v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73.424999999999997</v>
      </c>
      <c r="BN215" s="64">
        <f t="shared" si="39"/>
        <v>74.760000000000005</v>
      </c>
      <c r="BO215" s="64">
        <f t="shared" si="40"/>
        <v>0.15109890109890112</v>
      </c>
      <c r="BP215" s="64">
        <f t="shared" si="41"/>
        <v>0.15384615384615388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4301051752</v>
      </c>
      <c r="D216" s="675">
        <v>4680115882607</v>
      </c>
      <c r="E216" s="676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68"/>
      <c r="R216" s="668"/>
      <c r="S216" s="668"/>
      <c r="T216" s="669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75">
        <v>4680115880092</v>
      </c>
      <c r="E217" s="676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68"/>
      <c r="R217" s="668"/>
      <c r="S217" s="668"/>
      <c r="T217" s="669"/>
      <c r="U217" s="34"/>
      <c r="V217" s="34"/>
      <c r="W217" s="35" t="s">
        <v>68</v>
      </c>
      <c r="X217" s="663">
        <v>23</v>
      </c>
      <c r="Y217" s="664">
        <f t="shared" si="37"/>
        <v>24</v>
      </c>
      <c r="Z217" s="36">
        <f t="shared" si="42"/>
        <v>6.5100000000000005E-2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25.415000000000003</v>
      </c>
      <c r="BN217" s="64">
        <f t="shared" si="39"/>
        <v>26.520000000000003</v>
      </c>
      <c r="BO217" s="64">
        <f t="shared" si="40"/>
        <v>5.2655677655677663E-2</v>
      </c>
      <c r="BP217" s="64">
        <f t="shared" si="41"/>
        <v>5.4945054945054951E-2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75">
        <v>4680115880221</v>
      </c>
      <c r="E218" s="676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68"/>
      <c r="R218" s="668"/>
      <c r="S218" s="668"/>
      <c r="T218" s="669"/>
      <c r="U218" s="34"/>
      <c r="V218" s="34"/>
      <c r="W218" s="35" t="s">
        <v>68</v>
      </c>
      <c r="X218" s="663">
        <v>27</v>
      </c>
      <c r="Y218" s="664">
        <f t="shared" si="37"/>
        <v>28.799999999999997</v>
      </c>
      <c r="Z218" s="36">
        <f t="shared" si="42"/>
        <v>7.8119999999999995E-2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29.835000000000001</v>
      </c>
      <c r="BN218" s="64">
        <f t="shared" si="39"/>
        <v>31.824000000000002</v>
      </c>
      <c r="BO218" s="64">
        <f t="shared" si="40"/>
        <v>6.1813186813186816E-2</v>
      </c>
      <c r="BP218" s="64">
        <f t="shared" si="41"/>
        <v>6.5934065934065936E-2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4301051945</v>
      </c>
      <c r="D219" s="675">
        <v>4680115880504</v>
      </c>
      <c r="E219" s="676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68"/>
      <c r="R219" s="668"/>
      <c r="S219" s="668"/>
      <c r="T219" s="669"/>
      <c r="U219" s="34"/>
      <c r="V219" s="34"/>
      <c r="W219" s="35" t="s">
        <v>68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75">
        <v>4680115882164</v>
      </c>
      <c r="E220" s="676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68"/>
      <c r="R220" s="668"/>
      <c r="S220" s="668"/>
      <c r="T220" s="669"/>
      <c r="U220" s="34"/>
      <c r="V220" s="34"/>
      <c r="W220" s="35" t="s">
        <v>68</v>
      </c>
      <c r="X220" s="663">
        <v>38</v>
      </c>
      <c r="Y220" s="664">
        <f t="shared" si="37"/>
        <v>38.4</v>
      </c>
      <c r="Z220" s="36">
        <f t="shared" si="42"/>
        <v>0.10416</v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42.085000000000001</v>
      </c>
      <c r="BN220" s="64">
        <f t="shared" si="39"/>
        <v>42.527999999999999</v>
      </c>
      <c r="BO220" s="64">
        <f t="shared" si="40"/>
        <v>8.6996336996337006E-2</v>
      </c>
      <c r="BP220" s="64">
        <f t="shared" si="41"/>
        <v>8.7912087912087919E-2</v>
      </c>
    </row>
    <row r="221" spans="1:68" x14ac:dyDescent="0.2">
      <c r="A221" s="672"/>
      <c r="B221" s="673"/>
      <c r="C221" s="673"/>
      <c r="D221" s="673"/>
      <c r="E221" s="673"/>
      <c r="F221" s="673"/>
      <c r="G221" s="673"/>
      <c r="H221" s="673"/>
      <c r="I221" s="673"/>
      <c r="J221" s="673"/>
      <c r="K221" s="673"/>
      <c r="L221" s="673"/>
      <c r="M221" s="673"/>
      <c r="N221" s="673"/>
      <c r="O221" s="674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70.143678160919549</v>
      </c>
      <c r="Y221" s="665">
        <f>IFERROR(Y212/H212,"0")+IFERROR(Y213/H213,"0")+IFERROR(Y214/H214,"0")+IFERROR(Y215/H215,"0")+IFERROR(Y216/H216,"0")+IFERROR(Y217/H217,"0")+IFERROR(Y218/H218,"0")+IFERROR(Y219/H219,"0")+IFERROR(Y220/H220,"0")</f>
        <v>72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0.54354000000000002</v>
      </c>
      <c r="AA221" s="666"/>
      <c r="AB221" s="666"/>
      <c r="AC221" s="666"/>
    </row>
    <row r="222" spans="1:68" x14ac:dyDescent="0.2">
      <c r="A222" s="673"/>
      <c r="B222" s="673"/>
      <c r="C222" s="673"/>
      <c r="D222" s="673"/>
      <c r="E222" s="673"/>
      <c r="F222" s="673"/>
      <c r="G222" s="673"/>
      <c r="H222" s="673"/>
      <c r="I222" s="673"/>
      <c r="J222" s="673"/>
      <c r="K222" s="673"/>
      <c r="L222" s="673"/>
      <c r="M222" s="673"/>
      <c r="N222" s="673"/>
      <c r="O222" s="674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206</v>
      </c>
      <c r="Y222" s="665">
        <f>IFERROR(SUM(Y212:Y220),"0")</f>
        <v>210.6</v>
      </c>
      <c r="Z222" s="37"/>
      <c r="AA222" s="666"/>
      <c r="AB222" s="666"/>
      <c r="AC222" s="666"/>
    </row>
    <row r="223" spans="1:68" ht="14.25" hidden="1" customHeight="1" x14ac:dyDescent="0.25">
      <c r="A223" s="679" t="s">
        <v>170</v>
      </c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3"/>
      <c r="P223" s="673"/>
      <c r="Q223" s="673"/>
      <c r="R223" s="673"/>
      <c r="S223" s="673"/>
      <c r="T223" s="673"/>
      <c r="U223" s="673"/>
      <c r="V223" s="673"/>
      <c r="W223" s="673"/>
      <c r="X223" s="673"/>
      <c r="Y223" s="673"/>
      <c r="Z223" s="673"/>
      <c r="AA223" s="659"/>
      <c r="AB223" s="659"/>
      <c r="AC223" s="659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75">
        <v>4680115880818</v>
      </c>
      <c r="E224" s="676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68"/>
      <c r="R224" s="668"/>
      <c r="S224" s="668"/>
      <c r="T224" s="669"/>
      <c r="U224" s="34"/>
      <c r="V224" s="34"/>
      <c r="W224" s="35" t="s">
        <v>68</v>
      </c>
      <c r="X224" s="663">
        <v>7</v>
      </c>
      <c r="Y224" s="664">
        <f>IFERROR(IF(X224="",0,CEILING((X224/$H224),1)*$H224),"")</f>
        <v>7.1999999999999993</v>
      </c>
      <c r="Z224" s="36">
        <f>IFERROR(IF(Y224=0,"",ROUNDUP(Y224/H224,0)*0.00651),"")</f>
        <v>1.9529999999999999E-2</v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7.7350000000000003</v>
      </c>
      <c r="BN224" s="64">
        <f>IFERROR(Y224*I224/H224,"0")</f>
        <v>7.9560000000000004</v>
      </c>
      <c r="BO224" s="64">
        <f>IFERROR(1/J224*(X224/H224),"0")</f>
        <v>1.6025641025641028E-2</v>
      </c>
      <c r="BP224" s="64">
        <f>IFERROR(1/J224*(Y224/H224),"0")</f>
        <v>1.6483516483516484E-2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4301060389</v>
      </c>
      <c r="D225" s="675">
        <v>4680115880801</v>
      </c>
      <c r="E225" s="676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68"/>
      <c r="R225" s="668"/>
      <c r="S225" s="668"/>
      <c r="T225" s="669"/>
      <c r="U225" s="34"/>
      <c r="V225" s="34"/>
      <c r="W225" s="35" t="s">
        <v>68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2"/>
      <c r="B226" s="673"/>
      <c r="C226" s="673"/>
      <c r="D226" s="673"/>
      <c r="E226" s="673"/>
      <c r="F226" s="673"/>
      <c r="G226" s="673"/>
      <c r="H226" s="673"/>
      <c r="I226" s="673"/>
      <c r="J226" s="673"/>
      <c r="K226" s="673"/>
      <c r="L226" s="673"/>
      <c r="M226" s="673"/>
      <c r="N226" s="673"/>
      <c r="O226" s="674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2.916666666666667</v>
      </c>
      <c r="Y226" s="665">
        <f>IFERROR(Y224/H224,"0")+IFERROR(Y225/H225,"0")</f>
        <v>3</v>
      </c>
      <c r="Z226" s="665">
        <f>IFERROR(IF(Z224="",0,Z224),"0")+IFERROR(IF(Z225="",0,Z225),"0")</f>
        <v>1.9529999999999999E-2</v>
      </c>
      <c r="AA226" s="666"/>
      <c r="AB226" s="666"/>
      <c r="AC226" s="666"/>
    </row>
    <row r="227" spans="1:68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7</v>
      </c>
      <c r="Y227" s="665">
        <f>IFERROR(SUM(Y224:Y225),"0")</f>
        <v>7.1999999999999993</v>
      </c>
      <c r="Z227" s="37"/>
      <c r="AA227" s="666"/>
      <c r="AB227" s="666"/>
      <c r="AC227" s="666"/>
    </row>
    <row r="228" spans="1:68" ht="16.5" hidden="1" customHeight="1" x14ac:dyDescent="0.25">
      <c r="A228" s="716" t="s">
        <v>380</v>
      </c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3"/>
      <c r="P228" s="673"/>
      <c r="Q228" s="673"/>
      <c r="R228" s="673"/>
      <c r="S228" s="673"/>
      <c r="T228" s="673"/>
      <c r="U228" s="673"/>
      <c r="V228" s="673"/>
      <c r="W228" s="673"/>
      <c r="X228" s="673"/>
      <c r="Y228" s="673"/>
      <c r="Z228" s="673"/>
      <c r="AA228" s="658"/>
      <c r="AB228" s="658"/>
      <c r="AC228" s="658"/>
    </row>
    <row r="229" spans="1:68" ht="14.25" hidden="1" customHeight="1" x14ac:dyDescent="0.25">
      <c r="A229" s="679" t="s">
        <v>97</v>
      </c>
      <c r="B229" s="673"/>
      <c r="C229" s="673"/>
      <c r="D229" s="673"/>
      <c r="E229" s="673"/>
      <c r="F229" s="673"/>
      <c r="G229" s="673"/>
      <c r="H229" s="673"/>
      <c r="I229" s="673"/>
      <c r="J229" s="673"/>
      <c r="K229" s="673"/>
      <c r="L229" s="673"/>
      <c r="M229" s="673"/>
      <c r="N229" s="673"/>
      <c r="O229" s="673"/>
      <c r="P229" s="673"/>
      <c r="Q229" s="673"/>
      <c r="R229" s="673"/>
      <c r="S229" s="673"/>
      <c r="T229" s="673"/>
      <c r="U229" s="673"/>
      <c r="V229" s="673"/>
      <c r="W229" s="673"/>
      <c r="X229" s="673"/>
      <c r="Y229" s="673"/>
      <c r="Z229" s="673"/>
      <c r="AA229" s="659"/>
      <c r="AB229" s="659"/>
      <c r="AC229" s="659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675">
        <v>4680115884137</v>
      </c>
      <c r="E230" s="676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68"/>
      <c r="R230" s="668"/>
      <c r="S230" s="668"/>
      <c r="T230" s="669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381</v>
      </c>
      <c r="B231" s="54" t="s">
        <v>384</v>
      </c>
      <c r="C231" s="31">
        <v>4301011942</v>
      </c>
      <c r="D231" s="675">
        <v>4680115884137</v>
      </c>
      <c r="E231" s="676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68"/>
      <c r="R231" s="668"/>
      <c r="S231" s="668"/>
      <c r="T231" s="669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4301011724</v>
      </c>
      <c r="D232" s="675">
        <v>4680115884236</v>
      </c>
      <c r="E232" s="676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68"/>
      <c r="R232" s="668"/>
      <c r="S232" s="668"/>
      <c r="T232" s="669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4301011721</v>
      </c>
      <c r="D233" s="675">
        <v>4680115884175</v>
      </c>
      <c r="E233" s="676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68"/>
      <c r="R233" s="668"/>
      <c r="S233" s="668"/>
      <c r="T233" s="669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390</v>
      </c>
      <c r="B234" s="54" t="s">
        <v>393</v>
      </c>
      <c r="C234" s="31">
        <v>4301011941</v>
      </c>
      <c r="D234" s="675">
        <v>4680115884175</v>
      </c>
      <c r="E234" s="676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68"/>
      <c r="R234" s="668"/>
      <c r="S234" s="668"/>
      <c r="T234" s="669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4301011824</v>
      </c>
      <c r="D235" s="675">
        <v>4680115884144</v>
      </c>
      <c r="E235" s="676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9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68"/>
      <c r="R235" s="668"/>
      <c r="S235" s="668"/>
      <c r="T235" s="669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4301011726</v>
      </c>
      <c r="D236" s="675">
        <v>4680115884182</v>
      </c>
      <c r="E236" s="676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68"/>
      <c r="R236" s="668"/>
      <c r="S236" s="668"/>
      <c r="T236" s="669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675">
        <v>4680115884205</v>
      </c>
      <c r="E237" s="676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68"/>
      <c r="R237" s="668"/>
      <c r="S237" s="668"/>
      <c r="T237" s="669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2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hidden="1" x14ac:dyDescent="0.2">
      <c r="A239" s="673"/>
      <c r="B239" s="673"/>
      <c r="C239" s="673"/>
      <c r="D239" s="673"/>
      <c r="E239" s="673"/>
      <c r="F239" s="673"/>
      <c r="G239" s="673"/>
      <c r="H239" s="673"/>
      <c r="I239" s="673"/>
      <c r="J239" s="673"/>
      <c r="K239" s="673"/>
      <c r="L239" s="673"/>
      <c r="M239" s="673"/>
      <c r="N239" s="673"/>
      <c r="O239" s="674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hidden="1" customHeight="1" x14ac:dyDescent="0.25">
      <c r="A240" s="679" t="s">
        <v>133</v>
      </c>
      <c r="B240" s="673"/>
      <c r="C240" s="673"/>
      <c r="D240" s="673"/>
      <c r="E240" s="673"/>
      <c r="F240" s="673"/>
      <c r="G240" s="673"/>
      <c r="H240" s="673"/>
      <c r="I240" s="673"/>
      <c r="J240" s="673"/>
      <c r="K240" s="673"/>
      <c r="L240" s="673"/>
      <c r="M240" s="673"/>
      <c r="N240" s="673"/>
      <c r="O240" s="673"/>
      <c r="P240" s="673"/>
      <c r="Q240" s="673"/>
      <c r="R240" s="673"/>
      <c r="S240" s="673"/>
      <c r="T240" s="673"/>
      <c r="U240" s="673"/>
      <c r="V240" s="673"/>
      <c r="W240" s="673"/>
      <c r="X240" s="673"/>
      <c r="Y240" s="673"/>
      <c r="Z240" s="673"/>
      <c r="AA240" s="659"/>
      <c r="AB240" s="659"/>
      <c r="AC240" s="659"/>
    </row>
    <row r="241" spans="1:68" ht="27" hidden="1" customHeight="1" x14ac:dyDescent="0.25">
      <c r="A241" s="54" t="s">
        <v>400</v>
      </c>
      <c r="B241" s="54" t="s">
        <v>401</v>
      </c>
      <c r="C241" s="31">
        <v>4301020377</v>
      </c>
      <c r="D241" s="675">
        <v>4680115885981</v>
      </c>
      <c r="E241" s="676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5" t="s">
        <v>402</v>
      </c>
      <c r="Q241" s="668"/>
      <c r="R241" s="668"/>
      <c r="S241" s="668"/>
      <c r="T241" s="669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400</v>
      </c>
      <c r="B242" s="54" t="s">
        <v>404</v>
      </c>
      <c r="C242" s="31">
        <v>4301020340</v>
      </c>
      <c r="D242" s="675">
        <v>4680115885721</v>
      </c>
      <c r="E242" s="676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68"/>
      <c r="R242" s="668"/>
      <c r="S242" s="668"/>
      <c r="T242" s="669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2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9" t="s">
        <v>405</v>
      </c>
      <c r="B245" s="673"/>
      <c r="C245" s="673"/>
      <c r="D245" s="673"/>
      <c r="E245" s="673"/>
      <c r="F245" s="673"/>
      <c r="G245" s="673"/>
      <c r="H245" s="673"/>
      <c r="I245" s="673"/>
      <c r="J245" s="673"/>
      <c r="K245" s="673"/>
      <c r="L245" s="673"/>
      <c r="M245" s="673"/>
      <c r="N245" s="673"/>
      <c r="O245" s="673"/>
      <c r="P245" s="673"/>
      <c r="Q245" s="673"/>
      <c r="R245" s="673"/>
      <c r="S245" s="673"/>
      <c r="T245" s="673"/>
      <c r="U245" s="673"/>
      <c r="V245" s="673"/>
      <c r="W245" s="673"/>
      <c r="X245" s="673"/>
      <c r="Y245" s="673"/>
      <c r="Z245" s="673"/>
      <c r="AA245" s="659"/>
      <c r="AB245" s="659"/>
      <c r="AC245" s="659"/>
    </row>
    <row r="246" spans="1:68" ht="27" customHeight="1" x14ac:dyDescent="0.25">
      <c r="A246" s="54" t="s">
        <v>406</v>
      </c>
      <c r="B246" s="54" t="s">
        <v>407</v>
      </c>
      <c r="C246" s="31">
        <v>4301040361</v>
      </c>
      <c r="D246" s="675">
        <v>4680115886803</v>
      </c>
      <c r="E246" s="676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792" t="s">
        <v>408</v>
      </c>
      <c r="Q246" s="668"/>
      <c r="R246" s="668"/>
      <c r="S246" s="668"/>
      <c r="T246" s="669"/>
      <c r="U246" s="34"/>
      <c r="V246" s="34"/>
      <c r="W246" s="35" t="s">
        <v>68</v>
      </c>
      <c r="X246" s="663">
        <v>2</v>
      </c>
      <c r="Y246" s="664">
        <f>IFERROR(IF(X246="",0,CEILING((X246/$H246),1)*$H246),"")</f>
        <v>2.16</v>
      </c>
      <c r="Z246" s="36">
        <f>IFERROR(IF(Y246=0,"",ROUNDUP(Y246/H246,0)*0.0059),"")</f>
        <v>5.8999999999999999E-3</v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2.175925925925926</v>
      </c>
      <c r="BN246" s="64">
        <f>IFERROR(Y246*I246/H246,"0")</f>
        <v>2.35</v>
      </c>
      <c r="BO246" s="64">
        <f>IFERROR(1/J246*(X246/H246),"0")</f>
        <v>4.2866941015089156E-3</v>
      </c>
      <c r="BP246" s="64">
        <f>IFERROR(1/J246*(Y246/H246),"0")</f>
        <v>4.6296296296296294E-3</v>
      </c>
    </row>
    <row r="247" spans="1:68" x14ac:dyDescent="0.2">
      <c r="A247" s="672"/>
      <c r="B247" s="673"/>
      <c r="C247" s="673"/>
      <c r="D247" s="673"/>
      <c r="E247" s="673"/>
      <c r="F247" s="673"/>
      <c r="G247" s="673"/>
      <c r="H247" s="673"/>
      <c r="I247" s="673"/>
      <c r="J247" s="673"/>
      <c r="K247" s="673"/>
      <c r="L247" s="673"/>
      <c r="M247" s="673"/>
      <c r="N247" s="673"/>
      <c r="O247" s="674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0.92592592592592582</v>
      </c>
      <c r="Y247" s="665">
        <f>IFERROR(Y246/H246,"0")</f>
        <v>1</v>
      </c>
      <c r="Z247" s="665">
        <f>IFERROR(IF(Z246="",0,Z246),"0")</f>
        <v>5.8999999999999999E-3</v>
      </c>
      <c r="AA247" s="666"/>
      <c r="AB247" s="666"/>
      <c r="AC247" s="666"/>
    </row>
    <row r="248" spans="1:68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2</v>
      </c>
      <c r="Y248" s="665">
        <f>IFERROR(SUM(Y246:Y246),"0")</f>
        <v>2.16</v>
      </c>
      <c r="Z248" s="37"/>
      <c r="AA248" s="666"/>
      <c r="AB248" s="666"/>
      <c r="AC248" s="666"/>
    </row>
    <row r="249" spans="1:68" ht="14.25" hidden="1" customHeight="1" x14ac:dyDescent="0.25">
      <c r="A249" s="679" t="s">
        <v>410</v>
      </c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3"/>
      <c r="T249" s="673"/>
      <c r="U249" s="673"/>
      <c r="V249" s="673"/>
      <c r="W249" s="673"/>
      <c r="X249" s="673"/>
      <c r="Y249" s="673"/>
      <c r="Z249" s="673"/>
      <c r="AA249" s="659"/>
      <c r="AB249" s="659"/>
      <c r="AC249" s="659"/>
    </row>
    <row r="250" spans="1:68" ht="27" hidden="1" customHeight="1" x14ac:dyDescent="0.25">
      <c r="A250" s="54" t="s">
        <v>411</v>
      </c>
      <c r="B250" s="54" t="s">
        <v>412</v>
      </c>
      <c r="C250" s="31">
        <v>4301041003</v>
      </c>
      <c r="D250" s="675">
        <v>4680115886681</v>
      </c>
      <c r="E250" s="676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7" t="s">
        <v>413</v>
      </c>
      <c r="Q250" s="668"/>
      <c r="R250" s="668"/>
      <c r="S250" s="668"/>
      <c r="T250" s="669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2"/>
      <c r="B251" s="673"/>
      <c r="C251" s="673"/>
      <c r="D251" s="673"/>
      <c r="E251" s="673"/>
      <c r="F251" s="673"/>
      <c r="G251" s="673"/>
      <c r="H251" s="673"/>
      <c r="I251" s="673"/>
      <c r="J251" s="673"/>
      <c r="K251" s="673"/>
      <c r="L251" s="673"/>
      <c r="M251" s="673"/>
      <c r="N251" s="673"/>
      <c r="O251" s="674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3"/>
      <c r="B252" s="673"/>
      <c r="C252" s="673"/>
      <c r="D252" s="673"/>
      <c r="E252" s="673"/>
      <c r="F252" s="673"/>
      <c r="G252" s="673"/>
      <c r="H252" s="673"/>
      <c r="I252" s="673"/>
      <c r="J252" s="673"/>
      <c r="K252" s="673"/>
      <c r="L252" s="673"/>
      <c r="M252" s="673"/>
      <c r="N252" s="673"/>
      <c r="O252" s="674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716" t="s">
        <v>415</v>
      </c>
      <c r="B253" s="673"/>
      <c r="C253" s="673"/>
      <c r="D253" s="673"/>
      <c r="E253" s="673"/>
      <c r="F253" s="673"/>
      <c r="G253" s="673"/>
      <c r="H253" s="673"/>
      <c r="I253" s="673"/>
      <c r="J253" s="673"/>
      <c r="K253" s="673"/>
      <c r="L253" s="673"/>
      <c r="M253" s="673"/>
      <c r="N253" s="673"/>
      <c r="O253" s="673"/>
      <c r="P253" s="673"/>
      <c r="Q253" s="673"/>
      <c r="R253" s="673"/>
      <c r="S253" s="673"/>
      <c r="T253" s="673"/>
      <c r="U253" s="673"/>
      <c r="V253" s="673"/>
      <c r="W253" s="673"/>
      <c r="X253" s="673"/>
      <c r="Y253" s="673"/>
      <c r="Z253" s="673"/>
      <c r="AA253" s="658"/>
      <c r="AB253" s="658"/>
      <c r="AC253" s="658"/>
    </row>
    <row r="254" spans="1:68" ht="14.25" hidden="1" customHeight="1" x14ac:dyDescent="0.25">
      <c r="A254" s="679" t="s">
        <v>97</v>
      </c>
      <c r="B254" s="673"/>
      <c r="C254" s="673"/>
      <c r="D254" s="673"/>
      <c r="E254" s="673"/>
      <c r="F254" s="673"/>
      <c r="G254" s="673"/>
      <c r="H254" s="673"/>
      <c r="I254" s="673"/>
      <c r="J254" s="673"/>
      <c r="K254" s="673"/>
      <c r="L254" s="673"/>
      <c r="M254" s="673"/>
      <c r="N254" s="673"/>
      <c r="O254" s="673"/>
      <c r="P254" s="673"/>
      <c r="Q254" s="673"/>
      <c r="R254" s="673"/>
      <c r="S254" s="673"/>
      <c r="T254" s="673"/>
      <c r="U254" s="673"/>
      <c r="V254" s="673"/>
      <c r="W254" s="673"/>
      <c r="X254" s="673"/>
      <c r="Y254" s="673"/>
      <c r="Z254" s="673"/>
      <c r="AA254" s="659"/>
      <c r="AB254" s="659"/>
      <c r="AC254" s="659"/>
    </row>
    <row r="255" spans="1:68" ht="27" hidden="1" customHeight="1" x14ac:dyDescent="0.25">
      <c r="A255" s="54" t="s">
        <v>416</v>
      </c>
      <c r="B255" s="54" t="s">
        <v>417</v>
      </c>
      <c r="C255" s="31">
        <v>4301011855</v>
      </c>
      <c r="D255" s="675">
        <v>4680115885837</v>
      </c>
      <c r="E255" s="676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68"/>
      <c r="R255" s="668"/>
      <c r="S255" s="668"/>
      <c r="T255" s="669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4301011850</v>
      </c>
      <c r="D256" s="675">
        <v>4680115885806</v>
      </c>
      <c r="E256" s="676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68"/>
      <c r="R256" s="668"/>
      <c r="S256" s="668"/>
      <c r="T256" s="669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419</v>
      </c>
      <c r="B257" s="54" t="s">
        <v>422</v>
      </c>
      <c r="C257" s="31">
        <v>4301011910</v>
      </c>
      <c r="D257" s="675">
        <v>4680115885806</v>
      </c>
      <c r="E257" s="676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4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68"/>
      <c r="R257" s="668"/>
      <c r="S257" s="668"/>
      <c r="T257" s="669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424</v>
      </c>
      <c r="B258" s="54" t="s">
        <v>425</v>
      </c>
      <c r="C258" s="31">
        <v>4301011853</v>
      </c>
      <c r="D258" s="675">
        <v>4680115885851</v>
      </c>
      <c r="E258" s="676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9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68"/>
      <c r="R258" s="668"/>
      <c r="S258" s="668"/>
      <c r="T258" s="669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427</v>
      </c>
      <c r="B259" s="54" t="s">
        <v>428</v>
      </c>
      <c r="C259" s="31">
        <v>4301011852</v>
      </c>
      <c r="D259" s="675">
        <v>4680115885844</v>
      </c>
      <c r="E259" s="676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68"/>
      <c r="R259" s="668"/>
      <c r="S259" s="668"/>
      <c r="T259" s="669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430</v>
      </c>
      <c r="B260" s="54" t="s">
        <v>431</v>
      </c>
      <c r="C260" s="31">
        <v>4301011851</v>
      </c>
      <c r="D260" s="675">
        <v>4680115885820</v>
      </c>
      <c r="E260" s="676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68"/>
      <c r="R260" s="668"/>
      <c r="S260" s="668"/>
      <c r="T260" s="669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2"/>
      <c r="B261" s="673"/>
      <c r="C261" s="673"/>
      <c r="D261" s="673"/>
      <c r="E261" s="673"/>
      <c r="F261" s="673"/>
      <c r="G261" s="673"/>
      <c r="H261" s="673"/>
      <c r="I261" s="673"/>
      <c r="J261" s="673"/>
      <c r="K261" s="673"/>
      <c r="L261" s="673"/>
      <c r="M261" s="673"/>
      <c r="N261" s="673"/>
      <c r="O261" s="674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3"/>
      <c r="B262" s="673"/>
      <c r="C262" s="673"/>
      <c r="D262" s="673"/>
      <c r="E262" s="673"/>
      <c r="F262" s="673"/>
      <c r="G262" s="673"/>
      <c r="H262" s="673"/>
      <c r="I262" s="673"/>
      <c r="J262" s="673"/>
      <c r="K262" s="673"/>
      <c r="L262" s="673"/>
      <c r="M262" s="673"/>
      <c r="N262" s="673"/>
      <c r="O262" s="674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716" t="s">
        <v>433</v>
      </c>
      <c r="B263" s="673"/>
      <c r="C263" s="673"/>
      <c r="D263" s="673"/>
      <c r="E263" s="673"/>
      <c r="F263" s="673"/>
      <c r="G263" s="673"/>
      <c r="H263" s="673"/>
      <c r="I263" s="673"/>
      <c r="J263" s="673"/>
      <c r="K263" s="673"/>
      <c r="L263" s="673"/>
      <c r="M263" s="673"/>
      <c r="N263" s="673"/>
      <c r="O263" s="673"/>
      <c r="P263" s="673"/>
      <c r="Q263" s="673"/>
      <c r="R263" s="673"/>
      <c r="S263" s="673"/>
      <c r="T263" s="673"/>
      <c r="U263" s="673"/>
      <c r="V263" s="673"/>
      <c r="W263" s="673"/>
      <c r="X263" s="673"/>
      <c r="Y263" s="673"/>
      <c r="Z263" s="673"/>
      <c r="AA263" s="658"/>
      <c r="AB263" s="658"/>
      <c r="AC263" s="658"/>
    </row>
    <row r="264" spans="1:68" ht="14.25" hidden="1" customHeight="1" x14ac:dyDescent="0.25">
      <c r="A264" s="679" t="s">
        <v>97</v>
      </c>
      <c r="B264" s="673"/>
      <c r="C264" s="673"/>
      <c r="D264" s="673"/>
      <c r="E264" s="673"/>
      <c r="F264" s="673"/>
      <c r="G264" s="673"/>
      <c r="H264" s="673"/>
      <c r="I264" s="673"/>
      <c r="J264" s="673"/>
      <c r="K264" s="673"/>
      <c r="L264" s="673"/>
      <c r="M264" s="673"/>
      <c r="N264" s="673"/>
      <c r="O264" s="673"/>
      <c r="P264" s="673"/>
      <c r="Q264" s="673"/>
      <c r="R264" s="673"/>
      <c r="S264" s="673"/>
      <c r="T264" s="673"/>
      <c r="U264" s="673"/>
      <c r="V264" s="673"/>
      <c r="W264" s="673"/>
      <c r="X264" s="673"/>
      <c r="Y264" s="673"/>
      <c r="Z264" s="673"/>
      <c r="AA264" s="659"/>
      <c r="AB264" s="659"/>
      <c r="AC264" s="659"/>
    </row>
    <row r="265" spans="1:68" ht="37.5" hidden="1" customHeight="1" x14ac:dyDescent="0.25">
      <c r="A265" s="54" t="s">
        <v>434</v>
      </c>
      <c r="B265" s="54" t="s">
        <v>435</v>
      </c>
      <c r="C265" s="31">
        <v>4301011876</v>
      </c>
      <c r="D265" s="675">
        <v>4680115885707</v>
      </c>
      <c r="E265" s="676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3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68"/>
      <c r="R265" s="668"/>
      <c r="S265" s="668"/>
      <c r="T265" s="669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2"/>
      <c r="B266" s="673"/>
      <c r="C266" s="673"/>
      <c r="D266" s="673"/>
      <c r="E266" s="673"/>
      <c r="F266" s="673"/>
      <c r="G266" s="673"/>
      <c r="H266" s="673"/>
      <c r="I266" s="673"/>
      <c r="J266" s="673"/>
      <c r="K266" s="673"/>
      <c r="L266" s="673"/>
      <c r="M266" s="673"/>
      <c r="N266" s="673"/>
      <c r="O266" s="674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3"/>
      <c r="B267" s="673"/>
      <c r="C267" s="673"/>
      <c r="D267" s="673"/>
      <c r="E267" s="673"/>
      <c r="F267" s="673"/>
      <c r="G267" s="673"/>
      <c r="H267" s="673"/>
      <c r="I267" s="673"/>
      <c r="J267" s="673"/>
      <c r="K267" s="673"/>
      <c r="L267" s="673"/>
      <c r="M267" s="673"/>
      <c r="N267" s="673"/>
      <c r="O267" s="674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16" t="s">
        <v>437</v>
      </c>
      <c r="B268" s="673"/>
      <c r="C268" s="673"/>
      <c r="D268" s="673"/>
      <c r="E268" s="673"/>
      <c r="F268" s="673"/>
      <c r="G268" s="673"/>
      <c r="H268" s="673"/>
      <c r="I268" s="673"/>
      <c r="J268" s="673"/>
      <c r="K268" s="673"/>
      <c r="L268" s="673"/>
      <c r="M268" s="673"/>
      <c r="N268" s="673"/>
      <c r="O268" s="673"/>
      <c r="P268" s="673"/>
      <c r="Q268" s="673"/>
      <c r="R268" s="673"/>
      <c r="S268" s="673"/>
      <c r="T268" s="673"/>
      <c r="U268" s="673"/>
      <c r="V268" s="673"/>
      <c r="W268" s="673"/>
      <c r="X268" s="673"/>
      <c r="Y268" s="673"/>
      <c r="Z268" s="673"/>
      <c r="AA268" s="658"/>
      <c r="AB268" s="658"/>
      <c r="AC268" s="658"/>
    </row>
    <row r="269" spans="1:68" ht="14.25" hidden="1" customHeight="1" x14ac:dyDescent="0.25">
      <c r="A269" s="679" t="s">
        <v>97</v>
      </c>
      <c r="B269" s="673"/>
      <c r="C269" s="673"/>
      <c r="D269" s="673"/>
      <c r="E269" s="673"/>
      <c r="F269" s="673"/>
      <c r="G269" s="673"/>
      <c r="H269" s="673"/>
      <c r="I269" s="673"/>
      <c r="J269" s="673"/>
      <c r="K269" s="673"/>
      <c r="L269" s="673"/>
      <c r="M269" s="673"/>
      <c r="N269" s="673"/>
      <c r="O269" s="673"/>
      <c r="P269" s="673"/>
      <c r="Q269" s="673"/>
      <c r="R269" s="673"/>
      <c r="S269" s="673"/>
      <c r="T269" s="673"/>
      <c r="U269" s="673"/>
      <c r="V269" s="673"/>
      <c r="W269" s="673"/>
      <c r="X269" s="673"/>
      <c r="Y269" s="673"/>
      <c r="Z269" s="673"/>
      <c r="AA269" s="659"/>
      <c r="AB269" s="659"/>
      <c r="AC269" s="659"/>
    </row>
    <row r="270" spans="1:68" ht="27" hidden="1" customHeight="1" x14ac:dyDescent="0.25">
      <c r="A270" s="54" t="s">
        <v>438</v>
      </c>
      <c r="B270" s="54" t="s">
        <v>439</v>
      </c>
      <c r="C270" s="31">
        <v>4301011223</v>
      </c>
      <c r="D270" s="675">
        <v>4607091383423</v>
      </c>
      <c r="E270" s="676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68"/>
      <c r="R270" s="668"/>
      <c r="S270" s="668"/>
      <c r="T270" s="669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440</v>
      </c>
      <c r="B271" s="54" t="s">
        <v>441</v>
      </c>
      <c r="C271" s="31">
        <v>4301012099</v>
      </c>
      <c r="D271" s="675">
        <v>4680115885691</v>
      </c>
      <c r="E271" s="676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68"/>
      <c r="R271" s="668"/>
      <c r="S271" s="668"/>
      <c r="T271" s="669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443</v>
      </c>
      <c r="B272" s="54" t="s">
        <v>444</v>
      </c>
      <c r="C272" s="31">
        <v>4301012098</v>
      </c>
      <c r="D272" s="675">
        <v>4680115885660</v>
      </c>
      <c r="E272" s="676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68"/>
      <c r="R272" s="668"/>
      <c r="S272" s="668"/>
      <c r="T272" s="669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2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3"/>
      <c r="B274" s="673"/>
      <c r="C274" s="673"/>
      <c r="D274" s="673"/>
      <c r="E274" s="673"/>
      <c r="F274" s="673"/>
      <c r="G274" s="673"/>
      <c r="H274" s="673"/>
      <c r="I274" s="673"/>
      <c r="J274" s="673"/>
      <c r="K274" s="673"/>
      <c r="L274" s="673"/>
      <c r="M274" s="673"/>
      <c r="N274" s="673"/>
      <c r="O274" s="674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16" t="s">
        <v>446</v>
      </c>
      <c r="B275" s="673"/>
      <c r="C275" s="673"/>
      <c r="D275" s="673"/>
      <c r="E275" s="673"/>
      <c r="F275" s="673"/>
      <c r="G275" s="673"/>
      <c r="H275" s="673"/>
      <c r="I275" s="673"/>
      <c r="J275" s="673"/>
      <c r="K275" s="673"/>
      <c r="L275" s="673"/>
      <c r="M275" s="673"/>
      <c r="N275" s="673"/>
      <c r="O275" s="673"/>
      <c r="P275" s="673"/>
      <c r="Q275" s="673"/>
      <c r="R275" s="673"/>
      <c r="S275" s="673"/>
      <c r="T275" s="673"/>
      <c r="U275" s="673"/>
      <c r="V275" s="673"/>
      <c r="W275" s="673"/>
      <c r="X275" s="673"/>
      <c r="Y275" s="673"/>
      <c r="Z275" s="673"/>
      <c r="AA275" s="658"/>
      <c r="AB275" s="658"/>
      <c r="AC275" s="658"/>
    </row>
    <row r="276" spans="1:68" ht="14.25" hidden="1" customHeight="1" x14ac:dyDescent="0.25">
      <c r="A276" s="679" t="s">
        <v>63</v>
      </c>
      <c r="B276" s="673"/>
      <c r="C276" s="673"/>
      <c r="D276" s="673"/>
      <c r="E276" s="673"/>
      <c r="F276" s="673"/>
      <c r="G276" s="673"/>
      <c r="H276" s="673"/>
      <c r="I276" s="673"/>
      <c r="J276" s="673"/>
      <c r="K276" s="673"/>
      <c r="L276" s="673"/>
      <c r="M276" s="673"/>
      <c r="N276" s="673"/>
      <c r="O276" s="673"/>
      <c r="P276" s="673"/>
      <c r="Q276" s="673"/>
      <c r="R276" s="673"/>
      <c r="S276" s="673"/>
      <c r="T276" s="673"/>
      <c r="U276" s="673"/>
      <c r="V276" s="673"/>
      <c r="W276" s="673"/>
      <c r="X276" s="673"/>
      <c r="Y276" s="673"/>
      <c r="Z276" s="673"/>
      <c r="AA276" s="659"/>
      <c r="AB276" s="659"/>
      <c r="AC276" s="659"/>
    </row>
    <row r="277" spans="1:68" ht="37.5" hidden="1" customHeight="1" x14ac:dyDescent="0.25">
      <c r="A277" s="54" t="s">
        <v>447</v>
      </c>
      <c r="B277" s="54" t="s">
        <v>448</v>
      </c>
      <c r="C277" s="31">
        <v>4301051940</v>
      </c>
      <c r="D277" s="675">
        <v>4680115881037</v>
      </c>
      <c r="E277" s="676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68"/>
      <c r="R277" s="668"/>
      <c r="S277" s="668"/>
      <c r="T277" s="669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450</v>
      </c>
      <c r="B278" s="54" t="s">
        <v>451</v>
      </c>
      <c r="C278" s="31">
        <v>4301051893</v>
      </c>
      <c r="D278" s="675">
        <v>4680115886186</v>
      </c>
      <c r="E278" s="676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68"/>
      <c r="R278" s="668"/>
      <c r="S278" s="668"/>
      <c r="T278" s="669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75">
        <v>4680115881228</v>
      </c>
      <c r="E279" s="676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68"/>
      <c r="R279" s="668"/>
      <c r="S279" s="668"/>
      <c r="T279" s="669"/>
      <c r="U279" s="34"/>
      <c r="V279" s="34"/>
      <c r="W279" s="35" t="s">
        <v>68</v>
      </c>
      <c r="X279" s="663">
        <v>29</v>
      </c>
      <c r="Y279" s="664">
        <f>IFERROR(IF(X279="",0,CEILING((X279/$H279),1)*$H279),"")</f>
        <v>31.2</v>
      </c>
      <c r="Z279" s="36">
        <f>IFERROR(IF(Y279=0,"",ROUNDUP(Y279/H279,0)*0.00651),"")</f>
        <v>8.4629999999999997E-2</v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32.045000000000002</v>
      </c>
      <c r="BN279" s="64">
        <f>IFERROR(Y279*I279/H279,"0")</f>
        <v>34.476000000000006</v>
      </c>
      <c r="BO279" s="64">
        <f>IFERROR(1/J279*(X279/H279),"0")</f>
        <v>6.6391941391941406E-2</v>
      </c>
      <c r="BP279" s="64">
        <f>IFERROR(1/J279*(Y279/H279),"0")</f>
        <v>7.1428571428571438E-2</v>
      </c>
    </row>
    <row r="280" spans="1:68" ht="37.5" hidden="1" customHeight="1" x14ac:dyDescent="0.25">
      <c r="A280" s="54" t="s">
        <v>455</v>
      </c>
      <c r="B280" s="54" t="s">
        <v>456</v>
      </c>
      <c r="C280" s="31">
        <v>4301051388</v>
      </c>
      <c r="D280" s="675">
        <v>4680115881211</v>
      </c>
      <c r="E280" s="676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68"/>
      <c r="R280" s="668"/>
      <c r="S280" s="668"/>
      <c r="T280" s="669"/>
      <c r="U280" s="34"/>
      <c r="V280" s="34"/>
      <c r="W280" s="35" t="s">
        <v>68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458</v>
      </c>
      <c r="B281" s="54" t="s">
        <v>459</v>
      </c>
      <c r="C281" s="31">
        <v>4301051386</v>
      </c>
      <c r="D281" s="675">
        <v>4680115881020</v>
      </c>
      <c r="E281" s="676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68"/>
      <c r="R281" s="668"/>
      <c r="S281" s="668"/>
      <c r="T281" s="669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2"/>
      <c r="B282" s="673"/>
      <c r="C282" s="673"/>
      <c r="D282" s="673"/>
      <c r="E282" s="673"/>
      <c r="F282" s="673"/>
      <c r="G282" s="673"/>
      <c r="H282" s="673"/>
      <c r="I282" s="673"/>
      <c r="J282" s="673"/>
      <c r="K282" s="673"/>
      <c r="L282" s="673"/>
      <c r="M282" s="673"/>
      <c r="N282" s="673"/>
      <c r="O282" s="674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12.083333333333334</v>
      </c>
      <c r="Y282" s="665">
        <f>IFERROR(Y277/H277,"0")+IFERROR(Y278/H278,"0")+IFERROR(Y279/H279,"0")+IFERROR(Y280/H280,"0")+IFERROR(Y281/H281,"0")</f>
        <v>13</v>
      </c>
      <c r="Z282" s="665">
        <f>IFERROR(IF(Z277="",0,Z277),"0")+IFERROR(IF(Z278="",0,Z278),"0")+IFERROR(IF(Z279="",0,Z279),"0")+IFERROR(IF(Z280="",0,Z280),"0")+IFERROR(IF(Z281="",0,Z281),"0")</f>
        <v>8.4629999999999997E-2</v>
      </c>
      <c r="AA282" s="666"/>
      <c r="AB282" s="666"/>
      <c r="AC282" s="666"/>
    </row>
    <row r="283" spans="1:68" x14ac:dyDescent="0.2">
      <c r="A283" s="673"/>
      <c r="B283" s="673"/>
      <c r="C283" s="673"/>
      <c r="D283" s="673"/>
      <c r="E283" s="673"/>
      <c r="F283" s="673"/>
      <c r="G283" s="673"/>
      <c r="H283" s="673"/>
      <c r="I283" s="673"/>
      <c r="J283" s="673"/>
      <c r="K283" s="673"/>
      <c r="L283" s="673"/>
      <c r="M283" s="673"/>
      <c r="N283" s="673"/>
      <c r="O283" s="674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29</v>
      </c>
      <c r="Y283" s="665">
        <f>IFERROR(SUM(Y277:Y281),"0")</f>
        <v>31.2</v>
      </c>
      <c r="Z283" s="37"/>
      <c r="AA283" s="666"/>
      <c r="AB283" s="666"/>
      <c r="AC283" s="666"/>
    </row>
    <row r="284" spans="1:68" ht="16.5" hidden="1" customHeight="1" x14ac:dyDescent="0.25">
      <c r="A284" s="716" t="s">
        <v>460</v>
      </c>
      <c r="B284" s="673"/>
      <c r="C284" s="673"/>
      <c r="D284" s="673"/>
      <c r="E284" s="673"/>
      <c r="F284" s="673"/>
      <c r="G284" s="673"/>
      <c r="H284" s="673"/>
      <c r="I284" s="673"/>
      <c r="J284" s="673"/>
      <c r="K284" s="673"/>
      <c r="L284" s="673"/>
      <c r="M284" s="673"/>
      <c r="N284" s="673"/>
      <c r="O284" s="673"/>
      <c r="P284" s="673"/>
      <c r="Q284" s="673"/>
      <c r="R284" s="673"/>
      <c r="S284" s="673"/>
      <c r="T284" s="673"/>
      <c r="U284" s="673"/>
      <c r="V284" s="673"/>
      <c r="W284" s="673"/>
      <c r="X284" s="673"/>
      <c r="Y284" s="673"/>
      <c r="Z284" s="673"/>
      <c r="AA284" s="658"/>
      <c r="AB284" s="658"/>
      <c r="AC284" s="658"/>
    </row>
    <row r="285" spans="1:68" ht="14.25" hidden="1" customHeight="1" x14ac:dyDescent="0.25">
      <c r="A285" s="679" t="s">
        <v>97</v>
      </c>
      <c r="B285" s="673"/>
      <c r="C285" s="673"/>
      <c r="D285" s="673"/>
      <c r="E285" s="673"/>
      <c r="F285" s="673"/>
      <c r="G285" s="673"/>
      <c r="H285" s="673"/>
      <c r="I285" s="673"/>
      <c r="J285" s="673"/>
      <c r="K285" s="673"/>
      <c r="L285" s="673"/>
      <c r="M285" s="673"/>
      <c r="N285" s="673"/>
      <c r="O285" s="673"/>
      <c r="P285" s="673"/>
      <c r="Q285" s="673"/>
      <c r="R285" s="673"/>
      <c r="S285" s="673"/>
      <c r="T285" s="673"/>
      <c r="U285" s="673"/>
      <c r="V285" s="673"/>
      <c r="W285" s="673"/>
      <c r="X285" s="673"/>
      <c r="Y285" s="673"/>
      <c r="Z285" s="673"/>
      <c r="AA285" s="659"/>
      <c r="AB285" s="659"/>
      <c r="AC285" s="659"/>
    </row>
    <row r="286" spans="1:68" ht="27" hidden="1" customHeight="1" x14ac:dyDescent="0.25">
      <c r="A286" s="54" t="s">
        <v>461</v>
      </c>
      <c r="B286" s="54" t="s">
        <v>462</v>
      </c>
      <c r="C286" s="31">
        <v>4301011306</v>
      </c>
      <c r="D286" s="675">
        <v>4607091389296</v>
      </c>
      <c r="E286" s="676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9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68"/>
      <c r="R286" s="668"/>
      <c r="S286" s="668"/>
      <c r="T286" s="669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2"/>
      <c r="B287" s="673"/>
      <c r="C287" s="673"/>
      <c r="D287" s="673"/>
      <c r="E287" s="673"/>
      <c r="F287" s="673"/>
      <c r="G287" s="673"/>
      <c r="H287" s="673"/>
      <c r="I287" s="673"/>
      <c r="J287" s="673"/>
      <c r="K287" s="673"/>
      <c r="L287" s="673"/>
      <c r="M287" s="673"/>
      <c r="N287" s="673"/>
      <c r="O287" s="674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9" t="s">
        <v>144</v>
      </c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3"/>
      <c r="P289" s="673"/>
      <c r="Q289" s="673"/>
      <c r="R289" s="673"/>
      <c r="S289" s="673"/>
      <c r="T289" s="673"/>
      <c r="U289" s="673"/>
      <c r="V289" s="673"/>
      <c r="W289" s="673"/>
      <c r="X289" s="673"/>
      <c r="Y289" s="673"/>
      <c r="Z289" s="673"/>
      <c r="AA289" s="659"/>
      <c r="AB289" s="659"/>
      <c r="AC289" s="659"/>
    </row>
    <row r="290" spans="1:68" ht="27" hidden="1" customHeight="1" x14ac:dyDescent="0.25">
      <c r="A290" s="54" t="s">
        <v>464</v>
      </c>
      <c r="B290" s="54" t="s">
        <v>465</v>
      </c>
      <c r="C290" s="31">
        <v>4301031307</v>
      </c>
      <c r="D290" s="675">
        <v>4680115880344</v>
      </c>
      <c r="E290" s="676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68"/>
      <c r="R290" s="668"/>
      <c r="S290" s="668"/>
      <c r="T290" s="669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2"/>
      <c r="B291" s="673"/>
      <c r="C291" s="673"/>
      <c r="D291" s="673"/>
      <c r="E291" s="673"/>
      <c r="F291" s="673"/>
      <c r="G291" s="673"/>
      <c r="H291" s="673"/>
      <c r="I291" s="673"/>
      <c r="J291" s="673"/>
      <c r="K291" s="673"/>
      <c r="L291" s="673"/>
      <c r="M291" s="673"/>
      <c r="N291" s="673"/>
      <c r="O291" s="674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9" t="s">
        <v>63</v>
      </c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3"/>
      <c r="P293" s="673"/>
      <c r="Q293" s="673"/>
      <c r="R293" s="673"/>
      <c r="S293" s="673"/>
      <c r="T293" s="673"/>
      <c r="U293" s="673"/>
      <c r="V293" s="673"/>
      <c r="W293" s="673"/>
      <c r="X293" s="673"/>
      <c r="Y293" s="673"/>
      <c r="Z293" s="673"/>
      <c r="AA293" s="659"/>
      <c r="AB293" s="659"/>
      <c r="AC293" s="659"/>
    </row>
    <row r="294" spans="1:68" ht="27" hidden="1" customHeight="1" x14ac:dyDescent="0.25">
      <c r="A294" s="54" t="s">
        <v>467</v>
      </c>
      <c r="B294" s="54" t="s">
        <v>468</v>
      </c>
      <c r="C294" s="31">
        <v>4301051782</v>
      </c>
      <c r="D294" s="675">
        <v>4680115884618</v>
      </c>
      <c r="E294" s="676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9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68"/>
      <c r="R294" s="668"/>
      <c r="S294" s="668"/>
      <c r="T294" s="669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2"/>
      <c r="B295" s="673"/>
      <c r="C295" s="673"/>
      <c r="D295" s="673"/>
      <c r="E295" s="673"/>
      <c r="F295" s="673"/>
      <c r="G295" s="673"/>
      <c r="H295" s="673"/>
      <c r="I295" s="673"/>
      <c r="J295" s="673"/>
      <c r="K295" s="673"/>
      <c r="L295" s="673"/>
      <c r="M295" s="673"/>
      <c r="N295" s="673"/>
      <c r="O295" s="674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716" t="s">
        <v>470</v>
      </c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3"/>
      <c r="P297" s="673"/>
      <c r="Q297" s="673"/>
      <c r="R297" s="673"/>
      <c r="S297" s="673"/>
      <c r="T297" s="673"/>
      <c r="U297" s="673"/>
      <c r="V297" s="673"/>
      <c r="W297" s="673"/>
      <c r="X297" s="673"/>
      <c r="Y297" s="673"/>
      <c r="Z297" s="673"/>
      <c r="AA297" s="658"/>
      <c r="AB297" s="658"/>
      <c r="AC297" s="658"/>
    </row>
    <row r="298" spans="1:68" ht="14.25" hidden="1" customHeight="1" x14ac:dyDescent="0.25">
      <c r="A298" s="679" t="s">
        <v>63</v>
      </c>
      <c r="B298" s="673"/>
      <c r="C298" s="673"/>
      <c r="D298" s="673"/>
      <c r="E298" s="673"/>
      <c r="F298" s="673"/>
      <c r="G298" s="673"/>
      <c r="H298" s="673"/>
      <c r="I298" s="673"/>
      <c r="J298" s="673"/>
      <c r="K298" s="673"/>
      <c r="L298" s="673"/>
      <c r="M298" s="673"/>
      <c r="N298" s="673"/>
      <c r="O298" s="673"/>
      <c r="P298" s="673"/>
      <c r="Q298" s="673"/>
      <c r="R298" s="673"/>
      <c r="S298" s="673"/>
      <c r="T298" s="673"/>
      <c r="U298" s="673"/>
      <c r="V298" s="673"/>
      <c r="W298" s="673"/>
      <c r="X298" s="673"/>
      <c r="Y298" s="673"/>
      <c r="Z298" s="673"/>
      <c r="AA298" s="659"/>
      <c r="AB298" s="659"/>
      <c r="AC298" s="659"/>
    </row>
    <row r="299" spans="1:68" ht="27" hidden="1" customHeight="1" x14ac:dyDescent="0.25">
      <c r="A299" s="54" t="s">
        <v>471</v>
      </c>
      <c r="B299" s="54" t="s">
        <v>472</v>
      </c>
      <c r="C299" s="31">
        <v>4301051277</v>
      </c>
      <c r="D299" s="675">
        <v>4680115880511</v>
      </c>
      <c r="E299" s="676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904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68"/>
      <c r="R299" s="668"/>
      <c r="S299" s="668"/>
      <c r="T299" s="669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2"/>
      <c r="B300" s="673"/>
      <c r="C300" s="673"/>
      <c r="D300" s="673"/>
      <c r="E300" s="673"/>
      <c r="F300" s="673"/>
      <c r="G300" s="673"/>
      <c r="H300" s="673"/>
      <c r="I300" s="673"/>
      <c r="J300" s="673"/>
      <c r="K300" s="673"/>
      <c r="L300" s="673"/>
      <c r="M300" s="673"/>
      <c r="N300" s="673"/>
      <c r="O300" s="674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3"/>
      <c r="B301" s="673"/>
      <c r="C301" s="673"/>
      <c r="D301" s="673"/>
      <c r="E301" s="673"/>
      <c r="F301" s="673"/>
      <c r="G301" s="673"/>
      <c r="H301" s="673"/>
      <c r="I301" s="673"/>
      <c r="J301" s="673"/>
      <c r="K301" s="673"/>
      <c r="L301" s="673"/>
      <c r="M301" s="673"/>
      <c r="N301" s="673"/>
      <c r="O301" s="674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16" t="s">
        <v>474</v>
      </c>
      <c r="B302" s="673"/>
      <c r="C302" s="673"/>
      <c r="D302" s="673"/>
      <c r="E302" s="673"/>
      <c r="F302" s="673"/>
      <c r="G302" s="673"/>
      <c r="H302" s="673"/>
      <c r="I302" s="673"/>
      <c r="J302" s="673"/>
      <c r="K302" s="673"/>
      <c r="L302" s="673"/>
      <c r="M302" s="673"/>
      <c r="N302" s="673"/>
      <c r="O302" s="673"/>
      <c r="P302" s="673"/>
      <c r="Q302" s="673"/>
      <c r="R302" s="673"/>
      <c r="S302" s="673"/>
      <c r="T302" s="673"/>
      <c r="U302" s="673"/>
      <c r="V302" s="673"/>
      <c r="W302" s="673"/>
      <c r="X302" s="673"/>
      <c r="Y302" s="673"/>
      <c r="Z302" s="673"/>
      <c r="AA302" s="658"/>
      <c r="AB302" s="658"/>
      <c r="AC302" s="658"/>
    </row>
    <row r="303" spans="1:68" ht="14.25" hidden="1" customHeight="1" x14ac:dyDescent="0.25">
      <c r="A303" s="679" t="s">
        <v>97</v>
      </c>
      <c r="B303" s="673"/>
      <c r="C303" s="673"/>
      <c r="D303" s="673"/>
      <c r="E303" s="673"/>
      <c r="F303" s="673"/>
      <c r="G303" s="673"/>
      <c r="H303" s="673"/>
      <c r="I303" s="673"/>
      <c r="J303" s="673"/>
      <c r="K303" s="673"/>
      <c r="L303" s="673"/>
      <c r="M303" s="673"/>
      <c r="N303" s="673"/>
      <c r="O303" s="673"/>
      <c r="P303" s="673"/>
      <c r="Q303" s="673"/>
      <c r="R303" s="673"/>
      <c r="S303" s="673"/>
      <c r="T303" s="673"/>
      <c r="U303" s="673"/>
      <c r="V303" s="673"/>
      <c r="W303" s="673"/>
      <c r="X303" s="673"/>
      <c r="Y303" s="673"/>
      <c r="Z303" s="673"/>
      <c r="AA303" s="659"/>
      <c r="AB303" s="659"/>
      <c r="AC303" s="659"/>
    </row>
    <row r="304" spans="1:68" ht="27" hidden="1" customHeight="1" x14ac:dyDescent="0.25">
      <c r="A304" s="54" t="s">
        <v>475</v>
      </c>
      <c r="B304" s="54" t="s">
        <v>476</v>
      </c>
      <c r="C304" s="31">
        <v>4301011594</v>
      </c>
      <c r="D304" s="675">
        <v>4680115883413</v>
      </c>
      <c r="E304" s="676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68"/>
      <c r="R304" s="668"/>
      <c r="S304" s="668"/>
      <c r="T304" s="669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2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3"/>
      <c r="B306" s="673"/>
      <c r="C306" s="673"/>
      <c r="D306" s="673"/>
      <c r="E306" s="673"/>
      <c r="F306" s="673"/>
      <c r="G306" s="673"/>
      <c r="H306" s="673"/>
      <c r="I306" s="673"/>
      <c r="J306" s="673"/>
      <c r="K306" s="673"/>
      <c r="L306" s="673"/>
      <c r="M306" s="673"/>
      <c r="N306" s="673"/>
      <c r="O306" s="674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9" t="s">
        <v>144</v>
      </c>
      <c r="B307" s="673"/>
      <c r="C307" s="673"/>
      <c r="D307" s="673"/>
      <c r="E307" s="673"/>
      <c r="F307" s="673"/>
      <c r="G307" s="673"/>
      <c r="H307" s="673"/>
      <c r="I307" s="673"/>
      <c r="J307" s="673"/>
      <c r="K307" s="673"/>
      <c r="L307" s="673"/>
      <c r="M307" s="673"/>
      <c r="N307" s="673"/>
      <c r="O307" s="673"/>
      <c r="P307" s="673"/>
      <c r="Q307" s="673"/>
      <c r="R307" s="673"/>
      <c r="S307" s="673"/>
      <c r="T307" s="673"/>
      <c r="U307" s="673"/>
      <c r="V307" s="673"/>
      <c r="W307" s="673"/>
      <c r="X307" s="673"/>
      <c r="Y307" s="673"/>
      <c r="Z307" s="673"/>
      <c r="AA307" s="659"/>
      <c r="AB307" s="659"/>
      <c r="AC307" s="659"/>
    </row>
    <row r="308" spans="1:68" ht="27" hidden="1" customHeight="1" x14ac:dyDescent="0.25">
      <c r="A308" s="54" t="s">
        <v>477</v>
      </c>
      <c r="B308" s="54" t="s">
        <v>478</v>
      </c>
      <c r="C308" s="31">
        <v>4301031305</v>
      </c>
      <c r="D308" s="675">
        <v>4607091389845</v>
      </c>
      <c r="E308" s="676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68"/>
      <c r="R308" s="668"/>
      <c r="S308" s="668"/>
      <c r="T308" s="669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480</v>
      </c>
      <c r="B309" s="54" t="s">
        <v>481</v>
      </c>
      <c r="C309" s="31">
        <v>4301031306</v>
      </c>
      <c r="D309" s="675">
        <v>4680115882881</v>
      </c>
      <c r="E309" s="676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68"/>
      <c r="R309" s="668"/>
      <c r="S309" s="668"/>
      <c r="T309" s="669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2"/>
      <c r="B310" s="673"/>
      <c r="C310" s="673"/>
      <c r="D310" s="673"/>
      <c r="E310" s="673"/>
      <c r="F310" s="673"/>
      <c r="G310" s="673"/>
      <c r="H310" s="673"/>
      <c r="I310" s="673"/>
      <c r="J310" s="673"/>
      <c r="K310" s="673"/>
      <c r="L310" s="673"/>
      <c r="M310" s="673"/>
      <c r="N310" s="673"/>
      <c r="O310" s="674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hidden="1" x14ac:dyDescent="0.2">
      <c r="A311" s="673"/>
      <c r="B311" s="673"/>
      <c r="C311" s="673"/>
      <c r="D311" s="673"/>
      <c r="E311" s="673"/>
      <c r="F311" s="673"/>
      <c r="G311" s="673"/>
      <c r="H311" s="673"/>
      <c r="I311" s="673"/>
      <c r="J311" s="673"/>
      <c r="K311" s="673"/>
      <c r="L311" s="673"/>
      <c r="M311" s="673"/>
      <c r="N311" s="673"/>
      <c r="O311" s="674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hidden="1" customHeight="1" x14ac:dyDescent="0.25">
      <c r="A312" s="716" t="s">
        <v>482</v>
      </c>
      <c r="B312" s="673"/>
      <c r="C312" s="673"/>
      <c r="D312" s="673"/>
      <c r="E312" s="673"/>
      <c r="F312" s="673"/>
      <c r="G312" s="673"/>
      <c r="H312" s="673"/>
      <c r="I312" s="673"/>
      <c r="J312" s="673"/>
      <c r="K312" s="673"/>
      <c r="L312" s="673"/>
      <c r="M312" s="673"/>
      <c r="N312" s="673"/>
      <c r="O312" s="673"/>
      <c r="P312" s="673"/>
      <c r="Q312" s="673"/>
      <c r="R312" s="673"/>
      <c r="S312" s="673"/>
      <c r="T312" s="673"/>
      <c r="U312" s="673"/>
      <c r="V312" s="673"/>
      <c r="W312" s="673"/>
      <c r="X312" s="673"/>
      <c r="Y312" s="673"/>
      <c r="Z312" s="673"/>
      <c r="AA312" s="658"/>
      <c r="AB312" s="658"/>
      <c r="AC312" s="658"/>
    </row>
    <row r="313" spans="1:68" ht="14.25" hidden="1" customHeight="1" x14ac:dyDescent="0.25">
      <c r="A313" s="679" t="s">
        <v>97</v>
      </c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3"/>
      <c r="P313" s="673"/>
      <c r="Q313" s="673"/>
      <c r="R313" s="673"/>
      <c r="S313" s="673"/>
      <c r="T313" s="673"/>
      <c r="U313" s="673"/>
      <c r="V313" s="673"/>
      <c r="W313" s="673"/>
      <c r="X313" s="673"/>
      <c r="Y313" s="673"/>
      <c r="Z313" s="673"/>
      <c r="AA313" s="659"/>
      <c r="AB313" s="659"/>
      <c r="AC313" s="659"/>
    </row>
    <row r="314" spans="1:68" ht="27" hidden="1" customHeight="1" x14ac:dyDescent="0.25">
      <c r="A314" s="54" t="s">
        <v>483</v>
      </c>
      <c r="B314" s="54" t="s">
        <v>484</v>
      </c>
      <c r="C314" s="31">
        <v>4301011662</v>
      </c>
      <c r="D314" s="675">
        <v>4680115883703</v>
      </c>
      <c r="E314" s="676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4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68"/>
      <c r="R314" s="668"/>
      <c r="S314" s="668"/>
      <c r="T314" s="669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2"/>
      <c r="B315" s="673"/>
      <c r="C315" s="673"/>
      <c r="D315" s="673"/>
      <c r="E315" s="673"/>
      <c r="F315" s="673"/>
      <c r="G315" s="673"/>
      <c r="H315" s="673"/>
      <c r="I315" s="673"/>
      <c r="J315" s="673"/>
      <c r="K315" s="673"/>
      <c r="L315" s="673"/>
      <c r="M315" s="673"/>
      <c r="N315" s="673"/>
      <c r="O315" s="674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3"/>
      <c r="B316" s="673"/>
      <c r="C316" s="673"/>
      <c r="D316" s="673"/>
      <c r="E316" s="673"/>
      <c r="F316" s="673"/>
      <c r="G316" s="673"/>
      <c r="H316" s="673"/>
      <c r="I316" s="673"/>
      <c r="J316" s="673"/>
      <c r="K316" s="673"/>
      <c r="L316" s="673"/>
      <c r="M316" s="673"/>
      <c r="N316" s="673"/>
      <c r="O316" s="674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16" t="s">
        <v>487</v>
      </c>
      <c r="B317" s="673"/>
      <c r="C317" s="673"/>
      <c r="D317" s="673"/>
      <c r="E317" s="673"/>
      <c r="F317" s="673"/>
      <c r="G317" s="673"/>
      <c r="H317" s="673"/>
      <c r="I317" s="673"/>
      <c r="J317" s="673"/>
      <c r="K317" s="673"/>
      <c r="L317" s="673"/>
      <c r="M317" s="673"/>
      <c r="N317" s="673"/>
      <c r="O317" s="673"/>
      <c r="P317" s="673"/>
      <c r="Q317" s="673"/>
      <c r="R317" s="673"/>
      <c r="S317" s="673"/>
      <c r="T317" s="673"/>
      <c r="U317" s="673"/>
      <c r="V317" s="673"/>
      <c r="W317" s="673"/>
      <c r="X317" s="673"/>
      <c r="Y317" s="673"/>
      <c r="Z317" s="673"/>
      <c r="AA317" s="658"/>
      <c r="AB317" s="658"/>
      <c r="AC317" s="658"/>
    </row>
    <row r="318" spans="1:68" ht="14.25" hidden="1" customHeight="1" x14ac:dyDescent="0.25">
      <c r="A318" s="679" t="s">
        <v>97</v>
      </c>
      <c r="B318" s="673"/>
      <c r="C318" s="673"/>
      <c r="D318" s="673"/>
      <c r="E318" s="673"/>
      <c r="F318" s="673"/>
      <c r="G318" s="673"/>
      <c r="H318" s="673"/>
      <c r="I318" s="673"/>
      <c r="J318" s="673"/>
      <c r="K318" s="673"/>
      <c r="L318" s="673"/>
      <c r="M318" s="673"/>
      <c r="N318" s="673"/>
      <c r="O318" s="673"/>
      <c r="P318" s="673"/>
      <c r="Q318" s="673"/>
      <c r="R318" s="673"/>
      <c r="S318" s="673"/>
      <c r="T318" s="673"/>
      <c r="U318" s="673"/>
      <c r="V318" s="673"/>
      <c r="W318" s="673"/>
      <c r="X318" s="673"/>
      <c r="Y318" s="673"/>
      <c r="Z318" s="673"/>
      <c r="AA318" s="659"/>
      <c r="AB318" s="659"/>
      <c r="AC318" s="659"/>
    </row>
    <row r="319" spans="1:68" ht="27" hidden="1" customHeight="1" x14ac:dyDescent="0.25">
      <c r="A319" s="54" t="s">
        <v>488</v>
      </c>
      <c r="B319" s="54" t="s">
        <v>489</v>
      </c>
      <c r="C319" s="31">
        <v>4301012024</v>
      </c>
      <c r="D319" s="675">
        <v>4680115885615</v>
      </c>
      <c r="E319" s="676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68"/>
      <c r="R319" s="668"/>
      <c r="S319" s="668"/>
      <c r="T319" s="669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4301012016</v>
      </c>
      <c r="D320" s="675">
        <v>4680115885554</v>
      </c>
      <c r="E320" s="676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68"/>
      <c r="R320" s="668"/>
      <c r="S320" s="668"/>
      <c r="T320" s="669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491</v>
      </c>
      <c r="B321" s="54" t="s">
        <v>494</v>
      </c>
      <c r="C321" s="31">
        <v>4301011911</v>
      </c>
      <c r="D321" s="675">
        <v>4680115885554</v>
      </c>
      <c r="E321" s="676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7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68"/>
      <c r="R321" s="668"/>
      <c r="S321" s="668"/>
      <c r="T321" s="669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496</v>
      </c>
      <c r="B322" s="54" t="s">
        <v>497</v>
      </c>
      <c r="C322" s="31">
        <v>4301011858</v>
      </c>
      <c r="D322" s="675">
        <v>4680115885646</v>
      </c>
      <c r="E322" s="676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91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68"/>
      <c r="R322" s="668"/>
      <c r="S322" s="668"/>
      <c r="T322" s="669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499</v>
      </c>
      <c r="B323" s="54" t="s">
        <v>500</v>
      </c>
      <c r="C323" s="31">
        <v>4301011857</v>
      </c>
      <c r="D323" s="675">
        <v>4680115885622</v>
      </c>
      <c r="E323" s="676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68"/>
      <c r="R323" s="668"/>
      <c r="S323" s="668"/>
      <c r="T323" s="669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502</v>
      </c>
      <c r="B324" s="54" t="s">
        <v>503</v>
      </c>
      <c r="C324" s="31">
        <v>4301011859</v>
      </c>
      <c r="D324" s="675">
        <v>4680115885608</v>
      </c>
      <c r="E324" s="676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68"/>
      <c r="R324" s="668"/>
      <c r="S324" s="668"/>
      <c r="T324" s="669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2"/>
      <c r="B325" s="673"/>
      <c r="C325" s="673"/>
      <c r="D325" s="673"/>
      <c r="E325" s="673"/>
      <c r="F325" s="673"/>
      <c r="G325" s="673"/>
      <c r="H325" s="673"/>
      <c r="I325" s="673"/>
      <c r="J325" s="673"/>
      <c r="K325" s="673"/>
      <c r="L325" s="673"/>
      <c r="M325" s="673"/>
      <c r="N325" s="673"/>
      <c r="O325" s="674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3"/>
      <c r="B326" s="673"/>
      <c r="C326" s="673"/>
      <c r="D326" s="673"/>
      <c r="E326" s="673"/>
      <c r="F326" s="673"/>
      <c r="G326" s="673"/>
      <c r="H326" s="673"/>
      <c r="I326" s="673"/>
      <c r="J326" s="673"/>
      <c r="K326" s="673"/>
      <c r="L326" s="673"/>
      <c r="M326" s="673"/>
      <c r="N326" s="673"/>
      <c r="O326" s="674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79" t="s">
        <v>144</v>
      </c>
      <c r="B327" s="673"/>
      <c r="C327" s="673"/>
      <c r="D327" s="673"/>
      <c r="E327" s="673"/>
      <c r="F327" s="673"/>
      <c r="G327" s="673"/>
      <c r="H327" s="673"/>
      <c r="I327" s="673"/>
      <c r="J327" s="673"/>
      <c r="K327" s="673"/>
      <c r="L327" s="673"/>
      <c r="M327" s="673"/>
      <c r="N327" s="673"/>
      <c r="O327" s="673"/>
      <c r="P327" s="673"/>
      <c r="Q327" s="673"/>
      <c r="R327" s="673"/>
      <c r="S327" s="673"/>
      <c r="T327" s="673"/>
      <c r="U327" s="673"/>
      <c r="V327" s="673"/>
      <c r="W327" s="673"/>
      <c r="X327" s="673"/>
      <c r="Y327" s="673"/>
      <c r="Z327" s="673"/>
      <c r="AA327" s="659"/>
      <c r="AB327" s="659"/>
      <c r="AC327" s="659"/>
    </row>
    <row r="328" spans="1:68" ht="27" hidden="1" customHeight="1" x14ac:dyDescent="0.25">
      <c r="A328" s="54" t="s">
        <v>504</v>
      </c>
      <c r="B328" s="54" t="s">
        <v>505</v>
      </c>
      <c r="C328" s="31">
        <v>4301030878</v>
      </c>
      <c r="D328" s="675">
        <v>4607091387193</v>
      </c>
      <c r="E328" s="676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68"/>
      <c r="R328" s="668"/>
      <c r="S328" s="668"/>
      <c r="T328" s="669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507</v>
      </c>
      <c r="B329" s="54" t="s">
        <v>508</v>
      </c>
      <c r="C329" s="31">
        <v>4301031153</v>
      </c>
      <c r="D329" s="675">
        <v>4607091387230</v>
      </c>
      <c r="E329" s="676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68"/>
      <c r="R329" s="668"/>
      <c r="S329" s="668"/>
      <c r="T329" s="669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510</v>
      </c>
      <c r="B330" s="54" t="s">
        <v>511</v>
      </c>
      <c r="C330" s="31">
        <v>4301031154</v>
      </c>
      <c r="D330" s="675">
        <v>4607091387292</v>
      </c>
      <c r="E330" s="676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8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68"/>
      <c r="R330" s="668"/>
      <c r="S330" s="668"/>
      <c r="T330" s="669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513</v>
      </c>
      <c r="B331" s="54" t="s">
        <v>514</v>
      </c>
      <c r="C331" s="31">
        <v>4301031152</v>
      </c>
      <c r="D331" s="675">
        <v>4607091387285</v>
      </c>
      <c r="E331" s="676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68"/>
      <c r="R331" s="668"/>
      <c r="S331" s="668"/>
      <c r="T331" s="669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2"/>
      <c r="B332" s="673"/>
      <c r="C332" s="673"/>
      <c r="D332" s="673"/>
      <c r="E332" s="673"/>
      <c r="F332" s="673"/>
      <c r="G332" s="673"/>
      <c r="H332" s="673"/>
      <c r="I332" s="673"/>
      <c r="J332" s="673"/>
      <c r="K332" s="673"/>
      <c r="L332" s="673"/>
      <c r="M332" s="673"/>
      <c r="N332" s="673"/>
      <c r="O332" s="674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3"/>
      <c r="B333" s="673"/>
      <c r="C333" s="673"/>
      <c r="D333" s="673"/>
      <c r="E333" s="673"/>
      <c r="F333" s="673"/>
      <c r="G333" s="673"/>
      <c r="H333" s="673"/>
      <c r="I333" s="673"/>
      <c r="J333" s="673"/>
      <c r="K333" s="673"/>
      <c r="L333" s="673"/>
      <c r="M333" s="673"/>
      <c r="N333" s="673"/>
      <c r="O333" s="674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79" t="s">
        <v>63</v>
      </c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3"/>
      <c r="P334" s="673"/>
      <c r="Q334" s="673"/>
      <c r="R334" s="673"/>
      <c r="S334" s="673"/>
      <c r="T334" s="673"/>
      <c r="U334" s="673"/>
      <c r="V334" s="673"/>
      <c r="W334" s="673"/>
      <c r="X334" s="673"/>
      <c r="Y334" s="673"/>
      <c r="Z334" s="673"/>
      <c r="AA334" s="659"/>
      <c r="AB334" s="659"/>
      <c r="AC334" s="659"/>
    </row>
    <row r="335" spans="1:68" ht="27" hidden="1" customHeight="1" x14ac:dyDescent="0.25">
      <c r="A335" s="54" t="s">
        <v>515</v>
      </c>
      <c r="B335" s="54" t="s">
        <v>516</v>
      </c>
      <c r="C335" s="31">
        <v>4301051100</v>
      </c>
      <c r="D335" s="675">
        <v>4607091387766</v>
      </c>
      <c r="E335" s="676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68"/>
      <c r="R335" s="668"/>
      <c r="S335" s="668"/>
      <c r="T335" s="669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518</v>
      </c>
      <c r="B336" s="54" t="s">
        <v>519</v>
      </c>
      <c r="C336" s="31">
        <v>4301051818</v>
      </c>
      <c r="D336" s="675">
        <v>4607091387957</v>
      </c>
      <c r="E336" s="676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68"/>
      <c r="R336" s="668"/>
      <c r="S336" s="668"/>
      <c r="T336" s="669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521</v>
      </c>
      <c r="B337" s="54" t="s">
        <v>522</v>
      </c>
      <c r="C337" s="31">
        <v>4301051819</v>
      </c>
      <c r="D337" s="675">
        <v>4607091387964</v>
      </c>
      <c r="E337" s="676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68"/>
      <c r="R337" s="668"/>
      <c r="S337" s="668"/>
      <c r="T337" s="669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524</v>
      </c>
      <c r="B338" s="54" t="s">
        <v>525</v>
      </c>
      <c r="C338" s="31">
        <v>4301051734</v>
      </c>
      <c r="D338" s="675">
        <v>4680115884588</v>
      </c>
      <c r="E338" s="676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68"/>
      <c r="R338" s="668"/>
      <c r="S338" s="668"/>
      <c r="T338" s="669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527</v>
      </c>
      <c r="B339" s="54" t="s">
        <v>528</v>
      </c>
      <c r="C339" s="31">
        <v>4301051578</v>
      </c>
      <c r="D339" s="675">
        <v>4607091387513</v>
      </c>
      <c r="E339" s="676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68"/>
      <c r="R339" s="668"/>
      <c r="S339" s="668"/>
      <c r="T339" s="669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2"/>
      <c r="B340" s="673"/>
      <c r="C340" s="673"/>
      <c r="D340" s="673"/>
      <c r="E340" s="673"/>
      <c r="F340" s="673"/>
      <c r="G340" s="673"/>
      <c r="H340" s="673"/>
      <c r="I340" s="673"/>
      <c r="J340" s="673"/>
      <c r="K340" s="673"/>
      <c r="L340" s="673"/>
      <c r="M340" s="673"/>
      <c r="N340" s="673"/>
      <c r="O340" s="674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hidden="1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hidden="1" customHeight="1" x14ac:dyDescent="0.25">
      <c r="A342" s="679" t="s">
        <v>170</v>
      </c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3"/>
      <c r="P342" s="673"/>
      <c r="Q342" s="673"/>
      <c r="R342" s="673"/>
      <c r="S342" s="673"/>
      <c r="T342" s="673"/>
      <c r="U342" s="673"/>
      <c r="V342" s="673"/>
      <c r="W342" s="673"/>
      <c r="X342" s="673"/>
      <c r="Y342" s="673"/>
      <c r="Z342" s="673"/>
      <c r="AA342" s="659"/>
      <c r="AB342" s="659"/>
      <c r="AC342" s="659"/>
    </row>
    <row r="343" spans="1:68" ht="27" hidden="1" customHeight="1" x14ac:dyDescent="0.25">
      <c r="A343" s="54" t="s">
        <v>530</v>
      </c>
      <c r="B343" s="54" t="s">
        <v>531</v>
      </c>
      <c r="C343" s="31">
        <v>4301060387</v>
      </c>
      <c r="D343" s="675">
        <v>4607091380880</v>
      </c>
      <c r="E343" s="676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68"/>
      <c r="R343" s="668"/>
      <c r="S343" s="668"/>
      <c r="T343" s="669"/>
      <c r="U343" s="34"/>
      <c r="V343" s="34"/>
      <c r="W343" s="35" t="s">
        <v>68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75">
        <v>4607091384482</v>
      </c>
      <c r="E344" s="676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68"/>
      <c r="R344" s="668"/>
      <c r="S344" s="668"/>
      <c r="T344" s="669"/>
      <c r="U344" s="34"/>
      <c r="V344" s="34"/>
      <c r="W344" s="35" t="s">
        <v>68</v>
      </c>
      <c r="X344" s="663">
        <v>56</v>
      </c>
      <c r="Y344" s="664">
        <f>IFERROR(IF(X344="",0,CEILING((X344/$H344),1)*$H344),"")</f>
        <v>62.4</v>
      </c>
      <c r="Z344" s="36">
        <f>IFERROR(IF(Y344=0,"",ROUNDUP(Y344/H344,0)*0.01898),"")</f>
        <v>0.15184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59.726153846153849</v>
      </c>
      <c r="BN344" s="64">
        <f>IFERROR(Y344*I344/H344,"0")</f>
        <v>66.552000000000007</v>
      </c>
      <c r="BO344" s="64">
        <f>IFERROR(1/J344*(X344/H344),"0")</f>
        <v>0.11217948717948718</v>
      </c>
      <c r="BP344" s="64">
        <f>IFERROR(1/J344*(Y344/H344),"0")</f>
        <v>0.125</v>
      </c>
    </row>
    <row r="345" spans="1:68" ht="16.5" hidden="1" customHeight="1" x14ac:dyDescent="0.25">
      <c r="A345" s="54" t="s">
        <v>536</v>
      </c>
      <c r="B345" s="54" t="s">
        <v>537</v>
      </c>
      <c r="C345" s="31">
        <v>4301060484</v>
      </c>
      <c r="D345" s="675">
        <v>4607091380897</v>
      </c>
      <c r="E345" s="676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68"/>
      <c r="R345" s="668"/>
      <c r="S345" s="668"/>
      <c r="T345" s="669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2"/>
      <c r="B346" s="673"/>
      <c r="C346" s="673"/>
      <c r="D346" s="673"/>
      <c r="E346" s="673"/>
      <c r="F346" s="673"/>
      <c r="G346" s="673"/>
      <c r="H346" s="673"/>
      <c r="I346" s="673"/>
      <c r="J346" s="673"/>
      <c r="K346" s="673"/>
      <c r="L346" s="673"/>
      <c r="M346" s="673"/>
      <c r="N346" s="673"/>
      <c r="O346" s="674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7.1794871794871797</v>
      </c>
      <c r="Y346" s="665">
        <f>IFERROR(Y343/H343,"0")+IFERROR(Y344/H344,"0")+IFERROR(Y345/H345,"0")</f>
        <v>8</v>
      </c>
      <c r="Z346" s="665">
        <f>IFERROR(IF(Z343="",0,Z343),"0")+IFERROR(IF(Z344="",0,Z344),"0")+IFERROR(IF(Z345="",0,Z345),"0")</f>
        <v>0.15184</v>
      </c>
      <c r="AA346" s="666"/>
      <c r="AB346" s="666"/>
      <c r="AC346" s="666"/>
    </row>
    <row r="347" spans="1:68" x14ac:dyDescent="0.2">
      <c r="A347" s="673"/>
      <c r="B347" s="673"/>
      <c r="C347" s="673"/>
      <c r="D347" s="673"/>
      <c r="E347" s="673"/>
      <c r="F347" s="673"/>
      <c r="G347" s="673"/>
      <c r="H347" s="673"/>
      <c r="I347" s="673"/>
      <c r="J347" s="673"/>
      <c r="K347" s="673"/>
      <c r="L347" s="673"/>
      <c r="M347" s="673"/>
      <c r="N347" s="673"/>
      <c r="O347" s="674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56</v>
      </c>
      <c r="Y347" s="665">
        <f>IFERROR(SUM(Y343:Y345),"0")</f>
        <v>62.4</v>
      </c>
      <c r="Z347" s="37"/>
      <c r="AA347" s="666"/>
      <c r="AB347" s="666"/>
      <c r="AC347" s="666"/>
    </row>
    <row r="348" spans="1:68" ht="14.25" hidden="1" customHeight="1" x14ac:dyDescent="0.25">
      <c r="A348" s="679" t="s">
        <v>89</v>
      </c>
      <c r="B348" s="673"/>
      <c r="C348" s="673"/>
      <c r="D348" s="673"/>
      <c r="E348" s="673"/>
      <c r="F348" s="673"/>
      <c r="G348" s="673"/>
      <c r="H348" s="673"/>
      <c r="I348" s="673"/>
      <c r="J348" s="673"/>
      <c r="K348" s="673"/>
      <c r="L348" s="673"/>
      <c r="M348" s="673"/>
      <c r="N348" s="673"/>
      <c r="O348" s="673"/>
      <c r="P348" s="673"/>
      <c r="Q348" s="673"/>
      <c r="R348" s="673"/>
      <c r="S348" s="673"/>
      <c r="T348" s="673"/>
      <c r="U348" s="673"/>
      <c r="V348" s="673"/>
      <c r="W348" s="673"/>
      <c r="X348" s="673"/>
      <c r="Y348" s="673"/>
      <c r="Z348" s="673"/>
      <c r="AA348" s="659"/>
      <c r="AB348" s="659"/>
      <c r="AC348" s="659"/>
    </row>
    <row r="349" spans="1:68" ht="27" hidden="1" customHeight="1" x14ac:dyDescent="0.25">
      <c r="A349" s="54" t="s">
        <v>539</v>
      </c>
      <c r="B349" s="54" t="s">
        <v>540</v>
      </c>
      <c r="C349" s="31">
        <v>4301032055</v>
      </c>
      <c r="D349" s="675">
        <v>4680115886476</v>
      </c>
      <c r="E349" s="676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1002" t="s">
        <v>541</v>
      </c>
      <c r="Q349" s="668"/>
      <c r="R349" s="668"/>
      <c r="S349" s="668"/>
      <c r="T349" s="669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543</v>
      </c>
      <c r="B350" s="54" t="s">
        <v>544</v>
      </c>
      <c r="C350" s="31">
        <v>4301030232</v>
      </c>
      <c r="D350" s="675">
        <v>4607091388374</v>
      </c>
      <c r="E350" s="676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802" t="s">
        <v>545</v>
      </c>
      <c r="Q350" s="668"/>
      <c r="R350" s="668"/>
      <c r="S350" s="668"/>
      <c r="T350" s="669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547</v>
      </c>
      <c r="B351" s="54" t="s">
        <v>548</v>
      </c>
      <c r="C351" s="31">
        <v>4301032015</v>
      </c>
      <c r="D351" s="675">
        <v>4607091383102</v>
      </c>
      <c r="E351" s="676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77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68"/>
      <c r="R351" s="668"/>
      <c r="S351" s="668"/>
      <c r="T351" s="669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75">
        <v>4607091388404</v>
      </c>
      <c r="E352" s="676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68"/>
      <c r="R352" s="668"/>
      <c r="S352" s="668"/>
      <c r="T352" s="669"/>
      <c r="U352" s="34"/>
      <c r="V352" s="34"/>
      <c r="W352" s="35" t="s">
        <v>68</v>
      </c>
      <c r="X352" s="663">
        <v>2</v>
      </c>
      <c r="Y352" s="664">
        <f>IFERROR(IF(X352="",0,CEILING((X352/$H352),1)*$H352),"")</f>
        <v>2.5499999999999998</v>
      </c>
      <c r="Z352" s="36">
        <f>IFERROR(IF(Y352=0,"",ROUNDUP(Y352/H352,0)*0.00651),"")</f>
        <v>6.5100000000000002E-3</v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2.2588235294117647</v>
      </c>
      <c r="BN352" s="64">
        <f>IFERROR(Y352*I352/H352,"0")</f>
        <v>2.88</v>
      </c>
      <c r="BO352" s="64">
        <f>IFERROR(1/J352*(X352/H352),"0")</f>
        <v>4.3094160741219576E-3</v>
      </c>
      <c r="BP352" s="64">
        <f>IFERROR(1/J352*(Y352/H352),"0")</f>
        <v>5.4945054945054949E-3</v>
      </c>
    </row>
    <row r="353" spans="1:68" x14ac:dyDescent="0.2">
      <c r="A353" s="672"/>
      <c r="B353" s="673"/>
      <c r="C353" s="673"/>
      <c r="D353" s="673"/>
      <c r="E353" s="673"/>
      <c r="F353" s="673"/>
      <c r="G353" s="673"/>
      <c r="H353" s="673"/>
      <c r="I353" s="673"/>
      <c r="J353" s="673"/>
      <c r="K353" s="673"/>
      <c r="L353" s="673"/>
      <c r="M353" s="673"/>
      <c r="N353" s="673"/>
      <c r="O353" s="674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0.78431372549019618</v>
      </c>
      <c r="Y353" s="665">
        <f>IFERROR(Y349/H349,"0")+IFERROR(Y350/H350,"0")+IFERROR(Y351/H351,"0")+IFERROR(Y352/H352,"0")</f>
        <v>1</v>
      </c>
      <c r="Z353" s="665">
        <f>IFERROR(IF(Z349="",0,Z349),"0")+IFERROR(IF(Z350="",0,Z350),"0")+IFERROR(IF(Z351="",0,Z351),"0")+IFERROR(IF(Z352="",0,Z352),"0")</f>
        <v>6.5100000000000002E-3</v>
      </c>
      <c r="AA353" s="666"/>
      <c r="AB353" s="666"/>
      <c r="AC353" s="666"/>
    </row>
    <row r="354" spans="1:68" x14ac:dyDescent="0.2">
      <c r="A354" s="673"/>
      <c r="B354" s="673"/>
      <c r="C354" s="673"/>
      <c r="D354" s="673"/>
      <c r="E354" s="673"/>
      <c r="F354" s="673"/>
      <c r="G354" s="673"/>
      <c r="H354" s="673"/>
      <c r="I354" s="673"/>
      <c r="J354" s="673"/>
      <c r="K354" s="673"/>
      <c r="L354" s="673"/>
      <c r="M354" s="673"/>
      <c r="N354" s="673"/>
      <c r="O354" s="674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2</v>
      </c>
      <c r="Y354" s="665">
        <f>IFERROR(SUM(Y349:Y352),"0")</f>
        <v>2.5499999999999998</v>
      </c>
      <c r="Z354" s="37"/>
      <c r="AA354" s="666"/>
      <c r="AB354" s="666"/>
      <c r="AC354" s="666"/>
    </row>
    <row r="355" spans="1:68" ht="14.25" hidden="1" customHeight="1" x14ac:dyDescent="0.25">
      <c r="A355" s="679" t="s">
        <v>552</v>
      </c>
      <c r="B355" s="673"/>
      <c r="C355" s="673"/>
      <c r="D355" s="673"/>
      <c r="E355" s="673"/>
      <c r="F355" s="673"/>
      <c r="G355" s="673"/>
      <c r="H355" s="673"/>
      <c r="I355" s="673"/>
      <c r="J355" s="673"/>
      <c r="K355" s="673"/>
      <c r="L355" s="673"/>
      <c r="M355" s="673"/>
      <c r="N355" s="673"/>
      <c r="O355" s="673"/>
      <c r="P355" s="673"/>
      <c r="Q355" s="673"/>
      <c r="R355" s="673"/>
      <c r="S355" s="673"/>
      <c r="T355" s="673"/>
      <c r="U355" s="673"/>
      <c r="V355" s="673"/>
      <c r="W355" s="673"/>
      <c r="X355" s="673"/>
      <c r="Y355" s="673"/>
      <c r="Z355" s="673"/>
      <c r="AA355" s="659"/>
      <c r="AB355" s="659"/>
      <c r="AC355" s="659"/>
    </row>
    <row r="356" spans="1:68" ht="16.5" hidden="1" customHeight="1" x14ac:dyDescent="0.25">
      <c r="A356" s="54" t="s">
        <v>553</v>
      </c>
      <c r="B356" s="54" t="s">
        <v>554</v>
      </c>
      <c r="C356" s="31">
        <v>4301180007</v>
      </c>
      <c r="D356" s="675">
        <v>4680115881808</v>
      </c>
      <c r="E356" s="676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68"/>
      <c r="R356" s="668"/>
      <c r="S356" s="668"/>
      <c r="T356" s="669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557</v>
      </c>
      <c r="B357" s="54" t="s">
        <v>558</v>
      </c>
      <c r="C357" s="31">
        <v>4301180006</v>
      </c>
      <c r="D357" s="675">
        <v>4680115881822</v>
      </c>
      <c r="E357" s="676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68"/>
      <c r="R357" s="668"/>
      <c r="S357" s="668"/>
      <c r="T357" s="669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559</v>
      </c>
      <c r="B358" s="54" t="s">
        <v>560</v>
      </c>
      <c r="C358" s="31">
        <v>4301180001</v>
      </c>
      <c r="D358" s="675">
        <v>4680115880016</v>
      </c>
      <c r="E358" s="676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68"/>
      <c r="R358" s="668"/>
      <c r="S358" s="668"/>
      <c r="T358" s="669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2"/>
      <c r="B359" s="673"/>
      <c r="C359" s="673"/>
      <c r="D359" s="673"/>
      <c r="E359" s="673"/>
      <c r="F359" s="673"/>
      <c r="G359" s="673"/>
      <c r="H359" s="673"/>
      <c r="I359" s="673"/>
      <c r="J359" s="673"/>
      <c r="K359" s="673"/>
      <c r="L359" s="673"/>
      <c r="M359" s="673"/>
      <c r="N359" s="673"/>
      <c r="O359" s="674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3"/>
      <c r="B360" s="673"/>
      <c r="C360" s="673"/>
      <c r="D360" s="673"/>
      <c r="E360" s="673"/>
      <c r="F360" s="673"/>
      <c r="G360" s="673"/>
      <c r="H360" s="673"/>
      <c r="I360" s="673"/>
      <c r="J360" s="673"/>
      <c r="K360" s="673"/>
      <c r="L360" s="673"/>
      <c r="M360" s="673"/>
      <c r="N360" s="673"/>
      <c r="O360" s="674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716" t="s">
        <v>561</v>
      </c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3"/>
      <c r="P361" s="673"/>
      <c r="Q361" s="673"/>
      <c r="R361" s="673"/>
      <c r="S361" s="673"/>
      <c r="T361" s="673"/>
      <c r="U361" s="673"/>
      <c r="V361" s="673"/>
      <c r="W361" s="673"/>
      <c r="X361" s="673"/>
      <c r="Y361" s="673"/>
      <c r="Z361" s="673"/>
      <c r="AA361" s="658"/>
      <c r="AB361" s="658"/>
      <c r="AC361" s="658"/>
    </row>
    <row r="362" spans="1:68" ht="14.25" hidden="1" customHeight="1" x14ac:dyDescent="0.25">
      <c r="A362" s="679" t="s">
        <v>144</v>
      </c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3"/>
      <c r="P362" s="673"/>
      <c r="Q362" s="673"/>
      <c r="R362" s="673"/>
      <c r="S362" s="673"/>
      <c r="T362" s="673"/>
      <c r="U362" s="673"/>
      <c r="V362" s="673"/>
      <c r="W362" s="673"/>
      <c r="X362" s="673"/>
      <c r="Y362" s="673"/>
      <c r="Z362" s="673"/>
      <c r="AA362" s="659"/>
      <c r="AB362" s="659"/>
      <c r="AC362" s="659"/>
    </row>
    <row r="363" spans="1:68" ht="27" hidden="1" customHeight="1" x14ac:dyDescent="0.25">
      <c r="A363" s="54" t="s">
        <v>562</v>
      </c>
      <c r="B363" s="54" t="s">
        <v>563</v>
      </c>
      <c r="C363" s="31">
        <v>4301031066</v>
      </c>
      <c r="D363" s="675">
        <v>4607091383836</v>
      </c>
      <c r="E363" s="676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50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68"/>
      <c r="R363" s="668"/>
      <c r="S363" s="668"/>
      <c r="T363" s="669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2"/>
      <c r="B364" s="673"/>
      <c r="C364" s="673"/>
      <c r="D364" s="673"/>
      <c r="E364" s="673"/>
      <c r="F364" s="673"/>
      <c r="G364" s="673"/>
      <c r="H364" s="673"/>
      <c r="I364" s="673"/>
      <c r="J364" s="673"/>
      <c r="K364" s="673"/>
      <c r="L364" s="673"/>
      <c r="M364" s="673"/>
      <c r="N364" s="673"/>
      <c r="O364" s="674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hidden="1" x14ac:dyDescent="0.2">
      <c r="A365" s="673"/>
      <c r="B365" s="673"/>
      <c r="C365" s="673"/>
      <c r="D365" s="673"/>
      <c r="E365" s="673"/>
      <c r="F365" s="673"/>
      <c r="G365" s="673"/>
      <c r="H365" s="673"/>
      <c r="I365" s="673"/>
      <c r="J365" s="673"/>
      <c r="K365" s="673"/>
      <c r="L365" s="673"/>
      <c r="M365" s="673"/>
      <c r="N365" s="673"/>
      <c r="O365" s="674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hidden="1" customHeight="1" x14ac:dyDescent="0.25">
      <c r="A366" s="679" t="s">
        <v>63</v>
      </c>
      <c r="B366" s="673"/>
      <c r="C366" s="673"/>
      <c r="D366" s="673"/>
      <c r="E366" s="673"/>
      <c r="F366" s="673"/>
      <c r="G366" s="673"/>
      <c r="H366" s="673"/>
      <c r="I366" s="673"/>
      <c r="J366" s="673"/>
      <c r="K366" s="673"/>
      <c r="L366" s="673"/>
      <c r="M366" s="673"/>
      <c r="N366" s="673"/>
      <c r="O366" s="673"/>
      <c r="P366" s="673"/>
      <c r="Q366" s="673"/>
      <c r="R366" s="673"/>
      <c r="S366" s="673"/>
      <c r="T366" s="673"/>
      <c r="U366" s="673"/>
      <c r="V366" s="673"/>
      <c r="W366" s="673"/>
      <c r="X366" s="673"/>
      <c r="Y366" s="673"/>
      <c r="Z366" s="673"/>
      <c r="AA366" s="659"/>
      <c r="AB366" s="659"/>
      <c r="AC366" s="659"/>
    </row>
    <row r="367" spans="1:68" ht="27" hidden="1" customHeight="1" x14ac:dyDescent="0.25">
      <c r="A367" s="54" t="s">
        <v>565</v>
      </c>
      <c r="B367" s="54" t="s">
        <v>566</v>
      </c>
      <c r="C367" s="31">
        <v>4301051489</v>
      </c>
      <c r="D367" s="675">
        <v>4607091387919</v>
      </c>
      <c r="E367" s="676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68"/>
      <c r="R367" s="668"/>
      <c r="S367" s="668"/>
      <c r="T367" s="669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568</v>
      </c>
      <c r="B368" s="54" t="s">
        <v>569</v>
      </c>
      <c r="C368" s="31">
        <v>4301051461</v>
      </c>
      <c r="D368" s="675">
        <v>4680115883604</v>
      </c>
      <c r="E368" s="676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68"/>
      <c r="R368" s="668"/>
      <c r="S368" s="668"/>
      <c r="T368" s="669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571</v>
      </c>
      <c r="B369" s="54" t="s">
        <v>572</v>
      </c>
      <c r="C369" s="31">
        <v>4301051864</v>
      </c>
      <c r="D369" s="675">
        <v>4680115883567</v>
      </c>
      <c r="E369" s="676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68"/>
      <c r="R369" s="668"/>
      <c r="S369" s="668"/>
      <c r="T369" s="669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72"/>
      <c r="B370" s="673"/>
      <c r="C370" s="673"/>
      <c r="D370" s="673"/>
      <c r="E370" s="673"/>
      <c r="F370" s="673"/>
      <c r="G370" s="673"/>
      <c r="H370" s="673"/>
      <c r="I370" s="673"/>
      <c r="J370" s="673"/>
      <c r="K370" s="673"/>
      <c r="L370" s="673"/>
      <c r="M370" s="673"/>
      <c r="N370" s="673"/>
      <c r="O370" s="674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hidden="1" x14ac:dyDescent="0.2">
      <c r="A371" s="673"/>
      <c r="B371" s="673"/>
      <c r="C371" s="673"/>
      <c r="D371" s="673"/>
      <c r="E371" s="673"/>
      <c r="F371" s="673"/>
      <c r="G371" s="673"/>
      <c r="H371" s="673"/>
      <c r="I371" s="673"/>
      <c r="J371" s="673"/>
      <c r="K371" s="673"/>
      <c r="L371" s="673"/>
      <c r="M371" s="673"/>
      <c r="N371" s="673"/>
      <c r="O371" s="674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hidden="1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hidden="1" customHeight="1" x14ac:dyDescent="0.25">
      <c r="A373" s="716" t="s">
        <v>575</v>
      </c>
      <c r="B373" s="673"/>
      <c r="C373" s="673"/>
      <c r="D373" s="673"/>
      <c r="E373" s="673"/>
      <c r="F373" s="673"/>
      <c r="G373" s="673"/>
      <c r="H373" s="673"/>
      <c r="I373" s="673"/>
      <c r="J373" s="673"/>
      <c r="K373" s="673"/>
      <c r="L373" s="673"/>
      <c r="M373" s="673"/>
      <c r="N373" s="673"/>
      <c r="O373" s="673"/>
      <c r="P373" s="673"/>
      <c r="Q373" s="673"/>
      <c r="R373" s="673"/>
      <c r="S373" s="673"/>
      <c r="T373" s="673"/>
      <c r="U373" s="673"/>
      <c r="V373" s="673"/>
      <c r="W373" s="673"/>
      <c r="X373" s="673"/>
      <c r="Y373" s="673"/>
      <c r="Z373" s="673"/>
      <c r="AA373" s="658"/>
      <c r="AB373" s="658"/>
      <c r="AC373" s="658"/>
    </row>
    <row r="374" spans="1:68" ht="14.25" hidden="1" customHeight="1" x14ac:dyDescent="0.25">
      <c r="A374" s="679" t="s">
        <v>97</v>
      </c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3"/>
      <c r="P374" s="673"/>
      <c r="Q374" s="673"/>
      <c r="R374" s="673"/>
      <c r="S374" s="673"/>
      <c r="T374" s="673"/>
      <c r="U374" s="673"/>
      <c r="V374" s="673"/>
      <c r="W374" s="673"/>
      <c r="X374" s="673"/>
      <c r="Y374" s="673"/>
      <c r="Z374" s="673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75">
        <v>4680115884847</v>
      </c>
      <c r="E375" s="676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68"/>
      <c r="R375" s="668"/>
      <c r="S375" s="668"/>
      <c r="T375" s="669"/>
      <c r="U375" s="34"/>
      <c r="V375" s="34"/>
      <c r="W375" s="35" t="s">
        <v>68</v>
      </c>
      <c r="X375" s="663">
        <v>216</v>
      </c>
      <c r="Y375" s="664">
        <f t="shared" ref="Y375:Y384" si="58">IFERROR(IF(X375="",0,CEILING((X375/$H375),1)*$H375),"")</f>
        <v>225</v>
      </c>
      <c r="Z375" s="36">
        <f>IFERROR(IF(Y375=0,"",ROUNDUP(Y375/H375,0)*0.02175),"")</f>
        <v>0.32624999999999998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222.91200000000001</v>
      </c>
      <c r="BN375" s="64">
        <f t="shared" ref="BN375:BN384" si="60">IFERROR(Y375*I375/H375,"0")</f>
        <v>232.2</v>
      </c>
      <c r="BO375" s="64">
        <f t="shared" ref="BO375:BO384" si="61">IFERROR(1/J375*(X375/H375),"0")</f>
        <v>0.3</v>
      </c>
      <c r="BP375" s="64">
        <f t="shared" ref="BP375:BP384" si="62">IFERROR(1/J375*(Y375/H375),"0")</f>
        <v>0.3125</v>
      </c>
    </row>
    <row r="376" spans="1:68" ht="27" hidden="1" customHeight="1" x14ac:dyDescent="0.25">
      <c r="A376" s="54" t="s">
        <v>576</v>
      </c>
      <c r="B376" s="54" t="s">
        <v>579</v>
      </c>
      <c r="C376" s="31">
        <v>4301011946</v>
      </c>
      <c r="D376" s="675">
        <v>4680115884847</v>
      </c>
      <c r="E376" s="676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71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68"/>
      <c r="R376" s="668"/>
      <c r="S376" s="668"/>
      <c r="T376" s="669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75">
        <v>4680115884854</v>
      </c>
      <c r="E377" s="676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68"/>
      <c r="R377" s="668"/>
      <c r="S377" s="668"/>
      <c r="T377" s="669"/>
      <c r="U377" s="34"/>
      <c r="V377" s="34"/>
      <c r="W377" s="35" t="s">
        <v>68</v>
      </c>
      <c r="X377" s="663">
        <v>162</v>
      </c>
      <c r="Y377" s="664">
        <f t="shared" si="58"/>
        <v>165</v>
      </c>
      <c r="Z377" s="36">
        <f>IFERROR(IF(Y377=0,"",ROUNDUP(Y377/H377,0)*0.02175),"")</f>
        <v>0.23924999999999999</v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167.18400000000003</v>
      </c>
      <c r="BN377" s="64">
        <f t="shared" si="60"/>
        <v>170.28000000000003</v>
      </c>
      <c r="BO377" s="64">
        <f t="shared" si="61"/>
        <v>0.22500000000000001</v>
      </c>
      <c r="BP377" s="64">
        <f t="shared" si="62"/>
        <v>0.22916666666666666</v>
      </c>
    </row>
    <row r="378" spans="1:68" ht="27" hidden="1" customHeight="1" x14ac:dyDescent="0.25">
      <c r="A378" s="54" t="s">
        <v>581</v>
      </c>
      <c r="B378" s="54" t="s">
        <v>584</v>
      </c>
      <c r="C378" s="31">
        <v>4301011947</v>
      </c>
      <c r="D378" s="675">
        <v>4680115884854</v>
      </c>
      <c r="E378" s="676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68"/>
      <c r="R378" s="668"/>
      <c r="S378" s="668"/>
      <c r="T378" s="669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75">
        <v>4680115884830</v>
      </c>
      <c r="E379" s="676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68"/>
      <c r="R379" s="668"/>
      <c r="S379" s="668"/>
      <c r="T379" s="669"/>
      <c r="U379" s="34"/>
      <c r="V379" s="34"/>
      <c r="W379" s="35" t="s">
        <v>68</v>
      </c>
      <c r="X379" s="663">
        <v>314</v>
      </c>
      <c r="Y379" s="664">
        <f t="shared" si="58"/>
        <v>315</v>
      </c>
      <c r="Z379" s="36">
        <f>IFERROR(IF(Y379=0,"",ROUNDUP(Y379/H379,0)*0.02175),"")</f>
        <v>0.45674999999999999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324.048</v>
      </c>
      <c r="BN379" s="64">
        <f t="shared" si="60"/>
        <v>325.08</v>
      </c>
      <c r="BO379" s="64">
        <f t="shared" si="61"/>
        <v>0.43611111111111112</v>
      </c>
      <c r="BP379" s="64">
        <f t="shared" si="62"/>
        <v>0.4375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75">
        <v>4607091383997</v>
      </c>
      <c r="E380" s="676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68"/>
      <c r="R380" s="668"/>
      <c r="S380" s="668"/>
      <c r="T380" s="669"/>
      <c r="U380" s="34"/>
      <c r="V380" s="34"/>
      <c r="W380" s="35" t="s">
        <v>68</v>
      </c>
      <c r="X380" s="663">
        <v>201</v>
      </c>
      <c r="Y380" s="664">
        <f t="shared" si="58"/>
        <v>210</v>
      </c>
      <c r="Z380" s="36">
        <f>IFERROR(IF(Y380=0,"",ROUNDUP(Y380/H380,0)*0.02175),"")</f>
        <v>0.30449999999999999</v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207.43199999999999</v>
      </c>
      <c r="BN380" s="64">
        <f t="shared" si="60"/>
        <v>216.72</v>
      </c>
      <c r="BO380" s="64">
        <f t="shared" si="61"/>
        <v>0.27916666666666667</v>
      </c>
      <c r="BP380" s="64">
        <f t="shared" si="62"/>
        <v>0.29166666666666663</v>
      </c>
    </row>
    <row r="381" spans="1:68" ht="27" hidden="1" customHeight="1" x14ac:dyDescent="0.25">
      <c r="A381" s="54" t="s">
        <v>585</v>
      </c>
      <c r="B381" s="54" t="s">
        <v>591</v>
      </c>
      <c r="C381" s="31">
        <v>4301011943</v>
      </c>
      <c r="D381" s="675">
        <v>4680115884830</v>
      </c>
      <c r="E381" s="676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689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68"/>
      <c r="R381" s="668"/>
      <c r="S381" s="668"/>
      <c r="T381" s="669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592</v>
      </c>
      <c r="B382" s="54" t="s">
        <v>593</v>
      </c>
      <c r="C382" s="31">
        <v>4301011433</v>
      </c>
      <c r="D382" s="675">
        <v>4680115882638</v>
      </c>
      <c r="E382" s="676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68"/>
      <c r="R382" s="668"/>
      <c r="S382" s="668"/>
      <c r="T382" s="669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595</v>
      </c>
      <c r="B383" s="54" t="s">
        <v>596</v>
      </c>
      <c r="C383" s="31">
        <v>4301011952</v>
      </c>
      <c r="D383" s="675">
        <v>4680115884922</v>
      </c>
      <c r="E383" s="676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68"/>
      <c r="R383" s="668"/>
      <c r="S383" s="668"/>
      <c r="T383" s="669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597</v>
      </c>
      <c r="B384" s="54" t="s">
        <v>598</v>
      </c>
      <c r="C384" s="31">
        <v>4301011868</v>
      </c>
      <c r="D384" s="675">
        <v>4680115884861</v>
      </c>
      <c r="E384" s="676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68"/>
      <c r="R384" s="668"/>
      <c r="S384" s="668"/>
      <c r="T384" s="669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2"/>
      <c r="B385" s="673"/>
      <c r="C385" s="673"/>
      <c r="D385" s="673"/>
      <c r="E385" s="673"/>
      <c r="F385" s="673"/>
      <c r="G385" s="673"/>
      <c r="H385" s="673"/>
      <c r="I385" s="673"/>
      <c r="J385" s="673"/>
      <c r="K385" s="673"/>
      <c r="L385" s="673"/>
      <c r="M385" s="673"/>
      <c r="N385" s="673"/>
      <c r="O385" s="674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59.533333333333339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61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1.3267500000000001</v>
      </c>
      <c r="AA385" s="666"/>
      <c r="AB385" s="666"/>
      <c r="AC385" s="666"/>
    </row>
    <row r="386" spans="1:68" x14ac:dyDescent="0.2">
      <c r="A386" s="673"/>
      <c r="B386" s="673"/>
      <c r="C386" s="673"/>
      <c r="D386" s="673"/>
      <c r="E386" s="673"/>
      <c r="F386" s="673"/>
      <c r="G386" s="673"/>
      <c r="H386" s="673"/>
      <c r="I386" s="673"/>
      <c r="J386" s="673"/>
      <c r="K386" s="673"/>
      <c r="L386" s="673"/>
      <c r="M386" s="673"/>
      <c r="N386" s="673"/>
      <c r="O386" s="674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893</v>
      </c>
      <c r="Y386" s="665">
        <f>IFERROR(SUM(Y375:Y384),"0")</f>
        <v>915</v>
      </c>
      <c r="Z386" s="37"/>
      <c r="AA386" s="666"/>
      <c r="AB386" s="666"/>
      <c r="AC386" s="666"/>
    </row>
    <row r="387" spans="1:68" ht="14.25" hidden="1" customHeight="1" x14ac:dyDescent="0.25">
      <c r="A387" s="679" t="s">
        <v>133</v>
      </c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3"/>
      <c r="P387" s="673"/>
      <c r="Q387" s="673"/>
      <c r="R387" s="673"/>
      <c r="S387" s="673"/>
      <c r="T387" s="673"/>
      <c r="U387" s="673"/>
      <c r="V387" s="673"/>
      <c r="W387" s="673"/>
      <c r="X387" s="673"/>
      <c r="Y387" s="673"/>
      <c r="Z387" s="673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75">
        <v>4607091383980</v>
      </c>
      <c r="E388" s="676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68"/>
      <c r="R388" s="668"/>
      <c r="S388" s="668"/>
      <c r="T388" s="669"/>
      <c r="U388" s="34"/>
      <c r="V388" s="34"/>
      <c r="W388" s="35" t="s">
        <v>68</v>
      </c>
      <c r="X388" s="663">
        <v>204</v>
      </c>
      <c r="Y388" s="664">
        <f>IFERROR(IF(X388="",0,CEILING((X388/$H388),1)*$H388),"")</f>
        <v>210</v>
      </c>
      <c r="Z388" s="36">
        <f>IFERROR(IF(Y388=0,"",ROUNDUP(Y388/H388,0)*0.02175),"")</f>
        <v>0.30449999999999999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210.52799999999999</v>
      </c>
      <c r="BN388" s="64">
        <f>IFERROR(Y388*I388/H388,"0")</f>
        <v>216.72</v>
      </c>
      <c r="BO388" s="64">
        <f>IFERROR(1/J388*(X388/H388),"0")</f>
        <v>0.28333333333333333</v>
      </c>
      <c r="BP388" s="64">
        <f>IFERROR(1/J388*(Y388/H388),"0")</f>
        <v>0.29166666666666663</v>
      </c>
    </row>
    <row r="389" spans="1:68" ht="27" hidden="1" customHeight="1" x14ac:dyDescent="0.25">
      <c r="A389" s="54" t="s">
        <v>602</v>
      </c>
      <c r="B389" s="54" t="s">
        <v>603</v>
      </c>
      <c r="C389" s="31">
        <v>4301020179</v>
      </c>
      <c r="D389" s="675">
        <v>4607091384178</v>
      </c>
      <c r="E389" s="676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68"/>
      <c r="R389" s="668"/>
      <c r="S389" s="668"/>
      <c r="T389" s="669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2"/>
      <c r="B390" s="673"/>
      <c r="C390" s="673"/>
      <c r="D390" s="673"/>
      <c r="E390" s="673"/>
      <c r="F390" s="673"/>
      <c r="G390" s="673"/>
      <c r="H390" s="673"/>
      <c r="I390" s="673"/>
      <c r="J390" s="673"/>
      <c r="K390" s="673"/>
      <c r="L390" s="673"/>
      <c r="M390" s="673"/>
      <c r="N390" s="673"/>
      <c r="O390" s="674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13.6</v>
      </c>
      <c r="Y390" s="665">
        <f>IFERROR(Y388/H388,"0")+IFERROR(Y389/H389,"0")</f>
        <v>14</v>
      </c>
      <c r="Z390" s="665">
        <f>IFERROR(IF(Z388="",0,Z388),"0")+IFERROR(IF(Z389="",0,Z389),"0")</f>
        <v>0.30449999999999999</v>
      </c>
      <c r="AA390" s="666"/>
      <c r="AB390" s="666"/>
      <c r="AC390" s="666"/>
    </row>
    <row r="391" spans="1:68" x14ac:dyDescent="0.2">
      <c r="A391" s="673"/>
      <c r="B391" s="673"/>
      <c r="C391" s="673"/>
      <c r="D391" s="673"/>
      <c r="E391" s="673"/>
      <c r="F391" s="673"/>
      <c r="G391" s="673"/>
      <c r="H391" s="673"/>
      <c r="I391" s="673"/>
      <c r="J391" s="673"/>
      <c r="K391" s="673"/>
      <c r="L391" s="673"/>
      <c r="M391" s="673"/>
      <c r="N391" s="673"/>
      <c r="O391" s="674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204</v>
      </c>
      <c r="Y391" s="665">
        <f>IFERROR(SUM(Y388:Y389),"0")</f>
        <v>210</v>
      </c>
      <c r="Z391" s="37"/>
      <c r="AA391" s="666"/>
      <c r="AB391" s="666"/>
      <c r="AC391" s="666"/>
    </row>
    <row r="392" spans="1:68" ht="14.25" hidden="1" customHeight="1" x14ac:dyDescent="0.25">
      <c r="A392" s="679" t="s">
        <v>63</v>
      </c>
      <c r="B392" s="673"/>
      <c r="C392" s="673"/>
      <c r="D392" s="673"/>
      <c r="E392" s="673"/>
      <c r="F392" s="673"/>
      <c r="G392" s="673"/>
      <c r="H392" s="673"/>
      <c r="I392" s="673"/>
      <c r="J392" s="673"/>
      <c r="K392" s="673"/>
      <c r="L392" s="673"/>
      <c r="M392" s="673"/>
      <c r="N392" s="673"/>
      <c r="O392" s="673"/>
      <c r="P392" s="673"/>
      <c r="Q392" s="673"/>
      <c r="R392" s="673"/>
      <c r="S392" s="673"/>
      <c r="T392" s="673"/>
      <c r="U392" s="673"/>
      <c r="V392" s="673"/>
      <c r="W392" s="673"/>
      <c r="X392" s="673"/>
      <c r="Y392" s="673"/>
      <c r="Z392" s="673"/>
      <c r="AA392" s="659"/>
      <c r="AB392" s="659"/>
      <c r="AC392" s="659"/>
    </row>
    <row r="393" spans="1:68" ht="27" hidden="1" customHeight="1" x14ac:dyDescent="0.25">
      <c r="A393" s="54" t="s">
        <v>604</v>
      </c>
      <c r="B393" s="54" t="s">
        <v>605</v>
      </c>
      <c r="C393" s="31">
        <v>4301051903</v>
      </c>
      <c r="D393" s="675">
        <v>4607091383928</v>
      </c>
      <c r="E393" s="676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880" t="s">
        <v>606</v>
      </c>
      <c r="Q393" s="668"/>
      <c r="R393" s="668"/>
      <c r="S393" s="668"/>
      <c r="T393" s="669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608</v>
      </c>
      <c r="B394" s="54" t="s">
        <v>609</v>
      </c>
      <c r="C394" s="31">
        <v>4301051897</v>
      </c>
      <c r="D394" s="675">
        <v>4607091384260</v>
      </c>
      <c r="E394" s="676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6" t="s">
        <v>610</v>
      </c>
      <c r="Q394" s="668"/>
      <c r="R394" s="668"/>
      <c r="S394" s="668"/>
      <c r="T394" s="669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2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hidden="1" x14ac:dyDescent="0.2">
      <c r="A396" s="673"/>
      <c r="B396" s="673"/>
      <c r="C396" s="673"/>
      <c r="D396" s="673"/>
      <c r="E396" s="673"/>
      <c r="F396" s="673"/>
      <c r="G396" s="673"/>
      <c r="H396" s="673"/>
      <c r="I396" s="673"/>
      <c r="J396" s="673"/>
      <c r="K396" s="673"/>
      <c r="L396" s="673"/>
      <c r="M396" s="673"/>
      <c r="N396" s="673"/>
      <c r="O396" s="674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hidden="1" customHeight="1" x14ac:dyDescent="0.25">
      <c r="A397" s="679" t="s">
        <v>170</v>
      </c>
      <c r="B397" s="673"/>
      <c r="C397" s="673"/>
      <c r="D397" s="673"/>
      <c r="E397" s="673"/>
      <c r="F397" s="673"/>
      <c r="G397" s="673"/>
      <c r="H397" s="673"/>
      <c r="I397" s="673"/>
      <c r="J397" s="673"/>
      <c r="K397" s="673"/>
      <c r="L397" s="673"/>
      <c r="M397" s="673"/>
      <c r="N397" s="673"/>
      <c r="O397" s="673"/>
      <c r="P397" s="673"/>
      <c r="Q397" s="673"/>
      <c r="R397" s="673"/>
      <c r="S397" s="673"/>
      <c r="T397" s="673"/>
      <c r="U397" s="673"/>
      <c r="V397" s="673"/>
      <c r="W397" s="673"/>
      <c r="X397" s="673"/>
      <c r="Y397" s="673"/>
      <c r="Z397" s="673"/>
      <c r="AA397" s="659"/>
      <c r="AB397" s="659"/>
      <c r="AC397" s="659"/>
    </row>
    <row r="398" spans="1:68" ht="27" hidden="1" customHeight="1" x14ac:dyDescent="0.25">
      <c r="A398" s="54" t="s">
        <v>612</v>
      </c>
      <c r="B398" s="54" t="s">
        <v>613</v>
      </c>
      <c r="C398" s="31">
        <v>4301060439</v>
      </c>
      <c r="D398" s="675">
        <v>4607091384673</v>
      </c>
      <c r="E398" s="676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4" t="s">
        <v>614</v>
      </c>
      <c r="Q398" s="668"/>
      <c r="R398" s="668"/>
      <c r="S398" s="668"/>
      <c r="T398" s="669"/>
      <c r="U398" s="34"/>
      <c r="V398" s="34"/>
      <c r="W398" s="35" t="s">
        <v>68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2"/>
      <c r="B399" s="673"/>
      <c r="C399" s="673"/>
      <c r="D399" s="673"/>
      <c r="E399" s="673"/>
      <c r="F399" s="673"/>
      <c r="G399" s="673"/>
      <c r="H399" s="673"/>
      <c r="I399" s="673"/>
      <c r="J399" s="673"/>
      <c r="K399" s="673"/>
      <c r="L399" s="673"/>
      <c r="M399" s="673"/>
      <c r="N399" s="673"/>
      <c r="O399" s="674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hidden="1" x14ac:dyDescent="0.2">
      <c r="A400" s="673"/>
      <c r="B400" s="673"/>
      <c r="C400" s="673"/>
      <c r="D400" s="673"/>
      <c r="E400" s="673"/>
      <c r="F400" s="673"/>
      <c r="G400" s="673"/>
      <c r="H400" s="673"/>
      <c r="I400" s="673"/>
      <c r="J400" s="673"/>
      <c r="K400" s="673"/>
      <c r="L400" s="673"/>
      <c r="M400" s="673"/>
      <c r="N400" s="673"/>
      <c r="O400" s="674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hidden="1" customHeight="1" x14ac:dyDescent="0.25">
      <c r="A401" s="716" t="s">
        <v>616</v>
      </c>
      <c r="B401" s="673"/>
      <c r="C401" s="673"/>
      <c r="D401" s="673"/>
      <c r="E401" s="673"/>
      <c r="F401" s="673"/>
      <c r="G401" s="673"/>
      <c r="H401" s="673"/>
      <c r="I401" s="673"/>
      <c r="J401" s="673"/>
      <c r="K401" s="673"/>
      <c r="L401" s="673"/>
      <c r="M401" s="673"/>
      <c r="N401" s="673"/>
      <c r="O401" s="673"/>
      <c r="P401" s="673"/>
      <c r="Q401" s="673"/>
      <c r="R401" s="673"/>
      <c r="S401" s="673"/>
      <c r="T401" s="673"/>
      <c r="U401" s="673"/>
      <c r="V401" s="673"/>
      <c r="W401" s="673"/>
      <c r="X401" s="673"/>
      <c r="Y401" s="673"/>
      <c r="Z401" s="673"/>
      <c r="AA401" s="658"/>
      <c r="AB401" s="658"/>
      <c r="AC401" s="658"/>
    </row>
    <row r="402" spans="1:68" ht="14.25" hidden="1" customHeight="1" x14ac:dyDescent="0.25">
      <c r="A402" s="679" t="s">
        <v>97</v>
      </c>
      <c r="B402" s="673"/>
      <c r="C402" s="673"/>
      <c r="D402" s="673"/>
      <c r="E402" s="673"/>
      <c r="F402" s="673"/>
      <c r="G402" s="673"/>
      <c r="H402" s="673"/>
      <c r="I402" s="673"/>
      <c r="J402" s="673"/>
      <c r="K402" s="673"/>
      <c r="L402" s="673"/>
      <c r="M402" s="673"/>
      <c r="N402" s="673"/>
      <c r="O402" s="673"/>
      <c r="P402" s="673"/>
      <c r="Q402" s="673"/>
      <c r="R402" s="673"/>
      <c r="S402" s="673"/>
      <c r="T402" s="673"/>
      <c r="U402" s="673"/>
      <c r="V402" s="673"/>
      <c r="W402" s="673"/>
      <c r="X402" s="673"/>
      <c r="Y402" s="673"/>
      <c r="Z402" s="673"/>
      <c r="AA402" s="659"/>
      <c r="AB402" s="659"/>
      <c r="AC402" s="659"/>
    </row>
    <row r="403" spans="1:68" ht="27" hidden="1" customHeight="1" x14ac:dyDescent="0.25">
      <c r="A403" s="54" t="s">
        <v>617</v>
      </c>
      <c r="B403" s="54" t="s">
        <v>618</v>
      </c>
      <c r="C403" s="31">
        <v>4301011483</v>
      </c>
      <c r="D403" s="675">
        <v>4680115881907</v>
      </c>
      <c r="E403" s="676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68"/>
      <c r="R403" s="668"/>
      <c r="S403" s="668"/>
      <c r="T403" s="669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617</v>
      </c>
      <c r="B404" s="54" t="s">
        <v>620</v>
      </c>
      <c r="C404" s="31">
        <v>4301011873</v>
      </c>
      <c r="D404" s="675">
        <v>4680115881907</v>
      </c>
      <c r="E404" s="676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1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68"/>
      <c r="R404" s="668"/>
      <c r="S404" s="668"/>
      <c r="T404" s="669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622</v>
      </c>
      <c r="B405" s="54" t="s">
        <v>623</v>
      </c>
      <c r="C405" s="31">
        <v>4301011874</v>
      </c>
      <c r="D405" s="675">
        <v>4680115884892</v>
      </c>
      <c r="E405" s="676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68"/>
      <c r="R405" s="668"/>
      <c r="S405" s="668"/>
      <c r="T405" s="669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625</v>
      </c>
      <c r="B406" s="54" t="s">
        <v>626</v>
      </c>
      <c r="C406" s="31">
        <v>4301011875</v>
      </c>
      <c r="D406" s="675">
        <v>4680115884885</v>
      </c>
      <c r="E406" s="676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68"/>
      <c r="R406" s="668"/>
      <c r="S406" s="668"/>
      <c r="T406" s="669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627</v>
      </c>
      <c r="B407" s="54" t="s">
        <v>628</v>
      </c>
      <c r="C407" s="31">
        <v>4301011871</v>
      </c>
      <c r="D407" s="675">
        <v>4680115884908</v>
      </c>
      <c r="E407" s="676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68"/>
      <c r="R407" s="668"/>
      <c r="S407" s="668"/>
      <c r="T407" s="669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2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hidden="1" x14ac:dyDescent="0.2">
      <c r="A409" s="673"/>
      <c r="B409" s="673"/>
      <c r="C409" s="673"/>
      <c r="D409" s="673"/>
      <c r="E409" s="673"/>
      <c r="F409" s="673"/>
      <c r="G409" s="673"/>
      <c r="H409" s="673"/>
      <c r="I409" s="673"/>
      <c r="J409" s="673"/>
      <c r="K409" s="673"/>
      <c r="L409" s="673"/>
      <c r="M409" s="673"/>
      <c r="N409" s="673"/>
      <c r="O409" s="674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hidden="1" customHeight="1" x14ac:dyDescent="0.25">
      <c r="A410" s="679" t="s">
        <v>144</v>
      </c>
      <c r="B410" s="673"/>
      <c r="C410" s="673"/>
      <c r="D410" s="673"/>
      <c r="E410" s="673"/>
      <c r="F410" s="673"/>
      <c r="G410" s="673"/>
      <c r="H410" s="673"/>
      <c r="I410" s="673"/>
      <c r="J410" s="673"/>
      <c r="K410" s="673"/>
      <c r="L410" s="673"/>
      <c r="M410" s="673"/>
      <c r="N410" s="673"/>
      <c r="O410" s="673"/>
      <c r="P410" s="673"/>
      <c r="Q410" s="673"/>
      <c r="R410" s="673"/>
      <c r="S410" s="673"/>
      <c r="T410" s="673"/>
      <c r="U410" s="673"/>
      <c r="V410" s="673"/>
      <c r="W410" s="673"/>
      <c r="X410" s="673"/>
      <c r="Y410" s="673"/>
      <c r="Z410" s="673"/>
      <c r="AA410" s="659"/>
      <c r="AB410" s="659"/>
      <c r="AC410" s="659"/>
    </row>
    <row r="411" spans="1:68" ht="27" hidden="1" customHeight="1" x14ac:dyDescent="0.25">
      <c r="A411" s="54" t="s">
        <v>629</v>
      </c>
      <c r="B411" s="54" t="s">
        <v>630</v>
      </c>
      <c r="C411" s="31">
        <v>4301031303</v>
      </c>
      <c r="D411" s="675">
        <v>4607091384802</v>
      </c>
      <c r="E411" s="676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7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68"/>
      <c r="R411" s="668"/>
      <c r="S411" s="668"/>
      <c r="T411" s="669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632</v>
      </c>
      <c r="B412" s="54" t="s">
        <v>633</v>
      </c>
      <c r="C412" s="31">
        <v>4301031304</v>
      </c>
      <c r="D412" s="675">
        <v>4607091384826</v>
      </c>
      <c r="E412" s="676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68"/>
      <c r="R412" s="668"/>
      <c r="S412" s="668"/>
      <c r="T412" s="669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2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9" t="s">
        <v>63</v>
      </c>
      <c r="B415" s="673"/>
      <c r="C415" s="673"/>
      <c r="D415" s="673"/>
      <c r="E415" s="673"/>
      <c r="F415" s="673"/>
      <c r="G415" s="673"/>
      <c r="H415" s="673"/>
      <c r="I415" s="673"/>
      <c r="J415" s="673"/>
      <c r="K415" s="673"/>
      <c r="L415" s="673"/>
      <c r="M415" s="673"/>
      <c r="N415" s="673"/>
      <c r="O415" s="673"/>
      <c r="P415" s="673"/>
      <c r="Q415" s="673"/>
      <c r="R415" s="673"/>
      <c r="S415" s="673"/>
      <c r="T415" s="673"/>
      <c r="U415" s="673"/>
      <c r="V415" s="673"/>
      <c r="W415" s="673"/>
      <c r="X415" s="673"/>
      <c r="Y415" s="673"/>
      <c r="Z415" s="673"/>
      <c r="AA415" s="659"/>
      <c r="AB415" s="659"/>
      <c r="AC415" s="659"/>
    </row>
    <row r="416" spans="1:68" ht="27" hidden="1" customHeight="1" x14ac:dyDescent="0.25">
      <c r="A416" s="54" t="s">
        <v>634</v>
      </c>
      <c r="B416" s="54" t="s">
        <v>635</v>
      </c>
      <c r="C416" s="31">
        <v>4301051899</v>
      </c>
      <c r="D416" s="675">
        <v>4607091384246</v>
      </c>
      <c r="E416" s="676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68"/>
      <c r="R416" s="668"/>
      <c r="S416" s="668"/>
      <c r="T416" s="669"/>
      <c r="U416" s="34"/>
      <c r="V416" s="34"/>
      <c r="W416" s="35" t="s">
        <v>68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hidden="1" customHeight="1" x14ac:dyDescent="0.25">
      <c r="A417" s="54" t="s">
        <v>637</v>
      </c>
      <c r="B417" s="54" t="s">
        <v>638</v>
      </c>
      <c r="C417" s="31">
        <v>4301051901</v>
      </c>
      <c r="D417" s="675">
        <v>4680115881976</v>
      </c>
      <c r="E417" s="676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93" t="s">
        <v>639</v>
      </c>
      <c r="Q417" s="668"/>
      <c r="R417" s="668"/>
      <c r="S417" s="668"/>
      <c r="T417" s="669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641</v>
      </c>
      <c r="B418" s="54" t="s">
        <v>642</v>
      </c>
      <c r="C418" s="31">
        <v>4301051660</v>
      </c>
      <c r="D418" s="675">
        <v>4607091384253</v>
      </c>
      <c r="E418" s="676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68"/>
      <c r="R418" s="668"/>
      <c r="S418" s="668"/>
      <c r="T418" s="669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641</v>
      </c>
      <c r="B419" s="54" t="s">
        <v>643</v>
      </c>
      <c r="C419" s="31">
        <v>4301051297</v>
      </c>
      <c r="D419" s="675">
        <v>4607091384253</v>
      </c>
      <c r="E419" s="676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68"/>
      <c r="R419" s="668"/>
      <c r="S419" s="668"/>
      <c r="T419" s="669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645</v>
      </c>
      <c r="B420" s="54" t="s">
        <v>646</v>
      </c>
      <c r="C420" s="31">
        <v>4301051444</v>
      </c>
      <c r="D420" s="675">
        <v>4680115881969</v>
      </c>
      <c r="E420" s="676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68"/>
      <c r="R420" s="668"/>
      <c r="S420" s="668"/>
      <c r="T420" s="669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72"/>
      <c r="B421" s="673"/>
      <c r="C421" s="673"/>
      <c r="D421" s="673"/>
      <c r="E421" s="673"/>
      <c r="F421" s="673"/>
      <c r="G421" s="673"/>
      <c r="H421" s="673"/>
      <c r="I421" s="673"/>
      <c r="J421" s="673"/>
      <c r="K421" s="673"/>
      <c r="L421" s="673"/>
      <c r="M421" s="673"/>
      <c r="N421" s="673"/>
      <c r="O421" s="674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hidden="1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hidden="1" customHeight="1" x14ac:dyDescent="0.25">
      <c r="A423" s="679" t="s">
        <v>170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659"/>
      <c r="AB423" s="659"/>
      <c r="AC423" s="659"/>
    </row>
    <row r="424" spans="1:68" ht="27" hidden="1" customHeight="1" x14ac:dyDescent="0.25">
      <c r="A424" s="54" t="s">
        <v>648</v>
      </c>
      <c r="B424" s="54" t="s">
        <v>649</v>
      </c>
      <c r="C424" s="31">
        <v>4301060441</v>
      </c>
      <c r="D424" s="675">
        <v>4607091389357</v>
      </c>
      <c r="E424" s="676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52" t="s">
        <v>650</v>
      </c>
      <c r="Q424" s="668"/>
      <c r="R424" s="668"/>
      <c r="S424" s="668"/>
      <c r="T424" s="669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2"/>
      <c r="B425" s="673"/>
      <c r="C425" s="673"/>
      <c r="D425" s="673"/>
      <c r="E425" s="673"/>
      <c r="F425" s="673"/>
      <c r="G425" s="673"/>
      <c r="H425" s="673"/>
      <c r="I425" s="673"/>
      <c r="J425" s="673"/>
      <c r="K425" s="673"/>
      <c r="L425" s="673"/>
      <c r="M425" s="673"/>
      <c r="N425" s="673"/>
      <c r="O425" s="674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3"/>
      <c r="B426" s="673"/>
      <c r="C426" s="673"/>
      <c r="D426" s="673"/>
      <c r="E426" s="673"/>
      <c r="F426" s="673"/>
      <c r="G426" s="673"/>
      <c r="H426" s="673"/>
      <c r="I426" s="673"/>
      <c r="J426" s="673"/>
      <c r="K426" s="673"/>
      <c r="L426" s="673"/>
      <c r="M426" s="673"/>
      <c r="N426" s="673"/>
      <c r="O426" s="674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hidden="1" customHeight="1" x14ac:dyDescent="0.25">
      <c r="A428" s="716" t="s">
        <v>653</v>
      </c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3"/>
      <c r="P428" s="673"/>
      <c r="Q428" s="673"/>
      <c r="R428" s="673"/>
      <c r="S428" s="673"/>
      <c r="T428" s="673"/>
      <c r="U428" s="673"/>
      <c r="V428" s="673"/>
      <c r="W428" s="673"/>
      <c r="X428" s="673"/>
      <c r="Y428" s="673"/>
      <c r="Z428" s="673"/>
      <c r="AA428" s="658"/>
      <c r="AB428" s="658"/>
      <c r="AC428" s="658"/>
    </row>
    <row r="429" spans="1:68" ht="14.25" hidden="1" customHeight="1" x14ac:dyDescent="0.25">
      <c r="A429" s="679" t="s">
        <v>144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659"/>
      <c r="AB429" s="659"/>
      <c r="AC429" s="659"/>
    </row>
    <row r="430" spans="1:68" ht="27" customHeight="1" x14ac:dyDescent="0.25">
      <c r="A430" s="54" t="s">
        <v>654</v>
      </c>
      <c r="B430" s="54" t="s">
        <v>655</v>
      </c>
      <c r="C430" s="31">
        <v>4301031405</v>
      </c>
      <c r="D430" s="675">
        <v>4680115886100</v>
      </c>
      <c r="E430" s="676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9" t="s">
        <v>656</v>
      </c>
      <c r="Q430" s="668"/>
      <c r="R430" s="668"/>
      <c r="S430" s="668"/>
      <c r="T430" s="669"/>
      <c r="U430" s="34"/>
      <c r="V430" s="34"/>
      <c r="W430" s="35" t="s">
        <v>68</v>
      </c>
      <c r="X430" s="663">
        <v>54</v>
      </c>
      <c r="Y430" s="664">
        <f t="shared" ref="Y430:Y441" si="63">IFERROR(IF(X430="",0,CEILING((X430/$H430),1)*$H430),"")</f>
        <v>54</v>
      </c>
      <c r="Z430" s="36">
        <f>IFERROR(IF(Y430=0,"",ROUNDUP(Y430/H430,0)*0.00902),"")</f>
        <v>9.0200000000000002E-2</v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56.099999999999994</v>
      </c>
      <c r="BN430" s="64">
        <f t="shared" ref="BN430:BN441" si="65">IFERROR(Y430*I430/H430,"0")</f>
        <v>56.099999999999994</v>
      </c>
      <c r="BO430" s="64">
        <f t="shared" ref="BO430:BO441" si="66">IFERROR(1/J430*(X430/H430),"0")</f>
        <v>7.575757575757576E-2</v>
      </c>
      <c r="BP430" s="64">
        <f t="shared" ref="BP430:BP441" si="67">IFERROR(1/J430*(Y430/H430),"0")</f>
        <v>7.575757575757576E-2</v>
      </c>
    </row>
    <row r="431" spans="1:68" ht="27" hidden="1" customHeight="1" x14ac:dyDescent="0.25">
      <c r="A431" s="54" t="s">
        <v>658</v>
      </c>
      <c r="B431" s="54" t="s">
        <v>659</v>
      </c>
      <c r="C431" s="31">
        <v>4301031406</v>
      </c>
      <c r="D431" s="675">
        <v>4680115886117</v>
      </c>
      <c r="E431" s="676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24" t="s">
        <v>660</v>
      </c>
      <c r="Q431" s="668"/>
      <c r="R431" s="668"/>
      <c r="S431" s="668"/>
      <c r="T431" s="669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658</v>
      </c>
      <c r="B432" s="54" t="s">
        <v>662</v>
      </c>
      <c r="C432" s="31">
        <v>4301031382</v>
      </c>
      <c r="D432" s="675">
        <v>4680115886117</v>
      </c>
      <c r="E432" s="676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10" t="s">
        <v>660</v>
      </c>
      <c r="Q432" s="668"/>
      <c r="R432" s="668"/>
      <c r="S432" s="668"/>
      <c r="T432" s="669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663</v>
      </c>
      <c r="B433" s="54" t="s">
        <v>664</v>
      </c>
      <c r="C433" s="31">
        <v>4301031402</v>
      </c>
      <c r="D433" s="675">
        <v>4680115886124</v>
      </c>
      <c r="E433" s="676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23" t="s">
        <v>665</v>
      </c>
      <c r="Q433" s="668"/>
      <c r="R433" s="668"/>
      <c r="S433" s="668"/>
      <c r="T433" s="669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667</v>
      </c>
      <c r="B434" s="54" t="s">
        <v>668</v>
      </c>
      <c r="C434" s="31">
        <v>4301031335</v>
      </c>
      <c r="D434" s="675">
        <v>4680115883147</v>
      </c>
      <c r="E434" s="676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31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68"/>
      <c r="R434" s="668"/>
      <c r="S434" s="668"/>
      <c r="T434" s="669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667</v>
      </c>
      <c r="B435" s="54" t="s">
        <v>669</v>
      </c>
      <c r="C435" s="31">
        <v>4301031366</v>
      </c>
      <c r="D435" s="675">
        <v>4680115883147</v>
      </c>
      <c r="E435" s="676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8" t="s">
        <v>670</v>
      </c>
      <c r="Q435" s="668"/>
      <c r="R435" s="668"/>
      <c r="S435" s="668"/>
      <c r="T435" s="669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671</v>
      </c>
      <c r="B436" s="54" t="s">
        <v>672</v>
      </c>
      <c r="C436" s="31">
        <v>4301031362</v>
      </c>
      <c r="D436" s="675">
        <v>4607091384338</v>
      </c>
      <c r="E436" s="676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9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68"/>
      <c r="R436" s="668"/>
      <c r="S436" s="668"/>
      <c r="T436" s="669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673</v>
      </c>
      <c r="B437" s="54" t="s">
        <v>674</v>
      </c>
      <c r="C437" s="31">
        <v>4301031361</v>
      </c>
      <c r="D437" s="675">
        <v>4607091389524</v>
      </c>
      <c r="E437" s="676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68"/>
      <c r="R437" s="668"/>
      <c r="S437" s="668"/>
      <c r="T437" s="669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676</v>
      </c>
      <c r="B438" s="54" t="s">
        <v>677</v>
      </c>
      <c r="C438" s="31">
        <v>4301031337</v>
      </c>
      <c r="D438" s="675">
        <v>4680115883161</v>
      </c>
      <c r="E438" s="676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6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68"/>
      <c r="R438" s="668"/>
      <c r="S438" s="668"/>
      <c r="T438" s="669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676</v>
      </c>
      <c r="B439" s="54" t="s">
        <v>679</v>
      </c>
      <c r="C439" s="31">
        <v>4301031364</v>
      </c>
      <c r="D439" s="675">
        <v>4680115883161</v>
      </c>
      <c r="E439" s="676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22" t="s">
        <v>680</v>
      </c>
      <c r="Q439" s="668"/>
      <c r="R439" s="668"/>
      <c r="S439" s="668"/>
      <c r="T439" s="669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681</v>
      </c>
      <c r="B440" s="54" t="s">
        <v>682</v>
      </c>
      <c r="C440" s="31">
        <v>4301031358</v>
      </c>
      <c r="D440" s="675">
        <v>4607091389531</v>
      </c>
      <c r="E440" s="676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68"/>
      <c r="R440" s="668"/>
      <c r="S440" s="668"/>
      <c r="T440" s="669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684</v>
      </c>
      <c r="B441" s="54" t="s">
        <v>685</v>
      </c>
      <c r="C441" s="31">
        <v>4301031360</v>
      </c>
      <c r="D441" s="675">
        <v>4607091384345</v>
      </c>
      <c r="E441" s="676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68"/>
      <c r="R441" s="668"/>
      <c r="S441" s="668"/>
      <c r="T441" s="669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2"/>
      <c r="B442" s="673"/>
      <c r="C442" s="673"/>
      <c r="D442" s="673"/>
      <c r="E442" s="673"/>
      <c r="F442" s="673"/>
      <c r="G442" s="673"/>
      <c r="H442" s="673"/>
      <c r="I442" s="673"/>
      <c r="J442" s="673"/>
      <c r="K442" s="673"/>
      <c r="L442" s="673"/>
      <c r="M442" s="673"/>
      <c r="N442" s="673"/>
      <c r="O442" s="674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10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10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9.0200000000000002E-2</v>
      </c>
      <c r="AA442" s="666"/>
      <c r="AB442" s="666"/>
      <c r="AC442" s="666"/>
    </row>
    <row r="443" spans="1:68" x14ac:dyDescent="0.2">
      <c r="A443" s="673"/>
      <c r="B443" s="673"/>
      <c r="C443" s="673"/>
      <c r="D443" s="673"/>
      <c r="E443" s="673"/>
      <c r="F443" s="673"/>
      <c r="G443" s="673"/>
      <c r="H443" s="673"/>
      <c r="I443" s="673"/>
      <c r="J443" s="673"/>
      <c r="K443" s="673"/>
      <c r="L443" s="673"/>
      <c r="M443" s="673"/>
      <c r="N443" s="673"/>
      <c r="O443" s="674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54</v>
      </c>
      <c r="Y443" s="665">
        <f>IFERROR(SUM(Y430:Y441),"0")</f>
        <v>54</v>
      </c>
      <c r="Z443" s="37"/>
      <c r="AA443" s="666"/>
      <c r="AB443" s="666"/>
      <c r="AC443" s="666"/>
    </row>
    <row r="444" spans="1:68" ht="14.25" hidden="1" customHeight="1" x14ac:dyDescent="0.25">
      <c r="A444" s="679" t="s">
        <v>63</v>
      </c>
      <c r="B444" s="673"/>
      <c r="C444" s="673"/>
      <c r="D444" s="673"/>
      <c r="E444" s="673"/>
      <c r="F444" s="673"/>
      <c r="G444" s="673"/>
      <c r="H444" s="673"/>
      <c r="I444" s="673"/>
      <c r="J444" s="673"/>
      <c r="K444" s="673"/>
      <c r="L444" s="673"/>
      <c r="M444" s="673"/>
      <c r="N444" s="673"/>
      <c r="O444" s="673"/>
      <c r="P444" s="673"/>
      <c r="Q444" s="673"/>
      <c r="R444" s="673"/>
      <c r="S444" s="673"/>
      <c r="T444" s="673"/>
      <c r="U444" s="673"/>
      <c r="V444" s="673"/>
      <c r="W444" s="673"/>
      <c r="X444" s="673"/>
      <c r="Y444" s="673"/>
      <c r="Z444" s="673"/>
      <c r="AA444" s="659"/>
      <c r="AB444" s="659"/>
      <c r="AC444" s="659"/>
    </row>
    <row r="445" spans="1:68" ht="27" hidden="1" customHeight="1" x14ac:dyDescent="0.25">
      <c r="A445" s="54" t="s">
        <v>686</v>
      </c>
      <c r="B445" s="54" t="s">
        <v>687</v>
      </c>
      <c r="C445" s="31">
        <v>4301051284</v>
      </c>
      <c r="D445" s="675">
        <v>4607091384352</v>
      </c>
      <c r="E445" s="676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68"/>
      <c r="R445" s="668"/>
      <c r="S445" s="668"/>
      <c r="T445" s="669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689</v>
      </c>
      <c r="B446" s="54" t="s">
        <v>690</v>
      </c>
      <c r="C446" s="31">
        <v>4301051431</v>
      </c>
      <c r="D446" s="675">
        <v>4607091389654</v>
      </c>
      <c r="E446" s="676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68"/>
      <c r="R446" s="668"/>
      <c r="S446" s="668"/>
      <c r="T446" s="669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2"/>
      <c r="B447" s="673"/>
      <c r="C447" s="673"/>
      <c r="D447" s="673"/>
      <c r="E447" s="673"/>
      <c r="F447" s="673"/>
      <c r="G447" s="673"/>
      <c r="H447" s="673"/>
      <c r="I447" s="673"/>
      <c r="J447" s="673"/>
      <c r="K447" s="673"/>
      <c r="L447" s="673"/>
      <c r="M447" s="673"/>
      <c r="N447" s="673"/>
      <c r="O447" s="674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3"/>
      <c r="B448" s="673"/>
      <c r="C448" s="673"/>
      <c r="D448" s="673"/>
      <c r="E448" s="673"/>
      <c r="F448" s="673"/>
      <c r="G448" s="673"/>
      <c r="H448" s="673"/>
      <c r="I448" s="673"/>
      <c r="J448" s="673"/>
      <c r="K448" s="673"/>
      <c r="L448" s="673"/>
      <c r="M448" s="673"/>
      <c r="N448" s="673"/>
      <c r="O448" s="674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16" t="s">
        <v>692</v>
      </c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3"/>
      <c r="P449" s="673"/>
      <c r="Q449" s="673"/>
      <c r="R449" s="673"/>
      <c r="S449" s="673"/>
      <c r="T449" s="673"/>
      <c r="U449" s="673"/>
      <c r="V449" s="673"/>
      <c r="W449" s="673"/>
      <c r="X449" s="673"/>
      <c r="Y449" s="673"/>
      <c r="Z449" s="673"/>
      <c r="AA449" s="658"/>
      <c r="AB449" s="658"/>
      <c r="AC449" s="658"/>
    </row>
    <row r="450" spans="1:68" ht="14.25" hidden="1" customHeight="1" x14ac:dyDescent="0.25">
      <c r="A450" s="679" t="s">
        <v>133</v>
      </c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3"/>
      <c r="P450" s="673"/>
      <c r="Q450" s="673"/>
      <c r="R450" s="673"/>
      <c r="S450" s="673"/>
      <c r="T450" s="673"/>
      <c r="U450" s="673"/>
      <c r="V450" s="673"/>
      <c r="W450" s="673"/>
      <c r="X450" s="673"/>
      <c r="Y450" s="673"/>
      <c r="Z450" s="673"/>
      <c r="AA450" s="659"/>
      <c r="AB450" s="659"/>
      <c r="AC450" s="659"/>
    </row>
    <row r="451" spans="1:68" ht="27" hidden="1" customHeight="1" x14ac:dyDescent="0.25">
      <c r="A451" s="54" t="s">
        <v>693</v>
      </c>
      <c r="B451" s="54" t="s">
        <v>694</v>
      </c>
      <c r="C451" s="31">
        <v>4301020319</v>
      </c>
      <c r="D451" s="675">
        <v>4680115885240</v>
      </c>
      <c r="E451" s="676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3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68"/>
      <c r="R451" s="668"/>
      <c r="S451" s="668"/>
      <c r="T451" s="669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4301020315</v>
      </c>
      <c r="D452" s="675">
        <v>4607091389364</v>
      </c>
      <c r="E452" s="676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12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68"/>
      <c r="R452" s="668"/>
      <c r="S452" s="668"/>
      <c r="T452" s="669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2"/>
      <c r="B453" s="673"/>
      <c r="C453" s="673"/>
      <c r="D453" s="673"/>
      <c r="E453" s="673"/>
      <c r="F453" s="673"/>
      <c r="G453" s="673"/>
      <c r="H453" s="673"/>
      <c r="I453" s="673"/>
      <c r="J453" s="673"/>
      <c r="K453" s="673"/>
      <c r="L453" s="673"/>
      <c r="M453" s="673"/>
      <c r="N453" s="673"/>
      <c r="O453" s="674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9" t="s">
        <v>144</v>
      </c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3"/>
      <c r="P455" s="673"/>
      <c r="Q455" s="673"/>
      <c r="R455" s="673"/>
      <c r="S455" s="673"/>
      <c r="T455" s="673"/>
      <c r="U455" s="673"/>
      <c r="V455" s="673"/>
      <c r="W455" s="673"/>
      <c r="X455" s="673"/>
      <c r="Y455" s="673"/>
      <c r="Z455" s="673"/>
      <c r="AA455" s="659"/>
      <c r="AB455" s="659"/>
      <c r="AC455" s="659"/>
    </row>
    <row r="456" spans="1:68" ht="27" customHeight="1" x14ac:dyDescent="0.25">
      <c r="A456" s="54" t="s">
        <v>699</v>
      </c>
      <c r="B456" s="54" t="s">
        <v>700</v>
      </c>
      <c r="C456" s="31">
        <v>4301031403</v>
      </c>
      <c r="D456" s="675">
        <v>4680115886094</v>
      </c>
      <c r="E456" s="676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63" t="s">
        <v>701</v>
      </c>
      <c r="Q456" s="668"/>
      <c r="R456" s="668"/>
      <c r="S456" s="668"/>
      <c r="T456" s="669"/>
      <c r="U456" s="34"/>
      <c r="V456" s="34"/>
      <c r="W456" s="35" t="s">
        <v>68</v>
      </c>
      <c r="X456" s="663">
        <v>6</v>
      </c>
      <c r="Y456" s="664">
        <f>IFERROR(IF(X456="",0,CEILING((X456/$H456),1)*$H456),"")</f>
        <v>10.8</v>
      </c>
      <c r="Z456" s="36">
        <f>IFERROR(IF(Y456=0,"",ROUNDUP(Y456/H456,0)*0.00902),"")</f>
        <v>1.804E-2</v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6.2333333333333334</v>
      </c>
      <c r="BN456" s="64">
        <f>IFERROR(Y456*I456/H456,"0")</f>
        <v>11.22</v>
      </c>
      <c r="BO456" s="64">
        <f>IFERROR(1/J456*(X456/H456),"0")</f>
        <v>8.4175084175084156E-3</v>
      </c>
      <c r="BP456" s="64">
        <f>IFERROR(1/J456*(Y456/H456),"0")</f>
        <v>1.5151515151515152E-2</v>
      </c>
    </row>
    <row r="457" spans="1:68" ht="27" hidden="1" customHeight="1" x14ac:dyDescent="0.25">
      <c r="A457" s="54" t="s">
        <v>703</v>
      </c>
      <c r="B457" s="54" t="s">
        <v>704</v>
      </c>
      <c r="C457" s="31">
        <v>4301031363</v>
      </c>
      <c r="D457" s="675">
        <v>4607091389425</v>
      </c>
      <c r="E457" s="676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68"/>
      <c r="R457" s="668"/>
      <c r="S457" s="668"/>
      <c r="T457" s="669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706</v>
      </c>
      <c r="B458" s="54" t="s">
        <v>707</v>
      </c>
      <c r="C458" s="31">
        <v>4301031373</v>
      </c>
      <c r="D458" s="675">
        <v>4680115880771</v>
      </c>
      <c r="E458" s="676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2" t="s">
        <v>708</v>
      </c>
      <c r="Q458" s="668"/>
      <c r="R458" s="668"/>
      <c r="S458" s="668"/>
      <c r="T458" s="669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710</v>
      </c>
      <c r="B459" s="54" t="s">
        <v>711</v>
      </c>
      <c r="C459" s="31">
        <v>4301031359</v>
      </c>
      <c r="D459" s="675">
        <v>4607091389500</v>
      </c>
      <c r="E459" s="676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68"/>
      <c r="R459" s="668"/>
      <c r="S459" s="668"/>
      <c r="T459" s="669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2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1.1111111111111109</v>
      </c>
      <c r="Y460" s="665">
        <f>IFERROR(Y456/H456,"0")+IFERROR(Y457/H457,"0")+IFERROR(Y458/H458,"0")+IFERROR(Y459/H459,"0")</f>
        <v>2</v>
      </c>
      <c r="Z460" s="665">
        <f>IFERROR(IF(Z456="",0,Z456),"0")+IFERROR(IF(Z457="",0,Z457),"0")+IFERROR(IF(Z458="",0,Z458),"0")+IFERROR(IF(Z459="",0,Z459),"0")</f>
        <v>1.804E-2</v>
      </c>
      <c r="AA460" s="666"/>
      <c r="AB460" s="666"/>
      <c r="AC460" s="666"/>
    </row>
    <row r="461" spans="1:68" x14ac:dyDescent="0.2">
      <c r="A461" s="673"/>
      <c r="B461" s="673"/>
      <c r="C461" s="673"/>
      <c r="D461" s="673"/>
      <c r="E461" s="673"/>
      <c r="F461" s="673"/>
      <c r="G461" s="673"/>
      <c r="H461" s="673"/>
      <c r="I461" s="673"/>
      <c r="J461" s="673"/>
      <c r="K461" s="673"/>
      <c r="L461" s="673"/>
      <c r="M461" s="673"/>
      <c r="N461" s="673"/>
      <c r="O461" s="674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6</v>
      </c>
      <c r="Y461" s="665">
        <f>IFERROR(SUM(Y456:Y459),"0")</f>
        <v>10.8</v>
      </c>
      <c r="Z461" s="37"/>
      <c r="AA461" s="666"/>
      <c r="AB461" s="666"/>
      <c r="AC461" s="666"/>
    </row>
    <row r="462" spans="1:68" ht="16.5" hidden="1" customHeight="1" x14ac:dyDescent="0.25">
      <c r="A462" s="716" t="s">
        <v>712</v>
      </c>
      <c r="B462" s="673"/>
      <c r="C462" s="673"/>
      <c r="D462" s="673"/>
      <c r="E462" s="673"/>
      <c r="F462" s="673"/>
      <c r="G462" s="673"/>
      <c r="H462" s="673"/>
      <c r="I462" s="673"/>
      <c r="J462" s="673"/>
      <c r="K462" s="673"/>
      <c r="L462" s="673"/>
      <c r="M462" s="673"/>
      <c r="N462" s="673"/>
      <c r="O462" s="673"/>
      <c r="P462" s="673"/>
      <c r="Q462" s="673"/>
      <c r="R462" s="673"/>
      <c r="S462" s="673"/>
      <c r="T462" s="673"/>
      <c r="U462" s="673"/>
      <c r="V462" s="673"/>
      <c r="W462" s="673"/>
      <c r="X462" s="673"/>
      <c r="Y462" s="673"/>
      <c r="Z462" s="673"/>
      <c r="AA462" s="658"/>
      <c r="AB462" s="658"/>
      <c r="AC462" s="658"/>
    </row>
    <row r="463" spans="1:68" ht="14.25" hidden="1" customHeight="1" x14ac:dyDescent="0.25">
      <c r="A463" s="679" t="s">
        <v>144</v>
      </c>
      <c r="B463" s="673"/>
      <c r="C463" s="673"/>
      <c r="D463" s="673"/>
      <c r="E463" s="673"/>
      <c r="F463" s="673"/>
      <c r="G463" s="673"/>
      <c r="H463" s="673"/>
      <c r="I463" s="673"/>
      <c r="J463" s="673"/>
      <c r="K463" s="673"/>
      <c r="L463" s="673"/>
      <c r="M463" s="673"/>
      <c r="N463" s="673"/>
      <c r="O463" s="673"/>
      <c r="P463" s="673"/>
      <c r="Q463" s="673"/>
      <c r="R463" s="673"/>
      <c r="S463" s="673"/>
      <c r="T463" s="673"/>
      <c r="U463" s="673"/>
      <c r="V463" s="673"/>
      <c r="W463" s="673"/>
      <c r="X463" s="673"/>
      <c r="Y463" s="673"/>
      <c r="Z463" s="673"/>
      <c r="AA463" s="659"/>
      <c r="AB463" s="659"/>
      <c r="AC463" s="659"/>
    </row>
    <row r="464" spans="1:68" ht="27" hidden="1" customHeight="1" x14ac:dyDescent="0.25">
      <c r="A464" s="54" t="s">
        <v>713</v>
      </c>
      <c r="B464" s="54" t="s">
        <v>714</v>
      </c>
      <c r="C464" s="31">
        <v>4301031294</v>
      </c>
      <c r="D464" s="675">
        <v>4680115885189</v>
      </c>
      <c r="E464" s="676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5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68"/>
      <c r="R464" s="668"/>
      <c r="S464" s="668"/>
      <c r="T464" s="669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716</v>
      </c>
      <c r="B465" s="54" t="s">
        <v>717</v>
      </c>
      <c r="C465" s="31">
        <v>4301031347</v>
      </c>
      <c r="D465" s="675">
        <v>4680115885110</v>
      </c>
      <c r="E465" s="676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6" t="s">
        <v>718</v>
      </c>
      <c r="Q465" s="668"/>
      <c r="R465" s="668"/>
      <c r="S465" s="668"/>
      <c r="T465" s="669"/>
      <c r="U465" s="34"/>
      <c r="V465" s="34"/>
      <c r="W465" s="35" t="s">
        <v>68</v>
      </c>
      <c r="X465" s="663">
        <v>1</v>
      </c>
      <c r="Y465" s="664">
        <f>IFERROR(IF(X465="",0,CEILING((X465/$H465),1)*$H465),"")</f>
        <v>1.2</v>
      </c>
      <c r="Z465" s="36">
        <f>IFERROR(IF(Y465=0,"",ROUNDUP(Y465/H465,0)*0.00651),"")</f>
        <v>6.5100000000000002E-3</v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1.7500000000000002</v>
      </c>
      <c r="BN465" s="64">
        <f>IFERROR(Y465*I465/H465,"0")</f>
        <v>2.1</v>
      </c>
      <c r="BO465" s="64">
        <f>IFERROR(1/J465*(X465/H465),"0")</f>
        <v>4.578754578754579E-3</v>
      </c>
      <c r="BP465" s="64">
        <f>IFERROR(1/J465*(Y465/H465),"0")</f>
        <v>5.4945054945054949E-3</v>
      </c>
    </row>
    <row r="466" spans="1:68" x14ac:dyDescent="0.2">
      <c r="A466" s="672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0.83333333333333337</v>
      </c>
      <c r="Y466" s="665">
        <f>IFERROR(Y464/H464,"0")+IFERROR(Y465/H465,"0")</f>
        <v>1</v>
      </c>
      <c r="Z466" s="665">
        <f>IFERROR(IF(Z464="",0,Z464),"0")+IFERROR(IF(Z465="",0,Z465),"0")</f>
        <v>6.5100000000000002E-3</v>
      </c>
      <c r="AA466" s="666"/>
      <c r="AB466" s="666"/>
      <c r="AC466" s="666"/>
    </row>
    <row r="467" spans="1:68" x14ac:dyDescent="0.2">
      <c r="A467" s="673"/>
      <c r="B467" s="673"/>
      <c r="C467" s="673"/>
      <c r="D467" s="673"/>
      <c r="E467" s="673"/>
      <c r="F467" s="673"/>
      <c r="G467" s="673"/>
      <c r="H467" s="673"/>
      <c r="I467" s="673"/>
      <c r="J467" s="673"/>
      <c r="K467" s="673"/>
      <c r="L467" s="673"/>
      <c r="M467" s="673"/>
      <c r="N467" s="673"/>
      <c r="O467" s="674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1</v>
      </c>
      <c r="Y467" s="665">
        <f>IFERROR(SUM(Y464:Y465),"0")</f>
        <v>1.2</v>
      </c>
      <c r="Z467" s="37"/>
      <c r="AA467" s="666"/>
      <c r="AB467" s="666"/>
      <c r="AC467" s="666"/>
    </row>
    <row r="468" spans="1:68" ht="16.5" hidden="1" customHeight="1" x14ac:dyDescent="0.25">
      <c r="A468" s="716" t="s">
        <v>720</v>
      </c>
      <c r="B468" s="673"/>
      <c r="C468" s="673"/>
      <c r="D468" s="673"/>
      <c r="E468" s="673"/>
      <c r="F468" s="673"/>
      <c r="G468" s="673"/>
      <c r="H468" s="673"/>
      <c r="I468" s="673"/>
      <c r="J468" s="673"/>
      <c r="K468" s="673"/>
      <c r="L468" s="673"/>
      <c r="M468" s="673"/>
      <c r="N468" s="673"/>
      <c r="O468" s="673"/>
      <c r="P468" s="673"/>
      <c r="Q468" s="673"/>
      <c r="R468" s="673"/>
      <c r="S468" s="673"/>
      <c r="T468" s="673"/>
      <c r="U468" s="673"/>
      <c r="V468" s="673"/>
      <c r="W468" s="673"/>
      <c r="X468" s="673"/>
      <c r="Y468" s="673"/>
      <c r="Z468" s="673"/>
      <c r="AA468" s="658"/>
      <c r="AB468" s="658"/>
      <c r="AC468" s="658"/>
    </row>
    <row r="469" spans="1:68" ht="14.25" hidden="1" customHeight="1" x14ac:dyDescent="0.25">
      <c r="A469" s="679" t="s">
        <v>144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659"/>
      <c r="AB469" s="659"/>
      <c r="AC469" s="659"/>
    </row>
    <row r="470" spans="1:68" ht="27" hidden="1" customHeight="1" x14ac:dyDescent="0.25">
      <c r="A470" s="54" t="s">
        <v>721</v>
      </c>
      <c r="B470" s="54" t="s">
        <v>722</v>
      </c>
      <c r="C470" s="31">
        <v>4301031261</v>
      </c>
      <c r="D470" s="675">
        <v>4680115885103</v>
      </c>
      <c r="E470" s="676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68"/>
      <c r="R470" s="668"/>
      <c r="S470" s="668"/>
      <c r="T470" s="669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2"/>
      <c r="B471" s="673"/>
      <c r="C471" s="673"/>
      <c r="D471" s="673"/>
      <c r="E471" s="673"/>
      <c r="F471" s="673"/>
      <c r="G471" s="673"/>
      <c r="H471" s="673"/>
      <c r="I471" s="673"/>
      <c r="J471" s="673"/>
      <c r="K471" s="673"/>
      <c r="L471" s="673"/>
      <c r="M471" s="673"/>
      <c r="N471" s="673"/>
      <c r="O471" s="674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3"/>
      <c r="B472" s="673"/>
      <c r="C472" s="673"/>
      <c r="D472" s="673"/>
      <c r="E472" s="673"/>
      <c r="F472" s="673"/>
      <c r="G472" s="673"/>
      <c r="H472" s="673"/>
      <c r="I472" s="673"/>
      <c r="J472" s="673"/>
      <c r="K472" s="673"/>
      <c r="L472" s="673"/>
      <c r="M472" s="673"/>
      <c r="N472" s="673"/>
      <c r="O472" s="674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9" t="s">
        <v>170</v>
      </c>
      <c r="B473" s="673"/>
      <c r="C473" s="673"/>
      <c r="D473" s="673"/>
      <c r="E473" s="673"/>
      <c r="F473" s="673"/>
      <c r="G473" s="673"/>
      <c r="H473" s="673"/>
      <c r="I473" s="673"/>
      <c r="J473" s="673"/>
      <c r="K473" s="673"/>
      <c r="L473" s="673"/>
      <c r="M473" s="673"/>
      <c r="N473" s="673"/>
      <c r="O473" s="673"/>
      <c r="P473" s="673"/>
      <c r="Q473" s="673"/>
      <c r="R473" s="673"/>
      <c r="S473" s="673"/>
      <c r="T473" s="673"/>
      <c r="U473" s="673"/>
      <c r="V473" s="673"/>
      <c r="W473" s="673"/>
      <c r="X473" s="673"/>
      <c r="Y473" s="673"/>
      <c r="Z473" s="673"/>
      <c r="AA473" s="659"/>
      <c r="AB473" s="659"/>
      <c r="AC473" s="659"/>
    </row>
    <row r="474" spans="1:68" ht="27" hidden="1" customHeight="1" x14ac:dyDescent="0.25">
      <c r="A474" s="54" t="s">
        <v>724</v>
      </c>
      <c r="B474" s="54" t="s">
        <v>725</v>
      </c>
      <c r="C474" s="31">
        <v>4301060412</v>
      </c>
      <c r="D474" s="675">
        <v>4680115885509</v>
      </c>
      <c r="E474" s="676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4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68"/>
      <c r="R474" s="668"/>
      <c r="S474" s="668"/>
      <c r="T474" s="669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2"/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4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3"/>
      <c r="B476" s="673"/>
      <c r="C476" s="673"/>
      <c r="D476" s="673"/>
      <c r="E476" s="673"/>
      <c r="F476" s="673"/>
      <c r="G476" s="673"/>
      <c r="H476" s="673"/>
      <c r="I476" s="673"/>
      <c r="J476" s="673"/>
      <c r="K476" s="673"/>
      <c r="L476" s="673"/>
      <c r="M476" s="673"/>
      <c r="N476" s="673"/>
      <c r="O476" s="674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hidden="1" customHeight="1" x14ac:dyDescent="0.25">
      <c r="A478" s="716" t="s">
        <v>727</v>
      </c>
      <c r="B478" s="673"/>
      <c r="C478" s="673"/>
      <c r="D478" s="673"/>
      <c r="E478" s="673"/>
      <c r="F478" s="673"/>
      <c r="G478" s="673"/>
      <c r="H478" s="673"/>
      <c r="I478" s="673"/>
      <c r="J478" s="673"/>
      <c r="K478" s="673"/>
      <c r="L478" s="673"/>
      <c r="M478" s="673"/>
      <c r="N478" s="673"/>
      <c r="O478" s="673"/>
      <c r="P478" s="673"/>
      <c r="Q478" s="673"/>
      <c r="R478" s="673"/>
      <c r="S478" s="673"/>
      <c r="T478" s="673"/>
      <c r="U478" s="673"/>
      <c r="V478" s="673"/>
      <c r="W478" s="673"/>
      <c r="X478" s="673"/>
      <c r="Y478" s="673"/>
      <c r="Z478" s="673"/>
      <c r="AA478" s="658"/>
      <c r="AB478" s="658"/>
      <c r="AC478" s="658"/>
    </row>
    <row r="479" spans="1:68" ht="14.25" hidden="1" customHeight="1" x14ac:dyDescent="0.25">
      <c r="A479" s="679" t="s">
        <v>97</v>
      </c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3"/>
      <c r="P479" s="673"/>
      <c r="Q479" s="673"/>
      <c r="R479" s="673"/>
      <c r="S479" s="673"/>
      <c r="T479" s="673"/>
      <c r="U479" s="673"/>
      <c r="V479" s="673"/>
      <c r="W479" s="673"/>
      <c r="X479" s="673"/>
      <c r="Y479" s="673"/>
      <c r="Z479" s="673"/>
      <c r="AA479" s="659"/>
      <c r="AB479" s="659"/>
      <c r="AC479" s="659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75">
        <v>4607091389067</v>
      </c>
      <c r="E480" s="676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68"/>
      <c r="R480" s="668"/>
      <c r="S480" s="668"/>
      <c r="T480" s="669"/>
      <c r="U480" s="34"/>
      <c r="V480" s="34"/>
      <c r="W480" s="35" t="s">
        <v>68</v>
      </c>
      <c r="X480" s="663">
        <v>4</v>
      </c>
      <c r="Y480" s="664">
        <f t="shared" ref="Y480:Y494" si="69">IFERROR(IF(X480="",0,CEILING((X480/$H480),1)*$H480),"")</f>
        <v>5.28</v>
      </c>
      <c r="Z480" s="36">
        <f>IFERROR(IF(Y480=0,"",ROUNDUP(Y480/H480,0)*0.01196),"")</f>
        <v>1.196E-2</v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4.2727272727272725</v>
      </c>
      <c r="BN480" s="64">
        <f t="shared" ref="BN480:BN494" si="71">IFERROR(Y480*I480/H480,"0")</f>
        <v>5.64</v>
      </c>
      <c r="BO480" s="64">
        <f t="shared" ref="BO480:BO494" si="72">IFERROR(1/J480*(X480/H480),"0")</f>
        <v>7.2843822843822849E-3</v>
      </c>
      <c r="BP480" s="64">
        <f t="shared" ref="BP480:BP494" si="73">IFERROR(1/J480*(Y480/H480),"0")</f>
        <v>9.6153846153846159E-3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75">
        <v>4680115885271</v>
      </c>
      <c r="E481" s="676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68"/>
      <c r="R481" s="668"/>
      <c r="S481" s="668"/>
      <c r="T481" s="669"/>
      <c r="U481" s="34"/>
      <c r="V481" s="34"/>
      <c r="W481" s="35" t="s">
        <v>68</v>
      </c>
      <c r="X481" s="663">
        <v>7</v>
      </c>
      <c r="Y481" s="664">
        <f t="shared" si="69"/>
        <v>10.56</v>
      </c>
      <c r="Z481" s="36">
        <f>IFERROR(IF(Y481=0,"",ROUNDUP(Y481/H481,0)*0.01196),"")</f>
        <v>2.392E-2</v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7.4772727272727266</v>
      </c>
      <c r="BN481" s="64">
        <f t="shared" si="71"/>
        <v>11.28</v>
      </c>
      <c r="BO481" s="64">
        <f t="shared" si="72"/>
        <v>1.2747668997668998E-2</v>
      </c>
      <c r="BP481" s="64">
        <f t="shared" si="73"/>
        <v>1.9230769230769232E-2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75">
        <v>4680115885226</v>
      </c>
      <c r="E482" s="676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68"/>
      <c r="R482" s="668"/>
      <c r="S482" s="668"/>
      <c r="T482" s="669"/>
      <c r="U482" s="34"/>
      <c r="V482" s="34"/>
      <c r="W482" s="35" t="s">
        <v>68</v>
      </c>
      <c r="X482" s="663">
        <v>83</v>
      </c>
      <c r="Y482" s="664">
        <f t="shared" si="69"/>
        <v>84.48</v>
      </c>
      <c r="Z482" s="36">
        <f>IFERROR(IF(Y482=0,"",ROUNDUP(Y482/H482,0)*0.01196),"")</f>
        <v>0.19136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88.659090909090892</v>
      </c>
      <c r="BN482" s="64">
        <f t="shared" si="71"/>
        <v>90.24</v>
      </c>
      <c r="BO482" s="64">
        <f t="shared" si="72"/>
        <v>0.15115093240093241</v>
      </c>
      <c r="BP482" s="64">
        <f t="shared" si="73"/>
        <v>0.15384615384615385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75">
        <v>4607091389104</v>
      </c>
      <c r="E483" s="676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68"/>
      <c r="R483" s="668"/>
      <c r="S483" s="668"/>
      <c r="T483" s="669"/>
      <c r="U483" s="34"/>
      <c r="V483" s="34"/>
      <c r="W483" s="35" t="s">
        <v>68</v>
      </c>
      <c r="X483" s="663">
        <v>22</v>
      </c>
      <c r="Y483" s="664">
        <f t="shared" si="69"/>
        <v>26.400000000000002</v>
      </c>
      <c r="Z483" s="36">
        <f>IFERROR(IF(Y483=0,"",ROUNDUP(Y483/H483,0)*0.01196),"")</f>
        <v>5.9799999999999999E-2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23.5</v>
      </c>
      <c r="BN483" s="64">
        <f t="shared" si="71"/>
        <v>28.200000000000003</v>
      </c>
      <c r="BO483" s="64">
        <f t="shared" si="72"/>
        <v>4.0064102564102561E-2</v>
      </c>
      <c r="BP483" s="64">
        <f t="shared" si="73"/>
        <v>4.807692307692308E-2</v>
      </c>
    </row>
    <row r="484" spans="1:68" ht="16.5" hidden="1" customHeight="1" x14ac:dyDescent="0.25">
      <c r="A484" s="54" t="s">
        <v>740</v>
      </c>
      <c r="B484" s="54" t="s">
        <v>741</v>
      </c>
      <c r="C484" s="31">
        <v>4301011799</v>
      </c>
      <c r="D484" s="675">
        <v>4680115884519</v>
      </c>
      <c r="E484" s="676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68"/>
      <c r="R484" s="668"/>
      <c r="S484" s="668"/>
      <c r="T484" s="669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743</v>
      </c>
      <c r="B485" s="54" t="s">
        <v>744</v>
      </c>
      <c r="C485" s="31">
        <v>4301012125</v>
      </c>
      <c r="D485" s="675">
        <v>4680115886391</v>
      </c>
      <c r="E485" s="676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20" t="s">
        <v>745</v>
      </c>
      <c r="Q485" s="668"/>
      <c r="R485" s="668"/>
      <c r="S485" s="668"/>
      <c r="T485" s="669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746</v>
      </c>
      <c r="B486" s="54" t="s">
        <v>747</v>
      </c>
      <c r="C486" s="31">
        <v>4301011778</v>
      </c>
      <c r="D486" s="675">
        <v>4680115880603</v>
      </c>
      <c r="E486" s="676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14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68"/>
      <c r="R486" s="668"/>
      <c r="S486" s="668"/>
      <c r="T486" s="669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hidden="1" customHeight="1" x14ac:dyDescent="0.25">
      <c r="A487" s="54" t="s">
        <v>746</v>
      </c>
      <c r="B487" s="54" t="s">
        <v>748</v>
      </c>
      <c r="C487" s="31">
        <v>4301012035</v>
      </c>
      <c r="D487" s="675">
        <v>4680115880603</v>
      </c>
      <c r="E487" s="676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68"/>
      <c r="R487" s="668"/>
      <c r="S487" s="668"/>
      <c r="T487" s="669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749</v>
      </c>
      <c r="B488" s="54" t="s">
        <v>750</v>
      </c>
      <c r="C488" s="31">
        <v>4301012036</v>
      </c>
      <c r="D488" s="675">
        <v>4680115882782</v>
      </c>
      <c r="E488" s="676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68"/>
      <c r="R488" s="668"/>
      <c r="S488" s="668"/>
      <c r="T488" s="669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751</v>
      </c>
      <c r="B489" s="54" t="s">
        <v>752</v>
      </c>
      <c r="C489" s="31">
        <v>4301012055</v>
      </c>
      <c r="D489" s="675">
        <v>4680115886469</v>
      </c>
      <c r="E489" s="676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56" t="s">
        <v>753</v>
      </c>
      <c r="Q489" s="668"/>
      <c r="R489" s="668"/>
      <c r="S489" s="668"/>
      <c r="T489" s="669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754</v>
      </c>
      <c r="B490" s="54" t="s">
        <v>755</v>
      </c>
      <c r="C490" s="31">
        <v>4301012057</v>
      </c>
      <c r="D490" s="675">
        <v>4680115886483</v>
      </c>
      <c r="E490" s="676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6" t="s">
        <v>756</v>
      </c>
      <c r="Q490" s="668"/>
      <c r="R490" s="668"/>
      <c r="S490" s="668"/>
      <c r="T490" s="669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758</v>
      </c>
      <c r="B491" s="54" t="s">
        <v>759</v>
      </c>
      <c r="C491" s="31">
        <v>4301012050</v>
      </c>
      <c r="D491" s="675">
        <v>4680115885479</v>
      </c>
      <c r="E491" s="676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48" t="s">
        <v>760</v>
      </c>
      <c r="Q491" s="668"/>
      <c r="R491" s="668"/>
      <c r="S491" s="668"/>
      <c r="T491" s="669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761</v>
      </c>
      <c r="B492" s="54" t="s">
        <v>762</v>
      </c>
      <c r="C492" s="31">
        <v>4301011784</v>
      </c>
      <c r="D492" s="675">
        <v>4607091389982</v>
      </c>
      <c r="E492" s="676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9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68"/>
      <c r="R492" s="668"/>
      <c r="S492" s="668"/>
      <c r="T492" s="669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761</v>
      </c>
      <c r="B493" s="54" t="s">
        <v>763</v>
      </c>
      <c r="C493" s="31">
        <v>4301012034</v>
      </c>
      <c r="D493" s="675">
        <v>4607091389982</v>
      </c>
      <c r="E493" s="676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68"/>
      <c r="R493" s="668"/>
      <c r="S493" s="668"/>
      <c r="T493" s="669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764</v>
      </c>
      <c r="B494" s="54" t="s">
        <v>765</v>
      </c>
      <c r="C494" s="31">
        <v>4301012058</v>
      </c>
      <c r="D494" s="675">
        <v>4680115886490</v>
      </c>
      <c r="E494" s="676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80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68"/>
      <c r="R494" s="668"/>
      <c r="S494" s="668"/>
      <c r="T494" s="669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2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21.969696969696969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24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0.28704000000000002</v>
      </c>
      <c r="AA495" s="666"/>
      <c r="AB495" s="666"/>
      <c r="AC495" s="666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116</v>
      </c>
      <c r="Y496" s="665">
        <f>IFERROR(SUM(Y480:Y494),"0")</f>
        <v>126.72000000000001</v>
      </c>
      <c r="Z496" s="37"/>
      <c r="AA496" s="666"/>
      <c r="AB496" s="666"/>
      <c r="AC496" s="666"/>
    </row>
    <row r="497" spans="1:68" ht="14.25" hidden="1" customHeight="1" x14ac:dyDescent="0.25">
      <c r="A497" s="679" t="s">
        <v>133</v>
      </c>
      <c r="B497" s="673"/>
      <c r="C497" s="673"/>
      <c r="D497" s="673"/>
      <c r="E497" s="673"/>
      <c r="F497" s="673"/>
      <c r="G497" s="673"/>
      <c r="H497" s="673"/>
      <c r="I497" s="673"/>
      <c r="J497" s="673"/>
      <c r="K497" s="673"/>
      <c r="L497" s="673"/>
      <c r="M497" s="673"/>
      <c r="N497" s="673"/>
      <c r="O497" s="673"/>
      <c r="P497" s="673"/>
      <c r="Q497" s="673"/>
      <c r="R497" s="673"/>
      <c r="S497" s="673"/>
      <c r="T497" s="673"/>
      <c r="U497" s="673"/>
      <c r="V497" s="673"/>
      <c r="W497" s="673"/>
      <c r="X497" s="673"/>
      <c r="Y497" s="673"/>
      <c r="Z497" s="673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75">
        <v>4607091388930</v>
      </c>
      <c r="E498" s="676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68"/>
      <c r="R498" s="668"/>
      <c r="S498" s="668"/>
      <c r="T498" s="669"/>
      <c r="U498" s="34"/>
      <c r="V498" s="34"/>
      <c r="W498" s="35" t="s">
        <v>68</v>
      </c>
      <c r="X498" s="663">
        <v>18</v>
      </c>
      <c r="Y498" s="664">
        <f>IFERROR(IF(X498="",0,CEILING((X498/$H498),1)*$H498),"")</f>
        <v>21.12</v>
      </c>
      <c r="Z498" s="36">
        <f>IFERROR(IF(Y498=0,"",ROUNDUP(Y498/H498,0)*0.01196),"")</f>
        <v>4.7840000000000001E-2</v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19.227272727272727</v>
      </c>
      <c r="BN498" s="64">
        <f>IFERROR(Y498*I498/H498,"0")</f>
        <v>22.56</v>
      </c>
      <c r="BO498" s="64">
        <f>IFERROR(1/J498*(X498/H498),"0")</f>
        <v>3.277972027972028E-2</v>
      </c>
      <c r="BP498" s="64">
        <f>IFERROR(1/J498*(Y498/H498),"0")</f>
        <v>3.8461538461538464E-2</v>
      </c>
    </row>
    <row r="499" spans="1:68" ht="16.5" hidden="1" customHeight="1" x14ac:dyDescent="0.25">
      <c r="A499" s="54" t="s">
        <v>766</v>
      </c>
      <c r="B499" s="54" t="s">
        <v>769</v>
      </c>
      <c r="C499" s="31">
        <v>4301020334</v>
      </c>
      <c r="D499" s="675">
        <v>4607091388930</v>
      </c>
      <c r="E499" s="676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32" t="s">
        <v>770</v>
      </c>
      <c r="Q499" s="668"/>
      <c r="R499" s="668"/>
      <c r="S499" s="668"/>
      <c r="T499" s="669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772</v>
      </c>
      <c r="B500" s="54" t="s">
        <v>773</v>
      </c>
      <c r="C500" s="31">
        <v>4301020384</v>
      </c>
      <c r="D500" s="675">
        <v>4680115886407</v>
      </c>
      <c r="E500" s="676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5" t="s">
        <v>774</v>
      </c>
      <c r="Q500" s="668"/>
      <c r="R500" s="668"/>
      <c r="S500" s="668"/>
      <c r="T500" s="669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775</v>
      </c>
      <c r="B501" s="54" t="s">
        <v>776</v>
      </c>
      <c r="C501" s="31">
        <v>4301020385</v>
      </c>
      <c r="D501" s="675">
        <v>4680115880054</v>
      </c>
      <c r="E501" s="676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30" t="s">
        <v>777</v>
      </c>
      <c r="Q501" s="668"/>
      <c r="R501" s="668"/>
      <c r="S501" s="668"/>
      <c r="T501" s="669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2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3.4090909090909087</v>
      </c>
      <c r="Y502" s="665">
        <f>IFERROR(Y498/H498,"0")+IFERROR(Y499/H499,"0")+IFERROR(Y500/H500,"0")+IFERROR(Y501/H501,"0")</f>
        <v>4</v>
      </c>
      <c r="Z502" s="665">
        <f>IFERROR(IF(Z498="",0,Z498),"0")+IFERROR(IF(Z499="",0,Z499),"0")+IFERROR(IF(Z500="",0,Z500),"0")+IFERROR(IF(Z501="",0,Z501),"0")</f>
        <v>4.7840000000000001E-2</v>
      </c>
      <c r="AA502" s="666"/>
      <c r="AB502" s="666"/>
      <c r="AC502" s="666"/>
    </row>
    <row r="503" spans="1:68" x14ac:dyDescent="0.2">
      <c r="A503" s="673"/>
      <c r="B503" s="673"/>
      <c r="C503" s="673"/>
      <c r="D503" s="673"/>
      <c r="E503" s="673"/>
      <c r="F503" s="673"/>
      <c r="G503" s="673"/>
      <c r="H503" s="673"/>
      <c r="I503" s="673"/>
      <c r="J503" s="673"/>
      <c r="K503" s="673"/>
      <c r="L503" s="673"/>
      <c r="M503" s="673"/>
      <c r="N503" s="673"/>
      <c r="O503" s="674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18</v>
      </c>
      <c r="Y503" s="665">
        <f>IFERROR(SUM(Y498:Y501),"0")</f>
        <v>21.12</v>
      </c>
      <c r="Z503" s="37"/>
      <c r="AA503" s="666"/>
      <c r="AB503" s="666"/>
      <c r="AC503" s="666"/>
    </row>
    <row r="504" spans="1:68" ht="14.25" hidden="1" customHeight="1" x14ac:dyDescent="0.25">
      <c r="A504" s="679" t="s">
        <v>144</v>
      </c>
      <c r="B504" s="673"/>
      <c r="C504" s="673"/>
      <c r="D504" s="673"/>
      <c r="E504" s="673"/>
      <c r="F504" s="673"/>
      <c r="G504" s="673"/>
      <c r="H504" s="673"/>
      <c r="I504" s="673"/>
      <c r="J504" s="673"/>
      <c r="K504" s="673"/>
      <c r="L504" s="673"/>
      <c r="M504" s="673"/>
      <c r="N504" s="673"/>
      <c r="O504" s="673"/>
      <c r="P504" s="673"/>
      <c r="Q504" s="673"/>
      <c r="R504" s="673"/>
      <c r="S504" s="673"/>
      <c r="T504" s="673"/>
      <c r="U504" s="673"/>
      <c r="V504" s="673"/>
      <c r="W504" s="673"/>
      <c r="X504" s="673"/>
      <c r="Y504" s="673"/>
      <c r="Z504" s="673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75">
        <v>4680115883116</v>
      </c>
      <c r="E505" s="676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7" t="s">
        <v>780</v>
      </c>
      <c r="Q505" s="668"/>
      <c r="R505" s="668"/>
      <c r="S505" s="668"/>
      <c r="T505" s="669"/>
      <c r="U505" s="34"/>
      <c r="V505" s="34"/>
      <c r="W505" s="35" t="s">
        <v>68</v>
      </c>
      <c r="X505" s="663">
        <v>41</v>
      </c>
      <c r="Y505" s="664">
        <f t="shared" ref="Y505:Y516" si="74">IFERROR(IF(X505="",0,CEILING((X505/$H505),1)*$H505),"")</f>
        <v>42.24</v>
      </c>
      <c r="Z505" s="36">
        <f>IFERROR(IF(Y505=0,"",ROUNDUP(Y505/H505,0)*0.01196),"")</f>
        <v>9.5680000000000001E-2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43.79545454545454</v>
      </c>
      <c r="BN505" s="64">
        <f t="shared" ref="BN505:BN516" si="76">IFERROR(Y505*I505/H505,"0")</f>
        <v>45.12</v>
      </c>
      <c r="BO505" s="64">
        <f t="shared" ref="BO505:BO516" si="77">IFERROR(1/J505*(X505/H505),"0")</f>
        <v>7.4664918414918416E-2</v>
      </c>
      <c r="BP505" s="64">
        <f t="shared" ref="BP505:BP516" si="78">IFERROR(1/J505*(Y505/H505),"0")</f>
        <v>7.6923076923076927E-2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75">
        <v>4680115883093</v>
      </c>
      <c r="E506" s="676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901" t="s">
        <v>784</v>
      </c>
      <c r="Q506" s="668"/>
      <c r="R506" s="668"/>
      <c r="S506" s="668"/>
      <c r="T506" s="669"/>
      <c r="U506" s="34"/>
      <c r="V506" s="34"/>
      <c r="W506" s="35" t="s">
        <v>68</v>
      </c>
      <c r="X506" s="663">
        <v>41</v>
      </c>
      <c r="Y506" s="664">
        <f t="shared" si="74"/>
        <v>42.24</v>
      </c>
      <c r="Z506" s="36">
        <f>IFERROR(IF(Y506=0,"",ROUNDUP(Y506/H506,0)*0.01196),"")</f>
        <v>9.5680000000000001E-2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43.79545454545454</v>
      </c>
      <c r="BN506" s="64">
        <f t="shared" si="76"/>
        <v>45.12</v>
      </c>
      <c r="BO506" s="64">
        <f t="shared" si="77"/>
        <v>7.4664918414918416E-2</v>
      </c>
      <c r="BP506" s="64">
        <f t="shared" si="78"/>
        <v>7.6923076923076927E-2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75">
        <v>4680115883109</v>
      </c>
      <c r="E507" s="676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8" t="s">
        <v>788</v>
      </c>
      <c r="Q507" s="668"/>
      <c r="R507" s="668"/>
      <c r="S507" s="668"/>
      <c r="T507" s="669"/>
      <c r="U507" s="34"/>
      <c r="V507" s="34"/>
      <c r="W507" s="35" t="s">
        <v>68</v>
      </c>
      <c r="X507" s="663">
        <v>19</v>
      </c>
      <c r="Y507" s="664">
        <f t="shared" si="74"/>
        <v>21.12</v>
      </c>
      <c r="Z507" s="36">
        <f>IFERROR(IF(Y507=0,"",ROUNDUP(Y507/H507,0)*0.01196),"")</f>
        <v>4.7840000000000001E-2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20.295454545454543</v>
      </c>
      <c r="BN507" s="64">
        <f t="shared" si="76"/>
        <v>22.56</v>
      </c>
      <c r="BO507" s="64">
        <f t="shared" si="77"/>
        <v>3.4600815850815848E-2</v>
      </c>
      <c r="BP507" s="64">
        <f t="shared" si="78"/>
        <v>3.8461538461538464E-2</v>
      </c>
    </row>
    <row r="508" spans="1:68" ht="27" hidden="1" customHeight="1" x14ac:dyDescent="0.25">
      <c r="A508" s="54" t="s">
        <v>790</v>
      </c>
      <c r="B508" s="54" t="s">
        <v>791</v>
      </c>
      <c r="C508" s="31">
        <v>4301031409</v>
      </c>
      <c r="D508" s="675">
        <v>4680115886438</v>
      </c>
      <c r="E508" s="676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2" t="s">
        <v>792</v>
      </c>
      <c r="Q508" s="668"/>
      <c r="R508" s="668"/>
      <c r="S508" s="668"/>
      <c r="T508" s="669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793</v>
      </c>
      <c r="B509" s="54" t="s">
        <v>794</v>
      </c>
      <c r="C509" s="31">
        <v>4301031419</v>
      </c>
      <c r="D509" s="675">
        <v>4680115882072</v>
      </c>
      <c r="E509" s="676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10" t="s">
        <v>795</v>
      </c>
      <c r="Q509" s="668"/>
      <c r="R509" s="668"/>
      <c r="S509" s="668"/>
      <c r="T509" s="669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793</v>
      </c>
      <c r="B510" s="54" t="s">
        <v>796</v>
      </c>
      <c r="C510" s="31">
        <v>4301031351</v>
      </c>
      <c r="D510" s="675">
        <v>4680115882072</v>
      </c>
      <c r="E510" s="676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946" t="s">
        <v>797</v>
      </c>
      <c r="Q510" s="668"/>
      <c r="R510" s="668"/>
      <c r="S510" s="668"/>
      <c r="T510" s="669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793</v>
      </c>
      <c r="B511" s="54" t="s">
        <v>798</v>
      </c>
      <c r="C511" s="31">
        <v>4301031383</v>
      </c>
      <c r="D511" s="675">
        <v>4680115882072</v>
      </c>
      <c r="E511" s="676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68"/>
      <c r="R511" s="668"/>
      <c r="S511" s="668"/>
      <c r="T511" s="669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800</v>
      </c>
      <c r="B512" s="54" t="s">
        <v>801</v>
      </c>
      <c r="C512" s="31">
        <v>4301031418</v>
      </c>
      <c r="D512" s="675">
        <v>4680115882102</v>
      </c>
      <c r="E512" s="676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4" t="s">
        <v>802</v>
      </c>
      <c r="Q512" s="668"/>
      <c r="R512" s="668"/>
      <c r="S512" s="668"/>
      <c r="T512" s="669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800</v>
      </c>
      <c r="B513" s="54" t="s">
        <v>803</v>
      </c>
      <c r="C513" s="31">
        <v>4301031251</v>
      </c>
      <c r="D513" s="675">
        <v>4680115882102</v>
      </c>
      <c r="E513" s="676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68"/>
      <c r="R513" s="668"/>
      <c r="S513" s="668"/>
      <c r="T513" s="669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805</v>
      </c>
      <c r="B514" s="54" t="s">
        <v>806</v>
      </c>
      <c r="C514" s="31">
        <v>4301031417</v>
      </c>
      <c r="D514" s="675">
        <v>4680115882096</v>
      </c>
      <c r="E514" s="676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5" t="s">
        <v>807</v>
      </c>
      <c r="Q514" s="668"/>
      <c r="R514" s="668"/>
      <c r="S514" s="668"/>
      <c r="T514" s="669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805</v>
      </c>
      <c r="B515" s="54" t="s">
        <v>808</v>
      </c>
      <c r="C515" s="31">
        <v>4301031384</v>
      </c>
      <c r="D515" s="675">
        <v>4680115882096</v>
      </c>
      <c r="E515" s="676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9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68"/>
      <c r="R515" s="668"/>
      <c r="S515" s="668"/>
      <c r="T515" s="669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805</v>
      </c>
      <c r="B516" s="54" t="s">
        <v>809</v>
      </c>
      <c r="C516" s="31">
        <v>4301031253</v>
      </c>
      <c r="D516" s="675">
        <v>4680115882096</v>
      </c>
      <c r="E516" s="676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37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68"/>
      <c r="R516" s="668"/>
      <c r="S516" s="668"/>
      <c r="T516" s="669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2"/>
      <c r="B517" s="673"/>
      <c r="C517" s="673"/>
      <c r="D517" s="673"/>
      <c r="E517" s="673"/>
      <c r="F517" s="673"/>
      <c r="G517" s="673"/>
      <c r="H517" s="673"/>
      <c r="I517" s="673"/>
      <c r="J517" s="673"/>
      <c r="K517" s="673"/>
      <c r="L517" s="673"/>
      <c r="M517" s="673"/>
      <c r="N517" s="673"/>
      <c r="O517" s="674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19.128787878787879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20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0.2392</v>
      </c>
      <c r="AA517" s="666"/>
      <c r="AB517" s="666"/>
      <c r="AC517" s="666"/>
    </row>
    <row r="518" spans="1:68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101</v>
      </c>
      <c r="Y518" s="665">
        <f>IFERROR(SUM(Y505:Y516),"0")</f>
        <v>105.60000000000001</v>
      </c>
      <c r="Z518" s="37"/>
      <c r="AA518" s="666"/>
      <c r="AB518" s="666"/>
      <c r="AC518" s="666"/>
    </row>
    <row r="519" spans="1:68" ht="14.25" hidden="1" customHeight="1" x14ac:dyDescent="0.25">
      <c r="A519" s="679" t="s">
        <v>63</v>
      </c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3"/>
      <c r="P519" s="673"/>
      <c r="Q519" s="673"/>
      <c r="R519" s="673"/>
      <c r="S519" s="673"/>
      <c r="T519" s="673"/>
      <c r="U519" s="673"/>
      <c r="V519" s="673"/>
      <c r="W519" s="673"/>
      <c r="X519" s="673"/>
      <c r="Y519" s="673"/>
      <c r="Z519" s="673"/>
      <c r="AA519" s="659"/>
      <c r="AB519" s="659"/>
      <c r="AC519" s="659"/>
    </row>
    <row r="520" spans="1:68" ht="16.5" hidden="1" customHeight="1" x14ac:dyDescent="0.25">
      <c r="A520" s="54" t="s">
        <v>811</v>
      </c>
      <c r="B520" s="54" t="s">
        <v>812</v>
      </c>
      <c r="C520" s="31">
        <v>4301051232</v>
      </c>
      <c r="D520" s="675">
        <v>4607091383409</v>
      </c>
      <c r="E520" s="676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70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68"/>
      <c r="R520" s="668"/>
      <c r="S520" s="668"/>
      <c r="T520" s="669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814</v>
      </c>
      <c r="B521" s="54" t="s">
        <v>815</v>
      </c>
      <c r="C521" s="31">
        <v>4301051231</v>
      </c>
      <c r="D521" s="675">
        <v>4607091383416</v>
      </c>
      <c r="E521" s="676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68"/>
      <c r="R521" s="668"/>
      <c r="S521" s="668"/>
      <c r="T521" s="669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817</v>
      </c>
      <c r="B522" s="54" t="s">
        <v>818</v>
      </c>
      <c r="C522" s="31">
        <v>4301051064</v>
      </c>
      <c r="D522" s="675">
        <v>4680115883536</v>
      </c>
      <c r="E522" s="676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68"/>
      <c r="R522" s="668"/>
      <c r="S522" s="668"/>
      <c r="T522" s="669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2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9" t="s">
        <v>170</v>
      </c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673"/>
      <c r="P525" s="673"/>
      <c r="Q525" s="673"/>
      <c r="R525" s="673"/>
      <c r="S525" s="673"/>
      <c r="T525" s="673"/>
      <c r="U525" s="673"/>
      <c r="V525" s="673"/>
      <c r="W525" s="673"/>
      <c r="X525" s="673"/>
      <c r="Y525" s="673"/>
      <c r="Z525" s="673"/>
      <c r="AA525" s="659"/>
      <c r="AB525" s="659"/>
      <c r="AC525" s="659"/>
    </row>
    <row r="526" spans="1:68" ht="37.5" hidden="1" customHeight="1" x14ac:dyDescent="0.25">
      <c r="A526" s="54" t="s">
        <v>820</v>
      </c>
      <c r="B526" s="54" t="s">
        <v>821</v>
      </c>
      <c r="C526" s="31">
        <v>4301060363</v>
      </c>
      <c r="D526" s="675">
        <v>4680115885035</v>
      </c>
      <c r="E526" s="676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68"/>
      <c r="R526" s="668"/>
      <c r="S526" s="668"/>
      <c r="T526" s="669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823</v>
      </c>
      <c r="B527" s="54" t="s">
        <v>824</v>
      </c>
      <c r="C527" s="31">
        <v>4301060436</v>
      </c>
      <c r="D527" s="675">
        <v>4680115885936</v>
      </c>
      <c r="E527" s="676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20" t="s">
        <v>825</v>
      </c>
      <c r="Q527" s="668"/>
      <c r="R527" s="668"/>
      <c r="S527" s="668"/>
      <c r="T527" s="669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2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674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674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hidden="1" customHeight="1" x14ac:dyDescent="0.25">
      <c r="A531" s="716" t="s">
        <v>826</v>
      </c>
      <c r="B531" s="673"/>
      <c r="C531" s="673"/>
      <c r="D531" s="673"/>
      <c r="E531" s="673"/>
      <c r="F531" s="673"/>
      <c r="G531" s="673"/>
      <c r="H531" s="673"/>
      <c r="I531" s="673"/>
      <c r="J531" s="673"/>
      <c r="K531" s="673"/>
      <c r="L531" s="673"/>
      <c r="M531" s="673"/>
      <c r="N531" s="673"/>
      <c r="O531" s="673"/>
      <c r="P531" s="673"/>
      <c r="Q531" s="673"/>
      <c r="R531" s="673"/>
      <c r="S531" s="673"/>
      <c r="T531" s="673"/>
      <c r="U531" s="673"/>
      <c r="V531" s="673"/>
      <c r="W531" s="673"/>
      <c r="X531" s="673"/>
      <c r="Y531" s="673"/>
      <c r="Z531" s="673"/>
      <c r="AA531" s="658"/>
      <c r="AB531" s="658"/>
      <c r="AC531" s="658"/>
    </row>
    <row r="532" spans="1:68" ht="14.25" hidden="1" customHeight="1" x14ac:dyDescent="0.25">
      <c r="A532" s="679" t="s">
        <v>97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659"/>
      <c r="AB532" s="659"/>
      <c r="AC532" s="659"/>
    </row>
    <row r="533" spans="1:68" ht="27" hidden="1" customHeight="1" x14ac:dyDescent="0.25">
      <c r="A533" s="54" t="s">
        <v>827</v>
      </c>
      <c r="B533" s="54" t="s">
        <v>828</v>
      </c>
      <c r="C533" s="31">
        <v>4301011763</v>
      </c>
      <c r="D533" s="675">
        <v>4640242181011</v>
      </c>
      <c r="E533" s="676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902" t="s">
        <v>829</v>
      </c>
      <c r="Q533" s="668"/>
      <c r="R533" s="668"/>
      <c r="S533" s="668"/>
      <c r="T533" s="669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831</v>
      </c>
      <c r="B534" s="54" t="s">
        <v>832</v>
      </c>
      <c r="C534" s="31">
        <v>4301011585</v>
      </c>
      <c r="D534" s="675">
        <v>4640242180441</v>
      </c>
      <c r="E534" s="676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9" t="s">
        <v>833</v>
      </c>
      <c r="Q534" s="668"/>
      <c r="R534" s="668"/>
      <c r="S534" s="668"/>
      <c r="T534" s="669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hidden="1" customHeight="1" x14ac:dyDescent="0.25">
      <c r="A535" s="54" t="s">
        <v>835</v>
      </c>
      <c r="B535" s="54" t="s">
        <v>836</v>
      </c>
      <c r="C535" s="31">
        <v>4301011584</v>
      </c>
      <c r="D535" s="675">
        <v>4640242180564</v>
      </c>
      <c r="E535" s="676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6" t="s">
        <v>837</v>
      </c>
      <c r="Q535" s="668"/>
      <c r="R535" s="668"/>
      <c r="S535" s="668"/>
      <c r="T535" s="669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hidden="1" customHeight="1" x14ac:dyDescent="0.25">
      <c r="A536" s="54" t="s">
        <v>839</v>
      </c>
      <c r="B536" s="54" t="s">
        <v>840</v>
      </c>
      <c r="C536" s="31">
        <v>4301011762</v>
      </c>
      <c r="D536" s="675">
        <v>4640242180922</v>
      </c>
      <c r="E536" s="676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910" t="s">
        <v>841</v>
      </c>
      <c r="Q536" s="668"/>
      <c r="R536" s="668"/>
      <c r="S536" s="668"/>
      <c r="T536" s="669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843</v>
      </c>
      <c r="B537" s="54" t="s">
        <v>844</v>
      </c>
      <c r="C537" s="31">
        <v>4301011551</v>
      </c>
      <c r="D537" s="675">
        <v>4640242180038</v>
      </c>
      <c r="E537" s="676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61" t="s">
        <v>845</v>
      </c>
      <c r="Q537" s="668"/>
      <c r="R537" s="668"/>
      <c r="S537" s="668"/>
      <c r="T537" s="669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846</v>
      </c>
      <c r="B538" s="54" t="s">
        <v>847</v>
      </c>
      <c r="C538" s="31">
        <v>4301011765</v>
      </c>
      <c r="D538" s="675">
        <v>4640242181172</v>
      </c>
      <c r="E538" s="676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92" t="s">
        <v>848</v>
      </c>
      <c r="Q538" s="668"/>
      <c r="R538" s="668"/>
      <c r="S538" s="668"/>
      <c r="T538" s="669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hidden="1" x14ac:dyDescent="0.2">
      <c r="A539" s="672"/>
      <c r="B539" s="673"/>
      <c r="C539" s="673"/>
      <c r="D539" s="673"/>
      <c r="E539" s="673"/>
      <c r="F539" s="673"/>
      <c r="G539" s="673"/>
      <c r="H539" s="673"/>
      <c r="I539" s="673"/>
      <c r="J539" s="673"/>
      <c r="K539" s="673"/>
      <c r="L539" s="673"/>
      <c r="M539" s="673"/>
      <c r="N539" s="673"/>
      <c r="O539" s="674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hidden="1" x14ac:dyDescent="0.2">
      <c r="A540" s="673"/>
      <c r="B540" s="673"/>
      <c r="C540" s="673"/>
      <c r="D540" s="673"/>
      <c r="E540" s="673"/>
      <c r="F540" s="673"/>
      <c r="G540" s="673"/>
      <c r="H540" s="673"/>
      <c r="I540" s="673"/>
      <c r="J540" s="673"/>
      <c r="K540" s="673"/>
      <c r="L540" s="673"/>
      <c r="M540" s="673"/>
      <c r="N540" s="673"/>
      <c r="O540" s="674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hidden="1" customHeight="1" x14ac:dyDescent="0.25">
      <c r="A541" s="679" t="s">
        <v>133</v>
      </c>
      <c r="B541" s="673"/>
      <c r="C541" s="673"/>
      <c r="D541" s="673"/>
      <c r="E541" s="673"/>
      <c r="F541" s="673"/>
      <c r="G541" s="673"/>
      <c r="H541" s="673"/>
      <c r="I541" s="673"/>
      <c r="J541" s="673"/>
      <c r="K541" s="673"/>
      <c r="L541" s="673"/>
      <c r="M541" s="673"/>
      <c r="N541" s="673"/>
      <c r="O541" s="673"/>
      <c r="P541" s="673"/>
      <c r="Q541" s="673"/>
      <c r="R541" s="673"/>
      <c r="S541" s="673"/>
      <c r="T541" s="673"/>
      <c r="U541" s="673"/>
      <c r="V541" s="673"/>
      <c r="W541" s="673"/>
      <c r="X541" s="673"/>
      <c r="Y541" s="673"/>
      <c r="Z541" s="673"/>
      <c r="AA541" s="659"/>
      <c r="AB541" s="659"/>
      <c r="AC541" s="659"/>
    </row>
    <row r="542" spans="1:68" ht="27" hidden="1" customHeight="1" x14ac:dyDescent="0.25">
      <c r="A542" s="54" t="s">
        <v>849</v>
      </c>
      <c r="B542" s="54" t="s">
        <v>850</v>
      </c>
      <c r="C542" s="31">
        <v>4301020400</v>
      </c>
      <c r="D542" s="675">
        <v>4640242180519</v>
      </c>
      <c r="E542" s="676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8" t="s">
        <v>851</v>
      </c>
      <c r="Q542" s="668"/>
      <c r="R542" s="668"/>
      <c r="S542" s="668"/>
      <c r="T542" s="669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849</v>
      </c>
      <c r="B543" s="54" t="s">
        <v>853</v>
      </c>
      <c r="C543" s="31">
        <v>4301020269</v>
      </c>
      <c r="D543" s="675">
        <v>4640242180519</v>
      </c>
      <c r="E543" s="676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46" t="s">
        <v>854</v>
      </c>
      <c r="Q543" s="668"/>
      <c r="R543" s="668"/>
      <c r="S543" s="668"/>
      <c r="T543" s="669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857</v>
      </c>
      <c r="C544" s="31">
        <v>4301020260</v>
      </c>
      <c r="D544" s="675">
        <v>4640242180526</v>
      </c>
      <c r="E544" s="676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3" t="s">
        <v>858</v>
      </c>
      <c r="Q544" s="668"/>
      <c r="R544" s="668"/>
      <c r="S544" s="668"/>
      <c r="T544" s="669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859</v>
      </c>
      <c r="B545" s="54" t="s">
        <v>860</v>
      </c>
      <c r="C545" s="31">
        <v>4301020309</v>
      </c>
      <c r="D545" s="675">
        <v>4640242180090</v>
      </c>
      <c r="E545" s="676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1" t="s">
        <v>861</v>
      </c>
      <c r="Q545" s="668"/>
      <c r="R545" s="668"/>
      <c r="S545" s="668"/>
      <c r="T545" s="669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863</v>
      </c>
      <c r="B546" s="54" t="s">
        <v>864</v>
      </c>
      <c r="C546" s="31">
        <v>4301020295</v>
      </c>
      <c r="D546" s="675">
        <v>4640242181363</v>
      </c>
      <c r="E546" s="676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801" t="s">
        <v>865</v>
      </c>
      <c r="Q546" s="668"/>
      <c r="R546" s="668"/>
      <c r="S546" s="668"/>
      <c r="T546" s="669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2"/>
      <c r="B547" s="673"/>
      <c r="C547" s="673"/>
      <c r="D547" s="673"/>
      <c r="E547" s="673"/>
      <c r="F547" s="673"/>
      <c r="G547" s="673"/>
      <c r="H547" s="673"/>
      <c r="I547" s="673"/>
      <c r="J547" s="673"/>
      <c r="K547" s="673"/>
      <c r="L547" s="673"/>
      <c r="M547" s="673"/>
      <c r="N547" s="673"/>
      <c r="O547" s="674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3"/>
      <c r="B548" s="673"/>
      <c r="C548" s="673"/>
      <c r="D548" s="673"/>
      <c r="E548" s="673"/>
      <c r="F548" s="673"/>
      <c r="G548" s="673"/>
      <c r="H548" s="673"/>
      <c r="I548" s="673"/>
      <c r="J548" s="673"/>
      <c r="K548" s="673"/>
      <c r="L548" s="673"/>
      <c r="M548" s="673"/>
      <c r="N548" s="673"/>
      <c r="O548" s="674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9" t="s">
        <v>144</v>
      </c>
      <c r="B549" s="673"/>
      <c r="C549" s="673"/>
      <c r="D549" s="673"/>
      <c r="E549" s="673"/>
      <c r="F549" s="673"/>
      <c r="G549" s="673"/>
      <c r="H549" s="673"/>
      <c r="I549" s="673"/>
      <c r="J549" s="673"/>
      <c r="K549" s="673"/>
      <c r="L549" s="673"/>
      <c r="M549" s="673"/>
      <c r="N549" s="673"/>
      <c r="O549" s="673"/>
      <c r="P549" s="673"/>
      <c r="Q549" s="673"/>
      <c r="R549" s="673"/>
      <c r="S549" s="673"/>
      <c r="T549" s="673"/>
      <c r="U549" s="673"/>
      <c r="V549" s="673"/>
      <c r="W549" s="673"/>
      <c r="X549" s="673"/>
      <c r="Y549" s="673"/>
      <c r="Z549" s="673"/>
      <c r="AA549" s="659"/>
      <c r="AB549" s="659"/>
      <c r="AC549" s="659"/>
    </row>
    <row r="550" spans="1:68" ht="27" hidden="1" customHeight="1" x14ac:dyDescent="0.25">
      <c r="A550" s="54" t="s">
        <v>866</v>
      </c>
      <c r="B550" s="54" t="s">
        <v>867</v>
      </c>
      <c r="C550" s="31">
        <v>4301031280</v>
      </c>
      <c r="D550" s="675">
        <v>4640242180816</v>
      </c>
      <c r="E550" s="676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8" t="s">
        <v>868</v>
      </c>
      <c r="Q550" s="668"/>
      <c r="R550" s="668"/>
      <c r="S550" s="668"/>
      <c r="T550" s="669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870</v>
      </c>
      <c r="B551" s="54" t="s">
        <v>871</v>
      </c>
      <c r="C551" s="31">
        <v>4301031244</v>
      </c>
      <c r="D551" s="675">
        <v>4640242180595</v>
      </c>
      <c r="E551" s="676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60" t="s">
        <v>872</v>
      </c>
      <c r="Q551" s="668"/>
      <c r="R551" s="668"/>
      <c r="S551" s="668"/>
      <c r="T551" s="669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874</v>
      </c>
      <c r="B552" s="54" t="s">
        <v>875</v>
      </c>
      <c r="C552" s="31">
        <v>4301031289</v>
      </c>
      <c r="D552" s="675">
        <v>4640242181615</v>
      </c>
      <c r="E552" s="676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688" t="s">
        <v>876</v>
      </c>
      <c r="Q552" s="668"/>
      <c r="R552" s="668"/>
      <c r="S552" s="668"/>
      <c r="T552" s="669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878</v>
      </c>
      <c r="B553" s="54" t="s">
        <v>879</v>
      </c>
      <c r="C553" s="31">
        <v>4301031285</v>
      </c>
      <c r="D553" s="675">
        <v>4640242181639</v>
      </c>
      <c r="E553" s="676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68"/>
      <c r="R553" s="668"/>
      <c r="S553" s="668"/>
      <c r="T553" s="669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882</v>
      </c>
      <c r="B554" s="54" t="s">
        <v>883</v>
      </c>
      <c r="C554" s="31">
        <v>4301031287</v>
      </c>
      <c r="D554" s="675">
        <v>4640242181622</v>
      </c>
      <c r="E554" s="676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5" t="s">
        <v>884</v>
      </c>
      <c r="Q554" s="668"/>
      <c r="R554" s="668"/>
      <c r="S554" s="668"/>
      <c r="T554" s="669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886</v>
      </c>
      <c r="B555" s="54" t="s">
        <v>887</v>
      </c>
      <c r="C555" s="31">
        <v>4301031203</v>
      </c>
      <c r="D555" s="675">
        <v>4640242180908</v>
      </c>
      <c r="E555" s="676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5" t="s">
        <v>888</v>
      </c>
      <c r="Q555" s="668"/>
      <c r="R555" s="668"/>
      <c r="S555" s="668"/>
      <c r="T555" s="669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889</v>
      </c>
      <c r="B556" s="54" t="s">
        <v>890</v>
      </c>
      <c r="C556" s="31">
        <v>4301031200</v>
      </c>
      <c r="D556" s="675">
        <v>4640242180489</v>
      </c>
      <c r="E556" s="676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814" t="s">
        <v>891</v>
      </c>
      <c r="Q556" s="668"/>
      <c r="R556" s="668"/>
      <c r="S556" s="668"/>
      <c r="T556" s="669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72"/>
      <c r="B557" s="673"/>
      <c r="C557" s="673"/>
      <c r="D557" s="673"/>
      <c r="E557" s="673"/>
      <c r="F557" s="673"/>
      <c r="G557" s="673"/>
      <c r="H557" s="673"/>
      <c r="I557" s="673"/>
      <c r="J557" s="673"/>
      <c r="K557" s="673"/>
      <c r="L557" s="673"/>
      <c r="M557" s="673"/>
      <c r="N557" s="673"/>
      <c r="O557" s="674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3"/>
      <c r="B558" s="673"/>
      <c r="C558" s="673"/>
      <c r="D558" s="673"/>
      <c r="E558" s="673"/>
      <c r="F558" s="673"/>
      <c r="G558" s="673"/>
      <c r="H558" s="673"/>
      <c r="I558" s="673"/>
      <c r="J558" s="673"/>
      <c r="K558" s="673"/>
      <c r="L558" s="673"/>
      <c r="M558" s="673"/>
      <c r="N558" s="673"/>
      <c r="O558" s="674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79" t="s">
        <v>63</v>
      </c>
      <c r="B559" s="673"/>
      <c r="C559" s="673"/>
      <c r="D559" s="673"/>
      <c r="E559" s="673"/>
      <c r="F559" s="673"/>
      <c r="G559" s="673"/>
      <c r="H559" s="673"/>
      <c r="I559" s="673"/>
      <c r="J559" s="673"/>
      <c r="K559" s="673"/>
      <c r="L559" s="673"/>
      <c r="M559" s="673"/>
      <c r="N559" s="673"/>
      <c r="O559" s="673"/>
      <c r="P559" s="673"/>
      <c r="Q559" s="673"/>
      <c r="R559" s="673"/>
      <c r="S559" s="673"/>
      <c r="T559" s="673"/>
      <c r="U559" s="673"/>
      <c r="V559" s="673"/>
      <c r="W559" s="673"/>
      <c r="X559" s="673"/>
      <c r="Y559" s="673"/>
      <c r="Z559" s="673"/>
      <c r="AA559" s="659"/>
      <c r="AB559" s="659"/>
      <c r="AC559" s="659"/>
    </row>
    <row r="560" spans="1:68" ht="27" customHeight="1" x14ac:dyDescent="0.25">
      <c r="A560" s="54" t="s">
        <v>892</v>
      </c>
      <c r="B560" s="54" t="s">
        <v>893</v>
      </c>
      <c r="C560" s="31">
        <v>4301052046</v>
      </c>
      <c r="D560" s="675">
        <v>4640242180533</v>
      </c>
      <c r="E560" s="676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72" t="s">
        <v>894</v>
      </c>
      <c r="Q560" s="668"/>
      <c r="R560" s="668"/>
      <c r="S560" s="668"/>
      <c r="T560" s="669"/>
      <c r="U560" s="34"/>
      <c r="V560" s="34"/>
      <c r="W560" s="35" t="s">
        <v>68</v>
      </c>
      <c r="X560" s="663">
        <v>13</v>
      </c>
      <c r="Y560" s="664">
        <f>IFERROR(IF(X560="",0,CEILING((X560/$H560),1)*$H560),"")</f>
        <v>18</v>
      </c>
      <c r="Z560" s="36">
        <f>IFERROR(IF(Y560=0,"",ROUNDUP(Y560/H560,0)*0.01898),"")</f>
        <v>3.7960000000000001E-2</v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13.749666666666666</v>
      </c>
      <c r="BN560" s="64">
        <f>IFERROR(Y560*I560/H560,"0")</f>
        <v>19.038</v>
      </c>
      <c r="BO560" s="64">
        <f>IFERROR(1/J560*(X560/H560),"0")</f>
        <v>2.2569444444444444E-2</v>
      </c>
      <c r="BP560" s="64">
        <f>IFERROR(1/J560*(Y560/H560),"0")</f>
        <v>3.125E-2</v>
      </c>
    </row>
    <row r="561" spans="1:68" ht="27" hidden="1" customHeight="1" x14ac:dyDescent="0.25">
      <c r="A561" s="54" t="s">
        <v>892</v>
      </c>
      <c r="B561" s="54" t="s">
        <v>896</v>
      </c>
      <c r="C561" s="31">
        <v>4301051887</v>
      </c>
      <c r="D561" s="675">
        <v>4640242180533</v>
      </c>
      <c r="E561" s="676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09" t="s">
        <v>894</v>
      </c>
      <c r="Q561" s="668"/>
      <c r="R561" s="668"/>
      <c r="S561" s="668"/>
      <c r="T561" s="669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897</v>
      </c>
      <c r="B562" s="54" t="s">
        <v>898</v>
      </c>
      <c r="C562" s="31">
        <v>4301051933</v>
      </c>
      <c r="D562" s="675">
        <v>4640242180540</v>
      </c>
      <c r="E562" s="676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5" t="s">
        <v>899</v>
      </c>
      <c r="Q562" s="668"/>
      <c r="R562" s="668"/>
      <c r="S562" s="668"/>
      <c r="T562" s="669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901</v>
      </c>
      <c r="B563" s="54" t="s">
        <v>902</v>
      </c>
      <c r="C563" s="31">
        <v>4301051920</v>
      </c>
      <c r="D563" s="675">
        <v>4640242181233</v>
      </c>
      <c r="E563" s="676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33" t="s">
        <v>903</v>
      </c>
      <c r="Q563" s="668"/>
      <c r="R563" s="668"/>
      <c r="S563" s="668"/>
      <c r="T563" s="669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904</v>
      </c>
      <c r="B564" s="54" t="s">
        <v>905</v>
      </c>
      <c r="C564" s="31">
        <v>4301051921</v>
      </c>
      <c r="D564" s="675">
        <v>4640242181226</v>
      </c>
      <c r="E564" s="676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79" t="s">
        <v>906</v>
      </c>
      <c r="Q564" s="668"/>
      <c r="R564" s="668"/>
      <c r="S564" s="668"/>
      <c r="T564" s="669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2"/>
      <c r="B565" s="673"/>
      <c r="C565" s="673"/>
      <c r="D565" s="673"/>
      <c r="E565" s="673"/>
      <c r="F565" s="673"/>
      <c r="G565" s="673"/>
      <c r="H565" s="673"/>
      <c r="I565" s="673"/>
      <c r="J565" s="673"/>
      <c r="K565" s="673"/>
      <c r="L565" s="673"/>
      <c r="M565" s="673"/>
      <c r="N565" s="673"/>
      <c r="O565" s="674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1.4444444444444444</v>
      </c>
      <c r="Y565" s="665">
        <f>IFERROR(Y560/H560,"0")+IFERROR(Y561/H561,"0")+IFERROR(Y562/H562,"0")+IFERROR(Y563/H563,"0")+IFERROR(Y564/H564,"0")</f>
        <v>2</v>
      </c>
      <c r="Z565" s="665">
        <f>IFERROR(IF(Z560="",0,Z560),"0")+IFERROR(IF(Z561="",0,Z561),"0")+IFERROR(IF(Z562="",0,Z562),"0")+IFERROR(IF(Z563="",0,Z563),"0")+IFERROR(IF(Z564="",0,Z564),"0")</f>
        <v>3.7960000000000001E-2</v>
      </c>
      <c r="AA565" s="666"/>
      <c r="AB565" s="666"/>
      <c r="AC565" s="666"/>
    </row>
    <row r="566" spans="1:68" x14ac:dyDescent="0.2">
      <c r="A566" s="673"/>
      <c r="B566" s="673"/>
      <c r="C566" s="673"/>
      <c r="D566" s="673"/>
      <c r="E566" s="673"/>
      <c r="F566" s="673"/>
      <c r="G566" s="673"/>
      <c r="H566" s="673"/>
      <c r="I566" s="673"/>
      <c r="J566" s="673"/>
      <c r="K566" s="673"/>
      <c r="L566" s="673"/>
      <c r="M566" s="673"/>
      <c r="N566" s="673"/>
      <c r="O566" s="674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13</v>
      </c>
      <c r="Y566" s="665">
        <f>IFERROR(SUM(Y560:Y564),"0")</f>
        <v>18</v>
      </c>
      <c r="Z566" s="37"/>
      <c r="AA566" s="666"/>
      <c r="AB566" s="666"/>
      <c r="AC566" s="666"/>
    </row>
    <row r="567" spans="1:68" ht="14.25" hidden="1" customHeight="1" x14ac:dyDescent="0.25">
      <c r="A567" s="679" t="s">
        <v>170</v>
      </c>
      <c r="B567" s="673"/>
      <c r="C567" s="673"/>
      <c r="D567" s="673"/>
      <c r="E567" s="673"/>
      <c r="F567" s="673"/>
      <c r="G567" s="673"/>
      <c r="H567" s="673"/>
      <c r="I567" s="673"/>
      <c r="J567" s="673"/>
      <c r="K567" s="673"/>
      <c r="L567" s="673"/>
      <c r="M567" s="673"/>
      <c r="N567" s="673"/>
      <c r="O567" s="673"/>
      <c r="P567" s="673"/>
      <c r="Q567" s="673"/>
      <c r="R567" s="673"/>
      <c r="S567" s="673"/>
      <c r="T567" s="673"/>
      <c r="U567" s="673"/>
      <c r="V567" s="673"/>
      <c r="W567" s="673"/>
      <c r="X567" s="673"/>
      <c r="Y567" s="673"/>
      <c r="Z567" s="673"/>
      <c r="AA567" s="659"/>
      <c r="AB567" s="659"/>
      <c r="AC567" s="659"/>
    </row>
    <row r="568" spans="1:68" ht="27" hidden="1" customHeight="1" x14ac:dyDescent="0.25">
      <c r="A568" s="54" t="s">
        <v>907</v>
      </c>
      <c r="B568" s="54" t="s">
        <v>908</v>
      </c>
      <c r="C568" s="31">
        <v>4301060496</v>
      </c>
      <c r="D568" s="675">
        <v>4640242180120</v>
      </c>
      <c r="E568" s="676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7" t="s">
        <v>909</v>
      </c>
      <c r="Q568" s="668"/>
      <c r="R568" s="668"/>
      <c r="S568" s="668"/>
      <c r="T568" s="669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907</v>
      </c>
      <c r="B569" s="54" t="s">
        <v>911</v>
      </c>
      <c r="C569" s="31">
        <v>4301060485</v>
      </c>
      <c r="D569" s="675">
        <v>4640242180120</v>
      </c>
      <c r="E569" s="676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53" t="s">
        <v>912</v>
      </c>
      <c r="Q569" s="668"/>
      <c r="R569" s="668"/>
      <c r="S569" s="668"/>
      <c r="T569" s="669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913</v>
      </c>
      <c r="B570" s="54" t="s">
        <v>914</v>
      </c>
      <c r="C570" s="31">
        <v>4301060498</v>
      </c>
      <c r="D570" s="675">
        <v>4640242180137</v>
      </c>
      <c r="E570" s="676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7" t="s">
        <v>915</v>
      </c>
      <c r="Q570" s="668"/>
      <c r="R570" s="668"/>
      <c r="S570" s="668"/>
      <c r="T570" s="669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913</v>
      </c>
      <c r="B571" s="54" t="s">
        <v>917</v>
      </c>
      <c r="C571" s="31">
        <v>4301060486</v>
      </c>
      <c r="D571" s="675">
        <v>4640242180137</v>
      </c>
      <c r="E571" s="676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9" t="s">
        <v>918</v>
      </c>
      <c r="Q571" s="668"/>
      <c r="R571" s="668"/>
      <c r="S571" s="668"/>
      <c r="T571" s="669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72"/>
      <c r="B572" s="673"/>
      <c r="C572" s="673"/>
      <c r="D572" s="673"/>
      <c r="E572" s="673"/>
      <c r="F572" s="673"/>
      <c r="G572" s="673"/>
      <c r="H572" s="673"/>
      <c r="I572" s="673"/>
      <c r="J572" s="673"/>
      <c r="K572" s="673"/>
      <c r="L572" s="673"/>
      <c r="M572" s="673"/>
      <c r="N572" s="673"/>
      <c r="O572" s="674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3"/>
      <c r="B573" s="673"/>
      <c r="C573" s="673"/>
      <c r="D573" s="673"/>
      <c r="E573" s="673"/>
      <c r="F573" s="673"/>
      <c r="G573" s="673"/>
      <c r="H573" s="673"/>
      <c r="I573" s="673"/>
      <c r="J573" s="673"/>
      <c r="K573" s="673"/>
      <c r="L573" s="673"/>
      <c r="M573" s="673"/>
      <c r="N573" s="673"/>
      <c r="O573" s="674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716" t="s">
        <v>919</v>
      </c>
      <c r="B574" s="673"/>
      <c r="C574" s="673"/>
      <c r="D574" s="673"/>
      <c r="E574" s="673"/>
      <c r="F574" s="673"/>
      <c r="G574" s="673"/>
      <c r="H574" s="673"/>
      <c r="I574" s="673"/>
      <c r="J574" s="673"/>
      <c r="K574" s="673"/>
      <c r="L574" s="673"/>
      <c r="M574" s="673"/>
      <c r="N574" s="673"/>
      <c r="O574" s="673"/>
      <c r="P574" s="673"/>
      <c r="Q574" s="673"/>
      <c r="R574" s="673"/>
      <c r="S574" s="673"/>
      <c r="T574" s="673"/>
      <c r="U574" s="673"/>
      <c r="V574" s="673"/>
      <c r="W574" s="673"/>
      <c r="X574" s="673"/>
      <c r="Y574" s="673"/>
      <c r="Z574" s="673"/>
      <c r="AA574" s="658"/>
      <c r="AB574" s="658"/>
      <c r="AC574" s="658"/>
    </row>
    <row r="575" spans="1:68" ht="14.25" hidden="1" customHeight="1" x14ac:dyDescent="0.25">
      <c r="A575" s="679" t="s">
        <v>97</v>
      </c>
      <c r="B575" s="673"/>
      <c r="C575" s="673"/>
      <c r="D575" s="673"/>
      <c r="E575" s="673"/>
      <c r="F575" s="673"/>
      <c r="G575" s="673"/>
      <c r="H575" s="673"/>
      <c r="I575" s="673"/>
      <c r="J575" s="673"/>
      <c r="K575" s="673"/>
      <c r="L575" s="673"/>
      <c r="M575" s="673"/>
      <c r="N575" s="673"/>
      <c r="O575" s="673"/>
      <c r="P575" s="673"/>
      <c r="Q575" s="673"/>
      <c r="R575" s="673"/>
      <c r="S575" s="673"/>
      <c r="T575" s="673"/>
      <c r="U575" s="673"/>
      <c r="V575" s="673"/>
      <c r="W575" s="673"/>
      <c r="X575" s="673"/>
      <c r="Y575" s="673"/>
      <c r="Z575" s="673"/>
      <c r="AA575" s="659"/>
      <c r="AB575" s="659"/>
      <c r="AC575" s="659"/>
    </row>
    <row r="576" spans="1:68" ht="27" hidden="1" customHeight="1" x14ac:dyDescent="0.25">
      <c r="A576" s="54" t="s">
        <v>920</v>
      </c>
      <c r="B576" s="54" t="s">
        <v>921</v>
      </c>
      <c r="C576" s="31">
        <v>4301011951</v>
      </c>
      <c r="D576" s="675">
        <v>4640242180045</v>
      </c>
      <c r="E576" s="676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85" t="s">
        <v>922</v>
      </c>
      <c r="Q576" s="668"/>
      <c r="R576" s="668"/>
      <c r="S576" s="668"/>
      <c r="T576" s="669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2"/>
      <c r="B577" s="673"/>
      <c r="C577" s="673"/>
      <c r="D577" s="673"/>
      <c r="E577" s="673"/>
      <c r="F577" s="673"/>
      <c r="G577" s="673"/>
      <c r="H577" s="673"/>
      <c r="I577" s="673"/>
      <c r="J577" s="673"/>
      <c r="K577" s="673"/>
      <c r="L577" s="673"/>
      <c r="M577" s="673"/>
      <c r="N577" s="673"/>
      <c r="O577" s="674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3"/>
      <c r="B578" s="673"/>
      <c r="C578" s="673"/>
      <c r="D578" s="673"/>
      <c r="E578" s="673"/>
      <c r="F578" s="673"/>
      <c r="G578" s="673"/>
      <c r="H578" s="673"/>
      <c r="I578" s="673"/>
      <c r="J578" s="673"/>
      <c r="K578" s="673"/>
      <c r="L578" s="673"/>
      <c r="M578" s="673"/>
      <c r="N578" s="673"/>
      <c r="O578" s="674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9" t="s">
        <v>133</v>
      </c>
      <c r="B579" s="673"/>
      <c r="C579" s="673"/>
      <c r="D579" s="673"/>
      <c r="E579" s="673"/>
      <c r="F579" s="673"/>
      <c r="G579" s="673"/>
      <c r="H579" s="673"/>
      <c r="I579" s="673"/>
      <c r="J579" s="673"/>
      <c r="K579" s="673"/>
      <c r="L579" s="673"/>
      <c r="M579" s="673"/>
      <c r="N579" s="673"/>
      <c r="O579" s="673"/>
      <c r="P579" s="673"/>
      <c r="Q579" s="673"/>
      <c r="R579" s="673"/>
      <c r="S579" s="673"/>
      <c r="T579" s="673"/>
      <c r="U579" s="673"/>
      <c r="V579" s="673"/>
      <c r="W579" s="673"/>
      <c r="X579" s="673"/>
      <c r="Y579" s="673"/>
      <c r="Z579" s="673"/>
      <c r="AA579" s="659"/>
      <c r="AB579" s="659"/>
      <c r="AC579" s="659"/>
    </row>
    <row r="580" spans="1:68" ht="27" hidden="1" customHeight="1" x14ac:dyDescent="0.25">
      <c r="A580" s="54" t="s">
        <v>924</v>
      </c>
      <c r="B580" s="54" t="s">
        <v>925</v>
      </c>
      <c r="C580" s="31">
        <v>4301020314</v>
      </c>
      <c r="D580" s="675">
        <v>4640242180090</v>
      </c>
      <c r="E580" s="676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63" t="s">
        <v>926</v>
      </c>
      <c r="Q580" s="668"/>
      <c r="R580" s="668"/>
      <c r="S580" s="668"/>
      <c r="T580" s="669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2"/>
      <c r="B581" s="673"/>
      <c r="C581" s="673"/>
      <c r="D581" s="673"/>
      <c r="E581" s="673"/>
      <c r="F581" s="673"/>
      <c r="G581" s="673"/>
      <c r="H581" s="673"/>
      <c r="I581" s="673"/>
      <c r="J581" s="673"/>
      <c r="K581" s="673"/>
      <c r="L581" s="673"/>
      <c r="M581" s="673"/>
      <c r="N581" s="673"/>
      <c r="O581" s="674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3"/>
      <c r="B582" s="673"/>
      <c r="C582" s="673"/>
      <c r="D582" s="673"/>
      <c r="E582" s="673"/>
      <c r="F582" s="673"/>
      <c r="G582" s="673"/>
      <c r="H582" s="673"/>
      <c r="I582" s="673"/>
      <c r="J582" s="673"/>
      <c r="K582" s="673"/>
      <c r="L582" s="673"/>
      <c r="M582" s="673"/>
      <c r="N582" s="673"/>
      <c r="O582" s="674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9" t="s">
        <v>144</v>
      </c>
      <c r="B583" s="673"/>
      <c r="C583" s="673"/>
      <c r="D583" s="673"/>
      <c r="E583" s="673"/>
      <c r="F583" s="673"/>
      <c r="G583" s="673"/>
      <c r="H583" s="673"/>
      <c r="I583" s="673"/>
      <c r="J583" s="673"/>
      <c r="K583" s="673"/>
      <c r="L583" s="673"/>
      <c r="M583" s="673"/>
      <c r="N583" s="673"/>
      <c r="O583" s="673"/>
      <c r="P583" s="673"/>
      <c r="Q583" s="673"/>
      <c r="R583" s="673"/>
      <c r="S583" s="673"/>
      <c r="T583" s="673"/>
      <c r="U583" s="673"/>
      <c r="V583" s="673"/>
      <c r="W583" s="673"/>
      <c r="X583" s="673"/>
      <c r="Y583" s="673"/>
      <c r="Z583" s="673"/>
      <c r="AA583" s="659"/>
      <c r="AB583" s="659"/>
      <c r="AC583" s="659"/>
    </row>
    <row r="584" spans="1:68" ht="27" hidden="1" customHeight="1" x14ac:dyDescent="0.25">
      <c r="A584" s="54" t="s">
        <v>928</v>
      </c>
      <c r="B584" s="54" t="s">
        <v>929</v>
      </c>
      <c r="C584" s="31">
        <v>4301031321</v>
      </c>
      <c r="D584" s="675">
        <v>4640242180076</v>
      </c>
      <c r="E584" s="676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813" t="s">
        <v>930</v>
      </c>
      <c r="Q584" s="668"/>
      <c r="R584" s="668"/>
      <c r="S584" s="668"/>
      <c r="T584" s="669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2"/>
      <c r="B585" s="673"/>
      <c r="C585" s="673"/>
      <c r="D585" s="673"/>
      <c r="E585" s="673"/>
      <c r="F585" s="673"/>
      <c r="G585" s="673"/>
      <c r="H585" s="673"/>
      <c r="I585" s="673"/>
      <c r="J585" s="673"/>
      <c r="K585" s="673"/>
      <c r="L585" s="673"/>
      <c r="M585" s="673"/>
      <c r="N585" s="673"/>
      <c r="O585" s="674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3"/>
      <c r="B586" s="673"/>
      <c r="C586" s="673"/>
      <c r="D586" s="673"/>
      <c r="E586" s="673"/>
      <c r="F586" s="673"/>
      <c r="G586" s="673"/>
      <c r="H586" s="673"/>
      <c r="I586" s="673"/>
      <c r="J586" s="673"/>
      <c r="K586" s="673"/>
      <c r="L586" s="673"/>
      <c r="M586" s="673"/>
      <c r="N586" s="673"/>
      <c r="O586" s="674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9" t="s">
        <v>63</v>
      </c>
      <c r="B587" s="673"/>
      <c r="C587" s="673"/>
      <c r="D587" s="673"/>
      <c r="E587" s="673"/>
      <c r="F587" s="673"/>
      <c r="G587" s="673"/>
      <c r="H587" s="673"/>
      <c r="I587" s="673"/>
      <c r="J587" s="673"/>
      <c r="K587" s="673"/>
      <c r="L587" s="673"/>
      <c r="M587" s="673"/>
      <c r="N587" s="673"/>
      <c r="O587" s="673"/>
      <c r="P587" s="673"/>
      <c r="Q587" s="673"/>
      <c r="R587" s="673"/>
      <c r="S587" s="673"/>
      <c r="T587" s="673"/>
      <c r="U587" s="673"/>
      <c r="V587" s="673"/>
      <c r="W587" s="673"/>
      <c r="X587" s="673"/>
      <c r="Y587" s="673"/>
      <c r="Z587" s="673"/>
      <c r="AA587" s="659"/>
      <c r="AB587" s="659"/>
      <c r="AC587" s="659"/>
    </row>
    <row r="588" spans="1:68" ht="27" hidden="1" customHeight="1" x14ac:dyDescent="0.25">
      <c r="A588" s="54" t="s">
        <v>932</v>
      </c>
      <c r="B588" s="54" t="s">
        <v>933</v>
      </c>
      <c r="C588" s="31">
        <v>4301051914</v>
      </c>
      <c r="D588" s="675">
        <v>4640242180113</v>
      </c>
      <c r="E588" s="676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92" t="s">
        <v>934</v>
      </c>
      <c r="Q588" s="668"/>
      <c r="R588" s="668"/>
      <c r="S588" s="668"/>
      <c r="T588" s="669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2"/>
      <c r="B589" s="673"/>
      <c r="C589" s="673"/>
      <c r="D589" s="673"/>
      <c r="E589" s="673"/>
      <c r="F589" s="673"/>
      <c r="G589" s="673"/>
      <c r="H589" s="673"/>
      <c r="I589" s="673"/>
      <c r="J589" s="673"/>
      <c r="K589" s="673"/>
      <c r="L589" s="673"/>
      <c r="M589" s="673"/>
      <c r="N589" s="673"/>
      <c r="O589" s="674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3"/>
      <c r="B590" s="673"/>
      <c r="C590" s="673"/>
      <c r="D590" s="673"/>
      <c r="E590" s="673"/>
      <c r="F590" s="673"/>
      <c r="G590" s="673"/>
      <c r="H590" s="673"/>
      <c r="I590" s="673"/>
      <c r="J590" s="673"/>
      <c r="K590" s="673"/>
      <c r="L590" s="673"/>
      <c r="M590" s="673"/>
      <c r="N590" s="673"/>
      <c r="O590" s="674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78"/>
      <c r="B591" s="673"/>
      <c r="C591" s="673"/>
      <c r="D591" s="673"/>
      <c r="E591" s="673"/>
      <c r="F591" s="673"/>
      <c r="G591" s="673"/>
      <c r="H591" s="673"/>
      <c r="I591" s="673"/>
      <c r="J591" s="673"/>
      <c r="K591" s="673"/>
      <c r="L591" s="673"/>
      <c r="M591" s="673"/>
      <c r="N591" s="673"/>
      <c r="O591" s="859"/>
      <c r="P591" s="822" t="s">
        <v>936</v>
      </c>
      <c r="Q591" s="819"/>
      <c r="R591" s="819"/>
      <c r="S591" s="819"/>
      <c r="T591" s="819"/>
      <c r="U591" s="819"/>
      <c r="V591" s="820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1954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2064.4499999999998</v>
      </c>
      <c r="Z591" s="37"/>
      <c r="AA591" s="666"/>
      <c r="AB591" s="666"/>
      <c r="AC591" s="666"/>
    </row>
    <row r="592" spans="1:68" x14ac:dyDescent="0.2">
      <c r="A592" s="673"/>
      <c r="B592" s="673"/>
      <c r="C592" s="673"/>
      <c r="D592" s="673"/>
      <c r="E592" s="673"/>
      <c r="F592" s="673"/>
      <c r="G592" s="673"/>
      <c r="H592" s="673"/>
      <c r="I592" s="673"/>
      <c r="J592" s="673"/>
      <c r="K592" s="673"/>
      <c r="L592" s="673"/>
      <c r="M592" s="673"/>
      <c r="N592" s="673"/>
      <c r="O592" s="859"/>
      <c r="P592" s="822" t="s">
        <v>937</v>
      </c>
      <c r="Q592" s="819"/>
      <c r="R592" s="819"/>
      <c r="S592" s="819"/>
      <c r="T592" s="819"/>
      <c r="U592" s="819"/>
      <c r="V592" s="820"/>
      <c r="W592" s="37" t="s">
        <v>68</v>
      </c>
      <c r="X592" s="665">
        <f>IFERROR(SUM(BM22:BM588),"0")</f>
        <v>2049.6563503333869</v>
      </c>
      <c r="Y592" s="665">
        <f>IFERROR(SUM(BN22:BN588),"0")</f>
        <v>2166.0839999999998</v>
      </c>
      <c r="Z592" s="37"/>
      <c r="AA592" s="666"/>
      <c r="AB592" s="666"/>
      <c r="AC592" s="666"/>
    </row>
    <row r="593" spans="1:32" x14ac:dyDescent="0.2">
      <c r="A593" s="673"/>
      <c r="B593" s="673"/>
      <c r="C593" s="673"/>
      <c r="D593" s="673"/>
      <c r="E593" s="673"/>
      <c r="F593" s="673"/>
      <c r="G593" s="673"/>
      <c r="H593" s="673"/>
      <c r="I593" s="673"/>
      <c r="J593" s="673"/>
      <c r="K593" s="673"/>
      <c r="L593" s="673"/>
      <c r="M593" s="673"/>
      <c r="N593" s="673"/>
      <c r="O593" s="859"/>
      <c r="P593" s="822" t="s">
        <v>938</v>
      </c>
      <c r="Q593" s="819"/>
      <c r="R593" s="819"/>
      <c r="S593" s="819"/>
      <c r="T593" s="819"/>
      <c r="U593" s="819"/>
      <c r="V593" s="820"/>
      <c r="W593" s="37" t="s">
        <v>939</v>
      </c>
      <c r="X593" s="38">
        <f>ROUNDUP(SUM(BO22:BO588),0)</f>
        <v>4</v>
      </c>
      <c r="Y593" s="38">
        <f>ROUNDUP(SUM(BP22:BP588),0)</f>
        <v>4</v>
      </c>
      <c r="Z593" s="37"/>
      <c r="AA593" s="666"/>
      <c r="AB593" s="666"/>
      <c r="AC593" s="666"/>
    </row>
    <row r="594" spans="1:32" x14ac:dyDescent="0.2">
      <c r="A594" s="673"/>
      <c r="B594" s="673"/>
      <c r="C594" s="673"/>
      <c r="D594" s="673"/>
      <c r="E594" s="673"/>
      <c r="F594" s="673"/>
      <c r="G594" s="673"/>
      <c r="H594" s="673"/>
      <c r="I594" s="673"/>
      <c r="J594" s="673"/>
      <c r="K594" s="673"/>
      <c r="L594" s="673"/>
      <c r="M594" s="673"/>
      <c r="N594" s="673"/>
      <c r="O594" s="859"/>
      <c r="P594" s="822" t="s">
        <v>940</v>
      </c>
      <c r="Q594" s="819"/>
      <c r="R594" s="819"/>
      <c r="S594" s="819"/>
      <c r="T594" s="819"/>
      <c r="U594" s="819"/>
      <c r="V594" s="820"/>
      <c r="W594" s="37" t="s">
        <v>68</v>
      </c>
      <c r="X594" s="665">
        <f>GrossWeightTotal+PalletQtyTotal*25</f>
        <v>2149.6563503333869</v>
      </c>
      <c r="Y594" s="665">
        <f>GrossWeightTotalR+PalletQtyTotalR*25</f>
        <v>2266.0839999999998</v>
      </c>
      <c r="Z594" s="37"/>
      <c r="AA594" s="666"/>
      <c r="AB594" s="666"/>
      <c r="AC594" s="666"/>
    </row>
    <row r="595" spans="1:32" x14ac:dyDescent="0.2">
      <c r="A595" s="673"/>
      <c r="B595" s="673"/>
      <c r="C595" s="673"/>
      <c r="D595" s="673"/>
      <c r="E595" s="673"/>
      <c r="F595" s="673"/>
      <c r="G595" s="673"/>
      <c r="H595" s="673"/>
      <c r="I595" s="673"/>
      <c r="J595" s="673"/>
      <c r="K595" s="673"/>
      <c r="L595" s="673"/>
      <c r="M595" s="673"/>
      <c r="N595" s="673"/>
      <c r="O595" s="859"/>
      <c r="P595" s="822" t="s">
        <v>941</v>
      </c>
      <c r="Q595" s="819"/>
      <c r="R595" s="819"/>
      <c r="S595" s="819"/>
      <c r="T595" s="819"/>
      <c r="U595" s="819"/>
      <c r="V595" s="820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272.73516064357852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290</v>
      </c>
      <c r="Z595" s="37"/>
      <c r="AA595" s="666"/>
      <c r="AB595" s="666"/>
      <c r="AC595" s="666"/>
    </row>
    <row r="596" spans="1:32" ht="14.25" hidden="1" customHeight="1" x14ac:dyDescent="0.2">
      <c r="A596" s="673"/>
      <c r="B596" s="673"/>
      <c r="C596" s="673"/>
      <c r="D596" s="673"/>
      <c r="E596" s="673"/>
      <c r="F596" s="673"/>
      <c r="G596" s="673"/>
      <c r="H596" s="673"/>
      <c r="I596" s="673"/>
      <c r="J596" s="673"/>
      <c r="K596" s="673"/>
      <c r="L596" s="673"/>
      <c r="M596" s="673"/>
      <c r="N596" s="673"/>
      <c r="O596" s="859"/>
      <c r="P596" s="822" t="s">
        <v>942</v>
      </c>
      <c r="Q596" s="819"/>
      <c r="R596" s="819"/>
      <c r="S596" s="819"/>
      <c r="T596" s="819"/>
      <c r="U596" s="819"/>
      <c r="V596" s="820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3.7527399999999997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93" t="s">
        <v>95</v>
      </c>
      <c r="D598" s="812"/>
      <c r="E598" s="812"/>
      <c r="F598" s="812"/>
      <c r="G598" s="812"/>
      <c r="H598" s="803"/>
      <c r="I598" s="693" t="s">
        <v>283</v>
      </c>
      <c r="J598" s="812"/>
      <c r="K598" s="812"/>
      <c r="L598" s="812"/>
      <c r="M598" s="812"/>
      <c r="N598" s="812"/>
      <c r="O598" s="812"/>
      <c r="P598" s="812"/>
      <c r="Q598" s="812"/>
      <c r="R598" s="812"/>
      <c r="S598" s="812"/>
      <c r="T598" s="812"/>
      <c r="U598" s="812"/>
      <c r="V598" s="803"/>
      <c r="W598" s="693" t="s">
        <v>574</v>
      </c>
      <c r="X598" s="803"/>
      <c r="Y598" s="693" t="s">
        <v>652</v>
      </c>
      <c r="Z598" s="812"/>
      <c r="AA598" s="812"/>
      <c r="AB598" s="803"/>
      <c r="AC598" s="660" t="s">
        <v>727</v>
      </c>
      <c r="AD598" s="693" t="s">
        <v>826</v>
      </c>
      <c r="AE598" s="803"/>
      <c r="AF598" s="661"/>
    </row>
    <row r="599" spans="1:32" ht="14.25" customHeight="1" thickTop="1" x14ac:dyDescent="0.2">
      <c r="A599" s="831" t="s">
        <v>945</v>
      </c>
      <c r="B599" s="693" t="s">
        <v>62</v>
      </c>
      <c r="C599" s="693" t="s">
        <v>96</v>
      </c>
      <c r="D599" s="693" t="s">
        <v>115</v>
      </c>
      <c r="E599" s="693" t="s">
        <v>178</v>
      </c>
      <c r="F599" s="693" t="s">
        <v>209</v>
      </c>
      <c r="G599" s="693" t="s">
        <v>254</v>
      </c>
      <c r="H599" s="693" t="s">
        <v>95</v>
      </c>
      <c r="I599" s="693" t="s">
        <v>284</v>
      </c>
      <c r="J599" s="693" t="s">
        <v>319</v>
      </c>
      <c r="K599" s="693" t="s">
        <v>380</v>
      </c>
      <c r="L599" s="693" t="s">
        <v>415</v>
      </c>
      <c r="M599" s="693" t="s">
        <v>433</v>
      </c>
      <c r="N599" s="661"/>
      <c r="O599" s="693" t="s">
        <v>437</v>
      </c>
      <c r="P599" s="693" t="s">
        <v>446</v>
      </c>
      <c r="Q599" s="693" t="s">
        <v>460</v>
      </c>
      <c r="R599" s="693" t="s">
        <v>470</v>
      </c>
      <c r="S599" s="693" t="s">
        <v>474</v>
      </c>
      <c r="T599" s="693" t="s">
        <v>482</v>
      </c>
      <c r="U599" s="693" t="s">
        <v>487</v>
      </c>
      <c r="V599" s="693" t="s">
        <v>561</v>
      </c>
      <c r="W599" s="693" t="s">
        <v>575</v>
      </c>
      <c r="X599" s="693" t="s">
        <v>616</v>
      </c>
      <c r="Y599" s="693" t="s">
        <v>653</v>
      </c>
      <c r="Z599" s="693" t="s">
        <v>692</v>
      </c>
      <c r="AA599" s="693" t="s">
        <v>712</v>
      </c>
      <c r="AB599" s="693" t="s">
        <v>720</v>
      </c>
      <c r="AC599" s="693" t="s">
        <v>727</v>
      </c>
      <c r="AD599" s="693" t="s">
        <v>826</v>
      </c>
      <c r="AE599" s="693" t="s">
        <v>919</v>
      </c>
      <c r="AF599" s="661"/>
    </row>
    <row r="600" spans="1:32" ht="13.5" customHeight="1" thickBot="1" x14ac:dyDescent="0.25">
      <c r="A600" s="832"/>
      <c r="B600" s="694"/>
      <c r="C600" s="694"/>
      <c r="D600" s="694"/>
      <c r="E600" s="694"/>
      <c r="F600" s="694"/>
      <c r="G600" s="694"/>
      <c r="H600" s="694"/>
      <c r="I600" s="694"/>
      <c r="J600" s="694"/>
      <c r="K600" s="694"/>
      <c r="L600" s="694"/>
      <c r="M600" s="694"/>
      <c r="N600" s="661"/>
      <c r="O600" s="694"/>
      <c r="P600" s="694"/>
      <c r="Q600" s="694"/>
      <c r="R600" s="694"/>
      <c r="S600" s="694"/>
      <c r="T600" s="694"/>
      <c r="U600" s="694"/>
      <c r="V600" s="694"/>
      <c r="W600" s="694"/>
      <c r="X600" s="694"/>
      <c r="Y600" s="694"/>
      <c r="Z600" s="694"/>
      <c r="AA600" s="694"/>
      <c r="AB600" s="694"/>
      <c r="AC600" s="694"/>
      <c r="AD600" s="694"/>
      <c r="AE600" s="694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0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12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101.1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118.80000000000001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12.600000000000001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259.20000000000005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2.16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31.2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64.95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1125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54</v>
      </c>
      <c r="Z601" s="46">
        <f>IFERROR(Y451*1,"0")+IFERROR(Y452*1,"0")+IFERROR(Y456*1,"0")+IFERROR(Y457*1,"0")+IFERROR(Y458*1,"0")+IFERROR(Y459*1,"0")</f>
        <v>10.8</v>
      </c>
      <c r="AA601" s="46">
        <f>IFERROR(Y464*1,"0")+IFERROR(Y465*1,"0")</f>
        <v>1.2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253.44000000000003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18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8"/>
        <filter val="0,83"/>
        <filter val="0,93"/>
        <filter val="1 954,00"/>
        <filter val="1,00"/>
        <filter val="1,11"/>
        <filter val="1,44"/>
        <filter val="10,00"/>
        <filter val="101,00"/>
        <filter val="11,00"/>
        <filter val="116,00"/>
        <filter val="12,08"/>
        <filter val="12,22"/>
        <filter val="13,00"/>
        <filter val="13,60"/>
        <filter val="14,00"/>
        <filter val="162,00"/>
        <filter val="18,00"/>
        <filter val="19,00"/>
        <filter val="19,13"/>
        <filter val="2 049,66"/>
        <filter val="2 149,66"/>
        <filter val="2,00"/>
        <filter val="2,50"/>
        <filter val="2,92"/>
        <filter val="201,00"/>
        <filter val="204,00"/>
        <filter val="206,00"/>
        <filter val="21,97"/>
        <filter val="216,00"/>
        <filter val="22,00"/>
        <filter val="23,00"/>
        <filter val="24,00"/>
        <filter val="26,00"/>
        <filter val="27,00"/>
        <filter val="272,74"/>
        <filter val="29,00"/>
        <filter val="3,41"/>
        <filter val="314,00"/>
        <filter val="32,00"/>
        <filter val="38,00"/>
        <filter val="39,00"/>
        <filter val="4"/>
        <filter val="4,00"/>
        <filter val="4,17"/>
        <filter val="41,00"/>
        <filter val="45,00"/>
        <filter val="5,24"/>
        <filter val="5,82"/>
        <filter val="52,00"/>
        <filter val="54,00"/>
        <filter val="55,00"/>
        <filter val="56,00"/>
        <filter val="59,53"/>
        <filter val="6,00"/>
        <filter val="65,00"/>
        <filter val="66,00"/>
        <filter val="7,00"/>
        <filter val="7,18"/>
        <filter val="7,31"/>
        <filter val="7,91"/>
        <filter val="70,14"/>
        <filter val="8,00"/>
        <filter val="83,00"/>
        <filter val="893,00"/>
      </filters>
    </filterColumn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P40:T40"/>
    <mergeCell ref="P257:T257"/>
    <mergeCell ref="P80:T80"/>
    <mergeCell ref="P29:V29"/>
    <mergeCell ref="P32:V32"/>
    <mergeCell ref="P103:V103"/>
    <mergeCell ref="P134:V134"/>
    <mergeCell ref="A583:Z583"/>
    <mergeCell ref="D512:E512"/>
    <mergeCell ref="P398:T398"/>
    <mergeCell ref="D368:E368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D506:E506"/>
    <mergeCell ref="D319:E319"/>
    <mergeCell ref="P106:T106"/>
    <mergeCell ref="P177:T177"/>
    <mergeCell ref="P116:V11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H17:H18"/>
    <mergeCell ref="A146:Z146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260:T260"/>
    <mergeCell ref="D132:E132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D388:E388"/>
    <mergeCell ref="A68:O69"/>
    <mergeCell ref="A261:O262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295:V295"/>
    <mergeCell ref="D235:E235"/>
    <mergeCell ref="P286:T28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P39:T39"/>
    <mergeCell ref="P537:T537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P411:T411"/>
    <mergeCell ref="D546:E546"/>
    <mergeCell ref="P498:T498"/>
    <mergeCell ref="P492:T492"/>
    <mergeCell ref="A402:Z402"/>
    <mergeCell ref="D158:E158"/>
    <mergeCell ref="P131:T131"/>
    <mergeCell ref="D108:E108"/>
    <mergeCell ref="D375:E375"/>
    <mergeCell ref="P258:T258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21:T521"/>
    <mergeCell ref="P271:T271"/>
    <mergeCell ref="P100:T100"/>
    <mergeCell ref="D81:E81"/>
    <mergeCell ref="P226:V226"/>
    <mergeCell ref="P542:T542"/>
    <mergeCell ref="A387:Z387"/>
    <mergeCell ref="P399:V399"/>
    <mergeCell ref="P333:V333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P570:T570"/>
    <mergeCell ref="P571:T571"/>
    <mergeCell ref="D272:E272"/>
    <mergeCell ref="D514:E514"/>
    <mergeCell ref="D381:E381"/>
    <mergeCell ref="A421:O422"/>
    <mergeCell ref="D308:E308"/>
    <mergeCell ref="D369:E369"/>
    <mergeCell ref="A353:O354"/>
    <mergeCell ref="P494:T494"/>
    <mergeCell ref="P546:T546"/>
    <mergeCell ref="P350:T350"/>
    <mergeCell ref="A168:Z168"/>
    <mergeCell ref="P347:V347"/>
    <mergeCell ref="P288:V288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W17:W18"/>
    <mergeCell ref="P261:V261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2025-04-11T12:57:26Z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