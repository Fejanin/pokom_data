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2F678A2-72E8-42F4-B7CE-154E071F970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Y590" i="1" s="1"/>
  <c r="X586" i="1"/>
  <c r="X585" i="1"/>
  <c r="BO584" i="1"/>
  <c r="BM584" i="1"/>
  <c r="Y584" i="1"/>
  <c r="X582" i="1"/>
  <c r="X581" i="1"/>
  <c r="BO580" i="1"/>
  <c r="BM580" i="1"/>
  <c r="Y580" i="1"/>
  <c r="Y581" i="1" s="1"/>
  <c r="X578" i="1"/>
  <c r="X577" i="1"/>
  <c r="BO576" i="1"/>
  <c r="BM576" i="1"/>
  <c r="Y576" i="1"/>
  <c r="X573" i="1"/>
  <c r="X572" i="1"/>
  <c r="BO571" i="1"/>
  <c r="BM571" i="1"/>
  <c r="Y571" i="1"/>
  <c r="BP571" i="1" s="1"/>
  <c r="BO570" i="1"/>
  <c r="BM570" i="1"/>
  <c r="Y570" i="1"/>
  <c r="BO569" i="1"/>
  <c r="BM569" i="1"/>
  <c r="Y569" i="1"/>
  <c r="BP569" i="1" s="1"/>
  <c r="BO568" i="1"/>
  <c r="BM568" i="1"/>
  <c r="Y568" i="1"/>
  <c r="X566" i="1"/>
  <c r="Y565" i="1"/>
  <c r="X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Y566" i="1" s="1"/>
  <c r="X558" i="1"/>
  <c r="X557" i="1"/>
  <c r="BO556" i="1"/>
  <c r="BM556" i="1"/>
  <c r="Y556" i="1"/>
  <c r="BP556" i="1" s="1"/>
  <c r="BO555" i="1"/>
  <c r="BM555" i="1"/>
  <c r="Y555" i="1"/>
  <c r="BO554" i="1"/>
  <c r="BM554" i="1"/>
  <c r="Y554" i="1"/>
  <c r="BP554" i="1" s="1"/>
  <c r="BO553" i="1"/>
  <c r="BM553" i="1"/>
  <c r="Y553" i="1"/>
  <c r="BO552" i="1"/>
  <c r="BM552" i="1"/>
  <c r="Y552" i="1"/>
  <c r="BP552" i="1" s="1"/>
  <c r="BO551" i="1"/>
  <c r="BM551" i="1"/>
  <c r="Y551" i="1"/>
  <c r="BO550" i="1"/>
  <c r="BM550" i="1"/>
  <c r="Y550" i="1"/>
  <c r="BP550" i="1" s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P537" i="1" s="1"/>
  <c r="BO536" i="1"/>
  <c r="BM536" i="1"/>
  <c r="Y536" i="1"/>
  <c r="BO535" i="1"/>
  <c r="BM535" i="1"/>
  <c r="Y535" i="1"/>
  <c r="BP535" i="1" s="1"/>
  <c r="BO534" i="1"/>
  <c r="BM534" i="1"/>
  <c r="Y534" i="1"/>
  <c r="BO533" i="1"/>
  <c r="BM533" i="1"/>
  <c r="Y533" i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P521" i="1" s="1"/>
  <c r="P521" i="1"/>
  <c r="BO520" i="1"/>
  <c r="BM520" i="1"/>
  <c r="Y520" i="1"/>
  <c r="BP520" i="1" s="1"/>
  <c r="P520" i="1"/>
  <c r="X518" i="1"/>
  <c r="X517" i="1"/>
  <c r="BO516" i="1"/>
  <c r="BM516" i="1"/>
  <c r="Y516" i="1"/>
  <c r="BO515" i="1"/>
  <c r="BM515" i="1"/>
  <c r="Y515" i="1"/>
  <c r="BP515" i="1" s="1"/>
  <c r="P515" i="1"/>
  <c r="BO514" i="1"/>
  <c r="BM514" i="1"/>
  <c r="Y514" i="1"/>
  <c r="BP514" i="1" s="1"/>
  <c r="P514" i="1"/>
  <c r="BO513" i="1"/>
  <c r="BM513" i="1"/>
  <c r="Y513" i="1"/>
  <c r="BO512" i="1"/>
  <c r="BM512" i="1"/>
  <c r="Y512" i="1"/>
  <c r="BP512" i="1" s="1"/>
  <c r="P512" i="1"/>
  <c r="BO511" i="1"/>
  <c r="BM511" i="1"/>
  <c r="Y511" i="1"/>
  <c r="BP511" i="1" s="1"/>
  <c r="BO510" i="1"/>
  <c r="BM510" i="1"/>
  <c r="Y510" i="1"/>
  <c r="P510" i="1"/>
  <c r="BO509" i="1"/>
  <c r="BM509" i="1"/>
  <c r="Y509" i="1"/>
  <c r="BP509" i="1" s="1"/>
  <c r="BP508" i="1"/>
  <c r="BO508" i="1"/>
  <c r="BN508" i="1"/>
  <c r="BM508" i="1"/>
  <c r="Z508" i="1"/>
  <c r="Y508" i="1"/>
  <c r="BO507" i="1"/>
  <c r="BM507" i="1"/>
  <c r="Y507" i="1"/>
  <c r="BP507" i="1" s="1"/>
  <c r="BO506" i="1"/>
  <c r="BM506" i="1"/>
  <c r="Y506" i="1"/>
  <c r="BP506" i="1" s="1"/>
  <c r="BO505" i="1"/>
  <c r="BM505" i="1"/>
  <c r="Y505" i="1"/>
  <c r="X503" i="1"/>
  <c r="X502" i="1"/>
  <c r="BO501" i="1"/>
  <c r="BM501" i="1"/>
  <c r="Y501" i="1"/>
  <c r="BP501" i="1" s="1"/>
  <c r="BO500" i="1"/>
  <c r="BM500" i="1"/>
  <c r="Y500" i="1"/>
  <c r="BO499" i="1"/>
  <c r="BM499" i="1"/>
  <c r="Y499" i="1"/>
  <c r="BP499" i="1" s="1"/>
  <c r="P499" i="1"/>
  <c r="BO498" i="1"/>
  <c r="BM498" i="1"/>
  <c r="Y498" i="1"/>
  <c r="X496" i="1"/>
  <c r="X495" i="1"/>
  <c r="BO494" i="1"/>
  <c r="BM494" i="1"/>
  <c r="Y494" i="1"/>
  <c r="P494" i="1"/>
  <c r="BO493" i="1"/>
  <c r="BM493" i="1"/>
  <c r="Y493" i="1"/>
  <c r="BP493" i="1" s="1"/>
  <c r="P493" i="1"/>
  <c r="BO492" i="1"/>
  <c r="BM492" i="1"/>
  <c r="Y492" i="1"/>
  <c r="BP492" i="1" s="1"/>
  <c r="P492" i="1"/>
  <c r="BO491" i="1"/>
  <c r="BM491" i="1"/>
  <c r="Y491" i="1"/>
  <c r="BO490" i="1"/>
  <c r="BM490" i="1"/>
  <c r="Y490" i="1"/>
  <c r="BP490" i="1" s="1"/>
  <c r="BO489" i="1"/>
  <c r="BM489" i="1"/>
  <c r="Y489" i="1"/>
  <c r="BO488" i="1"/>
  <c r="BM488" i="1"/>
  <c r="Y488" i="1"/>
  <c r="BP488" i="1" s="1"/>
  <c r="P488" i="1"/>
  <c r="BO487" i="1"/>
  <c r="BM487" i="1"/>
  <c r="Y487" i="1"/>
  <c r="BP487" i="1" s="1"/>
  <c r="P487" i="1"/>
  <c r="BO486" i="1"/>
  <c r="BM486" i="1"/>
  <c r="Y486" i="1"/>
  <c r="P486" i="1"/>
  <c r="BO485" i="1"/>
  <c r="BM485" i="1"/>
  <c r="Y485" i="1"/>
  <c r="BO484" i="1"/>
  <c r="BM484" i="1"/>
  <c r="Y484" i="1"/>
  <c r="BP484" i="1" s="1"/>
  <c r="P484" i="1"/>
  <c r="BO483" i="1"/>
  <c r="BM483" i="1"/>
  <c r="Y483" i="1"/>
  <c r="BP483" i="1" s="1"/>
  <c r="P483" i="1"/>
  <c r="BO482" i="1"/>
  <c r="BM482" i="1"/>
  <c r="Y482" i="1"/>
  <c r="P482" i="1"/>
  <c r="BO481" i="1"/>
  <c r="BM481" i="1"/>
  <c r="Y481" i="1"/>
  <c r="BP481" i="1" s="1"/>
  <c r="P481" i="1"/>
  <c r="BO480" i="1"/>
  <c r="BM480" i="1"/>
  <c r="Y480" i="1"/>
  <c r="BN480" i="1" s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BP470" i="1" s="1"/>
  <c r="P470" i="1"/>
  <c r="X467" i="1"/>
  <c r="X466" i="1"/>
  <c r="BO465" i="1"/>
  <c r="BM465" i="1"/>
  <c r="Y465" i="1"/>
  <c r="BP465" i="1" s="1"/>
  <c r="BO464" i="1"/>
  <c r="BM464" i="1"/>
  <c r="Y464" i="1"/>
  <c r="P464" i="1"/>
  <c r="X461" i="1"/>
  <c r="X460" i="1"/>
  <c r="BO459" i="1"/>
  <c r="BM459" i="1"/>
  <c r="Y459" i="1"/>
  <c r="BN459" i="1" s="1"/>
  <c r="P459" i="1"/>
  <c r="BO458" i="1"/>
  <c r="BM458" i="1"/>
  <c r="Y458" i="1"/>
  <c r="BP458" i="1" s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BN451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BN445" i="1" s="1"/>
  <c r="P445" i="1"/>
  <c r="X443" i="1"/>
  <c r="X442" i="1"/>
  <c r="BO441" i="1"/>
  <c r="BM441" i="1"/>
  <c r="Z441" i="1"/>
  <c r="Y441" i="1"/>
  <c r="BN441" i="1" s="1"/>
  <c r="P441" i="1"/>
  <c r="BO440" i="1"/>
  <c r="BM440" i="1"/>
  <c r="Y440" i="1"/>
  <c r="BN440" i="1" s="1"/>
  <c r="P440" i="1"/>
  <c r="BO439" i="1"/>
  <c r="BM439" i="1"/>
  <c r="Y439" i="1"/>
  <c r="BP439" i="1" s="1"/>
  <c r="BO438" i="1"/>
  <c r="BM438" i="1"/>
  <c r="Z438" i="1"/>
  <c r="Y438" i="1"/>
  <c r="BN438" i="1" s="1"/>
  <c r="P438" i="1"/>
  <c r="BO437" i="1"/>
  <c r="BM437" i="1"/>
  <c r="Y437" i="1"/>
  <c r="BN437" i="1" s="1"/>
  <c r="P437" i="1"/>
  <c r="BO436" i="1"/>
  <c r="BM436" i="1"/>
  <c r="Y436" i="1"/>
  <c r="BP436" i="1" s="1"/>
  <c r="P436" i="1"/>
  <c r="BO435" i="1"/>
  <c r="BM435" i="1"/>
  <c r="Y435" i="1"/>
  <c r="BP435" i="1" s="1"/>
  <c r="BO434" i="1"/>
  <c r="BM434" i="1"/>
  <c r="Y434" i="1"/>
  <c r="BN434" i="1" s="1"/>
  <c r="P434" i="1"/>
  <c r="BO433" i="1"/>
  <c r="BM433" i="1"/>
  <c r="Y433" i="1"/>
  <c r="BP433" i="1" s="1"/>
  <c r="BP432" i="1"/>
  <c r="BO432" i="1"/>
  <c r="BM432" i="1"/>
  <c r="Y432" i="1"/>
  <c r="BO431" i="1"/>
  <c r="BM431" i="1"/>
  <c r="Y431" i="1"/>
  <c r="BP431" i="1" s="1"/>
  <c r="BO430" i="1"/>
  <c r="BM430" i="1"/>
  <c r="Y430" i="1"/>
  <c r="Z430" i="1" s="1"/>
  <c r="X426" i="1"/>
  <c r="X425" i="1"/>
  <c r="BO424" i="1"/>
  <c r="BM424" i="1"/>
  <c r="Y424" i="1"/>
  <c r="Y425" i="1" s="1"/>
  <c r="X422" i="1"/>
  <c r="X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BN418" i="1" s="1"/>
  <c r="P418" i="1"/>
  <c r="BO417" i="1"/>
  <c r="BM417" i="1"/>
  <c r="Y417" i="1"/>
  <c r="BO416" i="1"/>
  <c r="BM416" i="1"/>
  <c r="Y416" i="1"/>
  <c r="BP416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BN411" i="1" s="1"/>
  <c r="P411" i="1"/>
  <c r="X409" i="1"/>
  <c r="X408" i="1"/>
  <c r="BO407" i="1"/>
  <c r="BM407" i="1"/>
  <c r="Z407" i="1"/>
  <c r="Y407" i="1"/>
  <c r="BN407" i="1" s="1"/>
  <c r="P407" i="1"/>
  <c r="BO406" i="1"/>
  <c r="BM406" i="1"/>
  <c r="Y406" i="1"/>
  <c r="BN406" i="1" s="1"/>
  <c r="P406" i="1"/>
  <c r="BO405" i="1"/>
  <c r="BM405" i="1"/>
  <c r="Y405" i="1"/>
  <c r="BP405" i="1" s="1"/>
  <c r="P405" i="1"/>
  <c r="BO404" i="1"/>
  <c r="BM404" i="1"/>
  <c r="Y404" i="1"/>
  <c r="BP404" i="1" s="1"/>
  <c r="P404" i="1"/>
  <c r="BO403" i="1"/>
  <c r="BM403" i="1"/>
  <c r="Z403" i="1"/>
  <c r="Y403" i="1"/>
  <c r="P403" i="1"/>
  <c r="X400" i="1"/>
  <c r="X399" i="1"/>
  <c r="BO398" i="1"/>
  <c r="BM398" i="1"/>
  <c r="Y398" i="1"/>
  <c r="Y399" i="1" s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BN389" i="1" s="1"/>
  <c r="P389" i="1"/>
  <c r="BO388" i="1"/>
  <c r="BM388" i="1"/>
  <c r="Y388" i="1"/>
  <c r="BN388" i="1" s="1"/>
  <c r="P388" i="1"/>
  <c r="X386" i="1"/>
  <c r="X385" i="1"/>
  <c r="BO384" i="1"/>
  <c r="BM384" i="1"/>
  <c r="Y384" i="1"/>
  <c r="BN384" i="1" s="1"/>
  <c r="P384" i="1"/>
  <c r="BO383" i="1"/>
  <c r="BM383" i="1"/>
  <c r="Y383" i="1"/>
  <c r="BP383" i="1" s="1"/>
  <c r="P383" i="1"/>
  <c r="BP382" i="1"/>
  <c r="BO382" i="1"/>
  <c r="BM382" i="1"/>
  <c r="Y382" i="1"/>
  <c r="P382" i="1"/>
  <c r="BO381" i="1"/>
  <c r="BM381" i="1"/>
  <c r="Y381" i="1"/>
  <c r="P381" i="1"/>
  <c r="BO380" i="1"/>
  <c r="BM380" i="1"/>
  <c r="Y380" i="1"/>
  <c r="BN380" i="1" s="1"/>
  <c r="P380" i="1"/>
  <c r="BO379" i="1"/>
  <c r="BM379" i="1"/>
  <c r="Y379" i="1"/>
  <c r="BP379" i="1" s="1"/>
  <c r="P379" i="1"/>
  <c r="BO378" i="1"/>
  <c r="BM378" i="1"/>
  <c r="Y378" i="1"/>
  <c r="BN378" i="1" s="1"/>
  <c r="P378" i="1"/>
  <c r="BO377" i="1"/>
  <c r="BM377" i="1"/>
  <c r="Z377" i="1"/>
  <c r="Y377" i="1"/>
  <c r="BN377" i="1" s="1"/>
  <c r="P377" i="1"/>
  <c r="BO376" i="1"/>
  <c r="BM376" i="1"/>
  <c r="Y376" i="1"/>
  <c r="P376" i="1"/>
  <c r="BO375" i="1"/>
  <c r="BM375" i="1"/>
  <c r="Y375" i="1"/>
  <c r="BN375" i="1" s="1"/>
  <c r="P375" i="1"/>
  <c r="X371" i="1"/>
  <c r="X370" i="1"/>
  <c r="BO369" i="1"/>
  <c r="BM369" i="1"/>
  <c r="Y369" i="1"/>
  <c r="BP369" i="1" s="1"/>
  <c r="P369" i="1"/>
  <c r="BO368" i="1"/>
  <c r="BM368" i="1"/>
  <c r="Y368" i="1"/>
  <c r="BP368" i="1" s="1"/>
  <c r="P368" i="1"/>
  <c r="BO367" i="1"/>
  <c r="BM367" i="1"/>
  <c r="Y367" i="1"/>
  <c r="P367" i="1"/>
  <c r="X365" i="1"/>
  <c r="X364" i="1"/>
  <c r="BP363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BN357" i="1" s="1"/>
  <c r="P357" i="1"/>
  <c r="BO356" i="1"/>
  <c r="BM356" i="1"/>
  <c r="Y356" i="1"/>
  <c r="BP356" i="1" s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Z345" i="1"/>
  <c r="Y345" i="1"/>
  <c r="BN345" i="1" s="1"/>
  <c r="P345" i="1"/>
  <c r="BO344" i="1"/>
  <c r="BM344" i="1"/>
  <c r="Y344" i="1"/>
  <c r="BN344" i="1" s="1"/>
  <c r="P344" i="1"/>
  <c r="BO343" i="1"/>
  <c r="BM343" i="1"/>
  <c r="Y343" i="1"/>
  <c r="Y346" i="1" s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BP335" i="1" s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BN324" i="1" s="1"/>
  <c r="P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BP321" i="1" s="1"/>
  <c r="P321" i="1"/>
  <c r="BO320" i="1"/>
  <c r="BM320" i="1"/>
  <c r="Y320" i="1"/>
  <c r="BN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N279" i="1" s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N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N256" i="1" s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BP246" i="1" s="1"/>
  <c r="X244" i="1"/>
  <c r="X243" i="1"/>
  <c r="BO242" i="1"/>
  <c r="BM242" i="1"/>
  <c r="Y242" i="1"/>
  <c r="BO241" i="1"/>
  <c r="BM241" i="1"/>
  <c r="Y241" i="1"/>
  <c r="P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N236" i="1" s="1"/>
  <c r="P236" i="1"/>
  <c r="BO235" i="1"/>
  <c r="BM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N232" i="1" s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P224" i="1"/>
  <c r="X222" i="1"/>
  <c r="X221" i="1"/>
  <c r="BO220" i="1"/>
  <c r="BM220" i="1"/>
  <c r="Y220" i="1"/>
  <c r="BP220" i="1" s="1"/>
  <c r="P220" i="1"/>
  <c r="BO219" i="1"/>
  <c r="BM219" i="1"/>
  <c r="Z219" i="1"/>
  <c r="Y219" i="1"/>
  <c r="BN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N214" i="1" s="1"/>
  <c r="P214" i="1"/>
  <c r="BO213" i="1"/>
  <c r="BM213" i="1"/>
  <c r="Y213" i="1"/>
  <c r="P213" i="1"/>
  <c r="BO212" i="1"/>
  <c r="BM212" i="1"/>
  <c r="Y212" i="1"/>
  <c r="BP212" i="1" s="1"/>
  <c r="P212" i="1"/>
  <c r="X210" i="1"/>
  <c r="X209" i="1"/>
  <c r="BO208" i="1"/>
  <c r="BM208" i="1"/>
  <c r="Y208" i="1"/>
  <c r="P208" i="1"/>
  <c r="BO207" i="1"/>
  <c r="BM207" i="1"/>
  <c r="Y207" i="1"/>
  <c r="BN207" i="1" s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BN203" i="1" s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BN197" i="1" s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BN192" i="1" s="1"/>
  <c r="P192" i="1"/>
  <c r="BO191" i="1"/>
  <c r="BM191" i="1"/>
  <c r="Y191" i="1"/>
  <c r="BN191" i="1" s="1"/>
  <c r="P191" i="1"/>
  <c r="X188" i="1"/>
  <c r="X187" i="1"/>
  <c r="BO186" i="1"/>
  <c r="BM186" i="1"/>
  <c r="Y186" i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N180" i="1" s="1"/>
  <c r="P180" i="1"/>
  <c r="BO179" i="1"/>
  <c r="BM179" i="1"/>
  <c r="Y179" i="1"/>
  <c r="BP179" i="1" s="1"/>
  <c r="BO178" i="1"/>
  <c r="BM178" i="1"/>
  <c r="Y178" i="1"/>
  <c r="P178" i="1"/>
  <c r="BO177" i="1"/>
  <c r="BM177" i="1"/>
  <c r="Y177" i="1"/>
  <c r="BN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P160" i="1"/>
  <c r="BO159" i="1"/>
  <c r="BM159" i="1"/>
  <c r="Y159" i="1"/>
  <c r="BN159" i="1" s="1"/>
  <c r="P159" i="1"/>
  <c r="BO158" i="1"/>
  <c r="BM158" i="1"/>
  <c r="Y158" i="1"/>
  <c r="BP158" i="1" s="1"/>
  <c r="P158" i="1"/>
  <c r="BO157" i="1"/>
  <c r="BM157" i="1"/>
  <c r="Y157" i="1"/>
  <c r="BP157" i="1" s="1"/>
  <c r="P157" i="1"/>
  <c r="X155" i="1"/>
  <c r="X154" i="1"/>
  <c r="BO153" i="1"/>
  <c r="BM153" i="1"/>
  <c r="Y153" i="1"/>
  <c r="BN153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5" i="1"/>
  <c r="X144" i="1"/>
  <c r="BO143" i="1"/>
  <c r="BM143" i="1"/>
  <c r="Y143" i="1"/>
  <c r="P143" i="1"/>
  <c r="BO142" i="1"/>
  <c r="BM142" i="1"/>
  <c r="Y142" i="1"/>
  <c r="BN142" i="1" s="1"/>
  <c r="P142" i="1"/>
  <c r="X140" i="1"/>
  <c r="X139" i="1"/>
  <c r="BO138" i="1"/>
  <c r="BM138" i="1"/>
  <c r="Y138" i="1"/>
  <c r="BN138" i="1" s="1"/>
  <c r="P138" i="1"/>
  <c r="BO137" i="1"/>
  <c r="BM137" i="1"/>
  <c r="Y137" i="1"/>
  <c r="BN137" i="1" s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N125" i="1" s="1"/>
  <c r="BO124" i="1"/>
  <c r="BM124" i="1"/>
  <c r="Y124" i="1"/>
  <c r="BP124" i="1" s="1"/>
  <c r="P124" i="1"/>
  <c r="BP123" i="1"/>
  <c r="BO123" i="1"/>
  <c r="BN123" i="1"/>
  <c r="BM123" i="1"/>
  <c r="Z123" i="1"/>
  <c r="Y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BO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6" i="1" s="1"/>
  <c r="P113" i="1"/>
  <c r="X111" i="1"/>
  <c r="X110" i="1"/>
  <c r="BO109" i="1"/>
  <c r="BM109" i="1"/>
  <c r="Y109" i="1"/>
  <c r="P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P95" i="1"/>
  <c r="BO95" i="1"/>
  <c r="BN95" i="1"/>
  <c r="BM95" i="1"/>
  <c r="Z95" i="1"/>
  <c r="Y95" i="1"/>
  <c r="BO94" i="1"/>
  <c r="BM94" i="1"/>
  <c r="Y94" i="1"/>
  <c r="BP94" i="1" s="1"/>
  <c r="P94" i="1"/>
  <c r="BO93" i="1"/>
  <c r="BM93" i="1"/>
  <c r="Y93" i="1"/>
  <c r="BP93" i="1" s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P87" i="1"/>
  <c r="X84" i="1"/>
  <c r="X83" i="1"/>
  <c r="BO82" i="1"/>
  <c r="BM82" i="1"/>
  <c r="Y82" i="1"/>
  <c r="P82" i="1"/>
  <c r="BO81" i="1"/>
  <c r="BM81" i="1"/>
  <c r="Y81" i="1"/>
  <c r="BP81" i="1" s="1"/>
  <c r="P81" i="1"/>
  <c r="BO80" i="1"/>
  <c r="BM80" i="1"/>
  <c r="Y80" i="1"/>
  <c r="BN80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N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N66" i="1" s="1"/>
  <c r="P66" i="1"/>
  <c r="BO65" i="1"/>
  <c r="BM65" i="1"/>
  <c r="Y65" i="1"/>
  <c r="BN65" i="1" s="1"/>
  <c r="P65" i="1"/>
  <c r="X63" i="1"/>
  <c r="X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P54" i="1"/>
  <c r="BO53" i="1"/>
  <c r="BM53" i="1"/>
  <c r="Y53" i="1"/>
  <c r="BN53" i="1" s="1"/>
  <c r="P53" i="1"/>
  <c r="BO52" i="1"/>
  <c r="BM52" i="1"/>
  <c r="Y52" i="1"/>
  <c r="BN52" i="1" s="1"/>
  <c r="P52" i="1"/>
  <c r="BO51" i="1"/>
  <c r="BM51" i="1"/>
  <c r="Y51" i="1"/>
  <c r="P51" i="1"/>
  <c r="BO50" i="1"/>
  <c r="BM50" i="1"/>
  <c r="Y50" i="1"/>
  <c r="BN50" i="1" s="1"/>
  <c r="P50" i="1"/>
  <c r="BO49" i="1"/>
  <c r="BM49" i="1"/>
  <c r="Y49" i="1"/>
  <c r="BN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P40" i="1"/>
  <c r="BO39" i="1"/>
  <c r="BM39" i="1"/>
  <c r="Y39" i="1"/>
  <c r="BN39" i="1" s="1"/>
  <c r="P39" i="1"/>
  <c r="BO38" i="1"/>
  <c r="BM38" i="1"/>
  <c r="Y38" i="1"/>
  <c r="P38" i="1"/>
  <c r="BO37" i="1"/>
  <c r="BM37" i="1"/>
  <c r="Y37" i="1"/>
  <c r="P37" i="1"/>
  <c r="X33" i="1"/>
  <c r="X32" i="1"/>
  <c r="BO31" i="1"/>
  <c r="BM31" i="1"/>
  <c r="Y31" i="1"/>
  <c r="Z31" i="1" s="1"/>
  <c r="Z32" i="1" s="1"/>
  <c r="P31" i="1"/>
  <c r="X29" i="1"/>
  <c r="X28" i="1"/>
  <c r="BO27" i="1"/>
  <c r="BM27" i="1"/>
  <c r="Y27" i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Y154" i="1" l="1"/>
  <c r="Y155" i="1"/>
  <c r="Y471" i="1"/>
  <c r="Y472" i="1"/>
  <c r="Z24" i="1"/>
  <c r="BN24" i="1"/>
  <c r="Y45" i="1"/>
  <c r="Z59" i="1"/>
  <c r="BN59" i="1"/>
  <c r="Z97" i="1"/>
  <c r="BN97" i="1"/>
  <c r="Z113" i="1"/>
  <c r="BN113" i="1"/>
  <c r="BP113" i="1"/>
  <c r="Y150" i="1"/>
  <c r="Z164" i="1"/>
  <c r="Z165" i="1" s="1"/>
  <c r="BN164" i="1"/>
  <c r="BP164" i="1"/>
  <c r="Y165" i="1"/>
  <c r="Z212" i="1"/>
  <c r="BN212" i="1"/>
  <c r="Z220" i="1"/>
  <c r="BN220" i="1"/>
  <c r="Z232" i="1"/>
  <c r="Z236" i="1"/>
  <c r="Y248" i="1"/>
  <c r="Z250" i="1"/>
  <c r="Z251" i="1" s="1"/>
  <c r="BN250" i="1"/>
  <c r="BP250" i="1"/>
  <c r="Y251" i="1"/>
  <c r="Z255" i="1"/>
  <c r="BN255" i="1"/>
  <c r="Z278" i="1"/>
  <c r="BN278" i="1"/>
  <c r="Z321" i="1"/>
  <c r="BN321" i="1"/>
  <c r="Z335" i="1"/>
  <c r="BN335" i="1"/>
  <c r="Y340" i="1"/>
  <c r="Z356" i="1"/>
  <c r="BN356" i="1"/>
  <c r="Z378" i="1"/>
  <c r="Z389" i="1"/>
  <c r="Y395" i="1"/>
  <c r="Z398" i="1"/>
  <c r="Z399" i="1" s="1"/>
  <c r="Z404" i="1"/>
  <c r="BN404" i="1"/>
  <c r="Z411" i="1"/>
  <c r="Z413" i="1" s="1"/>
  <c r="Z416" i="1"/>
  <c r="BN416" i="1"/>
  <c r="Z418" i="1"/>
  <c r="Z435" i="1"/>
  <c r="BN435" i="1"/>
  <c r="Z445" i="1"/>
  <c r="Y466" i="1"/>
  <c r="Z483" i="1"/>
  <c r="BN483" i="1"/>
  <c r="Z506" i="1"/>
  <c r="BN506" i="1"/>
  <c r="Z520" i="1"/>
  <c r="BN520" i="1"/>
  <c r="BP38" i="1"/>
  <c r="BN38" i="1"/>
  <c r="Z38" i="1"/>
  <c r="BP40" i="1"/>
  <c r="BN40" i="1"/>
  <c r="Z40" i="1"/>
  <c r="BN60" i="1"/>
  <c r="BP88" i="1"/>
  <c r="BN88" i="1"/>
  <c r="Z88" i="1"/>
  <c r="BN93" i="1"/>
  <c r="BP109" i="1"/>
  <c r="BN109" i="1"/>
  <c r="Z109" i="1"/>
  <c r="BN124" i="1"/>
  <c r="BP126" i="1"/>
  <c r="BN126" i="1"/>
  <c r="Z126" i="1"/>
  <c r="BN131" i="1"/>
  <c r="BP143" i="1"/>
  <c r="BN143" i="1"/>
  <c r="Z143" i="1"/>
  <c r="BN157" i="1"/>
  <c r="Y172" i="1"/>
  <c r="Y171" i="1"/>
  <c r="BP170" i="1"/>
  <c r="BN170" i="1"/>
  <c r="Z170" i="1"/>
  <c r="Z171" i="1" s="1"/>
  <c r="BP178" i="1"/>
  <c r="BN178" i="1"/>
  <c r="Z178" i="1"/>
  <c r="BN215" i="1"/>
  <c r="Z215" i="1"/>
  <c r="BN225" i="1"/>
  <c r="BN234" i="1"/>
  <c r="BP242" i="1"/>
  <c r="BN242" i="1"/>
  <c r="Z242" i="1"/>
  <c r="BP257" i="1"/>
  <c r="BN257" i="1"/>
  <c r="Z257" i="1"/>
  <c r="BP280" i="1"/>
  <c r="BN280" i="1"/>
  <c r="Z280" i="1"/>
  <c r="BP323" i="1"/>
  <c r="BN323" i="1"/>
  <c r="Z323" i="1"/>
  <c r="BN337" i="1"/>
  <c r="Z337" i="1"/>
  <c r="BP349" i="1"/>
  <c r="BN349" i="1"/>
  <c r="Z349" i="1"/>
  <c r="BN358" i="1"/>
  <c r="Z358" i="1"/>
  <c r="BP358" i="1"/>
  <c r="X592" i="1"/>
  <c r="BP27" i="1"/>
  <c r="BN27" i="1"/>
  <c r="Z27" i="1"/>
  <c r="BP51" i="1"/>
  <c r="BN51" i="1"/>
  <c r="Z51" i="1"/>
  <c r="BN54" i="1"/>
  <c r="Z54" i="1"/>
  <c r="BP71" i="1"/>
  <c r="BN71" i="1"/>
  <c r="Z71" i="1"/>
  <c r="Y77" i="1"/>
  <c r="BP75" i="1"/>
  <c r="BN75" i="1"/>
  <c r="Z75" i="1"/>
  <c r="BP100" i="1"/>
  <c r="BN100" i="1"/>
  <c r="Z100" i="1"/>
  <c r="BN114" i="1"/>
  <c r="BN121" i="1"/>
  <c r="Y133" i="1"/>
  <c r="BN148" i="1"/>
  <c r="BP160" i="1"/>
  <c r="BN160" i="1"/>
  <c r="Z160" i="1"/>
  <c r="BN175" i="1"/>
  <c r="BN179" i="1"/>
  <c r="BN182" i="1"/>
  <c r="Y188" i="1"/>
  <c r="Y187" i="1"/>
  <c r="BN186" i="1"/>
  <c r="BP204" i="1"/>
  <c r="BN204" i="1"/>
  <c r="Z204" i="1"/>
  <c r="BP208" i="1"/>
  <c r="BN208" i="1"/>
  <c r="Z208" i="1"/>
  <c r="Y222" i="1"/>
  <c r="BP215" i="1"/>
  <c r="BP216" i="1"/>
  <c r="BN216" i="1"/>
  <c r="Z216" i="1"/>
  <c r="Y226" i="1"/>
  <c r="BN230" i="1"/>
  <c r="Y244" i="1"/>
  <c r="Y243" i="1"/>
  <c r="BP241" i="1"/>
  <c r="BN241" i="1"/>
  <c r="Z241" i="1"/>
  <c r="Z243" i="1" s="1"/>
  <c r="BP271" i="1"/>
  <c r="BN271" i="1"/>
  <c r="Z271" i="1"/>
  <c r="T601" i="1"/>
  <c r="Y315" i="1"/>
  <c r="BP314" i="1"/>
  <c r="BN314" i="1"/>
  <c r="Z314" i="1"/>
  <c r="Z315" i="1" s="1"/>
  <c r="BP319" i="1"/>
  <c r="BN319" i="1"/>
  <c r="Z319" i="1"/>
  <c r="BP331" i="1"/>
  <c r="BN331" i="1"/>
  <c r="Z331" i="1"/>
  <c r="BP337" i="1"/>
  <c r="BP338" i="1"/>
  <c r="BN338" i="1"/>
  <c r="Z338" i="1"/>
  <c r="BN343" i="1"/>
  <c r="Y354" i="1"/>
  <c r="BN351" i="1"/>
  <c r="Z351" i="1"/>
  <c r="BP351" i="1"/>
  <c r="Y371" i="1"/>
  <c r="Y370" i="1"/>
  <c r="Z367" i="1"/>
  <c r="BN369" i="1"/>
  <c r="BN381" i="1"/>
  <c r="Z381" i="1"/>
  <c r="BN383" i="1"/>
  <c r="BN405" i="1"/>
  <c r="BN420" i="1"/>
  <c r="BN439" i="1"/>
  <c r="BN452" i="1"/>
  <c r="Z452" i="1"/>
  <c r="BP474" i="1"/>
  <c r="Y476" i="1"/>
  <c r="Y475" i="1"/>
  <c r="BN474" i="1"/>
  <c r="BN490" i="1"/>
  <c r="BP491" i="1"/>
  <c r="BN491" i="1"/>
  <c r="Z491" i="1"/>
  <c r="BN493" i="1"/>
  <c r="BP498" i="1"/>
  <c r="BN498" i="1"/>
  <c r="Z498" i="1"/>
  <c r="BN501" i="1"/>
  <c r="Y503" i="1"/>
  <c r="BN512" i="1"/>
  <c r="BP513" i="1"/>
  <c r="BN513" i="1"/>
  <c r="Z513" i="1"/>
  <c r="BN515" i="1"/>
  <c r="BP516" i="1"/>
  <c r="BN516" i="1"/>
  <c r="Z516" i="1"/>
  <c r="BP527" i="1"/>
  <c r="BN527" i="1"/>
  <c r="Z527" i="1"/>
  <c r="AE601" i="1"/>
  <c r="Y577" i="1"/>
  <c r="BN576" i="1"/>
  <c r="Y29" i="1"/>
  <c r="BN23" i="1"/>
  <c r="BN25" i="1"/>
  <c r="X591" i="1"/>
  <c r="BN44" i="1"/>
  <c r="Y62" i="1"/>
  <c r="BN72" i="1"/>
  <c r="BN76" i="1"/>
  <c r="BN81" i="1"/>
  <c r="BN89" i="1"/>
  <c r="BN94" i="1"/>
  <c r="BN96" i="1"/>
  <c r="BN98" i="1"/>
  <c r="BN101" i="1"/>
  <c r="BN107" i="1"/>
  <c r="Y117" i="1"/>
  <c r="BN115" i="1"/>
  <c r="BN119" i="1"/>
  <c r="BN122" i="1"/>
  <c r="BN127" i="1"/>
  <c r="BN132" i="1"/>
  <c r="Y149" i="1"/>
  <c r="BN158" i="1"/>
  <c r="BN176" i="1"/>
  <c r="BN202" i="1"/>
  <c r="BN206" i="1"/>
  <c r="BP219" i="1"/>
  <c r="BP232" i="1"/>
  <c r="BP236" i="1"/>
  <c r="Y282" i="1"/>
  <c r="Y332" i="1"/>
  <c r="Y341" i="1"/>
  <c r="BN339" i="1"/>
  <c r="BP345" i="1"/>
  <c r="BP352" i="1"/>
  <c r="BN352" i="1"/>
  <c r="Z352" i="1"/>
  <c r="V601" i="1"/>
  <c r="Z363" i="1"/>
  <c r="Z364" i="1" s="1"/>
  <c r="BP367" i="1"/>
  <c r="BN368" i="1"/>
  <c r="Z368" i="1"/>
  <c r="BP381" i="1"/>
  <c r="BN382" i="1"/>
  <c r="Z382" i="1"/>
  <c r="Y396" i="1"/>
  <c r="BP393" i="1"/>
  <c r="BN393" i="1"/>
  <c r="Z393" i="1"/>
  <c r="BN431" i="1"/>
  <c r="BN432" i="1"/>
  <c r="Z432" i="1"/>
  <c r="BN436" i="1"/>
  <c r="Z447" i="1"/>
  <c r="BP452" i="1"/>
  <c r="BN481" i="1"/>
  <c r="BN484" i="1"/>
  <c r="BP486" i="1"/>
  <c r="BN486" i="1"/>
  <c r="Z486" i="1"/>
  <c r="BN488" i="1"/>
  <c r="BP489" i="1"/>
  <c r="BN489" i="1"/>
  <c r="Z489" i="1"/>
  <c r="BP522" i="1"/>
  <c r="BN522" i="1"/>
  <c r="Z522" i="1"/>
  <c r="Y529" i="1"/>
  <c r="Y528" i="1"/>
  <c r="BP526" i="1"/>
  <c r="BN526" i="1"/>
  <c r="Z526" i="1"/>
  <c r="Z528" i="1" s="1"/>
  <c r="BP584" i="1"/>
  <c r="Y585" i="1"/>
  <c r="BN584" i="1"/>
  <c r="Y359" i="1"/>
  <c r="Y385" i="1"/>
  <c r="BP377" i="1"/>
  <c r="BP378" i="1"/>
  <c r="BN379" i="1"/>
  <c r="BP389" i="1"/>
  <c r="BP398" i="1"/>
  <c r="Y408" i="1"/>
  <c r="BP403" i="1"/>
  <c r="BP407" i="1"/>
  <c r="BP411" i="1"/>
  <c r="Y414" i="1"/>
  <c r="Y422" i="1"/>
  <c r="BP418" i="1"/>
  <c r="Y442" i="1"/>
  <c r="BP430" i="1"/>
  <c r="BN433" i="1"/>
  <c r="BP438" i="1"/>
  <c r="BP441" i="1"/>
  <c r="BP445" i="1"/>
  <c r="Y448" i="1"/>
  <c r="BN458" i="1"/>
  <c r="BN465" i="1"/>
  <c r="BN470" i="1"/>
  <c r="BN487" i="1"/>
  <c r="BN492" i="1"/>
  <c r="BN499" i="1"/>
  <c r="Y517" i="1"/>
  <c r="BN505" i="1"/>
  <c r="BN507" i="1"/>
  <c r="BN509" i="1"/>
  <c r="BN511" i="1"/>
  <c r="BN514" i="1"/>
  <c r="Y524" i="1"/>
  <c r="Y523" i="1"/>
  <c r="F9" i="1"/>
  <c r="F10" i="1"/>
  <c r="Z22" i="1"/>
  <c r="BP22" i="1"/>
  <c r="BN26" i="1"/>
  <c r="Y32" i="1"/>
  <c r="BN31" i="1"/>
  <c r="BP31" i="1"/>
  <c r="Y33" i="1"/>
  <c r="Z44" i="1"/>
  <c r="Z45" i="1" s="1"/>
  <c r="BP44" i="1"/>
  <c r="BP54" i="1"/>
  <c r="Y68" i="1"/>
  <c r="BP65" i="1"/>
  <c r="Z65" i="1"/>
  <c r="Y83" i="1"/>
  <c r="H9" i="1"/>
  <c r="BP50" i="1"/>
  <c r="Y63" i="1"/>
  <c r="BN58" i="1"/>
  <c r="BP58" i="1"/>
  <c r="BP66" i="1"/>
  <c r="BP73" i="1"/>
  <c r="Z73" i="1"/>
  <c r="E601" i="1"/>
  <c r="BN87" i="1"/>
  <c r="Y90" i="1"/>
  <c r="BP87" i="1"/>
  <c r="Z87" i="1"/>
  <c r="J9" i="1"/>
  <c r="BN22" i="1"/>
  <c r="Z26" i="1"/>
  <c r="X595" i="1"/>
  <c r="C601" i="1"/>
  <c r="Y42" i="1"/>
  <c r="BN37" i="1"/>
  <c r="BP37" i="1"/>
  <c r="D601" i="1"/>
  <c r="Y55" i="1"/>
  <c r="Y56" i="1"/>
  <c r="Z50" i="1"/>
  <c r="BP52" i="1"/>
  <c r="Z52" i="1"/>
  <c r="Z58" i="1"/>
  <c r="Z66" i="1"/>
  <c r="BP74" i="1"/>
  <c r="Y78" i="1"/>
  <c r="BN82" i="1"/>
  <c r="BP82" i="1"/>
  <c r="Z82" i="1"/>
  <c r="Y91" i="1"/>
  <c r="BN99" i="1"/>
  <c r="BP99" i="1"/>
  <c r="Z99" i="1"/>
  <c r="Y103" i="1"/>
  <c r="B601" i="1"/>
  <c r="X593" i="1"/>
  <c r="X594" i="1" s="1"/>
  <c r="Z23" i="1"/>
  <c r="Z25" i="1"/>
  <c r="Y28" i="1"/>
  <c r="Z37" i="1"/>
  <c r="BP39" i="1"/>
  <c r="Z39" i="1"/>
  <c r="Y41" i="1"/>
  <c r="Z49" i="1"/>
  <c r="BP49" i="1"/>
  <c r="BP53" i="1"/>
  <c r="Z53" i="1"/>
  <c r="BP61" i="1"/>
  <c r="Z61" i="1"/>
  <c r="Y69" i="1"/>
  <c r="BN73" i="1"/>
  <c r="Z74" i="1"/>
  <c r="Y129" i="1"/>
  <c r="Y184" i="1"/>
  <c r="BP201" i="1"/>
  <c r="Z201" i="1"/>
  <c r="BP203" i="1"/>
  <c r="Y210" i="1"/>
  <c r="BP235" i="1"/>
  <c r="Z235" i="1"/>
  <c r="BN235" i="1"/>
  <c r="Y102" i="1"/>
  <c r="Z108" i="1"/>
  <c r="BP108" i="1"/>
  <c r="Y111" i="1"/>
  <c r="Z125" i="1"/>
  <c r="BP125" i="1"/>
  <c r="Y128" i="1"/>
  <c r="G601" i="1"/>
  <c r="Z138" i="1"/>
  <c r="BP138" i="1"/>
  <c r="Z142" i="1"/>
  <c r="Z144" i="1" s="1"/>
  <c r="BP142" i="1"/>
  <c r="Y145" i="1"/>
  <c r="Z159" i="1"/>
  <c r="BP159" i="1"/>
  <c r="Y162" i="1"/>
  <c r="Z177" i="1"/>
  <c r="BP177" i="1"/>
  <c r="Z180" i="1"/>
  <c r="BP180" i="1"/>
  <c r="Y183" i="1"/>
  <c r="J601" i="1"/>
  <c r="Z192" i="1"/>
  <c r="BP192" i="1"/>
  <c r="Y194" i="1"/>
  <c r="Z203" i="1"/>
  <c r="BP205" i="1"/>
  <c r="Z205" i="1"/>
  <c r="BP207" i="1"/>
  <c r="Y221" i="1"/>
  <c r="BP213" i="1"/>
  <c r="Z213" i="1"/>
  <c r="BP217" i="1"/>
  <c r="Z217" i="1"/>
  <c r="Z81" i="1"/>
  <c r="Y84" i="1"/>
  <c r="Z94" i="1"/>
  <c r="Z96" i="1"/>
  <c r="Z98" i="1"/>
  <c r="F601" i="1"/>
  <c r="Z107" i="1"/>
  <c r="Y110" i="1"/>
  <c r="Z115" i="1"/>
  <c r="Z119" i="1"/>
  <c r="Z122" i="1"/>
  <c r="Z132" i="1"/>
  <c r="Z137" i="1"/>
  <c r="Z139" i="1" s="1"/>
  <c r="BP137" i="1"/>
  <c r="Y140" i="1"/>
  <c r="Y144" i="1"/>
  <c r="H601" i="1"/>
  <c r="Z158" i="1"/>
  <c r="Y161" i="1"/>
  <c r="Z176" i="1"/>
  <c r="Z179" i="1"/>
  <c r="Z186" i="1"/>
  <c r="Z187" i="1" s="1"/>
  <c r="BP186" i="1"/>
  <c r="Z191" i="1"/>
  <c r="Z193" i="1" s="1"/>
  <c r="BP191" i="1"/>
  <c r="BP197" i="1"/>
  <c r="Z197" i="1"/>
  <c r="Z198" i="1" s="1"/>
  <c r="Y199" i="1"/>
  <c r="BN201" i="1"/>
  <c r="Z202" i="1"/>
  <c r="Z207" i="1"/>
  <c r="Y209" i="1"/>
  <c r="BP214" i="1"/>
  <c r="BP218" i="1"/>
  <c r="Z218" i="1"/>
  <c r="BN218" i="1"/>
  <c r="BP231" i="1"/>
  <c r="Z231" i="1"/>
  <c r="BN231" i="1"/>
  <c r="Y239" i="1"/>
  <c r="Z60" i="1"/>
  <c r="Z72" i="1"/>
  <c r="Z77" i="1" s="1"/>
  <c r="Z76" i="1"/>
  <c r="Z80" i="1"/>
  <c r="BP80" i="1"/>
  <c r="Z89" i="1"/>
  <c r="Z93" i="1"/>
  <c r="Z101" i="1"/>
  <c r="Z106" i="1"/>
  <c r="BP106" i="1"/>
  <c r="Z114" i="1"/>
  <c r="Z121" i="1"/>
  <c r="Z124" i="1"/>
  <c r="Z127" i="1"/>
  <c r="Z131" i="1"/>
  <c r="BP131" i="1"/>
  <c r="Y139" i="1"/>
  <c r="Z148" i="1"/>
  <c r="Z149" i="1" s="1"/>
  <c r="Z153" i="1"/>
  <c r="Z154" i="1" s="1"/>
  <c r="BP153" i="1"/>
  <c r="Z157" i="1"/>
  <c r="I601" i="1"/>
  <c r="Z175" i="1"/>
  <c r="Z182" i="1"/>
  <c r="Y193" i="1"/>
  <c r="Y198" i="1"/>
  <c r="BN205" i="1"/>
  <c r="Z206" i="1"/>
  <c r="BN213" i="1"/>
  <c r="Z214" i="1"/>
  <c r="Z221" i="1" s="1"/>
  <c r="BN217" i="1"/>
  <c r="Z225" i="1"/>
  <c r="Z226" i="1" s="1"/>
  <c r="BP225" i="1"/>
  <c r="Z230" i="1"/>
  <c r="Z238" i="1" s="1"/>
  <c r="Z234" i="1"/>
  <c r="BN246" i="1"/>
  <c r="Y247" i="1"/>
  <c r="L601" i="1"/>
  <c r="Z256" i="1"/>
  <c r="BP256" i="1"/>
  <c r="BN258" i="1"/>
  <c r="Z260" i="1"/>
  <c r="BP260" i="1"/>
  <c r="Z265" i="1"/>
  <c r="Z266" i="1" s="1"/>
  <c r="BP265" i="1"/>
  <c r="Z270" i="1"/>
  <c r="BP270" i="1"/>
  <c r="BN272" i="1"/>
  <c r="Y273" i="1"/>
  <c r="BN277" i="1"/>
  <c r="Z279" i="1"/>
  <c r="BP279" i="1"/>
  <c r="BN281" i="1"/>
  <c r="BN286" i="1"/>
  <c r="Y287" i="1"/>
  <c r="BN290" i="1"/>
  <c r="Y291" i="1"/>
  <c r="BN294" i="1"/>
  <c r="Y295" i="1"/>
  <c r="BN299" i="1"/>
  <c r="Y300" i="1"/>
  <c r="BN304" i="1"/>
  <c r="Y305" i="1"/>
  <c r="BN308" i="1"/>
  <c r="U601" i="1"/>
  <c r="Z320" i="1"/>
  <c r="BP320" i="1"/>
  <c r="BN322" i="1"/>
  <c r="Z324" i="1"/>
  <c r="BP324" i="1"/>
  <c r="Z328" i="1"/>
  <c r="BP328" i="1"/>
  <c r="BN330" i="1"/>
  <c r="Z336" i="1"/>
  <c r="BP336" i="1"/>
  <c r="Z344" i="1"/>
  <c r="BP344" i="1"/>
  <c r="Y347" i="1"/>
  <c r="Z350" i="1"/>
  <c r="BP350" i="1"/>
  <c r="Y353" i="1"/>
  <c r="Y421" i="1"/>
  <c r="BP459" i="1"/>
  <c r="Y262" i="1"/>
  <c r="Y267" i="1"/>
  <c r="P601" i="1"/>
  <c r="Y326" i="1"/>
  <c r="Z339" i="1"/>
  <c r="Z343" i="1"/>
  <c r="BP343" i="1"/>
  <c r="Z357" i="1"/>
  <c r="BP357" i="1"/>
  <c r="Y360" i="1"/>
  <c r="Y365" i="1"/>
  <c r="W601" i="1"/>
  <c r="Z376" i="1"/>
  <c r="BP376" i="1"/>
  <c r="Z380" i="1"/>
  <c r="BP380" i="1"/>
  <c r="Z384" i="1"/>
  <c r="BP384" i="1"/>
  <c r="Z388" i="1"/>
  <c r="Z390" i="1" s="1"/>
  <c r="BP388" i="1"/>
  <c r="Y391" i="1"/>
  <c r="Z394" i="1"/>
  <c r="BP394" i="1"/>
  <c r="Y400" i="1"/>
  <c r="Z406" i="1"/>
  <c r="BP406" i="1"/>
  <c r="Y409" i="1"/>
  <c r="Y413" i="1"/>
  <c r="Z417" i="1"/>
  <c r="BP417" i="1"/>
  <c r="Z424" i="1"/>
  <c r="Z425" i="1" s="1"/>
  <c r="BP424" i="1"/>
  <c r="Z434" i="1"/>
  <c r="BP434" i="1"/>
  <c r="Z437" i="1"/>
  <c r="BP437" i="1"/>
  <c r="Z440" i="1"/>
  <c r="BP440" i="1"/>
  <c r="Y443" i="1"/>
  <c r="Y447" i="1"/>
  <c r="Y460" i="1"/>
  <c r="BN456" i="1"/>
  <c r="Y461" i="1"/>
  <c r="BP456" i="1"/>
  <c r="Z459" i="1"/>
  <c r="AA601" i="1"/>
  <c r="BN464" i="1"/>
  <c r="BP464" i="1"/>
  <c r="Y467" i="1"/>
  <c r="Y495" i="1"/>
  <c r="BN494" i="1"/>
  <c r="BP494" i="1"/>
  <c r="Z494" i="1"/>
  <c r="BN510" i="1"/>
  <c r="BP510" i="1"/>
  <c r="Z510" i="1"/>
  <c r="BN534" i="1"/>
  <c r="BP534" i="1"/>
  <c r="Z534" i="1"/>
  <c r="BN538" i="1"/>
  <c r="BP538" i="1"/>
  <c r="Z538" i="1"/>
  <c r="BN553" i="1"/>
  <c r="BP553" i="1"/>
  <c r="Z553" i="1"/>
  <c r="Z565" i="1"/>
  <c r="BN568" i="1"/>
  <c r="Y572" i="1"/>
  <c r="BP568" i="1"/>
  <c r="Z568" i="1"/>
  <c r="Z246" i="1"/>
  <c r="Z247" i="1" s="1"/>
  <c r="Z258" i="1"/>
  <c r="Y261" i="1"/>
  <c r="BN265" i="1"/>
  <c r="Y266" i="1"/>
  <c r="BN270" i="1"/>
  <c r="Z272" i="1"/>
  <c r="Z277" i="1"/>
  <c r="BP277" i="1"/>
  <c r="Z281" i="1"/>
  <c r="Z286" i="1"/>
  <c r="Z287" i="1" s="1"/>
  <c r="BP286" i="1"/>
  <c r="Z290" i="1"/>
  <c r="Z291" i="1" s="1"/>
  <c r="BP290" i="1"/>
  <c r="Z294" i="1"/>
  <c r="Z295" i="1" s="1"/>
  <c r="BP294" i="1"/>
  <c r="Z299" i="1"/>
  <c r="Z300" i="1" s="1"/>
  <c r="BP299" i="1"/>
  <c r="Z304" i="1"/>
  <c r="Z305" i="1" s="1"/>
  <c r="BP304" i="1"/>
  <c r="Z308" i="1"/>
  <c r="Z310" i="1" s="1"/>
  <c r="BP308" i="1"/>
  <c r="Y311" i="1"/>
  <c r="Y316" i="1"/>
  <c r="Z322" i="1"/>
  <c r="Y325" i="1"/>
  <c r="BN328" i="1"/>
  <c r="Z330" i="1"/>
  <c r="Y333" i="1"/>
  <c r="BN336" i="1"/>
  <c r="BN350" i="1"/>
  <c r="BN363" i="1"/>
  <c r="Y364" i="1"/>
  <c r="BN367" i="1"/>
  <c r="Z369" i="1"/>
  <c r="Z370" i="1" s="1"/>
  <c r="Z375" i="1"/>
  <c r="BP375" i="1"/>
  <c r="Z379" i="1"/>
  <c r="Z383" i="1"/>
  <c r="Y386" i="1"/>
  <c r="Y390" i="1"/>
  <c r="BN398" i="1"/>
  <c r="BN403" i="1"/>
  <c r="Z405" i="1"/>
  <c r="Z420" i="1"/>
  <c r="Y426" i="1"/>
  <c r="BN430" i="1"/>
  <c r="Z431" i="1"/>
  <c r="Z433" i="1"/>
  <c r="Z436" i="1"/>
  <c r="Z439" i="1"/>
  <c r="Z601" i="1"/>
  <c r="Y454" i="1"/>
  <c r="BP451" i="1"/>
  <c r="Z451" i="1"/>
  <c r="Z453" i="1" s="1"/>
  <c r="Y453" i="1"/>
  <c r="Z456" i="1"/>
  <c r="Z458" i="1"/>
  <c r="Z464" i="1"/>
  <c r="BN485" i="1"/>
  <c r="BP485" i="1"/>
  <c r="Z485" i="1"/>
  <c r="BN500" i="1"/>
  <c r="Y502" i="1"/>
  <c r="BP500" i="1"/>
  <c r="Z500" i="1"/>
  <c r="AD601" i="1"/>
  <c r="K601" i="1"/>
  <c r="Y238" i="1"/>
  <c r="Y274" i="1"/>
  <c r="Y283" i="1"/>
  <c r="Y288" i="1"/>
  <c r="Y301" i="1"/>
  <c r="Y306" i="1"/>
  <c r="BN376" i="1"/>
  <c r="BN394" i="1"/>
  <c r="X601" i="1"/>
  <c r="BN417" i="1"/>
  <c r="BN424" i="1"/>
  <c r="Y601" i="1"/>
  <c r="BN482" i="1"/>
  <c r="BP482" i="1"/>
  <c r="Z482" i="1"/>
  <c r="BN536" i="1"/>
  <c r="BP536" i="1"/>
  <c r="Z536" i="1"/>
  <c r="BN551" i="1"/>
  <c r="BP551" i="1"/>
  <c r="Z551" i="1"/>
  <c r="BN555" i="1"/>
  <c r="BP555" i="1"/>
  <c r="Z555" i="1"/>
  <c r="Y558" i="1"/>
  <c r="BN570" i="1"/>
  <c r="BP570" i="1"/>
  <c r="Z570" i="1"/>
  <c r="Y573" i="1"/>
  <c r="Y518" i="1"/>
  <c r="BN521" i="1"/>
  <c r="BN533" i="1"/>
  <c r="BN535" i="1"/>
  <c r="BN537" i="1"/>
  <c r="BN550" i="1"/>
  <c r="BN552" i="1"/>
  <c r="BN554" i="1"/>
  <c r="BN556" i="1"/>
  <c r="Y557" i="1"/>
  <c r="BN569" i="1"/>
  <c r="BN571" i="1"/>
  <c r="Z580" i="1"/>
  <c r="Z581" i="1" s="1"/>
  <c r="BP580" i="1"/>
  <c r="Y586" i="1"/>
  <c r="BN588" i="1"/>
  <c r="Y589" i="1"/>
  <c r="AB601" i="1"/>
  <c r="Z481" i="1"/>
  <c r="Z488" i="1"/>
  <c r="Z490" i="1"/>
  <c r="Z493" i="1"/>
  <c r="Y496" i="1"/>
  <c r="Z505" i="1"/>
  <c r="BP505" i="1"/>
  <c r="Z507" i="1"/>
  <c r="Z509" i="1"/>
  <c r="Z512" i="1"/>
  <c r="Z515" i="1"/>
  <c r="Y540" i="1"/>
  <c r="Z576" i="1"/>
  <c r="Z577" i="1" s="1"/>
  <c r="BP576" i="1"/>
  <c r="Y582" i="1"/>
  <c r="AC601" i="1"/>
  <c r="Z465" i="1"/>
  <c r="Z470" i="1"/>
  <c r="Z471" i="1" s="1"/>
  <c r="Z474" i="1"/>
  <c r="Z475" i="1" s="1"/>
  <c r="Z480" i="1"/>
  <c r="BP480" i="1"/>
  <c r="Z484" i="1"/>
  <c r="Z487" i="1"/>
  <c r="Z492" i="1"/>
  <c r="Z499" i="1"/>
  <c r="Z501" i="1"/>
  <c r="Z511" i="1"/>
  <c r="Z514" i="1"/>
  <c r="Z521" i="1"/>
  <c r="Z533" i="1"/>
  <c r="BP533" i="1"/>
  <c r="Z535" i="1"/>
  <c r="Z537" i="1"/>
  <c r="Y539" i="1"/>
  <c r="Z550" i="1"/>
  <c r="Z552" i="1"/>
  <c r="Z554" i="1"/>
  <c r="Z556" i="1"/>
  <c r="Z569" i="1"/>
  <c r="Z571" i="1"/>
  <c r="Y578" i="1"/>
  <c r="BN580" i="1"/>
  <c r="Z588" i="1"/>
  <c r="Z589" i="1" s="1"/>
  <c r="BP588" i="1"/>
  <c r="Z584" i="1"/>
  <c r="Z585" i="1" s="1"/>
  <c r="Z523" i="1" l="1"/>
  <c r="Z502" i="1"/>
  <c r="Z359" i="1"/>
  <c r="Z116" i="1"/>
  <c r="Z466" i="1"/>
  <c r="Z421" i="1"/>
  <c r="Z340" i="1"/>
  <c r="Z325" i="1"/>
  <c r="Z495" i="1"/>
  <c r="Z442" i="1"/>
  <c r="Z408" i="1"/>
  <c r="Z282" i="1"/>
  <c r="Z395" i="1"/>
  <c r="Z346" i="1"/>
  <c r="Z353" i="1"/>
  <c r="Z183" i="1"/>
  <c r="Z133" i="1"/>
  <c r="Z110" i="1"/>
  <c r="Z102" i="1"/>
  <c r="Z55" i="1"/>
  <c r="Z41" i="1"/>
  <c r="Y591" i="1"/>
  <c r="Z557" i="1"/>
  <c r="Z209" i="1"/>
  <c r="Y592" i="1"/>
  <c r="Z68" i="1"/>
  <c r="Z28" i="1"/>
  <c r="Z539" i="1"/>
  <c r="Z517" i="1"/>
  <c r="Y595" i="1"/>
  <c r="Z460" i="1"/>
  <c r="Z332" i="1"/>
  <c r="Z261" i="1"/>
  <c r="Z161" i="1"/>
  <c r="Z90" i="1"/>
  <c r="Z385" i="1"/>
  <c r="Z572" i="1"/>
  <c r="Z273" i="1"/>
  <c r="Z83" i="1"/>
  <c r="Z128" i="1"/>
  <c r="Z62" i="1"/>
  <c r="Y593" i="1"/>
  <c r="Y594" i="1" l="1"/>
  <c r="Z596" i="1"/>
</calcChain>
</file>

<file path=xl/sharedStrings.xml><?xml version="1.0" encoding="utf-8"?>
<sst xmlns="http://schemas.openxmlformats.org/spreadsheetml/2006/main" count="2731" uniqueCount="968">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</sst>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979" t="s">
        <v>0</v>
      </c>
      <c r="E1" s="695"/>
      <c r="F1" s="695"/>
      <c r="G1" s="12" t="s">
        <v>1</v>
      </c>
      <c r="H1" s="979" t="s">
        <v>2</v>
      </c>
      <c r="I1" s="695"/>
      <c r="J1" s="695"/>
      <c r="K1" s="695"/>
      <c r="L1" s="695"/>
      <c r="M1" s="695"/>
      <c r="N1" s="695"/>
      <c r="O1" s="695"/>
      <c r="P1" s="695"/>
      <c r="Q1" s="695"/>
      <c r="R1" s="1024" t="s">
        <v>3</v>
      </c>
      <c r="S1" s="695"/>
      <c r="T1" s="6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1"/>
      <c r="R2" s="671"/>
      <c r="S2" s="671"/>
      <c r="T2" s="671"/>
      <c r="U2" s="671"/>
      <c r="V2" s="671"/>
      <c r="W2" s="671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1"/>
      <c r="Q3" s="671"/>
      <c r="R3" s="671"/>
      <c r="S3" s="671"/>
      <c r="T3" s="671"/>
      <c r="U3" s="671"/>
      <c r="V3" s="671"/>
      <c r="W3" s="671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927" t="s">
        <v>8</v>
      </c>
      <c r="B5" s="674"/>
      <c r="C5" s="675"/>
      <c r="D5" s="796"/>
      <c r="E5" s="798"/>
      <c r="F5" s="742" t="s">
        <v>9</v>
      </c>
      <c r="G5" s="675"/>
      <c r="H5" s="796" t="s">
        <v>967</v>
      </c>
      <c r="I5" s="797"/>
      <c r="J5" s="797"/>
      <c r="K5" s="797"/>
      <c r="L5" s="797"/>
      <c r="M5" s="798"/>
      <c r="N5" s="58"/>
      <c r="P5" s="24" t="s">
        <v>10</v>
      </c>
      <c r="Q5" s="714">
        <v>45761</v>
      </c>
      <c r="R5" s="715"/>
      <c r="T5" s="889" t="s">
        <v>11</v>
      </c>
      <c r="U5" s="883"/>
      <c r="V5" s="891" t="s">
        <v>12</v>
      </c>
      <c r="W5" s="715"/>
      <c r="AB5" s="51"/>
      <c r="AC5" s="51"/>
      <c r="AD5" s="51"/>
      <c r="AE5" s="51"/>
    </row>
    <row r="6" spans="1:32" s="657" customFormat="1" ht="24" customHeight="1" x14ac:dyDescent="0.2">
      <c r="A6" s="927" t="s">
        <v>13</v>
      </c>
      <c r="B6" s="674"/>
      <c r="C6" s="675"/>
      <c r="D6" s="801" t="s">
        <v>14</v>
      </c>
      <c r="E6" s="802"/>
      <c r="F6" s="802"/>
      <c r="G6" s="802"/>
      <c r="H6" s="802"/>
      <c r="I6" s="802"/>
      <c r="J6" s="802"/>
      <c r="K6" s="802"/>
      <c r="L6" s="802"/>
      <c r="M6" s="715"/>
      <c r="N6" s="59"/>
      <c r="P6" s="24" t="s">
        <v>15</v>
      </c>
      <c r="Q6" s="824" t="str">
        <f>IF(Q5=0," ",CHOOSE(WEEKDAY(Q5,2),"Понедельник","Вторник","Среда","Четверг","Пятница","Суббота","Воскресенье"))</f>
        <v>Понедельник</v>
      </c>
      <c r="R6" s="677"/>
      <c r="T6" s="896" t="s">
        <v>16</v>
      </c>
      <c r="U6" s="883"/>
      <c r="V6" s="808" t="s">
        <v>17</v>
      </c>
      <c r="W6" s="809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998" t="str">
        <f>IFERROR(VLOOKUP(DeliveryAddress,Table,3,0),1)</f>
        <v>1</v>
      </c>
      <c r="E7" s="999"/>
      <c r="F7" s="999"/>
      <c r="G7" s="999"/>
      <c r="H7" s="999"/>
      <c r="I7" s="999"/>
      <c r="J7" s="999"/>
      <c r="K7" s="999"/>
      <c r="L7" s="999"/>
      <c r="M7" s="894"/>
      <c r="N7" s="60"/>
      <c r="P7" s="24"/>
      <c r="Q7" s="42"/>
      <c r="R7" s="42"/>
      <c r="T7" s="671"/>
      <c r="U7" s="883"/>
      <c r="V7" s="810"/>
      <c r="W7" s="811"/>
      <c r="AB7" s="51"/>
      <c r="AC7" s="51"/>
      <c r="AD7" s="51"/>
      <c r="AE7" s="51"/>
    </row>
    <row r="8" spans="1:32" s="657" customFormat="1" ht="25.5" customHeight="1" x14ac:dyDescent="0.2">
      <c r="A8" s="667" t="s">
        <v>18</v>
      </c>
      <c r="B8" s="668"/>
      <c r="C8" s="669"/>
      <c r="D8" s="1010" t="s">
        <v>19</v>
      </c>
      <c r="E8" s="1011"/>
      <c r="F8" s="1011"/>
      <c r="G8" s="1011"/>
      <c r="H8" s="1011"/>
      <c r="I8" s="1011"/>
      <c r="J8" s="1011"/>
      <c r="K8" s="1011"/>
      <c r="L8" s="1011"/>
      <c r="M8" s="1012"/>
      <c r="N8" s="61"/>
      <c r="P8" s="24" t="s">
        <v>20</v>
      </c>
      <c r="Q8" s="893">
        <v>0.375</v>
      </c>
      <c r="R8" s="894"/>
      <c r="T8" s="671"/>
      <c r="U8" s="883"/>
      <c r="V8" s="810"/>
      <c r="W8" s="811"/>
      <c r="AB8" s="51"/>
      <c r="AC8" s="51"/>
      <c r="AD8" s="51"/>
      <c r="AE8" s="51"/>
    </row>
    <row r="9" spans="1:32" s="65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755"/>
      <c r="E9" s="756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847" t="str">
        <f>IF(AND($A$9="Тип доверенности/получателя при получении в адресе перегруза:",$D$9="Разовая доверенность"),"Введите ФИО","")</f>
        <v/>
      </c>
      <c r="I9" s="756"/>
      <c r="J9" s="8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6"/>
      <c r="L9" s="756"/>
      <c r="M9" s="756"/>
      <c r="N9" s="655"/>
      <c r="P9" s="26" t="s">
        <v>21</v>
      </c>
      <c r="Q9" s="950"/>
      <c r="R9" s="724"/>
      <c r="T9" s="671"/>
      <c r="U9" s="883"/>
      <c r="V9" s="812"/>
      <c r="W9" s="813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755"/>
      <c r="E10" s="756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830" t="str">
        <f>IFERROR(VLOOKUP($D$10,Proxy,2,FALSE),"")</f>
        <v/>
      </c>
      <c r="I10" s="671"/>
      <c r="J10" s="671"/>
      <c r="K10" s="671"/>
      <c r="L10" s="671"/>
      <c r="M10" s="671"/>
      <c r="N10" s="656"/>
      <c r="P10" s="26" t="s">
        <v>22</v>
      </c>
      <c r="Q10" s="897"/>
      <c r="R10" s="898"/>
      <c r="U10" s="24" t="s">
        <v>23</v>
      </c>
      <c r="V10" s="1046" t="s">
        <v>24</v>
      </c>
      <c r="W10" s="809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953"/>
      <c r="R11" s="715"/>
      <c r="U11" s="24" t="s">
        <v>27</v>
      </c>
      <c r="V11" s="723" t="s">
        <v>28</v>
      </c>
      <c r="W11" s="724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62" t="s">
        <v>29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30</v>
      </c>
      <c r="Q12" s="893"/>
      <c r="R12" s="894"/>
      <c r="S12" s="23"/>
      <c r="U12" s="24"/>
      <c r="V12" s="695"/>
      <c r="W12" s="671"/>
      <c r="AB12" s="51"/>
      <c r="AC12" s="51"/>
      <c r="AD12" s="51"/>
      <c r="AE12" s="51"/>
    </row>
    <row r="13" spans="1:32" s="657" customFormat="1" ht="23.25" customHeight="1" x14ac:dyDescent="0.2">
      <c r="A13" s="862" t="s">
        <v>31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32</v>
      </c>
      <c r="Q13" s="723"/>
      <c r="R13" s="7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62" t="s">
        <v>33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64" t="s">
        <v>34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956" t="s">
        <v>35</v>
      </c>
      <c r="Q15" s="695"/>
      <c r="R15" s="695"/>
      <c r="S15" s="695"/>
      <c r="T15" s="6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57"/>
      <c r="Q16" s="957"/>
      <c r="R16" s="957"/>
      <c r="S16" s="957"/>
      <c r="T16" s="9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36</v>
      </c>
      <c r="B17" s="691" t="s">
        <v>37</v>
      </c>
      <c r="C17" s="931" t="s">
        <v>38</v>
      </c>
      <c r="D17" s="691" t="s">
        <v>39</v>
      </c>
      <c r="E17" s="692"/>
      <c r="F17" s="691" t="s">
        <v>40</v>
      </c>
      <c r="G17" s="691" t="s">
        <v>41</v>
      </c>
      <c r="H17" s="691" t="s">
        <v>42</v>
      </c>
      <c r="I17" s="691" t="s">
        <v>43</v>
      </c>
      <c r="J17" s="691" t="s">
        <v>44</v>
      </c>
      <c r="K17" s="691" t="s">
        <v>45</v>
      </c>
      <c r="L17" s="691" t="s">
        <v>46</v>
      </c>
      <c r="M17" s="691" t="s">
        <v>47</v>
      </c>
      <c r="N17" s="691" t="s">
        <v>48</v>
      </c>
      <c r="O17" s="691" t="s">
        <v>49</v>
      </c>
      <c r="P17" s="691" t="s">
        <v>50</v>
      </c>
      <c r="Q17" s="959"/>
      <c r="R17" s="959"/>
      <c r="S17" s="959"/>
      <c r="T17" s="692"/>
      <c r="U17" s="704" t="s">
        <v>51</v>
      </c>
      <c r="V17" s="675"/>
      <c r="W17" s="691" t="s">
        <v>52</v>
      </c>
      <c r="X17" s="691" t="s">
        <v>53</v>
      </c>
      <c r="Y17" s="705" t="s">
        <v>54</v>
      </c>
      <c r="Z17" s="837" t="s">
        <v>55</v>
      </c>
      <c r="AA17" s="736" t="s">
        <v>56</v>
      </c>
      <c r="AB17" s="736" t="s">
        <v>57</v>
      </c>
      <c r="AC17" s="736" t="s">
        <v>58</v>
      </c>
      <c r="AD17" s="736" t="s">
        <v>59</v>
      </c>
      <c r="AE17" s="737"/>
      <c r="AF17" s="73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693"/>
      <c r="E18" s="694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693"/>
      <c r="Q18" s="960"/>
      <c r="R18" s="960"/>
      <c r="S18" s="960"/>
      <c r="T18" s="694"/>
      <c r="U18" s="67" t="s">
        <v>61</v>
      </c>
      <c r="V18" s="67" t="s">
        <v>62</v>
      </c>
      <c r="W18" s="713"/>
      <c r="X18" s="713"/>
      <c r="Y18" s="706"/>
      <c r="Z18" s="838"/>
      <c r="AA18" s="795"/>
      <c r="AB18" s="795"/>
      <c r="AC18" s="795"/>
      <c r="AD18" s="739"/>
      <c r="AE18" s="740"/>
      <c r="AF18" s="741"/>
      <c r="AG18" s="66"/>
      <c r="BD18" s="65"/>
    </row>
    <row r="19" spans="1:68" ht="27.75" hidden="1" customHeight="1" x14ac:dyDescent="0.2">
      <c r="A19" s="790" t="s">
        <v>63</v>
      </c>
      <c r="B19" s="791"/>
      <c r="C19" s="791"/>
      <c r="D19" s="791"/>
      <c r="E19" s="791"/>
      <c r="F19" s="791"/>
      <c r="G19" s="791"/>
      <c r="H19" s="791"/>
      <c r="I19" s="791"/>
      <c r="J19" s="791"/>
      <c r="K19" s="791"/>
      <c r="L19" s="791"/>
      <c r="M19" s="791"/>
      <c r="N19" s="791"/>
      <c r="O19" s="791"/>
      <c r="P19" s="791"/>
      <c r="Q19" s="791"/>
      <c r="R19" s="791"/>
      <c r="S19" s="791"/>
      <c r="T19" s="791"/>
      <c r="U19" s="791"/>
      <c r="V19" s="791"/>
      <c r="W19" s="791"/>
      <c r="X19" s="791"/>
      <c r="Y19" s="791"/>
      <c r="Z19" s="791"/>
      <c r="AA19" s="48"/>
      <c r="AB19" s="48"/>
      <c r="AC19" s="48"/>
    </row>
    <row r="20" spans="1:68" ht="16.5" hidden="1" customHeight="1" x14ac:dyDescent="0.25">
      <c r="A20" s="686" t="s">
        <v>63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8"/>
      <c r="AB20" s="658"/>
      <c r="AC20" s="658"/>
    </row>
    <row r="21" spans="1:68" ht="14.25" hidden="1" customHeight="1" x14ac:dyDescent="0.25">
      <c r="A21" s="680" t="s">
        <v>64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6">
        <v>4680115885912</v>
      </c>
      <c r="E22" s="677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2"/>
      <c r="R22" s="682"/>
      <c r="S22" s="682"/>
      <c r="T22" s="683"/>
      <c r="U22" s="34"/>
      <c r="V22" s="34"/>
      <c r="W22" s="35" t="s">
        <v>69</v>
      </c>
      <c r="X22" s="663">
        <v>15</v>
      </c>
      <c r="Y22" s="664">
        <f t="shared" ref="Y22:Y27" si="0">IFERROR(IF(X22="",0,CEILING((X22/$H22),1)*$H22),"")</f>
        <v>16.2</v>
      </c>
      <c r="Z22" s="36">
        <f t="shared" ref="Z22:Z27" si="1">IFERROR(IF(Y22=0,"",ROUNDUP(Y22/H22,0)*0.00651),"")</f>
        <v>5.8590000000000003E-2</v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26.5</v>
      </c>
      <c r="BN22" s="64">
        <f t="shared" ref="BN22:BN27" si="3">IFERROR(Y22*I22/H22,"0")</f>
        <v>28.619999999999997</v>
      </c>
      <c r="BO22" s="64">
        <f t="shared" ref="BO22:BO27" si="4">IFERROR(1/J22*(X22/H22),"0")</f>
        <v>4.5787545787545791E-2</v>
      </c>
      <c r="BP22" s="64">
        <f t="shared" ref="BP22:BP27" si="5">IFERROR(1/J22*(Y22/H22),"0")</f>
        <v>4.9450549450549455E-2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6">
        <v>4607091388237</v>
      </c>
      <c r="E23" s="677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2"/>
      <c r="R23" s="682"/>
      <c r="S23" s="682"/>
      <c r="T23" s="683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6">
        <v>4680115886230</v>
      </c>
      <c r="E24" s="677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0" t="s">
        <v>76</v>
      </c>
      <c r="Q24" s="682"/>
      <c r="R24" s="682"/>
      <c r="S24" s="682"/>
      <c r="T24" s="683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6">
        <v>4680115886247</v>
      </c>
      <c r="E25" s="677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698" t="s">
        <v>80</v>
      </c>
      <c r="Q25" s="682"/>
      <c r="R25" s="682"/>
      <c r="S25" s="682"/>
      <c r="T25" s="683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6">
        <v>4680115885905</v>
      </c>
      <c r="E26" s="677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2"/>
      <c r="R26" s="682"/>
      <c r="S26" s="682"/>
      <c r="T26" s="683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6">
        <v>4607091388244</v>
      </c>
      <c r="E27" s="677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84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2"/>
      <c r="R27" s="682"/>
      <c r="S27" s="682"/>
      <c r="T27" s="683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0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72"/>
      <c r="P28" s="678" t="s">
        <v>88</v>
      </c>
      <c r="Q28" s="668"/>
      <c r="R28" s="668"/>
      <c r="S28" s="668"/>
      <c r="T28" s="668"/>
      <c r="U28" s="668"/>
      <c r="V28" s="669"/>
      <c r="W28" s="37" t="s">
        <v>89</v>
      </c>
      <c r="X28" s="665">
        <f>IFERROR(X22/H22,"0")+IFERROR(X23/H23,"0")+IFERROR(X24/H24,"0")+IFERROR(X25/H25,"0")+IFERROR(X26/H26,"0")+IFERROR(X27/H27,"0")</f>
        <v>8.3333333333333339</v>
      </c>
      <c r="Y28" s="665">
        <f>IFERROR(Y22/H22,"0")+IFERROR(Y23/H23,"0")+IFERROR(Y24/H24,"0")+IFERROR(Y25/H25,"0")+IFERROR(Y26/H26,"0")+IFERROR(Y27/H27,"0")</f>
        <v>9</v>
      </c>
      <c r="Z28" s="665">
        <f>IFERROR(IF(Z22="",0,Z22),"0")+IFERROR(IF(Z23="",0,Z23),"0")+IFERROR(IF(Z24="",0,Z24),"0")+IFERROR(IF(Z25="",0,Z25),"0")+IFERROR(IF(Z26="",0,Z26),"0")+IFERROR(IF(Z27="",0,Z27),"0")</f>
        <v>5.8590000000000003E-2</v>
      </c>
      <c r="AA28" s="666"/>
      <c r="AB28" s="666"/>
      <c r="AC28" s="666"/>
    </row>
    <row r="29" spans="1:68" x14ac:dyDescent="0.2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72"/>
      <c r="P29" s="678" t="s">
        <v>88</v>
      </c>
      <c r="Q29" s="668"/>
      <c r="R29" s="668"/>
      <c r="S29" s="668"/>
      <c r="T29" s="668"/>
      <c r="U29" s="668"/>
      <c r="V29" s="669"/>
      <c r="W29" s="37" t="s">
        <v>69</v>
      </c>
      <c r="X29" s="665">
        <f>IFERROR(SUM(X22:X27),"0")</f>
        <v>15</v>
      </c>
      <c r="Y29" s="665">
        <f>IFERROR(SUM(Y22:Y27),"0")</f>
        <v>16.2</v>
      </c>
      <c r="Z29" s="37"/>
      <c r="AA29" s="666"/>
      <c r="AB29" s="666"/>
      <c r="AC29" s="666"/>
    </row>
    <row r="30" spans="1:68" ht="14.25" hidden="1" customHeight="1" x14ac:dyDescent="0.25">
      <c r="A30" s="680" t="s">
        <v>90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6">
        <v>4607091388503</v>
      </c>
      <c r="E31" s="677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101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2"/>
      <c r="R31" s="682"/>
      <c r="S31" s="682"/>
      <c r="T31" s="683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0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72"/>
      <c r="P32" s="678" t="s">
        <v>88</v>
      </c>
      <c r="Q32" s="668"/>
      <c r="R32" s="668"/>
      <c r="S32" s="668"/>
      <c r="T32" s="668"/>
      <c r="U32" s="668"/>
      <c r="V32" s="669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72"/>
      <c r="P33" s="678" t="s">
        <v>88</v>
      </c>
      <c r="Q33" s="668"/>
      <c r="R33" s="668"/>
      <c r="S33" s="668"/>
      <c r="T33" s="668"/>
      <c r="U33" s="668"/>
      <c r="V33" s="669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790" t="s">
        <v>96</v>
      </c>
      <c r="B34" s="791"/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1"/>
      <c r="U34" s="791"/>
      <c r="V34" s="791"/>
      <c r="W34" s="791"/>
      <c r="X34" s="791"/>
      <c r="Y34" s="791"/>
      <c r="Z34" s="791"/>
      <c r="AA34" s="48"/>
      <c r="AB34" s="48"/>
      <c r="AC34" s="48"/>
    </row>
    <row r="35" spans="1:68" ht="16.5" hidden="1" customHeight="1" x14ac:dyDescent="0.25">
      <c r="A35" s="686" t="s">
        <v>97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8"/>
      <c r="AB35" s="658"/>
      <c r="AC35" s="658"/>
    </row>
    <row r="36" spans="1:68" ht="14.25" hidden="1" customHeight="1" x14ac:dyDescent="0.25">
      <c r="A36" s="680" t="s">
        <v>98</v>
      </c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6">
        <v>4607091385670</v>
      </c>
      <c r="E37" s="677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2"/>
      <c r="R37" s="682"/>
      <c r="S37" s="682"/>
      <c r="T37" s="683"/>
      <c r="U37" s="34"/>
      <c r="V37" s="34"/>
      <c r="W37" s="35" t="s">
        <v>69</v>
      </c>
      <c r="X37" s="663">
        <v>150</v>
      </c>
      <c r="Y37" s="664">
        <f>IFERROR(IF(X37="",0,CEILING((X37/$H37),1)*$H37),"")</f>
        <v>151.20000000000002</v>
      </c>
      <c r="Z37" s="36">
        <f>IFERROR(IF(Y37=0,"",ROUNDUP(Y37/H37,0)*0.01898),"")</f>
        <v>0.26572000000000001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156.04166666666666</v>
      </c>
      <c r="BN37" s="64">
        <f>IFERROR(Y37*I37/H37,"0")</f>
        <v>157.29000000000002</v>
      </c>
      <c r="BO37" s="64">
        <f>IFERROR(1/J37*(X37/H37),"0")</f>
        <v>0.21701388888888887</v>
      </c>
      <c r="BP37" s="64">
        <f>IFERROR(1/J37*(Y37/H37),"0")</f>
        <v>0.21875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6">
        <v>4607091385687</v>
      </c>
      <c r="E38" s="677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8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2"/>
      <c r="R38" s="682"/>
      <c r="S38" s="682"/>
      <c r="T38" s="683"/>
      <c r="U38" s="34"/>
      <c r="V38" s="34"/>
      <c r="W38" s="35" t="s">
        <v>69</v>
      </c>
      <c r="X38" s="663">
        <v>240</v>
      </c>
      <c r="Y38" s="664">
        <f>IFERROR(IF(X38="",0,CEILING((X38/$H38),1)*$H38),"")</f>
        <v>240</v>
      </c>
      <c r="Z38" s="36">
        <f>IFERROR(IF(Y38=0,"",ROUNDUP(Y38/H38,0)*0.00902),"")</f>
        <v>0.54120000000000001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252.6</v>
      </c>
      <c r="BN38" s="64">
        <f>IFERROR(Y38*I38/H38,"0")</f>
        <v>252.6</v>
      </c>
      <c r="BO38" s="64">
        <f>IFERROR(1/J38*(X38/H38),"0")</f>
        <v>0.45454545454545459</v>
      </c>
      <c r="BP38" s="64">
        <f>IFERROR(1/J38*(Y38/H38),"0")</f>
        <v>0.45454545454545459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6">
        <v>4680115882539</v>
      </c>
      <c r="E39" s="677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98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2"/>
      <c r="R39" s="682"/>
      <c r="S39" s="682"/>
      <c r="T39" s="683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6">
        <v>4680115883949</v>
      </c>
      <c r="E40" s="677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82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2"/>
      <c r="R40" s="682"/>
      <c r="S40" s="682"/>
      <c r="T40" s="683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0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2"/>
      <c r="P41" s="678" t="s">
        <v>88</v>
      </c>
      <c r="Q41" s="668"/>
      <c r="R41" s="668"/>
      <c r="S41" s="668"/>
      <c r="T41" s="668"/>
      <c r="U41" s="668"/>
      <c r="V41" s="669"/>
      <c r="W41" s="37" t="s">
        <v>89</v>
      </c>
      <c r="X41" s="665">
        <f>IFERROR(X37/H37,"0")+IFERROR(X38/H38,"0")+IFERROR(X39/H39,"0")+IFERROR(X40/H40,"0")</f>
        <v>73.888888888888886</v>
      </c>
      <c r="Y41" s="665">
        <f>IFERROR(Y37/H37,"0")+IFERROR(Y38/H38,"0")+IFERROR(Y39/H39,"0")+IFERROR(Y40/H40,"0")</f>
        <v>74</v>
      </c>
      <c r="Z41" s="665">
        <f>IFERROR(IF(Z37="",0,Z37),"0")+IFERROR(IF(Z38="",0,Z38),"0")+IFERROR(IF(Z39="",0,Z39),"0")+IFERROR(IF(Z40="",0,Z40),"0")</f>
        <v>0.80692000000000008</v>
      </c>
      <c r="AA41" s="666"/>
      <c r="AB41" s="666"/>
      <c r="AC41" s="666"/>
    </row>
    <row r="42" spans="1:68" x14ac:dyDescent="0.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2"/>
      <c r="P42" s="678" t="s">
        <v>88</v>
      </c>
      <c r="Q42" s="668"/>
      <c r="R42" s="668"/>
      <c r="S42" s="668"/>
      <c r="T42" s="668"/>
      <c r="U42" s="668"/>
      <c r="V42" s="669"/>
      <c r="W42" s="37" t="s">
        <v>69</v>
      </c>
      <c r="X42" s="665">
        <f>IFERROR(SUM(X37:X40),"0")</f>
        <v>390</v>
      </c>
      <c r="Y42" s="665">
        <f>IFERROR(SUM(Y37:Y40),"0")</f>
        <v>391.20000000000005</v>
      </c>
      <c r="Z42" s="37"/>
      <c r="AA42" s="666"/>
      <c r="AB42" s="666"/>
      <c r="AC42" s="666"/>
    </row>
    <row r="43" spans="1:68" ht="14.25" hidden="1" customHeight="1" x14ac:dyDescent="0.25">
      <c r="A43" s="680" t="s">
        <v>64</v>
      </c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6">
        <v>4680115884915</v>
      </c>
      <c r="E44" s="677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101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2"/>
      <c r="R44" s="682"/>
      <c r="S44" s="682"/>
      <c r="T44" s="683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0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2"/>
      <c r="P45" s="678" t="s">
        <v>88</v>
      </c>
      <c r="Q45" s="668"/>
      <c r="R45" s="668"/>
      <c r="S45" s="668"/>
      <c r="T45" s="668"/>
      <c r="U45" s="668"/>
      <c r="V45" s="669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2"/>
      <c r="P46" s="678" t="s">
        <v>88</v>
      </c>
      <c r="Q46" s="668"/>
      <c r="R46" s="668"/>
      <c r="S46" s="668"/>
      <c r="T46" s="668"/>
      <c r="U46" s="668"/>
      <c r="V46" s="669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686" t="s">
        <v>118</v>
      </c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58"/>
      <c r="AB47" s="658"/>
      <c r="AC47" s="658"/>
    </row>
    <row r="48" spans="1:68" ht="14.25" hidden="1" customHeight="1" x14ac:dyDescent="0.25">
      <c r="A48" s="680" t="s">
        <v>98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6">
        <v>4680115885882</v>
      </c>
      <c r="E49" s="677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2"/>
      <c r="R49" s="682"/>
      <c r="S49" s="682"/>
      <c r="T49" s="683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6">
        <v>4680115881426</v>
      </c>
      <c r="E50" s="677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9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2"/>
      <c r="R50" s="682"/>
      <c r="S50" s="682"/>
      <c r="T50" s="683"/>
      <c r="U50" s="34"/>
      <c r="V50" s="34"/>
      <c r="W50" s="35" t="s">
        <v>69</v>
      </c>
      <c r="X50" s="663">
        <v>200</v>
      </c>
      <c r="Y50" s="664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208.05555555555554</v>
      </c>
      <c r="BN50" s="64">
        <f t="shared" si="8"/>
        <v>213.46499999999997</v>
      </c>
      <c r="BO50" s="64">
        <f t="shared" si="9"/>
        <v>0.28935185185185186</v>
      </c>
      <c r="BP50" s="64">
        <f t="shared" si="10"/>
        <v>0.296875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76">
        <v>4680115880283</v>
      </c>
      <c r="E51" s="677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2"/>
      <c r="R51" s="682"/>
      <c r="S51" s="682"/>
      <c r="T51" s="683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76">
        <v>4680115881525</v>
      </c>
      <c r="E52" s="677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97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2"/>
      <c r="R52" s="682"/>
      <c r="S52" s="682"/>
      <c r="T52" s="683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76">
        <v>4680115885899</v>
      </c>
      <c r="E53" s="677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9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2"/>
      <c r="R53" s="682"/>
      <c r="S53" s="682"/>
      <c r="T53" s="683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76">
        <v>4680115881419</v>
      </c>
      <c r="E54" s="677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2"/>
      <c r="R54" s="682"/>
      <c r="S54" s="682"/>
      <c r="T54" s="683"/>
      <c r="U54" s="34"/>
      <c r="V54" s="34"/>
      <c r="W54" s="35" t="s">
        <v>69</v>
      </c>
      <c r="X54" s="663">
        <v>540</v>
      </c>
      <c r="Y54" s="664">
        <f t="shared" si="6"/>
        <v>540</v>
      </c>
      <c r="Z54" s="36">
        <f>IFERROR(IF(Y54=0,"",ROUNDUP(Y54/H54,0)*0.00902),"")</f>
        <v>1.0824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565.20000000000005</v>
      </c>
      <c r="BN54" s="64">
        <f t="shared" si="8"/>
        <v>565.20000000000005</v>
      </c>
      <c r="BO54" s="64">
        <f t="shared" si="9"/>
        <v>0.90909090909090917</v>
      </c>
      <c r="BP54" s="64">
        <f t="shared" si="10"/>
        <v>0.90909090909090917</v>
      </c>
    </row>
    <row r="55" spans="1:68" x14ac:dyDescent="0.2">
      <c r="A55" s="670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2"/>
      <c r="P55" s="678" t="s">
        <v>88</v>
      </c>
      <c r="Q55" s="668"/>
      <c r="R55" s="668"/>
      <c r="S55" s="668"/>
      <c r="T55" s="668"/>
      <c r="U55" s="668"/>
      <c r="V55" s="669"/>
      <c r="W55" s="37" t="s">
        <v>89</v>
      </c>
      <c r="X55" s="665">
        <f>IFERROR(X49/H49,"0")+IFERROR(X50/H50,"0")+IFERROR(X51/H51,"0")+IFERROR(X52/H52,"0")+IFERROR(X53/H53,"0")+IFERROR(X54/H54,"0")</f>
        <v>138.51851851851853</v>
      </c>
      <c r="Y55" s="665">
        <f>IFERROR(Y49/H49,"0")+IFERROR(Y50/H50,"0")+IFERROR(Y51/H51,"0")+IFERROR(Y52/H52,"0")+IFERROR(Y53/H53,"0")+IFERROR(Y54/H54,"0")</f>
        <v>139</v>
      </c>
      <c r="Z55" s="665">
        <f>IFERROR(IF(Z49="",0,Z49),"0")+IFERROR(IF(Z50="",0,Z50),"0")+IFERROR(IF(Z51="",0,Z51),"0")+IFERROR(IF(Z52="",0,Z52),"0")+IFERROR(IF(Z53="",0,Z53),"0")+IFERROR(IF(Z54="",0,Z54),"0")</f>
        <v>1.44302</v>
      </c>
      <c r="AA55" s="666"/>
      <c r="AB55" s="666"/>
      <c r="AC55" s="666"/>
    </row>
    <row r="56" spans="1:68" x14ac:dyDescent="0.2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2"/>
      <c r="P56" s="678" t="s">
        <v>88</v>
      </c>
      <c r="Q56" s="668"/>
      <c r="R56" s="668"/>
      <c r="S56" s="668"/>
      <c r="T56" s="668"/>
      <c r="U56" s="668"/>
      <c r="V56" s="669"/>
      <c r="W56" s="37" t="s">
        <v>69</v>
      </c>
      <c r="X56" s="665">
        <f>IFERROR(SUM(X49:X54),"0")</f>
        <v>740</v>
      </c>
      <c r="Y56" s="665">
        <f>IFERROR(SUM(Y49:Y54),"0")</f>
        <v>745.2</v>
      </c>
      <c r="Z56" s="37"/>
      <c r="AA56" s="666"/>
      <c r="AB56" s="666"/>
      <c r="AC56" s="666"/>
    </row>
    <row r="57" spans="1:68" ht="14.25" hidden="1" customHeight="1" x14ac:dyDescent="0.25">
      <c r="A57" s="680" t="s">
        <v>136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76">
        <v>4680115881440</v>
      </c>
      <c r="E58" s="677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2"/>
      <c r="R58" s="682"/>
      <c r="S58" s="682"/>
      <c r="T58" s="683"/>
      <c r="U58" s="34"/>
      <c r="V58" s="34"/>
      <c r="W58" s="35" t="s">
        <v>69</v>
      </c>
      <c r="X58" s="663">
        <v>50</v>
      </c>
      <c r="Y58" s="664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76">
        <v>4680115882751</v>
      </c>
      <c r="E59" s="677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79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2"/>
      <c r="R59" s="682"/>
      <c r="S59" s="682"/>
      <c r="T59" s="683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76">
        <v>4680115885950</v>
      </c>
      <c r="E60" s="677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2"/>
      <c r="R60" s="682"/>
      <c r="S60" s="682"/>
      <c r="T60" s="683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76">
        <v>4680115881433</v>
      </c>
      <c r="E61" s="677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2"/>
      <c r="R61" s="682"/>
      <c r="S61" s="682"/>
      <c r="T61" s="683"/>
      <c r="U61" s="34"/>
      <c r="V61" s="34"/>
      <c r="W61" s="35" t="s">
        <v>69</v>
      </c>
      <c r="X61" s="663">
        <v>135</v>
      </c>
      <c r="Y61" s="664">
        <f>IFERROR(IF(X61="",0,CEILING((X61/$H61),1)*$H61),"")</f>
        <v>135</v>
      </c>
      <c r="Z61" s="36">
        <f>IFERROR(IF(Y61=0,"",ROUNDUP(Y61/H61,0)*0.00651),"")</f>
        <v>0.32550000000000001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144</v>
      </c>
      <c r="BN61" s="64">
        <f>IFERROR(Y61*I61/H61,"0")</f>
        <v>144</v>
      </c>
      <c r="BO61" s="64">
        <f>IFERROR(1/J61*(X61/H61),"0")</f>
        <v>0.27472527472527475</v>
      </c>
      <c r="BP61" s="64">
        <f>IFERROR(1/J61*(Y61/H61),"0")</f>
        <v>0.27472527472527475</v>
      </c>
    </row>
    <row r="62" spans="1:68" x14ac:dyDescent="0.2">
      <c r="A62" s="670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2"/>
      <c r="P62" s="678" t="s">
        <v>88</v>
      </c>
      <c r="Q62" s="668"/>
      <c r="R62" s="668"/>
      <c r="S62" s="668"/>
      <c r="T62" s="668"/>
      <c r="U62" s="668"/>
      <c r="V62" s="669"/>
      <c r="W62" s="37" t="s">
        <v>89</v>
      </c>
      <c r="X62" s="665">
        <f>IFERROR(X58/H58,"0")+IFERROR(X59/H59,"0")+IFERROR(X60/H60,"0")+IFERROR(X61/H61,"0")</f>
        <v>54.629629629629633</v>
      </c>
      <c r="Y62" s="665">
        <f>IFERROR(Y58/H58,"0")+IFERROR(Y59/H59,"0")+IFERROR(Y60/H60,"0")+IFERROR(Y61/H61,"0")</f>
        <v>55</v>
      </c>
      <c r="Z62" s="665">
        <f>IFERROR(IF(Z58="",0,Z58),"0")+IFERROR(IF(Z59="",0,Z59),"0")+IFERROR(IF(Z60="",0,Z60),"0")+IFERROR(IF(Z61="",0,Z61),"0")</f>
        <v>0.4204</v>
      </c>
      <c r="AA62" s="666"/>
      <c r="AB62" s="666"/>
      <c r="AC62" s="666"/>
    </row>
    <row r="63" spans="1:68" x14ac:dyDescent="0.2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2"/>
      <c r="P63" s="678" t="s">
        <v>88</v>
      </c>
      <c r="Q63" s="668"/>
      <c r="R63" s="668"/>
      <c r="S63" s="668"/>
      <c r="T63" s="668"/>
      <c r="U63" s="668"/>
      <c r="V63" s="669"/>
      <c r="W63" s="37" t="s">
        <v>69</v>
      </c>
      <c r="X63" s="665">
        <f>IFERROR(SUM(X58:X61),"0")</f>
        <v>185</v>
      </c>
      <c r="Y63" s="665">
        <f>IFERROR(SUM(Y58:Y61),"0")</f>
        <v>189</v>
      </c>
      <c r="Z63" s="37"/>
      <c r="AA63" s="666"/>
      <c r="AB63" s="666"/>
      <c r="AC63" s="666"/>
    </row>
    <row r="64" spans="1:68" ht="14.25" hidden="1" customHeight="1" x14ac:dyDescent="0.25">
      <c r="A64" s="680" t="s">
        <v>147</v>
      </c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59"/>
      <c r="AB64" s="659"/>
      <c r="AC64" s="659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76">
        <v>4680115885073</v>
      </c>
      <c r="E65" s="677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2"/>
      <c r="R65" s="682"/>
      <c r="S65" s="682"/>
      <c r="T65" s="683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76">
        <v>4680115885059</v>
      </c>
      <c r="E66" s="677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9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2"/>
      <c r="R66" s="682"/>
      <c r="S66" s="682"/>
      <c r="T66" s="683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76">
        <v>4680115885097</v>
      </c>
      <c r="E67" s="677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74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2"/>
      <c r="R67" s="682"/>
      <c r="S67" s="682"/>
      <c r="T67" s="683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0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2"/>
      <c r="P68" s="678" t="s">
        <v>88</v>
      </c>
      <c r="Q68" s="668"/>
      <c r="R68" s="668"/>
      <c r="S68" s="668"/>
      <c r="T68" s="668"/>
      <c r="U68" s="668"/>
      <c r="V68" s="669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2"/>
      <c r="P69" s="678" t="s">
        <v>88</v>
      </c>
      <c r="Q69" s="668"/>
      <c r="R69" s="668"/>
      <c r="S69" s="668"/>
      <c r="T69" s="668"/>
      <c r="U69" s="668"/>
      <c r="V69" s="669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80" t="s">
        <v>64</v>
      </c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59"/>
      <c r="AB70" s="659"/>
      <c r="AC70" s="659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76">
        <v>4680115881891</v>
      </c>
      <c r="E71" s="677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70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2"/>
      <c r="R71" s="682"/>
      <c r="S71" s="682"/>
      <c r="T71" s="683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76">
        <v>4680115885769</v>
      </c>
      <c r="E72" s="677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7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2"/>
      <c r="R72" s="682"/>
      <c r="S72" s="682"/>
      <c r="T72" s="683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76">
        <v>4680115884410</v>
      </c>
      <c r="E73" s="677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2"/>
      <c r="R73" s="682"/>
      <c r="S73" s="682"/>
      <c r="T73" s="683"/>
      <c r="U73" s="34"/>
      <c r="V73" s="34"/>
      <c r="W73" s="35" t="s">
        <v>69</v>
      </c>
      <c r="X73" s="663">
        <v>10</v>
      </c>
      <c r="Y73" s="664">
        <f t="shared" si="11"/>
        <v>16.8</v>
      </c>
      <c r="Z73" s="36">
        <f>IFERROR(IF(Y73=0,"",ROUNDUP(Y73/H73,0)*0.01898),"")</f>
        <v>3.7960000000000001E-2</v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10.603571428571428</v>
      </c>
      <c r="BN73" s="64">
        <f t="shared" si="13"/>
        <v>17.814</v>
      </c>
      <c r="BO73" s="64">
        <f t="shared" si="14"/>
        <v>1.8601190476190476E-2</v>
      </c>
      <c r="BP73" s="64">
        <f t="shared" si="15"/>
        <v>3.125E-2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76">
        <v>4680115884311</v>
      </c>
      <c r="E74" s="677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2"/>
      <c r="R74" s="682"/>
      <c r="S74" s="682"/>
      <c r="T74" s="683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76">
        <v>4680115885929</v>
      </c>
      <c r="E75" s="677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2"/>
      <c r="R75" s="682"/>
      <c r="S75" s="682"/>
      <c r="T75" s="683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76">
        <v>4680115884403</v>
      </c>
      <c r="E76" s="677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9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2"/>
      <c r="R76" s="682"/>
      <c r="S76" s="682"/>
      <c r="T76" s="683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0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2"/>
      <c r="P77" s="678" t="s">
        <v>88</v>
      </c>
      <c r="Q77" s="668"/>
      <c r="R77" s="668"/>
      <c r="S77" s="668"/>
      <c r="T77" s="668"/>
      <c r="U77" s="668"/>
      <c r="V77" s="669"/>
      <c r="W77" s="37" t="s">
        <v>89</v>
      </c>
      <c r="X77" s="665">
        <f>IFERROR(X71/H71,"0")+IFERROR(X72/H72,"0")+IFERROR(X73/H73,"0")+IFERROR(X74/H74,"0")+IFERROR(X75/H75,"0")+IFERROR(X76/H76,"0")</f>
        <v>1.1904761904761905</v>
      </c>
      <c r="Y77" s="665">
        <f>IFERROR(Y71/H71,"0")+IFERROR(Y72/H72,"0")+IFERROR(Y73/H73,"0")+IFERROR(Y74/H74,"0")+IFERROR(Y75/H75,"0")+IFERROR(Y76/H76,"0")</f>
        <v>2</v>
      </c>
      <c r="Z77" s="665">
        <f>IFERROR(IF(Z71="",0,Z71),"0")+IFERROR(IF(Z72="",0,Z72),"0")+IFERROR(IF(Z73="",0,Z73),"0")+IFERROR(IF(Z74="",0,Z74),"0")+IFERROR(IF(Z75="",0,Z75),"0")+IFERROR(IF(Z76="",0,Z76),"0")</f>
        <v>3.7960000000000001E-2</v>
      </c>
      <c r="AA77" s="666"/>
      <c r="AB77" s="666"/>
      <c r="AC77" s="666"/>
    </row>
    <row r="78" spans="1:68" x14ac:dyDescent="0.2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2"/>
      <c r="P78" s="678" t="s">
        <v>88</v>
      </c>
      <c r="Q78" s="668"/>
      <c r="R78" s="668"/>
      <c r="S78" s="668"/>
      <c r="T78" s="668"/>
      <c r="U78" s="668"/>
      <c r="V78" s="669"/>
      <c r="W78" s="37" t="s">
        <v>69</v>
      </c>
      <c r="X78" s="665">
        <f>IFERROR(SUM(X71:X76),"0")</f>
        <v>10</v>
      </c>
      <c r="Y78" s="665">
        <f>IFERROR(SUM(Y71:Y76),"0")</f>
        <v>16.8</v>
      </c>
      <c r="Z78" s="37"/>
      <c r="AA78" s="666"/>
      <c r="AB78" s="666"/>
      <c r="AC78" s="666"/>
    </row>
    <row r="79" spans="1:68" ht="14.25" hidden="1" customHeight="1" x14ac:dyDescent="0.25">
      <c r="A79" s="680" t="s">
        <v>173</v>
      </c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59"/>
      <c r="AB79" s="659"/>
      <c r="AC79" s="659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76">
        <v>4680115881532</v>
      </c>
      <c r="E80" s="677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82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82"/>
      <c r="R80" s="682"/>
      <c r="S80" s="682"/>
      <c r="T80" s="683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174</v>
      </c>
      <c r="B81" s="54" t="s">
        <v>177</v>
      </c>
      <c r="C81" s="31">
        <v>4301060371</v>
      </c>
      <c r="D81" s="676">
        <v>4680115881532</v>
      </c>
      <c r="E81" s="677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1038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82"/>
      <c r="R81" s="682"/>
      <c r="S81" s="682"/>
      <c r="T81" s="683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76">
        <v>4680115881464</v>
      </c>
      <c r="E82" s="677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2"/>
      <c r="R82" s="682"/>
      <c r="S82" s="682"/>
      <c r="T82" s="683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0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2"/>
      <c r="P83" s="678" t="s">
        <v>88</v>
      </c>
      <c r="Q83" s="668"/>
      <c r="R83" s="668"/>
      <c r="S83" s="668"/>
      <c r="T83" s="668"/>
      <c r="U83" s="668"/>
      <c r="V83" s="669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2"/>
      <c r="P84" s="678" t="s">
        <v>88</v>
      </c>
      <c r="Q84" s="668"/>
      <c r="R84" s="668"/>
      <c r="S84" s="668"/>
      <c r="T84" s="668"/>
      <c r="U84" s="668"/>
      <c r="V84" s="669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686" t="s">
        <v>181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8"/>
      <c r="AB85" s="658"/>
      <c r="AC85" s="658"/>
    </row>
    <row r="86" spans="1:68" ht="14.25" hidden="1" customHeight="1" x14ac:dyDescent="0.25">
      <c r="A86" s="680" t="s">
        <v>98</v>
      </c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59"/>
      <c r="AB86" s="659"/>
      <c r="AC86" s="659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76">
        <v>4680115881327</v>
      </c>
      <c r="E87" s="677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2"/>
      <c r="R87" s="682"/>
      <c r="S87" s="682"/>
      <c r="T87" s="683"/>
      <c r="U87" s="34"/>
      <c r="V87" s="34"/>
      <c r="W87" s="35" t="s">
        <v>69</v>
      </c>
      <c r="X87" s="663">
        <v>200</v>
      </c>
      <c r="Y87" s="664">
        <f>IFERROR(IF(X87="",0,CEILING((X87/$H87),1)*$H87),"")</f>
        <v>205.20000000000002</v>
      </c>
      <c r="Z87" s="36">
        <f>IFERROR(IF(Y87=0,"",ROUNDUP(Y87/H87,0)*0.01898),"")</f>
        <v>0.36062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208.05555555555554</v>
      </c>
      <c r="BN87" s="64">
        <f>IFERROR(Y87*I87/H87,"0")</f>
        <v>213.46499999999997</v>
      </c>
      <c r="BO87" s="64">
        <f>IFERROR(1/J87*(X87/H87),"0")</f>
        <v>0.28935185185185186</v>
      </c>
      <c r="BP87" s="64">
        <f>IFERROR(1/J87*(Y87/H87),"0")</f>
        <v>0.296875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76">
        <v>4680115881518</v>
      </c>
      <c r="E88" s="677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2"/>
      <c r="R88" s="682"/>
      <c r="S88" s="682"/>
      <c r="T88" s="683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76">
        <v>4680115881303</v>
      </c>
      <c r="E89" s="677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2"/>
      <c r="R89" s="682"/>
      <c r="S89" s="682"/>
      <c r="T89" s="683"/>
      <c r="U89" s="34"/>
      <c r="V89" s="34"/>
      <c r="W89" s="35" t="s">
        <v>69</v>
      </c>
      <c r="X89" s="663">
        <v>360</v>
      </c>
      <c r="Y89" s="664">
        <f>IFERROR(IF(X89="",0,CEILING((X89/$H89),1)*$H89),"")</f>
        <v>360</v>
      </c>
      <c r="Z89" s="36">
        <f>IFERROR(IF(Y89=0,"",ROUNDUP(Y89/H89,0)*0.00902),"")</f>
        <v>0.72160000000000002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376.79999999999995</v>
      </c>
      <c r="BN89" s="64">
        <f>IFERROR(Y89*I89/H89,"0")</f>
        <v>376.79999999999995</v>
      </c>
      <c r="BO89" s="64">
        <f>IFERROR(1/J89*(X89/H89),"0")</f>
        <v>0.60606060606060608</v>
      </c>
      <c r="BP89" s="64">
        <f>IFERROR(1/J89*(Y89/H89),"0")</f>
        <v>0.60606060606060608</v>
      </c>
    </row>
    <row r="90" spans="1:68" x14ac:dyDescent="0.2">
      <c r="A90" s="670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2"/>
      <c r="P90" s="678" t="s">
        <v>88</v>
      </c>
      <c r="Q90" s="668"/>
      <c r="R90" s="668"/>
      <c r="S90" s="668"/>
      <c r="T90" s="668"/>
      <c r="U90" s="668"/>
      <c r="V90" s="669"/>
      <c r="W90" s="37" t="s">
        <v>89</v>
      </c>
      <c r="X90" s="665">
        <f>IFERROR(X87/H87,"0")+IFERROR(X88/H88,"0")+IFERROR(X89/H89,"0")</f>
        <v>98.518518518518519</v>
      </c>
      <c r="Y90" s="665">
        <f>IFERROR(Y87/H87,"0")+IFERROR(Y88/H88,"0")+IFERROR(Y89/H89,"0")</f>
        <v>99</v>
      </c>
      <c r="Z90" s="665">
        <f>IFERROR(IF(Z87="",0,Z87),"0")+IFERROR(IF(Z88="",0,Z88),"0")+IFERROR(IF(Z89="",0,Z89),"0")</f>
        <v>1.08222</v>
      </c>
      <c r="AA90" s="666"/>
      <c r="AB90" s="666"/>
      <c r="AC90" s="666"/>
    </row>
    <row r="91" spans="1:68" x14ac:dyDescent="0.2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2"/>
      <c r="P91" s="678" t="s">
        <v>88</v>
      </c>
      <c r="Q91" s="668"/>
      <c r="R91" s="668"/>
      <c r="S91" s="668"/>
      <c r="T91" s="668"/>
      <c r="U91" s="668"/>
      <c r="V91" s="669"/>
      <c r="W91" s="37" t="s">
        <v>69</v>
      </c>
      <c r="X91" s="665">
        <f>IFERROR(SUM(X87:X89),"0")</f>
        <v>560</v>
      </c>
      <c r="Y91" s="665">
        <f>IFERROR(SUM(Y87:Y89),"0")</f>
        <v>565.20000000000005</v>
      </c>
      <c r="Z91" s="37"/>
      <c r="AA91" s="666"/>
      <c r="AB91" s="666"/>
      <c r="AC91" s="666"/>
    </row>
    <row r="92" spans="1:68" ht="14.25" hidden="1" customHeight="1" x14ac:dyDescent="0.25">
      <c r="A92" s="680" t="s">
        <v>64</v>
      </c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76">
        <v>4607091386967</v>
      </c>
      <c r="E93" s="677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71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2"/>
      <c r="R93" s="682"/>
      <c r="S93" s="682"/>
      <c r="T93" s="683"/>
      <c r="U93" s="34"/>
      <c r="V93" s="34"/>
      <c r="W93" s="35" t="s">
        <v>69</v>
      </c>
      <c r="X93" s="663">
        <v>100</v>
      </c>
      <c r="Y93" s="664">
        <f t="shared" ref="Y93:Y101" si="16">IFERROR(IF(X93="",0,CEILING((X93/$H93),1)*$H93),"")</f>
        <v>100.80000000000001</v>
      </c>
      <c r="Z93" s="36">
        <f>IFERROR(IF(Y93=0,"",ROUNDUP(Y93/H93,0)*0.01898),"")</f>
        <v>0.22776000000000002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106.17857142857143</v>
      </c>
      <c r="BN93" s="64">
        <f t="shared" ref="BN93:BN101" si="18">IFERROR(Y93*I93/H93,"0")</f>
        <v>107.02800000000001</v>
      </c>
      <c r="BO93" s="64">
        <f t="shared" ref="BO93:BO101" si="19">IFERROR(1/J93*(X93/H93),"0")</f>
        <v>0.18601190476190477</v>
      </c>
      <c r="BP93" s="64">
        <f t="shared" ref="BP93:BP101" si="20">IFERROR(1/J93*(Y93/H93),"0")</f>
        <v>0.1875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76">
        <v>4607091386967</v>
      </c>
      <c r="E94" s="677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100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82"/>
      <c r="R94" s="682"/>
      <c r="S94" s="682"/>
      <c r="T94" s="683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76">
        <v>4607091386967</v>
      </c>
      <c r="E95" s="677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1021" t="s">
        <v>195</v>
      </c>
      <c r="Q95" s="682"/>
      <c r="R95" s="682"/>
      <c r="S95" s="682"/>
      <c r="T95" s="683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76">
        <v>4680115884953</v>
      </c>
      <c r="E96" s="677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26" t="s">
        <v>199</v>
      </c>
      <c r="Q96" s="682"/>
      <c r="R96" s="682"/>
      <c r="S96" s="682"/>
      <c r="T96" s="683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76">
        <v>4607091385731</v>
      </c>
      <c r="E97" s="677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978" t="s">
        <v>203</v>
      </c>
      <c r="Q97" s="682"/>
      <c r="R97" s="682"/>
      <c r="S97" s="682"/>
      <c r="T97" s="683"/>
      <c r="U97" s="34"/>
      <c r="V97" s="34"/>
      <c r="W97" s="35" t="s">
        <v>69</v>
      </c>
      <c r="X97" s="663">
        <v>315</v>
      </c>
      <c r="Y97" s="664">
        <f t="shared" si="16"/>
        <v>315.90000000000003</v>
      </c>
      <c r="Z97" s="36">
        <f>IFERROR(IF(Y97=0,"",ROUNDUP(Y97/H97,0)*0.00651),"")</f>
        <v>0.76167000000000007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344.4</v>
      </c>
      <c r="BN97" s="64">
        <f t="shared" si="18"/>
        <v>345.38400000000001</v>
      </c>
      <c r="BO97" s="64">
        <f t="shared" si="19"/>
        <v>0.64102564102564097</v>
      </c>
      <c r="BP97" s="64">
        <f t="shared" si="20"/>
        <v>0.6428571428571429</v>
      </c>
    </row>
    <row r="98" spans="1:68" ht="16.5" hidden="1" customHeight="1" x14ac:dyDescent="0.25">
      <c r="A98" s="54" t="s">
        <v>201</v>
      </c>
      <c r="B98" s="54" t="s">
        <v>204</v>
      </c>
      <c r="C98" s="31">
        <v>4301051718</v>
      </c>
      <c r="D98" s="676">
        <v>4607091385731</v>
      </c>
      <c r="E98" s="677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799" t="s">
        <v>205</v>
      </c>
      <c r="Q98" s="682"/>
      <c r="R98" s="682"/>
      <c r="S98" s="682"/>
      <c r="T98" s="683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76">
        <v>4680115880894</v>
      </c>
      <c r="E99" s="677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104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2"/>
      <c r="R99" s="682"/>
      <c r="S99" s="682"/>
      <c r="T99" s="683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76">
        <v>4680115880214</v>
      </c>
      <c r="E100" s="677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1005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82"/>
      <c r="R100" s="682"/>
      <c r="S100" s="682"/>
      <c r="T100" s="683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76">
        <v>4680115880214</v>
      </c>
      <c r="E101" s="677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76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82"/>
      <c r="R101" s="682"/>
      <c r="S101" s="682"/>
      <c r="T101" s="683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0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2"/>
      <c r="P102" s="678" t="s">
        <v>88</v>
      </c>
      <c r="Q102" s="668"/>
      <c r="R102" s="668"/>
      <c r="S102" s="668"/>
      <c r="T102" s="668"/>
      <c r="U102" s="668"/>
      <c r="V102" s="669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128.57142857142856</v>
      </c>
      <c r="Y102" s="665">
        <f>IFERROR(Y93/H93,"0")+IFERROR(Y94/H94,"0")+IFERROR(Y95/H95,"0")+IFERROR(Y96/H96,"0")+IFERROR(Y97/H97,"0")+IFERROR(Y98/H98,"0")+IFERROR(Y99/H99,"0")+IFERROR(Y100/H100,"0")+IFERROR(Y101/H101,"0")</f>
        <v>129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0.98943000000000003</v>
      </c>
      <c r="AA102" s="666"/>
      <c r="AB102" s="666"/>
      <c r="AC102" s="666"/>
    </row>
    <row r="103" spans="1:68" x14ac:dyDescent="0.2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2"/>
      <c r="P103" s="678" t="s">
        <v>88</v>
      </c>
      <c r="Q103" s="668"/>
      <c r="R103" s="668"/>
      <c r="S103" s="668"/>
      <c r="T103" s="668"/>
      <c r="U103" s="668"/>
      <c r="V103" s="669"/>
      <c r="W103" s="37" t="s">
        <v>69</v>
      </c>
      <c r="X103" s="665">
        <f>IFERROR(SUM(X93:X101),"0")</f>
        <v>415</v>
      </c>
      <c r="Y103" s="665">
        <f>IFERROR(SUM(Y93:Y101),"0")</f>
        <v>416.70000000000005</v>
      </c>
      <c r="Z103" s="37"/>
      <c r="AA103" s="666"/>
      <c r="AB103" s="666"/>
      <c r="AC103" s="666"/>
    </row>
    <row r="104" spans="1:68" ht="16.5" hidden="1" customHeight="1" x14ac:dyDescent="0.25">
      <c r="A104" s="686" t="s">
        <v>212</v>
      </c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58"/>
      <c r="AB104" s="658"/>
      <c r="AC104" s="658"/>
    </row>
    <row r="105" spans="1:68" ht="14.25" hidden="1" customHeight="1" x14ac:dyDescent="0.25">
      <c r="A105" s="680" t="s">
        <v>98</v>
      </c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59"/>
      <c r="AB105" s="659"/>
      <c r="AC105" s="659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76">
        <v>4680115882133</v>
      </c>
      <c r="E106" s="677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8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2"/>
      <c r="R106" s="682"/>
      <c r="S106" s="682"/>
      <c r="T106" s="683"/>
      <c r="U106" s="34"/>
      <c r="V106" s="34"/>
      <c r="W106" s="35" t="s">
        <v>69</v>
      </c>
      <c r="X106" s="663">
        <v>100</v>
      </c>
      <c r="Y106" s="664">
        <f>IFERROR(IF(X106="",0,CEILING((X106/$H106),1)*$H106),"")</f>
        <v>108</v>
      </c>
      <c r="Z106" s="36">
        <f>IFERROR(IF(Y106=0,"",ROUNDUP(Y106/H106,0)*0.01898),"")</f>
        <v>0.1898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104.02777777777777</v>
      </c>
      <c r="BN106" s="64">
        <f>IFERROR(Y106*I106/H106,"0")</f>
        <v>112.34999999999998</v>
      </c>
      <c r="BO106" s="64">
        <f>IFERROR(1/J106*(X106/H106),"0")</f>
        <v>0.14467592592592593</v>
      </c>
      <c r="BP106" s="64">
        <f>IFERROR(1/J106*(Y106/H106),"0")</f>
        <v>0.15625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76">
        <v>4680115880269</v>
      </c>
      <c r="E107" s="677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2"/>
      <c r="R107" s="682"/>
      <c r="S107" s="682"/>
      <c r="T107" s="683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218</v>
      </c>
      <c r="B108" s="54" t="s">
        <v>219</v>
      </c>
      <c r="C108" s="31">
        <v>4301011415</v>
      </c>
      <c r="D108" s="676">
        <v>4680115880429</v>
      </c>
      <c r="E108" s="677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2"/>
      <c r="R108" s="682"/>
      <c r="S108" s="682"/>
      <c r="T108" s="683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76">
        <v>4680115881457</v>
      </c>
      <c r="E109" s="677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8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2"/>
      <c r="R109" s="682"/>
      <c r="S109" s="682"/>
      <c r="T109" s="683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0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2"/>
      <c r="P110" s="678" t="s">
        <v>88</v>
      </c>
      <c r="Q110" s="668"/>
      <c r="R110" s="668"/>
      <c r="S110" s="668"/>
      <c r="T110" s="668"/>
      <c r="U110" s="668"/>
      <c r="V110" s="669"/>
      <c r="W110" s="37" t="s">
        <v>89</v>
      </c>
      <c r="X110" s="665">
        <f>IFERROR(X106/H106,"0")+IFERROR(X107/H107,"0")+IFERROR(X108/H108,"0")+IFERROR(X109/H109,"0")</f>
        <v>9.2592592592592595</v>
      </c>
      <c r="Y110" s="665">
        <f>IFERROR(Y106/H106,"0")+IFERROR(Y107/H107,"0")+IFERROR(Y108/H108,"0")+IFERROR(Y109/H109,"0")</f>
        <v>10</v>
      </c>
      <c r="Z110" s="665">
        <f>IFERROR(IF(Z106="",0,Z106),"0")+IFERROR(IF(Z107="",0,Z107),"0")+IFERROR(IF(Z108="",0,Z108),"0")+IFERROR(IF(Z109="",0,Z109),"0")</f>
        <v>0.1898</v>
      </c>
      <c r="AA110" s="666"/>
      <c r="AB110" s="666"/>
      <c r="AC110" s="666"/>
    </row>
    <row r="111" spans="1:68" x14ac:dyDescent="0.2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2"/>
      <c r="P111" s="678" t="s">
        <v>88</v>
      </c>
      <c r="Q111" s="668"/>
      <c r="R111" s="668"/>
      <c r="S111" s="668"/>
      <c r="T111" s="668"/>
      <c r="U111" s="668"/>
      <c r="V111" s="669"/>
      <c r="W111" s="37" t="s">
        <v>69</v>
      </c>
      <c r="X111" s="665">
        <f>IFERROR(SUM(X106:X109),"0")</f>
        <v>100</v>
      </c>
      <c r="Y111" s="665">
        <f>IFERROR(SUM(Y106:Y109),"0")</f>
        <v>108</v>
      </c>
      <c r="Z111" s="37"/>
      <c r="AA111" s="666"/>
      <c r="AB111" s="666"/>
      <c r="AC111" s="666"/>
    </row>
    <row r="112" spans="1:68" ht="14.25" hidden="1" customHeight="1" x14ac:dyDescent="0.25">
      <c r="A112" s="680" t="s">
        <v>136</v>
      </c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59"/>
      <c r="AB112" s="659"/>
      <c r="AC112" s="659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76">
        <v>4680115881488</v>
      </c>
      <c r="E113" s="677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95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2"/>
      <c r="R113" s="682"/>
      <c r="S113" s="682"/>
      <c r="T113" s="683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76">
        <v>4680115882775</v>
      </c>
      <c r="E114" s="677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2"/>
      <c r="R114" s="682"/>
      <c r="S114" s="682"/>
      <c r="T114" s="683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76">
        <v>4680115880658</v>
      </c>
      <c r="E115" s="677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2"/>
      <c r="R115" s="682"/>
      <c r="S115" s="682"/>
      <c r="T115" s="683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0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2"/>
      <c r="P116" s="678" t="s">
        <v>88</v>
      </c>
      <c r="Q116" s="668"/>
      <c r="R116" s="668"/>
      <c r="S116" s="668"/>
      <c r="T116" s="668"/>
      <c r="U116" s="668"/>
      <c r="V116" s="669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2"/>
      <c r="P117" s="678" t="s">
        <v>88</v>
      </c>
      <c r="Q117" s="668"/>
      <c r="R117" s="668"/>
      <c r="S117" s="668"/>
      <c r="T117" s="668"/>
      <c r="U117" s="668"/>
      <c r="V117" s="669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80" t="s">
        <v>64</v>
      </c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59"/>
      <c r="AB118" s="659"/>
      <c r="AC118" s="659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76">
        <v>4607091385168</v>
      </c>
      <c r="E119" s="677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945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82"/>
      <c r="R119" s="682"/>
      <c r="S119" s="682"/>
      <c r="T119" s="683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229</v>
      </c>
      <c r="B120" s="54" t="s">
        <v>232</v>
      </c>
      <c r="C120" s="31">
        <v>4301051724</v>
      </c>
      <c r="D120" s="676">
        <v>4607091385168</v>
      </c>
      <c r="E120" s="677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990" t="s">
        <v>233</v>
      </c>
      <c r="Q120" s="682"/>
      <c r="R120" s="682"/>
      <c r="S120" s="682"/>
      <c r="T120" s="683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76">
        <v>4607091385168</v>
      </c>
      <c r="E121" s="677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72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82"/>
      <c r="R121" s="682"/>
      <c r="S121" s="682"/>
      <c r="T121" s="683"/>
      <c r="U121" s="34"/>
      <c r="V121" s="34"/>
      <c r="W121" s="35" t="s">
        <v>69</v>
      </c>
      <c r="X121" s="663">
        <v>500</v>
      </c>
      <c r="Y121" s="664">
        <f t="shared" si="21"/>
        <v>504</v>
      </c>
      <c r="Z121" s="36">
        <f>IFERROR(IF(Y121=0,"",ROUNDUP(Y121/H121,0)*0.01898),"")</f>
        <v>1.1388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530.53571428571422</v>
      </c>
      <c r="BN121" s="64">
        <f t="shared" si="23"/>
        <v>534.78</v>
      </c>
      <c r="BO121" s="64">
        <f t="shared" si="24"/>
        <v>0.93005952380952372</v>
      </c>
      <c r="BP121" s="64">
        <f t="shared" si="25"/>
        <v>0.9375</v>
      </c>
    </row>
    <row r="122" spans="1:68" ht="37.5" hidden="1" customHeight="1" x14ac:dyDescent="0.25">
      <c r="A122" s="54" t="s">
        <v>237</v>
      </c>
      <c r="B122" s="54" t="s">
        <v>238</v>
      </c>
      <c r="C122" s="31">
        <v>4301051362</v>
      </c>
      <c r="D122" s="676">
        <v>4607091383256</v>
      </c>
      <c r="E122" s="677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9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82"/>
      <c r="R122" s="682"/>
      <c r="S122" s="682"/>
      <c r="T122" s="683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239</v>
      </c>
      <c r="C123" s="31">
        <v>4301051730</v>
      </c>
      <c r="D123" s="676">
        <v>4607091383256</v>
      </c>
      <c r="E123" s="677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734" t="s">
        <v>240</v>
      </c>
      <c r="Q123" s="682"/>
      <c r="R123" s="682"/>
      <c r="S123" s="682"/>
      <c r="T123" s="683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76">
        <v>4607091385748</v>
      </c>
      <c r="E124" s="677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707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82"/>
      <c r="R124" s="682"/>
      <c r="S124" s="682"/>
      <c r="T124" s="683"/>
      <c r="U124" s="34"/>
      <c r="V124" s="34"/>
      <c r="W124" s="35" t="s">
        <v>69</v>
      </c>
      <c r="X124" s="663">
        <v>450</v>
      </c>
      <c r="Y124" s="664">
        <f t="shared" si="21"/>
        <v>450.90000000000003</v>
      </c>
      <c r="Z124" s="36">
        <f t="shared" si="26"/>
        <v>1.08717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492</v>
      </c>
      <c r="BN124" s="64">
        <f t="shared" si="23"/>
        <v>492.98399999999998</v>
      </c>
      <c r="BO124" s="64">
        <f t="shared" si="24"/>
        <v>0.91575091575091572</v>
      </c>
      <c r="BP124" s="64">
        <f t="shared" si="25"/>
        <v>0.91758241758241765</v>
      </c>
    </row>
    <row r="125" spans="1:68" ht="27" hidden="1" customHeight="1" x14ac:dyDescent="0.25">
      <c r="A125" s="54" t="s">
        <v>241</v>
      </c>
      <c r="B125" s="54" t="s">
        <v>243</v>
      </c>
      <c r="C125" s="31">
        <v>4301051721</v>
      </c>
      <c r="D125" s="676">
        <v>4607091385748</v>
      </c>
      <c r="E125" s="677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785" t="s">
        <v>244</v>
      </c>
      <c r="Q125" s="682"/>
      <c r="R125" s="682"/>
      <c r="S125" s="682"/>
      <c r="T125" s="683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76">
        <v>4680115884533</v>
      </c>
      <c r="E126" s="677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2"/>
      <c r="R126" s="682"/>
      <c r="S126" s="682"/>
      <c r="T126" s="683"/>
      <c r="U126" s="34"/>
      <c r="V126" s="34"/>
      <c r="W126" s="35" t="s">
        <v>69</v>
      </c>
      <c r="X126" s="663">
        <v>27</v>
      </c>
      <c r="Y126" s="664">
        <f t="shared" si="21"/>
        <v>27</v>
      </c>
      <c r="Z126" s="36">
        <f t="shared" si="26"/>
        <v>9.7650000000000001E-2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29.7</v>
      </c>
      <c r="BN126" s="64">
        <f t="shared" si="23"/>
        <v>29.7</v>
      </c>
      <c r="BO126" s="64">
        <f t="shared" si="24"/>
        <v>8.241758241758243E-2</v>
      </c>
      <c r="BP126" s="64">
        <f t="shared" si="25"/>
        <v>8.241758241758243E-2</v>
      </c>
    </row>
    <row r="127" spans="1:68" ht="37.5" hidden="1" customHeight="1" x14ac:dyDescent="0.25">
      <c r="A127" s="54" t="s">
        <v>248</v>
      </c>
      <c r="B127" s="54" t="s">
        <v>249</v>
      </c>
      <c r="C127" s="31">
        <v>4301051480</v>
      </c>
      <c r="D127" s="676">
        <v>4680115882645</v>
      </c>
      <c r="E127" s="677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750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2"/>
      <c r="R127" s="682"/>
      <c r="S127" s="682"/>
      <c r="T127" s="683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0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2"/>
      <c r="P128" s="678" t="s">
        <v>88</v>
      </c>
      <c r="Q128" s="668"/>
      <c r="R128" s="668"/>
      <c r="S128" s="668"/>
      <c r="T128" s="668"/>
      <c r="U128" s="668"/>
      <c r="V128" s="669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241.19047619047618</v>
      </c>
      <c r="Y128" s="665">
        <f>IFERROR(Y119/H119,"0")+IFERROR(Y120/H120,"0")+IFERROR(Y121/H121,"0")+IFERROR(Y122/H122,"0")+IFERROR(Y123/H123,"0")+IFERROR(Y124/H124,"0")+IFERROR(Y125/H125,"0")+IFERROR(Y126/H126,"0")+IFERROR(Y127/H127,"0")</f>
        <v>242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2.32362</v>
      </c>
      <c r="AA128" s="666"/>
      <c r="AB128" s="666"/>
      <c r="AC128" s="666"/>
    </row>
    <row r="129" spans="1:68" x14ac:dyDescent="0.2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2"/>
      <c r="P129" s="678" t="s">
        <v>88</v>
      </c>
      <c r="Q129" s="668"/>
      <c r="R129" s="668"/>
      <c r="S129" s="668"/>
      <c r="T129" s="668"/>
      <c r="U129" s="668"/>
      <c r="V129" s="669"/>
      <c r="W129" s="37" t="s">
        <v>69</v>
      </c>
      <c r="X129" s="665">
        <f>IFERROR(SUM(X119:X127),"0")</f>
        <v>977</v>
      </c>
      <c r="Y129" s="665">
        <f>IFERROR(SUM(Y119:Y127),"0")</f>
        <v>981.90000000000009</v>
      </c>
      <c r="Z129" s="37"/>
      <c r="AA129" s="666"/>
      <c r="AB129" s="666"/>
      <c r="AC129" s="666"/>
    </row>
    <row r="130" spans="1:68" ht="14.25" hidden="1" customHeight="1" x14ac:dyDescent="0.25">
      <c r="A130" s="680" t="s">
        <v>173</v>
      </c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59"/>
      <c r="AB130" s="659"/>
      <c r="AC130" s="659"/>
    </row>
    <row r="131" spans="1:68" ht="37.5" hidden="1" customHeight="1" x14ac:dyDescent="0.25">
      <c r="A131" s="54" t="s">
        <v>251</v>
      </c>
      <c r="B131" s="54" t="s">
        <v>252</v>
      </c>
      <c r="C131" s="31">
        <v>4301060356</v>
      </c>
      <c r="D131" s="676">
        <v>4680115882652</v>
      </c>
      <c r="E131" s="677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96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2"/>
      <c r="R131" s="682"/>
      <c r="S131" s="682"/>
      <c r="T131" s="683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254</v>
      </c>
      <c r="B132" s="54" t="s">
        <v>255</v>
      </c>
      <c r="C132" s="31">
        <v>4301060317</v>
      </c>
      <c r="D132" s="676">
        <v>4680115880238</v>
      </c>
      <c r="E132" s="677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9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2"/>
      <c r="R132" s="682"/>
      <c r="S132" s="682"/>
      <c r="T132" s="683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0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2"/>
      <c r="P133" s="678" t="s">
        <v>88</v>
      </c>
      <c r="Q133" s="668"/>
      <c r="R133" s="668"/>
      <c r="S133" s="668"/>
      <c r="T133" s="668"/>
      <c r="U133" s="668"/>
      <c r="V133" s="669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2"/>
      <c r="P134" s="678" t="s">
        <v>88</v>
      </c>
      <c r="Q134" s="668"/>
      <c r="R134" s="668"/>
      <c r="S134" s="668"/>
      <c r="T134" s="668"/>
      <c r="U134" s="668"/>
      <c r="V134" s="669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686" t="s">
        <v>257</v>
      </c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58"/>
      <c r="AB135" s="658"/>
      <c r="AC135" s="658"/>
    </row>
    <row r="136" spans="1:68" ht="14.25" hidden="1" customHeight="1" x14ac:dyDescent="0.25">
      <c r="A136" s="680" t="s">
        <v>98</v>
      </c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59"/>
      <c r="AB136" s="659"/>
      <c r="AC136" s="659"/>
    </row>
    <row r="137" spans="1:68" ht="27" hidden="1" customHeight="1" x14ac:dyDescent="0.25">
      <c r="A137" s="54" t="s">
        <v>258</v>
      </c>
      <c r="B137" s="54" t="s">
        <v>259</v>
      </c>
      <c r="C137" s="31">
        <v>4301011564</v>
      </c>
      <c r="D137" s="676">
        <v>4680115882577</v>
      </c>
      <c r="E137" s="677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9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82"/>
      <c r="R137" s="682"/>
      <c r="S137" s="682"/>
      <c r="T137" s="683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76">
        <v>4680115882577</v>
      </c>
      <c r="E138" s="677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9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82"/>
      <c r="R138" s="682"/>
      <c r="S138" s="682"/>
      <c r="T138" s="683"/>
      <c r="U138" s="34"/>
      <c r="V138" s="34"/>
      <c r="W138" s="35" t="s">
        <v>69</v>
      </c>
      <c r="X138" s="663">
        <v>80</v>
      </c>
      <c r="Y138" s="664">
        <f>IFERROR(IF(X138="",0,CEILING((X138/$H138),1)*$H138),"")</f>
        <v>80</v>
      </c>
      <c r="Z138" s="36">
        <f>IFERROR(IF(Y138=0,"",ROUNDUP(Y138/H138,0)*0.00651),"")</f>
        <v>0.16275000000000001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84.499999999999986</v>
      </c>
      <c r="BN138" s="64">
        <f>IFERROR(Y138*I138/H138,"0")</f>
        <v>84.499999999999986</v>
      </c>
      <c r="BO138" s="64">
        <f>IFERROR(1/J138*(X138/H138),"0")</f>
        <v>0.13736263736263737</v>
      </c>
      <c r="BP138" s="64">
        <f>IFERROR(1/J138*(Y138/H138),"0")</f>
        <v>0.13736263736263737</v>
      </c>
    </row>
    <row r="139" spans="1:68" x14ac:dyDescent="0.2">
      <c r="A139" s="670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2"/>
      <c r="P139" s="678" t="s">
        <v>88</v>
      </c>
      <c r="Q139" s="668"/>
      <c r="R139" s="668"/>
      <c r="S139" s="668"/>
      <c r="T139" s="668"/>
      <c r="U139" s="668"/>
      <c r="V139" s="669"/>
      <c r="W139" s="37" t="s">
        <v>89</v>
      </c>
      <c r="X139" s="665">
        <f>IFERROR(X137/H137,"0")+IFERROR(X138/H138,"0")</f>
        <v>25</v>
      </c>
      <c r="Y139" s="665">
        <f>IFERROR(Y137/H137,"0")+IFERROR(Y138/H138,"0")</f>
        <v>25</v>
      </c>
      <c r="Z139" s="665">
        <f>IFERROR(IF(Z137="",0,Z137),"0")+IFERROR(IF(Z138="",0,Z138),"0")</f>
        <v>0.16275000000000001</v>
      </c>
      <c r="AA139" s="666"/>
      <c r="AB139" s="666"/>
      <c r="AC139" s="666"/>
    </row>
    <row r="140" spans="1:68" x14ac:dyDescent="0.2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2"/>
      <c r="P140" s="678" t="s">
        <v>88</v>
      </c>
      <c r="Q140" s="668"/>
      <c r="R140" s="668"/>
      <c r="S140" s="668"/>
      <c r="T140" s="668"/>
      <c r="U140" s="668"/>
      <c r="V140" s="669"/>
      <c r="W140" s="37" t="s">
        <v>69</v>
      </c>
      <c r="X140" s="665">
        <f>IFERROR(SUM(X137:X138),"0")</f>
        <v>80</v>
      </c>
      <c r="Y140" s="665">
        <f>IFERROR(SUM(Y137:Y138),"0")</f>
        <v>80</v>
      </c>
      <c r="Z140" s="37"/>
      <c r="AA140" s="666"/>
      <c r="AB140" s="666"/>
      <c r="AC140" s="666"/>
    </row>
    <row r="141" spans="1:68" ht="14.25" hidden="1" customHeight="1" x14ac:dyDescent="0.25">
      <c r="A141" s="680" t="s">
        <v>147</v>
      </c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76">
        <v>4680115883444</v>
      </c>
      <c r="E142" s="677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9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82"/>
      <c r="R142" s="682"/>
      <c r="S142" s="682"/>
      <c r="T142" s="683"/>
      <c r="U142" s="34"/>
      <c r="V142" s="34"/>
      <c r="W142" s="35" t="s">
        <v>69</v>
      </c>
      <c r="X142" s="663">
        <v>59.499999999999993</v>
      </c>
      <c r="Y142" s="664">
        <f>IFERROR(IF(X142="",0,CEILING((X142/$H142),1)*$H142),"")</f>
        <v>61.599999999999994</v>
      </c>
      <c r="Z142" s="36">
        <f>IFERROR(IF(Y142=0,"",ROUNDUP(Y142/H142,0)*0.00651),"")</f>
        <v>0.14322000000000001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65.195000000000007</v>
      </c>
      <c r="BN142" s="64">
        <f>IFERROR(Y142*I142/H142,"0")</f>
        <v>67.496000000000009</v>
      </c>
      <c r="BO142" s="64">
        <f>IFERROR(1/J142*(X142/H142),"0")</f>
        <v>0.11675824175824177</v>
      </c>
      <c r="BP142" s="64">
        <f>IFERROR(1/J142*(Y142/H142),"0")</f>
        <v>0.12087912087912089</v>
      </c>
    </row>
    <row r="143" spans="1:68" ht="27" hidden="1" customHeight="1" x14ac:dyDescent="0.25">
      <c r="A143" s="54" t="s">
        <v>262</v>
      </c>
      <c r="B143" s="54" t="s">
        <v>265</v>
      </c>
      <c r="C143" s="31">
        <v>4301031235</v>
      </c>
      <c r="D143" s="676">
        <v>4680115883444</v>
      </c>
      <c r="E143" s="677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5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82"/>
      <c r="R143" s="682"/>
      <c r="S143" s="682"/>
      <c r="T143" s="683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0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2"/>
      <c r="P144" s="678" t="s">
        <v>88</v>
      </c>
      <c r="Q144" s="668"/>
      <c r="R144" s="668"/>
      <c r="S144" s="668"/>
      <c r="T144" s="668"/>
      <c r="U144" s="668"/>
      <c r="V144" s="669"/>
      <c r="W144" s="37" t="s">
        <v>89</v>
      </c>
      <c r="X144" s="665">
        <f>IFERROR(X142/H142,"0")+IFERROR(X143/H143,"0")</f>
        <v>21.25</v>
      </c>
      <c r="Y144" s="665">
        <f>IFERROR(Y142/H142,"0")+IFERROR(Y143/H143,"0")</f>
        <v>22</v>
      </c>
      <c r="Z144" s="665">
        <f>IFERROR(IF(Z142="",0,Z142),"0")+IFERROR(IF(Z143="",0,Z143),"0")</f>
        <v>0.14322000000000001</v>
      </c>
      <c r="AA144" s="666"/>
      <c r="AB144" s="666"/>
      <c r="AC144" s="666"/>
    </row>
    <row r="145" spans="1:68" x14ac:dyDescent="0.2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2"/>
      <c r="P145" s="678" t="s">
        <v>88</v>
      </c>
      <c r="Q145" s="668"/>
      <c r="R145" s="668"/>
      <c r="S145" s="668"/>
      <c r="T145" s="668"/>
      <c r="U145" s="668"/>
      <c r="V145" s="669"/>
      <c r="W145" s="37" t="s">
        <v>69</v>
      </c>
      <c r="X145" s="665">
        <f>IFERROR(SUM(X142:X143),"0")</f>
        <v>59.499999999999993</v>
      </c>
      <c r="Y145" s="665">
        <f>IFERROR(SUM(Y142:Y143),"0")</f>
        <v>61.599999999999994</v>
      </c>
      <c r="Z145" s="37"/>
      <c r="AA145" s="666"/>
      <c r="AB145" s="666"/>
      <c r="AC145" s="666"/>
    </row>
    <row r="146" spans="1:68" ht="14.25" hidden="1" customHeight="1" x14ac:dyDescent="0.25">
      <c r="A146" s="680" t="s">
        <v>64</v>
      </c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59"/>
      <c r="AB146" s="659"/>
      <c r="AC146" s="659"/>
    </row>
    <row r="147" spans="1:68" ht="16.5" hidden="1" customHeight="1" x14ac:dyDescent="0.25">
      <c r="A147" s="54" t="s">
        <v>266</v>
      </c>
      <c r="B147" s="54" t="s">
        <v>267</v>
      </c>
      <c r="C147" s="31">
        <v>4301051477</v>
      </c>
      <c r="D147" s="676">
        <v>4680115882584</v>
      </c>
      <c r="E147" s="677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10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2"/>
      <c r="R147" s="682"/>
      <c r="S147" s="682"/>
      <c r="T147" s="683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76">
        <v>4680115882584</v>
      </c>
      <c r="E148" s="677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9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2"/>
      <c r="R148" s="682"/>
      <c r="S148" s="682"/>
      <c r="T148" s="683"/>
      <c r="U148" s="34"/>
      <c r="V148" s="34"/>
      <c r="W148" s="35" t="s">
        <v>69</v>
      </c>
      <c r="X148" s="663">
        <v>66</v>
      </c>
      <c r="Y148" s="664">
        <f>IFERROR(IF(X148="",0,CEILING((X148/$H148),1)*$H148),"")</f>
        <v>66</v>
      </c>
      <c r="Z148" s="36">
        <f>IFERROR(IF(Y148=0,"",ROUNDUP(Y148/H148,0)*0.00651),"")</f>
        <v>0.16275000000000001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72.699999999999989</v>
      </c>
      <c r="BN148" s="64">
        <f>IFERROR(Y148*I148/H148,"0")</f>
        <v>72.699999999999989</v>
      </c>
      <c r="BO148" s="64">
        <f>IFERROR(1/J148*(X148/H148),"0")</f>
        <v>0.13736263736263737</v>
      </c>
      <c r="BP148" s="64">
        <f>IFERROR(1/J148*(Y148/H148),"0")</f>
        <v>0.13736263736263737</v>
      </c>
    </row>
    <row r="149" spans="1:68" x14ac:dyDescent="0.2">
      <c r="A149" s="670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2"/>
      <c r="P149" s="678" t="s">
        <v>88</v>
      </c>
      <c r="Q149" s="668"/>
      <c r="R149" s="668"/>
      <c r="S149" s="668"/>
      <c r="T149" s="668"/>
      <c r="U149" s="668"/>
      <c r="V149" s="669"/>
      <c r="W149" s="37" t="s">
        <v>89</v>
      </c>
      <c r="X149" s="665">
        <f>IFERROR(X147/H147,"0")+IFERROR(X148/H148,"0")</f>
        <v>25</v>
      </c>
      <c r="Y149" s="665">
        <f>IFERROR(Y147/H147,"0")+IFERROR(Y148/H148,"0")</f>
        <v>25</v>
      </c>
      <c r="Z149" s="665">
        <f>IFERROR(IF(Z147="",0,Z147),"0")+IFERROR(IF(Z148="",0,Z148),"0")</f>
        <v>0.16275000000000001</v>
      </c>
      <c r="AA149" s="666"/>
      <c r="AB149" s="666"/>
      <c r="AC149" s="666"/>
    </row>
    <row r="150" spans="1:68" x14ac:dyDescent="0.2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2"/>
      <c r="P150" s="678" t="s">
        <v>88</v>
      </c>
      <c r="Q150" s="668"/>
      <c r="R150" s="668"/>
      <c r="S150" s="668"/>
      <c r="T150" s="668"/>
      <c r="U150" s="668"/>
      <c r="V150" s="669"/>
      <c r="W150" s="37" t="s">
        <v>69</v>
      </c>
      <c r="X150" s="665">
        <f>IFERROR(SUM(X147:X148),"0")</f>
        <v>66</v>
      </c>
      <c r="Y150" s="665">
        <f>IFERROR(SUM(Y147:Y148),"0")</f>
        <v>66</v>
      </c>
      <c r="Z150" s="37"/>
      <c r="AA150" s="666"/>
      <c r="AB150" s="666"/>
      <c r="AC150" s="666"/>
    </row>
    <row r="151" spans="1:68" ht="16.5" hidden="1" customHeight="1" x14ac:dyDescent="0.25">
      <c r="A151" s="686" t="s">
        <v>96</v>
      </c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58"/>
      <c r="AB151" s="658"/>
      <c r="AC151" s="658"/>
    </row>
    <row r="152" spans="1:68" ht="14.25" hidden="1" customHeight="1" x14ac:dyDescent="0.25">
      <c r="A152" s="680" t="s">
        <v>98</v>
      </c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59"/>
      <c r="AB152" s="659"/>
      <c r="AC152" s="659"/>
    </row>
    <row r="153" spans="1:68" ht="27" hidden="1" customHeight="1" x14ac:dyDescent="0.25">
      <c r="A153" s="54" t="s">
        <v>269</v>
      </c>
      <c r="B153" s="54" t="s">
        <v>270</v>
      </c>
      <c r="C153" s="31">
        <v>4301011705</v>
      </c>
      <c r="D153" s="676">
        <v>4607091384604</v>
      </c>
      <c r="E153" s="677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2"/>
      <c r="R153" s="682"/>
      <c r="S153" s="682"/>
      <c r="T153" s="683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0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2"/>
      <c r="P154" s="678" t="s">
        <v>88</v>
      </c>
      <c r="Q154" s="668"/>
      <c r="R154" s="668"/>
      <c r="S154" s="668"/>
      <c r="T154" s="668"/>
      <c r="U154" s="668"/>
      <c r="V154" s="669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2"/>
      <c r="P155" s="678" t="s">
        <v>88</v>
      </c>
      <c r="Q155" s="668"/>
      <c r="R155" s="668"/>
      <c r="S155" s="668"/>
      <c r="T155" s="668"/>
      <c r="U155" s="668"/>
      <c r="V155" s="669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80" t="s">
        <v>147</v>
      </c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59"/>
      <c r="AB156" s="659"/>
      <c r="AC156" s="659"/>
    </row>
    <row r="157" spans="1:68" ht="16.5" hidden="1" customHeight="1" x14ac:dyDescent="0.25">
      <c r="A157" s="54" t="s">
        <v>272</v>
      </c>
      <c r="B157" s="54" t="s">
        <v>273</v>
      </c>
      <c r="C157" s="31">
        <v>4301030895</v>
      </c>
      <c r="D157" s="676">
        <v>4607091387667</v>
      </c>
      <c r="E157" s="677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10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2"/>
      <c r="R157" s="682"/>
      <c r="S157" s="682"/>
      <c r="T157" s="683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275</v>
      </c>
      <c r="B158" s="54" t="s">
        <v>276</v>
      </c>
      <c r="C158" s="31">
        <v>4301030961</v>
      </c>
      <c r="D158" s="676">
        <v>4607091387636</v>
      </c>
      <c r="E158" s="677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101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2"/>
      <c r="R158" s="682"/>
      <c r="S158" s="682"/>
      <c r="T158" s="683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278</v>
      </c>
      <c r="B159" s="54" t="s">
        <v>279</v>
      </c>
      <c r="C159" s="31">
        <v>4301030963</v>
      </c>
      <c r="D159" s="676">
        <v>4607091382426</v>
      </c>
      <c r="E159" s="677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2"/>
      <c r="R159" s="682"/>
      <c r="S159" s="682"/>
      <c r="T159" s="683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281</v>
      </c>
      <c r="B160" s="54" t="s">
        <v>282</v>
      </c>
      <c r="C160" s="31">
        <v>4301030962</v>
      </c>
      <c r="D160" s="676">
        <v>4607091386547</v>
      </c>
      <c r="E160" s="677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1049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2"/>
      <c r="R160" s="682"/>
      <c r="S160" s="682"/>
      <c r="T160" s="683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0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2"/>
      <c r="P161" s="678" t="s">
        <v>88</v>
      </c>
      <c r="Q161" s="668"/>
      <c r="R161" s="668"/>
      <c r="S161" s="668"/>
      <c r="T161" s="668"/>
      <c r="U161" s="668"/>
      <c r="V161" s="669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2"/>
      <c r="P162" s="678" t="s">
        <v>88</v>
      </c>
      <c r="Q162" s="668"/>
      <c r="R162" s="668"/>
      <c r="S162" s="668"/>
      <c r="T162" s="668"/>
      <c r="U162" s="668"/>
      <c r="V162" s="669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80" t="s">
        <v>64</v>
      </c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59"/>
      <c r="AB163" s="659"/>
      <c r="AC163" s="659"/>
    </row>
    <row r="164" spans="1:68" ht="16.5" hidden="1" customHeight="1" x14ac:dyDescent="0.25">
      <c r="A164" s="54" t="s">
        <v>283</v>
      </c>
      <c r="B164" s="54" t="s">
        <v>284</v>
      </c>
      <c r="C164" s="31">
        <v>4301051653</v>
      </c>
      <c r="D164" s="676">
        <v>4607091386264</v>
      </c>
      <c r="E164" s="677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78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2"/>
      <c r="R164" s="682"/>
      <c r="S164" s="682"/>
      <c r="T164" s="683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0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2"/>
      <c r="P165" s="678" t="s">
        <v>88</v>
      </c>
      <c r="Q165" s="668"/>
      <c r="R165" s="668"/>
      <c r="S165" s="668"/>
      <c r="T165" s="668"/>
      <c r="U165" s="668"/>
      <c r="V165" s="669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2"/>
      <c r="P166" s="678" t="s">
        <v>88</v>
      </c>
      <c r="Q166" s="668"/>
      <c r="R166" s="668"/>
      <c r="S166" s="668"/>
      <c r="T166" s="668"/>
      <c r="U166" s="668"/>
      <c r="V166" s="669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90" t="s">
        <v>286</v>
      </c>
      <c r="B167" s="791"/>
      <c r="C167" s="791"/>
      <c r="D167" s="791"/>
      <c r="E167" s="791"/>
      <c r="F167" s="791"/>
      <c r="G167" s="791"/>
      <c r="H167" s="791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791"/>
      <c r="T167" s="791"/>
      <c r="U167" s="791"/>
      <c r="V167" s="791"/>
      <c r="W167" s="791"/>
      <c r="X167" s="791"/>
      <c r="Y167" s="791"/>
      <c r="Z167" s="791"/>
      <c r="AA167" s="48"/>
      <c r="AB167" s="48"/>
      <c r="AC167" s="48"/>
    </row>
    <row r="168" spans="1:68" ht="16.5" hidden="1" customHeight="1" x14ac:dyDescent="0.25">
      <c r="A168" s="686" t="s">
        <v>287</v>
      </c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58"/>
      <c r="AB168" s="658"/>
      <c r="AC168" s="658"/>
    </row>
    <row r="169" spans="1:68" ht="14.25" hidden="1" customHeight="1" x14ac:dyDescent="0.25">
      <c r="A169" s="680" t="s">
        <v>136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9"/>
      <c r="AB169" s="659"/>
      <c r="AC169" s="659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76">
        <v>4680115886223</v>
      </c>
      <c r="E170" s="677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10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2"/>
      <c r="R170" s="682"/>
      <c r="S170" s="682"/>
      <c r="T170" s="683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0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2"/>
      <c r="P171" s="678" t="s">
        <v>88</v>
      </c>
      <c r="Q171" s="668"/>
      <c r="R171" s="668"/>
      <c r="S171" s="668"/>
      <c r="T171" s="668"/>
      <c r="U171" s="668"/>
      <c r="V171" s="669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2"/>
      <c r="P172" s="678" t="s">
        <v>88</v>
      </c>
      <c r="Q172" s="668"/>
      <c r="R172" s="668"/>
      <c r="S172" s="668"/>
      <c r="T172" s="668"/>
      <c r="U172" s="668"/>
      <c r="V172" s="669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80" t="s">
        <v>147</v>
      </c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76">
        <v>4680115880993</v>
      </c>
      <c r="E174" s="677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2"/>
      <c r="R174" s="682"/>
      <c r="S174" s="682"/>
      <c r="T174" s="683"/>
      <c r="U174" s="34"/>
      <c r="V174" s="34"/>
      <c r="W174" s="35" t="s">
        <v>69</v>
      </c>
      <c r="X174" s="663">
        <v>30</v>
      </c>
      <c r="Y174" s="664">
        <f t="shared" ref="Y174:Y182" si="27">IFERROR(IF(X174="",0,CEILING((X174/$H174),1)*$H174),"")</f>
        <v>33.6</v>
      </c>
      <c r="Z174" s="36">
        <f>IFERROR(IF(Y174=0,"",ROUNDUP(Y174/H174,0)*0.00902),"")</f>
        <v>7.2160000000000002E-2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31.928571428571427</v>
      </c>
      <c r="BN174" s="64">
        <f t="shared" ref="BN174:BN182" si="29">IFERROR(Y174*I174/H174,"0")</f>
        <v>35.76</v>
      </c>
      <c r="BO174" s="64">
        <f t="shared" ref="BO174:BO182" si="30">IFERROR(1/J174*(X174/H174),"0")</f>
        <v>5.4112554112554112E-2</v>
      </c>
      <c r="BP174" s="64">
        <f t="shared" ref="BP174:BP182" si="31">IFERROR(1/J174*(Y174/H174),"0")</f>
        <v>6.0606060606060608E-2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76">
        <v>4680115881761</v>
      </c>
      <c r="E175" s="677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2"/>
      <c r="R175" s="682"/>
      <c r="S175" s="682"/>
      <c r="T175" s="683"/>
      <c r="U175" s="34"/>
      <c r="V175" s="34"/>
      <c r="W175" s="35" t="s">
        <v>69</v>
      </c>
      <c r="X175" s="663">
        <v>100</v>
      </c>
      <c r="Y175" s="664">
        <f t="shared" si="27"/>
        <v>100.80000000000001</v>
      </c>
      <c r="Z175" s="36">
        <f>IFERROR(IF(Y175=0,"",ROUNDUP(Y175/H175,0)*0.00902),"")</f>
        <v>0.21648000000000001</v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106.42857142857143</v>
      </c>
      <c r="BN175" s="64">
        <f t="shared" si="29"/>
        <v>107.28</v>
      </c>
      <c r="BO175" s="64">
        <f t="shared" si="30"/>
        <v>0.18037518037518038</v>
      </c>
      <c r="BP175" s="64">
        <f t="shared" si="31"/>
        <v>0.18181818181818182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76">
        <v>4680115881563</v>
      </c>
      <c r="E176" s="677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7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2"/>
      <c r="R176" s="682"/>
      <c r="S176" s="682"/>
      <c r="T176" s="683"/>
      <c r="U176" s="34"/>
      <c r="V176" s="34"/>
      <c r="W176" s="35" t="s">
        <v>69</v>
      </c>
      <c r="X176" s="663">
        <v>30</v>
      </c>
      <c r="Y176" s="664">
        <f t="shared" si="27"/>
        <v>33.6</v>
      </c>
      <c r="Z176" s="36">
        <f>IFERROR(IF(Y176=0,"",ROUNDUP(Y176/H176,0)*0.00902),"")</f>
        <v>7.2160000000000002E-2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31.5</v>
      </c>
      <c r="BN176" s="64">
        <f t="shared" si="29"/>
        <v>35.28</v>
      </c>
      <c r="BO176" s="64">
        <f t="shared" si="30"/>
        <v>5.4112554112554112E-2</v>
      </c>
      <c r="BP176" s="64">
        <f t="shared" si="31"/>
        <v>6.0606060606060608E-2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76">
        <v>4680115880986</v>
      </c>
      <c r="E177" s="677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2"/>
      <c r="R177" s="682"/>
      <c r="S177" s="682"/>
      <c r="T177" s="683"/>
      <c r="U177" s="34"/>
      <c r="V177" s="34"/>
      <c r="W177" s="35" t="s">
        <v>69</v>
      </c>
      <c r="X177" s="663">
        <v>87.5</v>
      </c>
      <c r="Y177" s="664">
        <f t="shared" si="27"/>
        <v>88.2</v>
      </c>
      <c r="Z177" s="36">
        <f>IFERROR(IF(Y177=0,"",ROUNDUP(Y177/H177,0)*0.00502),"")</f>
        <v>0.21084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92.916666666666657</v>
      </c>
      <c r="BN177" s="64">
        <f t="shared" si="29"/>
        <v>93.66</v>
      </c>
      <c r="BO177" s="64">
        <f t="shared" si="30"/>
        <v>0.17806267806267806</v>
      </c>
      <c r="BP177" s="64">
        <f t="shared" si="31"/>
        <v>0.17948717948717952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76">
        <v>4680115881785</v>
      </c>
      <c r="E178" s="677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2"/>
      <c r="R178" s="682"/>
      <c r="S178" s="682"/>
      <c r="T178" s="683"/>
      <c r="U178" s="34"/>
      <c r="V178" s="34"/>
      <c r="W178" s="35" t="s">
        <v>69</v>
      </c>
      <c r="X178" s="663">
        <v>87.5</v>
      </c>
      <c r="Y178" s="664">
        <f t="shared" si="27"/>
        <v>88.2</v>
      </c>
      <c r="Z178" s="36">
        <f>IFERROR(IF(Y178=0,"",ROUNDUP(Y178/H178,0)*0.00502),"")</f>
        <v>0.21084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92.916666666666657</v>
      </c>
      <c r="BN178" s="64">
        <f t="shared" si="29"/>
        <v>93.66</v>
      </c>
      <c r="BO178" s="64">
        <f t="shared" si="30"/>
        <v>0.17806267806267806</v>
      </c>
      <c r="BP178" s="64">
        <f t="shared" si="31"/>
        <v>0.17948717948717952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76">
        <v>4680115886537</v>
      </c>
      <c r="E179" s="677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68" t="s">
        <v>306</v>
      </c>
      <c r="Q179" s="682"/>
      <c r="R179" s="682"/>
      <c r="S179" s="682"/>
      <c r="T179" s="683"/>
      <c r="U179" s="34"/>
      <c r="V179" s="34"/>
      <c r="W179" s="35" t="s">
        <v>69</v>
      </c>
      <c r="X179" s="663">
        <v>3</v>
      </c>
      <c r="Y179" s="664">
        <f t="shared" si="27"/>
        <v>3.6</v>
      </c>
      <c r="Z179" s="36">
        <f>IFERROR(IF(Y179=0,"",ROUNDUP(Y179/H179,0)*0.00502),"")</f>
        <v>1.004E-2</v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3.2166666666666668</v>
      </c>
      <c r="BN179" s="64">
        <f t="shared" si="29"/>
        <v>3.8599999999999994</v>
      </c>
      <c r="BO179" s="64">
        <f t="shared" si="30"/>
        <v>7.1225071225071226E-3</v>
      </c>
      <c r="BP179" s="64">
        <f t="shared" si="31"/>
        <v>8.5470085470085479E-3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76">
        <v>4680115881679</v>
      </c>
      <c r="E180" s="677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9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2"/>
      <c r="R180" s="682"/>
      <c r="S180" s="682"/>
      <c r="T180" s="683"/>
      <c r="U180" s="34"/>
      <c r="V180" s="34"/>
      <c r="W180" s="35" t="s">
        <v>69</v>
      </c>
      <c r="X180" s="663">
        <v>140</v>
      </c>
      <c r="Y180" s="664">
        <f t="shared" si="27"/>
        <v>140.70000000000002</v>
      </c>
      <c r="Z180" s="36">
        <f>IFERROR(IF(Y180=0,"",ROUNDUP(Y180/H180,0)*0.00502),"")</f>
        <v>0.33634000000000003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146.66666666666666</v>
      </c>
      <c r="BN180" s="64">
        <f t="shared" si="29"/>
        <v>147.40000000000003</v>
      </c>
      <c r="BO180" s="64">
        <f t="shared" si="30"/>
        <v>0.28490028490028491</v>
      </c>
      <c r="BP180" s="64">
        <f t="shared" si="31"/>
        <v>0.28632478632478636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76">
        <v>4680115880191</v>
      </c>
      <c r="E181" s="677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7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2"/>
      <c r="R181" s="682"/>
      <c r="S181" s="682"/>
      <c r="T181" s="683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76">
        <v>4680115883963</v>
      </c>
      <c r="E182" s="677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9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2"/>
      <c r="R182" s="682"/>
      <c r="S182" s="682"/>
      <c r="T182" s="683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0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2"/>
      <c r="P183" s="678" t="s">
        <v>88</v>
      </c>
      <c r="Q183" s="668"/>
      <c r="R183" s="668"/>
      <c r="S183" s="668"/>
      <c r="T183" s="668"/>
      <c r="U183" s="668"/>
      <c r="V183" s="669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189.76190476190476</v>
      </c>
      <c r="Y183" s="665">
        <f>IFERROR(Y174/H174,"0")+IFERROR(Y175/H175,"0")+IFERROR(Y176/H176,"0")+IFERROR(Y177/H177,"0")+IFERROR(Y178/H178,"0")+IFERROR(Y179/H179,"0")+IFERROR(Y180/H180,"0")+IFERROR(Y181/H181,"0")+IFERROR(Y182/H182,"0")</f>
        <v>193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1.1288600000000002</v>
      </c>
      <c r="AA183" s="666"/>
      <c r="AB183" s="666"/>
      <c r="AC183" s="666"/>
    </row>
    <row r="184" spans="1:68" x14ac:dyDescent="0.2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2"/>
      <c r="P184" s="678" t="s">
        <v>88</v>
      </c>
      <c r="Q184" s="668"/>
      <c r="R184" s="668"/>
      <c r="S184" s="668"/>
      <c r="T184" s="668"/>
      <c r="U184" s="668"/>
      <c r="V184" s="669"/>
      <c r="W184" s="37" t="s">
        <v>69</v>
      </c>
      <c r="X184" s="665">
        <f>IFERROR(SUM(X174:X182),"0")</f>
        <v>478</v>
      </c>
      <c r="Y184" s="665">
        <f>IFERROR(SUM(Y174:Y182),"0")</f>
        <v>488.70000000000005</v>
      </c>
      <c r="Z184" s="37"/>
      <c r="AA184" s="666"/>
      <c r="AB184" s="666"/>
      <c r="AC184" s="666"/>
    </row>
    <row r="185" spans="1:68" ht="14.25" hidden="1" customHeight="1" x14ac:dyDescent="0.25">
      <c r="A185" s="680" t="s">
        <v>90</v>
      </c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59"/>
      <c r="AB185" s="659"/>
      <c r="AC185" s="659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76">
        <v>4680115886780</v>
      </c>
      <c r="E186" s="677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745" t="s">
        <v>319</v>
      </c>
      <c r="Q186" s="682"/>
      <c r="R186" s="682"/>
      <c r="S186" s="682"/>
      <c r="T186" s="683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0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2"/>
      <c r="P187" s="678" t="s">
        <v>88</v>
      </c>
      <c r="Q187" s="668"/>
      <c r="R187" s="668"/>
      <c r="S187" s="668"/>
      <c r="T187" s="668"/>
      <c r="U187" s="668"/>
      <c r="V187" s="669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2"/>
      <c r="P188" s="678" t="s">
        <v>88</v>
      </c>
      <c r="Q188" s="668"/>
      <c r="R188" s="668"/>
      <c r="S188" s="668"/>
      <c r="T188" s="668"/>
      <c r="U188" s="668"/>
      <c r="V188" s="669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686" t="s">
        <v>322</v>
      </c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58"/>
      <c r="AB189" s="658"/>
      <c r="AC189" s="658"/>
    </row>
    <row r="190" spans="1:68" ht="14.25" hidden="1" customHeight="1" x14ac:dyDescent="0.25">
      <c r="A190" s="680" t="s">
        <v>98</v>
      </c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59"/>
      <c r="AB190" s="659"/>
      <c r="AC190" s="659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76">
        <v>4680115881402</v>
      </c>
      <c r="E191" s="677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2"/>
      <c r="R191" s="682"/>
      <c r="S191" s="682"/>
      <c r="T191" s="683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76">
        <v>4680115881396</v>
      </c>
      <c r="E192" s="677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9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2"/>
      <c r="R192" s="682"/>
      <c r="S192" s="682"/>
      <c r="T192" s="683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0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2"/>
      <c r="P193" s="678" t="s">
        <v>88</v>
      </c>
      <c r="Q193" s="668"/>
      <c r="R193" s="668"/>
      <c r="S193" s="668"/>
      <c r="T193" s="668"/>
      <c r="U193" s="668"/>
      <c r="V193" s="669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2"/>
      <c r="P194" s="678" t="s">
        <v>88</v>
      </c>
      <c r="Q194" s="668"/>
      <c r="R194" s="668"/>
      <c r="S194" s="668"/>
      <c r="T194" s="668"/>
      <c r="U194" s="668"/>
      <c r="V194" s="669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80" t="s">
        <v>136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59"/>
      <c r="AB195" s="659"/>
      <c r="AC195" s="659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76">
        <v>4680115882935</v>
      </c>
      <c r="E196" s="677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2"/>
      <c r="R196" s="682"/>
      <c r="S196" s="682"/>
      <c r="T196" s="683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76">
        <v>4680115880764</v>
      </c>
      <c r="E197" s="677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9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2"/>
      <c r="R197" s="682"/>
      <c r="S197" s="682"/>
      <c r="T197" s="683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0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2"/>
      <c r="P198" s="678" t="s">
        <v>88</v>
      </c>
      <c r="Q198" s="668"/>
      <c r="R198" s="668"/>
      <c r="S198" s="668"/>
      <c r="T198" s="668"/>
      <c r="U198" s="668"/>
      <c r="V198" s="669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2"/>
      <c r="P199" s="678" t="s">
        <v>88</v>
      </c>
      <c r="Q199" s="668"/>
      <c r="R199" s="668"/>
      <c r="S199" s="668"/>
      <c r="T199" s="668"/>
      <c r="U199" s="668"/>
      <c r="V199" s="669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80" t="s">
        <v>147</v>
      </c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76">
        <v>4680115882683</v>
      </c>
      <c r="E201" s="677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2"/>
      <c r="R201" s="682"/>
      <c r="S201" s="682"/>
      <c r="T201" s="683"/>
      <c r="U201" s="34"/>
      <c r="V201" s="34"/>
      <c r="W201" s="35" t="s">
        <v>69</v>
      </c>
      <c r="X201" s="663">
        <v>120</v>
      </c>
      <c r="Y201" s="664">
        <f t="shared" ref="Y201:Y208" si="32">IFERROR(IF(X201="",0,CEILING((X201/$H201),1)*$H201),"")</f>
        <v>124.2</v>
      </c>
      <c r="Z201" s="36">
        <f>IFERROR(IF(Y201=0,"",ROUNDUP(Y201/H201,0)*0.00902),"")</f>
        <v>0.20746000000000001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124.66666666666667</v>
      </c>
      <c r="BN201" s="64">
        <f t="shared" ref="BN201:BN208" si="34">IFERROR(Y201*I201/H201,"0")</f>
        <v>129.03</v>
      </c>
      <c r="BO201" s="64">
        <f t="shared" ref="BO201:BO208" si="35">IFERROR(1/J201*(X201/H201),"0")</f>
        <v>0.16835016835016836</v>
      </c>
      <c r="BP201" s="64">
        <f t="shared" ref="BP201:BP208" si="36">IFERROR(1/J201*(Y201/H201),"0")</f>
        <v>0.17424242424242425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76">
        <v>4680115882690</v>
      </c>
      <c r="E202" s="677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84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2"/>
      <c r="R202" s="682"/>
      <c r="S202" s="682"/>
      <c r="T202" s="683"/>
      <c r="U202" s="34"/>
      <c r="V202" s="34"/>
      <c r="W202" s="35" t="s">
        <v>69</v>
      </c>
      <c r="X202" s="663">
        <v>60</v>
      </c>
      <c r="Y202" s="664">
        <f t="shared" si="32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62.333333333333336</v>
      </c>
      <c r="BN202" s="64">
        <f t="shared" si="34"/>
        <v>67.320000000000007</v>
      </c>
      <c r="BO202" s="64">
        <f t="shared" si="35"/>
        <v>8.4175084175084181E-2</v>
      </c>
      <c r="BP202" s="64">
        <f t="shared" si="36"/>
        <v>9.0909090909090925E-2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76">
        <v>4680115882669</v>
      </c>
      <c r="E203" s="677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2"/>
      <c r="R203" s="682"/>
      <c r="S203" s="682"/>
      <c r="T203" s="683"/>
      <c r="U203" s="34"/>
      <c r="V203" s="34"/>
      <c r="W203" s="35" t="s">
        <v>69</v>
      </c>
      <c r="X203" s="663">
        <v>60</v>
      </c>
      <c r="Y203" s="664">
        <f t="shared" si="32"/>
        <v>64.800000000000011</v>
      </c>
      <c r="Z203" s="36">
        <f>IFERROR(IF(Y203=0,"",ROUNDUP(Y203/H203,0)*0.00902),"")</f>
        <v>0.10824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62.333333333333336</v>
      </c>
      <c r="BN203" s="64">
        <f t="shared" si="34"/>
        <v>67.320000000000007</v>
      </c>
      <c r="BO203" s="64">
        <f t="shared" si="35"/>
        <v>8.4175084175084181E-2</v>
      </c>
      <c r="BP203" s="64">
        <f t="shared" si="36"/>
        <v>9.0909090909090925E-2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76">
        <v>4680115882676</v>
      </c>
      <c r="E204" s="677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6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2"/>
      <c r="R204" s="682"/>
      <c r="S204" s="682"/>
      <c r="T204" s="683"/>
      <c r="U204" s="34"/>
      <c r="V204" s="34"/>
      <c r="W204" s="35" t="s">
        <v>69</v>
      </c>
      <c r="X204" s="663">
        <v>80</v>
      </c>
      <c r="Y204" s="664">
        <f t="shared" si="32"/>
        <v>81</v>
      </c>
      <c r="Z204" s="36">
        <f>IFERROR(IF(Y204=0,"",ROUNDUP(Y204/H204,0)*0.00902),"")</f>
        <v>0.1353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83.111111111111114</v>
      </c>
      <c r="BN204" s="64">
        <f t="shared" si="34"/>
        <v>84.15</v>
      </c>
      <c r="BO204" s="64">
        <f t="shared" si="35"/>
        <v>0.11223344556677889</v>
      </c>
      <c r="BP204" s="64">
        <f t="shared" si="36"/>
        <v>0.11363636363636363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76">
        <v>4680115884014</v>
      </c>
      <c r="E205" s="677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2"/>
      <c r="R205" s="682"/>
      <c r="S205" s="682"/>
      <c r="T205" s="683"/>
      <c r="U205" s="34"/>
      <c r="V205" s="34"/>
      <c r="W205" s="35" t="s">
        <v>69</v>
      </c>
      <c r="X205" s="663">
        <v>90</v>
      </c>
      <c r="Y205" s="664">
        <f t="shared" si="32"/>
        <v>90</v>
      </c>
      <c r="Z205" s="36">
        <f>IFERROR(IF(Y205=0,"",ROUNDUP(Y205/H205,0)*0.00502),"")</f>
        <v>0.251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96.499999999999986</v>
      </c>
      <c r="BN205" s="64">
        <f t="shared" si="34"/>
        <v>96.499999999999986</v>
      </c>
      <c r="BO205" s="64">
        <f t="shared" si="35"/>
        <v>0.21367521367521369</v>
      </c>
      <c r="BP205" s="64">
        <f t="shared" si="36"/>
        <v>0.21367521367521369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76">
        <v>4680115884007</v>
      </c>
      <c r="E206" s="677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2"/>
      <c r="R206" s="682"/>
      <c r="S206" s="682"/>
      <c r="T206" s="683"/>
      <c r="U206" s="34"/>
      <c r="V206" s="34"/>
      <c r="W206" s="35" t="s">
        <v>69</v>
      </c>
      <c r="X206" s="663">
        <v>60</v>
      </c>
      <c r="Y206" s="664">
        <f t="shared" si="32"/>
        <v>61.2</v>
      </c>
      <c r="Z206" s="36">
        <f>IFERROR(IF(Y206=0,"",ROUNDUP(Y206/H206,0)*0.00502),"")</f>
        <v>0.17068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63.333333333333329</v>
      </c>
      <c r="BN206" s="64">
        <f t="shared" si="34"/>
        <v>64.599999999999994</v>
      </c>
      <c r="BO206" s="64">
        <f t="shared" si="35"/>
        <v>0.14245014245014248</v>
      </c>
      <c r="BP206" s="64">
        <f t="shared" si="36"/>
        <v>0.14529914529914531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76">
        <v>4680115884038</v>
      </c>
      <c r="E207" s="677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8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2"/>
      <c r="R207" s="682"/>
      <c r="S207" s="682"/>
      <c r="T207" s="683"/>
      <c r="U207" s="34"/>
      <c r="V207" s="34"/>
      <c r="W207" s="35" t="s">
        <v>69</v>
      </c>
      <c r="X207" s="663">
        <v>105</v>
      </c>
      <c r="Y207" s="664">
        <f t="shared" si="32"/>
        <v>106.2</v>
      </c>
      <c r="Z207" s="36">
        <f>IFERROR(IF(Y207=0,"",ROUNDUP(Y207/H207,0)*0.00502),"")</f>
        <v>0.29618</v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110.83333333333333</v>
      </c>
      <c r="BN207" s="64">
        <f t="shared" si="34"/>
        <v>112.1</v>
      </c>
      <c r="BO207" s="64">
        <f t="shared" si="35"/>
        <v>0.2492877492877493</v>
      </c>
      <c r="BP207" s="64">
        <f t="shared" si="36"/>
        <v>0.25213675213675218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76">
        <v>4680115884021</v>
      </c>
      <c r="E208" s="677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9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2"/>
      <c r="R208" s="682"/>
      <c r="S208" s="682"/>
      <c r="T208" s="683"/>
      <c r="U208" s="34"/>
      <c r="V208" s="34"/>
      <c r="W208" s="35" t="s">
        <v>69</v>
      </c>
      <c r="X208" s="663">
        <v>75</v>
      </c>
      <c r="Y208" s="664">
        <f t="shared" si="32"/>
        <v>75.600000000000009</v>
      </c>
      <c r="Z208" s="36">
        <f>IFERROR(IF(Y208=0,"",ROUNDUP(Y208/H208,0)*0.00502),"")</f>
        <v>0.21084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79.166666666666671</v>
      </c>
      <c r="BN208" s="64">
        <f t="shared" si="34"/>
        <v>79.800000000000011</v>
      </c>
      <c r="BO208" s="64">
        <f t="shared" si="35"/>
        <v>0.17806267806267806</v>
      </c>
      <c r="BP208" s="64">
        <f t="shared" si="36"/>
        <v>0.17948717948717954</v>
      </c>
    </row>
    <row r="209" spans="1:68" x14ac:dyDescent="0.2">
      <c r="A209" s="670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2"/>
      <c r="P209" s="678" t="s">
        <v>88</v>
      </c>
      <c r="Q209" s="668"/>
      <c r="R209" s="668"/>
      <c r="S209" s="668"/>
      <c r="T209" s="668"/>
      <c r="U209" s="668"/>
      <c r="V209" s="669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242.59259259259258</v>
      </c>
      <c r="Y209" s="665">
        <f>IFERROR(Y201/H201,"0")+IFERROR(Y202/H202,"0")+IFERROR(Y203/H203,"0")+IFERROR(Y204/H204,"0")+IFERROR(Y205/H205,"0")+IFERROR(Y206/H206,"0")+IFERROR(Y207/H207,"0")+IFERROR(Y208/H208,"0")</f>
        <v>247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1.4879399999999998</v>
      </c>
      <c r="AA209" s="666"/>
      <c r="AB209" s="666"/>
      <c r="AC209" s="666"/>
    </row>
    <row r="210" spans="1:68" x14ac:dyDescent="0.2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2"/>
      <c r="P210" s="678" t="s">
        <v>88</v>
      </c>
      <c r="Q210" s="668"/>
      <c r="R210" s="668"/>
      <c r="S210" s="668"/>
      <c r="T210" s="668"/>
      <c r="U210" s="668"/>
      <c r="V210" s="669"/>
      <c r="W210" s="37" t="s">
        <v>69</v>
      </c>
      <c r="X210" s="665">
        <f>IFERROR(SUM(X201:X208),"0")</f>
        <v>650</v>
      </c>
      <c r="Y210" s="665">
        <f>IFERROR(SUM(Y201:Y208),"0")</f>
        <v>667.80000000000007</v>
      </c>
      <c r="Z210" s="37"/>
      <c r="AA210" s="666"/>
      <c r="AB210" s="666"/>
      <c r="AC210" s="666"/>
    </row>
    <row r="211" spans="1:68" ht="14.25" hidden="1" customHeight="1" x14ac:dyDescent="0.25">
      <c r="A211" s="680" t="s">
        <v>64</v>
      </c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59"/>
      <c r="AB211" s="659"/>
      <c r="AC211" s="659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76">
        <v>4680115881594</v>
      </c>
      <c r="E212" s="677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2"/>
      <c r="R212" s="682"/>
      <c r="S212" s="682"/>
      <c r="T212" s="683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76">
        <v>4680115881617</v>
      </c>
      <c r="E213" s="677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10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2"/>
      <c r="R213" s="682"/>
      <c r="S213" s="682"/>
      <c r="T213" s="683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76">
        <v>4680115880573</v>
      </c>
      <c r="E214" s="677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2"/>
      <c r="R214" s="682"/>
      <c r="S214" s="682"/>
      <c r="T214" s="683"/>
      <c r="U214" s="34"/>
      <c r="V214" s="34"/>
      <c r="W214" s="35" t="s">
        <v>69</v>
      </c>
      <c r="X214" s="663">
        <v>50</v>
      </c>
      <c r="Y214" s="664">
        <f t="shared" si="37"/>
        <v>52.199999999999996</v>
      </c>
      <c r="Z214" s="36">
        <f>IFERROR(IF(Y214=0,"",ROUNDUP(Y214/H214,0)*0.01898),"")</f>
        <v>0.11388000000000001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52.982758620689658</v>
      </c>
      <c r="BN214" s="64">
        <f t="shared" si="39"/>
        <v>55.313999999999993</v>
      </c>
      <c r="BO214" s="64">
        <f t="shared" si="40"/>
        <v>8.9798850574712652E-2</v>
      </c>
      <c r="BP214" s="64">
        <f t="shared" si="41"/>
        <v>9.375E-2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76">
        <v>4680115882195</v>
      </c>
      <c r="E215" s="677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102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2"/>
      <c r="R215" s="682"/>
      <c r="S215" s="682"/>
      <c r="T215" s="683"/>
      <c r="U215" s="34"/>
      <c r="V215" s="34"/>
      <c r="W215" s="35" t="s">
        <v>69</v>
      </c>
      <c r="X215" s="663">
        <v>240</v>
      </c>
      <c r="Y215" s="664">
        <f t="shared" si="37"/>
        <v>240</v>
      </c>
      <c r="Z215" s="36">
        <f t="shared" ref="Z215:Z220" si="42">IFERROR(IF(Y215=0,"",ROUNDUP(Y215/H215,0)*0.00651),"")</f>
        <v>0.65100000000000002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267</v>
      </c>
      <c r="BN215" s="64">
        <f t="shared" si="39"/>
        <v>267</v>
      </c>
      <c r="BO215" s="64">
        <f t="shared" si="40"/>
        <v>0.5494505494505495</v>
      </c>
      <c r="BP215" s="64">
        <f t="shared" si="41"/>
        <v>0.5494505494505495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76">
        <v>4680115882607</v>
      </c>
      <c r="E216" s="677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9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2"/>
      <c r="R216" s="682"/>
      <c r="S216" s="682"/>
      <c r="T216" s="683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76">
        <v>4680115880092</v>
      </c>
      <c r="E217" s="677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8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2"/>
      <c r="R217" s="682"/>
      <c r="S217" s="682"/>
      <c r="T217" s="683"/>
      <c r="U217" s="34"/>
      <c r="V217" s="34"/>
      <c r="W217" s="35" t="s">
        <v>69</v>
      </c>
      <c r="X217" s="663">
        <v>180</v>
      </c>
      <c r="Y217" s="664">
        <f t="shared" si="37"/>
        <v>180</v>
      </c>
      <c r="Z217" s="36">
        <f t="shared" si="42"/>
        <v>0.48825000000000002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198.9</v>
      </c>
      <c r="BN217" s="64">
        <f t="shared" si="39"/>
        <v>198.9</v>
      </c>
      <c r="BO217" s="64">
        <f t="shared" si="40"/>
        <v>0.41208791208791212</v>
      </c>
      <c r="BP217" s="64">
        <f t="shared" si="41"/>
        <v>0.41208791208791212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76">
        <v>4680115880221</v>
      </c>
      <c r="E218" s="677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2"/>
      <c r="R218" s="682"/>
      <c r="S218" s="682"/>
      <c r="T218" s="683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76">
        <v>4680115880504</v>
      </c>
      <c r="E219" s="677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9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2"/>
      <c r="R219" s="682"/>
      <c r="S219" s="682"/>
      <c r="T219" s="683"/>
      <c r="U219" s="34"/>
      <c r="V219" s="34"/>
      <c r="W219" s="35" t="s">
        <v>69</v>
      </c>
      <c r="X219" s="663">
        <v>80</v>
      </c>
      <c r="Y219" s="664">
        <f t="shared" si="37"/>
        <v>81.599999999999994</v>
      </c>
      <c r="Z219" s="36">
        <f t="shared" si="42"/>
        <v>0.22134000000000001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88.40000000000002</v>
      </c>
      <c r="BN219" s="64">
        <f t="shared" si="39"/>
        <v>90.168000000000006</v>
      </c>
      <c r="BO219" s="64">
        <f t="shared" si="40"/>
        <v>0.18315018315018317</v>
      </c>
      <c r="BP219" s="64">
        <f t="shared" si="41"/>
        <v>0.18681318681318682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76">
        <v>4680115882164</v>
      </c>
      <c r="E220" s="677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10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2"/>
      <c r="R220" s="682"/>
      <c r="S220" s="682"/>
      <c r="T220" s="683"/>
      <c r="U220" s="34"/>
      <c r="V220" s="34"/>
      <c r="W220" s="35" t="s">
        <v>69</v>
      </c>
      <c r="X220" s="663">
        <v>280</v>
      </c>
      <c r="Y220" s="664">
        <f t="shared" si="37"/>
        <v>280.8</v>
      </c>
      <c r="Z220" s="36">
        <f t="shared" si="42"/>
        <v>0.76167000000000007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310.10000000000002</v>
      </c>
      <c r="BN220" s="64">
        <f t="shared" si="39"/>
        <v>310.98599999999999</v>
      </c>
      <c r="BO220" s="64">
        <f t="shared" si="40"/>
        <v>0.64102564102564108</v>
      </c>
      <c r="BP220" s="64">
        <f t="shared" si="41"/>
        <v>0.64285714285714302</v>
      </c>
    </row>
    <row r="221" spans="1:68" x14ac:dyDescent="0.2">
      <c r="A221" s="670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2"/>
      <c r="P221" s="678" t="s">
        <v>88</v>
      </c>
      <c r="Q221" s="668"/>
      <c r="R221" s="668"/>
      <c r="S221" s="668"/>
      <c r="T221" s="668"/>
      <c r="U221" s="668"/>
      <c r="V221" s="669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330.74712643678163</v>
      </c>
      <c r="Y221" s="665">
        <f>IFERROR(Y212/H212,"0")+IFERROR(Y213/H213,"0")+IFERROR(Y214/H214,"0")+IFERROR(Y215/H215,"0")+IFERROR(Y216/H216,"0")+IFERROR(Y217/H217,"0")+IFERROR(Y218/H218,"0")+IFERROR(Y219/H219,"0")+IFERROR(Y220/H220,"0")</f>
        <v>332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2.2361400000000002</v>
      </c>
      <c r="AA221" s="666"/>
      <c r="AB221" s="666"/>
      <c r="AC221" s="666"/>
    </row>
    <row r="222" spans="1:68" x14ac:dyDescent="0.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2"/>
      <c r="P222" s="678" t="s">
        <v>88</v>
      </c>
      <c r="Q222" s="668"/>
      <c r="R222" s="668"/>
      <c r="S222" s="668"/>
      <c r="T222" s="668"/>
      <c r="U222" s="668"/>
      <c r="V222" s="669"/>
      <c r="W222" s="37" t="s">
        <v>69</v>
      </c>
      <c r="X222" s="665">
        <f>IFERROR(SUM(X212:X220),"0")</f>
        <v>830</v>
      </c>
      <c r="Y222" s="665">
        <f>IFERROR(SUM(Y212:Y220),"0")</f>
        <v>834.59999999999991</v>
      </c>
      <c r="Z222" s="37"/>
      <c r="AA222" s="666"/>
      <c r="AB222" s="666"/>
      <c r="AC222" s="666"/>
    </row>
    <row r="223" spans="1:68" ht="14.25" hidden="1" customHeight="1" x14ac:dyDescent="0.25">
      <c r="A223" s="680" t="s">
        <v>173</v>
      </c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59"/>
      <c r="AB223" s="659"/>
      <c r="AC223" s="659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76">
        <v>4680115880818</v>
      </c>
      <c r="E224" s="677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92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2"/>
      <c r="R224" s="682"/>
      <c r="S224" s="682"/>
      <c r="T224" s="683"/>
      <c r="U224" s="34"/>
      <c r="V224" s="34"/>
      <c r="W224" s="35" t="s">
        <v>69</v>
      </c>
      <c r="X224" s="663">
        <v>12</v>
      </c>
      <c r="Y224" s="664">
        <f>IFERROR(IF(X224="",0,CEILING((X224/$H224),1)*$H224),"")</f>
        <v>12</v>
      </c>
      <c r="Z224" s="36">
        <f>IFERROR(IF(Y224=0,"",ROUNDUP(Y224/H224,0)*0.00651),"")</f>
        <v>3.2550000000000003E-2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13.260000000000002</v>
      </c>
      <c r="BN224" s="64">
        <f>IFERROR(Y224*I224/H224,"0")</f>
        <v>13.260000000000002</v>
      </c>
      <c r="BO224" s="64">
        <f>IFERROR(1/J224*(X224/H224),"0")</f>
        <v>2.7472527472527476E-2</v>
      </c>
      <c r="BP224" s="64">
        <f>IFERROR(1/J224*(Y224/H224),"0")</f>
        <v>2.7472527472527476E-2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76">
        <v>4680115880801</v>
      </c>
      <c r="E225" s="677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8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2"/>
      <c r="R225" s="682"/>
      <c r="S225" s="682"/>
      <c r="T225" s="683"/>
      <c r="U225" s="34"/>
      <c r="V225" s="34"/>
      <c r="W225" s="35" t="s">
        <v>69</v>
      </c>
      <c r="X225" s="663">
        <v>12</v>
      </c>
      <c r="Y225" s="664">
        <f>IFERROR(IF(X225="",0,CEILING((X225/$H225),1)*$H225),"")</f>
        <v>12</v>
      </c>
      <c r="Z225" s="36">
        <f>IFERROR(IF(Y225=0,"",ROUNDUP(Y225/H225,0)*0.00651),"")</f>
        <v>3.2550000000000003E-2</v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13.260000000000002</v>
      </c>
      <c r="BN225" s="64">
        <f>IFERROR(Y225*I225/H225,"0")</f>
        <v>13.260000000000002</v>
      </c>
      <c r="BO225" s="64">
        <f>IFERROR(1/J225*(X225/H225),"0")</f>
        <v>2.7472527472527476E-2</v>
      </c>
      <c r="BP225" s="64">
        <f>IFERROR(1/J225*(Y225/H225),"0")</f>
        <v>2.7472527472527476E-2</v>
      </c>
    </row>
    <row r="226" spans="1:68" x14ac:dyDescent="0.2">
      <c r="A226" s="670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2"/>
      <c r="P226" s="678" t="s">
        <v>88</v>
      </c>
      <c r="Q226" s="668"/>
      <c r="R226" s="668"/>
      <c r="S226" s="668"/>
      <c r="T226" s="668"/>
      <c r="U226" s="668"/>
      <c r="V226" s="669"/>
      <c r="W226" s="37" t="s">
        <v>89</v>
      </c>
      <c r="X226" s="665">
        <f>IFERROR(X224/H224,"0")+IFERROR(X225/H225,"0")</f>
        <v>10</v>
      </c>
      <c r="Y226" s="665">
        <f>IFERROR(Y224/H224,"0")+IFERROR(Y225/H225,"0")</f>
        <v>10</v>
      </c>
      <c r="Z226" s="665">
        <f>IFERROR(IF(Z224="",0,Z224),"0")+IFERROR(IF(Z225="",0,Z225),"0")</f>
        <v>6.5100000000000005E-2</v>
      </c>
      <c r="AA226" s="666"/>
      <c r="AB226" s="666"/>
      <c r="AC226" s="666"/>
    </row>
    <row r="227" spans="1:68" x14ac:dyDescent="0.2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2"/>
      <c r="P227" s="678" t="s">
        <v>88</v>
      </c>
      <c r="Q227" s="668"/>
      <c r="R227" s="668"/>
      <c r="S227" s="668"/>
      <c r="T227" s="668"/>
      <c r="U227" s="668"/>
      <c r="V227" s="669"/>
      <c r="W227" s="37" t="s">
        <v>69</v>
      </c>
      <c r="X227" s="665">
        <f>IFERROR(SUM(X224:X225),"0")</f>
        <v>24</v>
      </c>
      <c r="Y227" s="665">
        <f>IFERROR(SUM(Y224:Y225),"0")</f>
        <v>24</v>
      </c>
      <c r="Z227" s="37"/>
      <c r="AA227" s="666"/>
      <c r="AB227" s="666"/>
      <c r="AC227" s="666"/>
    </row>
    <row r="228" spans="1:68" ht="16.5" hidden="1" customHeight="1" x14ac:dyDescent="0.25">
      <c r="A228" s="686" t="s">
        <v>383</v>
      </c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58"/>
      <c r="AB228" s="658"/>
      <c r="AC228" s="658"/>
    </row>
    <row r="229" spans="1:68" ht="14.25" hidden="1" customHeight="1" x14ac:dyDescent="0.25">
      <c r="A229" s="680" t="s">
        <v>98</v>
      </c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59"/>
      <c r="AB229" s="659"/>
      <c r="AC229" s="659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76">
        <v>4680115884137</v>
      </c>
      <c r="E230" s="677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976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2"/>
      <c r="R230" s="682"/>
      <c r="S230" s="682"/>
      <c r="T230" s="683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76">
        <v>4680115884137</v>
      </c>
      <c r="E231" s="677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10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2"/>
      <c r="R231" s="682"/>
      <c r="S231" s="682"/>
      <c r="T231" s="683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76">
        <v>4680115884236</v>
      </c>
      <c r="E232" s="677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2"/>
      <c r="R232" s="682"/>
      <c r="S232" s="682"/>
      <c r="T232" s="683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76">
        <v>4680115884175</v>
      </c>
      <c r="E233" s="677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51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2"/>
      <c r="R233" s="682"/>
      <c r="S233" s="682"/>
      <c r="T233" s="683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76">
        <v>4680115884175</v>
      </c>
      <c r="E234" s="677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101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2"/>
      <c r="R234" s="682"/>
      <c r="S234" s="682"/>
      <c r="T234" s="683"/>
      <c r="U234" s="34"/>
      <c r="V234" s="34"/>
      <c r="W234" s="35" t="s">
        <v>69</v>
      </c>
      <c r="X234" s="663">
        <v>30</v>
      </c>
      <c r="Y234" s="664">
        <f t="shared" si="43"/>
        <v>34.799999999999997</v>
      </c>
      <c r="Z234" s="36">
        <f>IFERROR(IF(Y234=0,"",ROUNDUP(Y234/H234,0)*0.01898),"")</f>
        <v>5.6940000000000004E-2</v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31.125000000000004</v>
      </c>
      <c r="BN234" s="64">
        <f t="shared" si="45"/>
        <v>36.104999999999997</v>
      </c>
      <c r="BO234" s="64">
        <f t="shared" si="46"/>
        <v>4.0409482758620691E-2</v>
      </c>
      <c r="BP234" s="64">
        <f t="shared" si="47"/>
        <v>4.6875E-2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76">
        <v>4680115884144</v>
      </c>
      <c r="E235" s="677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2"/>
      <c r="R235" s="682"/>
      <c r="S235" s="682"/>
      <c r="T235" s="683"/>
      <c r="U235" s="34"/>
      <c r="V235" s="34"/>
      <c r="W235" s="35" t="s">
        <v>69</v>
      </c>
      <c r="X235" s="663">
        <v>32</v>
      </c>
      <c r="Y235" s="664">
        <f t="shared" si="43"/>
        <v>32</v>
      </c>
      <c r="Z235" s="36">
        <f>IFERROR(IF(Y235=0,"",ROUNDUP(Y235/H235,0)*0.00902),"")</f>
        <v>7.2160000000000002E-2</v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33.68</v>
      </c>
      <c r="BN235" s="64">
        <f t="shared" si="45"/>
        <v>33.68</v>
      </c>
      <c r="BO235" s="64">
        <f t="shared" si="46"/>
        <v>6.0606060606060608E-2</v>
      </c>
      <c r="BP235" s="64">
        <f t="shared" si="47"/>
        <v>6.0606060606060608E-2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76">
        <v>4680115884182</v>
      </c>
      <c r="E236" s="677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100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2"/>
      <c r="R236" s="682"/>
      <c r="S236" s="682"/>
      <c r="T236" s="683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76">
        <v>4680115884205</v>
      </c>
      <c r="E237" s="677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10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2"/>
      <c r="R237" s="682"/>
      <c r="S237" s="682"/>
      <c r="T237" s="683"/>
      <c r="U237" s="34"/>
      <c r="V237" s="34"/>
      <c r="W237" s="35" t="s">
        <v>69</v>
      </c>
      <c r="X237" s="663">
        <v>60</v>
      </c>
      <c r="Y237" s="664">
        <f t="shared" si="43"/>
        <v>60</v>
      </c>
      <c r="Z237" s="36">
        <f>IFERROR(IF(Y237=0,"",ROUNDUP(Y237/H237,0)*0.00902),"")</f>
        <v>0.1353</v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63.15</v>
      </c>
      <c r="BN237" s="64">
        <f t="shared" si="45"/>
        <v>63.15</v>
      </c>
      <c r="BO237" s="64">
        <f t="shared" si="46"/>
        <v>0.11363636363636365</v>
      </c>
      <c r="BP237" s="64">
        <f t="shared" si="47"/>
        <v>0.11363636363636365</v>
      </c>
    </row>
    <row r="238" spans="1:68" x14ac:dyDescent="0.2">
      <c r="A238" s="670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2"/>
      <c r="P238" s="678" t="s">
        <v>88</v>
      </c>
      <c r="Q238" s="668"/>
      <c r="R238" s="668"/>
      <c r="S238" s="668"/>
      <c r="T238" s="668"/>
      <c r="U238" s="668"/>
      <c r="V238" s="669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25.586206896551722</v>
      </c>
      <c r="Y238" s="665">
        <f>IFERROR(Y230/H230,"0")+IFERROR(Y231/H231,"0")+IFERROR(Y232/H232,"0")+IFERROR(Y233/H233,"0")+IFERROR(Y234/H234,"0")+IFERROR(Y235/H235,"0")+IFERROR(Y236/H236,"0")+IFERROR(Y237/H237,"0")</f>
        <v>26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0.26439999999999997</v>
      </c>
      <c r="AA238" s="666"/>
      <c r="AB238" s="666"/>
      <c r="AC238" s="666"/>
    </row>
    <row r="239" spans="1:68" x14ac:dyDescent="0.2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2"/>
      <c r="P239" s="678" t="s">
        <v>88</v>
      </c>
      <c r="Q239" s="668"/>
      <c r="R239" s="668"/>
      <c r="S239" s="668"/>
      <c r="T239" s="668"/>
      <c r="U239" s="668"/>
      <c r="V239" s="669"/>
      <c r="W239" s="37" t="s">
        <v>69</v>
      </c>
      <c r="X239" s="665">
        <f>IFERROR(SUM(X230:X237),"0")</f>
        <v>122</v>
      </c>
      <c r="Y239" s="665">
        <f>IFERROR(SUM(Y230:Y237),"0")</f>
        <v>126.8</v>
      </c>
      <c r="Z239" s="37"/>
      <c r="AA239" s="666"/>
      <c r="AB239" s="666"/>
      <c r="AC239" s="666"/>
    </row>
    <row r="240" spans="1:68" ht="14.25" hidden="1" customHeight="1" x14ac:dyDescent="0.25">
      <c r="A240" s="680" t="s">
        <v>136</v>
      </c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59"/>
      <c r="AB240" s="659"/>
      <c r="AC240" s="659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76">
        <v>4680115885721</v>
      </c>
      <c r="E241" s="677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77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82"/>
      <c r="R241" s="682"/>
      <c r="S241" s="682"/>
      <c r="T241" s="683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76">
        <v>4680115885981</v>
      </c>
      <c r="E242" s="677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992" t="s">
        <v>407</v>
      </c>
      <c r="Q242" s="682"/>
      <c r="R242" s="682"/>
      <c r="S242" s="682"/>
      <c r="T242" s="683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0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2"/>
      <c r="P243" s="678" t="s">
        <v>88</v>
      </c>
      <c r="Q243" s="668"/>
      <c r="R243" s="668"/>
      <c r="S243" s="668"/>
      <c r="T243" s="668"/>
      <c r="U243" s="668"/>
      <c r="V243" s="669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2"/>
      <c r="P244" s="678" t="s">
        <v>88</v>
      </c>
      <c r="Q244" s="668"/>
      <c r="R244" s="668"/>
      <c r="S244" s="668"/>
      <c r="T244" s="668"/>
      <c r="U244" s="668"/>
      <c r="V244" s="669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80" t="s">
        <v>408</v>
      </c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59"/>
      <c r="AB245" s="659"/>
      <c r="AC245" s="659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76">
        <v>4680115886803</v>
      </c>
      <c r="E246" s="677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946" t="s">
        <v>411</v>
      </c>
      <c r="Q246" s="682"/>
      <c r="R246" s="682"/>
      <c r="S246" s="682"/>
      <c r="T246" s="683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0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2"/>
      <c r="P247" s="678" t="s">
        <v>88</v>
      </c>
      <c r="Q247" s="668"/>
      <c r="R247" s="668"/>
      <c r="S247" s="668"/>
      <c r="T247" s="668"/>
      <c r="U247" s="668"/>
      <c r="V247" s="669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2"/>
      <c r="P248" s="678" t="s">
        <v>88</v>
      </c>
      <c r="Q248" s="668"/>
      <c r="R248" s="668"/>
      <c r="S248" s="668"/>
      <c r="T248" s="668"/>
      <c r="U248" s="668"/>
      <c r="V248" s="669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80" t="s">
        <v>413</v>
      </c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59"/>
      <c r="AB249" s="659"/>
      <c r="AC249" s="659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76">
        <v>4680115886681</v>
      </c>
      <c r="E250" s="677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961" t="s">
        <v>416</v>
      </c>
      <c r="Q250" s="682"/>
      <c r="R250" s="682"/>
      <c r="S250" s="682"/>
      <c r="T250" s="683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0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2"/>
      <c r="P251" s="678" t="s">
        <v>88</v>
      </c>
      <c r="Q251" s="668"/>
      <c r="R251" s="668"/>
      <c r="S251" s="668"/>
      <c r="T251" s="668"/>
      <c r="U251" s="668"/>
      <c r="V251" s="669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2"/>
      <c r="P252" s="678" t="s">
        <v>88</v>
      </c>
      <c r="Q252" s="668"/>
      <c r="R252" s="668"/>
      <c r="S252" s="668"/>
      <c r="T252" s="668"/>
      <c r="U252" s="668"/>
      <c r="V252" s="669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686" t="s">
        <v>418</v>
      </c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58"/>
      <c r="AB253" s="658"/>
      <c r="AC253" s="658"/>
    </row>
    <row r="254" spans="1:68" ht="14.25" hidden="1" customHeight="1" x14ac:dyDescent="0.25">
      <c r="A254" s="680" t="s">
        <v>98</v>
      </c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59"/>
      <c r="AB254" s="659"/>
      <c r="AC254" s="659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76">
        <v>4680115885837</v>
      </c>
      <c r="E255" s="677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9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2"/>
      <c r="R255" s="682"/>
      <c r="S255" s="682"/>
      <c r="T255" s="683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76">
        <v>4680115885806</v>
      </c>
      <c r="E256" s="677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83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2"/>
      <c r="R256" s="682"/>
      <c r="S256" s="682"/>
      <c r="T256" s="683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422</v>
      </c>
      <c r="B257" s="54" t="s">
        <v>425</v>
      </c>
      <c r="C257" s="31">
        <v>4301011850</v>
      </c>
      <c r="D257" s="676">
        <v>4680115885806</v>
      </c>
      <c r="E257" s="677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8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2"/>
      <c r="R257" s="682"/>
      <c r="S257" s="682"/>
      <c r="T257" s="683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76">
        <v>4680115885851</v>
      </c>
      <c r="E258" s="677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96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2"/>
      <c r="R258" s="682"/>
      <c r="S258" s="682"/>
      <c r="T258" s="683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76">
        <v>4680115885844</v>
      </c>
      <c r="E259" s="677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9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2"/>
      <c r="R259" s="682"/>
      <c r="S259" s="682"/>
      <c r="T259" s="683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4301011851</v>
      </c>
      <c r="D260" s="676">
        <v>4680115885820</v>
      </c>
      <c r="E260" s="677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2"/>
      <c r="R260" s="682"/>
      <c r="S260" s="682"/>
      <c r="T260" s="683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0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2"/>
      <c r="P261" s="678" t="s">
        <v>88</v>
      </c>
      <c r="Q261" s="668"/>
      <c r="R261" s="668"/>
      <c r="S261" s="668"/>
      <c r="T261" s="668"/>
      <c r="U261" s="668"/>
      <c r="V261" s="669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2"/>
      <c r="P262" s="678" t="s">
        <v>88</v>
      </c>
      <c r="Q262" s="668"/>
      <c r="R262" s="668"/>
      <c r="S262" s="668"/>
      <c r="T262" s="668"/>
      <c r="U262" s="668"/>
      <c r="V262" s="669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686" t="s">
        <v>436</v>
      </c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58"/>
      <c r="AB263" s="658"/>
      <c r="AC263" s="658"/>
    </row>
    <row r="264" spans="1:68" ht="14.25" hidden="1" customHeight="1" x14ac:dyDescent="0.25">
      <c r="A264" s="680" t="s">
        <v>98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9"/>
      <c r="AB264" s="659"/>
      <c r="AC264" s="659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76">
        <v>4680115885707</v>
      </c>
      <c r="E265" s="677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100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2"/>
      <c r="R265" s="682"/>
      <c r="S265" s="682"/>
      <c r="T265" s="683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0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2"/>
      <c r="P266" s="678" t="s">
        <v>88</v>
      </c>
      <c r="Q266" s="668"/>
      <c r="R266" s="668"/>
      <c r="S266" s="668"/>
      <c r="T266" s="668"/>
      <c r="U266" s="668"/>
      <c r="V266" s="669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2"/>
      <c r="P267" s="678" t="s">
        <v>88</v>
      </c>
      <c r="Q267" s="668"/>
      <c r="R267" s="668"/>
      <c r="S267" s="668"/>
      <c r="T267" s="668"/>
      <c r="U267" s="668"/>
      <c r="V267" s="669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686" t="s">
        <v>440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58"/>
      <c r="AB268" s="658"/>
      <c r="AC268" s="658"/>
    </row>
    <row r="269" spans="1:68" ht="14.25" hidden="1" customHeight="1" x14ac:dyDescent="0.25">
      <c r="A269" s="680" t="s">
        <v>98</v>
      </c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59"/>
      <c r="AB269" s="659"/>
      <c r="AC269" s="659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76">
        <v>4607091383423</v>
      </c>
      <c r="E270" s="677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7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2"/>
      <c r="R270" s="682"/>
      <c r="S270" s="682"/>
      <c r="T270" s="683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76">
        <v>4680115885691</v>
      </c>
      <c r="E271" s="677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100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2"/>
      <c r="R271" s="682"/>
      <c r="S271" s="682"/>
      <c r="T271" s="683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76">
        <v>4680115885660</v>
      </c>
      <c r="E272" s="677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9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2"/>
      <c r="R272" s="682"/>
      <c r="S272" s="682"/>
      <c r="T272" s="683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0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2"/>
      <c r="P273" s="678" t="s">
        <v>88</v>
      </c>
      <c r="Q273" s="668"/>
      <c r="R273" s="668"/>
      <c r="S273" s="668"/>
      <c r="T273" s="668"/>
      <c r="U273" s="668"/>
      <c r="V273" s="669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2"/>
      <c r="P274" s="678" t="s">
        <v>88</v>
      </c>
      <c r="Q274" s="668"/>
      <c r="R274" s="668"/>
      <c r="S274" s="668"/>
      <c r="T274" s="668"/>
      <c r="U274" s="668"/>
      <c r="V274" s="669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686" t="s">
        <v>449</v>
      </c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58"/>
      <c r="AB275" s="658"/>
      <c r="AC275" s="658"/>
    </row>
    <row r="276" spans="1:68" ht="14.25" hidden="1" customHeight="1" x14ac:dyDescent="0.25">
      <c r="A276" s="680" t="s">
        <v>64</v>
      </c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59"/>
      <c r="AB276" s="659"/>
      <c r="AC276" s="659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76">
        <v>4680115881037</v>
      </c>
      <c r="E277" s="677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913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2"/>
      <c r="R277" s="682"/>
      <c r="S277" s="682"/>
      <c r="T277" s="683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76">
        <v>4680115886186</v>
      </c>
      <c r="E278" s="677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2"/>
      <c r="R278" s="682"/>
      <c r="S278" s="682"/>
      <c r="T278" s="683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76">
        <v>4680115881228</v>
      </c>
      <c r="E279" s="677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83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2"/>
      <c r="R279" s="682"/>
      <c r="S279" s="682"/>
      <c r="T279" s="683"/>
      <c r="U279" s="34"/>
      <c r="V279" s="34"/>
      <c r="W279" s="35" t="s">
        <v>69</v>
      </c>
      <c r="X279" s="663">
        <v>20</v>
      </c>
      <c r="Y279" s="664">
        <f>IFERROR(IF(X279="",0,CEILING((X279/$H279),1)*$H279),"")</f>
        <v>21.599999999999998</v>
      </c>
      <c r="Z279" s="36">
        <f>IFERROR(IF(Y279=0,"",ROUNDUP(Y279/H279,0)*0.00651),"")</f>
        <v>5.8590000000000003E-2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22.100000000000005</v>
      </c>
      <c r="BN279" s="64">
        <f>IFERROR(Y279*I279/H279,"0")</f>
        <v>23.868000000000002</v>
      </c>
      <c r="BO279" s="64">
        <f>IFERROR(1/J279*(X279/H279),"0")</f>
        <v>4.5787545787545791E-2</v>
      </c>
      <c r="BP279" s="64">
        <f>IFERROR(1/J279*(Y279/H279),"0")</f>
        <v>4.9450549450549455E-2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76">
        <v>4680115881211</v>
      </c>
      <c r="E280" s="677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9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2"/>
      <c r="R280" s="682"/>
      <c r="S280" s="682"/>
      <c r="T280" s="683"/>
      <c r="U280" s="34"/>
      <c r="V280" s="34"/>
      <c r="W280" s="35" t="s">
        <v>69</v>
      </c>
      <c r="X280" s="663">
        <v>200</v>
      </c>
      <c r="Y280" s="664">
        <f>IFERROR(IF(X280="",0,CEILING((X280/$H280),1)*$H280),"")</f>
        <v>201.6</v>
      </c>
      <c r="Z280" s="36">
        <f>IFERROR(IF(Y280=0,"",ROUNDUP(Y280/H280,0)*0.00651),"")</f>
        <v>0.54683999999999999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215</v>
      </c>
      <c r="BN280" s="64">
        <f>IFERROR(Y280*I280/H280,"0")</f>
        <v>216.72000000000003</v>
      </c>
      <c r="BO280" s="64">
        <f>IFERROR(1/J280*(X280/H280),"0")</f>
        <v>0.45787545787545797</v>
      </c>
      <c r="BP280" s="64">
        <f>IFERROR(1/J280*(Y280/H280),"0")</f>
        <v>0.46153846153846156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76">
        <v>4680115881020</v>
      </c>
      <c r="E281" s="677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94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2"/>
      <c r="R281" s="682"/>
      <c r="S281" s="682"/>
      <c r="T281" s="683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0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2"/>
      <c r="P282" s="678" t="s">
        <v>88</v>
      </c>
      <c r="Q282" s="668"/>
      <c r="R282" s="668"/>
      <c r="S282" s="668"/>
      <c r="T282" s="668"/>
      <c r="U282" s="668"/>
      <c r="V282" s="669"/>
      <c r="W282" s="37" t="s">
        <v>89</v>
      </c>
      <c r="X282" s="665">
        <f>IFERROR(X277/H277,"0")+IFERROR(X278/H278,"0")+IFERROR(X279/H279,"0")+IFERROR(X280/H280,"0")+IFERROR(X281/H281,"0")</f>
        <v>91.666666666666671</v>
      </c>
      <c r="Y282" s="665">
        <f>IFERROR(Y277/H277,"0")+IFERROR(Y278/H278,"0")+IFERROR(Y279/H279,"0")+IFERROR(Y280/H280,"0")+IFERROR(Y281/H281,"0")</f>
        <v>93</v>
      </c>
      <c r="Z282" s="665">
        <f>IFERROR(IF(Z277="",0,Z277),"0")+IFERROR(IF(Z278="",0,Z278),"0")+IFERROR(IF(Z279="",0,Z279),"0")+IFERROR(IF(Z280="",0,Z280),"0")+IFERROR(IF(Z281="",0,Z281),"0")</f>
        <v>0.60543000000000002</v>
      </c>
      <c r="AA282" s="666"/>
      <c r="AB282" s="666"/>
      <c r="AC282" s="666"/>
    </row>
    <row r="283" spans="1:68" x14ac:dyDescent="0.2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2"/>
      <c r="P283" s="678" t="s">
        <v>88</v>
      </c>
      <c r="Q283" s="668"/>
      <c r="R283" s="668"/>
      <c r="S283" s="668"/>
      <c r="T283" s="668"/>
      <c r="U283" s="668"/>
      <c r="V283" s="669"/>
      <c r="W283" s="37" t="s">
        <v>69</v>
      </c>
      <c r="X283" s="665">
        <f>IFERROR(SUM(X277:X281),"0")</f>
        <v>220</v>
      </c>
      <c r="Y283" s="665">
        <f>IFERROR(SUM(Y277:Y281),"0")</f>
        <v>223.2</v>
      </c>
      <c r="Z283" s="37"/>
      <c r="AA283" s="666"/>
      <c r="AB283" s="666"/>
      <c r="AC283" s="666"/>
    </row>
    <row r="284" spans="1:68" ht="16.5" hidden="1" customHeight="1" x14ac:dyDescent="0.25">
      <c r="A284" s="686" t="s">
        <v>463</v>
      </c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58"/>
      <c r="AB284" s="658"/>
      <c r="AC284" s="658"/>
    </row>
    <row r="285" spans="1:68" ht="14.25" hidden="1" customHeight="1" x14ac:dyDescent="0.25">
      <c r="A285" s="680" t="s">
        <v>98</v>
      </c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59"/>
      <c r="AB285" s="659"/>
      <c r="AC285" s="659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76">
        <v>4607091389296</v>
      </c>
      <c r="E286" s="677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96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2"/>
      <c r="R286" s="682"/>
      <c r="S286" s="682"/>
      <c r="T286" s="683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0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2"/>
      <c r="P287" s="678" t="s">
        <v>88</v>
      </c>
      <c r="Q287" s="668"/>
      <c r="R287" s="668"/>
      <c r="S287" s="668"/>
      <c r="T287" s="668"/>
      <c r="U287" s="668"/>
      <c r="V287" s="669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2"/>
      <c r="P288" s="678" t="s">
        <v>88</v>
      </c>
      <c r="Q288" s="668"/>
      <c r="R288" s="668"/>
      <c r="S288" s="668"/>
      <c r="T288" s="668"/>
      <c r="U288" s="668"/>
      <c r="V288" s="669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80" t="s">
        <v>147</v>
      </c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59"/>
      <c r="AB289" s="659"/>
      <c r="AC289" s="659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76">
        <v>4680115880344</v>
      </c>
      <c r="E290" s="677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10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2"/>
      <c r="R290" s="682"/>
      <c r="S290" s="682"/>
      <c r="T290" s="683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0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2"/>
      <c r="P291" s="678" t="s">
        <v>88</v>
      </c>
      <c r="Q291" s="668"/>
      <c r="R291" s="668"/>
      <c r="S291" s="668"/>
      <c r="T291" s="668"/>
      <c r="U291" s="668"/>
      <c r="V291" s="669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2"/>
      <c r="P292" s="678" t="s">
        <v>88</v>
      </c>
      <c r="Q292" s="668"/>
      <c r="R292" s="668"/>
      <c r="S292" s="668"/>
      <c r="T292" s="668"/>
      <c r="U292" s="668"/>
      <c r="V292" s="669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80" t="s">
        <v>64</v>
      </c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59"/>
      <c r="AB293" s="659"/>
      <c r="AC293" s="659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76">
        <v>4680115884618</v>
      </c>
      <c r="E294" s="677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2"/>
      <c r="R294" s="682"/>
      <c r="S294" s="682"/>
      <c r="T294" s="683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0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2"/>
      <c r="P295" s="678" t="s">
        <v>88</v>
      </c>
      <c r="Q295" s="668"/>
      <c r="R295" s="668"/>
      <c r="S295" s="668"/>
      <c r="T295" s="668"/>
      <c r="U295" s="668"/>
      <c r="V295" s="669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2"/>
      <c r="P296" s="678" t="s">
        <v>88</v>
      </c>
      <c r="Q296" s="668"/>
      <c r="R296" s="668"/>
      <c r="S296" s="668"/>
      <c r="T296" s="668"/>
      <c r="U296" s="668"/>
      <c r="V296" s="669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686" t="s">
        <v>473</v>
      </c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58"/>
      <c r="AB297" s="658"/>
      <c r="AC297" s="658"/>
    </row>
    <row r="298" spans="1:68" ht="14.25" hidden="1" customHeight="1" x14ac:dyDescent="0.25">
      <c r="A298" s="680" t="s">
        <v>64</v>
      </c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59"/>
      <c r="AB298" s="659"/>
      <c r="AC298" s="659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76">
        <v>4680115880511</v>
      </c>
      <c r="E299" s="677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6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2"/>
      <c r="R299" s="682"/>
      <c r="S299" s="682"/>
      <c r="T299" s="683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0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2"/>
      <c r="P300" s="678" t="s">
        <v>88</v>
      </c>
      <c r="Q300" s="668"/>
      <c r="R300" s="668"/>
      <c r="S300" s="668"/>
      <c r="T300" s="668"/>
      <c r="U300" s="668"/>
      <c r="V300" s="669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2"/>
      <c r="P301" s="678" t="s">
        <v>88</v>
      </c>
      <c r="Q301" s="668"/>
      <c r="R301" s="668"/>
      <c r="S301" s="668"/>
      <c r="T301" s="668"/>
      <c r="U301" s="668"/>
      <c r="V301" s="669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686" t="s">
        <v>477</v>
      </c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58"/>
      <c r="AB302" s="658"/>
      <c r="AC302" s="658"/>
    </row>
    <row r="303" spans="1:68" ht="14.25" hidden="1" customHeight="1" x14ac:dyDescent="0.25">
      <c r="A303" s="680" t="s">
        <v>98</v>
      </c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59"/>
      <c r="AB303" s="659"/>
      <c r="AC303" s="659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76">
        <v>4680115883413</v>
      </c>
      <c r="E304" s="677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5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2"/>
      <c r="R304" s="682"/>
      <c r="S304" s="682"/>
      <c r="T304" s="683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0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2"/>
      <c r="P305" s="678" t="s">
        <v>88</v>
      </c>
      <c r="Q305" s="668"/>
      <c r="R305" s="668"/>
      <c r="S305" s="668"/>
      <c r="T305" s="668"/>
      <c r="U305" s="668"/>
      <c r="V305" s="669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2"/>
      <c r="P306" s="678" t="s">
        <v>88</v>
      </c>
      <c r="Q306" s="668"/>
      <c r="R306" s="668"/>
      <c r="S306" s="668"/>
      <c r="T306" s="668"/>
      <c r="U306" s="668"/>
      <c r="V306" s="669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80" t="s">
        <v>147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76">
        <v>4607091389845</v>
      </c>
      <c r="E308" s="677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91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2"/>
      <c r="R308" s="682"/>
      <c r="S308" s="682"/>
      <c r="T308" s="683"/>
      <c r="U308" s="34"/>
      <c r="V308" s="34"/>
      <c r="W308" s="35" t="s">
        <v>69</v>
      </c>
      <c r="X308" s="663">
        <v>122.5</v>
      </c>
      <c r="Y308" s="664">
        <f>IFERROR(IF(X308="",0,CEILING((X308/$H308),1)*$H308),"")</f>
        <v>123.9</v>
      </c>
      <c r="Z308" s="36">
        <f>IFERROR(IF(Y308=0,"",ROUNDUP(Y308/H308,0)*0.00502),"")</f>
        <v>0.29618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128.33333333333331</v>
      </c>
      <c r="BN308" s="64">
        <f>IFERROR(Y308*I308/H308,"0")</f>
        <v>129.80000000000001</v>
      </c>
      <c r="BO308" s="64">
        <f>IFERROR(1/J308*(X308/H308),"0")</f>
        <v>0.2492877492877493</v>
      </c>
      <c r="BP308" s="64">
        <f>IFERROR(1/J308*(Y308/H308),"0")</f>
        <v>0.25213675213675218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76">
        <v>4680115882881</v>
      </c>
      <c r="E309" s="677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4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2"/>
      <c r="R309" s="682"/>
      <c r="S309" s="682"/>
      <c r="T309" s="683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0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2"/>
      <c r="P310" s="678" t="s">
        <v>88</v>
      </c>
      <c r="Q310" s="668"/>
      <c r="R310" s="668"/>
      <c r="S310" s="668"/>
      <c r="T310" s="668"/>
      <c r="U310" s="668"/>
      <c r="V310" s="669"/>
      <c r="W310" s="37" t="s">
        <v>89</v>
      </c>
      <c r="X310" s="665">
        <f>IFERROR(X308/H308,"0")+IFERROR(X309/H309,"0")</f>
        <v>58.333333333333329</v>
      </c>
      <c r="Y310" s="665">
        <f>IFERROR(Y308/H308,"0")+IFERROR(Y309/H309,"0")</f>
        <v>59</v>
      </c>
      <c r="Z310" s="665">
        <f>IFERROR(IF(Z308="",0,Z308),"0")+IFERROR(IF(Z309="",0,Z309),"0")</f>
        <v>0.29618</v>
      </c>
      <c r="AA310" s="666"/>
      <c r="AB310" s="666"/>
      <c r="AC310" s="666"/>
    </row>
    <row r="311" spans="1:68" x14ac:dyDescent="0.2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2"/>
      <c r="P311" s="678" t="s">
        <v>88</v>
      </c>
      <c r="Q311" s="668"/>
      <c r="R311" s="668"/>
      <c r="S311" s="668"/>
      <c r="T311" s="668"/>
      <c r="U311" s="668"/>
      <c r="V311" s="669"/>
      <c r="W311" s="37" t="s">
        <v>69</v>
      </c>
      <c r="X311" s="665">
        <f>IFERROR(SUM(X308:X309),"0")</f>
        <v>122.5</v>
      </c>
      <c r="Y311" s="665">
        <f>IFERROR(SUM(Y308:Y309),"0")</f>
        <v>123.9</v>
      </c>
      <c r="Z311" s="37"/>
      <c r="AA311" s="666"/>
      <c r="AB311" s="666"/>
      <c r="AC311" s="666"/>
    </row>
    <row r="312" spans="1:68" ht="16.5" hidden="1" customHeight="1" x14ac:dyDescent="0.25">
      <c r="A312" s="686" t="s">
        <v>485</v>
      </c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58"/>
      <c r="AB312" s="658"/>
      <c r="AC312" s="658"/>
    </row>
    <row r="313" spans="1:68" ht="14.25" hidden="1" customHeight="1" x14ac:dyDescent="0.25">
      <c r="A313" s="680" t="s">
        <v>98</v>
      </c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59"/>
      <c r="AB313" s="659"/>
      <c r="AC313" s="659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76">
        <v>4680115883703</v>
      </c>
      <c r="E314" s="677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82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2"/>
      <c r="R314" s="682"/>
      <c r="S314" s="682"/>
      <c r="T314" s="683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0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2"/>
      <c r="P315" s="678" t="s">
        <v>88</v>
      </c>
      <c r="Q315" s="668"/>
      <c r="R315" s="668"/>
      <c r="S315" s="668"/>
      <c r="T315" s="668"/>
      <c r="U315" s="668"/>
      <c r="V315" s="669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2"/>
      <c r="P316" s="678" t="s">
        <v>88</v>
      </c>
      <c r="Q316" s="668"/>
      <c r="R316" s="668"/>
      <c r="S316" s="668"/>
      <c r="T316" s="668"/>
      <c r="U316" s="668"/>
      <c r="V316" s="669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686" t="s">
        <v>490</v>
      </c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58"/>
      <c r="AB317" s="658"/>
      <c r="AC317" s="658"/>
    </row>
    <row r="318" spans="1:68" ht="14.25" hidden="1" customHeight="1" x14ac:dyDescent="0.25">
      <c r="A318" s="680" t="s">
        <v>98</v>
      </c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59"/>
      <c r="AB318" s="659"/>
      <c r="AC318" s="659"/>
    </row>
    <row r="319" spans="1:68" ht="27" hidden="1" customHeight="1" x14ac:dyDescent="0.25">
      <c r="A319" s="54" t="s">
        <v>491</v>
      </c>
      <c r="B319" s="54" t="s">
        <v>492</v>
      </c>
      <c r="C319" s="31">
        <v>4301012024</v>
      </c>
      <c r="D319" s="676">
        <v>4680115885615</v>
      </c>
      <c r="E319" s="677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69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2"/>
      <c r="R319" s="682"/>
      <c r="S319" s="682"/>
      <c r="T319" s="683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76">
        <v>4680115885554</v>
      </c>
      <c r="E320" s="677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819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2"/>
      <c r="R320" s="682"/>
      <c r="S320" s="682"/>
      <c r="T320" s="683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494</v>
      </c>
      <c r="B321" s="54" t="s">
        <v>497</v>
      </c>
      <c r="C321" s="31">
        <v>4301012016</v>
      </c>
      <c r="D321" s="676">
        <v>4680115885554</v>
      </c>
      <c r="E321" s="677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7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2"/>
      <c r="R321" s="682"/>
      <c r="S321" s="682"/>
      <c r="T321" s="683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6">
        <v>4680115885646</v>
      </c>
      <c r="E322" s="677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2"/>
      <c r="R322" s="682"/>
      <c r="S322" s="682"/>
      <c r="T322" s="683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6">
        <v>4680115885622</v>
      </c>
      <c r="E323" s="677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78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2"/>
      <c r="R323" s="682"/>
      <c r="S323" s="682"/>
      <c r="T323" s="683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6">
        <v>4680115885608</v>
      </c>
      <c r="E324" s="677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2"/>
      <c r="R324" s="682"/>
      <c r="S324" s="682"/>
      <c r="T324" s="683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0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2"/>
      <c r="P325" s="678" t="s">
        <v>88</v>
      </c>
      <c r="Q325" s="668"/>
      <c r="R325" s="668"/>
      <c r="S325" s="668"/>
      <c r="T325" s="668"/>
      <c r="U325" s="668"/>
      <c r="V325" s="669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2"/>
      <c r="P326" s="678" t="s">
        <v>88</v>
      </c>
      <c r="Q326" s="668"/>
      <c r="R326" s="668"/>
      <c r="S326" s="668"/>
      <c r="T326" s="668"/>
      <c r="U326" s="668"/>
      <c r="V326" s="669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80" t="s">
        <v>147</v>
      </c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59"/>
      <c r="AB327" s="659"/>
      <c r="AC327" s="659"/>
    </row>
    <row r="328" spans="1:68" ht="27" hidden="1" customHeight="1" x14ac:dyDescent="0.25">
      <c r="A328" s="54" t="s">
        <v>509</v>
      </c>
      <c r="B328" s="54" t="s">
        <v>510</v>
      </c>
      <c r="C328" s="31">
        <v>4301030878</v>
      </c>
      <c r="D328" s="676">
        <v>4607091387193</v>
      </c>
      <c r="E328" s="677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10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2"/>
      <c r="R328" s="682"/>
      <c r="S328" s="682"/>
      <c r="T328" s="683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512</v>
      </c>
      <c r="B329" s="54" t="s">
        <v>513</v>
      </c>
      <c r="C329" s="31">
        <v>4301031153</v>
      </c>
      <c r="D329" s="676">
        <v>4607091387230</v>
      </c>
      <c r="E329" s="677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10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2"/>
      <c r="R329" s="682"/>
      <c r="S329" s="682"/>
      <c r="T329" s="683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6">
        <v>4607091387292</v>
      </c>
      <c r="E330" s="677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2"/>
      <c r="R330" s="682"/>
      <c r="S330" s="682"/>
      <c r="T330" s="683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6">
        <v>4607091387285</v>
      </c>
      <c r="E331" s="677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10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2"/>
      <c r="R331" s="682"/>
      <c r="S331" s="682"/>
      <c r="T331" s="683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0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2"/>
      <c r="P332" s="678" t="s">
        <v>88</v>
      </c>
      <c r="Q332" s="668"/>
      <c r="R332" s="668"/>
      <c r="S332" s="668"/>
      <c r="T332" s="668"/>
      <c r="U332" s="668"/>
      <c r="V332" s="669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2"/>
      <c r="P333" s="678" t="s">
        <v>88</v>
      </c>
      <c r="Q333" s="668"/>
      <c r="R333" s="668"/>
      <c r="S333" s="668"/>
      <c r="T333" s="668"/>
      <c r="U333" s="668"/>
      <c r="V333" s="669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80" t="s">
        <v>64</v>
      </c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59"/>
      <c r="AB334" s="659"/>
      <c r="AC334" s="659"/>
    </row>
    <row r="335" spans="1:68" ht="27" hidden="1" customHeight="1" x14ac:dyDescent="0.25">
      <c r="A335" s="54" t="s">
        <v>520</v>
      </c>
      <c r="B335" s="54" t="s">
        <v>521</v>
      </c>
      <c r="C335" s="31">
        <v>4301051100</v>
      </c>
      <c r="D335" s="676">
        <v>4607091387766</v>
      </c>
      <c r="E335" s="677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2"/>
      <c r="R335" s="682"/>
      <c r="S335" s="682"/>
      <c r="T335" s="683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6">
        <v>4607091387957</v>
      </c>
      <c r="E336" s="677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2"/>
      <c r="R336" s="682"/>
      <c r="S336" s="682"/>
      <c r="T336" s="683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6">
        <v>4607091387964</v>
      </c>
      <c r="E337" s="677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9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2"/>
      <c r="R337" s="682"/>
      <c r="S337" s="682"/>
      <c r="T337" s="683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6">
        <v>4680115884588</v>
      </c>
      <c r="E338" s="677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6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2"/>
      <c r="R338" s="682"/>
      <c r="S338" s="682"/>
      <c r="T338" s="683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6">
        <v>4607091387513</v>
      </c>
      <c r="E339" s="677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97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2"/>
      <c r="R339" s="682"/>
      <c r="S339" s="682"/>
      <c r="T339" s="683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0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2"/>
      <c r="P340" s="678" t="s">
        <v>88</v>
      </c>
      <c r="Q340" s="668"/>
      <c r="R340" s="668"/>
      <c r="S340" s="668"/>
      <c r="T340" s="668"/>
      <c r="U340" s="668"/>
      <c r="V340" s="669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2"/>
      <c r="P341" s="678" t="s">
        <v>88</v>
      </c>
      <c r="Q341" s="668"/>
      <c r="R341" s="668"/>
      <c r="S341" s="668"/>
      <c r="T341" s="668"/>
      <c r="U341" s="668"/>
      <c r="V341" s="669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80" t="s">
        <v>173</v>
      </c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59"/>
      <c r="AB342" s="659"/>
      <c r="AC342" s="659"/>
    </row>
    <row r="343" spans="1:68" ht="27" hidden="1" customHeight="1" x14ac:dyDescent="0.25">
      <c r="A343" s="54" t="s">
        <v>535</v>
      </c>
      <c r="B343" s="54" t="s">
        <v>536</v>
      </c>
      <c r="C343" s="31">
        <v>4301060387</v>
      </c>
      <c r="D343" s="676">
        <v>4607091380880</v>
      </c>
      <c r="E343" s="677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8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2"/>
      <c r="R343" s="682"/>
      <c r="S343" s="682"/>
      <c r="T343" s="683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76">
        <v>4607091384482</v>
      </c>
      <c r="E344" s="677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2"/>
      <c r="R344" s="682"/>
      <c r="S344" s="682"/>
      <c r="T344" s="683"/>
      <c r="U344" s="34"/>
      <c r="V344" s="34"/>
      <c r="W344" s="35" t="s">
        <v>69</v>
      </c>
      <c r="X344" s="663">
        <v>300</v>
      </c>
      <c r="Y344" s="664">
        <f>IFERROR(IF(X344="",0,CEILING((X344/$H344),1)*$H344),"")</f>
        <v>304.2</v>
      </c>
      <c r="Z344" s="36">
        <f>IFERROR(IF(Y344=0,"",ROUNDUP(Y344/H344,0)*0.01898),"")</f>
        <v>0.74021999999999999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319.96153846153851</v>
      </c>
      <c r="BN344" s="64">
        <f>IFERROR(Y344*I344/H344,"0")</f>
        <v>324.44100000000003</v>
      </c>
      <c r="BO344" s="64">
        <f>IFERROR(1/J344*(X344/H344),"0")</f>
        <v>0.60096153846153844</v>
      </c>
      <c r="BP344" s="64">
        <f>IFERROR(1/J344*(Y344/H344),"0")</f>
        <v>0.609375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76">
        <v>4607091380897</v>
      </c>
      <c r="E345" s="677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2"/>
      <c r="R345" s="682"/>
      <c r="S345" s="682"/>
      <c r="T345" s="683"/>
      <c r="U345" s="34"/>
      <c r="V345" s="34"/>
      <c r="W345" s="35" t="s">
        <v>69</v>
      </c>
      <c r="X345" s="663">
        <v>40</v>
      </c>
      <c r="Y345" s="664">
        <f>IFERROR(IF(X345="",0,CEILING((X345/$H345),1)*$H345),"")</f>
        <v>42</v>
      </c>
      <c r="Z345" s="36">
        <f>IFERROR(IF(Y345=0,"",ROUNDUP(Y345/H345,0)*0.01898),"")</f>
        <v>9.4899999999999998E-2</v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42.471428571428568</v>
      </c>
      <c r="BN345" s="64">
        <f>IFERROR(Y345*I345/H345,"0")</f>
        <v>44.594999999999999</v>
      </c>
      <c r="BO345" s="64">
        <f>IFERROR(1/J345*(X345/H345),"0")</f>
        <v>7.4404761904761904E-2</v>
      </c>
      <c r="BP345" s="64">
        <f>IFERROR(1/J345*(Y345/H345),"0")</f>
        <v>7.8125E-2</v>
      </c>
    </row>
    <row r="346" spans="1:68" x14ac:dyDescent="0.2">
      <c r="A346" s="670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2"/>
      <c r="P346" s="678" t="s">
        <v>88</v>
      </c>
      <c r="Q346" s="668"/>
      <c r="R346" s="668"/>
      <c r="S346" s="668"/>
      <c r="T346" s="668"/>
      <c r="U346" s="668"/>
      <c r="V346" s="669"/>
      <c r="W346" s="37" t="s">
        <v>89</v>
      </c>
      <c r="X346" s="665">
        <f>IFERROR(X343/H343,"0")+IFERROR(X344/H344,"0")+IFERROR(X345/H345,"0")</f>
        <v>43.223443223443219</v>
      </c>
      <c r="Y346" s="665">
        <f>IFERROR(Y343/H343,"0")+IFERROR(Y344/H344,"0")+IFERROR(Y345/H345,"0")</f>
        <v>44</v>
      </c>
      <c r="Z346" s="665">
        <f>IFERROR(IF(Z343="",0,Z343),"0")+IFERROR(IF(Z344="",0,Z344),"0")+IFERROR(IF(Z345="",0,Z345),"0")</f>
        <v>0.83511999999999997</v>
      </c>
      <c r="AA346" s="666"/>
      <c r="AB346" s="666"/>
      <c r="AC346" s="666"/>
    </row>
    <row r="347" spans="1:68" x14ac:dyDescent="0.2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2"/>
      <c r="P347" s="678" t="s">
        <v>88</v>
      </c>
      <c r="Q347" s="668"/>
      <c r="R347" s="668"/>
      <c r="S347" s="668"/>
      <c r="T347" s="668"/>
      <c r="U347" s="668"/>
      <c r="V347" s="669"/>
      <c r="W347" s="37" t="s">
        <v>69</v>
      </c>
      <c r="X347" s="665">
        <f>IFERROR(SUM(X343:X345),"0")</f>
        <v>340</v>
      </c>
      <c r="Y347" s="665">
        <f>IFERROR(SUM(Y343:Y345),"0")</f>
        <v>346.2</v>
      </c>
      <c r="Z347" s="37"/>
      <c r="AA347" s="666"/>
      <c r="AB347" s="666"/>
      <c r="AC347" s="666"/>
    </row>
    <row r="348" spans="1:68" ht="14.25" hidden="1" customHeight="1" x14ac:dyDescent="0.25">
      <c r="A348" s="680" t="s">
        <v>90</v>
      </c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6">
        <v>4680115886476</v>
      </c>
      <c r="E349" s="677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758" t="s">
        <v>546</v>
      </c>
      <c r="Q349" s="682"/>
      <c r="R349" s="682"/>
      <c r="S349" s="682"/>
      <c r="T349" s="683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6">
        <v>4607091388374</v>
      </c>
      <c r="E350" s="677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971" t="s">
        <v>550</v>
      </c>
      <c r="Q350" s="682"/>
      <c r="R350" s="682"/>
      <c r="S350" s="682"/>
      <c r="T350" s="683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6">
        <v>4607091383102</v>
      </c>
      <c r="E351" s="677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95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2"/>
      <c r="R351" s="682"/>
      <c r="S351" s="682"/>
      <c r="T351" s="683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76">
        <v>4607091388404</v>
      </c>
      <c r="E352" s="677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2"/>
      <c r="R352" s="682"/>
      <c r="S352" s="682"/>
      <c r="T352" s="683"/>
      <c r="U352" s="34"/>
      <c r="V352" s="34"/>
      <c r="W352" s="35" t="s">
        <v>69</v>
      </c>
      <c r="X352" s="663">
        <v>85</v>
      </c>
      <c r="Y352" s="664">
        <f>IFERROR(IF(X352="",0,CEILING((X352/$H352),1)*$H352),"")</f>
        <v>86.699999999999989</v>
      </c>
      <c r="Z352" s="36">
        <f>IFERROR(IF(Y352=0,"",ROUNDUP(Y352/H352,0)*0.00651),"")</f>
        <v>0.22134000000000001</v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96</v>
      </c>
      <c r="BN352" s="64">
        <f>IFERROR(Y352*I352/H352,"0")</f>
        <v>97.92</v>
      </c>
      <c r="BO352" s="64">
        <f>IFERROR(1/J352*(X352/H352),"0")</f>
        <v>0.18315018315018317</v>
      </c>
      <c r="BP352" s="64">
        <f>IFERROR(1/J352*(Y352/H352),"0")</f>
        <v>0.18681318681318682</v>
      </c>
    </row>
    <row r="353" spans="1:68" x14ac:dyDescent="0.2">
      <c r="A353" s="670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2"/>
      <c r="P353" s="678" t="s">
        <v>88</v>
      </c>
      <c r="Q353" s="668"/>
      <c r="R353" s="668"/>
      <c r="S353" s="668"/>
      <c r="T353" s="668"/>
      <c r="U353" s="668"/>
      <c r="V353" s="669"/>
      <c r="W353" s="37" t="s">
        <v>89</v>
      </c>
      <c r="X353" s="665">
        <f>IFERROR(X349/H349,"0")+IFERROR(X350/H350,"0")+IFERROR(X351/H351,"0")+IFERROR(X352/H352,"0")</f>
        <v>33.333333333333336</v>
      </c>
      <c r="Y353" s="665">
        <f>IFERROR(Y349/H349,"0")+IFERROR(Y350/H350,"0")+IFERROR(Y351/H351,"0")+IFERROR(Y352/H352,"0")</f>
        <v>34</v>
      </c>
      <c r="Z353" s="665">
        <f>IFERROR(IF(Z349="",0,Z349),"0")+IFERROR(IF(Z350="",0,Z350),"0")+IFERROR(IF(Z351="",0,Z351),"0")+IFERROR(IF(Z352="",0,Z352),"0")</f>
        <v>0.22134000000000001</v>
      </c>
      <c r="AA353" s="666"/>
      <c r="AB353" s="666"/>
      <c r="AC353" s="666"/>
    </row>
    <row r="354" spans="1:68" x14ac:dyDescent="0.2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2"/>
      <c r="P354" s="678" t="s">
        <v>88</v>
      </c>
      <c r="Q354" s="668"/>
      <c r="R354" s="668"/>
      <c r="S354" s="668"/>
      <c r="T354" s="668"/>
      <c r="U354" s="668"/>
      <c r="V354" s="669"/>
      <c r="W354" s="37" t="s">
        <v>69</v>
      </c>
      <c r="X354" s="665">
        <f>IFERROR(SUM(X349:X352),"0")</f>
        <v>85</v>
      </c>
      <c r="Y354" s="665">
        <f>IFERROR(SUM(Y349:Y352),"0")</f>
        <v>86.699999999999989</v>
      </c>
      <c r="Z354" s="37"/>
      <c r="AA354" s="666"/>
      <c r="AB354" s="666"/>
      <c r="AC354" s="666"/>
    </row>
    <row r="355" spans="1:68" ht="14.25" hidden="1" customHeight="1" x14ac:dyDescent="0.25">
      <c r="A355" s="680" t="s">
        <v>557</v>
      </c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6">
        <v>4680115881808</v>
      </c>
      <c r="E356" s="677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2"/>
      <c r="R356" s="682"/>
      <c r="S356" s="682"/>
      <c r="T356" s="683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6">
        <v>4680115881822</v>
      </c>
      <c r="E357" s="677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2"/>
      <c r="R357" s="682"/>
      <c r="S357" s="682"/>
      <c r="T357" s="683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6">
        <v>4680115880016</v>
      </c>
      <c r="E358" s="677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9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2"/>
      <c r="R358" s="682"/>
      <c r="S358" s="682"/>
      <c r="T358" s="683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0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2"/>
      <c r="P359" s="678" t="s">
        <v>88</v>
      </c>
      <c r="Q359" s="668"/>
      <c r="R359" s="668"/>
      <c r="S359" s="668"/>
      <c r="T359" s="668"/>
      <c r="U359" s="668"/>
      <c r="V359" s="669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2"/>
      <c r="P360" s="678" t="s">
        <v>88</v>
      </c>
      <c r="Q360" s="668"/>
      <c r="R360" s="668"/>
      <c r="S360" s="668"/>
      <c r="T360" s="668"/>
      <c r="U360" s="668"/>
      <c r="V360" s="669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686" t="s">
        <v>566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8"/>
      <c r="AB361" s="658"/>
      <c r="AC361" s="658"/>
    </row>
    <row r="362" spans="1:68" ht="14.25" hidden="1" customHeight="1" x14ac:dyDescent="0.25">
      <c r="A362" s="680" t="s">
        <v>147</v>
      </c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76">
        <v>4607091383836</v>
      </c>
      <c r="E363" s="677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68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2"/>
      <c r="R363" s="682"/>
      <c r="S363" s="682"/>
      <c r="T363" s="683"/>
      <c r="U363" s="34"/>
      <c r="V363" s="34"/>
      <c r="W363" s="35" t="s">
        <v>69</v>
      </c>
      <c r="X363" s="663">
        <v>9</v>
      </c>
      <c r="Y363" s="664">
        <f>IFERROR(IF(X363="",0,CEILING((X363/$H363),1)*$H363),"")</f>
        <v>9</v>
      </c>
      <c r="Z363" s="36">
        <f>IFERROR(IF(Y363=0,"",ROUNDUP(Y363/H363,0)*0.00651),"")</f>
        <v>3.2550000000000003E-2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10.139999999999999</v>
      </c>
      <c r="BN363" s="64">
        <f>IFERROR(Y363*I363/H363,"0")</f>
        <v>10.139999999999999</v>
      </c>
      <c r="BO363" s="64">
        <f>IFERROR(1/J363*(X363/H363),"0")</f>
        <v>2.7472527472527476E-2</v>
      </c>
      <c r="BP363" s="64">
        <f>IFERROR(1/J363*(Y363/H363),"0")</f>
        <v>2.7472527472527476E-2</v>
      </c>
    </row>
    <row r="364" spans="1:68" x14ac:dyDescent="0.2">
      <c r="A364" s="670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2"/>
      <c r="P364" s="678" t="s">
        <v>88</v>
      </c>
      <c r="Q364" s="668"/>
      <c r="R364" s="668"/>
      <c r="S364" s="668"/>
      <c r="T364" s="668"/>
      <c r="U364" s="668"/>
      <c r="V364" s="669"/>
      <c r="W364" s="37" t="s">
        <v>89</v>
      </c>
      <c r="X364" s="665">
        <f>IFERROR(X363/H363,"0")</f>
        <v>5</v>
      </c>
      <c r="Y364" s="665">
        <f>IFERROR(Y363/H363,"0")</f>
        <v>5</v>
      </c>
      <c r="Z364" s="665">
        <f>IFERROR(IF(Z363="",0,Z363),"0")</f>
        <v>3.2550000000000003E-2</v>
      </c>
      <c r="AA364" s="666"/>
      <c r="AB364" s="666"/>
      <c r="AC364" s="666"/>
    </row>
    <row r="365" spans="1:68" x14ac:dyDescent="0.2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2"/>
      <c r="P365" s="678" t="s">
        <v>88</v>
      </c>
      <c r="Q365" s="668"/>
      <c r="R365" s="668"/>
      <c r="S365" s="668"/>
      <c r="T365" s="668"/>
      <c r="U365" s="668"/>
      <c r="V365" s="669"/>
      <c r="W365" s="37" t="s">
        <v>69</v>
      </c>
      <c r="X365" s="665">
        <f>IFERROR(SUM(X363:X363),"0")</f>
        <v>9</v>
      </c>
      <c r="Y365" s="665">
        <f>IFERROR(SUM(Y363:Y363),"0")</f>
        <v>9</v>
      </c>
      <c r="Z365" s="37"/>
      <c r="AA365" s="666"/>
      <c r="AB365" s="666"/>
      <c r="AC365" s="666"/>
    </row>
    <row r="366" spans="1:68" ht="14.25" hidden="1" customHeight="1" x14ac:dyDescent="0.25">
      <c r="A366" s="680" t="s">
        <v>64</v>
      </c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59"/>
      <c r="AB366" s="659"/>
      <c r="AC366" s="659"/>
    </row>
    <row r="367" spans="1:68" ht="27" hidden="1" customHeight="1" x14ac:dyDescent="0.25">
      <c r="A367" s="54" t="s">
        <v>570</v>
      </c>
      <c r="B367" s="54" t="s">
        <v>571</v>
      </c>
      <c r="C367" s="31">
        <v>4301051489</v>
      </c>
      <c r="D367" s="676">
        <v>4607091387919</v>
      </c>
      <c r="E367" s="677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2"/>
      <c r="R367" s="682"/>
      <c r="S367" s="682"/>
      <c r="T367" s="683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76">
        <v>4680115883604</v>
      </c>
      <c r="E368" s="677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6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2"/>
      <c r="R368" s="682"/>
      <c r="S368" s="682"/>
      <c r="T368" s="683"/>
      <c r="U368" s="34"/>
      <c r="V368" s="34"/>
      <c r="W368" s="35" t="s">
        <v>69</v>
      </c>
      <c r="X368" s="663">
        <v>454.99999999999989</v>
      </c>
      <c r="Y368" s="664">
        <f>IFERROR(IF(X368="",0,CEILING((X368/$H368),1)*$H368),"")</f>
        <v>455.70000000000005</v>
      </c>
      <c r="Z368" s="36">
        <f>IFERROR(IF(Y368=0,"",ROUNDUP(Y368/H368,0)*0.00651),"")</f>
        <v>1.4126700000000001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509.5999999999998</v>
      </c>
      <c r="BN368" s="64">
        <f>IFERROR(Y368*I368/H368,"0")</f>
        <v>510.38399999999996</v>
      </c>
      <c r="BO368" s="64">
        <f>IFERROR(1/J368*(X368/H368),"0")</f>
        <v>1.1904761904761902</v>
      </c>
      <c r="BP368" s="64">
        <f>IFERROR(1/J368*(Y368/H368),"0")</f>
        <v>1.1923076923076923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76">
        <v>4680115883567</v>
      </c>
      <c r="E369" s="677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2"/>
      <c r="R369" s="682"/>
      <c r="S369" s="682"/>
      <c r="T369" s="683"/>
      <c r="U369" s="34"/>
      <c r="V369" s="34"/>
      <c r="W369" s="35" t="s">
        <v>69</v>
      </c>
      <c r="X369" s="663">
        <v>700</v>
      </c>
      <c r="Y369" s="664">
        <f>IFERROR(IF(X369="",0,CEILING((X369/$H369),1)*$H369),"")</f>
        <v>701.4</v>
      </c>
      <c r="Z369" s="36">
        <f>IFERROR(IF(Y369=0,"",ROUNDUP(Y369/H369,0)*0.00651),"")</f>
        <v>2.1743399999999999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780</v>
      </c>
      <c r="BN369" s="64">
        <f>IFERROR(Y369*I369/H369,"0")</f>
        <v>781.56</v>
      </c>
      <c r="BO369" s="64">
        <f>IFERROR(1/J369*(X369/H369),"0")</f>
        <v>1.8315018315018314</v>
      </c>
      <c r="BP369" s="64">
        <f>IFERROR(1/J369*(Y369/H369),"0")</f>
        <v>1.8351648351648353</v>
      </c>
    </row>
    <row r="370" spans="1:68" x14ac:dyDescent="0.2">
      <c r="A370" s="670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2"/>
      <c r="P370" s="678" t="s">
        <v>88</v>
      </c>
      <c r="Q370" s="668"/>
      <c r="R370" s="668"/>
      <c r="S370" s="668"/>
      <c r="T370" s="668"/>
      <c r="U370" s="668"/>
      <c r="V370" s="669"/>
      <c r="W370" s="37" t="s">
        <v>89</v>
      </c>
      <c r="X370" s="665">
        <f>IFERROR(X367/H367,"0")+IFERROR(X368/H368,"0")+IFERROR(X369/H369,"0")</f>
        <v>549.99999999999989</v>
      </c>
      <c r="Y370" s="665">
        <f>IFERROR(Y367/H367,"0")+IFERROR(Y368/H368,"0")+IFERROR(Y369/H369,"0")</f>
        <v>551</v>
      </c>
      <c r="Z370" s="665">
        <f>IFERROR(IF(Z367="",0,Z367),"0")+IFERROR(IF(Z368="",0,Z368),"0")+IFERROR(IF(Z369="",0,Z369),"0")</f>
        <v>3.5870100000000003</v>
      </c>
      <c r="AA370" s="666"/>
      <c r="AB370" s="666"/>
      <c r="AC370" s="666"/>
    </row>
    <row r="371" spans="1:68" x14ac:dyDescent="0.2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2"/>
      <c r="P371" s="678" t="s">
        <v>88</v>
      </c>
      <c r="Q371" s="668"/>
      <c r="R371" s="668"/>
      <c r="S371" s="668"/>
      <c r="T371" s="668"/>
      <c r="U371" s="668"/>
      <c r="V371" s="669"/>
      <c r="W371" s="37" t="s">
        <v>69</v>
      </c>
      <c r="X371" s="665">
        <f>IFERROR(SUM(X367:X369),"0")</f>
        <v>1155</v>
      </c>
      <c r="Y371" s="665">
        <f>IFERROR(SUM(Y367:Y369),"0")</f>
        <v>1157.0999999999999</v>
      </c>
      <c r="Z371" s="37"/>
      <c r="AA371" s="666"/>
      <c r="AB371" s="666"/>
      <c r="AC371" s="666"/>
    </row>
    <row r="372" spans="1:68" ht="27.75" hidden="1" customHeight="1" x14ac:dyDescent="0.2">
      <c r="A372" s="790" t="s">
        <v>579</v>
      </c>
      <c r="B372" s="791"/>
      <c r="C372" s="791"/>
      <c r="D372" s="791"/>
      <c r="E372" s="791"/>
      <c r="F372" s="791"/>
      <c r="G372" s="791"/>
      <c r="H372" s="791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791"/>
      <c r="T372" s="791"/>
      <c r="U372" s="791"/>
      <c r="V372" s="791"/>
      <c r="W372" s="791"/>
      <c r="X372" s="791"/>
      <c r="Y372" s="791"/>
      <c r="Z372" s="791"/>
      <c r="AA372" s="48"/>
      <c r="AB372" s="48"/>
      <c r="AC372" s="48"/>
    </row>
    <row r="373" spans="1:68" ht="16.5" hidden="1" customHeight="1" x14ac:dyDescent="0.25">
      <c r="A373" s="686" t="s">
        <v>580</v>
      </c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58"/>
      <c r="AB373" s="658"/>
      <c r="AC373" s="658"/>
    </row>
    <row r="374" spans="1:68" ht="14.25" hidden="1" customHeight="1" x14ac:dyDescent="0.25">
      <c r="A374" s="680" t="s">
        <v>98</v>
      </c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59"/>
      <c r="AB374" s="659"/>
      <c r="AC374" s="659"/>
    </row>
    <row r="375" spans="1:68" ht="27" hidden="1" customHeight="1" x14ac:dyDescent="0.25">
      <c r="A375" s="54" t="s">
        <v>581</v>
      </c>
      <c r="B375" s="54" t="s">
        <v>582</v>
      </c>
      <c r="C375" s="31">
        <v>4301011946</v>
      </c>
      <c r="D375" s="676">
        <v>4680115884847</v>
      </c>
      <c r="E375" s="677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6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82"/>
      <c r="R375" s="682"/>
      <c r="S375" s="682"/>
      <c r="T375" s="683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76">
        <v>4680115884847</v>
      </c>
      <c r="E376" s="677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82"/>
      <c r="R376" s="682"/>
      <c r="S376" s="682"/>
      <c r="T376" s="683"/>
      <c r="U376" s="34"/>
      <c r="V376" s="34"/>
      <c r="W376" s="35" t="s">
        <v>69</v>
      </c>
      <c r="X376" s="663">
        <v>1700</v>
      </c>
      <c r="Y376" s="664">
        <f t="shared" si="58"/>
        <v>1710</v>
      </c>
      <c r="Z376" s="36">
        <f>IFERROR(IF(Y376=0,"",ROUNDUP(Y376/H376,0)*0.02175),"")</f>
        <v>2.4794999999999998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1754.4</v>
      </c>
      <c r="BN376" s="64">
        <f t="shared" si="60"/>
        <v>1764.72</v>
      </c>
      <c r="BO376" s="64">
        <f t="shared" si="61"/>
        <v>2.3611111111111107</v>
      </c>
      <c r="BP376" s="64">
        <f t="shared" si="62"/>
        <v>2.375</v>
      </c>
    </row>
    <row r="377" spans="1:68" ht="27" hidden="1" customHeight="1" x14ac:dyDescent="0.25">
      <c r="A377" s="54" t="s">
        <v>586</v>
      </c>
      <c r="B377" s="54" t="s">
        <v>587</v>
      </c>
      <c r="C377" s="31">
        <v>4301011947</v>
      </c>
      <c r="D377" s="676">
        <v>4680115884854</v>
      </c>
      <c r="E377" s="677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4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2"/>
      <c r="R377" s="682"/>
      <c r="S377" s="682"/>
      <c r="T377" s="683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76">
        <v>4680115884854</v>
      </c>
      <c r="E378" s="677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9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2"/>
      <c r="R378" s="682"/>
      <c r="S378" s="682"/>
      <c r="T378" s="683"/>
      <c r="U378" s="34"/>
      <c r="V378" s="34"/>
      <c r="W378" s="35" t="s">
        <v>69</v>
      </c>
      <c r="X378" s="663">
        <v>1600</v>
      </c>
      <c r="Y378" s="664">
        <f t="shared" si="58"/>
        <v>1605</v>
      </c>
      <c r="Z378" s="36">
        <f>IFERROR(IF(Y378=0,"",ROUNDUP(Y378/H378,0)*0.02175),"")</f>
        <v>2.3272499999999998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1651.2</v>
      </c>
      <c r="BN378" s="64">
        <f t="shared" si="60"/>
        <v>1656.3600000000001</v>
      </c>
      <c r="BO378" s="64">
        <f t="shared" si="61"/>
        <v>2.2222222222222223</v>
      </c>
      <c r="BP378" s="64">
        <f t="shared" si="62"/>
        <v>2.2291666666666665</v>
      </c>
    </row>
    <row r="379" spans="1:68" ht="27" hidden="1" customHeight="1" x14ac:dyDescent="0.25">
      <c r="A379" s="54" t="s">
        <v>590</v>
      </c>
      <c r="B379" s="54" t="s">
        <v>591</v>
      </c>
      <c r="C379" s="31">
        <v>4301011943</v>
      </c>
      <c r="D379" s="676">
        <v>4680115884830</v>
      </c>
      <c r="E379" s="677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103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2"/>
      <c r="R379" s="682"/>
      <c r="S379" s="682"/>
      <c r="T379" s="683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76">
        <v>4607091383997</v>
      </c>
      <c r="E380" s="677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6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2"/>
      <c r="R380" s="682"/>
      <c r="S380" s="682"/>
      <c r="T380" s="683"/>
      <c r="U380" s="34"/>
      <c r="V380" s="34"/>
      <c r="W380" s="35" t="s">
        <v>69</v>
      </c>
      <c r="X380" s="663">
        <v>100</v>
      </c>
      <c r="Y380" s="664">
        <f t="shared" si="58"/>
        <v>105</v>
      </c>
      <c r="Z380" s="36">
        <f>IFERROR(IF(Y380=0,"",ROUNDUP(Y380/H380,0)*0.02175),"")</f>
        <v>0.15225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103.2</v>
      </c>
      <c r="BN380" s="64">
        <f t="shared" si="60"/>
        <v>108.36</v>
      </c>
      <c r="BO380" s="64">
        <f t="shared" si="61"/>
        <v>0.1388888888888889</v>
      </c>
      <c r="BP380" s="64">
        <f t="shared" si="62"/>
        <v>0.14583333333333331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76">
        <v>4680115884830</v>
      </c>
      <c r="E381" s="677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10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2"/>
      <c r="R381" s="682"/>
      <c r="S381" s="682"/>
      <c r="T381" s="683"/>
      <c r="U381" s="34"/>
      <c r="V381" s="34"/>
      <c r="W381" s="35" t="s">
        <v>69</v>
      </c>
      <c r="X381" s="663">
        <v>1700</v>
      </c>
      <c r="Y381" s="664">
        <f t="shared" si="58"/>
        <v>1710</v>
      </c>
      <c r="Z381" s="36">
        <f>IFERROR(IF(Y381=0,"",ROUNDUP(Y381/H381,0)*0.02175),"")</f>
        <v>2.4794999999999998</v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1754.4</v>
      </c>
      <c r="BN381" s="64">
        <f t="shared" si="60"/>
        <v>1764.72</v>
      </c>
      <c r="BO381" s="64">
        <f t="shared" si="61"/>
        <v>2.3611111111111107</v>
      </c>
      <c r="BP381" s="64">
        <f t="shared" si="62"/>
        <v>2.375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6">
        <v>4680115882638</v>
      </c>
      <c r="E382" s="677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2"/>
      <c r="R382" s="682"/>
      <c r="S382" s="682"/>
      <c r="T382" s="683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6">
        <v>4680115884922</v>
      </c>
      <c r="E383" s="677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2"/>
      <c r="R383" s="682"/>
      <c r="S383" s="682"/>
      <c r="T383" s="683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76">
        <v>4680115884861</v>
      </c>
      <c r="E384" s="677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103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2"/>
      <c r="R384" s="682"/>
      <c r="S384" s="682"/>
      <c r="T384" s="683"/>
      <c r="U384" s="34"/>
      <c r="V384" s="34"/>
      <c r="W384" s="35" t="s">
        <v>69</v>
      </c>
      <c r="X384" s="663">
        <v>15</v>
      </c>
      <c r="Y384" s="664">
        <f t="shared" si="58"/>
        <v>15</v>
      </c>
      <c r="Z384" s="36">
        <f>IFERROR(IF(Y384=0,"",ROUNDUP(Y384/H384,0)*0.00902),"")</f>
        <v>2.7060000000000001E-2</v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15.63</v>
      </c>
      <c r="BN384" s="64">
        <f t="shared" si="60"/>
        <v>15.63</v>
      </c>
      <c r="BO384" s="64">
        <f t="shared" si="61"/>
        <v>2.2727272727272728E-2</v>
      </c>
      <c r="BP384" s="64">
        <f t="shared" si="62"/>
        <v>2.2727272727272728E-2</v>
      </c>
    </row>
    <row r="385" spans="1:68" x14ac:dyDescent="0.2">
      <c r="A385" s="670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2"/>
      <c r="P385" s="678" t="s">
        <v>88</v>
      </c>
      <c r="Q385" s="668"/>
      <c r="R385" s="668"/>
      <c r="S385" s="668"/>
      <c r="T385" s="668"/>
      <c r="U385" s="668"/>
      <c r="V385" s="669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343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345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7.4655599999999991</v>
      </c>
      <c r="AA385" s="666"/>
      <c r="AB385" s="666"/>
      <c r="AC385" s="666"/>
    </row>
    <row r="386" spans="1:68" x14ac:dyDescent="0.2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2"/>
      <c r="P386" s="678" t="s">
        <v>88</v>
      </c>
      <c r="Q386" s="668"/>
      <c r="R386" s="668"/>
      <c r="S386" s="668"/>
      <c r="T386" s="668"/>
      <c r="U386" s="668"/>
      <c r="V386" s="669"/>
      <c r="W386" s="37" t="s">
        <v>69</v>
      </c>
      <c r="X386" s="665">
        <f>IFERROR(SUM(X375:X384),"0")</f>
        <v>5115</v>
      </c>
      <c r="Y386" s="665">
        <f>IFERROR(SUM(Y375:Y384),"0")</f>
        <v>5145</v>
      </c>
      <c r="Z386" s="37"/>
      <c r="AA386" s="666"/>
      <c r="AB386" s="666"/>
      <c r="AC386" s="666"/>
    </row>
    <row r="387" spans="1:68" ht="14.25" hidden="1" customHeight="1" x14ac:dyDescent="0.25">
      <c r="A387" s="680" t="s">
        <v>136</v>
      </c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6">
        <v>4607091383980</v>
      </c>
      <c r="E388" s="677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8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2"/>
      <c r="R388" s="682"/>
      <c r="S388" s="682"/>
      <c r="T388" s="683"/>
      <c r="U388" s="34"/>
      <c r="V388" s="34"/>
      <c r="W388" s="35" t="s">
        <v>69</v>
      </c>
      <c r="X388" s="663">
        <v>1500</v>
      </c>
      <c r="Y388" s="664">
        <f>IFERROR(IF(X388="",0,CEILING((X388/$H388),1)*$H388),"")</f>
        <v>1500</v>
      </c>
      <c r="Z388" s="36">
        <f>IFERROR(IF(Y388=0,"",ROUNDUP(Y388/H388,0)*0.02175),"")</f>
        <v>2.1749999999999998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1548</v>
      </c>
      <c r="BN388" s="64">
        <f>IFERROR(Y388*I388/H388,"0")</f>
        <v>1548</v>
      </c>
      <c r="BO388" s="64">
        <f>IFERROR(1/J388*(X388/H388),"0")</f>
        <v>2.083333333333333</v>
      </c>
      <c r="BP388" s="64">
        <f>IFERROR(1/J388*(Y388/H388),"0")</f>
        <v>2.083333333333333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76">
        <v>4607091384178</v>
      </c>
      <c r="E389" s="677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10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2"/>
      <c r="R389" s="682"/>
      <c r="S389" s="682"/>
      <c r="T389" s="683"/>
      <c r="U389" s="34"/>
      <c r="V389" s="34"/>
      <c r="W389" s="35" t="s">
        <v>69</v>
      </c>
      <c r="X389" s="663">
        <v>4</v>
      </c>
      <c r="Y389" s="664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4.21</v>
      </c>
      <c r="BN389" s="64">
        <f>IFERROR(Y389*I389/H389,"0")</f>
        <v>4.21</v>
      </c>
      <c r="BO389" s="64">
        <f>IFERROR(1/J389*(X389/H389),"0")</f>
        <v>7.575757575757576E-3</v>
      </c>
      <c r="BP389" s="64">
        <f>IFERROR(1/J389*(Y389/H389),"0")</f>
        <v>7.575757575757576E-3</v>
      </c>
    </row>
    <row r="390" spans="1:68" x14ac:dyDescent="0.2">
      <c r="A390" s="670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2"/>
      <c r="P390" s="678" t="s">
        <v>88</v>
      </c>
      <c r="Q390" s="668"/>
      <c r="R390" s="668"/>
      <c r="S390" s="668"/>
      <c r="T390" s="668"/>
      <c r="U390" s="668"/>
      <c r="V390" s="669"/>
      <c r="W390" s="37" t="s">
        <v>89</v>
      </c>
      <c r="X390" s="665">
        <f>IFERROR(X388/H388,"0")+IFERROR(X389/H389,"0")</f>
        <v>101</v>
      </c>
      <c r="Y390" s="665">
        <f>IFERROR(Y388/H388,"0")+IFERROR(Y389/H389,"0")</f>
        <v>101</v>
      </c>
      <c r="Z390" s="665">
        <f>IFERROR(IF(Z388="",0,Z388),"0")+IFERROR(IF(Z389="",0,Z389),"0")</f>
        <v>2.1840199999999999</v>
      </c>
      <c r="AA390" s="666"/>
      <c r="AB390" s="666"/>
      <c r="AC390" s="666"/>
    </row>
    <row r="391" spans="1:68" x14ac:dyDescent="0.2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2"/>
      <c r="P391" s="678" t="s">
        <v>88</v>
      </c>
      <c r="Q391" s="668"/>
      <c r="R391" s="668"/>
      <c r="S391" s="668"/>
      <c r="T391" s="668"/>
      <c r="U391" s="668"/>
      <c r="V391" s="669"/>
      <c r="W391" s="37" t="s">
        <v>69</v>
      </c>
      <c r="X391" s="665">
        <f>IFERROR(SUM(X388:X389),"0")</f>
        <v>1504</v>
      </c>
      <c r="Y391" s="665">
        <f>IFERROR(SUM(Y388:Y389),"0")</f>
        <v>1504</v>
      </c>
      <c r="Z391" s="37"/>
      <c r="AA391" s="666"/>
      <c r="AB391" s="666"/>
      <c r="AC391" s="666"/>
    </row>
    <row r="392" spans="1:68" ht="14.25" hidden="1" customHeight="1" x14ac:dyDescent="0.25">
      <c r="A392" s="680" t="s">
        <v>64</v>
      </c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6">
        <v>4607091383928</v>
      </c>
      <c r="E393" s="677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5" t="s">
        <v>611</v>
      </c>
      <c r="Q393" s="682"/>
      <c r="R393" s="682"/>
      <c r="S393" s="682"/>
      <c r="T393" s="683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76">
        <v>4607091384260</v>
      </c>
      <c r="E394" s="677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1001" t="s">
        <v>615</v>
      </c>
      <c r="Q394" s="682"/>
      <c r="R394" s="682"/>
      <c r="S394" s="682"/>
      <c r="T394" s="683"/>
      <c r="U394" s="34"/>
      <c r="V394" s="34"/>
      <c r="W394" s="35" t="s">
        <v>69</v>
      </c>
      <c r="X394" s="663">
        <v>40</v>
      </c>
      <c r="Y394" s="664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42.306666666666665</v>
      </c>
      <c r="BN394" s="64">
        <f>IFERROR(Y394*I394/H394,"0")</f>
        <v>47.594999999999999</v>
      </c>
      <c r="BO394" s="64">
        <f>IFERROR(1/J394*(X394/H394),"0")</f>
        <v>6.9444444444444448E-2</v>
      </c>
      <c r="BP394" s="64">
        <f>IFERROR(1/J394*(Y394/H394),"0")</f>
        <v>7.8125E-2</v>
      </c>
    </row>
    <row r="395" spans="1:68" x14ac:dyDescent="0.2">
      <c r="A395" s="670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2"/>
      <c r="P395" s="678" t="s">
        <v>88</v>
      </c>
      <c r="Q395" s="668"/>
      <c r="R395" s="668"/>
      <c r="S395" s="668"/>
      <c r="T395" s="668"/>
      <c r="U395" s="668"/>
      <c r="V395" s="669"/>
      <c r="W395" s="37" t="s">
        <v>89</v>
      </c>
      <c r="X395" s="665">
        <f>IFERROR(X393/H393,"0")+IFERROR(X394/H394,"0")</f>
        <v>4.4444444444444446</v>
      </c>
      <c r="Y395" s="665">
        <f>IFERROR(Y393/H393,"0")+IFERROR(Y394/H394,"0")</f>
        <v>5</v>
      </c>
      <c r="Z395" s="665">
        <f>IFERROR(IF(Z393="",0,Z393),"0")+IFERROR(IF(Z394="",0,Z394),"0")</f>
        <v>9.4899999999999998E-2</v>
      </c>
      <c r="AA395" s="666"/>
      <c r="AB395" s="666"/>
      <c r="AC395" s="666"/>
    </row>
    <row r="396" spans="1:68" x14ac:dyDescent="0.2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2"/>
      <c r="P396" s="678" t="s">
        <v>88</v>
      </c>
      <c r="Q396" s="668"/>
      <c r="R396" s="668"/>
      <c r="S396" s="668"/>
      <c r="T396" s="668"/>
      <c r="U396" s="668"/>
      <c r="V396" s="669"/>
      <c r="W396" s="37" t="s">
        <v>69</v>
      </c>
      <c r="X396" s="665">
        <f>IFERROR(SUM(X393:X394),"0")</f>
        <v>40</v>
      </c>
      <c r="Y396" s="665">
        <f>IFERROR(SUM(Y393:Y394),"0")</f>
        <v>45</v>
      </c>
      <c r="Z396" s="37"/>
      <c r="AA396" s="666"/>
      <c r="AB396" s="666"/>
      <c r="AC396" s="666"/>
    </row>
    <row r="397" spans="1:68" ht="14.25" hidden="1" customHeight="1" x14ac:dyDescent="0.25">
      <c r="A397" s="680" t="s">
        <v>173</v>
      </c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59"/>
      <c r="AB397" s="659"/>
      <c r="AC397" s="659"/>
    </row>
    <row r="398" spans="1:68" ht="27" hidden="1" customHeight="1" x14ac:dyDescent="0.25">
      <c r="A398" s="54" t="s">
        <v>617</v>
      </c>
      <c r="B398" s="54" t="s">
        <v>618</v>
      </c>
      <c r="C398" s="31">
        <v>4301060439</v>
      </c>
      <c r="D398" s="676">
        <v>4607091384673</v>
      </c>
      <c r="E398" s="677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805" t="s">
        <v>619</v>
      </c>
      <c r="Q398" s="682"/>
      <c r="R398" s="682"/>
      <c r="S398" s="682"/>
      <c r="T398" s="683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0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2"/>
      <c r="P399" s="678" t="s">
        <v>88</v>
      </c>
      <c r="Q399" s="668"/>
      <c r="R399" s="668"/>
      <c r="S399" s="668"/>
      <c r="T399" s="668"/>
      <c r="U399" s="668"/>
      <c r="V399" s="669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2"/>
      <c r="P400" s="678" t="s">
        <v>88</v>
      </c>
      <c r="Q400" s="668"/>
      <c r="R400" s="668"/>
      <c r="S400" s="668"/>
      <c r="T400" s="668"/>
      <c r="U400" s="668"/>
      <c r="V400" s="669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686" t="s">
        <v>621</v>
      </c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58"/>
      <c r="AB401" s="658"/>
      <c r="AC401" s="658"/>
    </row>
    <row r="402" spans="1:68" ht="14.25" hidden="1" customHeight="1" x14ac:dyDescent="0.25">
      <c r="A402" s="680" t="s">
        <v>98</v>
      </c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6">
        <v>4680115881907</v>
      </c>
      <c r="E403" s="677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93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2"/>
      <c r="R403" s="682"/>
      <c r="S403" s="682"/>
      <c r="T403" s="683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6">
        <v>4680115881907</v>
      </c>
      <c r="E404" s="677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103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2"/>
      <c r="R404" s="682"/>
      <c r="S404" s="682"/>
      <c r="T404" s="683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6">
        <v>4680115884892</v>
      </c>
      <c r="E405" s="677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99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2"/>
      <c r="R405" s="682"/>
      <c r="S405" s="682"/>
      <c r="T405" s="683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76">
        <v>4680115884885</v>
      </c>
      <c r="E406" s="677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9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2"/>
      <c r="R406" s="682"/>
      <c r="S406" s="682"/>
      <c r="T406" s="683"/>
      <c r="U406" s="34"/>
      <c r="V406" s="34"/>
      <c r="W406" s="35" t="s">
        <v>69</v>
      </c>
      <c r="X406" s="663">
        <v>40</v>
      </c>
      <c r="Y406" s="664">
        <f>IFERROR(IF(X406="",0,CEILING((X406/$H406),1)*$H406),"")</f>
        <v>48</v>
      </c>
      <c r="Z406" s="36">
        <f>IFERROR(IF(Y406=0,"",ROUNDUP(Y406/H406,0)*0.01898),"")</f>
        <v>7.5920000000000001E-2</v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41.45</v>
      </c>
      <c r="BN406" s="64">
        <f>IFERROR(Y406*I406/H406,"0")</f>
        <v>49.74</v>
      </c>
      <c r="BO406" s="64">
        <f>IFERROR(1/J406*(X406/H406),"0")</f>
        <v>5.2083333333333336E-2</v>
      </c>
      <c r="BP406" s="64">
        <f>IFERROR(1/J406*(Y406/H406),"0")</f>
        <v>6.25E-2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6">
        <v>4680115884908</v>
      </c>
      <c r="E407" s="677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9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2"/>
      <c r="R407" s="682"/>
      <c r="S407" s="682"/>
      <c r="T407" s="683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0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2"/>
      <c r="P408" s="678" t="s">
        <v>88</v>
      </c>
      <c r="Q408" s="668"/>
      <c r="R408" s="668"/>
      <c r="S408" s="668"/>
      <c r="T408" s="668"/>
      <c r="U408" s="668"/>
      <c r="V408" s="669"/>
      <c r="W408" s="37" t="s">
        <v>89</v>
      </c>
      <c r="X408" s="665">
        <f>IFERROR(X403/H403,"0")+IFERROR(X404/H404,"0")+IFERROR(X405/H405,"0")+IFERROR(X406/H406,"0")+IFERROR(X407/H407,"0")</f>
        <v>3.3333333333333335</v>
      </c>
      <c r="Y408" s="665">
        <f>IFERROR(Y403/H403,"0")+IFERROR(Y404/H404,"0")+IFERROR(Y405/H405,"0")+IFERROR(Y406/H406,"0")+IFERROR(Y407/H407,"0")</f>
        <v>4</v>
      </c>
      <c r="Z408" s="665">
        <f>IFERROR(IF(Z403="",0,Z403),"0")+IFERROR(IF(Z404="",0,Z404),"0")+IFERROR(IF(Z405="",0,Z405),"0")+IFERROR(IF(Z406="",0,Z406),"0")+IFERROR(IF(Z407="",0,Z407),"0")</f>
        <v>7.5920000000000001E-2</v>
      </c>
      <c r="AA408" s="666"/>
      <c r="AB408" s="666"/>
      <c r="AC408" s="666"/>
    </row>
    <row r="409" spans="1:68" x14ac:dyDescent="0.2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2"/>
      <c r="P409" s="678" t="s">
        <v>88</v>
      </c>
      <c r="Q409" s="668"/>
      <c r="R409" s="668"/>
      <c r="S409" s="668"/>
      <c r="T409" s="668"/>
      <c r="U409" s="668"/>
      <c r="V409" s="669"/>
      <c r="W409" s="37" t="s">
        <v>69</v>
      </c>
      <c r="X409" s="665">
        <f>IFERROR(SUM(X403:X407),"0")</f>
        <v>40</v>
      </c>
      <c r="Y409" s="665">
        <f>IFERROR(SUM(Y403:Y407),"0")</f>
        <v>48</v>
      </c>
      <c r="Z409" s="37"/>
      <c r="AA409" s="666"/>
      <c r="AB409" s="666"/>
      <c r="AC409" s="666"/>
    </row>
    <row r="410" spans="1:68" ht="14.25" hidden="1" customHeight="1" x14ac:dyDescent="0.25">
      <c r="A410" s="680" t="s">
        <v>147</v>
      </c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6">
        <v>4607091384802</v>
      </c>
      <c r="E411" s="677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9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2"/>
      <c r="R411" s="682"/>
      <c r="S411" s="682"/>
      <c r="T411" s="683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6">
        <v>4607091384826</v>
      </c>
      <c r="E412" s="677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75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2"/>
      <c r="R412" s="682"/>
      <c r="S412" s="682"/>
      <c r="T412" s="683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0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2"/>
      <c r="P413" s="678" t="s">
        <v>88</v>
      </c>
      <c r="Q413" s="668"/>
      <c r="R413" s="668"/>
      <c r="S413" s="668"/>
      <c r="T413" s="668"/>
      <c r="U413" s="668"/>
      <c r="V413" s="669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2"/>
      <c r="P414" s="678" t="s">
        <v>88</v>
      </c>
      <c r="Q414" s="668"/>
      <c r="R414" s="668"/>
      <c r="S414" s="668"/>
      <c r="T414" s="668"/>
      <c r="U414" s="668"/>
      <c r="V414" s="669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80" t="s">
        <v>64</v>
      </c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6">
        <v>4607091384246</v>
      </c>
      <c r="E416" s="677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9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2"/>
      <c r="R416" s="682"/>
      <c r="S416" s="682"/>
      <c r="T416" s="683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6">
        <v>4680115881976</v>
      </c>
      <c r="E417" s="677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747" t="s">
        <v>644</v>
      </c>
      <c r="Q417" s="682"/>
      <c r="R417" s="682"/>
      <c r="S417" s="682"/>
      <c r="T417" s="683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6">
        <v>4607091384253</v>
      </c>
      <c r="E418" s="677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753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82"/>
      <c r="R418" s="682"/>
      <c r="S418" s="682"/>
      <c r="T418" s="683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6">
        <v>4607091384253</v>
      </c>
      <c r="E419" s="677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9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82"/>
      <c r="R419" s="682"/>
      <c r="S419" s="682"/>
      <c r="T419" s="683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6">
        <v>4680115881969</v>
      </c>
      <c r="E420" s="677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76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2"/>
      <c r="R420" s="682"/>
      <c r="S420" s="682"/>
      <c r="T420" s="683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0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2"/>
      <c r="P421" s="678" t="s">
        <v>88</v>
      </c>
      <c r="Q421" s="668"/>
      <c r="R421" s="668"/>
      <c r="S421" s="668"/>
      <c r="T421" s="668"/>
      <c r="U421" s="668"/>
      <c r="V421" s="669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2"/>
      <c r="P422" s="678" t="s">
        <v>88</v>
      </c>
      <c r="Q422" s="668"/>
      <c r="R422" s="668"/>
      <c r="S422" s="668"/>
      <c r="T422" s="668"/>
      <c r="U422" s="668"/>
      <c r="V422" s="669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80" t="s">
        <v>173</v>
      </c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6">
        <v>4607091389357</v>
      </c>
      <c r="E424" s="677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901" t="s">
        <v>655</v>
      </c>
      <c r="Q424" s="682"/>
      <c r="R424" s="682"/>
      <c r="S424" s="682"/>
      <c r="T424" s="683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0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2"/>
      <c r="P425" s="678" t="s">
        <v>88</v>
      </c>
      <c r="Q425" s="668"/>
      <c r="R425" s="668"/>
      <c r="S425" s="668"/>
      <c r="T425" s="668"/>
      <c r="U425" s="668"/>
      <c r="V425" s="669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2"/>
      <c r="P426" s="678" t="s">
        <v>88</v>
      </c>
      <c r="Q426" s="668"/>
      <c r="R426" s="668"/>
      <c r="S426" s="668"/>
      <c r="T426" s="668"/>
      <c r="U426" s="668"/>
      <c r="V426" s="669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90" t="s">
        <v>657</v>
      </c>
      <c r="B427" s="791"/>
      <c r="C427" s="791"/>
      <c r="D427" s="791"/>
      <c r="E427" s="791"/>
      <c r="F427" s="791"/>
      <c r="G427" s="791"/>
      <c r="H427" s="791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791"/>
      <c r="T427" s="791"/>
      <c r="U427" s="791"/>
      <c r="V427" s="791"/>
      <c r="W427" s="791"/>
      <c r="X427" s="791"/>
      <c r="Y427" s="791"/>
      <c r="Z427" s="791"/>
      <c r="AA427" s="48"/>
      <c r="AB427" s="48"/>
      <c r="AC427" s="48"/>
    </row>
    <row r="428" spans="1:68" ht="16.5" hidden="1" customHeight="1" x14ac:dyDescent="0.25">
      <c r="A428" s="686" t="s">
        <v>658</v>
      </c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58"/>
      <c r="AB428" s="658"/>
      <c r="AC428" s="658"/>
    </row>
    <row r="429" spans="1:68" ht="14.25" hidden="1" customHeight="1" x14ac:dyDescent="0.25">
      <c r="A429" s="680" t="s">
        <v>147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76">
        <v>4680115886100</v>
      </c>
      <c r="E430" s="677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763" t="s">
        <v>661</v>
      </c>
      <c r="Q430" s="682"/>
      <c r="R430" s="682"/>
      <c r="S430" s="682"/>
      <c r="T430" s="683"/>
      <c r="U430" s="34"/>
      <c r="V430" s="34"/>
      <c r="W430" s="35" t="s">
        <v>69</v>
      </c>
      <c r="X430" s="663">
        <v>10</v>
      </c>
      <c r="Y430" s="664">
        <f t="shared" ref="Y430:Y441" si="63">IFERROR(IF(X430="",0,CEILING((X430/$H430),1)*$H430),"")</f>
        <v>10.8</v>
      </c>
      <c r="Z430" s="36">
        <f>IFERROR(IF(Y430=0,"",ROUNDUP(Y430/H430,0)*0.00902),"")</f>
        <v>1.804E-2</v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10.388888888888889</v>
      </c>
      <c r="BN430" s="64">
        <f t="shared" ref="BN430:BN441" si="65">IFERROR(Y430*I430/H430,"0")</f>
        <v>11.22</v>
      </c>
      <c r="BO430" s="64">
        <f t="shared" ref="BO430:BO441" si="66">IFERROR(1/J430*(X430/H430),"0")</f>
        <v>1.4029180695847361E-2</v>
      </c>
      <c r="BP430" s="64">
        <f t="shared" ref="BP430:BP441" si="67">IFERROR(1/J430*(Y430/H430),"0")</f>
        <v>1.5151515151515152E-2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4301031382</v>
      </c>
      <c r="D431" s="676">
        <v>4680115886117</v>
      </c>
      <c r="E431" s="677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930" t="s">
        <v>665</v>
      </c>
      <c r="Q431" s="682"/>
      <c r="R431" s="682"/>
      <c r="S431" s="682"/>
      <c r="T431" s="683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4301031406</v>
      </c>
      <c r="D432" s="676">
        <v>4680115886117</v>
      </c>
      <c r="E432" s="677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1027" t="s">
        <v>665</v>
      </c>
      <c r="Q432" s="682"/>
      <c r="R432" s="682"/>
      <c r="S432" s="682"/>
      <c r="T432" s="683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76">
        <v>4680115886124</v>
      </c>
      <c r="E433" s="677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710" t="s">
        <v>670</v>
      </c>
      <c r="Q433" s="682"/>
      <c r="R433" s="682"/>
      <c r="S433" s="682"/>
      <c r="T433" s="683"/>
      <c r="U433" s="34"/>
      <c r="V433" s="34"/>
      <c r="W433" s="35" t="s">
        <v>69</v>
      </c>
      <c r="X433" s="663">
        <v>10</v>
      </c>
      <c r="Y433" s="664">
        <f t="shared" si="63"/>
        <v>10.8</v>
      </c>
      <c r="Z433" s="36">
        <f>IFERROR(IF(Y433=0,"",ROUNDUP(Y433/H433,0)*0.00902),"")</f>
        <v>1.804E-2</v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10.388888888888889</v>
      </c>
      <c r="BN433" s="64">
        <f t="shared" si="65"/>
        <v>11.22</v>
      </c>
      <c r="BO433" s="64">
        <f t="shared" si="66"/>
        <v>1.4029180695847361E-2</v>
      </c>
      <c r="BP433" s="64">
        <f t="shared" si="67"/>
        <v>1.5151515151515152E-2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6">
        <v>4680115883147</v>
      </c>
      <c r="E434" s="677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2"/>
      <c r="R434" s="682"/>
      <c r="S434" s="682"/>
      <c r="T434" s="683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6">
        <v>4680115883147</v>
      </c>
      <c r="E435" s="677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717" t="s">
        <v>675</v>
      </c>
      <c r="Q435" s="682"/>
      <c r="R435" s="682"/>
      <c r="S435" s="682"/>
      <c r="T435" s="683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76">
        <v>4607091384338</v>
      </c>
      <c r="E436" s="677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7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2"/>
      <c r="R436" s="682"/>
      <c r="S436" s="682"/>
      <c r="T436" s="683"/>
      <c r="U436" s="34"/>
      <c r="V436" s="34"/>
      <c r="W436" s="35" t="s">
        <v>69</v>
      </c>
      <c r="X436" s="663">
        <v>122.5</v>
      </c>
      <c r="Y436" s="664">
        <f t="shared" si="63"/>
        <v>123.9</v>
      </c>
      <c r="Z436" s="36">
        <f t="shared" si="68"/>
        <v>0.29618</v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130.08333333333334</v>
      </c>
      <c r="BN436" s="64">
        <f t="shared" si="65"/>
        <v>131.57</v>
      </c>
      <c r="BO436" s="64">
        <f t="shared" si="66"/>
        <v>0.2492877492877493</v>
      </c>
      <c r="BP436" s="64">
        <f t="shared" si="67"/>
        <v>0.25213675213675218</v>
      </c>
    </row>
    <row r="437" spans="1:68" ht="37.5" hidden="1" customHeight="1" x14ac:dyDescent="0.25">
      <c r="A437" s="54" t="s">
        <v>678</v>
      </c>
      <c r="B437" s="54" t="s">
        <v>679</v>
      </c>
      <c r="C437" s="31">
        <v>4301031361</v>
      </c>
      <c r="D437" s="676">
        <v>4607091389524</v>
      </c>
      <c r="E437" s="677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104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2"/>
      <c r="R437" s="682"/>
      <c r="S437" s="682"/>
      <c r="T437" s="683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6">
        <v>4680115883161</v>
      </c>
      <c r="E438" s="677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9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2"/>
      <c r="R438" s="682"/>
      <c r="S438" s="682"/>
      <c r="T438" s="683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6">
        <v>4680115883161</v>
      </c>
      <c r="E439" s="677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709" t="s">
        <v>685</v>
      </c>
      <c r="Q439" s="682"/>
      <c r="R439" s="682"/>
      <c r="S439" s="682"/>
      <c r="T439" s="683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76">
        <v>4607091389531</v>
      </c>
      <c r="E440" s="677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2"/>
      <c r="R440" s="682"/>
      <c r="S440" s="682"/>
      <c r="T440" s="683"/>
      <c r="U440" s="34"/>
      <c r="V440" s="34"/>
      <c r="W440" s="35" t="s">
        <v>69</v>
      </c>
      <c r="X440" s="663">
        <v>52.5</v>
      </c>
      <c r="Y440" s="664">
        <f t="shared" si="63"/>
        <v>52.5</v>
      </c>
      <c r="Z440" s="36">
        <f t="shared" si="68"/>
        <v>0.1255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55.75</v>
      </c>
      <c r="BN440" s="64">
        <f t="shared" si="65"/>
        <v>55.75</v>
      </c>
      <c r="BO440" s="64">
        <f t="shared" si="66"/>
        <v>0.10683760683760685</v>
      </c>
      <c r="BP440" s="64">
        <f t="shared" si="67"/>
        <v>0.10683760683760685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6">
        <v>4607091384345</v>
      </c>
      <c r="E441" s="677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2"/>
      <c r="R441" s="682"/>
      <c r="S441" s="682"/>
      <c r="T441" s="683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0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2"/>
      <c r="P442" s="678" t="s">
        <v>88</v>
      </c>
      <c r="Q442" s="668"/>
      <c r="R442" s="668"/>
      <c r="S442" s="668"/>
      <c r="T442" s="668"/>
      <c r="U442" s="668"/>
      <c r="V442" s="669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87.037037037037038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88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0.45776</v>
      </c>
      <c r="AA442" s="666"/>
      <c r="AB442" s="666"/>
      <c r="AC442" s="666"/>
    </row>
    <row r="443" spans="1:68" x14ac:dyDescent="0.2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2"/>
      <c r="P443" s="678" t="s">
        <v>88</v>
      </c>
      <c r="Q443" s="668"/>
      <c r="R443" s="668"/>
      <c r="S443" s="668"/>
      <c r="T443" s="668"/>
      <c r="U443" s="668"/>
      <c r="V443" s="669"/>
      <c r="W443" s="37" t="s">
        <v>69</v>
      </c>
      <c r="X443" s="665">
        <f>IFERROR(SUM(X430:X441),"0")</f>
        <v>195</v>
      </c>
      <c r="Y443" s="665">
        <f>IFERROR(SUM(Y430:Y441),"0")</f>
        <v>198</v>
      </c>
      <c r="Z443" s="37"/>
      <c r="AA443" s="666"/>
      <c r="AB443" s="666"/>
      <c r="AC443" s="666"/>
    </row>
    <row r="444" spans="1:68" ht="14.25" hidden="1" customHeight="1" x14ac:dyDescent="0.25">
      <c r="A444" s="680" t="s">
        <v>64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6">
        <v>4607091384352</v>
      </c>
      <c r="E445" s="677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10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2"/>
      <c r="R445" s="682"/>
      <c r="S445" s="682"/>
      <c r="T445" s="683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6">
        <v>4607091389654</v>
      </c>
      <c r="E446" s="677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2"/>
      <c r="R446" s="682"/>
      <c r="S446" s="682"/>
      <c r="T446" s="683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0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2"/>
      <c r="P447" s="678" t="s">
        <v>88</v>
      </c>
      <c r="Q447" s="668"/>
      <c r="R447" s="668"/>
      <c r="S447" s="668"/>
      <c r="T447" s="668"/>
      <c r="U447" s="668"/>
      <c r="V447" s="669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2"/>
      <c r="P448" s="678" t="s">
        <v>88</v>
      </c>
      <c r="Q448" s="668"/>
      <c r="R448" s="668"/>
      <c r="S448" s="668"/>
      <c r="T448" s="668"/>
      <c r="U448" s="668"/>
      <c r="V448" s="669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686" t="s">
        <v>697</v>
      </c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58"/>
      <c r="AB449" s="658"/>
      <c r="AC449" s="658"/>
    </row>
    <row r="450" spans="1:68" ht="14.25" hidden="1" customHeight="1" x14ac:dyDescent="0.25">
      <c r="A450" s="680" t="s">
        <v>136</v>
      </c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6">
        <v>4680115885240</v>
      </c>
      <c r="E451" s="677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9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2"/>
      <c r="R451" s="682"/>
      <c r="S451" s="682"/>
      <c r="T451" s="683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6">
        <v>4607091389364</v>
      </c>
      <c r="E452" s="677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102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2"/>
      <c r="R452" s="682"/>
      <c r="S452" s="682"/>
      <c r="T452" s="683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0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2"/>
      <c r="P453" s="678" t="s">
        <v>88</v>
      </c>
      <c r="Q453" s="668"/>
      <c r="R453" s="668"/>
      <c r="S453" s="668"/>
      <c r="T453" s="668"/>
      <c r="U453" s="668"/>
      <c r="V453" s="669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2"/>
      <c r="P454" s="678" t="s">
        <v>88</v>
      </c>
      <c r="Q454" s="668"/>
      <c r="R454" s="668"/>
      <c r="S454" s="668"/>
      <c r="T454" s="668"/>
      <c r="U454" s="668"/>
      <c r="V454" s="669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80" t="s">
        <v>147</v>
      </c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76">
        <v>4680115886094</v>
      </c>
      <c r="E456" s="677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974" t="s">
        <v>706</v>
      </c>
      <c r="Q456" s="682"/>
      <c r="R456" s="682"/>
      <c r="S456" s="682"/>
      <c r="T456" s="683"/>
      <c r="U456" s="34"/>
      <c r="V456" s="34"/>
      <c r="W456" s="35" t="s">
        <v>69</v>
      </c>
      <c r="X456" s="663">
        <v>10</v>
      </c>
      <c r="Y456" s="664">
        <f>IFERROR(IF(X456="",0,CEILING((X456/$H456),1)*$H456),"")</f>
        <v>10.8</v>
      </c>
      <c r="Z456" s="36">
        <f>IFERROR(IF(Y456=0,"",ROUNDUP(Y456/H456,0)*0.00902),"")</f>
        <v>1.804E-2</v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10.388888888888889</v>
      </c>
      <c r="BN456" s="64">
        <f>IFERROR(Y456*I456/H456,"0")</f>
        <v>11.22</v>
      </c>
      <c r="BO456" s="64">
        <f>IFERROR(1/J456*(X456/H456),"0")</f>
        <v>1.4029180695847361E-2</v>
      </c>
      <c r="BP456" s="64">
        <f>IFERROR(1/J456*(Y456/H456),"0")</f>
        <v>1.5151515151515152E-2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6">
        <v>4607091389425</v>
      </c>
      <c r="E457" s="677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102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2"/>
      <c r="R457" s="682"/>
      <c r="S457" s="682"/>
      <c r="T457" s="683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6">
        <v>4680115880771</v>
      </c>
      <c r="E458" s="677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1007" t="s">
        <v>713</v>
      </c>
      <c r="Q458" s="682"/>
      <c r="R458" s="682"/>
      <c r="S458" s="682"/>
      <c r="T458" s="683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715</v>
      </c>
      <c r="B459" s="54" t="s">
        <v>716</v>
      </c>
      <c r="C459" s="31">
        <v>4301031359</v>
      </c>
      <c r="D459" s="676">
        <v>4607091389500</v>
      </c>
      <c r="E459" s="677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84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2"/>
      <c r="R459" s="682"/>
      <c r="S459" s="682"/>
      <c r="T459" s="683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0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2"/>
      <c r="P460" s="678" t="s">
        <v>88</v>
      </c>
      <c r="Q460" s="668"/>
      <c r="R460" s="668"/>
      <c r="S460" s="668"/>
      <c r="T460" s="668"/>
      <c r="U460" s="668"/>
      <c r="V460" s="669"/>
      <c r="W460" s="37" t="s">
        <v>89</v>
      </c>
      <c r="X460" s="665">
        <f>IFERROR(X456/H456,"0")+IFERROR(X457/H457,"0")+IFERROR(X458/H458,"0")+IFERROR(X459/H459,"0")</f>
        <v>1.8518518518518516</v>
      </c>
      <c r="Y460" s="665">
        <f>IFERROR(Y456/H456,"0")+IFERROR(Y457/H457,"0")+IFERROR(Y458/H458,"0")+IFERROR(Y459/H459,"0")</f>
        <v>2</v>
      </c>
      <c r="Z460" s="665">
        <f>IFERROR(IF(Z456="",0,Z456),"0")+IFERROR(IF(Z457="",0,Z457),"0")+IFERROR(IF(Z458="",0,Z458),"0")+IFERROR(IF(Z459="",0,Z459),"0")</f>
        <v>1.804E-2</v>
      </c>
      <c r="AA460" s="666"/>
      <c r="AB460" s="666"/>
      <c r="AC460" s="666"/>
    </row>
    <row r="461" spans="1:68" x14ac:dyDescent="0.2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2"/>
      <c r="P461" s="678" t="s">
        <v>88</v>
      </c>
      <c r="Q461" s="668"/>
      <c r="R461" s="668"/>
      <c r="S461" s="668"/>
      <c r="T461" s="668"/>
      <c r="U461" s="668"/>
      <c r="V461" s="669"/>
      <c r="W461" s="37" t="s">
        <v>69</v>
      </c>
      <c r="X461" s="665">
        <f>IFERROR(SUM(X456:X459),"0")</f>
        <v>10</v>
      </c>
      <c r="Y461" s="665">
        <f>IFERROR(SUM(Y456:Y459),"0")</f>
        <v>10.8</v>
      </c>
      <c r="Z461" s="37"/>
      <c r="AA461" s="666"/>
      <c r="AB461" s="666"/>
      <c r="AC461" s="666"/>
    </row>
    <row r="462" spans="1:68" ht="16.5" hidden="1" customHeight="1" x14ac:dyDescent="0.25">
      <c r="A462" s="686" t="s">
        <v>717</v>
      </c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58"/>
      <c r="AB462" s="658"/>
      <c r="AC462" s="658"/>
    </row>
    <row r="463" spans="1:68" ht="14.25" hidden="1" customHeight="1" x14ac:dyDescent="0.25">
      <c r="A463" s="680" t="s">
        <v>147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76">
        <v>4680115885189</v>
      </c>
      <c r="E464" s="677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99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2"/>
      <c r="R464" s="682"/>
      <c r="S464" s="682"/>
      <c r="T464" s="683"/>
      <c r="U464" s="34"/>
      <c r="V464" s="34"/>
      <c r="W464" s="35" t="s">
        <v>69</v>
      </c>
      <c r="X464" s="663">
        <v>6</v>
      </c>
      <c r="Y464" s="664">
        <f>IFERROR(IF(X464="",0,CEILING((X464/$H464),1)*$H464),"")</f>
        <v>6</v>
      </c>
      <c r="Z464" s="36">
        <f>IFERROR(IF(Y464=0,"",ROUNDUP(Y464/H464,0)*0.00502),"")</f>
        <v>2.5100000000000001E-2</v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6.8600000000000012</v>
      </c>
      <c r="BN464" s="64">
        <f>IFERROR(Y464*I464/H464,"0")</f>
        <v>6.8600000000000012</v>
      </c>
      <c r="BO464" s="64">
        <f>IFERROR(1/J464*(X464/H464),"0")</f>
        <v>2.1367521367521368E-2</v>
      </c>
      <c r="BP464" s="64">
        <f>IFERROR(1/J464*(Y464/H464),"0")</f>
        <v>2.1367521367521368E-2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76">
        <v>4680115885110</v>
      </c>
      <c r="E465" s="677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760" t="s">
        <v>723</v>
      </c>
      <c r="Q465" s="682"/>
      <c r="R465" s="682"/>
      <c r="S465" s="682"/>
      <c r="T465" s="683"/>
      <c r="U465" s="34"/>
      <c r="V465" s="34"/>
      <c r="W465" s="35" t="s">
        <v>69</v>
      </c>
      <c r="X465" s="663">
        <v>10</v>
      </c>
      <c r="Y465" s="664">
        <f>IFERROR(IF(X465="",0,CEILING((X465/$H465),1)*$H465),"")</f>
        <v>10.799999999999999</v>
      </c>
      <c r="Z465" s="36">
        <f>IFERROR(IF(Y465=0,"",ROUNDUP(Y465/H465,0)*0.00651),"")</f>
        <v>5.8590000000000003E-2</v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17.5</v>
      </c>
      <c r="BN465" s="64">
        <f>IFERROR(Y465*I465/H465,"0")</f>
        <v>18.900000000000002</v>
      </c>
      <c r="BO465" s="64">
        <f>IFERROR(1/J465*(X465/H465),"0")</f>
        <v>4.5787545787545791E-2</v>
      </c>
      <c r="BP465" s="64">
        <f>IFERROR(1/J465*(Y465/H465),"0")</f>
        <v>4.9450549450549455E-2</v>
      </c>
    </row>
    <row r="466" spans="1:68" x14ac:dyDescent="0.2">
      <c r="A466" s="670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2"/>
      <c r="P466" s="678" t="s">
        <v>88</v>
      </c>
      <c r="Q466" s="668"/>
      <c r="R466" s="668"/>
      <c r="S466" s="668"/>
      <c r="T466" s="668"/>
      <c r="U466" s="668"/>
      <c r="V466" s="669"/>
      <c r="W466" s="37" t="s">
        <v>89</v>
      </c>
      <c r="X466" s="665">
        <f>IFERROR(X464/H464,"0")+IFERROR(X465/H465,"0")</f>
        <v>13.333333333333334</v>
      </c>
      <c r="Y466" s="665">
        <f>IFERROR(Y464/H464,"0")+IFERROR(Y465/H465,"0")</f>
        <v>14</v>
      </c>
      <c r="Z466" s="665">
        <f>IFERROR(IF(Z464="",0,Z464),"0")+IFERROR(IF(Z465="",0,Z465),"0")</f>
        <v>8.3690000000000001E-2</v>
      </c>
      <c r="AA466" s="666"/>
      <c r="AB466" s="666"/>
      <c r="AC466" s="666"/>
    </row>
    <row r="467" spans="1:68" x14ac:dyDescent="0.2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2"/>
      <c r="P467" s="678" t="s">
        <v>88</v>
      </c>
      <c r="Q467" s="668"/>
      <c r="R467" s="668"/>
      <c r="S467" s="668"/>
      <c r="T467" s="668"/>
      <c r="U467" s="668"/>
      <c r="V467" s="669"/>
      <c r="W467" s="37" t="s">
        <v>69</v>
      </c>
      <c r="X467" s="665">
        <f>IFERROR(SUM(X464:X465),"0")</f>
        <v>16</v>
      </c>
      <c r="Y467" s="665">
        <f>IFERROR(SUM(Y464:Y465),"0")</f>
        <v>16.799999999999997</v>
      </c>
      <c r="Z467" s="37"/>
      <c r="AA467" s="666"/>
      <c r="AB467" s="666"/>
      <c r="AC467" s="666"/>
    </row>
    <row r="468" spans="1:68" ht="16.5" hidden="1" customHeight="1" x14ac:dyDescent="0.25">
      <c r="A468" s="686" t="s">
        <v>725</v>
      </c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58"/>
      <c r="AB468" s="658"/>
      <c r="AC468" s="658"/>
    </row>
    <row r="469" spans="1:68" ht="14.25" hidden="1" customHeight="1" x14ac:dyDescent="0.25">
      <c r="A469" s="680" t="s">
        <v>147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6">
        <v>4680115885103</v>
      </c>
      <c r="E470" s="677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7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2"/>
      <c r="R470" s="682"/>
      <c r="S470" s="682"/>
      <c r="T470" s="683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0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2"/>
      <c r="P471" s="678" t="s">
        <v>88</v>
      </c>
      <c r="Q471" s="668"/>
      <c r="R471" s="668"/>
      <c r="S471" s="668"/>
      <c r="T471" s="668"/>
      <c r="U471" s="668"/>
      <c r="V471" s="669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2"/>
      <c r="P472" s="678" t="s">
        <v>88</v>
      </c>
      <c r="Q472" s="668"/>
      <c r="R472" s="668"/>
      <c r="S472" s="668"/>
      <c r="T472" s="668"/>
      <c r="U472" s="668"/>
      <c r="V472" s="669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80" t="s">
        <v>173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6">
        <v>4680115885509</v>
      </c>
      <c r="E474" s="677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975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2"/>
      <c r="R474" s="682"/>
      <c r="S474" s="682"/>
      <c r="T474" s="683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0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2"/>
      <c r="P475" s="678" t="s">
        <v>88</v>
      </c>
      <c r="Q475" s="668"/>
      <c r="R475" s="668"/>
      <c r="S475" s="668"/>
      <c r="T475" s="668"/>
      <c r="U475" s="668"/>
      <c r="V475" s="669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2"/>
      <c r="P476" s="678" t="s">
        <v>88</v>
      </c>
      <c r="Q476" s="668"/>
      <c r="R476" s="668"/>
      <c r="S476" s="668"/>
      <c r="T476" s="668"/>
      <c r="U476" s="668"/>
      <c r="V476" s="669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90" t="s">
        <v>732</v>
      </c>
      <c r="B477" s="791"/>
      <c r="C477" s="791"/>
      <c r="D477" s="791"/>
      <c r="E477" s="791"/>
      <c r="F477" s="791"/>
      <c r="G477" s="791"/>
      <c r="H477" s="791"/>
      <c r="I477" s="791"/>
      <c r="J477" s="791"/>
      <c r="K477" s="791"/>
      <c r="L477" s="791"/>
      <c r="M477" s="791"/>
      <c r="N477" s="791"/>
      <c r="O477" s="791"/>
      <c r="P477" s="791"/>
      <c r="Q477" s="791"/>
      <c r="R477" s="791"/>
      <c r="S477" s="791"/>
      <c r="T477" s="791"/>
      <c r="U477" s="791"/>
      <c r="V477" s="791"/>
      <c r="W477" s="791"/>
      <c r="X477" s="791"/>
      <c r="Y477" s="791"/>
      <c r="Z477" s="791"/>
      <c r="AA477" s="48"/>
      <c r="AB477" s="48"/>
      <c r="AC477" s="48"/>
    </row>
    <row r="478" spans="1:68" ht="16.5" hidden="1" customHeight="1" x14ac:dyDescent="0.25">
      <c r="A478" s="686" t="s">
        <v>732</v>
      </c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58"/>
      <c r="AB478" s="658"/>
      <c r="AC478" s="658"/>
    </row>
    <row r="479" spans="1:68" ht="14.25" hidden="1" customHeight="1" x14ac:dyDescent="0.25">
      <c r="A479" s="680" t="s">
        <v>98</v>
      </c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76">
        <v>4607091389067</v>
      </c>
      <c r="E480" s="677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9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2"/>
      <c r="R480" s="682"/>
      <c r="S480" s="682"/>
      <c r="T480" s="683"/>
      <c r="U480" s="34"/>
      <c r="V480" s="34"/>
      <c r="W480" s="35" t="s">
        <v>69</v>
      </c>
      <c r="X480" s="663">
        <v>50</v>
      </c>
      <c r="Y480" s="664">
        <f t="shared" ref="Y480:Y494" si="69">IFERROR(IF(X480="",0,CEILING((X480/$H480),1)*$H480),"")</f>
        <v>52.800000000000004</v>
      </c>
      <c r="Z480" s="36">
        <f>IFERROR(IF(Y480=0,"",ROUNDUP(Y480/H480,0)*0.01196),"")</f>
        <v>0.1196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53.409090909090907</v>
      </c>
      <c r="BN480" s="64">
        <f t="shared" ref="BN480:BN494" si="71">IFERROR(Y480*I480/H480,"0")</f>
        <v>56.400000000000006</v>
      </c>
      <c r="BO480" s="64">
        <f t="shared" ref="BO480:BO494" si="72">IFERROR(1/J480*(X480/H480),"0")</f>
        <v>9.1054778554778545E-2</v>
      </c>
      <c r="BP480" s="64">
        <f t="shared" ref="BP480:BP494" si="73">IFERROR(1/J480*(Y480/H480),"0")</f>
        <v>9.6153846153846159E-2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6">
        <v>4680115885271</v>
      </c>
      <c r="E481" s="677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2"/>
      <c r="R481" s="682"/>
      <c r="S481" s="682"/>
      <c r="T481" s="683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76">
        <v>4680115885226</v>
      </c>
      <c r="E482" s="677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9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2"/>
      <c r="R482" s="682"/>
      <c r="S482" s="682"/>
      <c r="T482" s="683"/>
      <c r="U482" s="34"/>
      <c r="V482" s="34"/>
      <c r="W482" s="35" t="s">
        <v>69</v>
      </c>
      <c r="X482" s="663">
        <v>120</v>
      </c>
      <c r="Y482" s="664">
        <f t="shared" si="69"/>
        <v>121.44000000000001</v>
      </c>
      <c r="Z482" s="36">
        <f>IFERROR(IF(Y482=0,"",ROUNDUP(Y482/H482,0)*0.01196),"")</f>
        <v>0.27507999999999999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128.18181818181816</v>
      </c>
      <c r="BN482" s="64">
        <f t="shared" si="71"/>
        <v>129.72</v>
      </c>
      <c r="BO482" s="64">
        <f t="shared" si="72"/>
        <v>0.21853146853146854</v>
      </c>
      <c r="BP482" s="64">
        <f t="shared" si="73"/>
        <v>0.22115384615384617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76">
        <v>4607091389104</v>
      </c>
      <c r="E483" s="677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7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2"/>
      <c r="R483" s="682"/>
      <c r="S483" s="682"/>
      <c r="T483" s="683"/>
      <c r="U483" s="34"/>
      <c r="V483" s="34"/>
      <c r="W483" s="35" t="s">
        <v>69</v>
      </c>
      <c r="X483" s="663">
        <v>150</v>
      </c>
      <c r="Y483" s="664">
        <f t="shared" si="69"/>
        <v>153.12</v>
      </c>
      <c r="Z483" s="36">
        <f>IFERROR(IF(Y483=0,"",ROUNDUP(Y483/H483,0)*0.01196),"")</f>
        <v>0.34683999999999998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160.22727272727272</v>
      </c>
      <c r="BN483" s="64">
        <f t="shared" si="71"/>
        <v>163.56</v>
      </c>
      <c r="BO483" s="64">
        <f t="shared" si="72"/>
        <v>0.27316433566433568</v>
      </c>
      <c r="BP483" s="64">
        <f t="shared" si="73"/>
        <v>0.27884615384615385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6">
        <v>4680115884519</v>
      </c>
      <c r="E484" s="677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7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82"/>
      <c r="R484" s="682"/>
      <c r="S484" s="682"/>
      <c r="T484" s="683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6">
        <v>4680115886391</v>
      </c>
      <c r="E485" s="677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829" t="s">
        <v>750</v>
      </c>
      <c r="Q485" s="682"/>
      <c r="R485" s="682"/>
      <c r="S485" s="682"/>
      <c r="T485" s="683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4301012035</v>
      </c>
      <c r="D486" s="676">
        <v>4680115880603</v>
      </c>
      <c r="E486" s="677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7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82"/>
      <c r="R486" s="682"/>
      <c r="S486" s="682"/>
      <c r="T486" s="683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76">
        <v>4680115880603</v>
      </c>
      <c r="E487" s="677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83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82"/>
      <c r="R487" s="682"/>
      <c r="S487" s="682"/>
      <c r="T487" s="683"/>
      <c r="U487" s="34"/>
      <c r="V487" s="34"/>
      <c r="W487" s="35" t="s">
        <v>69</v>
      </c>
      <c r="X487" s="663">
        <v>78</v>
      </c>
      <c r="Y487" s="664">
        <f t="shared" si="69"/>
        <v>79.2</v>
      </c>
      <c r="Z487" s="36">
        <f>IFERROR(IF(Y487=0,"",ROUNDUP(Y487/H487,0)*0.00902),"")</f>
        <v>0.19844000000000001</v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82.55</v>
      </c>
      <c r="BN487" s="64">
        <f t="shared" si="71"/>
        <v>83.820000000000007</v>
      </c>
      <c r="BO487" s="64">
        <f t="shared" si="72"/>
        <v>0.16414141414141414</v>
      </c>
      <c r="BP487" s="64">
        <f t="shared" si="73"/>
        <v>0.16666666666666669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6">
        <v>4680115882782</v>
      </c>
      <c r="E488" s="677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79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82"/>
      <c r="R488" s="682"/>
      <c r="S488" s="682"/>
      <c r="T488" s="683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6">
        <v>4680115886469</v>
      </c>
      <c r="E489" s="677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905" t="s">
        <v>758</v>
      </c>
      <c r="Q489" s="682"/>
      <c r="R489" s="682"/>
      <c r="S489" s="682"/>
      <c r="T489" s="683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6">
        <v>4680115886483</v>
      </c>
      <c r="E490" s="677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783" t="s">
        <v>761</v>
      </c>
      <c r="Q490" s="682"/>
      <c r="R490" s="682"/>
      <c r="S490" s="682"/>
      <c r="T490" s="683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6">
        <v>4680115885479</v>
      </c>
      <c r="E491" s="677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925" t="s">
        <v>765</v>
      </c>
      <c r="Q491" s="682"/>
      <c r="R491" s="682"/>
      <c r="S491" s="682"/>
      <c r="T491" s="683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4301012034</v>
      </c>
      <c r="D492" s="676">
        <v>4607091389982</v>
      </c>
      <c r="E492" s="677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9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82"/>
      <c r="R492" s="682"/>
      <c r="S492" s="682"/>
      <c r="T492" s="683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76">
        <v>4607091389982</v>
      </c>
      <c r="E493" s="677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9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2"/>
      <c r="R493" s="682"/>
      <c r="S493" s="682"/>
      <c r="T493" s="683"/>
      <c r="U493" s="34"/>
      <c r="V493" s="34"/>
      <c r="W493" s="35" t="s">
        <v>69</v>
      </c>
      <c r="X493" s="663">
        <v>156</v>
      </c>
      <c r="Y493" s="664">
        <f t="shared" si="69"/>
        <v>158.4</v>
      </c>
      <c r="Z493" s="36">
        <f>IFERROR(IF(Y493=0,"",ROUNDUP(Y493/H493,0)*0.00902),"")</f>
        <v>0.39688000000000001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165.1</v>
      </c>
      <c r="BN493" s="64">
        <f t="shared" si="71"/>
        <v>167.64000000000001</v>
      </c>
      <c r="BO493" s="64">
        <f t="shared" si="72"/>
        <v>0.32828282828282829</v>
      </c>
      <c r="BP493" s="64">
        <f t="shared" si="73"/>
        <v>0.33333333333333337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6">
        <v>4680115886490</v>
      </c>
      <c r="E494" s="677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96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82"/>
      <c r="R494" s="682"/>
      <c r="S494" s="682"/>
      <c r="T494" s="683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0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2"/>
      <c r="P495" s="678" t="s">
        <v>88</v>
      </c>
      <c r="Q495" s="668"/>
      <c r="R495" s="668"/>
      <c r="S495" s="668"/>
      <c r="T495" s="668"/>
      <c r="U495" s="668"/>
      <c r="V495" s="669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125.60606060606059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128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1.33684</v>
      </c>
      <c r="AA495" s="666"/>
      <c r="AB495" s="666"/>
      <c r="AC495" s="666"/>
    </row>
    <row r="496" spans="1:68" x14ac:dyDescent="0.2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2"/>
      <c r="P496" s="678" t="s">
        <v>88</v>
      </c>
      <c r="Q496" s="668"/>
      <c r="R496" s="668"/>
      <c r="S496" s="668"/>
      <c r="T496" s="668"/>
      <c r="U496" s="668"/>
      <c r="V496" s="669"/>
      <c r="W496" s="37" t="s">
        <v>69</v>
      </c>
      <c r="X496" s="665">
        <f>IFERROR(SUM(X480:X494),"0")</f>
        <v>554</v>
      </c>
      <c r="Y496" s="665">
        <f>IFERROR(SUM(Y480:Y494),"0")</f>
        <v>564.96</v>
      </c>
      <c r="Z496" s="37"/>
      <c r="AA496" s="666"/>
      <c r="AB496" s="666"/>
      <c r="AC496" s="666"/>
    </row>
    <row r="497" spans="1:68" ht="14.25" hidden="1" customHeight="1" x14ac:dyDescent="0.25">
      <c r="A497" s="680" t="s">
        <v>136</v>
      </c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59"/>
      <c r="AB497" s="659"/>
      <c r="AC497" s="659"/>
    </row>
    <row r="498" spans="1:68" ht="16.5" hidden="1" customHeight="1" x14ac:dyDescent="0.25">
      <c r="A498" s="54" t="s">
        <v>771</v>
      </c>
      <c r="B498" s="54" t="s">
        <v>772</v>
      </c>
      <c r="C498" s="31">
        <v>4301020334</v>
      </c>
      <c r="D498" s="676">
        <v>4607091388930</v>
      </c>
      <c r="E498" s="677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949" t="s">
        <v>773</v>
      </c>
      <c r="Q498" s="682"/>
      <c r="R498" s="682"/>
      <c r="S498" s="682"/>
      <c r="T498" s="683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76">
        <v>4607091388930</v>
      </c>
      <c r="E499" s="677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72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2"/>
      <c r="R499" s="682"/>
      <c r="S499" s="682"/>
      <c r="T499" s="683"/>
      <c r="U499" s="34"/>
      <c r="V499" s="34"/>
      <c r="W499" s="35" t="s">
        <v>69</v>
      </c>
      <c r="X499" s="663">
        <v>150</v>
      </c>
      <c r="Y499" s="664">
        <f>IFERROR(IF(X499="",0,CEILING((X499/$H499),1)*$H499),"")</f>
        <v>153.12</v>
      </c>
      <c r="Z499" s="36">
        <f>IFERROR(IF(Y499=0,"",ROUNDUP(Y499/H499,0)*0.01196),"")</f>
        <v>0.34683999999999998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160.22727272727272</v>
      </c>
      <c r="BN499" s="64">
        <f>IFERROR(Y499*I499/H499,"0")</f>
        <v>163.56</v>
      </c>
      <c r="BO499" s="64">
        <f>IFERROR(1/J499*(X499/H499),"0")</f>
        <v>0.27316433566433568</v>
      </c>
      <c r="BP499" s="64">
        <f>IFERROR(1/J499*(Y499/H499),"0")</f>
        <v>0.27884615384615385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6">
        <v>4680115886407</v>
      </c>
      <c r="E500" s="677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826" t="s">
        <v>779</v>
      </c>
      <c r="Q500" s="682"/>
      <c r="R500" s="682"/>
      <c r="S500" s="682"/>
      <c r="T500" s="683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6">
        <v>4680115880054</v>
      </c>
      <c r="E501" s="677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915" t="s">
        <v>782</v>
      </c>
      <c r="Q501" s="682"/>
      <c r="R501" s="682"/>
      <c r="S501" s="682"/>
      <c r="T501" s="683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0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2"/>
      <c r="P502" s="678" t="s">
        <v>88</v>
      </c>
      <c r="Q502" s="668"/>
      <c r="R502" s="668"/>
      <c r="S502" s="668"/>
      <c r="T502" s="668"/>
      <c r="U502" s="668"/>
      <c r="V502" s="669"/>
      <c r="W502" s="37" t="s">
        <v>89</v>
      </c>
      <c r="X502" s="665">
        <f>IFERROR(X498/H498,"0")+IFERROR(X499/H499,"0")+IFERROR(X500/H500,"0")+IFERROR(X501/H501,"0")</f>
        <v>28.409090909090907</v>
      </c>
      <c r="Y502" s="665">
        <f>IFERROR(Y498/H498,"0")+IFERROR(Y499/H499,"0")+IFERROR(Y500/H500,"0")+IFERROR(Y501/H501,"0")</f>
        <v>29</v>
      </c>
      <c r="Z502" s="665">
        <f>IFERROR(IF(Z498="",0,Z498),"0")+IFERROR(IF(Z499="",0,Z499),"0")+IFERROR(IF(Z500="",0,Z500),"0")+IFERROR(IF(Z501="",0,Z501),"0")</f>
        <v>0.34683999999999998</v>
      </c>
      <c r="AA502" s="666"/>
      <c r="AB502" s="666"/>
      <c r="AC502" s="666"/>
    </row>
    <row r="503" spans="1:68" x14ac:dyDescent="0.2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2"/>
      <c r="P503" s="678" t="s">
        <v>88</v>
      </c>
      <c r="Q503" s="668"/>
      <c r="R503" s="668"/>
      <c r="S503" s="668"/>
      <c r="T503" s="668"/>
      <c r="U503" s="668"/>
      <c r="V503" s="669"/>
      <c r="W503" s="37" t="s">
        <v>69</v>
      </c>
      <c r="X503" s="665">
        <f>IFERROR(SUM(X498:X501),"0")</f>
        <v>150</v>
      </c>
      <c r="Y503" s="665">
        <f>IFERROR(SUM(Y498:Y501),"0")</f>
        <v>153.12</v>
      </c>
      <c r="Z503" s="37"/>
      <c r="AA503" s="666"/>
      <c r="AB503" s="666"/>
      <c r="AC503" s="666"/>
    </row>
    <row r="504" spans="1:68" ht="14.25" hidden="1" customHeight="1" x14ac:dyDescent="0.25">
      <c r="A504" s="680" t="s">
        <v>147</v>
      </c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76">
        <v>4680115883116</v>
      </c>
      <c r="E505" s="677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685" t="s">
        <v>785</v>
      </c>
      <c r="Q505" s="682"/>
      <c r="R505" s="682"/>
      <c r="S505" s="682"/>
      <c r="T505" s="683"/>
      <c r="U505" s="34"/>
      <c r="V505" s="34"/>
      <c r="W505" s="35" t="s">
        <v>69</v>
      </c>
      <c r="X505" s="663">
        <v>30</v>
      </c>
      <c r="Y505" s="664">
        <f t="shared" ref="Y505:Y516" si="74">IFERROR(IF(X505="",0,CEILING((X505/$H505),1)*$H505),"")</f>
        <v>31.68</v>
      </c>
      <c r="Z505" s="36">
        <f>IFERROR(IF(Y505=0,"",ROUNDUP(Y505/H505,0)*0.01196),"")</f>
        <v>7.1760000000000004E-2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32.04545454545454</v>
      </c>
      <c r="BN505" s="64">
        <f t="shared" ref="BN505:BN516" si="76">IFERROR(Y505*I505/H505,"0")</f>
        <v>33.839999999999996</v>
      </c>
      <c r="BO505" s="64">
        <f t="shared" ref="BO505:BO516" si="77">IFERROR(1/J505*(X505/H505),"0")</f>
        <v>5.4632867132867136E-2</v>
      </c>
      <c r="BP505" s="64">
        <f t="shared" ref="BP505:BP516" si="78">IFERROR(1/J505*(Y505/H505),"0")</f>
        <v>5.7692307692307696E-2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76">
        <v>4680115883093</v>
      </c>
      <c r="E506" s="677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57" t="s">
        <v>789</v>
      </c>
      <c r="Q506" s="682"/>
      <c r="R506" s="682"/>
      <c r="S506" s="682"/>
      <c r="T506" s="683"/>
      <c r="U506" s="34"/>
      <c r="V506" s="34"/>
      <c r="W506" s="35" t="s">
        <v>69</v>
      </c>
      <c r="X506" s="663">
        <v>60</v>
      </c>
      <c r="Y506" s="664">
        <f t="shared" si="74"/>
        <v>63.36</v>
      </c>
      <c r="Z506" s="36">
        <f>IFERROR(IF(Y506=0,"",ROUNDUP(Y506/H506,0)*0.01196),"")</f>
        <v>0.14352000000000001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64.090909090909079</v>
      </c>
      <c r="BN506" s="64">
        <f t="shared" si="76"/>
        <v>67.679999999999993</v>
      </c>
      <c r="BO506" s="64">
        <f t="shared" si="77"/>
        <v>0.10926573426573427</v>
      </c>
      <c r="BP506" s="64">
        <f t="shared" si="78"/>
        <v>0.11538461538461539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76">
        <v>4680115883109</v>
      </c>
      <c r="E507" s="677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687" t="s">
        <v>793</v>
      </c>
      <c r="Q507" s="682"/>
      <c r="R507" s="682"/>
      <c r="S507" s="682"/>
      <c r="T507" s="683"/>
      <c r="U507" s="34"/>
      <c r="V507" s="34"/>
      <c r="W507" s="35" t="s">
        <v>69</v>
      </c>
      <c r="X507" s="663">
        <v>120</v>
      </c>
      <c r="Y507" s="664">
        <f t="shared" si="74"/>
        <v>121.44000000000001</v>
      </c>
      <c r="Z507" s="36">
        <f>IFERROR(IF(Y507=0,"",ROUNDUP(Y507/H507,0)*0.01196),"")</f>
        <v>0.27507999999999999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128.18181818181816</v>
      </c>
      <c r="BN507" s="64">
        <f t="shared" si="76"/>
        <v>129.72</v>
      </c>
      <c r="BO507" s="64">
        <f t="shared" si="77"/>
        <v>0.21853146853146854</v>
      </c>
      <c r="BP507" s="64">
        <f t="shared" si="78"/>
        <v>0.22115384615384617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6">
        <v>4680115886438</v>
      </c>
      <c r="E508" s="677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989" t="s">
        <v>797</v>
      </c>
      <c r="Q508" s="682"/>
      <c r="R508" s="682"/>
      <c r="S508" s="682"/>
      <c r="T508" s="683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4301031351</v>
      </c>
      <c r="D509" s="676">
        <v>4680115882072</v>
      </c>
      <c r="E509" s="677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744" t="s">
        <v>800</v>
      </c>
      <c r="Q509" s="682"/>
      <c r="R509" s="682"/>
      <c r="S509" s="682"/>
      <c r="T509" s="683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4301031383</v>
      </c>
      <c r="D510" s="676">
        <v>4680115882072</v>
      </c>
      <c r="E510" s="677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825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82"/>
      <c r="R510" s="682"/>
      <c r="S510" s="682"/>
      <c r="T510" s="683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4301031419</v>
      </c>
      <c r="D511" s="676">
        <v>4680115882072</v>
      </c>
      <c r="E511" s="677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81" t="s">
        <v>804</v>
      </c>
      <c r="Q511" s="682"/>
      <c r="R511" s="682"/>
      <c r="S511" s="682"/>
      <c r="T511" s="683"/>
      <c r="U511" s="34"/>
      <c r="V511" s="34"/>
      <c r="W511" s="35" t="s">
        <v>69</v>
      </c>
      <c r="X511" s="663">
        <v>78</v>
      </c>
      <c r="Y511" s="664">
        <f t="shared" si="74"/>
        <v>81.599999999999994</v>
      </c>
      <c r="Z511" s="36">
        <f>IFERROR(IF(Y511=0,"",ROUNDUP(Y511/H511,0)*0.00902),"")</f>
        <v>0.15334</v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112.6125</v>
      </c>
      <c r="BN511" s="64">
        <f t="shared" si="76"/>
        <v>117.80999999999999</v>
      </c>
      <c r="BO511" s="64">
        <f t="shared" si="77"/>
        <v>0.12310606060606061</v>
      </c>
      <c r="BP511" s="64">
        <f t="shared" si="78"/>
        <v>0.12878787878787878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76">
        <v>4680115882102</v>
      </c>
      <c r="E512" s="677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8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82"/>
      <c r="R512" s="682"/>
      <c r="S512" s="682"/>
      <c r="T512" s="683"/>
      <c r="U512" s="34"/>
      <c r="V512" s="34"/>
      <c r="W512" s="35" t="s">
        <v>69</v>
      </c>
      <c r="X512" s="663">
        <v>24</v>
      </c>
      <c r="Y512" s="664">
        <f t="shared" si="74"/>
        <v>25.2</v>
      </c>
      <c r="Z512" s="36">
        <f>IFERROR(IF(Y512=0,"",ROUNDUP(Y512/H512,0)*0.00902),"")</f>
        <v>6.3140000000000002E-2</v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25.4</v>
      </c>
      <c r="BN512" s="64">
        <f t="shared" si="76"/>
        <v>26.669999999999998</v>
      </c>
      <c r="BO512" s="64">
        <f t="shared" si="77"/>
        <v>5.0505050505050504E-2</v>
      </c>
      <c r="BP512" s="64">
        <f t="shared" si="78"/>
        <v>5.3030303030303032E-2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6">
        <v>4680115882102</v>
      </c>
      <c r="E513" s="677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919" t="s">
        <v>809</v>
      </c>
      <c r="Q513" s="682"/>
      <c r="R513" s="682"/>
      <c r="S513" s="682"/>
      <c r="T513" s="683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4301031384</v>
      </c>
      <c r="D514" s="676">
        <v>4680115882096</v>
      </c>
      <c r="E514" s="677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90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82"/>
      <c r="R514" s="682"/>
      <c r="S514" s="682"/>
      <c r="T514" s="683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812</v>
      </c>
      <c r="C515" s="31">
        <v>4301031253</v>
      </c>
      <c r="D515" s="676">
        <v>4680115882096</v>
      </c>
      <c r="E515" s="677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73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82"/>
      <c r="R515" s="682"/>
      <c r="S515" s="682"/>
      <c r="T515" s="683"/>
      <c r="U515" s="34"/>
      <c r="V515" s="34"/>
      <c r="W515" s="35" t="s">
        <v>69</v>
      </c>
      <c r="X515" s="663">
        <v>138</v>
      </c>
      <c r="Y515" s="664">
        <f t="shared" si="74"/>
        <v>140.4</v>
      </c>
      <c r="Z515" s="36">
        <f>IFERROR(IF(Y515=0,"",ROUNDUP(Y515/H515,0)*0.00902),"")</f>
        <v>0.35177999999999998</v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146.04999999999998</v>
      </c>
      <c r="BN515" s="64">
        <f t="shared" si="76"/>
        <v>148.59</v>
      </c>
      <c r="BO515" s="64">
        <f t="shared" si="77"/>
        <v>0.29040404040404044</v>
      </c>
      <c r="BP515" s="64">
        <f t="shared" si="78"/>
        <v>0.29545454545454547</v>
      </c>
    </row>
    <row r="516" spans="1:68" ht="27" hidden="1" customHeight="1" x14ac:dyDescent="0.25">
      <c r="A516" s="54" t="s">
        <v>810</v>
      </c>
      <c r="B516" s="54" t="s">
        <v>814</v>
      </c>
      <c r="C516" s="31">
        <v>4301031417</v>
      </c>
      <c r="D516" s="676">
        <v>4680115882096</v>
      </c>
      <c r="E516" s="677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922" t="s">
        <v>815</v>
      </c>
      <c r="Q516" s="682"/>
      <c r="R516" s="682"/>
      <c r="S516" s="682"/>
      <c r="T516" s="683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0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2"/>
      <c r="P517" s="678" t="s">
        <v>88</v>
      </c>
      <c r="Q517" s="668"/>
      <c r="R517" s="668"/>
      <c r="S517" s="668"/>
      <c r="T517" s="668"/>
      <c r="U517" s="668"/>
      <c r="V517" s="669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101.02272727272728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104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1.0586199999999999</v>
      </c>
      <c r="AA517" s="666"/>
      <c r="AB517" s="666"/>
      <c r="AC517" s="666"/>
    </row>
    <row r="518" spans="1:68" x14ac:dyDescent="0.2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2"/>
      <c r="P518" s="678" t="s">
        <v>88</v>
      </c>
      <c r="Q518" s="668"/>
      <c r="R518" s="668"/>
      <c r="S518" s="668"/>
      <c r="T518" s="668"/>
      <c r="U518" s="668"/>
      <c r="V518" s="669"/>
      <c r="W518" s="37" t="s">
        <v>69</v>
      </c>
      <c r="X518" s="665">
        <f>IFERROR(SUM(X505:X516),"0")</f>
        <v>450</v>
      </c>
      <c r="Y518" s="665">
        <f>IFERROR(SUM(Y505:Y516),"0")</f>
        <v>463.68000000000006</v>
      </c>
      <c r="Z518" s="37"/>
      <c r="AA518" s="666"/>
      <c r="AB518" s="666"/>
      <c r="AC518" s="666"/>
    </row>
    <row r="519" spans="1:68" ht="14.25" hidden="1" customHeight="1" x14ac:dyDescent="0.25">
      <c r="A519" s="680" t="s">
        <v>64</v>
      </c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6">
        <v>4607091383409</v>
      </c>
      <c r="E520" s="677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10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82"/>
      <c r="R520" s="682"/>
      <c r="S520" s="682"/>
      <c r="T520" s="683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6">
        <v>4607091383416</v>
      </c>
      <c r="E521" s="677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100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82"/>
      <c r="R521" s="682"/>
      <c r="S521" s="682"/>
      <c r="T521" s="683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6">
        <v>4680115883536</v>
      </c>
      <c r="E522" s="677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10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82"/>
      <c r="R522" s="682"/>
      <c r="S522" s="682"/>
      <c r="T522" s="683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0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2"/>
      <c r="P523" s="678" t="s">
        <v>88</v>
      </c>
      <c r="Q523" s="668"/>
      <c r="R523" s="668"/>
      <c r="S523" s="668"/>
      <c r="T523" s="668"/>
      <c r="U523" s="668"/>
      <c r="V523" s="669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2"/>
      <c r="P524" s="678" t="s">
        <v>88</v>
      </c>
      <c r="Q524" s="668"/>
      <c r="R524" s="668"/>
      <c r="S524" s="668"/>
      <c r="T524" s="668"/>
      <c r="U524" s="668"/>
      <c r="V524" s="669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80" t="s">
        <v>173</v>
      </c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6">
        <v>4680115885035</v>
      </c>
      <c r="E526" s="677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78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82"/>
      <c r="R526" s="682"/>
      <c r="S526" s="682"/>
      <c r="T526" s="683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6">
        <v>4680115885936</v>
      </c>
      <c r="E527" s="677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1022" t="s">
        <v>830</v>
      </c>
      <c r="Q527" s="682"/>
      <c r="R527" s="682"/>
      <c r="S527" s="682"/>
      <c r="T527" s="683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0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2"/>
      <c r="P528" s="678" t="s">
        <v>88</v>
      </c>
      <c r="Q528" s="668"/>
      <c r="R528" s="668"/>
      <c r="S528" s="668"/>
      <c r="T528" s="668"/>
      <c r="U528" s="668"/>
      <c r="V528" s="669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2"/>
      <c r="P529" s="678" t="s">
        <v>88</v>
      </c>
      <c r="Q529" s="668"/>
      <c r="R529" s="668"/>
      <c r="S529" s="668"/>
      <c r="T529" s="668"/>
      <c r="U529" s="668"/>
      <c r="V529" s="669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90" t="s">
        <v>831</v>
      </c>
      <c r="B530" s="791"/>
      <c r="C530" s="791"/>
      <c r="D530" s="791"/>
      <c r="E530" s="791"/>
      <c r="F530" s="791"/>
      <c r="G530" s="791"/>
      <c r="H530" s="791"/>
      <c r="I530" s="791"/>
      <c r="J530" s="791"/>
      <c r="K530" s="791"/>
      <c r="L530" s="791"/>
      <c r="M530" s="791"/>
      <c r="N530" s="791"/>
      <c r="O530" s="791"/>
      <c r="P530" s="791"/>
      <c r="Q530" s="791"/>
      <c r="R530" s="791"/>
      <c r="S530" s="791"/>
      <c r="T530" s="791"/>
      <c r="U530" s="791"/>
      <c r="V530" s="791"/>
      <c r="W530" s="791"/>
      <c r="X530" s="791"/>
      <c r="Y530" s="791"/>
      <c r="Z530" s="791"/>
      <c r="AA530" s="48"/>
      <c r="AB530" s="48"/>
      <c r="AC530" s="48"/>
    </row>
    <row r="531" spans="1:68" ht="16.5" hidden="1" customHeight="1" x14ac:dyDescent="0.25">
      <c r="A531" s="686" t="s">
        <v>831</v>
      </c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58"/>
      <c r="AB531" s="658"/>
      <c r="AC531" s="658"/>
    </row>
    <row r="532" spans="1:68" ht="14.25" hidden="1" customHeight="1" x14ac:dyDescent="0.25">
      <c r="A532" s="680" t="s">
        <v>98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6">
        <v>4640242181011</v>
      </c>
      <c r="E533" s="677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58" t="s">
        <v>834</v>
      </c>
      <c r="Q533" s="682"/>
      <c r="R533" s="682"/>
      <c r="S533" s="682"/>
      <c r="T533" s="683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6">
        <v>4640242180441</v>
      </c>
      <c r="E534" s="677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688" t="s">
        <v>838</v>
      </c>
      <c r="Q534" s="682"/>
      <c r="R534" s="682"/>
      <c r="S534" s="682"/>
      <c r="T534" s="683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76">
        <v>4640242180564</v>
      </c>
      <c r="E535" s="677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827" t="s">
        <v>842</v>
      </c>
      <c r="Q535" s="682"/>
      <c r="R535" s="682"/>
      <c r="S535" s="682"/>
      <c r="T535" s="683"/>
      <c r="U535" s="34"/>
      <c r="V535" s="34"/>
      <c r="W535" s="35" t="s">
        <v>69</v>
      </c>
      <c r="X535" s="663">
        <v>10</v>
      </c>
      <c r="Y535" s="664">
        <f t="shared" si="79"/>
        <v>12</v>
      </c>
      <c r="Z535" s="36">
        <f>IFERROR(IF(Y535=0,"",ROUNDUP(Y535/H535,0)*0.01898),"")</f>
        <v>1.898E-2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10.362500000000001</v>
      </c>
      <c r="BN535" s="64">
        <f t="shared" si="81"/>
        <v>12.435</v>
      </c>
      <c r="BO535" s="64">
        <f t="shared" si="82"/>
        <v>1.3020833333333334E-2</v>
      </c>
      <c r="BP535" s="64">
        <f t="shared" si="83"/>
        <v>1.5625E-2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6">
        <v>4640242180922</v>
      </c>
      <c r="E536" s="677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844" t="s">
        <v>846</v>
      </c>
      <c r="Q536" s="682"/>
      <c r="R536" s="682"/>
      <c r="S536" s="682"/>
      <c r="T536" s="683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6">
        <v>4640242180038</v>
      </c>
      <c r="E537" s="677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988" t="s">
        <v>850</v>
      </c>
      <c r="Q537" s="682"/>
      <c r="R537" s="682"/>
      <c r="S537" s="682"/>
      <c r="T537" s="683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6">
        <v>4640242181172</v>
      </c>
      <c r="E538" s="677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48" t="s">
        <v>853</v>
      </c>
      <c r="Q538" s="682"/>
      <c r="R538" s="682"/>
      <c r="S538" s="682"/>
      <c r="T538" s="683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0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2"/>
      <c r="P539" s="678" t="s">
        <v>88</v>
      </c>
      <c r="Q539" s="668"/>
      <c r="R539" s="668"/>
      <c r="S539" s="668"/>
      <c r="T539" s="668"/>
      <c r="U539" s="668"/>
      <c r="V539" s="669"/>
      <c r="W539" s="37" t="s">
        <v>89</v>
      </c>
      <c r="X539" s="665">
        <f>IFERROR(X533/H533,"0")+IFERROR(X534/H534,"0")+IFERROR(X535/H535,"0")+IFERROR(X536/H536,"0")+IFERROR(X537/H537,"0")+IFERROR(X538/H538,"0")</f>
        <v>0.83333333333333337</v>
      </c>
      <c r="Y539" s="665">
        <f>IFERROR(Y533/H533,"0")+IFERROR(Y534/H534,"0")+IFERROR(Y535/H535,"0")+IFERROR(Y536/H536,"0")+IFERROR(Y537/H537,"0")+IFERROR(Y538/H538,"0")</f>
        <v>1</v>
      </c>
      <c r="Z539" s="665">
        <f>IFERROR(IF(Z533="",0,Z533),"0")+IFERROR(IF(Z534="",0,Z534),"0")+IFERROR(IF(Z535="",0,Z535),"0")+IFERROR(IF(Z536="",0,Z536),"0")+IFERROR(IF(Z537="",0,Z537),"0")+IFERROR(IF(Z538="",0,Z538),"0")</f>
        <v>1.898E-2</v>
      </c>
      <c r="AA539" s="666"/>
      <c r="AB539" s="666"/>
      <c r="AC539" s="666"/>
    </row>
    <row r="540" spans="1:68" x14ac:dyDescent="0.2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2"/>
      <c r="P540" s="678" t="s">
        <v>88</v>
      </c>
      <c r="Q540" s="668"/>
      <c r="R540" s="668"/>
      <c r="S540" s="668"/>
      <c r="T540" s="668"/>
      <c r="U540" s="668"/>
      <c r="V540" s="669"/>
      <c r="W540" s="37" t="s">
        <v>69</v>
      </c>
      <c r="X540" s="665">
        <f>IFERROR(SUM(X533:X538),"0")</f>
        <v>10</v>
      </c>
      <c r="Y540" s="665">
        <f>IFERROR(SUM(Y533:Y538),"0")</f>
        <v>12</v>
      </c>
      <c r="Z540" s="37"/>
      <c r="AA540" s="666"/>
      <c r="AB540" s="666"/>
      <c r="AC540" s="666"/>
    </row>
    <row r="541" spans="1:68" ht="14.25" hidden="1" customHeight="1" x14ac:dyDescent="0.25">
      <c r="A541" s="680" t="s">
        <v>136</v>
      </c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6">
        <v>4640242180519</v>
      </c>
      <c r="E542" s="677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985" t="s">
        <v>856</v>
      </c>
      <c r="Q542" s="682"/>
      <c r="R542" s="682"/>
      <c r="S542" s="682"/>
      <c r="T542" s="683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6">
        <v>4640242180519</v>
      </c>
      <c r="E543" s="677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923" t="s">
        <v>859</v>
      </c>
      <c r="Q543" s="682"/>
      <c r="R543" s="682"/>
      <c r="S543" s="682"/>
      <c r="T543" s="683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6">
        <v>4640242180526</v>
      </c>
      <c r="E544" s="677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912" t="s">
        <v>863</v>
      </c>
      <c r="Q544" s="682"/>
      <c r="R544" s="682"/>
      <c r="S544" s="682"/>
      <c r="T544" s="683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6">
        <v>4640242180090</v>
      </c>
      <c r="E545" s="677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5" t="s">
        <v>866</v>
      </c>
      <c r="Q545" s="682"/>
      <c r="R545" s="682"/>
      <c r="S545" s="682"/>
      <c r="T545" s="683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6">
        <v>4640242181363</v>
      </c>
      <c r="E546" s="677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970" t="s">
        <v>870</v>
      </c>
      <c r="Q546" s="682"/>
      <c r="R546" s="682"/>
      <c r="S546" s="682"/>
      <c r="T546" s="683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0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2"/>
      <c r="P547" s="678" t="s">
        <v>88</v>
      </c>
      <c r="Q547" s="668"/>
      <c r="R547" s="668"/>
      <c r="S547" s="668"/>
      <c r="T547" s="668"/>
      <c r="U547" s="668"/>
      <c r="V547" s="669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2"/>
      <c r="P548" s="678" t="s">
        <v>88</v>
      </c>
      <c r="Q548" s="668"/>
      <c r="R548" s="668"/>
      <c r="S548" s="668"/>
      <c r="T548" s="668"/>
      <c r="U548" s="668"/>
      <c r="V548" s="669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80" t="s">
        <v>147</v>
      </c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6">
        <v>4640242180816</v>
      </c>
      <c r="E550" s="677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1013" t="s">
        <v>873</v>
      </c>
      <c r="Q550" s="682"/>
      <c r="R550" s="682"/>
      <c r="S550" s="682"/>
      <c r="T550" s="683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6">
        <v>4640242180595</v>
      </c>
      <c r="E551" s="677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792" t="s">
        <v>877</v>
      </c>
      <c r="Q551" s="682"/>
      <c r="R551" s="682"/>
      <c r="S551" s="682"/>
      <c r="T551" s="683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6">
        <v>4640242181615</v>
      </c>
      <c r="E552" s="677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1047" t="s">
        <v>881</v>
      </c>
      <c r="Q552" s="682"/>
      <c r="R552" s="682"/>
      <c r="S552" s="682"/>
      <c r="T552" s="683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6">
        <v>4640242181639</v>
      </c>
      <c r="E553" s="677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994" t="s">
        <v>885</v>
      </c>
      <c r="Q553" s="682"/>
      <c r="R553" s="682"/>
      <c r="S553" s="682"/>
      <c r="T553" s="683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6">
        <v>4640242181622</v>
      </c>
      <c r="E554" s="677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814" t="s">
        <v>889</v>
      </c>
      <c r="Q554" s="682"/>
      <c r="R554" s="682"/>
      <c r="S554" s="682"/>
      <c r="T554" s="683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6">
        <v>4640242180908</v>
      </c>
      <c r="E555" s="677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782" t="s">
        <v>893</v>
      </c>
      <c r="Q555" s="682"/>
      <c r="R555" s="682"/>
      <c r="S555" s="682"/>
      <c r="T555" s="683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6">
        <v>4640242180489</v>
      </c>
      <c r="E556" s="677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968" t="s">
        <v>896</v>
      </c>
      <c r="Q556" s="682"/>
      <c r="R556" s="682"/>
      <c r="S556" s="682"/>
      <c r="T556" s="683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0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2"/>
      <c r="P557" s="678" t="s">
        <v>88</v>
      </c>
      <c r="Q557" s="668"/>
      <c r="R557" s="668"/>
      <c r="S557" s="668"/>
      <c r="T557" s="668"/>
      <c r="U557" s="668"/>
      <c r="V557" s="669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2"/>
      <c r="P558" s="678" t="s">
        <v>88</v>
      </c>
      <c r="Q558" s="668"/>
      <c r="R558" s="668"/>
      <c r="S558" s="668"/>
      <c r="T558" s="668"/>
      <c r="U558" s="668"/>
      <c r="V558" s="669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80" t="s">
        <v>64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4301051887</v>
      </c>
      <c r="D560" s="676">
        <v>4640242180533</v>
      </c>
      <c r="E560" s="677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767" t="s">
        <v>899</v>
      </c>
      <c r="Q560" s="682"/>
      <c r="R560" s="682"/>
      <c r="S560" s="682"/>
      <c r="T560" s="683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4301052046</v>
      </c>
      <c r="D561" s="676">
        <v>4640242180533</v>
      </c>
      <c r="E561" s="677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843" t="s">
        <v>899</v>
      </c>
      <c r="Q561" s="682"/>
      <c r="R561" s="682"/>
      <c r="S561" s="682"/>
      <c r="T561" s="683"/>
      <c r="U561" s="34"/>
      <c r="V561" s="34"/>
      <c r="W561" s="35" t="s">
        <v>69</v>
      </c>
      <c r="X561" s="663">
        <v>1400</v>
      </c>
      <c r="Y561" s="664">
        <f>IFERROR(IF(X561="",0,CEILING((X561/$H561),1)*$H561),"")</f>
        <v>1404</v>
      </c>
      <c r="Z561" s="36">
        <f>IFERROR(IF(Y561=0,"",ROUNDUP(Y561/H561,0)*0.01898),"")</f>
        <v>2.96088</v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1480.7333333333333</v>
      </c>
      <c r="BN561" s="64">
        <f>IFERROR(Y561*I561/H561,"0")</f>
        <v>1484.9639999999999</v>
      </c>
      <c r="BO561" s="64">
        <f>IFERROR(1/J561*(X561/H561),"0")</f>
        <v>2.4305555555555554</v>
      </c>
      <c r="BP561" s="64">
        <f>IFERROR(1/J561*(Y561/H561),"0")</f>
        <v>2.4375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6">
        <v>4640242180540</v>
      </c>
      <c r="E562" s="677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1031" t="s">
        <v>904</v>
      </c>
      <c r="Q562" s="682"/>
      <c r="R562" s="682"/>
      <c r="S562" s="682"/>
      <c r="T562" s="683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6">
        <v>4640242181233</v>
      </c>
      <c r="E563" s="677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1008" t="s">
        <v>908</v>
      </c>
      <c r="Q563" s="682"/>
      <c r="R563" s="682"/>
      <c r="S563" s="682"/>
      <c r="T563" s="683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6">
        <v>4640242181226</v>
      </c>
      <c r="E564" s="677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884" t="s">
        <v>911</v>
      </c>
      <c r="Q564" s="682"/>
      <c r="R564" s="682"/>
      <c r="S564" s="682"/>
      <c r="T564" s="683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0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2"/>
      <c r="P565" s="678" t="s">
        <v>88</v>
      </c>
      <c r="Q565" s="668"/>
      <c r="R565" s="668"/>
      <c r="S565" s="668"/>
      <c r="T565" s="668"/>
      <c r="U565" s="668"/>
      <c r="V565" s="669"/>
      <c r="W565" s="37" t="s">
        <v>89</v>
      </c>
      <c r="X565" s="665">
        <f>IFERROR(X560/H560,"0")+IFERROR(X561/H561,"0")+IFERROR(X562/H562,"0")+IFERROR(X563/H563,"0")+IFERROR(X564/H564,"0")</f>
        <v>155.55555555555554</v>
      </c>
      <c r="Y565" s="665">
        <f>IFERROR(Y560/H560,"0")+IFERROR(Y561/H561,"0")+IFERROR(Y562/H562,"0")+IFERROR(Y563/H563,"0")+IFERROR(Y564/H564,"0")</f>
        <v>156</v>
      </c>
      <c r="Z565" s="665">
        <f>IFERROR(IF(Z560="",0,Z560),"0")+IFERROR(IF(Z561="",0,Z561),"0")+IFERROR(IF(Z562="",0,Z562),"0")+IFERROR(IF(Z563="",0,Z563),"0")+IFERROR(IF(Z564="",0,Z564),"0")</f>
        <v>2.96088</v>
      </c>
      <c r="AA565" s="666"/>
      <c r="AB565" s="666"/>
      <c r="AC565" s="666"/>
    </row>
    <row r="566" spans="1:68" x14ac:dyDescent="0.2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2"/>
      <c r="P566" s="678" t="s">
        <v>88</v>
      </c>
      <c r="Q566" s="668"/>
      <c r="R566" s="668"/>
      <c r="S566" s="668"/>
      <c r="T566" s="668"/>
      <c r="U566" s="668"/>
      <c r="V566" s="669"/>
      <c r="W566" s="37" t="s">
        <v>69</v>
      </c>
      <c r="X566" s="665">
        <f>IFERROR(SUM(X560:X564),"0")</f>
        <v>1400</v>
      </c>
      <c r="Y566" s="665">
        <f>IFERROR(SUM(Y560:Y564),"0")</f>
        <v>1404</v>
      </c>
      <c r="Z566" s="37"/>
      <c r="AA566" s="666"/>
      <c r="AB566" s="666"/>
      <c r="AC566" s="666"/>
    </row>
    <row r="567" spans="1:68" ht="14.25" hidden="1" customHeight="1" x14ac:dyDescent="0.25">
      <c r="A567" s="680" t="s">
        <v>173</v>
      </c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4301060485</v>
      </c>
      <c r="D568" s="676">
        <v>4640242180120</v>
      </c>
      <c r="E568" s="677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716" t="s">
        <v>914</v>
      </c>
      <c r="Q568" s="682"/>
      <c r="R568" s="682"/>
      <c r="S568" s="682"/>
      <c r="T568" s="683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4301060496</v>
      </c>
      <c r="D569" s="676">
        <v>4640242180120</v>
      </c>
      <c r="E569" s="677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804" t="s">
        <v>917</v>
      </c>
      <c r="Q569" s="682"/>
      <c r="R569" s="682"/>
      <c r="S569" s="682"/>
      <c r="T569" s="683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4301060486</v>
      </c>
      <c r="D570" s="676">
        <v>4640242180137</v>
      </c>
      <c r="E570" s="677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1002" t="s">
        <v>920</v>
      </c>
      <c r="Q570" s="682"/>
      <c r="R570" s="682"/>
      <c r="S570" s="682"/>
      <c r="T570" s="683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4301060498</v>
      </c>
      <c r="D571" s="676">
        <v>4640242180137</v>
      </c>
      <c r="E571" s="677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986" t="s">
        <v>923</v>
      </c>
      <c r="Q571" s="682"/>
      <c r="R571" s="682"/>
      <c r="S571" s="682"/>
      <c r="T571" s="683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0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2"/>
      <c r="P572" s="678" t="s">
        <v>88</v>
      </c>
      <c r="Q572" s="668"/>
      <c r="R572" s="668"/>
      <c r="S572" s="668"/>
      <c r="T572" s="668"/>
      <c r="U572" s="668"/>
      <c r="V572" s="669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2"/>
      <c r="P573" s="678" t="s">
        <v>88</v>
      </c>
      <c r="Q573" s="668"/>
      <c r="R573" s="668"/>
      <c r="S573" s="668"/>
      <c r="T573" s="668"/>
      <c r="U573" s="668"/>
      <c r="V573" s="669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686" t="s">
        <v>924</v>
      </c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58"/>
      <c r="AB574" s="658"/>
      <c r="AC574" s="658"/>
    </row>
    <row r="575" spans="1:68" ht="14.25" hidden="1" customHeight="1" x14ac:dyDescent="0.25">
      <c r="A575" s="680" t="s">
        <v>98</v>
      </c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6">
        <v>4640242180045</v>
      </c>
      <c r="E576" s="677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759" t="s">
        <v>927</v>
      </c>
      <c r="Q576" s="682"/>
      <c r="R576" s="682"/>
      <c r="S576" s="682"/>
      <c r="T576" s="683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0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2"/>
      <c r="P577" s="678" t="s">
        <v>88</v>
      </c>
      <c r="Q577" s="668"/>
      <c r="R577" s="668"/>
      <c r="S577" s="668"/>
      <c r="T577" s="668"/>
      <c r="U577" s="668"/>
      <c r="V577" s="669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2"/>
      <c r="P578" s="678" t="s">
        <v>88</v>
      </c>
      <c r="Q578" s="668"/>
      <c r="R578" s="668"/>
      <c r="S578" s="668"/>
      <c r="T578" s="668"/>
      <c r="U578" s="668"/>
      <c r="V578" s="669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80" t="s">
        <v>136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6">
        <v>4640242180090</v>
      </c>
      <c r="E580" s="677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780" t="s">
        <v>931</v>
      </c>
      <c r="Q580" s="682"/>
      <c r="R580" s="682"/>
      <c r="S580" s="682"/>
      <c r="T580" s="683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0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2"/>
      <c r="P581" s="678" t="s">
        <v>88</v>
      </c>
      <c r="Q581" s="668"/>
      <c r="R581" s="668"/>
      <c r="S581" s="668"/>
      <c r="T581" s="668"/>
      <c r="U581" s="668"/>
      <c r="V581" s="669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2"/>
      <c r="P582" s="678" t="s">
        <v>88</v>
      </c>
      <c r="Q582" s="668"/>
      <c r="R582" s="668"/>
      <c r="S582" s="668"/>
      <c r="T582" s="668"/>
      <c r="U582" s="668"/>
      <c r="V582" s="669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80" t="s">
        <v>147</v>
      </c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6">
        <v>4640242180076</v>
      </c>
      <c r="E584" s="677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965" t="s">
        <v>935</v>
      </c>
      <c r="Q584" s="682"/>
      <c r="R584" s="682"/>
      <c r="S584" s="682"/>
      <c r="T584" s="683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0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2"/>
      <c r="P585" s="678" t="s">
        <v>88</v>
      </c>
      <c r="Q585" s="668"/>
      <c r="R585" s="668"/>
      <c r="S585" s="668"/>
      <c r="T585" s="668"/>
      <c r="U585" s="668"/>
      <c r="V585" s="669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2"/>
      <c r="P586" s="678" t="s">
        <v>88</v>
      </c>
      <c r="Q586" s="668"/>
      <c r="R586" s="668"/>
      <c r="S586" s="668"/>
      <c r="T586" s="668"/>
      <c r="U586" s="668"/>
      <c r="V586" s="669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80" t="s">
        <v>64</v>
      </c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6">
        <v>4640242180113</v>
      </c>
      <c r="E588" s="677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746" t="s">
        <v>939</v>
      </c>
      <c r="Q588" s="682"/>
      <c r="R588" s="682"/>
      <c r="S588" s="682"/>
      <c r="T588" s="683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0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2"/>
      <c r="P589" s="678" t="s">
        <v>88</v>
      </c>
      <c r="Q589" s="668"/>
      <c r="R589" s="668"/>
      <c r="S589" s="668"/>
      <c r="T589" s="668"/>
      <c r="U589" s="668"/>
      <c r="V589" s="669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2"/>
      <c r="P590" s="678" t="s">
        <v>88</v>
      </c>
      <c r="Q590" s="668"/>
      <c r="R590" s="668"/>
      <c r="S590" s="668"/>
      <c r="T590" s="668"/>
      <c r="U590" s="668"/>
      <c r="V590" s="669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82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883"/>
      <c r="P591" s="673" t="s">
        <v>941</v>
      </c>
      <c r="Q591" s="674"/>
      <c r="R591" s="674"/>
      <c r="S591" s="674"/>
      <c r="T591" s="674"/>
      <c r="U591" s="674"/>
      <c r="V591" s="675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17117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17291.159999999996</v>
      </c>
      <c r="Z591" s="37"/>
      <c r="AA591" s="666"/>
      <c r="AB591" s="666"/>
      <c r="AC591" s="666"/>
    </row>
    <row r="592" spans="1:68" x14ac:dyDescent="0.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883"/>
      <c r="P592" s="673" t="s">
        <v>942</v>
      </c>
      <c r="Q592" s="674"/>
      <c r="R592" s="674"/>
      <c r="S592" s="674"/>
      <c r="T592" s="674"/>
      <c r="U592" s="674"/>
      <c r="V592" s="675"/>
      <c r="W592" s="37" t="s">
        <v>69</v>
      </c>
      <c r="X592" s="665">
        <f>IFERROR(SUM(BM22:BM588),"0")</f>
        <v>18117.751584239515</v>
      </c>
      <c r="Y592" s="665">
        <f>IFERROR(SUM(BN22:BN588),"0")</f>
        <v>18303.805999999993</v>
      </c>
      <c r="Z592" s="37"/>
      <c r="AA592" s="666"/>
      <c r="AB592" s="666"/>
      <c r="AC592" s="666"/>
    </row>
    <row r="593" spans="1:32" x14ac:dyDescent="0.2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883"/>
      <c r="P593" s="673" t="s">
        <v>943</v>
      </c>
      <c r="Q593" s="674"/>
      <c r="R593" s="674"/>
      <c r="S593" s="674"/>
      <c r="T593" s="674"/>
      <c r="U593" s="674"/>
      <c r="V593" s="675"/>
      <c r="W593" s="37" t="s">
        <v>944</v>
      </c>
      <c r="X593" s="38">
        <f>ROUNDUP(SUM(BO22:BO588),0)</f>
        <v>30</v>
      </c>
      <c r="Y593" s="38">
        <f>ROUNDUP(SUM(BP22:BP588),0)</f>
        <v>31</v>
      </c>
      <c r="Z593" s="37"/>
      <c r="AA593" s="666"/>
      <c r="AB593" s="666"/>
      <c r="AC593" s="666"/>
    </row>
    <row r="594" spans="1:32" x14ac:dyDescent="0.2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883"/>
      <c r="P594" s="673" t="s">
        <v>945</v>
      </c>
      <c r="Q594" s="674"/>
      <c r="R594" s="674"/>
      <c r="S594" s="674"/>
      <c r="T594" s="674"/>
      <c r="U594" s="674"/>
      <c r="V594" s="675"/>
      <c r="W594" s="37" t="s">
        <v>69</v>
      </c>
      <c r="X594" s="665">
        <f>GrossWeightTotal+PalletQtyTotal*25</f>
        <v>18867.751584239515</v>
      </c>
      <c r="Y594" s="665">
        <f>GrossWeightTotalR+PalletQtyTotalR*25</f>
        <v>19078.805999999993</v>
      </c>
      <c r="Z594" s="37"/>
      <c r="AA594" s="666"/>
      <c r="AB594" s="666"/>
      <c r="AC594" s="666"/>
    </row>
    <row r="595" spans="1:32" x14ac:dyDescent="0.2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883"/>
      <c r="P595" s="673" t="s">
        <v>946</v>
      </c>
      <c r="Q595" s="674"/>
      <c r="R595" s="674"/>
      <c r="S595" s="674"/>
      <c r="T595" s="674"/>
      <c r="U595" s="674"/>
      <c r="V595" s="675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3371.021904021904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3402</v>
      </c>
      <c r="Z595" s="37"/>
      <c r="AA595" s="666"/>
      <c r="AB595" s="666"/>
      <c r="AC595" s="666"/>
    </row>
    <row r="596" spans="1:32" ht="14.25" hidden="1" customHeight="1" x14ac:dyDescent="0.2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883"/>
      <c r="P596" s="673" t="s">
        <v>947</v>
      </c>
      <c r="Q596" s="674"/>
      <c r="R596" s="674"/>
      <c r="S596" s="674"/>
      <c r="T596" s="674"/>
      <c r="U596" s="674"/>
      <c r="V596" s="675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34.6828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9" t="s">
        <v>96</v>
      </c>
      <c r="D598" s="735"/>
      <c r="E598" s="735"/>
      <c r="F598" s="735"/>
      <c r="G598" s="735"/>
      <c r="H598" s="726"/>
      <c r="I598" s="699" t="s">
        <v>286</v>
      </c>
      <c r="J598" s="735"/>
      <c r="K598" s="735"/>
      <c r="L598" s="735"/>
      <c r="M598" s="735"/>
      <c r="N598" s="735"/>
      <c r="O598" s="735"/>
      <c r="P598" s="735"/>
      <c r="Q598" s="735"/>
      <c r="R598" s="735"/>
      <c r="S598" s="735"/>
      <c r="T598" s="735"/>
      <c r="U598" s="735"/>
      <c r="V598" s="726"/>
      <c r="W598" s="699" t="s">
        <v>579</v>
      </c>
      <c r="X598" s="726"/>
      <c r="Y598" s="699" t="s">
        <v>657</v>
      </c>
      <c r="Z598" s="735"/>
      <c r="AA598" s="735"/>
      <c r="AB598" s="726"/>
      <c r="AC598" s="660" t="s">
        <v>732</v>
      </c>
      <c r="AD598" s="699" t="s">
        <v>831</v>
      </c>
      <c r="AE598" s="726"/>
      <c r="AF598" s="661"/>
    </row>
    <row r="599" spans="1:32" ht="14.25" customHeight="1" thickTop="1" x14ac:dyDescent="0.2">
      <c r="A599" s="916" t="s">
        <v>950</v>
      </c>
      <c r="B599" s="699" t="s">
        <v>63</v>
      </c>
      <c r="C599" s="699" t="s">
        <v>97</v>
      </c>
      <c r="D599" s="699" t="s">
        <v>118</v>
      </c>
      <c r="E599" s="699" t="s">
        <v>181</v>
      </c>
      <c r="F599" s="699" t="s">
        <v>212</v>
      </c>
      <c r="G599" s="699" t="s">
        <v>257</v>
      </c>
      <c r="H599" s="699" t="s">
        <v>96</v>
      </c>
      <c r="I599" s="699" t="s">
        <v>287</v>
      </c>
      <c r="J599" s="699" t="s">
        <v>322</v>
      </c>
      <c r="K599" s="699" t="s">
        <v>383</v>
      </c>
      <c r="L599" s="699" t="s">
        <v>418</v>
      </c>
      <c r="M599" s="699" t="s">
        <v>436</v>
      </c>
      <c r="N599" s="661"/>
      <c r="O599" s="699" t="s">
        <v>440</v>
      </c>
      <c r="P599" s="699" t="s">
        <v>449</v>
      </c>
      <c r="Q599" s="699" t="s">
        <v>463</v>
      </c>
      <c r="R599" s="699" t="s">
        <v>473</v>
      </c>
      <c r="S599" s="699" t="s">
        <v>477</v>
      </c>
      <c r="T599" s="699" t="s">
        <v>485</v>
      </c>
      <c r="U599" s="699" t="s">
        <v>490</v>
      </c>
      <c r="V599" s="699" t="s">
        <v>566</v>
      </c>
      <c r="W599" s="699" t="s">
        <v>580</v>
      </c>
      <c r="X599" s="699" t="s">
        <v>621</v>
      </c>
      <c r="Y599" s="699" t="s">
        <v>658</v>
      </c>
      <c r="Z599" s="699" t="s">
        <v>697</v>
      </c>
      <c r="AA599" s="699" t="s">
        <v>717</v>
      </c>
      <c r="AB599" s="699" t="s">
        <v>725</v>
      </c>
      <c r="AC599" s="699" t="s">
        <v>732</v>
      </c>
      <c r="AD599" s="699" t="s">
        <v>831</v>
      </c>
      <c r="AE599" s="699" t="s">
        <v>924</v>
      </c>
      <c r="AF599" s="661"/>
    </row>
    <row r="600" spans="1:32" ht="13.5" customHeight="1" thickBot="1" x14ac:dyDescent="0.25">
      <c r="A600" s="917"/>
      <c r="B600" s="700"/>
      <c r="C600" s="700"/>
      <c r="D600" s="700"/>
      <c r="E600" s="700"/>
      <c r="F600" s="700"/>
      <c r="G600" s="700"/>
      <c r="H600" s="700"/>
      <c r="I600" s="700"/>
      <c r="J600" s="700"/>
      <c r="K600" s="700"/>
      <c r="L600" s="700"/>
      <c r="M600" s="700"/>
      <c r="N600" s="661"/>
      <c r="O600" s="700"/>
      <c r="P600" s="700"/>
      <c r="Q600" s="700"/>
      <c r="R600" s="700"/>
      <c r="S600" s="700"/>
      <c r="T600" s="700"/>
      <c r="U600" s="700"/>
      <c r="V600" s="700"/>
      <c r="W600" s="700"/>
      <c r="X600" s="700"/>
      <c r="Y600" s="700"/>
      <c r="Z600" s="700"/>
      <c r="AA600" s="700"/>
      <c r="AB600" s="700"/>
      <c r="AC600" s="700"/>
      <c r="AD600" s="700"/>
      <c r="AE600" s="700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16.2</v>
      </c>
      <c r="C601" s="46">
        <f>IFERROR(Y37*1,"0")+IFERROR(Y38*1,"0")+IFERROR(Y39*1,"0")+IFERROR(Y40*1,"0")+IFERROR(Y44*1,"0")</f>
        <v>391.20000000000005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951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981.90000000000009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1089.9000000000001</v>
      </c>
      <c r="G601" s="46">
        <f>IFERROR(Y137*1,"0")+IFERROR(Y138*1,"0")+IFERROR(Y142*1,"0")+IFERROR(Y143*1,"0")+IFERROR(Y147*1,"0")+IFERROR(Y148*1,"0")</f>
        <v>207.6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488.70000000000005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1526.3999999999999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126.8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223.2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123.9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432.9</v>
      </c>
      <c r="V601" s="46">
        <f>IFERROR(Y363*1,"0")+IFERROR(Y367*1,"0")+IFERROR(Y368*1,"0")+IFERROR(Y369*1,"0")</f>
        <v>1166.0999999999999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6694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48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198</v>
      </c>
      <c r="Z601" s="46">
        <f>IFERROR(Y451*1,"0")+IFERROR(Y452*1,"0")+IFERROR(Y456*1,"0")+IFERROR(Y457*1,"0")+IFERROR(Y458*1,"0")+IFERROR(Y459*1,"0")</f>
        <v>10.8</v>
      </c>
      <c r="AA601" s="46">
        <f>IFERROR(Y464*1,"0")+IFERROR(Y465*1,"0")</f>
        <v>16.799999999999997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1181.7600000000002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1416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155,00"/>
        <filter val="1 400,00"/>
        <filter val="1 500,00"/>
        <filter val="1 504,00"/>
        <filter val="1 600,00"/>
        <filter val="1 700,00"/>
        <filter val="1,19"/>
        <filter val="1,85"/>
        <filter val="10,00"/>
        <filter val="100,00"/>
        <filter val="101,00"/>
        <filter val="101,02"/>
        <filter val="105,00"/>
        <filter val="12,00"/>
        <filter val="120,00"/>
        <filter val="122,00"/>
        <filter val="122,50"/>
        <filter val="125,61"/>
        <filter val="128,57"/>
        <filter val="13,33"/>
        <filter val="135,00"/>
        <filter val="138,00"/>
        <filter val="138,52"/>
        <filter val="140,00"/>
        <filter val="15,00"/>
        <filter val="150,00"/>
        <filter val="155,56"/>
        <filter val="156,00"/>
        <filter val="16,00"/>
        <filter val="17 117,00"/>
        <filter val="18 117,75"/>
        <filter val="18 867,75"/>
        <filter val="180,00"/>
        <filter val="185,00"/>
        <filter val="189,76"/>
        <filter val="195,00"/>
        <filter val="20,00"/>
        <filter val="200,00"/>
        <filter val="21,25"/>
        <filter val="220,00"/>
        <filter val="24,00"/>
        <filter val="240,00"/>
        <filter val="241,19"/>
        <filter val="242,59"/>
        <filter val="25,00"/>
        <filter val="25,59"/>
        <filter val="27,00"/>
        <filter val="28,41"/>
        <filter val="280,00"/>
        <filter val="3 371,02"/>
        <filter val="3,00"/>
        <filter val="3,33"/>
        <filter val="30"/>
        <filter val="30,00"/>
        <filter val="300,00"/>
        <filter val="315,00"/>
        <filter val="32,00"/>
        <filter val="33,33"/>
        <filter val="330,75"/>
        <filter val="340,00"/>
        <filter val="343,00"/>
        <filter val="360,00"/>
        <filter val="390,00"/>
        <filter val="4,00"/>
        <filter val="4,44"/>
        <filter val="40,00"/>
        <filter val="415,00"/>
        <filter val="43,22"/>
        <filter val="450,00"/>
        <filter val="455,00"/>
        <filter val="478,00"/>
        <filter val="5 115,00"/>
        <filter val="5,00"/>
        <filter val="50,00"/>
        <filter val="500,00"/>
        <filter val="52,50"/>
        <filter val="54,63"/>
        <filter val="540,00"/>
        <filter val="550,00"/>
        <filter val="554,00"/>
        <filter val="560,00"/>
        <filter val="58,33"/>
        <filter val="59,50"/>
        <filter val="6,00"/>
        <filter val="60,00"/>
        <filter val="650,00"/>
        <filter val="66,00"/>
        <filter val="700,00"/>
        <filter val="73,89"/>
        <filter val="740,00"/>
        <filter val="75,00"/>
        <filter val="78,00"/>
        <filter val="8,33"/>
        <filter val="80,00"/>
        <filter val="830,00"/>
        <filter val="85,00"/>
        <filter val="87,04"/>
        <filter val="87,50"/>
        <filter val="9,00"/>
        <filter val="9,26"/>
        <filter val="90,00"/>
        <filter val="91,67"/>
        <filter val="977,00"/>
        <filter val="98,52"/>
      </filters>
    </filterColumn>
    <filterColumn colId="29" showButton="0"/>
    <filterColumn colId="30" showButton="0"/>
  </autoFilter>
  <mergeCells count="1054"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492:T492"/>
    <mergeCell ref="P286:T286"/>
    <mergeCell ref="A402:Z402"/>
    <mergeCell ref="D158:E158"/>
    <mergeCell ref="P131:T131"/>
    <mergeCell ref="D108:E108"/>
    <mergeCell ref="D375:E375"/>
    <mergeCell ref="P258:T258"/>
    <mergeCell ref="D369:E369"/>
    <mergeCell ref="A353:O354"/>
    <mergeCell ref="P494:T494"/>
    <mergeCell ref="P546:T546"/>
    <mergeCell ref="P350:T350"/>
    <mergeCell ref="A168:Z168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2025-04-11T12:40:59Z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