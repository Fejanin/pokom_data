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960FDA5-5F84-4C01-8091-9E7A6353A8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P514" i="1"/>
  <c r="BO513" i="1"/>
  <c r="BM513" i="1"/>
  <c r="Y513" i="1"/>
  <c r="BP513" i="1" s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P500" i="1"/>
  <c r="BO499" i="1"/>
  <c r="BM499" i="1"/>
  <c r="Y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Y476" i="1" s="1"/>
  <c r="P475" i="1"/>
  <c r="X473" i="1"/>
  <c r="X472" i="1"/>
  <c r="BO471" i="1"/>
  <c r="BM471" i="1"/>
  <c r="Y471" i="1"/>
  <c r="Y472" i="1" s="1"/>
  <c r="P471" i="1"/>
  <c r="X468" i="1"/>
  <c r="X467" i="1"/>
  <c r="BO466" i="1"/>
  <c r="BM466" i="1"/>
  <c r="Y466" i="1"/>
  <c r="BP466" i="1" s="1"/>
  <c r="BO465" i="1"/>
  <c r="BM465" i="1"/>
  <c r="Y465" i="1"/>
  <c r="AA602" i="1" s="1"/>
  <c r="P465" i="1"/>
  <c r="X462" i="1"/>
  <c r="X461" i="1"/>
  <c r="BO460" i="1"/>
  <c r="BM460" i="1"/>
  <c r="Y460" i="1"/>
  <c r="BP460" i="1" s="1"/>
  <c r="P460" i="1"/>
  <c r="BP459" i="1"/>
  <c r="BO459" i="1"/>
  <c r="BN459" i="1"/>
  <c r="BM459" i="1"/>
  <c r="Z459" i="1"/>
  <c r="Y459" i="1"/>
  <c r="BP458" i="1"/>
  <c r="BO458" i="1"/>
  <c r="BN458" i="1"/>
  <c r="BM458" i="1"/>
  <c r="Z458" i="1"/>
  <c r="Y458" i="1"/>
  <c r="P458" i="1"/>
  <c r="BO457" i="1"/>
  <c r="BM457" i="1"/>
  <c r="Y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49" i="1"/>
  <c r="X448" i="1"/>
  <c r="BO447" i="1"/>
  <c r="BM447" i="1"/>
  <c r="Y447" i="1"/>
  <c r="BP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BO435" i="1"/>
  <c r="BM435" i="1"/>
  <c r="Y435" i="1"/>
  <c r="BP435" i="1" s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Y426" i="1" s="1"/>
  <c r="X423" i="1"/>
  <c r="X422" i="1"/>
  <c r="BO421" i="1"/>
  <c r="BM421" i="1"/>
  <c r="Y421" i="1"/>
  <c r="P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BP418" i="1" s="1"/>
  <c r="BO417" i="1"/>
  <c r="BM417" i="1"/>
  <c r="Y417" i="1"/>
  <c r="Y423" i="1" s="1"/>
  <c r="P417" i="1"/>
  <c r="X415" i="1"/>
  <c r="X414" i="1"/>
  <c r="BO413" i="1"/>
  <c r="BM413" i="1"/>
  <c r="Y413" i="1"/>
  <c r="BP413" i="1" s="1"/>
  <c r="P413" i="1"/>
  <c r="BP412" i="1"/>
  <c r="BO412" i="1"/>
  <c r="BN412" i="1"/>
  <c r="BM412" i="1"/>
  <c r="Z412" i="1"/>
  <c r="Y412" i="1"/>
  <c r="P412" i="1"/>
  <c r="X410" i="1"/>
  <c r="X409" i="1"/>
  <c r="BO408" i="1"/>
  <c r="BM408" i="1"/>
  <c r="Y408" i="1"/>
  <c r="P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Y410" i="1" s="1"/>
  <c r="P403" i="1"/>
  <c r="X400" i="1"/>
  <c r="X399" i="1"/>
  <c r="BO398" i="1"/>
  <c r="BM398" i="1"/>
  <c r="Y398" i="1"/>
  <c r="Y399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Y359" i="1" s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BP259" i="1" s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BO241" i="1"/>
  <c r="BM241" i="1"/>
  <c r="Y241" i="1"/>
  <c r="Y244" i="1" s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K602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Y209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BO163" i="1"/>
  <c r="BM163" i="1"/>
  <c r="Y163" i="1"/>
  <c r="BP163" i="1" s="1"/>
  <c r="P163" i="1"/>
  <c r="X161" i="1"/>
  <c r="X160" i="1"/>
  <c r="BO159" i="1"/>
  <c r="BM159" i="1"/>
  <c r="Y159" i="1"/>
  <c r="BP159" i="1" s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BP136" i="1" s="1"/>
  <c r="P136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O120" i="1"/>
  <c r="BM120" i="1"/>
  <c r="Y120" i="1"/>
  <c r="P120" i="1"/>
  <c r="BO119" i="1"/>
  <c r="BM119" i="1"/>
  <c r="Y119" i="1"/>
  <c r="BP119" i="1" s="1"/>
  <c r="P119" i="1"/>
  <c r="BO118" i="1"/>
  <c r="BM118" i="1"/>
  <c r="Y118" i="1"/>
  <c r="X116" i="1"/>
  <c r="X115" i="1"/>
  <c r="BO114" i="1"/>
  <c r="BM114" i="1"/>
  <c r="Y114" i="1"/>
  <c r="BP114" i="1" s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233" i="1" l="1"/>
  <c r="BN233" i="1"/>
  <c r="Z233" i="1"/>
  <c r="Q602" i="1"/>
  <c r="Y287" i="1"/>
  <c r="BP286" i="1"/>
  <c r="BN286" i="1"/>
  <c r="Z286" i="1"/>
  <c r="Z287" i="1" s="1"/>
  <c r="Y292" i="1"/>
  <c r="Y291" i="1"/>
  <c r="BP290" i="1"/>
  <c r="BN290" i="1"/>
  <c r="Z290" i="1"/>
  <c r="Z291" i="1" s="1"/>
  <c r="Y296" i="1"/>
  <c r="Y295" i="1"/>
  <c r="BP294" i="1"/>
  <c r="BN294" i="1"/>
  <c r="Z294" i="1"/>
  <c r="Z295" i="1" s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BP344" i="1"/>
  <c r="BN344" i="1"/>
  <c r="Z344" i="1"/>
  <c r="BP350" i="1"/>
  <c r="BN350" i="1"/>
  <c r="Z350" i="1"/>
  <c r="BP382" i="1"/>
  <c r="BN382" i="1"/>
  <c r="Z382" i="1"/>
  <c r="BP431" i="1"/>
  <c r="BN431" i="1"/>
  <c r="Z431" i="1"/>
  <c r="BP433" i="1"/>
  <c r="BN433" i="1"/>
  <c r="Z433" i="1"/>
  <c r="BP437" i="1"/>
  <c r="BN437" i="1"/>
  <c r="Z437" i="1"/>
  <c r="BP514" i="1"/>
  <c r="BN514" i="1"/>
  <c r="Z514" i="1"/>
  <c r="Z38" i="1"/>
  <c r="BN38" i="1"/>
  <c r="Z53" i="1"/>
  <c r="BN53" i="1"/>
  <c r="Y61" i="1"/>
  <c r="Z71" i="1"/>
  <c r="BN71" i="1"/>
  <c r="Z81" i="1"/>
  <c r="BN81" i="1"/>
  <c r="Z105" i="1"/>
  <c r="BN105" i="1"/>
  <c r="Z142" i="1"/>
  <c r="BN142" i="1"/>
  <c r="Z163" i="1"/>
  <c r="BN163" i="1"/>
  <c r="J602" i="1"/>
  <c r="Z204" i="1"/>
  <c r="BN204" i="1"/>
  <c r="Z214" i="1"/>
  <c r="BN214" i="1"/>
  <c r="BP218" i="1"/>
  <c r="BN218" i="1"/>
  <c r="Z218" i="1"/>
  <c r="BP272" i="1"/>
  <c r="BN272" i="1"/>
  <c r="Z272" i="1"/>
  <c r="BP328" i="1"/>
  <c r="BN328" i="1"/>
  <c r="Z328" i="1"/>
  <c r="BP349" i="1"/>
  <c r="BN349" i="1"/>
  <c r="Z349" i="1"/>
  <c r="Y364" i="1"/>
  <c r="BP363" i="1"/>
  <c r="BN363" i="1"/>
  <c r="Z363" i="1"/>
  <c r="Z364" i="1" s="1"/>
  <c r="BN367" i="1"/>
  <c r="Z367" i="1"/>
  <c r="BP368" i="1"/>
  <c r="BN368" i="1"/>
  <c r="Z368" i="1"/>
  <c r="BP406" i="1"/>
  <c r="BN406" i="1"/>
  <c r="Z406" i="1"/>
  <c r="BP432" i="1"/>
  <c r="BN432" i="1"/>
  <c r="Z432" i="1"/>
  <c r="BP434" i="1"/>
  <c r="BN434" i="1"/>
  <c r="Z434" i="1"/>
  <c r="BP442" i="1"/>
  <c r="BN442" i="1"/>
  <c r="Z442" i="1"/>
  <c r="BP517" i="1"/>
  <c r="BN517" i="1"/>
  <c r="Z517" i="1"/>
  <c r="Y311" i="1"/>
  <c r="U602" i="1"/>
  <c r="BP320" i="1"/>
  <c r="BN320" i="1"/>
  <c r="BP324" i="1"/>
  <c r="BN324" i="1"/>
  <c r="Z324" i="1"/>
  <c r="BP338" i="1"/>
  <c r="BN338" i="1"/>
  <c r="Z338" i="1"/>
  <c r="BP358" i="1"/>
  <c r="BN358" i="1"/>
  <c r="Z358" i="1"/>
  <c r="BP380" i="1"/>
  <c r="BN380" i="1"/>
  <c r="Z380" i="1"/>
  <c r="BP404" i="1"/>
  <c r="BN404" i="1"/>
  <c r="Z404" i="1"/>
  <c r="BP421" i="1"/>
  <c r="BN421" i="1"/>
  <c r="Z421" i="1"/>
  <c r="BP440" i="1"/>
  <c r="BN440" i="1"/>
  <c r="Z440" i="1"/>
  <c r="BP484" i="1"/>
  <c r="BN484" i="1"/>
  <c r="Z484" i="1"/>
  <c r="BP494" i="1"/>
  <c r="BN494" i="1"/>
  <c r="Z494" i="1"/>
  <c r="BP506" i="1"/>
  <c r="BN506" i="1"/>
  <c r="Z506" i="1"/>
  <c r="BP508" i="1"/>
  <c r="BN508" i="1"/>
  <c r="Z508" i="1"/>
  <c r="BP510" i="1"/>
  <c r="BN510" i="1"/>
  <c r="Z510" i="1"/>
  <c r="Z22" i="1"/>
  <c r="BN22" i="1"/>
  <c r="X596" i="1"/>
  <c r="Z36" i="1"/>
  <c r="BN36" i="1"/>
  <c r="Z42" i="1"/>
  <c r="Z43" i="1" s="1"/>
  <c r="BN42" i="1"/>
  <c r="BP42" i="1"/>
  <c r="Y43" i="1"/>
  <c r="Z47" i="1"/>
  <c r="BN47" i="1"/>
  <c r="Z51" i="1"/>
  <c r="BN51" i="1"/>
  <c r="Z57" i="1"/>
  <c r="BN57" i="1"/>
  <c r="BP57" i="1"/>
  <c r="Z65" i="1"/>
  <c r="BN65" i="1"/>
  <c r="Y77" i="1"/>
  <c r="Z73" i="1"/>
  <c r="BN73" i="1"/>
  <c r="Z79" i="1"/>
  <c r="BN79" i="1"/>
  <c r="BP79" i="1"/>
  <c r="Z86" i="1"/>
  <c r="BN86" i="1"/>
  <c r="Y102" i="1"/>
  <c r="Z100" i="1"/>
  <c r="BN100" i="1"/>
  <c r="Z107" i="1"/>
  <c r="BN107" i="1"/>
  <c r="Z108" i="1"/>
  <c r="BN108" i="1"/>
  <c r="Z114" i="1"/>
  <c r="BN114" i="1"/>
  <c r="Z119" i="1"/>
  <c r="BN119" i="1"/>
  <c r="Z122" i="1"/>
  <c r="BN122" i="1"/>
  <c r="Z123" i="1"/>
  <c r="BN123" i="1"/>
  <c r="Z131" i="1"/>
  <c r="BN131" i="1"/>
  <c r="Z136" i="1"/>
  <c r="BN136" i="1"/>
  <c r="Z146" i="1"/>
  <c r="BN146" i="1"/>
  <c r="BP146" i="1"/>
  <c r="Z159" i="1"/>
  <c r="BN159" i="1"/>
  <c r="Y165" i="1"/>
  <c r="Z175" i="1"/>
  <c r="BN175" i="1"/>
  <c r="Z182" i="1"/>
  <c r="BN182" i="1"/>
  <c r="Z192" i="1"/>
  <c r="BN192" i="1"/>
  <c r="Y199" i="1"/>
  <c r="Z202" i="1"/>
  <c r="BN202" i="1"/>
  <c r="Z206" i="1"/>
  <c r="BN206" i="1"/>
  <c r="Z212" i="1"/>
  <c r="BN212" i="1"/>
  <c r="BP212" i="1"/>
  <c r="Z216" i="1"/>
  <c r="BN216" i="1"/>
  <c r="Z220" i="1"/>
  <c r="BN220" i="1"/>
  <c r="Y226" i="1"/>
  <c r="Z231" i="1"/>
  <c r="BN231" i="1"/>
  <c r="Z235" i="1"/>
  <c r="BN235" i="1"/>
  <c r="Z241" i="1"/>
  <c r="BN241" i="1"/>
  <c r="BP241" i="1"/>
  <c r="Z242" i="1"/>
  <c r="BN242" i="1"/>
  <c r="Y243" i="1"/>
  <c r="Z250" i="1"/>
  <c r="Z251" i="1" s="1"/>
  <c r="BN250" i="1"/>
  <c r="BP250" i="1"/>
  <c r="Y251" i="1"/>
  <c r="Z255" i="1"/>
  <c r="BN255" i="1"/>
  <c r="Z259" i="1"/>
  <c r="BN259" i="1"/>
  <c r="Z277" i="1"/>
  <c r="BN277" i="1"/>
  <c r="Z281" i="1"/>
  <c r="BN281" i="1"/>
  <c r="Y310" i="1"/>
  <c r="Z320" i="1"/>
  <c r="BP330" i="1"/>
  <c r="BN330" i="1"/>
  <c r="Z330" i="1"/>
  <c r="BP352" i="1"/>
  <c r="BN352" i="1"/>
  <c r="Z352" i="1"/>
  <c r="Y385" i="1"/>
  <c r="BP376" i="1"/>
  <c r="BN376" i="1"/>
  <c r="Z376" i="1"/>
  <c r="BP384" i="1"/>
  <c r="BN384" i="1"/>
  <c r="Z384" i="1"/>
  <c r="BP408" i="1"/>
  <c r="BN408" i="1"/>
  <c r="Z408" i="1"/>
  <c r="BP439" i="1"/>
  <c r="BN439" i="1"/>
  <c r="Z439" i="1"/>
  <c r="Y448" i="1"/>
  <c r="BP446" i="1"/>
  <c r="BN446" i="1"/>
  <c r="Z446" i="1"/>
  <c r="BP487" i="1"/>
  <c r="BN487" i="1"/>
  <c r="Z487" i="1"/>
  <c r="Y503" i="1"/>
  <c r="BP499" i="1"/>
  <c r="BN499" i="1"/>
  <c r="Z499" i="1"/>
  <c r="BP507" i="1"/>
  <c r="BN507" i="1"/>
  <c r="Z507" i="1"/>
  <c r="BP509" i="1"/>
  <c r="BN509" i="1"/>
  <c r="Z509" i="1"/>
  <c r="BP522" i="1"/>
  <c r="BN522" i="1"/>
  <c r="Z522" i="1"/>
  <c r="Y333" i="1"/>
  <c r="Y341" i="1"/>
  <c r="Y347" i="1"/>
  <c r="Y353" i="1"/>
  <c r="Y360" i="1"/>
  <c r="V602" i="1"/>
  <c r="Y390" i="1"/>
  <c r="Y414" i="1"/>
  <c r="Z602" i="1"/>
  <c r="Y461" i="1"/>
  <c r="AC602" i="1"/>
  <c r="F9" i="1"/>
  <c r="J9" i="1"/>
  <c r="F10" i="1"/>
  <c r="Y27" i="1"/>
  <c r="Y31" i="1"/>
  <c r="Y39" i="1"/>
  <c r="Y54" i="1"/>
  <c r="Y62" i="1"/>
  <c r="Y68" i="1"/>
  <c r="Y76" i="1"/>
  <c r="Y82" i="1"/>
  <c r="Y89" i="1"/>
  <c r="Y101" i="1"/>
  <c r="Y109" i="1"/>
  <c r="BP113" i="1"/>
  <c r="BN113" i="1"/>
  <c r="Z113" i="1"/>
  <c r="BP120" i="1"/>
  <c r="BN120" i="1"/>
  <c r="Z120" i="1"/>
  <c r="BP124" i="1"/>
  <c r="BN124" i="1"/>
  <c r="Z124" i="1"/>
  <c r="BP137" i="1"/>
  <c r="BN137" i="1"/>
  <c r="Z137" i="1"/>
  <c r="Z138" i="1" s="1"/>
  <c r="Y139" i="1"/>
  <c r="Y144" i="1"/>
  <c r="BP141" i="1"/>
  <c r="BN141" i="1"/>
  <c r="Z141" i="1"/>
  <c r="Z143" i="1" s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H9" i="1"/>
  <c r="B602" i="1"/>
  <c r="X593" i="1"/>
  <c r="X594" i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2" i="1"/>
  <c r="BN92" i="1"/>
  <c r="BP92" i="1"/>
  <c r="Z94" i="1"/>
  <c r="BN94" i="1"/>
  <c r="Z95" i="1"/>
  <c r="BN95" i="1"/>
  <c r="Z96" i="1"/>
  <c r="BN96" i="1"/>
  <c r="Z97" i="1"/>
  <c r="BN97" i="1"/>
  <c r="Z99" i="1"/>
  <c r="BN99" i="1"/>
  <c r="F602" i="1"/>
  <c r="Y110" i="1"/>
  <c r="Z106" i="1"/>
  <c r="BN106" i="1"/>
  <c r="Y116" i="1"/>
  <c r="Y115" i="1"/>
  <c r="Y127" i="1"/>
  <c r="BP118" i="1"/>
  <c r="BN118" i="1"/>
  <c r="Z118" i="1"/>
  <c r="BP121" i="1"/>
  <c r="BN121" i="1"/>
  <c r="Z121" i="1"/>
  <c r="BP126" i="1"/>
  <c r="BN126" i="1"/>
  <c r="Z126" i="1"/>
  <c r="Y128" i="1"/>
  <c r="Y133" i="1"/>
  <c r="BP130" i="1"/>
  <c r="BN130" i="1"/>
  <c r="Z130" i="1"/>
  <c r="Y143" i="1"/>
  <c r="BP147" i="1"/>
  <c r="BN147" i="1"/>
  <c r="Z147" i="1"/>
  <c r="Y149" i="1"/>
  <c r="H602" i="1"/>
  <c r="Y153" i="1"/>
  <c r="BP152" i="1"/>
  <c r="BN152" i="1"/>
  <c r="Z152" i="1"/>
  <c r="Z153" i="1" s="1"/>
  <c r="Y154" i="1"/>
  <c r="Y161" i="1"/>
  <c r="BP156" i="1"/>
  <c r="BN156" i="1"/>
  <c r="Z156" i="1"/>
  <c r="Y160" i="1"/>
  <c r="BP164" i="1"/>
  <c r="BN164" i="1"/>
  <c r="Z164" i="1"/>
  <c r="Z165" i="1" s="1"/>
  <c r="Y166" i="1"/>
  <c r="I602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G602" i="1"/>
  <c r="Y138" i="1"/>
  <c r="Z191" i="1"/>
  <c r="Z193" i="1" s="1"/>
  <c r="BN191" i="1"/>
  <c r="BP191" i="1"/>
  <c r="Y194" i="1"/>
  <c r="Z197" i="1"/>
  <c r="Z198" i="1" s="1"/>
  <c r="BN197" i="1"/>
  <c r="Y198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1" i="1"/>
  <c r="BN271" i="1"/>
  <c r="Z271" i="1"/>
  <c r="Y193" i="1"/>
  <c r="Y238" i="1"/>
  <c r="Y262" i="1"/>
  <c r="Y267" i="1"/>
  <c r="O602" i="1"/>
  <c r="Y274" i="1"/>
  <c r="Y273" i="1"/>
  <c r="P602" i="1"/>
  <c r="Z278" i="1"/>
  <c r="BN278" i="1"/>
  <c r="Z280" i="1"/>
  <c r="BN280" i="1"/>
  <c r="Y283" i="1"/>
  <c r="Y288" i="1"/>
  <c r="Y301" i="1"/>
  <c r="S602" i="1"/>
  <c r="Y306" i="1"/>
  <c r="Z309" i="1"/>
  <c r="Z310" i="1" s="1"/>
  <c r="BN309" i="1"/>
  <c r="BP309" i="1"/>
  <c r="Z314" i="1"/>
  <c r="Z315" i="1" s="1"/>
  <c r="BN314" i="1"/>
  <c r="BP314" i="1"/>
  <c r="Y315" i="1"/>
  <c r="Z319" i="1"/>
  <c r="BN319" i="1"/>
  <c r="BP319" i="1"/>
  <c r="Z321" i="1"/>
  <c r="BN321" i="1"/>
  <c r="Z323" i="1"/>
  <c r="BN323" i="1"/>
  <c r="Y326" i="1"/>
  <c r="Z329" i="1"/>
  <c r="BN329" i="1"/>
  <c r="Z331" i="1"/>
  <c r="BN331" i="1"/>
  <c r="Y332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BN351" i="1"/>
  <c r="Y354" i="1"/>
  <c r="Z357" i="1"/>
  <c r="BN357" i="1"/>
  <c r="BP357" i="1"/>
  <c r="Y365" i="1"/>
  <c r="Y370" i="1"/>
  <c r="BP367" i="1"/>
  <c r="BP377" i="1"/>
  <c r="BN377" i="1"/>
  <c r="Z377" i="1"/>
  <c r="BP381" i="1"/>
  <c r="BN381" i="1"/>
  <c r="Z381" i="1"/>
  <c r="Y282" i="1"/>
  <c r="Y316" i="1"/>
  <c r="Y325" i="1"/>
  <c r="BP369" i="1"/>
  <c r="BN369" i="1"/>
  <c r="Z369" i="1"/>
  <c r="Z370" i="1" s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1" i="1"/>
  <c r="Y400" i="1"/>
  <c r="Y409" i="1"/>
  <c r="Y415" i="1"/>
  <c r="Y422" i="1"/>
  <c r="Y427" i="1"/>
  <c r="Y443" i="1"/>
  <c r="Y449" i="1"/>
  <c r="Y454" i="1"/>
  <c r="Y462" i="1"/>
  <c r="Y468" i="1"/>
  <c r="Y473" i="1"/>
  <c r="Y477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X602" i="1"/>
  <c r="AB602" i="1"/>
  <c r="Z389" i="1"/>
  <c r="Z390" i="1" s="1"/>
  <c r="BN389" i="1"/>
  <c r="Z398" i="1"/>
  <c r="Z399" i="1" s="1"/>
  <c r="BN398" i="1"/>
  <c r="BP398" i="1"/>
  <c r="Z403" i="1"/>
  <c r="BN403" i="1"/>
  <c r="BP403" i="1"/>
  <c r="Z405" i="1"/>
  <c r="BN405" i="1"/>
  <c r="Z407" i="1"/>
  <c r="BN407" i="1"/>
  <c r="Z413" i="1"/>
  <c r="Z414" i="1" s="1"/>
  <c r="BN413" i="1"/>
  <c r="Z417" i="1"/>
  <c r="BN417" i="1"/>
  <c r="BP417" i="1"/>
  <c r="Z418" i="1"/>
  <c r="BN418" i="1"/>
  <c r="Z420" i="1"/>
  <c r="BN420" i="1"/>
  <c r="Z425" i="1"/>
  <c r="Z426" i="1" s="1"/>
  <c r="BN425" i="1"/>
  <c r="BP425" i="1"/>
  <c r="Y602" i="1"/>
  <c r="Z435" i="1"/>
  <c r="BN435" i="1"/>
  <c r="Z436" i="1"/>
  <c r="BN436" i="1"/>
  <c r="Z438" i="1"/>
  <c r="BN438" i="1"/>
  <c r="Z441" i="1"/>
  <c r="BN441" i="1"/>
  <c r="Y444" i="1"/>
  <c r="Z447" i="1"/>
  <c r="Z448" i="1" s="1"/>
  <c r="BN447" i="1"/>
  <c r="Z452" i="1"/>
  <c r="Z454" i="1" s="1"/>
  <c r="BN452" i="1"/>
  <c r="BP452" i="1"/>
  <c r="Y455" i="1"/>
  <c r="Z457" i="1"/>
  <c r="BN457" i="1"/>
  <c r="BP457" i="1"/>
  <c r="Z460" i="1"/>
  <c r="BN460" i="1"/>
  <c r="Z465" i="1"/>
  <c r="BN465" i="1"/>
  <c r="BP465" i="1"/>
  <c r="Z466" i="1"/>
  <c r="BN466" i="1"/>
  <c r="Y467" i="1"/>
  <c r="Z471" i="1"/>
  <c r="Z472" i="1" s="1"/>
  <c r="BN471" i="1"/>
  <c r="BP471" i="1"/>
  <c r="Z475" i="1"/>
  <c r="Z476" i="1" s="1"/>
  <c r="BN475" i="1"/>
  <c r="BP475" i="1"/>
  <c r="Z481" i="1"/>
  <c r="BN481" i="1"/>
  <c r="BP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500" i="1"/>
  <c r="BN500" i="1"/>
  <c r="Z501" i="1"/>
  <c r="BN501" i="1"/>
  <c r="Z502" i="1"/>
  <c r="BN502" i="1"/>
  <c r="Y518" i="1"/>
  <c r="Z511" i="1"/>
  <c r="BN511" i="1"/>
  <c r="Z512" i="1"/>
  <c r="BN512" i="1"/>
  <c r="Z513" i="1"/>
  <c r="BN513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496" i="1" l="1"/>
  <c r="Z467" i="1"/>
  <c r="Z409" i="1"/>
  <c r="Z359" i="1"/>
  <c r="Z325" i="1"/>
  <c r="Z160" i="1"/>
  <c r="Z101" i="1"/>
  <c r="Z67" i="1"/>
  <c r="Z503" i="1"/>
  <c r="Z443" i="1"/>
  <c r="Z332" i="1"/>
  <c r="Z282" i="1"/>
  <c r="Z261" i="1"/>
  <c r="Z61" i="1"/>
  <c r="Y593" i="1"/>
  <c r="Z518" i="1"/>
  <c r="Z353" i="1"/>
  <c r="Z221" i="1"/>
  <c r="Z148" i="1"/>
  <c r="Z132" i="1"/>
  <c r="Z109" i="1"/>
  <c r="Z54" i="1"/>
  <c r="Y594" i="1"/>
  <c r="Z26" i="1"/>
  <c r="X595" i="1"/>
  <c r="Z115" i="1"/>
  <c r="Z243" i="1"/>
  <c r="Y595" i="1"/>
  <c r="Z566" i="1"/>
  <c r="Z385" i="1"/>
  <c r="Z127" i="1"/>
  <c r="Z39" i="1"/>
  <c r="Y592" i="1"/>
  <c r="Z461" i="1"/>
  <c r="Z422" i="1"/>
  <c r="Z548" i="1"/>
  <c r="Z524" i="1"/>
  <c r="Z346" i="1"/>
  <c r="Z340" i="1"/>
  <c r="Z273" i="1"/>
  <c r="Z238" i="1"/>
  <c r="Z209" i="1"/>
  <c r="Z183" i="1"/>
  <c r="Z76" i="1"/>
  <c r="Y596" i="1"/>
  <c r="Z597" i="1" l="1"/>
</calcChain>
</file>

<file path=xl/sharedStrings.xml><?xml version="1.0" encoding="utf-8"?>
<sst xmlns="http://schemas.openxmlformats.org/spreadsheetml/2006/main" count="2734" uniqueCount="970">
  <si>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</si>
  <si>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</si>
  <si>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</si>
  <si>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</si>
  <si>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</si>
  <si>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</si>
  <si>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</si>
  <si>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</si>
  <si>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</si>
  <si>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</si>
  <si>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</si>
  <si>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</si>
  <si>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</si>
  <si>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</si>
  <si>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</si>
  <si>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</si>
  <si>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</si>
  <si>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</si>
  <si>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</si>
  <si>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</si>
  <si>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</si>
  <si>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</si>
  <si>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</si>
  <si>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</si>
  <si>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</si>
  <si>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</si>
  <si>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</si>
  <si>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</si>
  <si>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</si>
  <si>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</si>
  <si>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</si>
  <si>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</si>
  <si>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</si>
  <si>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</si>
  <si>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</si>
  <si>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</si>
  <si>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</si>
  <si>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</si>
  <si>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</si>
  <si>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</si>
  <si>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</si>
  <si>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</si>
  <si>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</si>
  <si>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</si>
  <si>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</si>
  <si>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</si>
  <si>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</si>
  <si>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</si>
  <si>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</si>
  <si>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</si>
  <si>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</si>
  <si>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</si>
  <si>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</si>
  <si>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</si>
  <si>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</si>
  <si>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</si>
  <si>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</si>
  <si>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</si>
  <si>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</si>
  <si>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</si>
  <si>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</si>
  <si>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</si>
  <si>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</si>
  <si>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</si>
  <si>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</si>
  <si>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</si>
  <si>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</si>
  <si>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</si>
  <si>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</si>
  <si>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</si>
  <si>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</si>
  <si>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</si>
  <si>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</si>
  <si>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</si>
  <si>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</si>
  <si>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</si>
  <si>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</si>
  <si>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</si>
  <si>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</si>
  <si>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</si>
  <si>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</si>
  <si>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</si>
  <si>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</si>
  <si>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</si>
  <si>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</si>
  <si>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</si>
  <si>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</si>
  <si>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</si>
  <si>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</si>
  <si>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</si>
  <si>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</si>
  <si>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</si>
  <si>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</si>
  <si>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</si>
  <si>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</si>
  <si>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</si>
  <si>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</si>
  <si>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</si>
  <si>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</si>
  <si>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</si>
  <si>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</si>
  <si>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</si>
  <si>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</si>
  <si>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</si>
  <si>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</si>
  <si>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</si>
  <si>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</si>
  <si>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</si>
  <si>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</si>
  <si>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</si>
  <si>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</si>
  <si>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</si>
  <si>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</si>
  <si>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</si>
  <si>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</si>
  <si>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</si>
  <si>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</si>
  <si>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</si>
  <si>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</si>
  <si>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</si>
  <si>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</si>
  <si>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</si>
  <si>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</si>
  <si>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</si>
  <si>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</si>
  <si>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</si>
  <si>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</si>
  <si>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</si>
  <si>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</si>
  <si>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</si>
  <si>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</si>
  <si>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</si>
  <si>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</si>
  <si>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</si>
  <si>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</si>
  <si>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</si>
  <si>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</si>
  <si>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</si>
  <si>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</si>
  <si>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</si>
  <si>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</si>
  <si>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</si>
  <si>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</si>
  <si>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</si>
  <si>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</si>
  <si>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</si>
  <si>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</si>
  <si>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</si>
  <si>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</si>
  <si>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</si>
  <si>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</si>
  <si>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</si>
  <si>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</si>
  <si>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</si>
  <si>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</si>
  <si>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</si>
  <si>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</si>
  <si>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</si>
  <si>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</si>
  <si>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</si>
  <si>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</si>
  <si>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</si>
  <si>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</si>
  <si>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</si>
  <si>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</si>
  <si>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</si>
  <si>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</si>
  <si>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</si>
  <si>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</si>
  <si>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</si>
  <si>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</si>
  <si>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</si>
  <si>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</si>
  <si>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</si>
  <si>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</si>
  <si>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</si>
  <si>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</si>
  <si>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</si>
  <si>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</si>
  <si>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</si>
  <si>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</si>
  <si>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</si>
  <si>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</si>
  <si>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</si>
  <si>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</si>
  <si>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</si>
  <si>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</si>
  <si>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</si>
  <si>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</si>
  <si>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</si>
  <si>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</si>
  <si>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P003328</t>
  </si>
  <si>
    <t>ЕАЭС N RU Д-RU.РА01.В.20899/23, ЕАЭС N RU Д-RU.РА03.В.39392/23</t>
  </si>
  <si>
    <t>P003691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</si>
  <si>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</si>
  <si>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</si>
  <si>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</si>
  <si>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</si>
  <si>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</si>
  <si>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</si>
  <si>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</si>
  <si>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</si>
  <si>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</si>
  <si>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</si>
  <si>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</si>
  <si>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</si>
  <si>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</si>
  <si>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</si>
  <si>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</si>
  <si>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</si>
  <si>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</si>
  <si>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</si>
  <si>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</si>
  <si>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</si>
  <si>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</si>
  <si>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</si>
  <si>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</si>
  <si>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</si>
  <si>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</si>
  <si>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</si>
  <si>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</si>
  <si>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</si>
  <si>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</si>
  <si>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</si>
  <si>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</si>
  <si>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</si>
  <si>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</si>
  <si>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</si>
  <si>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</si>
  <si>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</si>
  <si>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</si>
  <si>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</si>
  <si>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</si>
  <si>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</si>
  <si>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</si>
  <si>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</si>
  <si>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</si>
  <si>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</si>
  <si>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</si>
  <si>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</si>
  <si>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</si>
  <si>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</si>
  <si>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</si>
  <si>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</si>
  <si>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</si>
  <si>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</si>
  <si>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</si>
  <si>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</si>
  <si>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</si>
  <si>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</si>
  <si>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</si>
  <si>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</si>
  <si>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</si>
  <si>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</si>
  <si>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</si>
  <si>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</si>
  <si>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</si>
  <si>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</si>
  <si>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</si>
  <si>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</si>
  <si>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</si>
  <si>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</si>
  <si>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</si>
  <si>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</si>
  <si>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</si>
  <si>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</si>
  <si>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</si>
  <si>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</si>
  <si>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</si>
  <si>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</si>
  <si>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</si>
  <si>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</si>
  <si>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</si>
  <si>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</si>
  <si>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</si>
  <si>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</si>
  <si>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</si>
  <si>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</si>
  <si>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</si>
  <si>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</si>
  <si>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</si>
  <si>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</si>
  <si>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</si>
  <si>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</si>
  <si>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</si>
  <si>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</si>
  <si>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</si>
  <si>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</si>
  <si>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</si>
  <si>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</si>
  <si>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</si>
  <si>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</si>
  <si>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</si>
  <si>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</si>
  <si>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</si>
  <si>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</si>
  <si>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</si>
  <si>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</si>
  <si>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</si>
  <si>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</si>
  <si>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</si>
  <si>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</si>
  <si>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</si>
  <si>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</si>
  <si>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</si>
  <si>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</si>
  <si>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</si>
  <si>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</si>
  <si>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</si>
  <si>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</si>
  <si>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</si>
  <si>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</si>
  <si>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</si>
  <si>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</si>
  <si>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</si>
  <si>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</si>
  <si>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</si>
  <si>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</si>
  <si>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</si>
  <si>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</si>
  <si>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</si>
  <si>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</si>
  <si>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</si>
  <si>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</si>
  <si>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</si>
  <si>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</si>
  <si>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</si>
  <si>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</si>
  <si>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</si>
  <si>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</si>
  <si>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</si>
  <si>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</si>
  <si>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</si>
  <si>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</si>
  <si>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</si>
  <si>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</si>
  <si>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</si>
  <si>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</si>
  <si>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</si>
  <si>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</si>
  <si>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</si>
  <si>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</si>
  <si>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</si>
  <si>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</si>
  <si>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</si>
  <si>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</si>
  <si>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</si>
  <si>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</si>
  <si>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</si>
  <si>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</si>
  <si>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</si>
  <si>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</si>
  <si>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</si>
  <si>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</si>
  <si>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</si>
  <si>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</si>
  <si>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</si>
  <si>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</si>
  <si>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</si>
  <si>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</si>
  <si>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</si>
  <si>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</si>
  <si>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</si>
  <si>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</si>
  <si>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</si>
  <si>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</si>
  <si>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</si>
  <si>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</si>
  <si>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</si>
  <si>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</si>
  <si>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</si>
  <si>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</si>
  <si>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</si>
  <si>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</si>
  <si>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</si>
  <si>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</si>
  <si>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</si>
  <si>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</si>
  <si>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</si>
  <si>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</si>
  <si>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</si>
  <si>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</si>
  <si>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</si>
  <si>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</si>
  <si>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</si>
  <si>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</si>
  <si>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</si>
  <si>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</si>
  <si>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</si>
  <si>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</si>
  <si>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</si>
  <si>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</si>
  <si>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</si>
  <si>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</si>
  <si>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</si>
  <si>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</si>
  <si>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</si>
  <si>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</si>
  <si>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</si>
  <si>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</si>
  <si>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</si>
  <si>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</si>
  <si>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</si>
  <si>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</si>
  <si>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</si>
  <si>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</si>
  <si>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</si>
  <si>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</si>
  <si>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</si>
  <si>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</si>
  <si>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</si>
  <si>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</si>
  <si>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</si>
  <si>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</si>
  <si>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</si>
  <si>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</si>
  <si>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</si>
  <si>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</si>
  <si>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</si>
  <si>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</si>
  <si>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</si>
  <si>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</si>
  <si>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</si>
  <si>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</si>
  <si>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</si>
  <si>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</si>
  <si>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</si>
  <si>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</si>
  <si>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</si>
  <si>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</si>
  <si>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</si>
  <si>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</si>
  <si>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</si>
  <si>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</si>
  <si>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</si>
  <si>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</si>
  <si>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</si>
  <si>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</si>
  <si>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</si>
  <si>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</si>
  <si>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</si>
  <si>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</si>
  <si>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</si>
  <si>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</si>
  <si>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</si>
  <si>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</si>
  <si>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</si>
  <si>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</si>
  <si>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</si>
  <si>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</si>
  <si>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</si>
  <si>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</si>
  <si>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</si>
  <si>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</si>
  <si>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</si>
  <si>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</si>
  <si>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</si>
  <si>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</si>
  <si>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</si>
  <si>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</si>
  <si>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</si>
  <si>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</si>
  <si>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</si>
  <si>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</si>
  <si>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</si>
  <si>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</si>
  <si>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</si>
  <si>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</si>
  <si>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</si>
  <si>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</si>
  <si>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</si>
  <si>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</si>
  <si>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</si>
  <si>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</si>
  <si>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</si>
  <si>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</si>
  <si>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</si>
  <si>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</si>
  <si>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</si>
  <si>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</si>
  <si>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</si>
  <si>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</si>
  <si>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</si>
  <si>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</si>
  <si>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</si>
  <si>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</si>
  <si>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</si>
  <si>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</si>
  <si>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</si>
  <si>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</si>
  <si>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</si>
  <si>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</si>
  <si>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</si>
  <si>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</si>
  <si>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</si>
  <si>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</si>
  <si>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</si>
  <si>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</si>
  <si>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</si>
  <si>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</si>
  <si>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</si>
  <si>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</si>
  <si>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</si>
  <si>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</si>
  <si>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</si>
  <si>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</si>
  <si>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</si>
  <si>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</si>
  <si>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</si>
  <si>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</si>
  <si>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</si>
  <si>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</si>
  <si>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</si>
  <si>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</si>
  <si>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</si>
  <si>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</si>
  <si>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</si>
  <si>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</si>
  <si>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</si>
  <si>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</si>
  <si>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</si>
  <si>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</si>
  <si>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</si>
  <si>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</si>
  <si>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</si>
  <si>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</si>
  <si>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</si>
  <si>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</si>
  <si>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</si>
  <si>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</si>
  <si>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</si>
  <si>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</si>
  <si>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</si>
  <si>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</si>
  <si>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</si>
  <si>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</si>
  <si>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</si>
  <si>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</si>
  <si>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</si>
  <si>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</si>
  <si>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</si>
  <si>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</si>
  <si>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</si>
  <si>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</si>
  <si>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</si>
  <si>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</si>
  <si>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</si>
  <si>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</si>
  <si>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</si>
  <si>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</si>
  <si>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</si>
  <si>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</si>
  <si>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</si>
  <si>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</si>
  <si>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</si>
  <si>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</si>
  <si>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</si>
  <si>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</si>
  <si>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</si>
  <si>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</si>
  <si>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</si>
  <si>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</si>
  <si>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</si>
  <si>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</si>
  <si>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</si>
  <si>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</si>
  <si>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</si>
  <si>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</si>
  <si>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</si>
  <si>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</si>
  <si>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</si>
  <si>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</si>
  <si>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</si>
  <si>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</si>
  <si>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</si>
  <si>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</si>
  <si>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</si>
  <si>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</si>
  <si>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</si>
  <si>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</si>
  <si>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</si>
  <si>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</si>
  <si>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</si>
  <si>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</si>
  <si>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</si>
  <si>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</si>
  <si>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</si>
  <si>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</si>
  <si>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</si>
  <si>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</si>
  <si>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</si>
  <si>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</si>
  <si>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</si>
  <si>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</si>
  <si>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</si>
  <si>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</si>
  <si>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</si>
  <si>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</si>
  <si>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</si>
  <si>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</si>
  <si>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</si>
  <si>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</si>
  <si>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</si>
  <si>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</si>
  <si>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</si>
  <si>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</si>
  <si>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</si>
  <si>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</si>
  <si>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</si>
  <si>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</si>
  <si>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</si>
  <si>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</si>
  <si>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</si>
  <si>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</si>
  <si>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</si>
  <si>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</si>
  <si>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</si>
  <si>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</si>
  <si>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</si>
  <si>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</si>
  <si>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</si>
  <si>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</si>
  <si>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</si>
  <si>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P003323</t>
  </si>
  <si>
    <t>ЕАЭС N RU Д-RU.РА03.В.86680/22</t>
  </si>
  <si>
    <t>SU003424</t>
  </si>
  <si>
    <t>P004259</t>
  </si>
  <si>
    <t>ЕАЭС N RU Д-RU.РА03.В.31251/24, ЕАЭС N RU Д-RU.РА09.В.96881/24, ЕАЭС N RU Д-RU.РА10.В.04488/24</t>
  </si>
  <si>
    <t>SU002187</t>
  </si>
  <si>
    <t>P002559</t>
  </si>
  <si>
    <t>ЕАЭС N RU Д-RU.РА01.В.58959/20, ЕАЭС N RU Д-RU.РА01.В.58970/20, ЕАЭС N RU Д-RU.РА09.В.43414/22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</si>
  <si>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</si>
  <si>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</si>
  <si>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</si>
  <si>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</si>
  <si>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</si>
  <si>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</si>
  <si>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</si>
  <si>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</si>
  <si>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</si>
  <si>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</si>
  <si>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</si>
  <si>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</si>
  <si>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</si>
  <si>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</si>
  <si>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</si>
  <si>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</si>
  <si>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</si>
  <si>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</si>
  <si>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</si>
  <si>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</si>
  <si>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</si>
  <si>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</si>
  <si>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</si>
  <si>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</si>
  <si>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</si>
  <si>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</si>
  <si>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</si>
  <si>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</si>
  <si>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</si>
  <si>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</si>
  <si>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</si>
  <si>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</si>
  <si>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</si>
  <si>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</si>
  <si>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</si>
  <si>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</si>
  <si>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</si>
  <si>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</si>
  <si>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</si>
  <si>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</si>
  <si>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</si>
  <si>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</si>
  <si>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</si>
  <si>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</si>
  <si>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</si>
  <si>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</si>
  <si>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</si>
  <si>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</si>
  <si>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</si>
  <si>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</si>
  <si>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</si>
  <si>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</si>
  <si>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</si>
  <si>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</si>
  <si>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</si>
  <si>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</si>
  <si>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</si>
  <si>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</si>
  <si>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</si>
  <si>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</si>
  <si>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</si>
  <si>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</si>
  <si>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</si>
  <si>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</si>
  <si>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</si>
  <si>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</si>
  <si>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</si>
  <si>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</si>
  <si>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</si>
  <si>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</si>
  <si>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</si>
  <si>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</si>
  <si>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</si>
  <si>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</si>
  <si>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</si>
  <si>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</si>
  <si>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</si>
  <si>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</si>
  <si>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</si>
  <si>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</si>
  <si>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</si>
  <si>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</si>
  <si>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</si>
  <si>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</si>
  <si>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</si>
  <si>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</si>
  <si>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</si>
  <si>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</si>
  <si>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</si>
  <si>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</si>
  <si>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</si>
  <si>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</si>
  <si>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</si>
  <si>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</si>
  <si>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</si>
  <si>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</si>
  <si>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</si>
  <si>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</si>
  <si>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</si>
  <si>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</si>
  <si>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</si>
  <si>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</si>
  <si>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</si>
  <si>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</si>
  <si>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</si>
  <si>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</si>
  <si>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</si>
  <si>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</si>
  <si>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</si>
  <si>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</si>
  <si>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</si>
  <si>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</si>
  <si>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</si>
  <si>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</si>
  <si>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</si>
  <si>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</si>
  <si>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</si>
  <si>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</si>
  <si>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</si>
  <si>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</si>
  <si>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</si>
  <si>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</si>
  <si>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</si>
  <si>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</si>
  <si>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</si>
  <si>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</si>
  <si>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</si>
  <si>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</si>
  <si>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</si>
  <si>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</si>
  <si>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</si>
  <si>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</si>
  <si>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</si>
  <si>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</si>
  <si>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</si>
  <si>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</si>
  <si>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</si>
  <si>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</si>
  <si>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</si>
  <si>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</si>
  <si>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</si>
  <si>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</si>
  <si>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</si>
  <si>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</si>
  <si>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</si>
  <si>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</si>
  <si>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</si>
  <si>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</si>
  <si>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</si>
  <si>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</si>
  <si>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</si>
  <si>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</si>
  <si>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</si>
  <si>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</si>
  <si>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</si>
  <si>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</si>
  <si>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</si>
  <si>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</si>
  <si>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</si>
  <si>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</si>
  <si>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</si>
  <si>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</si>
  <si>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</si>
  <si>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</si>
  <si>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</si>
  <si>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</si>
  <si>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</si>
  <si>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</si>
  <si>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</si>
  <si>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</si>
  <si>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</si>
  <si>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</si>
  <si>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</si>
  <si>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</si>
  <si>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</si>
  <si>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</si>
  <si>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</si>
  <si>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</si>
  <si>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</si>
  <si>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</si>
  <si>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</si>
  <si>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</si>
  <si>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P004693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</si>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</sst>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6" sqref="AA36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45758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Пятница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0.375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hidden="1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240</v>
      </c>
      <c r="Y36" s="666">
        <f>IFERROR(IF(X36="",0,CEILING((X36/$H36),1)*$H36),"")</f>
        <v>240</v>
      </c>
      <c r="Z36" s="36">
        <f>IFERROR(IF(Y36=0,"",ROUNDUP(Y36/H36,0)*0.00902),"")</f>
        <v>0.54120000000000001</v>
      </c>
      <c r="AA36" s="56"/>
      <c r="AB36" s="57"/>
      <c r="AC36" s="81" t="s">
        <v>95</v>
      </c>
      <c r="AG36" s="64"/>
      <c r="AJ36" s="68" t="s">
        <v>101</v>
      </c>
      <c r="AK36" s="68">
        <v>528</v>
      </c>
      <c r="BB36" s="82" t="s">
        <v>1</v>
      </c>
      <c r="BM36" s="64">
        <f>IFERROR(X36*I36/H36,"0")</f>
        <v>252.6</v>
      </c>
      <c r="BN36" s="64">
        <f>IFERROR(Y36*I36/H36,"0")</f>
        <v>252.6</v>
      </c>
      <c r="BO36" s="64">
        <f>IFERROR(1/J36*(X36/H36),"0")</f>
        <v>0.45454545454545459</v>
      </c>
      <c r="BP36" s="64">
        <f>IFERROR(1/J36*(Y36/H36),"0")</f>
        <v>0.45454545454545459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60</v>
      </c>
      <c r="Y39" s="667">
        <f>IFERROR(Y35/H35,"0")+IFERROR(Y36/H36,"0")+IFERROR(Y37/H37,"0")+IFERROR(Y38/H38,"0")</f>
        <v>60</v>
      </c>
      <c r="Z39" s="667">
        <f>IFERROR(IF(Z35="",0,Z35),"0")+IFERROR(IF(Z36="",0,Z36),"0")+IFERROR(IF(Z37="",0,Z37),"0")+IFERROR(IF(Z38="",0,Z38),"0")</f>
        <v>0.54120000000000001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240</v>
      </c>
      <c r="Y40" s="667">
        <f>IFERROR(SUM(Y35:Y38),"0")</f>
        <v>240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hidden="1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86.4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99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1255.5</v>
      </c>
      <c r="Y53" s="666">
        <f t="shared" si="0"/>
        <v>1255.5</v>
      </c>
      <c r="Z53" s="36">
        <f>IFERROR(IF(Y53=0,"",ROUNDUP(Y53/H53,0)*0.00902),"")</f>
        <v>2.5165800000000003</v>
      </c>
      <c r="AA53" s="56"/>
      <c r="AB53" s="57"/>
      <c r="AC53" s="101" t="s">
        <v>117</v>
      </c>
      <c r="AG53" s="64"/>
      <c r="AJ53" s="68" t="s">
        <v>101</v>
      </c>
      <c r="AK53" s="68">
        <v>594</v>
      </c>
      <c r="BB53" s="102" t="s">
        <v>1</v>
      </c>
      <c r="BM53" s="64">
        <f t="shared" si="1"/>
        <v>1314.09</v>
      </c>
      <c r="BN53" s="64">
        <f t="shared" si="2"/>
        <v>1314.09</v>
      </c>
      <c r="BO53" s="64">
        <f t="shared" si="3"/>
        <v>2.1136363636363638</v>
      </c>
      <c r="BP53" s="64">
        <f t="shared" si="4"/>
        <v>2.1136363636363638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279</v>
      </c>
      <c r="Y54" s="667">
        <f>IFERROR(Y47/H47,"0")+IFERROR(Y48/H48,"0")+IFERROR(Y49/H49,"0")+IFERROR(Y50/H50,"0")+IFERROR(Y51/H51,"0")+IFERROR(Y52/H52,"0")+IFERROR(Y53/H53,"0")</f>
        <v>279</v>
      </c>
      <c r="Z54" s="667">
        <f>IFERROR(IF(Z47="",0,Z47),"0")+IFERROR(IF(Z48="",0,Z48),"0")+IFERROR(IF(Z49="",0,Z49),"0")+IFERROR(IF(Z50="",0,Z50),"0")+IFERROR(IF(Z51="",0,Z51),"0")+IFERROR(IF(Z52="",0,Z52),"0")+IFERROR(IF(Z53="",0,Z53),"0")</f>
        <v>2.5165800000000003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1255.5</v>
      </c>
      <c r="Y55" s="667">
        <f>IFERROR(SUM(Y47:Y53),"0")</f>
        <v>1255.5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hidden="1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37.799999999999997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idden="1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hidden="1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hidden="1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166.5</v>
      </c>
      <c r="Y88" s="666">
        <f>IFERROR(IF(X88="",0,CEILING((X88/$H88),1)*$H88),"")</f>
        <v>166.5</v>
      </c>
      <c r="Z88" s="36">
        <f>IFERROR(IF(Y88=0,"",ROUNDUP(Y88/H88,0)*0.00902),"")</f>
        <v>0.33374000000000004</v>
      </c>
      <c r="AA88" s="56"/>
      <c r="AB88" s="57"/>
      <c r="AC88" s="139" t="s">
        <v>186</v>
      </c>
      <c r="AG88" s="64"/>
      <c r="AJ88" s="68" t="s">
        <v>101</v>
      </c>
      <c r="AK88" s="68">
        <v>594</v>
      </c>
      <c r="BB88" s="140" t="s">
        <v>1</v>
      </c>
      <c r="BM88" s="64">
        <f>IFERROR(X88*I88/H88,"0")</f>
        <v>174.27</v>
      </c>
      <c r="BN88" s="64">
        <f>IFERROR(Y88*I88/H88,"0")</f>
        <v>174.27</v>
      </c>
      <c r="BO88" s="64">
        <f>IFERROR(1/J88*(X88/H88),"0")</f>
        <v>0.28030303030303033</v>
      </c>
      <c r="BP88" s="64">
        <f>IFERROR(1/J88*(Y88/H88),"0")</f>
        <v>0.28030303030303033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37</v>
      </c>
      <c r="Y89" s="667">
        <f>IFERROR(Y86/H86,"0")+IFERROR(Y87/H87,"0")+IFERROR(Y88/H88,"0")</f>
        <v>37</v>
      </c>
      <c r="Z89" s="667">
        <f>IFERROR(IF(Z86="",0,Z86),"0")+IFERROR(IF(Z87="",0,Z87),"0")+IFERROR(IF(Z88="",0,Z88),"0")</f>
        <v>0.33374000000000004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166.5</v>
      </c>
      <c r="Y90" s="667">
        <f>IFERROR(SUM(Y86:Y88),"0")</f>
        <v>166.5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16.5" hidden="1" customHeight="1" x14ac:dyDescent="0.25">
      <c r="A92" s="54" t="s">
        <v>187</v>
      </c>
      <c r="B92" s="54" t="s">
        <v>188</v>
      </c>
      <c r="C92" s="31">
        <v>4301051712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129</v>
      </c>
      <c r="N92" s="33"/>
      <c r="O92" s="32">
        <v>45</v>
      </c>
      <c r="P92" s="734" t="s">
        <v>189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190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hidden="1" customHeight="1" x14ac:dyDescent="0.25">
      <c r="A93" s="54" t="s">
        <v>187</v>
      </c>
      <c r="B93" s="54" t="s">
        <v>191</v>
      </c>
      <c r="C93" s="31">
        <v>4301051437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27" hidden="1" customHeight="1" x14ac:dyDescent="0.25">
      <c r="A94" s="54" t="s">
        <v>187</v>
      </c>
      <c r="B94" s="54" t="s">
        <v>193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93</v>
      </c>
      <c r="L94" s="32"/>
      <c r="M94" s="33" t="s">
        <v>100</v>
      </c>
      <c r="N94" s="33"/>
      <c r="O94" s="32">
        <v>45</v>
      </c>
      <c r="P94" s="742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190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486</v>
      </c>
      <c r="Y97" s="666">
        <f t="shared" si="10"/>
        <v>486.00000000000006</v>
      </c>
      <c r="Z97" s="36">
        <f>IFERROR(IF(Y97=0,"",ROUNDUP(Y97/H97,0)*0.00651),"")</f>
        <v>1.1718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1"/>
        <v>531.36</v>
      </c>
      <c r="BN97" s="64">
        <f t="shared" si="12"/>
        <v>531.36</v>
      </c>
      <c r="BO97" s="64">
        <f t="shared" si="13"/>
        <v>0.98901098901098905</v>
      </c>
      <c r="BP97" s="64">
        <f t="shared" si="14"/>
        <v>0.98901098901098905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4301051687</v>
      </c>
      <c r="D99" s="669">
        <v>4680115880214</v>
      </c>
      <c r="E99" s="670"/>
      <c r="F99" s="664">
        <v>0.45</v>
      </c>
      <c r="G99" s="32">
        <v>4</v>
      </c>
      <c r="H99" s="664">
        <v>1.8</v>
      </c>
      <c r="I99" s="664">
        <v>2.032</v>
      </c>
      <c r="J99" s="32">
        <v>182</v>
      </c>
      <c r="K99" s="32" t="s">
        <v>67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98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180</v>
      </c>
      <c r="Y101" s="667">
        <f>IFERROR(Y92/H92,"0")+IFERROR(Y93/H93,"0")+IFERROR(Y94/H94,"0")+IFERROR(Y95/H95,"0")+IFERROR(Y96/H96,"0")+IFERROR(Y97/H97,"0")+IFERROR(Y98/H98,"0")+IFERROR(Y99/H99,"0")+IFERROR(Y100/H100,"0")</f>
        <v>180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1.1718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486</v>
      </c>
      <c r="Y102" s="667">
        <f>IFERROR(SUM(Y92:Y100),"0")</f>
        <v>486.00000000000006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/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153</v>
      </c>
      <c r="Y107" s="666">
        <f>IFERROR(IF(X107="",0,CEILING((X107/$H107),1)*$H107),"")</f>
        <v>153</v>
      </c>
      <c r="Z107" s="36">
        <f>IFERROR(IF(Y107=0,"",ROUNDUP(Y107/H107,0)*0.00902),"")</f>
        <v>0.30668000000000001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160.13999999999999</v>
      </c>
      <c r="BN107" s="64">
        <f>IFERROR(Y107*I107/H107,"0")</f>
        <v>160.13999999999999</v>
      </c>
      <c r="BO107" s="64">
        <f>IFERROR(1/J107*(X107/H107),"0")</f>
        <v>0.25757575757575757</v>
      </c>
      <c r="BP107" s="64">
        <f>IFERROR(1/J107*(Y107/H107),"0")</f>
        <v>0.25757575757575757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34</v>
      </c>
      <c r="Y109" s="667">
        <f>IFERROR(Y105/H105,"0")+IFERROR(Y106/H106,"0")+IFERROR(Y107/H107,"0")+IFERROR(Y108/H108,"0")</f>
        <v>34</v>
      </c>
      <c r="Z109" s="667">
        <f>IFERROR(IF(Z105="",0,Z105),"0")+IFERROR(IF(Z106="",0,Z106),"0")+IFERROR(IF(Z107="",0,Z107),"0")+IFERROR(IF(Z108="",0,Z108),"0")</f>
        <v>0.30668000000000001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153</v>
      </c>
      <c r="Y110" s="667">
        <f>IFERROR(SUM(Y105:Y108),"0")</f>
        <v>153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16.5" hidden="1" customHeight="1" x14ac:dyDescent="0.25">
      <c r="A118" s="54" t="s">
        <v>226</v>
      </c>
      <c r="B118" s="54" t="s">
        <v>227</v>
      </c>
      <c r="C118" s="31">
        <v>4301051724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129</v>
      </c>
      <c r="N118" s="33"/>
      <c r="O118" s="32">
        <v>45</v>
      </c>
      <c r="P118" s="809" t="s">
        <v>228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229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27" hidden="1" customHeight="1" x14ac:dyDescent="0.25">
      <c r="A119" s="54" t="s">
        <v>226</v>
      </c>
      <c r="B119" s="54" t="s">
        <v>230</v>
      </c>
      <c r="C119" s="31">
        <v>4301051625</v>
      </c>
      <c r="D119" s="669">
        <v>4607091385168</v>
      </c>
      <c r="E119" s="670"/>
      <c r="F119" s="664">
        <v>1.4</v>
      </c>
      <c r="G119" s="32">
        <v>6</v>
      </c>
      <c r="H119" s="664">
        <v>8.4</v>
      </c>
      <c r="I119" s="664">
        <v>8.9130000000000003</v>
      </c>
      <c r="J119" s="32">
        <v>64</v>
      </c>
      <c r="K119" s="32" t="s">
        <v>93</v>
      </c>
      <c r="L119" s="32"/>
      <c r="M119" s="33" t="s">
        <v>100</v>
      </c>
      <c r="N119" s="33"/>
      <c r="O119" s="32">
        <v>45</v>
      </c>
      <c r="P119" s="82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37.5" hidden="1" customHeight="1" x14ac:dyDescent="0.25">
      <c r="A120" s="54" t="s">
        <v>226</v>
      </c>
      <c r="B120" s="54" t="s">
        <v>232</v>
      </c>
      <c r="C120" s="31">
        <v>4301051360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27" hidden="1" customHeight="1" x14ac:dyDescent="0.25">
      <c r="A121" s="54" t="s">
        <v>234</v>
      </c>
      <c r="B121" s="54" t="s">
        <v>235</v>
      </c>
      <c r="C121" s="31">
        <v>4301051730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129</v>
      </c>
      <c r="N121" s="33"/>
      <c r="O121" s="32">
        <v>45</v>
      </c>
      <c r="P121" s="989" t="s">
        <v>236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229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37.5" hidden="1" customHeight="1" x14ac:dyDescent="0.25">
      <c r="A122" s="54" t="s">
        <v>234</v>
      </c>
      <c r="B122" s="54" t="s">
        <v>237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100</v>
      </c>
      <c r="N122" s="33"/>
      <c r="O122" s="32">
        <v>45</v>
      </c>
      <c r="P122" s="798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27" hidden="1" customHeight="1" x14ac:dyDescent="0.25">
      <c r="A123" s="54" t="s">
        <v>238</v>
      </c>
      <c r="B123" s="54" t="s">
        <v>239</v>
      </c>
      <c r="C123" s="31">
        <v>4301051721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/>
      <c r="M123" s="33" t="s">
        <v>129</v>
      </c>
      <c r="N123" s="33"/>
      <c r="O123" s="32">
        <v>45</v>
      </c>
      <c r="P123" s="973" t="s">
        <v>240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229</v>
      </c>
      <c r="AG123" s="64"/>
      <c r="AJ123" s="68"/>
      <c r="AK123" s="68">
        <v>0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37.5" customHeight="1" x14ac:dyDescent="0.25">
      <c r="A124" s="54" t="s">
        <v>238</v>
      </c>
      <c r="B124" s="54" t="s">
        <v>241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99</v>
      </c>
      <c r="M124" s="33" t="s">
        <v>100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893.7</v>
      </c>
      <c r="Y124" s="666">
        <f t="shared" si="15"/>
        <v>893.7</v>
      </c>
      <c r="Z124" s="36">
        <f t="shared" si="20"/>
        <v>2.1548099999999999</v>
      </c>
      <c r="AA124" s="56"/>
      <c r="AB124" s="57"/>
      <c r="AC124" s="185" t="s">
        <v>233</v>
      </c>
      <c r="AG124" s="64"/>
      <c r="AJ124" s="68" t="s">
        <v>101</v>
      </c>
      <c r="AK124" s="68">
        <v>491.4</v>
      </c>
      <c r="BB124" s="186" t="s">
        <v>1</v>
      </c>
      <c r="BM124" s="64">
        <f t="shared" si="16"/>
        <v>977.11199999999997</v>
      </c>
      <c r="BN124" s="64">
        <f t="shared" si="17"/>
        <v>977.11199999999997</v>
      </c>
      <c r="BO124" s="64">
        <f t="shared" si="18"/>
        <v>1.8186813186813189</v>
      </c>
      <c r="BP124" s="64">
        <f t="shared" si="19"/>
        <v>1.8186813186813189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331</v>
      </c>
      <c r="Y127" s="667">
        <f>IFERROR(Y118/H118,"0")+IFERROR(Y119/H119,"0")+IFERROR(Y120/H120,"0")+IFERROR(Y121/H121,"0")+IFERROR(Y122/H122,"0")+IFERROR(Y123/H123,"0")+IFERROR(Y124/H124,"0")+IFERROR(Y125/H125,"0")+IFERROR(Y126/H126,"0")</f>
        <v>331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2.1548099999999999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893.7</v>
      </c>
      <c r="Y128" s="667">
        <f>IFERROR(SUM(Y118:Y126),"0")</f>
        <v>893.7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idden="1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hidden="1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hidden="1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hidden="1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283.2</v>
      </c>
      <c r="Y215" s="666">
        <f t="shared" si="31"/>
        <v>283.2</v>
      </c>
      <c r="Z215" s="36">
        <f t="shared" ref="Z215:Z220" si="36">IFERROR(IF(Y215=0,"",ROUNDUP(Y215/H215,0)*0.00651),"")</f>
        <v>0.76817999999999997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315.06</v>
      </c>
      <c r="BN215" s="64">
        <f t="shared" si="33"/>
        <v>315.06</v>
      </c>
      <c r="BO215" s="64">
        <f t="shared" si="34"/>
        <v>0.64835164835164838</v>
      </c>
      <c r="BP215" s="64">
        <f t="shared" si="35"/>
        <v>0.64835164835164838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331.2</v>
      </c>
      <c r="Y217" s="666">
        <f t="shared" si="31"/>
        <v>331.2</v>
      </c>
      <c r="Z217" s="36">
        <f t="shared" si="36"/>
        <v>0.89838000000000007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365.976</v>
      </c>
      <c r="BN217" s="64">
        <f t="shared" si="33"/>
        <v>365.976</v>
      </c>
      <c r="BO217" s="64">
        <f t="shared" si="34"/>
        <v>0.75824175824175832</v>
      </c>
      <c r="BP217" s="64">
        <f t="shared" si="35"/>
        <v>0.75824175824175832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256</v>
      </c>
      <c r="Y221" s="667">
        <f>IFERROR(Y212/H212,"0")+IFERROR(Y213/H213,"0")+IFERROR(Y214/H214,"0")+IFERROR(Y215/H215,"0")+IFERROR(Y216/H216,"0")+IFERROR(Y217/H217,"0")+IFERROR(Y218/H218,"0")+IFERROR(Y219/H219,"0")+IFERROR(Y220/H220,"0")</f>
        <v>256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1.66656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614.4</v>
      </c>
      <c r="Y222" s="667">
        <f>IFERROR(SUM(Y212:Y220),"0")</f>
        <v>614.4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hidden="1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116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118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/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hidden="1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191.1</v>
      </c>
      <c r="Y368" s="666">
        <f>IFERROR(IF(X368="",0,CEILING((X368/$H368),1)*$H368),"")</f>
        <v>191.1</v>
      </c>
      <c r="Z368" s="36">
        <f>IFERROR(IF(Y368=0,"",ROUNDUP(Y368/H368,0)*0.00651),"")</f>
        <v>0.59240999999999999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214.03199999999995</v>
      </c>
      <c r="BN368" s="64">
        <f>IFERROR(Y368*I368/H368,"0")</f>
        <v>214.03199999999995</v>
      </c>
      <c r="BO368" s="64">
        <f>IFERROR(1/J368*(X368/H368),"0")</f>
        <v>0.5</v>
      </c>
      <c r="BP368" s="64">
        <f>IFERROR(1/J368*(Y368/H368),"0")</f>
        <v>0.5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579.59999999999991</v>
      </c>
      <c r="Y369" s="666">
        <f>IFERROR(IF(X369="",0,CEILING((X369/$H369),1)*$H369),"")</f>
        <v>579.6</v>
      </c>
      <c r="Z369" s="36">
        <f>IFERROR(IF(Y369=0,"",ROUNDUP(Y369/H369,0)*0.00651),"")</f>
        <v>1.7967600000000001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645.8399999999998</v>
      </c>
      <c r="BN369" s="64">
        <f>IFERROR(Y369*I369/H369,"0")</f>
        <v>645.83999999999992</v>
      </c>
      <c r="BO369" s="64">
        <f>IFERROR(1/J369*(X369/H369),"0")</f>
        <v>1.5164835164835162</v>
      </c>
      <c r="BP369" s="64">
        <f>IFERROR(1/J369*(Y369/H369),"0")</f>
        <v>1.5164835164835166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366.99999999999994</v>
      </c>
      <c r="Y370" s="667">
        <f>IFERROR(Y367/H367,"0")+IFERROR(Y368/H368,"0")+IFERROR(Y369/H369,"0")</f>
        <v>367</v>
      </c>
      <c r="Z370" s="667">
        <f>IFERROR(IF(Z367="",0,Z367),"0")+IFERROR(IF(Z368="",0,Z368),"0")+IFERROR(IF(Z369="",0,Z369),"0")</f>
        <v>2.38917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770.69999999999993</v>
      </c>
      <c r="Y371" s="667">
        <f>IFERROR(SUM(Y367:Y369),"0")</f>
        <v>770.7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hidden="1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99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2"/>
        <v>0</v>
      </c>
      <c r="Z376" s="36" t="str">
        <f>IFERROR(IF(Y376=0,"",ROUNDUP(Y376/H376,0)*0.02175),"")</f>
        <v/>
      </c>
      <c r="AA376" s="56"/>
      <c r="AB376" s="57"/>
      <c r="AC376" s="419" t="s">
        <v>583</v>
      </c>
      <c r="AG376" s="64"/>
      <c r="AJ376" s="68" t="s">
        <v>101</v>
      </c>
      <c r="AK376" s="68">
        <v>720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hidden="1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99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2"/>
        <v>0</v>
      </c>
      <c r="Z378" s="36" t="str">
        <f>IFERROR(IF(Y378=0,"",ROUNDUP(Y378/H378,0)*0.02175),"")</f>
        <v/>
      </c>
      <c r="AA378" s="56"/>
      <c r="AB378" s="57"/>
      <c r="AC378" s="423" t="s">
        <v>587</v>
      </c>
      <c r="AG378" s="64"/>
      <c r="AJ378" s="68" t="s">
        <v>101</v>
      </c>
      <c r="AK378" s="68">
        <v>720</v>
      </c>
      <c r="BB378" s="424" t="s">
        <v>1</v>
      </c>
      <c r="BM378" s="64">
        <f t="shared" si="53"/>
        <v>0</v>
      </c>
      <c r="BN378" s="64">
        <f t="shared" si="54"/>
        <v>0</v>
      </c>
      <c r="BO378" s="64">
        <f t="shared" si="55"/>
        <v>0</v>
      </c>
      <c r="BP378" s="64">
        <f t="shared" si="56"/>
        <v>0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4301011943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386</v>
      </c>
      <c r="N379" s="33"/>
      <c r="O379" s="32">
        <v>60</v>
      </c>
      <c r="P379" s="71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IFERROR(IF(Y379=0,"",ROUNDUP(Y379/H379,0)*0.02039),"")</f>
        <v/>
      </c>
      <c r="AA379" s="56"/>
      <c r="AB379" s="57"/>
      <c r="AC379" s="425" t="s">
        <v>581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37.5" hidden="1" customHeight="1" x14ac:dyDescent="0.25">
      <c r="A380" s="54" t="s">
        <v>588</v>
      </c>
      <c r="B380" s="54" t="s">
        <v>590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 t="s">
        <v>99</v>
      </c>
      <c r="M380" s="33" t="s">
        <v>68</v>
      </c>
      <c r="N380" s="33"/>
      <c r="O380" s="32">
        <v>60</v>
      </c>
      <c r="P380" s="8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IFERROR(IF(Y380=0,"",ROUNDUP(Y380/H380,0)*0.02175),"")</f>
        <v/>
      </c>
      <c r="AA380" s="56"/>
      <c r="AB380" s="57"/>
      <c r="AC380" s="427" t="s">
        <v>591</v>
      </c>
      <c r="AG380" s="64"/>
      <c r="AJ380" s="68" t="s">
        <v>101</v>
      </c>
      <c r="AK380" s="68">
        <v>720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27" hidden="1" customHeight="1" x14ac:dyDescent="0.25">
      <c r="A381" s="54" t="s">
        <v>592</v>
      </c>
      <c r="B381" s="54" t="s">
        <v>593</v>
      </c>
      <c r="C381" s="31">
        <v>4301011832</v>
      </c>
      <c r="D381" s="669">
        <v>4607091383997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/>
      <c r="M381" s="33" t="s">
        <v>129</v>
      </c>
      <c r="N381" s="33"/>
      <c r="O381" s="32">
        <v>60</v>
      </c>
      <c r="P381" s="72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591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hidden="1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8"/>
      <c r="AB385" s="668"/>
      <c r="AC385" s="668"/>
    </row>
    <row r="386" spans="1:68" hidden="1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0</v>
      </c>
      <c r="Y386" s="667">
        <f>IFERROR(SUM(Y375:Y384),"0")</f>
        <v>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hidden="1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99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604</v>
      </c>
      <c r="AG388" s="64"/>
      <c r="AJ388" s="68" t="s">
        <v>101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hidden="1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37.5" hidden="1" customHeight="1" x14ac:dyDescent="0.25">
      <c r="A403" s="54" t="s">
        <v>620</v>
      </c>
      <c r="B403" s="54" t="s">
        <v>621</v>
      </c>
      <c r="C403" s="31">
        <v>4301011873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27" hidden="1" customHeight="1" x14ac:dyDescent="0.25">
      <c r="A404" s="54" t="s">
        <v>620</v>
      </c>
      <c r="B404" s="54" t="s">
        <v>623</v>
      </c>
      <c r="C404" s="31">
        <v>4301011483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68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4301011312</v>
      </c>
      <c r="D406" s="669">
        <v>4607091384192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94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627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627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100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642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649</v>
      </c>
      <c r="C420" s="31">
        <v>4301051297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650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idden="1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hidden="1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18.899999999999999</v>
      </c>
      <c r="Y460" s="666">
        <f>IFERROR(IF(X460="",0,CEILING((X460/$H460),1)*$H460),"")</f>
        <v>18.900000000000002</v>
      </c>
      <c r="Z460" s="36">
        <f>IFERROR(IF(Y460=0,"",ROUNDUP(Y460/H460,0)*0.00502),"")</f>
        <v>4.5179999999999998E-2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20.069999999999997</v>
      </c>
      <c r="BN460" s="64">
        <f>IFERROR(Y460*I460/H460,"0")</f>
        <v>20.07</v>
      </c>
      <c r="BO460" s="64">
        <f>IFERROR(1/J460*(X460/H460),"0")</f>
        <v>3.8461538461538457E-2</v>
      </c>
      <c r="BP460" s="64">
        <f>IFERROR(1/J460*(Y460/H460),"0")</f>
        <v>3.8461538461538464E-2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8.9999999999999982</v>
      </c>
      <c r="Y461" s="667">
        <f>IFERROR(Y457/H457,"0")+IFERROR(Y458/H458,"0")+IFERROR(Y459/H459,"0")+IFERROR(Y460/H460,"0")</f>
        <v>9</v>
      </c>
      <c r="Z461" s="667">
        <f>IFERROR(IF(Z457="",0,Z457),"0")+IFERROR(IF(Z458="",0,Z458),"0")+IFERROR(IF(Z459="",0,Z459),"0")+IFERROR(IF(Z460="",0,Z460),"0")</f>
        <v>4.5179999999999998E-2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18.899999999999999</v>
      </c>
      <c r="Y462" s="667">
        <f>IFERROR(SUM(Y457:Y460),"0")</f>
        <v>18.900000000000002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hidden="1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hidden="1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hidden="1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IFERROR(IF(Y487=0,"",ROUNDUP(Y487/H487,0)*0.00902),"")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idden="1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hidden="1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0</v>
      </c>
      <c r="Y497" s="667">
        <f>IFERROR(SUM(Y481:Y495),"0")</f>
        <v>0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4301020334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100</v>
      </c>
      <c r="N499" s="33"/>
      <c r="O499" s="32">
        <v>70</v>
      </c>
      <c r="P499" s="1031" t="s">
        <v>775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777</v>
      </c>
      <c r="C500" s="31">
        <v>4301020222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94</v>
      </c>
      <c r="N500" s="33"/>
      <c r="O500" s="32">
        <v>55</v>
      </c>
      <c r="P500" s="91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776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70</v>
      </c>
      <c r="P513" s="842" t="s">
        <v>809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792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60</v>
      </c>
      <c r="P514" s="85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811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4301031384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IFERROR(IF(Y515=0,"",ROUNDUP(Y515/H515,0)*0.00937),"")</f>
        <v/>
      </c>
      <c r="AA515" s="56"/>
      <c r="AB515" s="57"/>
      <c r="AC515" s="579" t="s">
        <v>796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814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98</v>
      </c>
      <c r="L516" s="32"/>
      <c r="M516" s="33" t="s">
        <v>68</v>
      </c>
      <c r="N516" s="33"/>
      <c r="O516" s="32">
        <v>70</v>
      </c>
      <c r="P516" s="864" t="s">
        <v>815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4301031253</v>
      </c>
      <c r="D517" s="669">
        <v>4680115882096</v>
      </c>
      <c r="E517" s="670"/>
      <c r="F517" s="664">
        <v>0.6</v>
      </c>
      <c r="G517" s="32">
        <v>6</v>
      </c>
      <c r="H517" s="664">
        <v>3.6</v>
      </c>
      <c r="I517" s="664">
        <v>3.81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60</v>
      </c>
      <c r="P517" s="9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817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hidden="1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93</v>
      </c>
      <c r="L543" s="32"/>
      <c r="M543" s="33" t="s">
        <v>94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93</v>
      </c>
      <c r="L544" s="32"/>
      <c r="M544" s="33" t="s">
        <v>100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4598.7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4598.7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4970.5499999999993</v>
      </c>
      <c r="Y593" s="667">
        <f>IFERROR(SUM(BN22:BN589),"0")</f>
        <v>4970.5499999999993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10</v>
      </c>
      <c r="Y594" s="38">
        <f>ROUNDUP(SUM(BP22:BP589),0)</f>
        <v>10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5220.5499999999993</v>
      </c>
      <c r="Y595" s="667">
        <f>GrossWeightTotalR+PalletQtyTotalR*25</f>
        <v>5220.5499999999993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1553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1553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11.125720000000001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240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1255.5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652.5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1046.7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614.4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770.7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18.900000000000002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DLEt0jCB8GThqWAdQ1OccZx2INGWhgcRm9uV9eVMxOA/e0sbiUlpAlu12P9bxpsXIiF4NKJ6rqSPYoFj+pT50A==" saltValue="z7dRyLiDyyMjno6of41CgQ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5,50"/>
        <filter val="1 553,00"/>
        <filter val="10"/>
        <filter val="153,00"/>
        <filter val="166,50"/>
        <filter val="18,90"/>
        <filter val="180,00"/>
        <filter val="191,10"/>
        <filter val="240,00"/>
        <filter val="256,00"/>
        <filter val="279,00"/>
        <filter val="283,20"/>
        <filter val="331,00"/>
        <filter val="331,20"/>
        <filter val="34,00"/>
        <filter val="367,00"/>
        <filter val="37,00"/>
        <filter val="4 598,70"/>
        <filter val="4 970,55"/>
        <filter val="486,00"/>
        <filter val="5 220,55"/>
        <filter val="579,60"/>
        <filter val="60,00"/>
        <filter val="614,40"/>
        <filter val="770,70"/>
        <filter val="893,70"/>
        <filter val="9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53 X88 X124 X376 X378 X380 X388" xr:uid="{00000000-0002-0000-0000-000011000000}">
      <formula1>IF(AK36&gt;0,OR(X36=0,AND(IF(X36-AK36&gt;=0,TRUE,FALSE),X36&gt;0,IF(X36/(H36*J36)=ROUND(X36/(H36*J36),0),TRUE,FALSE))),FALSE)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60 X280" xr:uid="{00000000-0002-0000-0000-000012000000}">
      <formula1>IF(AK48&gt;0,OR(X48=0,AND(IF(X48-AK48&gt;=0,TRUE,FALSE),X48&gt;0,IF(X48/(H48*K48)=ROUND(X48/(H48*K48),0),TRUE,FALSE))),FALSE)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slxRxrnj65loJ74AZEQlhhhg+prvwTfGEo1bfsCcTAapn+sBmIRNKrr1164ND6wZjRsyOSJqv/bKEwNrDODVQQ==" saltValue="CxfxxQE5psCQjHHcZ/+8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2025-04-09T13:05:45Z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