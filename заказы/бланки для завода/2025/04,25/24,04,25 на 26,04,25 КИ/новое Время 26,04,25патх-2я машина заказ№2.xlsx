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E7536C6-E9DC-4C43-9639-F9A0857CAD2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Y529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O520" i="1"/>
  <c r="BM520" i="1"/>
  <c r="Y520" i="1"/>
  <c r="P520" i="1"/>
  <c r="BO519" i="1"/>
  <c r="BM519" i="1"/>
  <c r="Y519" i="1"/>
  <c r="BP519" i="1" s="1"/>
  <c r="BO518" i="1"/>
  <c r="BM518" i="1"/>
  <c r="Y518" i="1"/>
  <c r="BP518" i="1" s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P508" i="1" s="1"/>
  <c r="BO507" i="1"/>
  <c r="BM507" i="1"/>
  <c r="Y507" i="1"/>
  <c r="BP507" i="1" s="1"/>
  <c r="BO506" i="1"/>
  <c r="BM506" i="1"/>
  <c r="Y506" i="1"/>
  <c r="BP506" i="1" s="1"/>
  <c r="BO505" i="1"/>
  <c r="BM505" i="1"/>
  <c r="Y505" i="1"/>
  <c r="P505" i="1"/>
  <c r="X503" i="1"/>
  <c r="X502" i="1"/>
  <c r="BO501" i="1"/>
  <c r="BM501" i="1"/>
  <c r="Y501" i="1"/>
  <c r="BP501" i="1" s="1"/>
  <c r="P501" i="1"/>
  <c r="BO500" i="1"/>
  <c r="BM500" i="1"/>
  <c r="Y500" i="1"/>
  <c r="P500" i="1"/>
  <c r="BO499" i="1"/>
  <c r="BM499" i="1"/>
  <c r="Y499" i="1"/>
  <c r="BP499" i="1" s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BP494" i="1" s="1"/>
  <c r="P494" i="1"/>
  <c r="BO493" i="1"/>
  <c r="BM493" i="1"/>
  <c r="Y493" i="1"/>
  <c r="P493" i="1"/>
  <c r="BO492" i="1"/>
  <c r="BM492" i="1"/>
  <c r="Y492" i="1"/>
  <c r="BP492" i="1" s="1"/>
  <c r="BO491" i="1"/>
  <c r="BM491" i="1"/>
  <c r="Y491" i="1"/>
  <c r="BP491" i="1" s="1"/>
  <c r="P491" i="1"/>
  <c r="BO490" i="1"/>
  <c r="BM490" i="1"/>
  <c r="Y490" i="1"/>
  <c r="P490" i="1"/>
  <c r="BO489" i="1"/>
  <c r="BM489" i="1"/>
  <c r="Y489" i="1"/>
  <c r="BP489" i="1" s="1"/>
  <c r="P489" i="1"/>
  <c r="BO488" i="1"/>
  <c r="BM488" i="1"/>
  <c r="Y488" i="1"/>
  <c r="P488" i="1"/>
  <c r="BO487" i="1"/>
  <c r="BM487" i="1"/>
  <c r="Y487" i="1"/>
  <c r="BP487" i="1" s="1"/>
  <c r="P487" i="1"/>
  <c r="BP486" i="1"/>
  <c r="BO486" i="1"/>
  <c r="BN486" i="1"/>
  <c r="BM486" i="1"/>
  <c r="Z486" i="1"/>
  <c r="Y486" i="1"/>
  <c r="P486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3" i="1"/>
  <c r="Y472" i="1"/>
  <c r="X472" i="1"/>
  <c r="BP471" i="1"/>
  <c r="BO471" i="1"/>
  <c r="BN471" i="1"/>
  <c r="BM471" i="1"/>
  <c r="Z471" i="1"/>
  <c r="Y471" i="1"/>
  <c r="BP470" i="1"/>
  <c r="BO470" i="1"/>
  <c r="BN470" i="1"/>
  <c r="BM470" i="1"/>
  <c r="Z470" i="1"/>
  <c r="Z472" i="1" s="1"/>
  <c r="Y470" i="1"/>
  <c r="AA606" i="1" s="1"/>
  <c r="P470" i="1"/>
  <c r="X467" i="1"/>
  <c r="X466" i="1"/>
  <c r="BO465" i="1"/>
  <c r="BM465" i="1"/>
  <c r="Y465" i="1"/>
  <c r="P465" i="1"/>
  <c r="BO464" i="1"/>
  <c r="BM464" i="1"/>
  <c r="Y464" i="1"/>
  <c r="BP464" i="1" s="1"/>
  <c r="BO463" i="1"/>
  <c r="BM463" i="1"/>
  <c r="Y463" i="1"/>
  <c r="BP463" i="1" s="1"/>
  <c r="P463" i="1"/>
  <c r="BO462" i="1"/>
  <c r="BM462" i="1"/>
  <c r="Y462" i="1"/>
  <c r="X460" i="1"/>
  <c r="X459" i="1"/>
  <c r="BO458" i="1"/>
  <c r="BM458" i="1"/>
  <c r="Y458" i="1"/>
  <c r="BP458" i="1" s="1"/>
  <c r="P458" i="1"/>
  <c r="BO457" i="1"/>
  <c r="BM457" i="1"/>
  <c r="Y457" i="1"/>
  <c r="P457" i="1"/>
  <c r="X454" i="1"/>
  <c r="X453" i="1"/>
  <c r="BO452" i="1"/>
  <c r="BM452" i="1"/>
  <c r="Y452" i="1"/>
  <c r="P452" i="1"/>
  <c r="BO451" i="1"/>
  <c r="BM451" i="1"/>
  <c r="Y451" i="1"/>
  <c r="Y454" i="1" s="1"/>
  <c r="P451" i="1"/>
  <c r="X449" i="1"/>
  <c r="X448" i="1"/>
  <c r="BO447" i="1"/>
  <c r="BM447" i="1"/>
  <c r="Y447" i="1"/>
  <c r="BP447" i="1" s="1"/>
  <c r="P447" i="1"/>
  <c r="BO446" i="1"/>
  <c r="BM446" i="1"/>
  <c r="Y446" i="1"/>
  <c r="P446" i="1"/>
  <c r="BO445" i="1"/>
  <c r="BM445" i="1"/>
  <c r="Y445" i="1"/>
  <c r="BP445" i="1" s="1"/>
  <c r="P445" i="1"/>
  <c r="BO444" i="1"/>
  <c r="BM444" i="1"/>
  <c r="Y444" i="1"/>
  <c r="BP444" i="1" s="1"/>
  <c r="BO443" i="1"/>
  <c r="BM443" i="1"/>
  <c r="Y443" i="1"/>
  <c r="BP443" i="1" s="1"/>
  <c r="P443" i="1"/>
  <c r="BO442" i="1"/>
  <c r="BM442" i="1"/>
  <c r="Y442" i="1"/>
  <c r="BP442" i="1" s="1"/>
  <c r="P442" i="1"/>
  <c r="BO441" i="1"/>
  <c r="BM441" i="1"/>
  <c r="Y441" i="1"/>
  <c r="P441" i="1"/>
  <c r="BO440" i="1"/>
  <c r="BM440" i="1"/>
  <c r="Y440" i="1"/>
  <c r="BP440" i="1" s="1"/>
  <c r="BO439" i="1"/>
  <c r="BM439" i="1"/>
  <c r="Y439" i="1"/>
  <c r="BP439" i="1" s="1"/>
  <c r="BO438" i="1"/>
  <c r="BM438" i="1"/>
  <c r="Y438" i="1"/>
  <c r="BP438" i="1" s="1"/>
  <c r="BO437" i="1"/>
  <c r="BM437" i="1"/>
  <c r="Y437" i="1"/>
  <c r="BP437" i="1" s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BP375" i="1" s="1"/>
  <c r="P375" i="1"/>
  <c r="X373" i="1"/>
  <c r="X372" i="1"/>
  <c r="BO371" i="1"/>
  <c r="BM371" i="1"/>
  <c r="Y371" i="1"/>
  <c r="Y372" i="1" s="1"/>
  <c r="P371" i="1"/>
  <c r="X368" i="1"/>
  <c r="X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Z359" i="1" s="1"/>
  <c r="P359" i="1"/>
  <c r="BO358" i="1"/>
  <c r="BM358" i="1"/>
  <c r="Y358" i="1"/>
  <c r="BP358" i="1" s="1"/>
  <c r="BO357" i="1"/>
  <c r="BM357" i="1"/>
  <c r="Y357" i="1"/>
  <c r="BP357" i="1" s="1"/>
  <c r="X355" i="1"/>
  <c r="X354" i="1"/>
  <c r="BO353" i="1"/>
  <c r="BM353" i="1"/>
  <c r="Y353" i="1"/>
  <c r="BP353" i="1" s="1"/>
  <c r="P353" i="1"/>
  <c r="BO352" i="1"/>
  <c r="BM352" i="1"/>
  <c r="Y352" i="1"/>
  <c r="BP352" i="1" s="1"/>
  <c r="P352" i="1"/>
  <c r="BO351" i="1"/>
  <c r="BM351" i="1"/>
  <c r="Y351" i="1"/>
  <c r="P351" i="1"/>
  <c r="X349" i="1"/>
  <c r="X348" i="1"/>
  <c r="BO347" i="1"/>
  <c r="BM347" i="1"/>
  <c r="Y347" i="1"/>
  <c r="BP347" i="1" s="1"/>
  <c r="P347" i="1"/>
  <c r="BO346" i="1"/>
  <c r="BM346" i="1"/>
  <c r="Y346" i="1"/>
  <c r="BP346" i="1" s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BP339" i="1" s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BP336" i="1" s="1"/>
  <c r="P336" i="1"/>
  <c r="X334" i="1"/>
  <c r="X333" i="1"/>
  <c r="BO332" i="1"/>
  <c r="BM332" i="1"/>
  <c r="Y332" i="1"/>
  <c r="BP332" i="1" s="1"/>
  <c r="P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BP328" i="1" s="1"/>
  <c r="P328" i="1"/>
  <c r="BO327" i="1"/>
  <c r="BM327" i="1"/>
  <c r="Y327" i="1"/>
  <c r="U606" i="1" s="1"/>
  <c r="P327" i="1"/>
  <c r="X324" i="1"/>
  <c r="X323" i="1"/>
  <c r="BO322" i="1"/>
  <c r="BM322" i="1"/>
  <c r="Y322" i="1"/>
  <c r="T606" i="1" s="1"/>
  <c r="P322" i="1"/>
  <c r="X319" i="1"/>
  <c r="X318" i="1"/>
  <c r="BO317" i="1"/>
  <c r="BM317" i="1"/>
  <c r="Y317" i="1"/>
  <c r="Y319" i="1" s="1"/>
  <c r="P317" i="1"/>
  <c r="BP316" i="1"/>
  <c r="BO316" i="1"/>
  <c r="BN316" i="1"/>
  <c r="BM316" i="1"/>
  <c r="Z316" i="1"/>
  <c r="Y316" i="1"/>
  <c r="P316" i="1"/>
  <c r="X314" i="1"/>
  <c r="Y313" i="1"/>
  <c r="X313" i="1"/>
  <c r="BP312" i="1"/>
  <c r="BO312" i="1"/>
  <c r="BN312" i="1"/>
  <c r="BM312" i="1"/>
  <c r="Z312" i="1"/>
  <c r="Z313" i="1" s="1"/>
  <c r="Y312" i="1"/>
  <c r="P312" i="1"/>
  <c r="X309" i="1"/>
  <c r="Y308" i="1"/>
  <c r="X308" i="1"/>
  <c r="BP307" i="1"/>
  <c r="BO307" i="1"/>
  <c r="BN307" i="1"/>
  <c r="BM307" i="1"/>
  <c r="Z307" i="1"/>
  <c r="Z308" i="1" s="1"/>
  <c r="Y307" i="1"/>
  <c r="R606" i="1" s="1"/>
  <c r="P307" i="1"/>
  <c r="X304" i="1"/>
  <c r="Y303" i="1"/>
  <c r="X303" i="1"/>
  <c r="BP302" i="1"/>
  <c r="BO302" i="1"/>
  <c r="BN302" i="1"/>
  <c r="BM302" i="1"/>
  <c r="Z302" i="1"/>
  <c r="Z303" i="1" s="1"/>
  <c r="Y302" i="1"/>
  <c r="Y304" i="1" s="1"/>
  <c r="P302" i="1"/>
  <c r="X300" i="1"/>
  <c r="Y299" i="1"/>
  <c r="X299" i="1"/>
  <c r="BP298" i="1"/>
  <c r="BO298" i="1"/>
  <c r="BN298" i="1"/>
  <c r="BM298" i="1"/>
  <c r="Z298" i="1"/>
  <c r="Z299" i="1" s="1"/>
  <c r="Y298" i="1"/>
  <c r="Y300" i="1" s="1"/>
  <c r="P298" i="1"/>
  <c r="X296" i="1"/>
  <c r="Y295" i="1"/>
  <c r="X295" i="1"/>
  <c r="BP294" i="1"/>
  <c r="BO294" i="1"/>
  <c r="BN294" i="1"/>
  <c r="BM294" i="1"/>
  <c r="Z294" i="1"/>
  <c r="Z295" i="1" s="1"/>
  <c r="Y294" i="1"/>
  <c r="Q606" i="1" s="1"/>
  <c r="P294" i="1"/>
  <c r="X291" i="1"/>
  <c r="X290" i="1"/>
  <c r="BO289" i="1"/>
  <c r="BM289" i="1"/>
  <c r="Y289" i="1"/>
  <c r="BP289" i="1" s="1"/>
  <c r="P289" i="1"/>
  <c r="BO288" i="1"/>
  <c r="BM288" i="1"/>
  <c r="Y288" i="1"/>
  <c r="BP288" i="1" s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BP285" i="1" s="1"/>
  <c r="P285" i="1"/>
  <c r="X282" i="1"/>
  <c r="X281" i="1"/>
  <c r="BO280" i="1"/>
  <c r="BM280" i="1"/>
  <c r="Y280" i="1"/>
  <c r="BP280" i="1" s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O272" i="1"/>
  <c r="BM272" i="1"/>
  <c r="Y272" i="1"/>
  <c r="M606" i="1" s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BP257" i="1" s="1"/>
  <c r="BO256" i="1"/>
  <c r="BM256" i="1"/>
  <c r="Y256" i="1"/>
  <c r="BP256" i="1" s="1"/>
  <c r="BO255" i="1"/>
  <c r="BM255" i="1"/>
  <c r="Y255" i="1"/>
  <c r="BP255" i="1" s="1"/>
  <c r="BO254" i="1"/>
  <c r="BM254" i="1"/>
  <c r="Y254" i="1"/>
  <c r="BP254" i="1" s="1"/>
  <c r="BO253" i="1"/>
  <c r="BM253" i="1"/>
  <c r="Y253" i="1"/>
  <c r="X251" i="1"/>
  <c r="X250" i="1"/>
  <c r="BO249" i="1"/>
  <c r="BM249" i="1"/>
  <c r="Y249" i="1"/>
  <c r="Y251" i="1" s="1"/>
  <c r="X247" i="1"/>
  <c r="X246" i="1"/>
  <c r="BO245" i="1"/>
  <c r="BM245" i="1"/>
  <c r="Y245" i="1"/>
  <c r="BP245" i="1" s="1"/>
  <c r="P245" i="1"/>
  <c r="BO244" i="1"/>
  <c r="BM244" i="1"/>
  <c r="Y244" i="1"/>
  <c r="Y246" i="1" s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P233" i="1"/>
  <c r="X230" i="1"/>
  <c r="X229" i="1"/>
  <c r="BO228" i="1"/>
  <c r="BM228" i="1"/>
  <c r="Y228" i="1"/>
  <c r="BP228" i="1" s="1"/>
  <c r="P228" i="1"/>
  <c r="BO227" i="1"/>
  <c r="BM227" i="1"/>
  <c r="Y227" i="1"/>
  <c r="Y230" i="1" s="1"/>
  <c r="P227" i="1"/>
  <c r="X225" i="1"/>
  <c r="X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Y224" i="1" s="1"/>
  <c r="P215" i="1"/>
  <c r="X213" i="1"/>
  <c r="X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X202" i="1"/>
  <c r="X201" i="1"/>
  <c r="BO200" i="1"/>
  <c r="BM200" i="1"/>
  <c r="Y200" i="1"/>
  <c r="BP200" i="1" s="1"/>
  <c r="P200" i="1"/>
  <c r="BO199" i="1"/>
  <c r="BM199" i="1"/>
  <c r="Y199" i="1"/>
  <c r="Y202" i="1" s="1"/>
  <c r="P199" i="1"/>
  <c r="X197" i="1"/>
  <c r="X196" i="1"/>
  <c r="BO195" i="1"/>
  <c r="BM195" i="1"/>
  <c r="Y195" i="1"/>
  <c r="BP195" i="1" s="1"/>
  <c r="P195" i="1"/>
  <c r="BO194" i="1"/>
  <c r="BM194" i="1"/>
  <c r="Y194" i="1"/>
  <c r="BP194" i="1" s="1"/>
  <c r="P194" i="1"/>
  <c r="X191" i="1"/>
  <c r="X190" i="1"/>
  <c r="BO189" i="1"/>
  <c r="BM189" i="1"/>
  <c r="Y189" i="1"/>
  <c r="Y191" i="1" s="1"/>
  <c r="X187" i="1"/>
  <c r="X186" i="1"/>
  <c r="BO185" i="1"/>
  <c r="BM185" i="1"/>
  <c r="Y185" i="1"/>
  <c r="BP185" i="1" s="1"/>
  <c r="BO184" i="1"/>
  <c r="BM184" i="1"/>
  <c r="Y184" i="1"/>
  <c r="BP184" i="1" s="1"/>
  <c r="BO183" i="1"/>
  <c r="BM183" i="1"/>
  <c r="Y183" i="1"/>
  <c r="X181" i="1"/>
  <c r="X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Y162" i="1" s="1"/>
  <c r="P161" i="1"/>
  <c r="X159" i="1"/>
  <c r="X158" i="1"/>
  <c r="BO157" i="1"/>
  <c r="BM157" i="1"/>
  <c r="Y157" i="1"/>
  <c r="BP157" i="1" s="1"/>
  <c r="P157" i="1"/>
  <c r="BO156" i="1"/>
  <c r="BM156" i="1"/>
  <c r="Y156" i="1"/>
  <c r="BP156" i="1" s="1"/>
  <c r="P156" i="1"/>
  <c r="BO155" i="1"/>
  <c r="BM155" i="1"/>
  <c r="Y155" i="1"/>
  <c r="Y158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BP146" i="1" s="1"/>
  <c r="P146" i="1"/>
  <c r="BO145" i="1"/>
  <c r="BM145" i="1"/>
  <c r="Y145" i="1"/>
  <c r="BP145" i="1" s="1"/>
  <c r="P145" i="1"/>
  <c r="X143" i="1"/>
  <c r="X142" i="1"/>
  <c r="BO141" i="1"/>
  <c r="BM141" i="1"/>
  <c r="Y141" i="1"/>
  <c r="BP141" i="1" s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BP130" i="1" s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BP119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Z61" i="1" l="1"/>
  <c r="BN61" i="1"/>
  <c r="Z119" i="1"/>
  <c r="BN119" i="1"/>
  <c r="Z124" i="1"/>
  <c r="BN124" i="1"/>
  <c r="Z210" i="1"/>
  <c r="BN210" i="1"/>
  <c r="Z352" i="1"/>
  <c r="BN352" i="1"/>
  <c r="Z357" i="1"/>
  <c r="BN357" i="1"/>
  <c r="Z358" i="1"/>
  <c r="BN358" i="1"/>
  <c r="Z44" i="1"/>
  <c r="Z45" i="1" s="1"/>
  <c r="BN44" i="1"/>
  <c r="BP44" i="1"/>
  <c r="Y45" i="1"/>
  <c r="Z49" i="1"/>
  <c r="BN49" i="1"/>
  <c r="Z73" i="1"/>
  <c r="BN73" i="1"/>
  <c r="Z107" i="1"/>
  <c r="BN107" i="1"/>
  <c r="Z145" i="1"/>
  <c r="BN145" i="1"/>
  <c r="Z200" i="1"/>
  <c r="BN200" i="1"/>
  <c r="Z222" i="1"/>
  <c r="BN222" i="1"/>
  <c r="Z279" i="1"/>
  <c r="BN279" i="1"/>
  <c r="Z280" i="1"/>
  <c r="BN280" i="1"/>
  <c r="Z336" i="1"/>
  <c r="BN336" i="1"/>
  <c r="Y341" i="1"/>
  <c r="Z371" i="1"/>
  <c r="Z372" i="1" s="1"/>
  <c r="BN371" i="1"/>
  <c r="BP371" i="1"/>
  <c r="Z375" i="1"/>
  <c r="BN375" i="1"/>
  <c r="Z443" i="1"/>
  <c r="BN443" i="1"/>
  <c r="Z444" i="1"/>
  <c r="BN444" i="1"/>
  <c r="BP96" i="1"/>
  <c r="BN96" i="1"/>
  <c r="Z96" i="1"/>
  <c r="BP98" i="1"/>
  <c r="BN98" i="1"/>
  <c r="Z98" i="1"/>
  <c r="BP135" i="1"/>
  <c r="BN135" i="1"/>
  <c r="Z135" i="1"/>
  <c r="BP179" i="1"/>
  <c r="BN179" i="1"/>
  <c r="Z179" i="1"/>
  <c r="BP218" i="1"/>
  <c r="BN218" i="1"/>
  <c r="Z218" i="1"/>
  <c r="BP267" i="1"/>
  <c r="BN267" i="1"/>
  <c r="Z267" i="1"/>
  <c r="BP330" i="1"/>
  <c r="BN330" i="1"/>
  <c r="Z330" i="1"/>
  <c r="BP364" i="1"/>
  <c r="BN364" i="1"/>
  <c r="Z364" i="1"/>
  <c r="BP397" i="1"/>
  <c r="BN397" i="1"/>
  <c r="Z397" i="1"/>
  <c r="BP425" i="1"/>
  <c r="BN425" i="1"/>
  <c r="Z425" i="1"/>
  <c r="BP490" i="1"/>
  <c r="BN490" i="1"/>
  <c r="Z490" i="1"/>
  <c r="BP500" i="1"/>
  <c r="BN500" i="1"/>
  <c r="Z500" i="1"/>
  <c r="X600" i="1"/>
  <c r="Z38" i="1"/>
  <c r="BN38" i="1"/>
  <c r="Z53" i="1"/>
  <c r="BN53" i="1"/>
  <c r="Z67" i="1"/>
  <c r="BN67" i="1"/>
  <c r="Y77" i="1"/>
  <c r="Z81" i="1"/>
  <c r="BN81" i="1"/>
  <c r="E606" i="1"/>
  <c r="BP95" i="1"/>
  <c r="BN95" i="1"/>
  <c r="Z95" i="1"/>
  <c r="BP97" i="1"/>
  <c r="BN97" i="1"/>
  <c r="Z97" i="1"/>
  <c r="BP113" i="1"/>
  <c r="BN113" i="1"/>
  <c r="Z113" i="1"/>
  <c r="BP172" i="1"/>
  <c r="BN172" i="1"/>
  <c r="Z172" i="1"/>
  <c r="Y212" i="1"/>
  <c r="BP206" i="1"/>
  <c r="BN206" i="1"/>
  <c r="Z206" i="1"/>
  <c r="BP233" i="1"/>
  <c r="BN233" i="1"/>
  <c r="Z233" i="1"/>
  <c r="BP287" i="1"/>
  <c r="BN287" i="1"/>
  <c r="Z287" i="1"/>
  <c r="BP344" i="1"/>
  <c r="BN344" i="1"/>
  <c r="Z344" i="1"/>
  <c r="BP385" i="1"/>
  <c r="BN385" i="1"/>
  <c r="Z385" i="1"/>
  <c r="Y408" i="1"/>
  <c r="Y407" i="1"/>
  <c r="BP406" i="1"/>
  <c r="BN406" i="1"/>
  <c r="Z406" i="1"/>
  <c r="Z407" i="1" s="1"/>
  <c r="BP411" i="1"/>
  <c r="BN411" i="1"/>
  <c r="Z411" i="1"/>
  <c r="Y432" i="1"/>
  <c r="Y431" i="1"/>
  <c r="BP430" i="1"/>
  <c r="BN430" i="1"/>
  <c r="Z430" i="1"/>
  <c r="Z431" i="1" s="1"/>
  <c r="BP452" i="1"/>
  <c r="BN452" i="1"/>
  <c r="Z452" i="1"/>
  <c r="BP493" i="1"/>
  <c r="BN493" i="1"/>
  <c r="Z493" i="1"/>
  <c r="BP522" i="1"/>
  <c r="BN522" i="1"/>
  <c r="Z522" i="1"/>
  <c r="Y367" i="1"/>
  <c r="Y509" i="1"/>
  <c r="BP360" i="1"/>
  <c r="BN360" i="1"/>
  <c r="Z360" i="1"/>
  <c r="BP377" i="1"/>
  <c r="BN377" i="1"/>
  <c r="Z377" i="1"/>
  <c r="BP383" i="1"/>
  <c r="BN383" i="1"/>
  <c r="Z383" i="1"/>
  <c r="BP391" i="1"/>
  <c r="BN391" i="1"/>
  <c r="Z391" i="1"/>
  <c r="Y421" i="1"/>
  <c r="Y420" i="1"/>
  <c r="BP419" i="1"/>
  <c r="BN419" i="1"/>
  <c r="Z419" i="1"/>
  <c r="Z420" i="1" s="1"/>
  <c r="Y427" i="1"/>
  <c r="BP423" i="1"/>
  <c r="BN423" i="1"/>
  <c r="Z423" i="1"/>
  <c r="BP446" i="1"/>
  <c r="BN446" i="1"/>
  <c r="Z446" i="1"/>
  <c r="Y467" i="1"/>
  <c r="BP462" i="1"/>
  <c r="BN462" i="1"/>
  <c r="Z462" i="1"/>
  <c r="BP488" i="1"/>
  <c r="BN488" i="1"/>
  <c r="Z488" i="1"/>
  <c r="BP496" i="1"/>
  <c r="BN496" i="1"/>
  <c r="Z496" i="1"/>
  <c r="BP498" i="1"/>
  <c r="BN498" i="1"/>
  <c r="Z498" i="1"/>
  <c r="BP513" i="1"/>
  <c r="BN513" i="1"/>
  <c r="Z513" i="1"/>
  <c r="BP515" i="1"/>
  <c r="BN515" i="1"/>
  <c r="Z515" i="1"/>
  <c r="BP517" i="1"/>
  <c r="BN517" i="1"/>
  <c r="Z517" i="1"/>
  <c r="Z26" i="1"/>
  <c r="BN26" i="1"/>
  <c r="C606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Y102" i="1"/>
  <c r="Z100" i="1"/>
  <c r="BN100" i="1"/>
  <c r="F606" i="1"/>
  <c r="Z109" i="1"/>
  <c r="BN109" i="1"/>
  <c r="Y117" i="1"/>
  <c r="Z115" i="1"/>
  <c r="BN115" i="1"/>
  <c r="Y126" i="1"/>
  <c r="Z130" i="1"/>
  <c r="BN130" i="1"/>
  <c r="Z141" i="1"/>
  <c r="BN141" i="1"/>
  <c r="Y147" i="1"/>
  <c r="Z156" i="1"/>
  <c r="BN156" i="1"/>
  <c r="I606" i="1"/>
  <c r="Y181" i="1"/>
  <c r="Z174" i="1"/>
  <c r="BN174" i="1"/>
  <c r="Z177" i="1"/>
  <c r="BN177" i="1"/>
  <c r="Y186" i="1"/>
  <c r="Z189" i="1"/>
  <c r="Z190" i="1" s="1"/>
  <c r="BN189" i="1"/>
  <c r="BP189" i="1"/>
  <c r="Y190" i="1"/>
  <c r="Z194" i="1"/>
  <c r="BN194" i="1"/>
  <c r="Z204" i="1"/>
  <c r="BN204" i="1"/>
  <c r="BP204" i="1"/>
  <c r="Z208" i="1"/>
  <c r="BN208" i="1"/>
  <c r="Z216" i="1"/>
  <c r="BN216" i="1"/>
  <c r="Z220" i="1"/>
  <c r="BN220" i="1"/>
  <c r="Z228" i="1"/>
  <c r="BN228" i="1"/>
  <c r="Y242" i="1"/>
  <c r="Z235" i="1"/>
  <c r="BN235" i="1"/>
  <c r="Z239" i="1"/>
  <c r="BN239" i="1"/>
  <c r="Z244" i="1"/>
  <c r="BN244" i="1"/>
  <c r="BP244" i="1"/>
  <c r="Z249" i="1"/>
  <c r="Z250" i="1" s="1"/>
  <c r="BN249" i="1"/>
  <c r="BP249" i="1"/>
  <c r="Y250" i="1"/>
  <c r="Y258" i="1"/>
  <c r="Z265" i="1"/>
  <c r="BN265" i="1"/>
  <c r="Z272" i="1"/>
  <c r="Z273" i="1" s="1"/>
  <c r="BN272" i="1"/>
  <c r="BP272" i="1"/>
  <c r="Y273" i="1"/>
  <c r="Z277" i="1"/>
  <c r="BN277" i="1"/>
  <c r="Z285" i="1"/>
  <c r="BN285" i="1"/>
  <c r="Y290" i="1"/>
  <c r="Z289" i="1"/>
  <c r="BN289" i="1"/>
  <c r="Y318" i="1"/>
  <c r="Z328" i="1"/>
  <c r="BN328" i="1"/>
  <c r="Z332" i="1"/>
  <c r="BN332" i="1"/>
  <c r="Y340" i="1"/>
  <c r="Z338" i="1"/>
  <c r="BN338" i="1"/>
  <c r="Y349" i="1"/>
  <c r="Z346" i="1"/>
  <c r="BN346" i="1"/>
  <c r="BP366" i="1"/>
  <c r="BN366" i="1"/>
  <c r="Z366" i="1"/>
  <c r="BP387" i="1"/>
  <c r="BN387" i="1"/>
  <c r="Z387" i="1"/>
  <c r="BP413" i="1"/>
  <c r="BN413" i="1"/>
  <c r="Z413" i="1"/>
  <c r="Y606" i="1"/>
  <c r="BP441" i="1"/>
  <c r="BN441" i="1"/>
  <c r="Z441" i="1"/>
  <c r="Z606" i="1"/>
  <c r="BP457" i="1"/>
  <c r="BN457" i="1"/>
  <c r="Z457" i="1"/>
  <c r="BP465" i="1"/>
  <c r="BN465" i="1"/>
  <c r="Z465" i="1"/>
  <c r="BP495" i="1"/>
  <c r="BN495" i="1"/>
  <c r="Z495" i="1"/>
  <c r="BP497" i="1"/>
  <c r="BN497" i="1"/>
  <c r="Z497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30" i="1"/>
  <c r="BP526" i="1"/>
  <c r="BN526" i="1"/>
  <c r="Z526" i="1"/>
  <c r="Y355" i="1"/>
  <c r="V606" i="1"/>
  <c r="Y379" i="1"/>
  <c r="Y378" i="1"/>
  <c r="F9" i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7" i="1"/>
  <c r="Y131" i="1"/>
  <c r="Y138" i="1"/>
  <c r="Y142" i="1"/>
  <c r="Y148" i="1"/>
  <c r="Y153" i="1"/>
  <c r="Y159" i="1"/>
  <c r="Y163" i="1"/>
  <c r="Y169" i="1"/>
  <c r="Y180" i="1"/>
  <c r="Y187" i="1"/>
  <c r="Y197" i="1"/>
  <c r="Y201" i="1"/>
  <c r="Y213" i="1"/>
  <c r="Y225" i="1"/>
  <c r="Y229" i="1"/>
  <c r="Y247" i="1"/>
  <c r="Y259" i="1"/>
  <c r="L606" i="1"/>
  <c r="Y269" i="1"/>
  <c r="BP266" i="1"/>
  <c r="BN266" i="1"/>
  <c r="Y268" i="1"/>
  <c r="BP278" i="1"/>
  <c r="BN278" i="1"/>
  <c r="Z278" i="1"/>
  <c r="H9" i="1"/>
  <c r="B606" i="1"/>
  <c r="X597" i="1"/>
  <c r="X598" i="1"/>
  <c r="Z23" i="1"/>
  <c r="BN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Z37" i="1"/>
  <c r="BN37" i="1"/>
  <c r="BP37" i="1"/>
  <c r="Z39" i="1"/>
  <c r="BN39" i="1"/>
  <c r="Y42" i="1"/>
  <c r="D606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BN114" i="1"/>
  <c r="Z120" i="1"/>
  <c r="BN120" i="1"/>
  <c r="Z121" i="1"/>
  <c r="BN121" i="1"/>
  <c r="Z122" i="1"/>
  <c r="BN122" i="1"/>
  <c r="Z123" i="1"/>
  <c r="BN123" i="1"/>
  <c r="Z125" i="1"/>
  <c r="BN125" i="1"/>
  <c r="Z129" i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Z152" i="1" s="1"/>
  <c r="BN151" i="1"/>
  <c r="BP151" i="1"/>
  <c r="Y152" i="1"/>
  <c r="Z155" i="1"/>
  <c r="BN155" i="1"/>
  <c r="BP155" i="1"/>
  <c r="Z157" i="1"/>
  <c r="BN157" i="1"/>
  <c r="Z161" i="1"/>
  <c r="Z162" i="1" s="1"/>
  <c r="BN161" i="1"/>
  <c r="BP161" i="1"/>
  <c r="Z167" i="1"/>
  <c r="Z168" i="1" s="1"/>
  <c r="BN167" i="1"/>
  <c r="BP167" i="1"/>
  <c r="Y168" i="1"/>
  <c r="Z171" i="1"/>
  <c r="BN171" i="1"/>
  <c r="BP171" i="1"/>
  <c r="Z173" i="1"/>
  <c r="BN173" i="1"/>
  <c r="Z175" i="1"/>
  <c r="BN175" i="1"/>
  <c r="Z176" i="1"/>
  <c r="BN176" i="1"/>
  <c r="Z178" i="1"/>
  <c r="BN178" i="1"/>
  <c r="Z183" i="1"/>
  <c r="BN183" i="1"/>
  <c r="BP183" i="1"/>
  <c r="Z184" i="1"/>
  <c r="BN184" i="1"/>
  <c r="Z185" i="1"/>
  <c r="BN185" i="1"/>
  <c r="J606" i="1"/>
  <c r="Z195" i="1"/>
  <c r="Z196" i="1" s="1"/>
  <c r="BN195" i="1"/>
  <c r="Y196" i="1"/>
  <c r="Z199" i="1"/>
  <c r="Z201" i="1" s="1"/>
  <c r="BN199" i="1"/>
  <c r="BP199" i="1"/>
  <c r="Z205" i="1"/>
  <c r="BN205" i="1"/>
  <c r="Z207" i="1"/>
  <c r="BN207" i="1"/>
  <c r="Z209" i="1"/>
  <c r="BN209" i="1"/>
  <c r="Z211" i="1"/>
  <c r="BN211" i="1"/>
  <c r="Z215" i="1"/>
  <c r="BN215" i="1"/>
  <c r="BP215" i="1"/>
  <c r="Z217" i="1"/>
  <c r="BN217" i="1"/>
  <c r="Z219" i="1"/>
  <c r="BN219" i="1"/>
  <c r="Z221" i="1"/>
  <c r="BN221" i="1"/>
  <c r="Z223" i="1"/>
  <c r="BN223" i="1"/>
  <c r="Z227" i="1"/>
  <c r="BN227" i="1"/>
  <c r="BP227" i="1"/>
  <c r="K606" i="1"/>
  <c r="Z234" i="1"/>
  <c r="BN234" i="1"/>
  <c r="Z236" i="1"/>
  <c r="BN236" i="1"/>
  <c r="Z238" i="1"/>
  <c r="BN238" i="1"/>
  <c r="Z240" i="1"/>
  <c r="BN240" i="1"/>
  <c r="Y241" i="1"/>
  <c r="Z245" i="1"/>
  <c r="Z246" i="1" s="1"/>
  <c r="BN245" i="1"/>
  <c r="Z253" i="1"/>
  <c r="BN253" i="1"/>
  <c r="BP253" i="1"/>
  <c r="Z254" i="1"/>
  <c r="BN254" i="1"/>
  <c r="Z255" i="1"/>
  <c r="BN255" i="1"/>
  <c r="Z256" i="1"/>
  <c r="BN256" i="1"/>
  <c r="Z257" i="1"/>
  <c r="BN257" i="1"/>
  <c r="Z262" i="1"/>
  <c r="BN262" i="1"/>
  <c r="BP262" i="1"/>
  <c r="Z264" i="1"/>
  <c r="BN264" i="1"/>
  <c r="Z266" i="1"/>
  <c r="Y281" i="1"/>
  <c r="Y274" i="1"/>
  <c r="O606" i="1"/>
  <c r="Y282" i="1"/>
  <c r="P606" i="1"/>
  <c r="Z286" i="1"/>
  <c r="BN286" i="1"/>
  <c r="BP286" i="1"/>
  <c r="Z288" i="1"/>
  <c r="BN288" i="1"/>
  <c r="Y291" i="1"/>
  <c r="Y296" i="1"/>
  <c r="Y309" i="1"/>
  <c r="S606" i="1"/>
  <c r="Y314" i="1"/>
  <c r="Z317" i="1"/>
  <c r="Z318" i="1" s="1"/>
  <c r="BN317" i="1"/>
  <c r="BP317" i="1"/>
  <c r="Z322" i="1"/>
  <c r="Z323" i="1" s="1"/>
  <c r="BN322" i="1"/>
  <c r="BP322" i="1"/>
  <c r="Y323" i="1"/>
  <c r="Z327" i="1"/>
  <c r="BN327" i="1"/>
  <c r="BP327" i="1"/>
  <c r="Z329" i="1"/>
  <c r="BN329" i="1"/>
  <c r="Z331" i="1"/>
  <c r="BN331" i="1"/>
  <c r="Y334" i="1"/>
  <c r="Z337" i="1"/>
  <c r="BN337" i="1"/>
  <c r="BP337" i="1"/>
  <c r="Z339" i="1"/>
  <c r="BN339" i="1"/>
  <c r="Z343" i="1"/>
  <c r="BN343" i="1"/>
  <c r="BP343" i="1"/>
  <c r="Z345" i="1"/>
  <c r="BN345" i="1"/>
  <c r="Z347" i="1"/>
  <c r="BN347" i="1"/>
  <c r="Y348" i="1"/>
  <c r="Z351" i="1"/>
  <c r="BN351" i="1"/>
  <c r="BP351" i="1"/>
  <c r="Z353" i="1"/>
  <c r="BN353" i="1"/>
  <c r="Y354" i="1"/>
  <c r="Y362" i="1"/>
  <c r="Y368" i="1"/>
  <c r="BP376" i="1"/>
  <c r="BN376" i="1"/>
  <c r="Z376" i="1"/>
  <c r="BP386" i="1"/>
  <c r="BN386" i="1"/>
  <c r="Z386" i="1"/>
  <c r="BP390" i="1"/>
  <c r="BN390" i="1"/>
  <c r="Z390" i="1"/>
  <c r="Y403" i="1"/>
  <c r="BP401" i="1"/>
  <c r="BN401" i="1"/>
  <c r="Z401" i="1"/>
  <c r="Y417" i="1"/>
  <c r="BP414" i="1"/>
  <c r="BN414" i="1"/>
  <c r="Z414" i="1"/>
  <c r="BP426" i="1"/>
  <c r="BN426" i="1"/>
  <c r="Z426" i="1"/>
  <c r="Y324" i="1"/>
  <c r="Y333" i="1"/>
  <c r="Z361" i="1"/>
  <c r="BP359" i="1"/>
  <c r="BN359" i="1"/>
  <c r="Y361" i="1"/>
  <c r="BP365" i="1"/>
  <c r="BN365" i="1"/>
  <c r="Z365" i="1"/>
  <c r="Z367" i="1" s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BP402" i="1"/>
  <c r="BN402" i="1"/>
  <c r="Z402" i="1"/>
  <c r="Y404" i="1"/>
  <c r="BP412" i="1"/>
  <c r="BN412" i="1"/>
  <c r="Z412" i="1"/>
  <c r="Y416" i="1"/>
  <c r="BP424" i="1"/>
  <c r="BN424" i="1"/>
  <c r="Z424" i="1"/>
  <c r="Y428" i="1"/>
  <c r="Y449" i="1"/>
  <c r="Y453" i="1"/>
  <c r="Y460" i="1"/>
  <c r="Y466" i="1"/>
  <c r="Y503" i="1"/>
  <c r="Y510" i="1"/>
  <c r="BP521" i="1"/>
  <c r="BN521" i="1"/>
  <c r="Z521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X606" i="1"/>
  <c r="AB606" i="1"/>
  <c r="Y373" i="1"/>
  <c r="W606" i="1"/>
  <c r="Y393" i="1"/>
  <c r="Z436" i="1"/>
  <c r="BN436" i="1"/>
  <c r="BP436" i="1"/>
  <c r="Z437" i="1"/>
  <c r="BN437" i="1"/>
  <c r="Z438" i="1"/>
  <c r="BN438" i="1"/>
  <c r="Z439" i="1"/>
  <c r="BN439" i="1"/>
  <c r="Z440" i="1"/>
  <c r="BN440" i="1"/>
  <c r="Z442" i="1"/>
  <c r="BN442" i="1"/>
  <c r="Z445" i="1"/>
  <c r="BN445" i="1"/>
  <c r="Z447" i="1"/>
  <c r="BN447" i="1"/>
  <c r="Y448" i="1"/>
  <c r="Z451" i="1"/>
  <c r="Z453" i="1" s="1"/>
  <c r="BN451" i="1"/>
  <c r="BP451" i="1"/>
  <c r="Z458" i="1"/>
  <c r="Z459" i="1" s="1"/>
  <c r="BN458" i="1"/>
  <c r="Y459" i="1"/>
  <c r="Z463" i="1"/>
  <c r="BN463" i="1"/>
  <c r="Z464" i="1"/>
  <c r="BN464" i="1"/>
  <c r="Y473" i="1"/>
  <c r="AC606" i="1"/>
  <c r="Z487" i="1"/>
  <c r="BN487" i="1"/>
  <c r="Z489" i="1"/>
  <c r="BN489" i="1"/>
  <c r="Z491" i="1"/>
  <c r="BN491" i="1"/>
  <c r="Z492" i="1"/>
  <c r="BN492" i="1"/>
  <c r="Z494" i="1"/>
  <c r="BN494" i="1"/>
  <c r="Z499" i="1"/>
  <c r="BN499" i="1"/>
  <c r="Z501" i="1"/>
  <c r="BN501" i="1"/>
  <c r="Y502" i="1"/>
  <c r="Z505" i="1"/>
  <c r="BN505" i="1"/>
  <c r="BP505" i="1"/>
  <c r="Z506" i="1"/>
  <c r="BN506" i="1"/>
  <c r="Z507" i="1"/>
  <c r="BN507" i="1"/>
  <c r="Z508" i="1"/>
  <c r="BN508" i="1"/>
  <c r="Y524" i="1"/>
  <c r="Z518" i="1"/>
  <c r="BN518" i="1"/>
  <c r="Z519" i="1"/>
  <c r="BN519" i="1"/>
  <c r="Y523" i="1"/>
  <c r="BP527" i="1"/>
  <c r="BN527" i="1"/>
  <c r="Z527" i="1"/>
  <c r="Z529" i="1" s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Z398" i="1" l="1"/>
  <c r="Z393" i="1"/>
  <c r="Z403" i="1"/>
  <c r="Z378" i="1"/>
  <c r="Z290" i="1"/>
  <c r="Z102" i="1"/>
  <c r="Z90" i="1"/>
  <c r="Z62" i="1"/>
  <c r="Z41" i="1"/>
  <c r="Z281" i="1"/>
  <c r="Z448" i="1"/>
  <c r="Z427" i="1"/>
  <c r="Z131" i="1"/>
  <c r="Z502" i="1"/>
  <c r="Z466" i="1"/>
  <c r="Z212" i="1"/>
  <c r="Y597" i="1"/>
  <c r="Z523" i="1"/>
  <c r="Z416" i="1"/>
  <c r="Z340" i="1"/>
  <c r="Z333" i="1"/>
  <c r="Z268" i="1"/>
  <c r="Z241" i="1"/>
  <c r="Z229" i="1"/>
  <c r="Z180" i="1"/>
  <c r="Z126" i="1"/>
  <c r="Z116" i="1"/>
  <c r="Z77" i="1"/>
  <c r="Z68" i="1"/>
  <c r="Z55" i="1"/>
  <c r="Y598" i="1"/>
  <c r="Z28" i="1"/>
  <c r="Y599" i="1"/>
  <c r="Z509" i="1"/>
  <c r="Z552" i="1"/>
  <c r="Z354" i="1"/>
  <c r="Z348" i="1"/>
  <c r="Z258" i="1"/>
  <c r="Z224" i="1"/>
  <c r="Z186" i="1"/>
  <c r="Y596" i="1"/>
  <c r="Z570" i="1"/>
  <c r="Z158" i="1"/>
  <c r="Z110" i="1"/>
  <c r="Z83" i="1"/>
  <c r="Y600" i="1"/>
  <c r="X599" i="1"/>
  <c r="Z601" i="1" l="1"/>
</calcChain>
</file>

<file path=xl/sharedStrings.xml><?xml version="1.0" encoding="utf-8"?>
<sst xmlns="http://schemas.openxmlformats.org/spreadsheetml/2006/main" count="2761" uniqueCount="999">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</sst>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172" sqref="AA17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998</v>
      </c>
      <c r="I5" s="939"/>
      <c r="J5" s="939"/>
      <c r="K5" s="939"/>
      <c r="L5" s="939"/>
      <c r="M5" s="745"/>
      <c r="N5" s="58"/>
      <c r="P5" s="24" t="s">
        <v>10</v>
      </c>
      <c r="Q5" s="992">
        <v>45773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972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4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/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19</v>
      </c>
      <c r="Q8" s="822">
        <v>0.45833333333333331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20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21</v>
      </c>
      <c r="Q10" s="847"/>
      <c r="R10" s="848"/>
      <c r="U10" s="24" t="s">
        <v>22</v>
      </c>
      <c r="V10" s="710" t="s">
        <v>23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15"/>
      <c r="R11" s="816"/>
      <c r="U11" s="24" t="s">
        <v>26</v>
      </c>
      <c r="V11" s="963" t="s">
        <v>27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28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29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30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31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32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33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34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35</v>
      </c>
      <c r="B17" s="683" t="s">
        <v>36</v>
      </c>
      <c r="C17" s="844" t="s">
        <v>37</v>
      </c>
      <c r="D17" s="683" t="s">
        <v>38</v>
      </c>
      <c r="E17" s="782"/>
      <c r="F17" s="683" t="s">
        <v>39</v>
      </c>
      <c r="G17" s="683" t="s">
        <v>40</v>
      </c>
      <c r="H17" s="683" t="s">
        <v>41</v>
      </c>
      <c r="I17" s="683" t="s">
        <v>42</v>
      </c>
      <c r="J17" s="683" t="s">
        <v>43</v>
      </c>
      <c r="K17" s="683" t="s">
        <v>44</v>
      </c>
      <c r="L17" s="683" t="s">
        <v>45</v>
      </c>
      <c r="M17" s="683" t="s">
        <v>46</v>
      </c>
      <c r="N17" s="683" t="s">
        <v>47</v>
      </c>
      <c r="O17" s="683" t="s">
        <v>48</v>
      </c>
      <c r="P17" s="683" t="s">
        <v>49</v>
      </c>
      <c r="Q17" s="781"/>
      <c r="R17" s="781"/>
      <c r="S17" s="781"/>
      <c r="T17" s="782"/>
      <c r="U17" s="1055" t="s">
        <v>50</v>
      </c>
      <c r="V17" s="688"/>
      <c r="W17" s="683" t="s">
        <v>51</v>
      </c>
      <c r="X17" s="683" t="s">
        <v>52</v>
      </c>
      <c r="Y17" s="1052" t="s">
        <v>53</v>
      </c>
      <c r="Z17" s="937" t="s">
        <v>54</v>
      </c>
      <c r="AA17" s="912" t="s">
        <v>55</v>
      </c>
      <c r="AB17" s="912" t="s">
        <v>56</v>
      </c>
      <c r="AC17" s="912" t="s">
        <v>57</v>
      </c>
      <c r="AD17" s="912" t="s">
        <v>58</v>
      </c>
      <c r="AE17" s="995"/>
      <c r="AF17" s="996"/>
      <c r="AG17" s="66"/>
      <c r="BD17" s="65" t="s">
        <v>59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60</v>
      </c>
      <c r="V18" s="67" t="s">
        <v>61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62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62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63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8" t="s">
        <v>75</v>
      </c>
      <c r="Q24" s="679"/>
      <c r="R24" s="679"/>
      <c r="S24" s="679"/>
      <c r="T24" s="680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1" t="s">
        <v>79</v>
      </c>
      <c r="Q25" s="679"/>
      <c r="R25" s="679"/>
      <c r="S25" s="679"/>
      <c r="T25" s="680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87</v>
      </c>
      <c r="Q28" s="674"/>
      <c r="R28" s="674"/>
      <c r="S28" s="674"/>
      <c r="T28" s="674"/>
      <c r="U28" s="674"/>
      <c r="V28" s="675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87</v>
      </c>
      <c r="Q29" s="674"/>
      <c r="R29" s="674"/>
      <c r="S29" s="674"/>
      <c r="T29" s="674"/>
      <c r="U29" s="674"/>
      <c r="V29" s="675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89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87</v>
      </c>
      <c r="Q32" s="674"/>
      <c r="R32" s="674"/>
      <c r="S32" s="674"/>
      <c r="T32" s="674"/>
      <c r="U32" s="674"/>
      <c r="V32" s="675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87</v>
      </c>
      <c r="Q33" s="674"/>
      <c r="R33" s="674"/>
      <c r="S33" s="674"/>
      <c r="T33" s="674"/>
      <c r="U33" s="674"/>
      <c r="V33" s="675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95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96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97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68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87</v>
      </c>
      <c r="Q41" s="674"/>
      <c r="R41" s="674"/>
      <c r="S41" s="674"/>
      <c r="T41" s="674"/>
      <c r="U41" s="674"/>
      <c r="V41" s="675"/>
      <c r="W41" s="37" t="s">
        <v>88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hidden="1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87</v>
      </c>
      <c r="Q42" s="674"/>
      <c r="R42" s="674"/>
      <c r="S42" s="674"/>
      <c r="T42" s="674"/>
      <c r="U42" s="674"/>
      <c r="V42" s="675"/>
      <c r="W42" s="37" t="s">
        <v>68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hidden="1" customHeight="1" x14ac:dyDescent="0.25">
      <c r="A43" s="676" t="s">
        <v>63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87</v>
      </c>
      <c r="Q45" s="674"/>
      <c r="R45" s="674"/>
      <c r="S45" s="674"/>
      <c r="T45" s="674"/>
      <c r="U45" s="674"/>
      <c r="V45" s="675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87</v>
      </c>
      <c r="Q46" s="674"/>
      <c r="R46" s="674"/>
      <c r="S46" s="674"/>
      <c r="T46" s="674"/>
      <c r="U46" s="674"/>
      <c r="V46" s="675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115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97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68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87</v>
      </c>
      <c r="Q55" s="674"/>
      <c r="R55" s="674"/>
      <c r="S55" s="674"/>
      <c r="T55" s="674"/>
      <c r="U55" s="674"/>
      <c r="V55" s="675"/>
      <c r="W55" s="37" t="s">
        <v>88</v>
      </c>
      <c r="X55" s="669">
        <f>IFERROR(X49/H49,"0")+IFERROR(X50/H50,"0")+IFERROR(X51/H51,"0")+IFERROR(X52/H52,"0")+IFERROR(X53/H53,"0")+IFERROR(X54/H54,"0")</f>
        <v>0</v>
      </c>
      <c r="Y55" s="669">
        <f>IFERROR(Y49/H49,"0")+IFERROR(Y50/H50,"0")+IFERROR(Y51/H51,"0")+IFERROR(Y52/H52,"0")+IFERROR(Y53/H53,"0")+IFERROR(Y54/H54,"0")</f>
        <v>0</v>
      </c>
      <c r="Z55" s="669">
        <f>IFERROR(IF(Z49="",0,Z49),"0")+IFERROR(IF(Z50="",0,Z50),"0")+IFERROR(IF(Z51="",0,Z51),"0")+IFERROR(IF(Z52="",0,Z52),"0")+IFERROR(IF(Z53="",0,Z53),"0")+IFERROR(IF(Z54="",0,Z54),"0")</f>
        <v>0</v>
      </c>
      <c r="AA55" s="670"/>
      <c r="AB55" s="670"/>
      <c r="AC55" s="670"/>
    </row>
    <row r="56" spans="1:68" hidden="1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87</v>
      </c>
      <c r="Q56" s="674"/>
      <c r="R56" s="674"/>
      <c r="S56" s="674"/>
      <c r="T56" s="674"/>
      <c r="U56" s="674"/>
      <c r="V56" s="675"/>
      <c r="W56" s="37" t="s">
        <v>68</v>
      </c>
      <c r="X56" s="669">
        <f>IFERROR(SUM(X49:X54),"0")</f>
        <v>0</v>
      </c>
      <c r="Y56" s="669">
        <f>IFERROR(SUM(Y49:Y54),"0")</f>
        <v>0</v>
      </c>
      <c r="Z56" s="37"/>
      <c r="AA56" s="670"/>
      <c r="AB56" s="670"/>
      <c r="AC56" s="670"/>
    </row>
    <row r="57" spans="1:68" ht="14.25" hidden="1" customHeight="1" x14ac:dyDescent="0.25">
      <c r="A57" s="676" t="s">
        <v>133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87</v>
      </c>
      <c r="Q62" s="674"/>
      <c r="R62" s="674"/>
      <c r="S62" s="674"/>
      <c r="T62" s="674"/>
      <c r="U62" s="674"/>
      <c r="V62" s="675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hidden="1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87</v>
      </c>
      <c r="Q63" s="674"/>
      <c r="R63" s="674"/>
      <c r="S63" s="674"/>
      <c r="T63" s="674"/>
      <c r="U63" s="674"/>
      <c r="V63" s="675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hidden="1" customHeight="1" x14ac:dyDescent="0.25">
      <c r="A64" s="676" t="s">
        <v>144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87</v>
      </c>
      <c r="Q68" s="674"/>
      <c r="R68" s="674"/>
      <c r="S68" s="674"/>
      <c r="T68" s="674"/>
      <c r="U68" s="674"/>
      <c r="V68" s="675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87</v>
      </c>
      <c r="Q69" s="674"/>
      <c r="R69" s="674"/>
      <c r="S69" s="674"/>
      <c r="T69" s="674"/>
      <c r="U69" s="674"/>
      <c r="V69" s="675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676" t="s">
        <v>63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87</v>
      </c>
      <c r="Q77" s="674"/>
      <c r="R77" s="674"/>
      <c r="S77" s="674"/>
      <c r="T77" s="674"/>
      <c r="U77" s="674"/>
      <c r="V77" s="675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87</v>
      </c>
      <c r="Q78" s="674"/>
      <c r="R78" s="674"/>
      <c r="S78" s="674"/>
      <c r="T78" s="674"/>
      <c r="U78" s="674"/>
      <c r="V78" s="675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676" t="s">
        <v>170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171</v>
      </c>
      <c r="B80" s="54" t="s">
        <v>172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87</v>
      </c>
      <c r="Q83" s="674"/>
      <c r="R83" s="674"/>
      <c r="S83" s="674"/>
      <c r="T83" s="674"/>
      <c r="U83" s="674"/>
      <c r="V83" s="675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87</v>
      </c>
      <c r="Q84" s="674"/>
      <c r="R84" s="674"/>
      <c r="S84" s="674"/>
      <c r="T84" s="674"/>
      <c r="U84" s="674"/>
      <c r="V84" s="675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685" t="s">
        <v>178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97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68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68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87</v>
      </c>
      <c r="Q90" s="674"/>
      <c r="R90" s="674"/>
      <c r="S90" s="674"/>
      <c r="T90" s="674"/>
      <c r="U90" s="674"/>
      <c r="V90" s="675"/>
      <c r="W90" s="37" t="s">
        <v>88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hidden="1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87</v>
      </c>
      <c r="Q91" s="674"/>
      <c r="R91" s="674"/>
      <c r="S91" s="674"/>
      <c r="T91" s="674"/>
      <c r="U91" s="674"/>
      <c r="V91" s="675"/>
      <c r="W91" s="37" t="s">
        <v>68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hidden="1" customHeight="1" x14ac:dyDescent="0.25">
      <c r="A92" s="676" t="s">
        <v>63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hidden="1" customHeight="1" x14ac:dyDescent="0.25">
      <c r="A93" s="54" t="s">
        <v>187</v>
      </c>
      <c r="B93" s="54" t="s">
        <v>188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68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190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187</v>
      </c>
      <c r="B95" s="54" t="s">
        <v>191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31" t="s">
        <v>192</v>
      </c>
      <c r="Q95" s="679"/>
      <c r="R95" s="679"/>
      <c r="S95" s="679"/>
      <c r="T95" s="680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59" t="s">
        <v>196</v>
      </c>
      <c r="Q96" s="679"/>
      <c r="R96" s="679"/>
      <c r="S96" s="679"/>
      <c r="T96" s="680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56" t="s">
        <v>200</v>
      </c>
      <c r="Q97" s="679"/>
      <c r="R97" s="679"/>
      <c r="S97" s="679"/>
      <c r="T97" s="680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861" t="s">
        <v>202</v>
      </c>
      <c r="Q98" s="679"/>
      <c r="R98" s="679"/>
      <c r="S98" s="679"/>
      <c r="T98" s="680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87</v>
      </c>
      <c r="Q102" s="674"/>
      <c r="R102" s="674"/>
      <c r="S102" s="674"/>
      <c r="T102" s="674"/>
      <c r="U102" s="674"/>
      <c r="V102" s="675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0</v>
      </c>
      <c r="Y102" s="669">
        <f>IFERROR(Y93/H93,"0")+IFERROR(Y94/H94,"0")+IFERROR(Y95/H95,"0")+IFERROR(Y96/H96,"0")+IFERROR(Y97/H97,"0")+IFERROR(Y98/H98,"0")+IFERROR(Y99/H99,"0")+IFERROR(Y100/H100,"0")+IFERROR(Y101/H101,"0")</f>
        <v>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0"/>
      <c r="AB102" s="670"/>
      <c r="AC102" s="670"/>
    </row>
    <row r="103" spans="1:68" hidden="1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87</v>
      </c>
      <c r="Q103" s="674"/>
      <c r="R103" s="674"/>
      <c r="S103" s="674"/>
      <c r="T103" s="674"/>
      <c r="U103" s="674"/>
      <c r="V103" s="675"/>
      <c r="W103" s="37" t="s">
        <v>68</v>
      </c>
      <c r="X103" s="669">
        <f>IFERROR(SUM(X93:X101),"0")</f>
        <v>0</v>
      </c>
      <c r="Y103" s="669">
        <f>IFERROR(SUM(Y93:Y101),"0")</f>
        <v>0</v>
      </c>
      <c r="Z103" s="37"/>
      <c r="AA103" s="670"/>
      <c r="AB103" s="670"/>
      <c r="AC103" s="670"/>
    </row>
    <row r="104" spans="1:68" ht="16.5" hidden="1" customHeight="1" x14ac:dyDescent="0.25">
      <c r="A104" s="685" t="s">
        <v>209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97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68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68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87</v>
      </c>
      <c r="Q110" s="674"/>
      <c r="R110" s="674"/>
      <c r="S110" s="674"/>
      <c r="T110" s="674"/>
      <c r="U110" s="674"/>
      <c r="V110" s="675"/>
      <c r="W110" s="37" t="s">
        <v>88</v>
      </c>
      <c r="X110" s="669">
        <f>IFERROR(X106/H106,"0")+IFERROR(X107/H107,"0")+IFERROR(X108/H108,"0")+IFERROR(X109/H109,"0")</f>
        <v>0</v>
      </c>
      <c r="Y110" s="669">
        <f>IFERROR(Y106/H106,"0")+IFERROR(Y107/H107,"0")+IFERROR(Y108/H108,"0")+IFERROR(Y109/H109,"0")</f>
        <v>0</v>
      </c>
      <c r="Z110" s="669">
        <f>IFERROR(IF(Z106="",0,Z106),"0")+IFERROR(IF(Z107="",0,Z107),"0")+IFERROR(IF(Z108="",0,Z108),"0")+IFERROR(IF(Z109="",0,Z109),"0")</f>
        <v>0</v>
      </c>
      <c r="AA110" s="670"/>
      <c r="AB110" s="670"/>
      <c r="AC110" s="670"/>
    </row>
    <row r="111" spans="1:68" hidden="1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87</v>
      </c>
      <c r="Q111" s="674"/>
      <c r="R111" s="674"/>
      <c r="S111" s="674"/>
      <c r="T111" s="674"/>
      <c r="U111" s="674"/>
      <c r="V111" s="675"/>
      <c r="W111" s="37" t="s">
        <v>68</v>
      </c>
      <c r="X111" s="669">
        <f>IFERROR(SUM(X106:X109),"0")</f>
        <v>0</v>
      </c>
      <c r="Y111" s="669">
        <f>IFERROR(SUM(Y106:Y109),"0")</f>
        <v>0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133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68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87</v>
      </c>
      <c r="Q116" s="674"/>
      <c r="R116" s="674"/>
      <c r="S116" s="674"/>
      <c r="T116" s="674"/>
      <c r="U116" s="674"/>
      <c r="V116" s="675"/>
      <c r="W116" s="37" t="s">
        <v>88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hidden="1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87</v>
      </c>
      <c r="Q117" s="674"/>
      <c r="R117" s="674"/>
      <c r="S117" s="674"/>
      <c r="T117" s="674"/>
      <c r="U117" s="674"/>
      <c r="V117" s="675"/>
      <c r="W117" s="37" t="s">
        <v>68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hidden="1" customHeight="1" x14ac:dyDescent="0.25">
      <c r="A118" s="676" t="s">
        <v>63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226</v>
      </c>
      <c r="B119" s="54" t="s">
        <v>227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229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68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hidden="1" customHeight="1" x14ac:dyDescent="0.25">
      <c r="A121" s="54" t="s">
        <v>226</v>
      </c>
      <c r="B121" s="54" t="s">
        <v>231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21" t="s">
        <v>232</v>
      </c>
      <c r="Q121" s="679"/>
      <c r="R121" s="679"/>
      <c r="S121" s="679"/>
      <c r="T121" s="680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54" t="s">
        <v>236</v>
      </c>
      <c r="Q122" s="679"/>
      <c r="R122" s="679"/>
      <c r="S122" s="679"/>
      <c r="T122" s="680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237</v>
      </c>
      <c r="B123" s="54" t="s">
        <v>238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09" t="s">
        <v>239</v>
      </c>
      <c r="Q123" s="679"/>
      <c r="R123" s="679"/>
      <c r="S123" s="679"/>
      <c r="T123" s="680"/>
      <c r="U123" s="34"/>
      <c r="V123" s="34"/>
      <c r="W123" s="35" t="s">
        <v>68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240</v>
      </c>
      <c r="B124" s="54" t="s">
        <v>241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243</v>
      </c>
      <c r="B125" s="54" t="s">
        <v>244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idden="1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87</v>
      </c>
      <c r="Q126" s="674"/>
      <c r="R126" s="674"/>
      <c r="S126" s="674"/>
      <c r="T126" s="674"/>
      <c r="U126" s="674"/>
      <c r="V126" s="675"/>
      <c r="W126" s="37" t="s">
        <v>88</v>
      </c>
      <c r="X126" s="669">
        <f>IFERROR(X119/H119,"0")+IFERROR(X120/H120,"0")+IFERROR(X121/H121,"0")+IFERROR(X122/H122,"0")+IFERROR(X123/H123,"0")+IFERROR(X124/H124,"0")+IFERROR(X125/H125,"0")</f>
        <v>0</v>
      </c>
      <c r="Y126" s="669">
        <f>IFERROR(Y119/H119,"0")+IFERROR(Y120/H120,"0")+IFERROR(Y121/H121,"0")+IFERROR(Y122/H122,"0")+IFERROR(Y123/H123,"0")+IFERROR(Y124/H124,"0")+IFERROR(Y125/H125,"0")</f>
        <v>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</v>
      </c>
      <c r="AA126" s="670"/>
      <c r="AB126" s="670"/>
      <c r="AC126" s="670"/>
    </row>
    <row r="127" spans="1:68" hidden="1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87</v>
      </c>
      <c r="Q127" s="674"/>
      <c r="R127" s="674"/>
      <c r="S127" s="674"/>
      <c r="T127" s="674"/>
      <c r="U127" s="674"/>
      <c r="V127" s="675"/>
      <c r="W127" s="37" t="s">
        <v>68</v>
      </c>
      <c r="X127" s="669">
        <f>IFERROR(SUM(X119:X125),"0")</f>
        <v>0</v>
      </c>
      <c r="Y127" s="669">
        <f>IFERROR(SUM(Y119:Y125),"0")</f>
        <v>0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170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246</v>
      </c>
      <c r="B129" s="54" t="s">
        <v>247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249</v>
      </c>
      <c r="B130" s="54" t="s">
        <v>250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87</v>
      </c>
      <c r="Q131" s="674"/>
      <c r="R131" s="674"/>
      <c r="S131" s="674"/>
      <c r="T131" s="674"/>
      <c r="U131" s="674"/>
      <c r="V131" s="675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87</v>
      </c>
      <c r="Q132" s="674"/>
      <c r="R132" s="674"/>
      <c r="S132" s="674"/>
      <c r="T132" s="674"/>
      <c r="U132" s="674"/>
      <c r="V132" s="675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252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97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253</v>
      </c>
      <c r="B135" s="54" t="s">
        <v>254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253</v>
      </c>
      <c r="B136" s="54" t="s">
        <v>256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87</v>
      </c>
      <c r="Q137" s="674"/>
      <c r="R137" s="674"/>
      <c r="S137" s="674"/>
      <c r="T137" s="674"/>
      <c r="U137" s="674"/>
      <c r="V137" s="675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hidden="1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87</v>
      </c>
      <c r="Q138" s="674"/>
      <c r="R138" s="674"/>
      <c r="S138" s="674"/>
      <c r="T138" s="674"/>
      <c r="U138" s="674"/>
      <c r="V138" s="675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144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hidden="1" customHeight="1" x14ac:dyDescent="0.25">
      <c r="A140" s="54" t="s">
        <v>257</v>
      </c>
      <c r="B140" s="54" t="s">
        <v>258</v>
      </c>
      <c r="C140" s="31">
        <v>4301031235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257</v>
      </c>
      <c r="B141" s="54" t="s">
        <v>260</v>
      </c>
      <c r="C141" s="31">
        <v>4301031234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87</v>
      </c>
      <c r="Q142" s="674"/>
      <c r="R142" s="674"/>
      <c r="S142" s="674"/>
      <c r="T142" s="674"/>
      <c r="U142" s="674"/>
      <c r="V142" s="675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hidden="1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87</v>
      </c>
      <c r="Q143" s="674"/>
      <c r="R143" s="674"/>
      <c r="S143" s="674"/>
      <c r="T143" s="674"/>
      <c r="U143" s="674"/>
      <c r="V143" s="675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hidden="1" customHeight="1" x14ac:dyDescent="0.25">
      <c r="A144" s="676" t="s">
        <v>63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261</v>
      </c>
      <c r="B145" s="54" t="s">
        <v>262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261</v>
      </c>
      <c r="B146" s="54" t="s">
        <v>263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87</v>
      </c>
      <c r="Q147" s="674"/>
      <c r="R147" s="674"/>
      <c r="S147" s="674"/>
      <c r="T147" s="674"/>
      <c r="U147" s="674"/>
      <c r="V147" s="675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87</v>
      </c>
      <c r="Q148" s="674"/>
      <c r="R148" s="674"/>
      <c r="S148" s="674"/>
      <c r="T148" s="674"/>
      <c r="U148" s="674"/>
      <c r="V148" s="675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685" t="s">
        <v>95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97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264</v>
      </c>
      <c r="B151" s="54" t="s">
        <v>265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87</v>
      </c>
      <c r="Q152" s="674"/>
      <c r="R152" s="674"/>
      <c r="S152" s="674"/>
      <c r="T152" s="674"/>
      <c r="U152" s="674"/>
      <c r="V152" s="675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87</v>
      </c>
      <c r="Q153" s="674"/>
      <c r="R153" s="674"/>
      <c r="S153" s="674"/>
      <c r="T153" s="674"/>
      <c r="U153" s="674"/>
      <c r="V153" s="675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144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267</v>
      </c>
      <c r="B155" s="54" t="s">
        <v>268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270</v>
      </c>
      <c r="B156" s="54" t="s">
        <v>271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273</v>
      </c>
      <c r="B157" s="54" t="s">
        <v>274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87</v>
      </c>
      <c r="Q158" s="674"/>
      <c r="R158" s="674"/>
      <c r="S158" s="674"/>
      <c r="T158" s="674"/>
      <c r="U158" s="674"/>
      <c r="V158" s="675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87</v>
      </c>
      <c r="Q159" s="674"/>
      <c r="R159" s="674"/>
      <c r="S159" s="674"/>
      <c r="T159" s="674"/>
      <c r="U159" s="674"/>
      <c r="V159" s="675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63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276</v>
      </c>
      <c r="B161" s="54" t="s">
        <v>277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87</v>
      </c>
      <c r="Q162" s="674"/>
      <c r="R162" s="674"/>
      <c r="S162" s="674"/>
      <c r="T162" s="674"/>
      <c r="U162" s="674"/>
      <c r="V162" s="675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87</v>
      </c>
      <c r="Q163" s="674"/>
      <c r="R163" s="674"/>
      <c r="S163" s="674"/>
      <c r="T163" s="674"/>
      <c r="U163" s="674"/>
      <c r="V163" s="675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279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280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133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281</v>
      </c>
      <c r="B167" s="54" t="s">
        <v>282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87</v>
      </c>
      <c r="Q168" s="674"/>
      <c r="R168" s="674"/>
      <c r="S168" s="674"/>
      <c r="T168" s="674"/>
      <c r="U168" s="674"/>
      <c r="V168" s="675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87</v>
      </c>
      <c r="Q169" s="674"/>
      <c r="R169" s="674"/>
      <c r="S169" s="674"/>
      <c r="T169" s="674"/>
      <c r="U169" s="674"/>
      <c r="V169" s="675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144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hidden="1" customHeight="1" x14ac:dyDescent="0.25">
      <c r="A171" s="54" t="s">
        <v>284</v>
      </c>
      <c r="B171" s="54" t="s">
        <v>285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287</v>
      </c>
      <c r="B172" s="54" t="s">
        <v>288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68</v>
      </c>
      <c r="X172" s="667">
        <v>50</v>
      </c>
      <c r="Y172" s="668">
        <f t="shared" si="26"/>
        <v>50.400000000000006</v>
      </c>
      <c r="Z172" s="36">
        <f>IFERROR(IF(Y172=0,"",ROUNDUP(Y172/H172,0)*0.00902),"")</f>
        <v>0.10824</v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53.214285714285715</v>
      </c>
      <c r="BN172" s="64">
        <f t="shared" si="28"/>
        <v>53.64</v>
      </c>
      <c r="BO172" s="64">
        <f t="shared" si="29"/>
        <v>9.0187590187590191E-2</v>
      </c>
      <c r="BP172" s="64">
        <f t="shared" si="30"/>
        <v>9.0909090909090912E-2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68</v>
      </c>
      <c r="X173" s="667">
        <v>50</v>
      </c>
      <c r="Y173" s="668">
        <f t="shared" si="26"/>
        <v>50.400000000000006</v>
      </c>
      <c r="Z173" s="36">
        <f>IFERROR(IF(Y173=0,"",ROUNDUP(Y173/H173,0)*0.00902),"")</f>
        <v>0.10824</v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52.5</v>
      </c>
      <c r="BN173" s="64">
        <f t="shared" si="28"/>
        <v>52.920000000000009</v>
      </c>
      <c r="BO173" s="64">
        <f t="shared" si="29"/>
        <v>9.0187590187590191E-2</v>
      </c>
      <c r="BP173" s="64">
        <f t="shared" si="30"/>
        <v>9.0909090909090912E-2</v>
      </c>
    </row>
    <row r="174" spans="1:68" ht="27" hidden="1" customHeight="1" x14ac:dyDescent="0.25">
      <c r="A174" s="54" t="s">
        <v>293</v>
      </c>
      <c r="B174" s="54" t="s">
        <v>294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68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65" t="s">
        <v>299</v>
      </c>
      <c r="Q176" s="679"/>
      <c r="R176" s="679"/>
      <c r="S176" s="679"/>
      <c r="T176" s="680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hidden="1" customHeight="1" x14ac:dyDescent="0.25">
      <c r="A177" s="54" t="s">
        <v>301</v>
      </c>
      <c r="B177" s="54" t="s">
        <v>302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68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87</v>
      </c>
      <c r="Q180" s="674"/>
      <c r="R180" s="674"/>
      <c r="S180" s="674"/>
      <c r="T180" s="674"/>
      <c r="U180" s="674"/>
      <c r="V180" s="675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23.80952380952381</v>
      </c>
      <c r="Y180" s="669">
        <f>IFERROR(Y171/H171,"0")+IFERROR(Y172/H172,"0")+IFERROR(Y173/H173,"0")+IFERROR(Y174/H174,"0")+IFERROR(Y175/H175,"0")+IFERROR(Y176/H176,"0")+IFERROR(Y177/H177,"0")+IFERROR(Y178/H178,"0")+IFERROR(Y179/H179,"0")</f>
        <v>24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0.21648000000000001</v>
      </c>
      <c r="AA180" s="670"/>
      <c r="AB180" s="670"/>
      <c r="AC180" s="670"/>
    </row>
    <row r="181" spans="1:68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87</v>
      </c>
      <c r="Q181" s="674"/>
      <c r="R181" s="674"/>
      <c r="S181" s="674"/>
      <c r="T181" s="674"/>
      <c r="U181" s="674"/>
      <c r="V181" s="675"/>
      <c r="W181" s="37" t="s">
        <v>68</v>
      </c>
      <c r="X181" s="669">
        <f>IFERROR(SUM(X171:X179),"0")</f>
        <v>100</v>
      </c>
      <c r="Y181" s="669">
        <f>IFERROR(SUM(Y171:Y179),"0")</f>
        <v>100.80000000000001</v>
      </c>
      <c r="Z181" s="37"/>
      <c r="AA181" s="670"/>
      <c r="AB181" s="670"/>
      <c r="AC181" s="670"/>
    </row>
    <row r="182" spans="1:68" ht="14.25" hidden="1" customHeight="1" x14ac:dyDescent="0.25">
      <c r="A182" s="676" t="s">
        <v>89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308</v>
      </c>
      <c r="B183" s="54" t="s">
        <v>309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860" t="s">
        <v>312</v>
      </c>
      <c r="Q183" s="679"/>
      <c r="R183" s="679"/>
      <c r="S183" s="679"/>
      <c r="T183" s="680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315</v>
      </c>
      <c r="B184" s="54" t="s">
        <v>316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41" t="s">
        <v>317</v>
      </c>
      <c r="Q184" s="679"/>
      <c r="R184" s="679"/>
      <c r="S184" s="679"/>
      <c r="T184" s="680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50" t="s">
        <v>320</v>
      </c>
      <c r="Q185" s="679"/>
      <c r="R185" s="679"/>
      <c r="S185" s="679"/>
      <c r="T185" s="680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87</v>
      </c>
      <c r="Q186" s="674"/>
      <c r="R186" s="674"/>
      <c r="S186" s="674"/>
      <c r="T186" s="674"/>
      <c r="U186" s="674"/>
      <c r="V186" s="675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87</v>
      </c>
      <c r="Q187" s="674"/>
      <c r="R187" s="674"/>
      <c r="S187" s="674"/>
      <c r="T187" s="674"/>
      <c r="U187" s="674"/>
      <c r="V187" s="675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322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323</v>
      </c>
      <c r="B189" s="54" t="s">
        <v>324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8" t="s">
        <v>325</v>
      </c>
      <c r="Q189" s="679"/>
      <c r="R189" s="679"/>
      <c r="S189" s="679"/>
      <c r="T189" s="680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87</v>
      </c>
      <c r="Q190" s="674"/>
      <c r="R190" s="674"/>
      <c r="S190" s="674"/>
      <c r="T190" s="674"/>
      <c r="U190" s="674"/>
      <c r="V190" s="675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87</v>
      </c>
      <c r="Q191" s="674"/>
      <c r="R191" s="674"/>
      <c r="S191" s="674"/>
      <c r="T191" s="674"/>
      <c r="U191" s="674"/>
      <c r="V191" s="675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326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97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327</v>
      </c>
      <c r="B194" s="54" t="s">
        <v>328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330</v>
      </c>
      <c r="B195" s="54" t="s">
        <v>331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87</v>
      </c>
      <c r="Q196" s="674"/>
      <c r="R196" s="674"/>
      <c r="S196" s="674"/>
      <c r="T196" s="674"/>
      <c r="U196" s="674"/>
      <c r="V196" s="675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87</v>
      </c>
      <c r="Q197" s="674"/>
      <c r="R197" s="674"/>
      <c r="S197" s="674"/>
      <c r="T197" s="674"/>
      <c r="U197" s="674"/>
      <c r="V197" s="675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133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332</v>
      </c>
      <c r="B199" s="54" t="s">
        <v>333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335</v>
      </c>
      <c r="B200" s="54" t="s">
        <v>336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87</v>
      </c>
      <c r="Q201" s="674"/>
      <c r="R201" s="674"/>
      <c r="S201" s="674"/>
      <c r="T201" s="674"/>
      <c r="U201" s="674"/>
      <c r="V201" s="675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87</v>
      </c>
      <c r="Q202" s="674"/>
      <c r="R202" s="674"/>
      <c r="S202" s="674"/>
      <c r="T202" s="674"/>
      <c r="U202" s="674"/>
      <c r="V202" s="675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144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hidden="1" customHeight="1" x14ac:dyDescent="0.25">
      <c r="A204" s="54" t="s">
        <v>337</v>
      </c>
      <c r="B204" s="54" t="s">
        <v>338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68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68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343</v>
      </c>
      <c r="B206" s="54" t="s">
        <v>344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68</v>
      </c>
      <c r="X206" s="667">
        <v>150</v>
      </c>
      <c r="Y206" s="668">
        <f t="shared" si="31"/>
        <v>151.20000000000002</v>
      </c>
      <c r="Z206" s="36">
        <f>IFERROR(IF(Y206=0,"",ROUNDUP(Y206/H206,0)*0.00902),"")</f>
        <v>0.25256000000000001</v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155.83333333333331</v>
      </c>
      <c r="BN206" s="64">
        <f t="shared" si="33"/>
        <v>157.08000000000001</v>
      </c>
      <c r="BO206" s="64">
        <f t="shared" si="34"/>
        <v>0.21043771043771042</v>
      </c>
      <c r="BP206" s="64">
        <f t="shared" si="35"/>
        <v>0.21212121212121213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68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68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hidden="1" customHeight="1" x14ac:dyDescent="0.25">
      <c r="A211" s="54" t="s">
        <v>355</v>
      </c>
      <c r="B211" s="54" t="s">
        <v>356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68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87</v>
      </c>
      <c r="Q212" s="674"/>
      <c r="R212" s="674"/>
      <c r="S212" s="674"/>
      <c r="T212" s="674"/>
      <c r="U212" s="674"/>
      <c r="V212" s="675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27.777777777777775</v>
      </c>
      <c r="Y212" s="669">
        <f>IFERROR(Y204/H204,"0")+IFERROR(Y205/H205,"0")+IFERROR(Y206/H206,"0")+IFERROR(Y207/H207,"0")+IFERROR(Y208/H208,"0")+IFERROR(Y209/H209,"0")+IFERROR(Y210/H210,"0")+IFERROR(Y211/H211,"0")</f>
        <v>28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0.25256000000000001</v>
      </c>
      <c r="AA212" s="670"/>
      <c r="AB212" s="670"/>
      <c r="AC212" s="670"/>
    </row>
    <row r="213" spans="1:68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87</v>
      </c>
      <c r="Q213" s="674"/>
      <c r="R213" s="674"/>
      <c r="S213" s="674"/>
      <c r="T213" s="674"/>
      <c r="U213" s="674"/>
      <c r="V213" s="675"/>
      <c r="W213" s="37" t="s">
        <v>68</v>
      </c>
      <c r="X213" s="669">
        <f>IFERROR(SUM(X204:X211),"0")</f>
        <v>150</v>
      </c>
      <c r="Y213" s="669">
        <f>IFERROR(SUM(Y204:Y211),"0")</f>
        <v>151.20000000000002</v>
      </c>
      <c r="Z213" s="37"/>
      <c r="AA213" s="670"/>
      <c r="AB213" s="670"/>
      <c r="AC213" s="670"/>
    </row>
    <row r="214" spans="1:68" ht="14.25" hidden="1" customHeight="1" x14ac:dyDescent="0.25">
      <c r="A214" s="676" t="s">
        <v>63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customHeight="1" x14ac:dyDescent="0.25">
      <c r="A215" s="54" t="s">
        <v>357</v>
      </c>
      <c r="B215" s="54" t="s">
        <v>358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68</v>
      </c>
      <c r="X215" s="667">
        <v>30</v>
      </c>
      <c r="Y215" s="668">
        <f t="shared" ref="Y215:Y223" si="36">IFERROR(IF(X215="",0,CEILING((X215/$H215),1)*$H215),"")</f>
        <v>32.4</v>
      </c>
      <c r="Z215" s="36">
        <f>IFERROR(IF(Y215=0,"",ROUNDUP(Y215/H215,0)*0.01898),"")</f>
        <v>7.5920000000000001E-2</v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31.922222222222224</v>
      </c>
      <c r="BN215" s="64">
        <f t="shared" ref="BN215:BN223" si="38">IFERROR(Y215*I215/H215,"0")</f>
        <v>34.475999999999999</v>
      </c>
      <c r="BO215" s="64">
        <f t="shared" ref="BO215:BO223" si="39">IFERROR(1/J215*(X215/H215),"0")</f>
        <v>5.7870370370370371E-2</v>
      </c>
      <c r="BP215" s="64">
        <f t="shared" ref="BP215:BP223" si="40">IFERROR(1/J215*(Y215/H215),"0")</f>
        <v>6.25E-2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363</v>
      </c>
      <c r="B217" s="54" t="s">
        <v>364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68</v>
      </c>
      <c r="X217" s="667">
        <v>130</v>
      </c>
      <c r="Y217" s="668">
        <f t="shared" si="36"/>
        <v>130.5</v>
      </c>
      <c r="Z217" s="36">
        <f>IFERROR(IF(Y217=0,"",ROUNDUP(Y217/H217,0)*0.01898),"")</f>
        <v>0.28470000000000001</v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137.7551724137931</v>
      </c>
      <c r="BN217" s="64">
        <f t="shared" si="38"/>
        <v>138.285</v>
      </c>
      <c r="BO217" s="64">
        <f t="shared" si="39"/>
        <v>0.2334770114942529</v>
      </c>
      <c r="BP217" s="64">
        <f t="shared" si="40"/>
        <v>0.23437500000000003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68</v>
      </c>
      <c r="X218" s="667">
        <v>216</v>
      </c>
      <c r="Y218" s="668">
        <f t="shared" si="36"/>
        <v>216</v>
      </c>
      <c r="Z218" s="36">
        <f t="shared" ref="Z218:Z223" si="41">IFERROR(IF(Y218=0,"",ROUNDUP(Y218/H218,0)*0.00651),"")</f>
        <v>0.58589999999999998</v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240.3</v>
      </c>
      <c r="BN218" s="64">
        <f t="shared" si="38"/>
        <v>240.3</v>
      </c>
      <c r="BO218" s="64">
        <f t="shared" si="39"/>
        <v>0.49450549450549453</v>
      </c>
      <c r="BP218" s="64">
        <f t="shared" si="40"/>
        <v>0.49450549450549453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68</v>
      </c>
      <c r="X220" s="667">
        <v>48</v>
      </c>
      <c r="Y220" s="668">
        <f t="shared" si="36"/>
        <v>48</v>
      </c>
      <c r="Z220" s="36">
        <f t="shared" si="41"/>
        <v>0.13020000000000001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53.040000000000006</v>
      </c>
      <c r="BN220" s="64">
        <f t="shared" si="38"/>
        <v>53.040000000000006</v>
      </c>
      <c r="BO220" s="64">
        <f t="shared" si="39"/>
        <v>0.1098901098901099</v>
      </c>
      <c r="BP220" s="64">
        <f t="shared" si="40"/>
        <v>0.1098901098901099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68</v>
      </c>
      <c r="X221" s="667">
        <v>192</v>
      </c>
      <c r="Y221" s="668">
        <f t="shared" si="36"/>
        <v>192</v>
      </c>
      <c r="Z221" s="36">
        <f t="shared" si="41"/>
        <v>0.52080000000000004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212.16000000000003</v>
      </c>
      <c r="BN221" s="64">
        <f t="shared" si="38"/>
        <v>212.16000000000003</v>
      </c>
      <c r="BO221" s="64">
        <f t="shared" si="39"/>
        <v>0.43956043956043961</v>
      </c>
      <c r="BP221" s="64">
        <f t="shared" si="40"/>
        <v>0.43956043956043961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68</v>
      </c>
      <c r="X222" s="667">
        <v>48</v>
      </c>
      <c r="Y222" s="668">
        <f t="shared" si="36"/>
        <v>48</v>
      </c>
      <c r="Z222" s="36">
        <f t="shared" si="41"/>
        <v>0.13020000000000001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53.040000000000006</v>
      </c>
      <c r="BN222" s="64">
        <f t="shared" si="38"/>
        <v>53.040000000000006</v>
      </c>
      <c r="BO222" s="64">
        <f t="shared" si="39"/>
        <v>0.1098901098901099</v>
      </c>
      <c r="BP222" s="64">
        <f t="shared" si="40"/>
        <v>0.1098901098901099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68</v>
      </c>
      <c r="X223" s="667">
        <v>48</v>
      </c>
      <c r="Y223" s="668">
        <f t="shared" si="36"/>
        <v>48</v>
      </c>
      <c r="Z223" s="36">
        <f t="shared" si="41"/>
        <v>0.13020000000000001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53.160000000000004</v>
      </c>
      <c r="BN223" s="64">
        <f t="shared" si="38"/>
        <v>53.160000000000004</v>
      </c>
      <c r="BO223" s="64">
        <f t="shared" si="39"/>
        <v>0.1098901098901099</v>
      </c>
      <c r="BP223" s="64">
        <f t="shared" si="40"/>
        <v>0.1098901098901099</v>
      </c>
    </row>
    <row r="224" spans="1:68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87</v>
      </c>
      <c r="Q224" s="674"/>
      <c r="R224" s="674"/>
      <c r="S224" s="674"/>
      <c r="T224" s="674"/>
      <c r="U224" s="674"/>
      <c r="V224" s="675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248.6462324393359</v>
      </c>
      <c r="Y224" s="669">
        <f>IFERROR(Y215/H215,"0")+IFERROR(Y216/H216,"0")+IFERROR(Y217/H217,"0")+IFERROR(Y218/H218,"0")+IFERROR(Y219/H219,"0")+IFERROR(Y220/H220,"0")+IFERROR(Y221/H221,"0")+IFERROR(Y222/H222,"0")+IFERROR(Y223/H223,"0")</f>
        <v>249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1.8579200000000005</v>
      </c>
      <c r="AA224" s="670"/>
      <c r="AB224" s="670"/>
      <c r="AC224" s="670"/>
    </row>
    <row r="225" spans="1:68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87</v>
      </c>
      <c r="Q225" s="674"/>
      <c r="R225" s="674"/>
      <c r="S225" s="674"/>
      <c r="T225" s="674"/>
      <c r="U225" s="674"/>
      <c r="V225" s="675"/>
      <c r="W225" s="37" t="s">
        <v>68</v>
      </c>
      <c r="X225" s="669">
        <f>IFERROR(SUM(X215:X223),"0")</f>
        <v>712</v>
      </c>
      <c r="Y225" s="669">
        <f>IFERROR(SUM(Y215:Y223),"0")</f>
        <v>714.9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170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hidden="1" customHeight="1" x14ac:dyDescent="0.25">
      <c r="A227" s="54" t="s">
        <v>381</v>
      </c>
      <c r="B227" s="54" t="s">
        <v>382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68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68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87</v>
      </c>
      <c r="Q229" s="674"/>
      <c r="R229" s="674"/>
      <c r="S229" s="674"/>
      <c r="T229" s="674"/>
      <c r="U229" s="674"/>
      <c r="V229" s="675"/>
      <c r="W229" s="37" t="s">
        <v>88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hidden="1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87</v>
      </c>
      <c r="Q230" s="674"/>
      <c r="R230" s="674"/>
      <c r="S230" s="674"/>
      <c r="T230" s="674"/>
      <c r="U230" s="674"/>
      <c r="V230" s="675"/>
      <c r="W230" s="37" t="s">
        <v>68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hidden="1" customHeight="1" x14ac:dyDescent="0.25">
      <c r="A231" s="685" t="s">
        <v>387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97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hidden="1" customHeight="1" x14ac:dyDescent="0.25">
      <c r="A233" s="54" t="s">
        <v>388</v>
      </c>
      <c r="B233" s="54" t="s">
        <v>389</v>
      </c>
      <c r="C233" s="31">
        <v>4301011826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388</v>
      </c>
      <c r="B234" s="54" t="s">
        <v>391</v>
      </c>
      <c r="C234" s="31">
        <v>4301011942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4301011721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397</v>
      </c>
      <c r="B237" s="54" t="s">
        <v>400</v>
      </c>
      <c r="C237" s="31">
        <v>4301011941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401</v>
      </c>
      <c r="B238" s="54" t="s">
        <v>402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403</v>
      </c>
      <c r="B239" s="54" t="s">
        <v>404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405</v>
      </c>
      <c r="B240" s="54" t="s">
        <v>406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hidden="1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87</v>
      </c>
      <c r="Q241" s="674"/>
      <c r="R241" s="674"/>
      <c r="S241" s="674"/>
      <c r="T241" s="674"/>
      <c r="U241" s="674"/>
      <c r="V241" s="675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hidden="1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87</v>
      </c>
      <c r="Q242" s="674"/>
      <c r="R242" s="674"/>
      <c r="S242" s="674"/>
      <c r="T242" s="674"/>
      <c r="U242" s="674"/>
      <c r="V242" s="675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133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407</v>
      </c>
      <c r="B244" s="54" t="s">
        <v>408</v>
      </c>
      <c r="C244" s="31">
        <v>4301020377</v>
      </c>
      <c r="D244" s="689">
        <v>4680115885981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93" t="s">
        <v>409</v>
      </c>
      <c r="Q244" s="679"/>
      <c r="R244" s="679"/>
      <c r="S244" s="679"/>
      <c r="T244" s="680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407</v>
      </c>
      <c r="B245" s="54" t="s">
        <v>411</v>
      </c>
      <c r="C245" s="31">
        <v>4301020340</v>
      </c>
      <c r="D245" s="689">
        <v>4680115885721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8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9"/>
      <c r="R245" s="679"/>
      <c r="S245" s="679"/>
      <c r="T245" s="680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87</v>
      </c>
      <c r="Q246" s="674"/>
      <c r="R246" s="674"/>
      <c r="S246" s="674"/>
      <c r="T246" s="674"/>
      <c r="U246" s="674"/>
      <c r="V246" s="675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87</v>
      </c>
      <c r="Q247" s="674"/>
      <c r="R247" s="674"/>
      <c r="S247" s="674"/>
      <c r="T247" s="674"/>
      <c r="U247" s="674"/>
      <c r="V247" s="675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412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hidden="1" customHeight="1" x14ac:dyDescent="0.25">
      <c r="A249" s="54" t="s">
        <v>413</v>
      </c>
      <c r="B249" s="54" t="s">
        <v>414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17" t="s">
        <v>415</v>
      </c>
      <c r="Q249" s="679"/>
      <c r="R249" s="679"/>
      <c r="S249" s="679"/>
      <c r="T249" s="680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87</v>
      </c>
      <c r="Q250" s="674"/>
      <c r="R250" s="674"/>
      <c r="S250" s="674"/>
      <c r="T250" s="674"/>
      <c r="U250" s="674"/>
      <c r="V250" s="675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87</v>
      </c>
      <c r="Q251" s="674"/>
      <c r="R251" s="674"/>
      <c r="S251" s="674"/>
      <c r="T251" s="674"/>
      <c r="U251" s="674"/>
      <c r="V251" s="675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676" t="s">
        <v>417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418</v>
      </c>
      <c r="B253" s="54" t="s">
        <v>419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2" t="s">
        <v>420</v>
      </c>
      <c r="Q253" s="679"/>
      <c r="R253" s="679"/>
      <c r="S253" s="679"/>
      <c r="T253" s="680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422</v>
      </c>
      <c r="B254" s="54" t="s">
        <v>423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17" t="s">
        <v>424</v>
      </c>
      <c r="Q254" s="679"/>
      <c r="R254" s="679"/>
      <c r="S254" s="679"/>
      <c r="T254" s="680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425</v>
      </c>
      <c r="B255" s="54" t="s">
        <v>426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9" t="s">
        <v>427</v>
      </c>
      <c r="Q255" s="679"/>
      <c r="R255" s="679"/>
      <c r="S255" s="679"/>
      <c r="T255" s="680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428</v>
      </c>
      <c r="B256" s="54" t="s">
        <v>429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1" t="s">
        <v>430</v>
      </c>
      <c r="Q256" s="679"/>
      <c r="R256" s="679"/>
      <c r="S256" s="679"/>
      <c r="T256" s="680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431</v>
      </c>
      <c r="B257" s="54" t="s">
        <v>432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5" t="s">
        <v>433</v>
      </c>
      <c r="Q257" s="679"/>
      <c r="R257" s="679"/>
      <c r="S257" s="679"/>
      <c r="T257" s="680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87</v>
      </c>
      <c r="Q258" s="674"/>
      <c r="R258" s="674"/>
      <c r="S258" s="674"/>
      <c r="T258" s="674"/>
      <c r="U258" s="674"/>
      <c r="V258" s="675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87</v>
      </c>
      <c r="Q259" s="674"/>
      <c r="R259" s="674"/>
      <c r="S259" s="674"/>
      <c r="T259" s="674"/>
      <c r="U259" s="674"/>
      <c r="V259" s="675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434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97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435</v>
      </c>
      <c r="B262" s="54" t="s">
        <v>436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4301011850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438</v>
      </c>
      <c r="B264" s="54" t="s">
        <v>441</v>
      </c>
      <c r="C264" s="31">
        <v>4301011910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443</v>
      </c>
      <c r="B265" s="54" t="s">
        <v>444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446</v>
      </c>
      <c r="B266" s="54" t="s">
        <v>447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449</v>
      </c>
      <c r="B267" s="54" t="s">
        <v>450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87</v>
      </c>
      <c r="Q268" s="674"/>
      <c r="R268" s="674"/>
      <c r="S268" s="674"/>
      <c r="T268" s="674"/>
      <c r="U268" s="674"/>
      <c r="V268" s="675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87</v>
      </c>
      <c r="Q269" s="674"/>
      <c r="R269" s="674"/>
      <c r="S269" s="674"/>
      <c r="T269" s="674"/>
      <c r="U269" s="674"/>
      <c r="V269" s="675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452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97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453</v>
      </c>
      <c r="B272" s="54" t="s">
        <v>454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87</v>
      </c>
      <c r="Q273" s="674"/>
      <c r="R273" s="674"/>
      <c r="S273" s="674"/>
      <c r="T273" s="674"/>
      <c r="U273" s="674"/>
      <c r="V273" s="675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87</v>
      </c>
      <c r="Q274" s="674"/>
      <c r="R274" s="674"/>
      <c r="S274" s="674"/>
      <c r="T274" s="674"/>
      <c r="U274" s="674"/>
      <c r="V274" s="675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456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97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457</v>
      </c>
      <c r="B277" s="54" t="s">
        <v>458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459</v>
      </c>
      <c r="B278" s="54" t="s">
        <v>460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462</v>
      </c>
      <c r="B279" s="54" t="s">
        <v>463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465</v>
      </c>
      <c r="B280" s="54" t="s">
        <v>466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21" t="s">
        <v>467</v>
      </c>
      <c r="Q280" s="679"/>
      <c r="R280" s="679"/>
      <c r="S280" s="679"/>
      <c r="T280" s="680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87</v>
      </c>
      <c r="Q281" s="674"/>
      <c r="R281" s="674"/>
      <c r="S281" s="674"/>
      <c r="T281" s="674"/>
      <c r="U281" s="674"/>
      <c r="V281" s="675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87</v>
      </c>
      <c r="Q282" s="674"/>
      <c r="R282" s="674"/>
      <c r="S282" s="674"/>
      <c r="T282" s="674"/>
      <c r="U282" s="674"/>
      <c r="V282" s="675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469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63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470</v>
      </c>
      <c r="B285" s="54" t="s">
        <v>471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476</v>
      </c>
      <c r="B287" s="54" t="s">
        <v>477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68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hidden="1" customHeight="1" x14ac:dyDescent="0.25">
      <c r="A288" s="54" t="s">
        <v>478</v>
      </c>
      <c r="B288" s="54" t="s">
        <v>479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68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481</v>
      </c>
      <c r="B289" s="54" t="s">
        <v>482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87</v>
      </c>
      <c r="Q290" s="674"/>
      <c r="R290" s="674"/>
      <c r="S290" s="674"/>
      <c r="T290" s="674"/>
      <c r="U290" s="674"/>
      <c r="V290" s="675"/>
      <c r="W290" s="37" t="s">
        <v>88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hidden="1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87</v>
      </c>
      <c r="Q291" s="674"/>
      <c r="R291" s="674"/>
      <c r="S291" s="674"/>
      <c r="T291" s="674"/>
      <c r="U291" s="674"/>
      <c r="V291" s="675"/>
      <c r="W291" s="37" t="s">
        <v>68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hidden="1" customHeight="1" x14ac:dyDescent="0.25">
      <c r="A292" s="685" t="s">
        <v>483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97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484</v>
      </c>
      <c r="B294" s="54" t="s">
        <v>485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87</v>
      </c>
      <c r="Q295" s="674"/>
      <c r="R295" s="674"/>
      <c r="S295" s="674"/>
      <c r="T295" s="674"/>
      <c r="U295" s="674"/>
      <c r="V295" s="675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87</v>
      </c>
      <c r="Q296" s="674"/>
      <c r="R296" s="674"/>
      <c r="S296" s="674"/>
      <c r="T296" s="674"/>
      <c r="U296" s="674"/>
      <c r="V296" s="675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144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487</v>
      </c>
      <c r="B298" s="54" t="s">
        <v>488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87</v>
      </c>
      <c r="Q299" s="674"/>
      <c r="R299" s="674"/>
      <c r="S299" s="674"/>
      <c r="T299" s="674"/>
      <c r="U299" s="674"/>
      <c r="V299" s="675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87</v>
      </c>
      <c r="Q300" s="674"/>
      <c r="R300" s="674"/>
      <c r="S300" s="674"/>
      <c r="T300" s="674"/>
      <c r="U300" s="674"/>
      <c r="V300" s="675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63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490</v>
      </c>
      <c r="B302" s="54" t="s">
        <v>491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87</v>
      </c>
      <c r="Q303" s="674"/>
      <c r="R303" s="674"/>
      <c r="S303" s="674"/>
      <c r="T303" s="674"/>
      <c r="U303" s="674"/>
      <c r="V303" s="675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87</v>
      </c>
      <c r="Q304" s="674"/>
      <c r="R304" s="674"/>
      <c r="S304" s="674"/>
      <c r="T304" s="674"/>
      <c r="U304" s="674"/>
      <c r="V304" s="675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493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63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494</v>
      </c>
      <c r="B307" s="54" t="s">
        <v>495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87</v>
      </c>
      <c r="Q308" s="674"/>
      <c r="R308" s="674"/>
      <c r="S308" s="674"/>
      <c r="T308" s="674"/>
      <c r="U308" s="674"/>
      <c r="V308" s="675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87</v>
      </c>
      <c r="Q309" s="674"/>
      <c r="R309" s="674"/>
      <c r="S309" s="674"/>
      <c r="T309" s="674"/>
      <c r="U309" s="674"/>
      <c r="V309" s="675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497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97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498</v>
      </c>
      <c r="B312" s="54" t="s">
        <v>499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87</v>
      </c>
      <c r="Q313" s="674"/>
      <c r="R313" s="674"/>
      <c r="S313" s="674"/>
      <c r="T313" s="674"/>
      <c r="U313" s="674"/>
      <c r="V313" s="675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87</v>
      </c>
      <c r="Q314" s="674"/>
      <c r="R314" s="674"/>
      <c r="S314" s="674"/>
      <c r="T314" s="674"/>
      <c r="U314" s="674"/>
      <c r="V314" s="675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144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hidden="1" customHeight="1" x14ac:dyDescent="0.25">
      <c r="A316" s="54" t="s">
        <v>500</v>
      </c>
      <c r="B316" s="54" t="s">
        <v>501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503</v>
      </c>
      <c r="B317" s="54" t="s">
        <v>504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87</v>
      </c>
      <c r="Q318" s="674"/>
      <c r="R318" s="674"/>
      <c r="S318" s="674"/>
      <c r="T318" s="674"/>
      <c r="U318" s="674"/>
      <c r="V318" s="675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87</v>
      </c>
      <c r="Q319" s="674"/>
      <c r="R319" s="674"/>
      <c r="S319" s="674"/>
      <c r="T319" s="674"/>
      <c r="U319" s="674"/>
      <c r="V319" s="675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685" t="s">
        <v>505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97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506</v>
      </c>
      <c r="B322" s="54" t="s">
        <v>507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87</v>
      </c>
      <c r="Q323" s="674"/>
      <c r="R323" s="674"/>
      <c r="S323" s="674"/>
      <c r="T323" s="674"/>
      <c r="U323" s="674"/>
      <c r="V323" s="675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87</v>
      </c>
      <c r="Q324" s="674"/>
      <c r="R324" s="674"/>
      <c r="S324" s="674"/>
      <c r="T324" s="674"/>
      <c r="U324" s="674"/>
      <c r="V324" s="675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510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97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511</v>
      </c>
      <c r="B327" s="54" t="s">
        <v>512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514</v>
      </c>
      <c r="B328" s="54" t="s">
        <v>515</v>
      </c>
      <c r="C328" s="31">
        <v>4301012016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514</v>
      </c>
      <c r="B329" s="54" t="s">
        <v>517</v>
      </c>
      <c r="C329" s="31">
        <v>4301011911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519</v>
      </c>
      <c r="B330" s="54" t="s">
        <v>520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522</v>
      </c>
      <c r="B331" s="54" t="s">
        <v>523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525</v>
      </c>
      <c r="B332" s="54" t="s">
        <v>526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87</v>
      </c>
      <c r="Q333" s="674"/>
      <c r="R333" s="674"/>
      <c r="S333" s="674"/>
      <c r="T333" s="674"/>
      <c r="U333" s="674"/>
      <c r="V333" s="675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87</v>
      </c>
      <c r="Q334" s="674"/>
      <c r="R334" s="674"/>
      <c r="S334" s="674"/>
      <c r="T334" s="674"/>
      <c r="U334" s="674"/>
      <c r="V334" s="675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144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hidden="1" customHeight="1" x14ac:dyDescent="0.25">
      <c r="A336" s="54" t="s">
        <v>527</v>
      </c>
      <c r="B336" s="54" t="s">
        <v>528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530</v>
      </c>
      <c r="B337" s="54" t="s">
        <v>531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533</v>
      </c>
      <c r="B338" s="54" t="s">
        <v>534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536</v>
      </c>
      <c r="B339" s="54" t="s">
        <v>537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87</v>
      </c>
      <c r="Q340" s="674"/>
      <c r="R340" s="674"/>
      <c r="S340" s="674"/>
      <c r="T340" s="674"/>
      <c r="U340" s="674"/>
      <c r="V340" s="675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87</v>
      </c>
      <c r="Q341" s="674"/>
      <c r="R341" s="674"/>
      <c r="S341" s="674"/>
      <c r="T341" s="674"/>
      <c r="U341" s="674"/>
      <c r="V341" s="675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676" t="s">
        <v>63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hidden="1" customHeight="1" x14ac:dyDescent="0.25">
      <c r="A343" s="54" t="s">
        <v>538</v>
      </c>
      <c r="B343" s="54" t="s">
        <v>539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541</v>
      </c>
      <c r="B344" s="54" t="s">
        <v>542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544</v>
      </c>
      <c r="B345" s="54" t="s">
        <v>545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547</v>
      </c>
      <c r="B346" s="54" t="s">
        <v>548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550</v>
      </c>
      <c r="B347" s="54" t="s">
        <v>551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87</v>
      </c>
      <c r="Q348" s="674"/>
      <c r="R348" s="674"/>
      <c r="S348" s="674"/>
      <c r="T348" s="674"/>
      <c r="U348" s="674"/>
      <c r="V348" s="675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hidden="1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87</v>
      </c>
      <c r="Q349" s="674"/>
      <c r="R349" s="674"/>
      <c r="S349" s="674"/>
      <c r="T349" s="674"/>
      <c r="U349" s="674"/>
      <c r="V349" s="675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170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68</v>
      </c>
      <c r="X351" s="667">
        <v>160</v>
      </c>
      <c r="Y351" s="668">
        <f>IFERROR(IF(X351="",0,CEILING((X351/$H351),1)*$H351),"")</f>
        <v>168</v>
      </c>
      <c r="Z351" s="36">
        <f>IFERROR(IF(Y351=0,"",ROUNDUP(Y351/H351,0)*0.01898),"")</f>
        <v>0.37959999999999999</v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169.88571428571427</v>
      </c>
      <c r="BN351" s="64">
        <f>IFERROR(Y351*I351/H351,"0")</f>
        <v>178.38</v>
      </c>
      <c r="BO351" s="64">
        <f>IFERROR(1/J351*(X351/H351),"0")</f>
        <v>0.29761904761904762</v>
      </c>
      <c r="BP351" s="64">
        <f>IFERROR(1/J351*(Y351/H351),"0")</f>
        <v>0.3125</v>
      </c>
    </row>
    <row r="352" spans="1:68" ht="27" hidden="1" customHeight="1" x14ac:dyDescent="0.25">
      <c r="A352" s="54" t="s">
        <v>556</v>
      </c>
      <c r="B352" s="54" t="s">
        <v>557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68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hidden="1" customHeight="1" x14ac:dyDescent="0.25">
      <c r="A353" s="54" t="s">
        <v>559</v>
      </c>
      <c r="B353" s="54" t="s">
        <v>560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87</v>
      </c>
      <c r="Q354" s="674"/>
      <c r="R354" s="674"/>
      <c r="S354" s="674"/>
      <c r="T354" s="674"/>
      <c r="U354" s="674"/>
      <c r="V354" s="675"/>
      <c r="W354" s="37" t="s">
        <v>88</v>
      </c>
      <c r="X354" s="669">
        <f>IFERROR(X351/H351,"0")+IFERROR(X352/H352,"0")+IFERROR(X353/H353,"0")</f>
        <v>19.047619047619047</v>
      </c>
      <c r="Y354" s="669">
        <f>IFERROR(Y351/H351,"0")+IFERROR(Y352/H352,"0")+IFERROR(Y353/H353,"0")</f>
        <v>20</v>
      </c>
      <c r="Z354" s="669">
        <f>IFERROR(IF(Z351="",0,Z351),"0")+IFERROR(IF(Z352="",0,Z352),"0")+IFERROR(IF(Z353="",0,Z353),"0")</f>
        <v>0.37959999999999999</v>
      </c>
      <c r="AA354" s="670"/>
      <c r="AB354" s="670"/>
      <c r="AC354" s="670"/>
    </row>
    <row r="355" spans="1:68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87</v>
      </c>
      <c r="Q355" s="674"/>
      <c r="R355" s="674"/>
      <c r="S355" s="674"/>
      <c r="T355" s="674"/>
      <c r="U355" s="674"/>
      <c r="V355" s="675"/>
      <c r="W355" s="37" t="s">
        <v>68</v>
      </c>
      <c r="X355" s="669">
        <f>IFERROR(SUM(X351:X353),"0")</f>
        <v>160</v>
      </c>
      <c r="Y355" s="669">
        <f>IFERROR(SUM(Y351:Y353),"0")</f>
        <v>168</v>
      </c>
      <c r="Z355" s="37"/>
      <c r="AA355" s="670"/>
      <c r="AB355" s="670"/>
      <c r="AC355" s="670"/>
    </row>
    <row r="356" spans="1:68" ht="14.25" hidden="1" customHeight="1" x14ac:dyDescent="0.25">
      <c r="A356" s="676" t="s">
        <v>89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562</v>
      </c>
      <c r="B357" s="54" t="s">
        <v>563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22" t="s">
        <v>564</v>
      </c>
      <c r="Q357" s="679"/>
      <c r="R357" s="679"/>
      <c r="S357" s="679"/>
      <c r="T357" s="680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566</v>
      </c>
      <c r="B358" s="54" t="s">
        <v>567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12" t="s">
        <v>568</v>
      </c>
      <c r="Q358" s="679"/>
      <c r="R358" s="679"/>
      <c r="S358" s="679"/>
      <c r="T358" s="680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570</v>
      </c>
      <c r="B359" s="54" t="s">
        <v>571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573</v>
      </c>
      <c r="B360" s="54" t="s">
        <v>574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87</v>
      </c>
      <c r="Q361" s="674"/>
      <c r="R361" s="674"/>
      <c r="S361" s="674"/>
      <c r="T361" s="674"/>
      <c r="U361" s="674"/>
      <c r="V361" s="675"/>
      <c r="W361" s="37" t="s">
        <v>88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hidden="1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87</v>
      </c>
      <c r="Q362" s="674"/>
      <c r="R362" s="674"/>
      <c r="S362" s="674"/>
      <c r="T362" s="674"/>
      <c r="U362" s="674"/>
      <c r="V362" s="675"/>
      <c r="W362" s="37" t="s">
        <v>68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hidden="1" customHeight="1" x14ac:dyDescent="0.25">
      <c r="A363" s="676" t="s">
        <v>575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576</v>
      </c>
      <c r="B364" s="54" t="s">
        <v>577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580</v>
      </c>
      <c r="B365" s="54" t="s">
        <v>581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582</v>
      </c>
      <c r="B366" s="54" t="s">
        <v>583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87</v>
      </c>
      <c r="Q367" s="674"/>
      <c r="R367" s="674"/>
      <c r="S367" s="674"/>
      <c r="T367" s="674"/>
      <c r="U367" s="674"/>
      <c r="V367" s="675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87</v>
      </c>
      <c r="Q368" s="674"/>
      <c r="R368" s="674"/>
      <c r="S368" s="674"/>
      <c r="T368" s="674"/>
      <c r="U368" s="674"/>
      <c r="V368" s="675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584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144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hidden="1" customHeight="1" x14ac:dyDescent="0.25">
      <c r="A371" s="54" t="s">
        <v>585</v>
      </c>
      <c r="B371" s="54" t="s">
        <v>586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87</v>
      </c>
      <c r="Q372" s="674"/>
      <c r="R372" s="674"/>
      <c r="S372" s="674"/>
      <c r="T372" s="674"/>
      <c r="U372" s="674"/>
      <c r="V372" s="675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hidden="1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87</v>
      </c>
      <c r="Q373" s="674"/>
      <c r="R373" s="674"/>
      <c r="S373" s="674"/>
      <c r="T373" s="674"/>
      <c r="U373" s="674"/>
      <c r="V373" s="675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hidden="1" customHeight="1" x14ac:dyDescent="0.25">
      <c r="A374" s="676" t="s">
        <v>63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588</v>
      </c>
      <c r="B375" s="54" t="s">
        <v>589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591</v>
      </c>
      <c r="B376" s="54" t="s">
        <v>592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594</v>
      </c>
      <c r="B377" s="54" t="s">
        <v>595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87</v>
      </c>
      <c r="Q378" s="674"/>
      <c r="R378" s="674"/>
      <c r="S378" s="674"/>
      <c r="T378" s="674"/>
      <c r="U378" s="674"/>
      <c r="V378" s="675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hidden="1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87</v>
      </c>
      <c r="Q379" s="674"/>
      <c r="R379" s="674"/>
      <c r="S379" s="674"/>
      <c r="T379" s="674"/>
      <c r="U379" s="674"/>
      <c r="V379" s="675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hidden="1" customHeight="1" x14ac:dyDescent="0.2">
      <c r="A380" s="697" t="s">
        <v>597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598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97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9"/>
      <c r="R383" s="679"/>
      <c r="S383" s="679"/>
      <c r="T383" s="680"/>
      <c r="U383" s="34"/>
      <c r="V383" s="34"/>
      <c r="W383" s="35" t="s">
        <v>68</v>
      </c>
      <c r="X383" s="667">
        <v>2000</v>
      </c>
      <c r="Y383" s="668">
        <f t="shared" ref="Y383:Y392" si="57">IFERROR(IF(X383="",0,CEILING((X383/$H383),1)*$H383),"")</f>
        <v>2010</v>
      </c>
      <c r="Z383" s="36">
        <f>IFERROR(IF(Y383=0,"",ROUNDUP(Y383/H383,0)*0.02175),"")</f>
        <v>2.9144999999999999</v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2064</v>
      </c>
      <c r="BN383" s="64">
        <f t="shared" ref="BN383:BN392" si="59">IFERROR(Y383*I383/H383,"0")</f>
        <v>2074.3200000000002</v>
      </c>
      <c r="BO383" s="64">
        <f t="shared" ref="BO383:BO392" si="60">IFERROR(1/J383*(X383/H383),"0")</f>
        <v>2.7777777777777777</v>
      </c>
      <c r="BP383" s="64">
        <f t="shared" ref="BP383:BP392" si="61">IFERROR(1/J383*(Y383/H383),"0")</f>
        <v>2.7916666666666665</v>
      </c>
    </row>
    <row r="384" spans="1:68" ht="27" hidden="1" customHeight="1" x14ac:dyDescent="0.25">
      <c r="A384" s="54" t="s">
        <v>599</v>
      </c>
      <c r="B384" s="54" t="s">
        <v>602</v>
      </c>
      <c r="C384" s="31">
        <v>4301011946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72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9"/>
      <c r="R384" s="679"/>
      <c r="S384" s="679"/>
      <c r="T384" s="680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604</v>
      </c>
      <c r="B385" s="54" t="s">
        <v>605</v>
      </c>
      <c r="C385" s="31">
        <v>4301011870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68</v>
      </c>
      <c r="X385" s="667">
        <v>1000</v>
      </c>
      <c r="Y385" s="668">
        <f t="shared" si="57"/>
        <v>1005</v>
      </c>
      <c r="Z385" s="36">
        <f>IFERROR(IF(Y385=0,"",ROUNDUP(Y385/H385,0)*0.02175),"")</f>
        <v>1.4572499999999999</v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1032</v>
      </c>
      <c r="BN385" s="64">
        <f t="shared" si="59"/>
        <v>1037.1600000000001</v>
      </c>
      <c r="BO385" s="64">
        <f t="shared" si="60"/>
        <v>1.3888888888888888</v>
      </c>
      <c r="BP385" s="64">
        <f t="shared" si="61"/>
        <v>1.3958333333333333</v>
      </c>
    </row>
    <row r="386" spans="1:68" ht="27" hidden="1" customHeight="1" x14ac:dyDescent="0.25">
      <c r="A386" s="54" t="s">
        <v>604</v>
      </c>
      <c r="B386" s="54" t="s">
        <v>607</v>
      </c>
      <c r="C386" s="31">
        <v>4301011947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2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hidden="1" customHeight="1" x14ac:dyDescent="0.25">
      <c r="A387" s="54" t="s">
        <v>608</v>
      </c>
      <c r="B387" s="54" t="s">
        <v>609</v>
      </c>
      <c r="C387" s="31">
        <v>4301011832</v>
      </c>
      <c r="D387" s="689">
        <v>4607091383997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7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9"/>
      <c r="R387" s="679"/>
      <c r="S387" s="679"/>
      <c r="T387" s="680"/>
      <c r="U387" s="34"/>
      <c r="V387" s="34"/>
      <c r="W387" s="35" t="s">
        <v>68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customHeight="1" x14ac:dyDescent="0.25">
      <c r="A388" s="54" t="s">
        <v>611</v>
      </c>
      <c r="B388" s="54" t="s">
        <v>612</v>
      </c>
      <c r="C388" s="31">
        <v>4301011867</v>
      </c>
      <c r="D388" s="689">
        <v>4680115884830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9"/>
      <c r="R388" s="679"/>
      <c r="S388" s="679"/>
      <c r="T388" s="680"/>
      <c r="U388" s="34"/>
      <c r="V388" s="34"/>
      <c r="W388" s="35" t="s">
        <v>68</v>
      </c>
      <c r="X388" s="667">
        <v>2000</v>
      </c>
      <c r="Y388" s="668">
        <f t="shared" si="57"/>
        <v>2010</v>
      </c>
      <c r="Z388" s="36">
        <f>IFERROR(IF(Y388=0,"",ROUNDUP(Y388/H388,0)*0.02175),"")</f>
        <v>2.9144999999999999</v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2064</v>
      </c>
      <c r="BN388" s="64">
        <f t="shared" si="59"/>
        <v>2074.3200000000002</v>
      </c>
      <c r="BO388" s="64">
        <f t="shared" si="60"/>
        <v>2.7777777777777777</v>
      </c>
      <c r="BP388" s="64">
        <f t="shared" si="61"/>
        <v>2.7916666666666665</v>
      </c>
    </row>
    <row r="389" spans="1:68" ht="27" hidden="1" customHeight="1" x14ac:dyDescent="0.25">
      <c r="A389" s="54" t="s">
        <v>611</v>
      </c>
      <c r="B389" s="54" t="s">
        <v>614</v>
      </c>
      <c r="C389" s="31">
        <v>4301011943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7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615</v>
      </c>
      <c r="B390" s="54" t="s">
        <v>616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618</v>
      </c>
      <c r="B391" s="54" t="s">
        <v>619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620</v>
      </c>
      <c r="B392" s="54" t="s">
        <v>621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87</v>
      </c>
      <c r="Q393" s="674"/>
      <c r="R393" s="674"/>
      <c r="S393" s="674"/>
      <c r="T393" s="674"/>
      <c r="U393" s="674"/>
      <c r="V393" s="675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333.33333333333337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335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7.286249999999999</v>
      </c>
      <c r="AA393" s="670"/>
      <c r="AB393" s="670"/>
      <c r="AC393" s="670"/>
    </row>
    <row r="394" spans="1:68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87</v>
      </c>
      <c r="Q394" s="674"/>
      <c r="R394" s="674"/>
      <c r="S394" s="674"/>
      <c r="T394" s="674"/>
      <c r="U394" s="674"/>
      <c r="V394" s="675"/>
      <c r="W394" s="37" t="s">
        <v>68</v>
      </c>
      <c r="X394" s="669">
        <f>IFERROR(SUM(X383:X392),"0")</f>
        <v>5000</v>
      </c>
      <c r="Y394" s="669">
        <f>IFERROR(SUM(Y383:Y392),"0")</f>
        <v>5025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133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68</v>
      </c>
      <c r="X396" s="667">
        <v>1500</v>
      </c>
      <c r="Y396" s="668">
        <f>IFERROR(IF(X396="",0,CEILING((X396/$H396),1)*$H396),"")</f>
        <v>1500</v>
      </c>
      <c r="Z396" s="36">
        <f>IFERROR(IF(Y396=0,"",ROUNDUP(Y396/H396,0)*0.02175),"")</f>
        <v>2.1749999999999998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1548</v>
      </c>
      <c r="BN396" s="64">
        <f>IFERROR(Y396*I396/H396,"0")</f>
        <v>1548</v>
      </c>
      <c r="BO396" s="64">
        <f>IFERROR(1/J396*(X396/H396),"0")</f>
        <v>2.083333333333333</v>
      </c>
      <c r="BP396" s="64">
        <f>IFERROR(1/J396*(Y396/H396),"0")</f>
        <v>2.083333333333333</v>
      </c>
    </row>
    <row r="397" spans="1:68" ht="16.5" hidden="1" customHeight="1" x14ac:dyDescent="0.25">
      <c r="A397" s="54" t="s">
        <v>625</v>
      </c>
      <c r="B397" s="54" t="s">
        <v>626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87</v>
      </c>
      <c r="Q398" s="674"/>
      <c r="R398" s="674"/>
      <c r="S398" s="674"/>
      <c r="T398" s="674"/>
      <c r="U398" s="674"/>
      <c r="V398" s="675"/>
      <c r="W398" s="37" t="s">
        <v>88</v>
      </c>
      <c r="X398" s="669">
        <f>IFERROR(X396/H396,"0")+IFERROR(X397/H397,"0")</f>
        <v>100</v>
      </c>
      <c r="Y398" s="669">
        <f>IFERROR(Y396/H396,"0")+IFERROR(Y397/H397,"0")</f>
        <v>100</v>
      </c>
      <c r="Z398" s="669">
        <f>IFERROR(IF(Z396="",0,Z396),"0")+IFERROR(IF(Z397="",0,Z397),"0")</f>
        <v>2.1749999999999998</v>
      </c>
      <c r="AA398" s="670"/>
      <c r="AB398" s="670"/>
      <c r="AC398" s="670"/>
    </row>
    <row r="399" spans="1:68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87</v>
      </c>
      <c r="Q399" s="674"/>
      <c r="R399" s="674"/>
      <c r="S399" s="674"/>
      <c r="T399" s="674"/>
      <c r="U399" s="674"/>
      <c r="V399" s="675"/>
      <c r="W399" s="37" t="s">
        <v>68</v>
      </c>
      <c r="X399" s="669">
        <f>IFERROR(SUM(X396:X397),"0")</f>
        <v>1500</v>
      </c>
      <c r="Y399" s="669">
        <f>IFERROR(SUM(Y396:Y397),"0")</f>
        <v>1500</v>
      </c>
      <c r="Z399" s="37"/>
      <c r="AA399" s="670"/>
      <c r="AB399" s="670"/>
      <c r="AC399" s="670"/>
    </row>
    <row r="400" spans="1:68" ht="14.25" hidden="1" customHeight="1" x14ac:dyDescent="0.25">
      <c r="A400" s="676" t="s">
        <v>63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627</v>
      </c>
      <c r="B401" s="54" t="s">
        <v>628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54" t="s">
        <v>629</v>
      </c>
      <c r="Q401" s="679"/>
      <c r="R401" s="679"/>
      <c r="S401" s="679"/>
      <c r="T401" s="680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631</v>
      </c>
      <c r="B402" s="54" t="s">
        <v>632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76" t="s">
        <v>633</v>
      </c>
      <c r="Q402" s="679"/>
      <c r="R402" s="679"/>
      <c r="S402" s="679"/>
      <c r="T402" s="680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87</v>
      </c>
      <c r="Q403" s="674"/>
      <c r="R403" s="674"/>
      <c r="S403" s="674"/>
      <c r="T403" s="674"/>
      <c r="U403" s="674"/>
      <c r="V403" s="675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87</v>
      </c>
      <c r="Q404" s="674"/>
      <c r="R404" s="674"/>
      <c r="S404" s="674"/>
      <c r="T404" s="674"/>
      <c r="U404" s="674"/>
      <c r="V404" s="675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170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32" t="s">
        <v>637</v>
      </c>
      <c r="Q406" s="679"/>
      <c r="R406" s="679"/>
      <c r="S406" s="679"/>
      <c r="T406" s="680"/>
      <c r="U406" s="34"/>
      <c r="V406" s="34"/>
      <c r="W406" s="35" t="s">
        <v>68</v>
      </c>
      <c r="X406" s="667">
        <v>150</v>
      </c>
      <c r="Y406" s="668">
        <f>IFERROR(IF(X406="",0,CEILING((X406/$H406),1)*$H406),"")</f>
        <v>153</v>
      </c>
      <c r="Z406" s="36">
        <f>IFERROR(IF(Y406=0,"",ROUNDUP(Y406/H406,0)*0.01898),"")</f>
        <v>0.32266</v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158.64999999999998</v>
      </c>
      <c r="BN406" s="64">
        <f>IFERROR(Y406*I406/H406,"0")</f>
        <v>161.82299999999998</v>
      </c>
      <c r="BO406" s="64">
        <f>IFERROR(1/J406*(X406/H406),"0")</f>
        <v>0.26041666666666669</v>
      </c>
      <c r="BP406" s="64">
        <f>IFERROR(1/J406*(Y406/H406),"0")</f>
        <v>0.265625</v>
      </c>
    </row>
    <row r="407" spans="1:68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87</v>
      </c>
      <c r="Q407" s="674"/>
      <c r="R407" s="674"/>
      <c r="S407" s="674"/>
      <c r="T407" s="674"/>
      <c r="U407" s="674"/>
      <c r="V407" s="675"/>
      <c r="W407" s="37" t="s">
        <v>88</v>
      </c>
      <c r="X407" s="669">
        <f>IFERROR(X406/H406,"0")</f>
        <v>16.666666666666668</v>
      </c>
      <c r="Y407" s="669">
        <f>IFERROR(Y406/H406,"0")</f>
        <v>17</v>
      </c>
      <c r="Z407" s="669">
        <f>IFERROR(IF(Z406="",0,Z406),"0")</f>
        <v>0.32266</v>
      </c>
      <c r="AA407" s="670"/>
      <c r="AB407" s="670"/>
      <c r="AC407" s="670"/>
    </row>
    <row r="408" spans="1:68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87</v>
      </c>
      <c r="Q408" s="674"/>
      <c r="R408" s="674"/>
      <c r="S408" s="674"/>
      <c r="T408" s="674"/>
      <c r="U408" s="674"/>
      <c r="V408" s="675"/>
      <c r="W408" s="37" t="s">
        <v>68</v>
      </c>
      <c r="X408" s="669">
        <f>IFERROR(SUM(X406:X406),"0")</f>
        <v>150</v>
      </c>
      <c r="Y408" s="669">
        <f>IFERROR(SUM(Y406:Y406),"0")</f>
        <v>153</v>
      </c>
      <c r="Z408" s="37"/>
      <c r="AA408" s="670"/>
      <c r="AB408" s="670"/>
      <c r="AC408" s="670"/>
    </row>
    <row r="409" spans="1:68" ht="16.5" hidden="1" customHeight="1" x14ac:dyDescent="0.25">
      <c r="A409" s="685" t="s">
        <v>639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97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640</v>
      </c>
      <c r="B411" s="54" t="s">
        <v>641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640</v>
      </c>
      <c r="B412" s="54" t="s">
        <v>643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645</v>
      </c>
      <c r="B413" s="54" t="s">
        <v>646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648</v>
      </c>
      <c r="B414" s="54" t="s">
        <v>649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650</v>
      </c>
      <c r="B415" s="54" t="s">
        <v>651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87</v>
      </c>
      <c r="Q416" s="674"/>
      <c r="R416" s="674"/>
      <c r="S416" s="674"/>
      <c r="T416" s="674"/>
      <c r="U416" s="674"/>
      <c r="V416" s="675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87</v>
      </c>
      <c r="Q417" s="674"/>
      <c r="R417" s="674"/>
      <c r="S417" s="674"/>
      <c r="T417" s="674"/>
      <c r="U417" s="674"/>
      <c r="V417" s="675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144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652</v>
      </c>
      <c r="B419" s="54" t="s">
        <v>653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87</v>
      </c>
      <c r="Q420" s="674"/>
      <c r="R420" s="674"/>
      <c r="S420" s="674"/>
      <c r="T420" s="674"/>
      <c r="U420" s="674"/>
      <c r="V420" s="675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87</v>
      </c>
      <c r="Q421" s="674"/>
      <c r="R421" s="674"/>
      <c r="S421" s="674"/>
      <c r="T421" s="674"/>
      <c r="U421" s="674"/>
      <c r="V421" s="675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63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68</v>
      </c>
      <c r="X423" s="667">
        <v>130</v>
      </c>
      <c r="Y423" s="668">
        <f>IFERROR(IF(X423="",0,CEILING((X423/$H423),1)*$H423),"")</f>
        <v>135</v>
      </c>
      <c r="Z423" s="36">
        <f>IFERROR(IF(Y423=0,"",ROUNDUP(Y423/H423,0)*0.01898),"")</f>
        <v>0.28470000000000001</v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137.49666666666667</v>
      </c>
      <c r="BN423" s="64">
        <f>IFERROR(Y423*I423/H423,"0")</f>
        <v>142.785</v>
      </c>
      <c r="BO423" s="64">
        <f>IFERROR(1/J423*(X423/H423),"0")</f>
        <v>0.22569444444444445</v>
      </c>
      <c r="BP423" s="64">
        <f>IFERROR(1/J423*(Y423/H423),"0")</f>
        <v>0.234375</v>
      </c>
    </row>
    <row r="424" spans="1:68" ht="27" hidden="1" customHeight="1" x14ac:dyDescent="0.25">
      <c r="A424" s="54" t="s">
        <v>658</v>
      </c>
      <c r="B424" s="54" t="s">
        <v>659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658</v>
      </c>
      <c r="B425" s="54" t="s">
        <v>661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662</v>
      </c>
      <c r="B426" s="54" t="s">
        <v>663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87</v>
      </c>
      <c r="Q427" s="674"/>
      <c r="R427" s="674"/>
      <c r="S427" s="674"/>
      <c r="T427" s="674"/>
      <c r="U427" s="674"/>
      <c r="V427" s="675"/>
      <c r="W427" s="37" t="s">
        <v>88</v>
      </c>
      <c r="X427" s="669">
        <f>IFERROR(X423/H423,"0")+IFERROR(X424/H424,"0")+IFERROR(X425/H425,"0")+IFERROR(X426/H426,"0")</f>
        <v>14.444444444444445</v>
      </c>
      <c r="Y427" s="669">
        <f>IFERROR(Y423/H423,"0")+IFERROR(Y424/H424,"0")+IFERROR(Y425/H425,"0")+IFERROR(Y426/H426,"0")</f>
        <v>15</v>
      </c>
      <c r="Z427" s="669">
        <f>IFERROR(IF(Z423="",0,Z423),"0")+IFERROR(IF(Z424="",0,Z424),"0")+IFERROR(IF(Z425="",0,Z425),"0")+IFERROR(IF(Z426="",0,Z426),"0")</f>
        <v>0.28470000000000001</v>
      </c>
      <c r="AA427" s="670"/>
      <c r="AB427" s="670"/>
      <c r="AC427" s="670"/>
    </row>
    <row r="428" spans="1:68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87</v>
      </c>
      <c r="Q428" s="674"/>
      <c r="R428" s="674"/>
      <c r="S428" s="674"/>
      <c r="T428" s="674"/>
      <c r="U428" s="674"/>
      <c r="V428" s="675"/>
      <c r="W428" s="37" t="s">
        <v>68</v>
      </c>
      <c r="X428" s="669">
        <f>IFERROR(SUM(X423:X426),"0")</f>
        <v>130</v>
      </c>
      <c r="Y428" s="669">
        <f>IFERROR(SUM(Y423:Y426),"0")</f>
        <v>135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170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665</v>
      </c>
      <c r="B430" s="54" t="s">
        <v>666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2" t="s">
        <v>667</v>
      </c>
      <c r="Q430" s="679"/>
      <c r="R430" s="679"/>
      <c r="S430" s="679"/>
      <c r="T430" s="680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87</v>
      </c>
      <c r="Q431" s="674"/>
      <c r="R431" s="674"/>
      <c r="S431" s="674"/>
      <c r="T431" s="674"/>
      <c r="U431" s="674"/>
      <c r="V431" s="675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87</v>
      </c>
      <c r="Q432" s="674"/>
      <c r="R432" s="674"/>
      <c r="S432" s="674"/>
      <c r="T432" s="674"/>
      <c r="U432" s="674"/>
      <c r="V432" s="675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669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670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144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hidden="1" customHeight="1" x14ac:dyDescent="0.25">
      <c r="A436" s="54" t="s">
        <v>671</v>
      </c>
      <c r="B436" s="54" t="s">
        <v>672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28" t="s">
        <v>673</v>
      </c>
      <c r="Q436" s="679"/>
      <c r="R436" s="679"/>
      <c r="S436" s="679"/>
      <c r="T436" s="680"/>
      <c r="U436" s="34"/>
      <c r="V436" s="34"/>
      <c r="W436" s="35" t="s">
        <v>68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hidden="1" customHeight="1" x14ac:dyDescent="0.25">
      <c r="A437" s="54" t="s">
        <v>675</v>
      </c>
      <c r="B437" s="54" t="s">
        <v>676</v>
      </c>
      <c r="C437" s="31">
        <v>4301031406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95" t="s">
        <v>677</v>
      </c>
      <c r="Q437" s="679"/>
      <c r="R437" s="679"/>
      <c r="S437" s="679"/>
      <c r="T437" s="680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675</v>
      </c>
      <c r="B438" s="54" t="s">
        <v>679</v>
      </c>
      <c r="C438" s="31">
        <v>4301031382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88" t="s">
        <v>677</v>
      </c>
      <c r="Q438" s="679"/>
      <c r="R438" s="679"/>
      <c r="S438" s="679"/>
      <c r="T438" s="680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680</v>
      </c>
      <c r="B439" s="54" t="s">
        <v>681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04" t="s">
        <v>682</v>
      </c>
      <c r="Q439" s="679"/>
      <c r="R439" s="679"/>
      <c r="S439" s="679"/>
      <c r="T439" s="680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684</v>
      </c>
      <c r="B440" s="54" t="s">
        <v>685</v>
      </c>
      <c r="C440" s="31">
        <v>4301031366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78" t="s">
        <v>686</v>
      </c>
      <c r="Q440" s="679"/>
      <c r="R440" s="679"/>
      <c r="S440" s="679"/>
      <c r="T440" s="680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684</v>
      </c>
      <c r="B441" s="54" t="s">
        <v>687</v>
      </c>
      <c r="C441" s="31">
        <v>4301031335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9"/>
      <c r="R441" s="679"/>
      <c r="S441" s="679"/>
      <c r="T441" s="680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688</v>
      </c>
      <c r="B442" s="54" t="s">
        <v>689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690</v>
      </c>
      <c r="B443" s="54" t="s">
        <v>691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693</v>
      </c>
      <c r="B444" s="54" t="s">
        <v>694</v>
      </c>
      <c r="C444" s="31">
        <v>4301031364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48" t="s">
        <v>695</v>
      </c>
      <c r="Q444" s="679"/>
      <c r="R444" s="679"/>
      <c r="S444" s="679"/>
      <c r="T444" s="680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693</v>
      </c>
      <c r="B445" s="54" t="s">
        <v>697</v>
      </c>
      <c r="C445" s="31">
        <v>4301031337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69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9"/>
      <c r="R445" s="679"/>
      <c r="S445" s="679"/>
      <c r="T445" s="680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hidden="1" customHeight="1" x14ac:dyDescent="0.25">
      <c r="A446" s="54" t="s">
        <v>698</v>
      </c>
      <c r="B446" s="54" t="s">
        <v>699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hidden="1" customHeight="1" x14ac:dyDescent="0.25">
      <c r="A447" s="54" t="s">
        <v>701</v>
      </c>
      <c r="B447" s="54" t="s">
        <v>702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hidden="1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87</v>
      </c>
      <c r="Q448" s="674"/>
      <c r="R448" s="674"/>
      <c r="S448" s="674"/>
      <c r="T448" s="674"/>
      <c r="U448" s="674"/>
      <c r="V448" s="675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hidden="1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87</v>
      </c>
      <c r="Q449" s="674"/>
      <c r="R449" s="674"/>
      <c r="S449" s="674"/>
      <c r="T449" s="674"/>
      <c r="U449" s="674"/>
      <c r="V449" s="675"/>
      <c r="W449" s="37" t="s">
        <v>68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hidden="1" customHeight="1" x14ac:dyDescent="0.25">
      <c r="A450" s="676" t="s">
        <v>63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703</v>
      </c>
      <c r="B451" s="54" t="s">
        <v>704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706</v>
      </c>
      <c r="B452" s="54" t="s">
        <v>707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87</v>
      </c>
      <c r="Q453" s="674"/>
      <c r="R453" s="674"/>
      <c r="S453" s="674"/>
      <c r="T453" s="674"/>
      <c r="U453" s="674"/>
      <c r="V453" s="675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87</v>
      </c>
      <c r="Q454" s="674"/>
      <c r="R454" s="674"/>
      <c r="S454" s="674"/>
      <c r="T454" s="674"/>
      <c r="U454" s="674"/>
      <c r="V454" s="675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709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133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710</v>
      </c>
      <c r="B457" s="54" t="s">
        <v>711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713</v>
      </c>
      <c r="B458" s="54" t="s">
        <v>714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87</v>
      </c>
      <c r="Q459" s="674"/>
      <c r="R459" s="674"/>
      <c r="S459" s="674"/>
      <c r="T459" s="674"/>
      <c r="U459" s="674"/>
      <c r="V459" s="675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87</v>
      </c>
      <c r="Q460" s="674"/>
      <c r="R460" s="674"/>
      <c r="S460" s="674"/>
      <c r="T460" s="674"/>
      <c r="U460" s="674"/>
      <c r="V460" s="675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144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hidden="1" customHeight="1" x14ac:dyDescent="0.25">
      <c r="A462" s="54" t="s">
        <v>716</v>
      </c>
      <c r="B462" s="54" t="s">
        <v>717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2" t="s">
        <v>718</v>
      </c>
      <c r="Q462" s="679"/>
      <c r="R462" s="679"/>
      <c r="S462" s="679"/>
      <c r="T462" s="680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723</v>
      </c>
      <c r="B464" s="54" t="s">
        <v>724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74" t="s">
        <v>725</v>
      </c>
      <c r="Q464" s="679"/>
      <c r="R464" s="679"/>
      <c r="S464" s="679"/>
      <c r="T464" s="680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727</v>
      </c>
      <c r="B465" s="54" t="s">
        <v>728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87</v>
      </c>
      <c r="Q466" s="674"/>
      <c r="R466" s="674"/>
      <c r="S466" s="674"/>
      <c r="T466" s="674"/>
      <c r="U466" s="674"/>
      <c r="V466" s="675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hidden="1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87</v>
      </c>
      <c r="Q467" s="674"/>
      <c r="R467" s="674"/>
      <c r="S467" s="674"/>
      <c r="T467" s="674"/>
      <c r="U467" s="674"/>
      <c r="V467" s="675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hidden="1" customHeight="1" x14ac:dyDescent="0.25">
      <c r="A468" s="685" t="s">
        <v>729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144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730</v>
      </c>
      <c r="B470" s="54" t="s">
        <v>731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733</v>
      </c>
      <c r="B471" s="54" t="s">
        <v>734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36" t="s">
        <v>735</v>
      </c>
      <c r="Q471" s="679"/>
      <c r="R471" s="679"/>
      <c r="S471" s="679"/>
      <c r="T471" s="680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87</v>
      </c>
      <c r="Q472" s="674"/>
      <c r="R472" s="674"/>
      <c r="S472" s="674"/>
      <c r="T472" s="674"/>
      <c r="U472" s="674"/>
      <c r="V472" s="675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hidden="1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87</v>
      </c>
      <c r="Q473" s="674"/>
      <c r="R473" s="674"/>
      <c r="S473" s="674"/>
      <c r="T473" s="674"/>
      <c r="U473" s="674"/>
      <c r="V473" s="675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hidden="1" customHeight="1" x14ac:dyDescent="0.25">
      <c r="A474" s="685" t="s">
        <v>737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144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738</v>
      </c>
      <c r="B476" s="54" t="s">
        <v>739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87</v>
      </c>
      <c r="Q477" s="674"/>
      <c r="R477" s="674"/>
      <c r="S477" s="674"/>
      <c r="T477" s="674"/>
      <c r="U477" s="674"/>
      <c r="V477" s="675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87</v>
      </c>
      <c r="Q478" s="674"/>
      <c r="R478" s="674"/>
      <c r="S478" s="674"/>
      <c r="T478" s="674"/>
      <c r="U478" s="674"/>
      <c r="V478" s="675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170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741</v>
      </c>
      <c r="B480" s="54" t="s">
        <v>742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87</v>
      </c>
      <c r="Q481" s="674"/>
      <c r="R481" s="674"/>
      <c r="S481" s="674"/>
      <c r="T481" s="674"/>
      <c r="U481" s="674"/>
      <c r="V481" s="675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87</v>
      </c>
      <c r="Q482" s="674"/>
      <c r="R482" s="674"/>
      <c r="S482" s="674"/>
      <c r="T482" s="674"/>
      <c r="U482" s="674"/>
      <c r="V482" s="675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744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744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97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hidden="1" customHeight="1" x14ac:dyDescent="0.25">
      <c r="A486" s="54" t="s">
        <v>745</v>
      </c>
      <c r="B486" s="54" t="s">
        <v>746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68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68</v>
      </c>
      <c r="X488" s="667">
        <v>150</v>
      </c>
      <c r="Y488" s="668">
        <f t="shared" si="68"/>
        <v>153.12</v>
      </c>
      <c r="Z488" s="36">
        <f t="shared" si="69"/>
        <v>0.34683999999999998</v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160.22727272727272</v>
      </c>
      <c r="BN488" s="64">
        <f t="shared" si="71"/>
        <v>163.56</v>
      </c>
      <c r="BO488" s="64">
        <f t="shared" si="72"/>
        <v>0.27316433566433568</v>
      </c>
      <c r="BP488" s="64">
        <f t="shared" si="73"/>
        <v>0.27884615384615385</v>
      </c>
    </row>
    <row r="489" spans="1:68" ht="16.5" hidden="1" customHeight="1" x14ac:dyDescent="0.25">
      <c r="A489" s="54" t="s">
        <v>754</v>
      </c>
      <c r="B489" s="54" t="s">
        <v>755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68</v>
      </c>
      <c r="X490" s="667">
        <v>200</v>
      </c>
      <c r="Y490" s="668">
        <f t="shared" si="68"/>
        <v>200.64000000000001</v>
      </c>
      <c r="Z490" s="36">
        <f t="shared" si="69"/>
        <v>0.45448</v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213.63636363636363</v>
      </c>
      <c r="BN490" s="64">
        <f t="shared" si="71"/>
        <v>214.32</v>
      </c>
      <c r="BO490" s="64">
        <f t="shared" si="72"/>
        <v>0.36421911421911418</v>
      </c>
      <c r="BP490" s="64">
        <f t="shared" si="73"/>
        <v>0.36538461538461542</v>
      </c>
    </row>
    <row r="491" spans="1:68" ht="16.5" hidden="1" customHeight="1" x14ac:dyDescent="0.25">
      <c r="A491" s="54" t="s">
        <v>760</v>
      </c>
      <c r="B491" s="54" t="s">
        <v>761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763</v>
      </c>
      <c r="B492" s="54" t="s">
        <v>764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69" t="s">
        <v>765</v>
      </c>
      <c r="Q492" s="679"/>
      <c r="R492" s="679"/>
      <c r="S492" s="679"/>
      <c r="T492" s="680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766</v>
      </c>
      <c r="B493" s="54" t="s">
        <v>767</v>
      </c>
      <c r="C493" s="31">
        <v>4301011778</v>
      </c>
      <c r="D493" s="689">
        <v>4680115880603</v>
      </c>
      <c r="E493" s="690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4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9"/>
      <c r="R493" s="679"/>
      <c r="S493" s="679"/>
      <c r="T493" s="680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766</v>
      </c>
      <c r="B494" s="54" t="s">
        <v>768</v>
      </c>
      <c r="C494" s="31">
        <v>4301012035</v>
      </c>
      <c r="D494" s="689">
        <v>4680115880603</v>
      </c>
      <c r="E494" s="690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9"/>
      <c r="R494" s="679"/>
      <c r="S494" s="679"/>
      <c r="T494" s="680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769</v>
      </c>
      <c r="B495" s="54" t="s">
        <v>770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771</v>
      </c>
      <c r="B496" s="54" t="s">
        <v>772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66" t="s">
        <v>773</v>
      </c>
      <c r="Q496" s="679"/>
      <c r="R496" s="679"/>
      <c r="S496" s="679"/>
      <c r="T496" s="680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774</v>
      </c>
      <c r="B497" s="54" t="s">
        <v>775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44" t="s">
        <v>776</v>
      </c>
      <c r="Q497" s="679"/>
      <c r="R497" s="679"/>
      <c r="S497" s="679"/>
      <c r="T497" s="680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777</v>
      </c>
      <c r="B498" s="54" t="s">
        <v>778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810" t="s">
        <v>779</v>
      </c>
      <c r="Q498" s="679"/>
      <c r="R498" s="679"/>
      <c r="S498" s="679"/>
      <c r="T498" s="680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780</v>
      </c>
      <c r="B499" s="54" t="s">
        <v>781</v>
      </c>
      <c r="C499" s="31">
        <v>4301011784</v>
      </c>
      <c r="D499" s="689">
        <v>4607091389982</v>
      </c>
      <c r="E499" s="690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1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780</v>
      </c>
      <c r="B500" s="54" t="s">
        <v>782</v>
      </c>
      <c r="C500" s="31">
        <v>4301012034</v>
      </c>
      <c r="D500" s="689">
        <v>4607091389982</v>
      </c>
      <c r="E500" s="690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783</v>
      </c>
      <c r="B501" s="54" t="s">
        <v>784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87</v>
      </c>
      <c r="Q502" s="674"/>
      <c r="R502" s="674"/>
      <c r="S502" s="674"/>
      <c r="T502" s="674"/>
      <c r="U502" s="674"/>
      <c r="V502" s="675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66.287878787878782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67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0.80132000000000003</v>
      </c>
      <c r="AA502" s="670"/>
      <c r="AB502" s="670"/>
      <c r="AC502" s="670"/>
    </row>
    <row r="503" spans="1:68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87</v>
      </c>
      <c r="Q503" s="674"/>
      <c r="R503" s="674"/>
      <c r="S503" s="674"/>
      <c r="T503" s="674"/>
      <c r="U503" s="674"/>
      <c r="V503" s="675"/>
      <c r="W503" s="37" t="s">
        <v>68</v>
      </c>
      <c r="X503" s="669">
        <f>IFERROR(SUM(X486:X501),"0")</f>
        <v>350</v>
      </c>
      <c r="Y503" s="669">
        <f>IFERROR(SUM(Y486:Y501),"0")</f>
        <v>353.76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133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9"/>
      <c r="R505" s="679"/>
      <c r="S505" s="679"/>
      <c r="T505" s="680"/>
      <c r="U505" s="34"/>
      <c r="V505" s="34"/>
      <c r="W505" s="35" t="s">
        <v>68</v>
      </c>
      <c r="X505" s="667">
        <v>100</v>
      </c>
      <c r="Y505" s="668">
        <f>IFERROR(IF(X505="",0,CEILING((X505/$H505),1)*$H505),"")</f>
        <v>100.32000000000001</v>
      </c>
      <c r="Z505" s="36">
        <f>IFERROR(IF(Y505=0,"",ROUNDUP(Y505/H505,0)*0.01196),"")</f>
        <v>0.22724</v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106.81818181818181</v>
      </c>
      <c r="BN505" s="64">
        <f>IFERROR(Y505*I505/H505,"0")</f>
        <v>107.16</v>
      </c>
      <c r="BO505" s="64">
        <f>IFERROR(1/J505*(X505/H505),"0")</f>
        <v>0.18210955710955709</v>
      </c>
      <c r="BP505" s="64">
        <f>IFERROR(1/J505*(Y505/H505),"0")</f>
        <v>0.18269230769230771</v>
      </c>
    </row>
    <row r="506" spans="1:68" ht="16.5" hidden="1" customHeight="1" x14ac:dyDescent="0.25">
      <c r="A506" s="54" t="s">
        <v>785</v>
      </c>
      <c r="B506" s="54" t="s">
        <v>788</v>
      </c>
      <c r="C506" s="31">
        <v>4301020334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899" t="s">
        <v>789</v>
      </c>
      <c r="Q506" s="679"/>
      <c r="R506" s="679"/>
      <c r="S506" s="679"/>
      <c r="T506" s="680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791</v>
      </c>
      <c r="B507" s="54" t="s">
        <v>792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42" t="s">
        <v>793</v>
      </c>
      <c r="Q507" s="679"/>
      <c r="R507" s="679"/>
      <c r="S507" s="679"/>
      <c r="T507" s="680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794</v>
      </c>
      <c r="B508" s="54" t="s">
        <v>795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72" t="s">
        <v>796</v>
      </c>
      <c r="Q508" s="679"/>
      <c r="R508" s="679"/>
      <c r="S508" s="679"/>
      <c r="T508" s="680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87</v>
      </c>
      <c r="Q509" s="674"/>
      <c r="R509" s="674"/>
      <c r="S509" s="674"/>
      <c r="T509" s="674"/>
      <c r="U509" s="674"/>
      <c r="V509" s="675"/>
      <c r="W509" s="37" t="s">
        <v>88</v>
      </c>
      <c r="X509" s="669">
        <f>IFERROR(X505/H505,"0")+IFERROR(X506/H506,"0")+IFERROR(X507/H507,"0")+IFERROR(X508/H508,"0")</f>
        <v>18.939393939393938</v>
      </c>
      <c r="Y509" s="669">
        <f>IFERROR(Y505/H505,"0")+IFERROR(Y506/H506,"0")+IFERROR(Y507/H507,"0")+IFERROR(Y508/H508,"0")</f>
        <v>19</v>
      </c>
      <c r="Z509" s="669">
        <f>IFERROR(IF(Z505="",0,Z505),"0")+IFERROR(IF(Z506="",0,Z506),"0")+IFERROR(IF(Z507="",0,Z507),"0")+IFERROR(IF(Z508="",0,Z508),"0")</f>
        <v>0.22724</v>
      </c>
      <c r="AA509" s="670"/>
      <c r="AB509" s="670"/>
      <c r="AC509" s="670"/>
    </row>
    <row r="510" spans="1:68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87</v>
      </c>
      <c r="Q510" s="674"/>
      <c r="R510" s="674"/>
      <c r="S510" s="674"/>
      <c r="T510" s="674"/>
      <c r="U510" s="674"/>
      <c r="V510" s="675"/>
      <c r="W510" s="37" t="s">
        <v>68</v>
      </c>
      <c r="X510" s="669">
        <f>IFERROR(SUM(X505:X508),"0")</f>
        <v>100</v>
      </c>
      <c r="Y510" s="669">
        <f>IFERROR(SUM(Y505:Y508),"0")</f>
        <v>100.32000000000001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144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customHeight="1" x14ac:dyDescent="0.25">
      <c r="A512" s="54" t="s">
        <v>797</v>
      </c>
      <c r="B512" s="54" t="s">
        <v>798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18" t="s">
        <v>799</v>
      </c>
      <c r="Q512" s="679"/>
      <c r="R512" s="679"/>
      <c r="S512" s="679"/>
      <c r="T512" s="680"/>
      <c r="U512" s="34"/>
      <c r="V512" s="34"/>
      <c r="W512" s="35" t="s">
        <v>68</v>
      </c>
      <c r="X512" s="667">
        <v>100</v>
      </c>
      <c r="Y512" s="668">
        <f t="shared" ref="Y512:Y522" si="74">IFERROR(IF(X512="",0,CEILING((X512/$H512),1)*$H512),"")</f>
        <v>100.32000000000001</v>
      </c>
      <c r="Z512" s="36">
        <f>IFERROR(IF(Y512=0,"",ROUNDUP(Y512/H512,0)*0.01196),"")</f>
        <v>0.22724</v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106.81818181818181</v>
      </c>
      <c r="BN512" s="64">
        <f t="shared" ref="BN512:BN522" si="76">IFERROR(Y512*I512/H512,"0")</f>
        <v>107.16</v>
      </c>
      <c r="BO512" s="64">
        <f t="shared" ref="BO512:BO522" si="77">IFERROR(1/J512*(X512/H512),"0")</f>
        <v>0.18210955710955709</v>
      </c>
      <c r="BP512" s="64">
        <f t="shared" ref="BP512:BP522" si="78">IFERROR(1/J512*(Y512/H512),"0")</f>
        <v>0.18269230769230771</v>
      </c>
    </row>
    <row r="513" spans="1:68" ht="27" customHeight="1" x14ac:dyDescent="0.25">
      <c r="A513" s="54" t="s">
        <v>801</v>
      </c>
      <c r="B513" s="54" t="s">
        <v>802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1" t="s">
        <v>803</v>
      </c>
      <c r="Q513" s="679"/>
      <c r="R513" s="679"/>
      <c r="S513" s="679"/>
      <c r="T513" s="680"/>
      <c r="U513" s="34"/>
      <c r="V513" s="34"/>
      <c r="W513" s="35" t="s">
        <v>68</v>
      </c>
      <c r="X513" s="667">
        <v>100</v>
      </c>
      <c r="Y513" s="668">
        <f t="shared" si="74"/>
        <v>100.32000000000001</v>
      </c>
      <c r="Z513" s="36">
        <f>IFERROR(IF(Y513=0,"",ROUNDUP(Y513/H513,0)*0.01196),"")</f>
        <v>0.22724</v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106.81818181818181</v>
      </c>
      <c r="BN513" s="64">
        <f t="shared" si="76"/>
        <v>107.16</v>
      </c>
      <c r="BO513" s="64">
        <f t="shared" si="77"/>
        <v>0.18210955710955709</v>
      </c>
      <c r="BP513" s="64">
        <f t="shared" si="78"/>
        <v>0.18269230769230771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77" t="s">
        <v>807</v>
      </c>
      <c r="Q514" s="679"/>
      <c r="R514" s="679"/>
      <c r="S514" s="679"/>
      <c r="T514" s="680"/>
      <c r="U514" s="34"/>
      <c r="V514" s="34"/>
      <c r="W514" s="35" t="s">
        <v>68</v>
      </c>
      <c r="X514" s="667">
        <v>100</v>
      </c>
      <c r="Y514" s="668">
        <f t="shared" si="74"/>
        <v>100.32000000000001</v>
      </c>
      <c r="Z514" s="36">
        <f>IFERROR(IF(Y514=0,"",ROUNDUP(Y514/H514,0)*0.01196),"")</f>
        <v>0.22724</v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106.81818181818181</v>
      </c>
      <c r="BN514" s="64">
        <f t="shared" si="76"/>
        <v>107.16</v>
      </c>
      <c r="BO514" s="64">
        <f t="shared" si="77"/>
        <v>0.18210955710955709</v>
      </c>
      <c r="BP514" s="64">
        <f t="shared" si="78"/>
        <v>0.18269230769230771</v>
      </c>
    </row>
    <row r="515" spans="1:68" ht="27" hidden="1" customHeight="1" x14ac:dyDescent="0.25">
      <c r="A515" s="54" t="s">
        <v>809</v>
      </c>
      <c r="B515" s="54" t="s">
        <v>810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07" t="s">
        <v>811</v>
      </c>
      <c r="Q515" s="679"/>
      <c r="R515" s="679"/>
      <c r="S515" s="679"/>
      <c r="T515" s="680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4301031419</v>
      </c>
      <c r="D516" s="689">
        <v>4680115882072</v>
      </c>
      <c r="E516" s="690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83" t="s">
        <v>814</v>
      </c>
      <c r="Q516" s="679"/>
      <c r="R516" s="679"/>
      <c r="S516" s="679"/>
      <c r="T516" s="680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812</v>
      </c>
      <c r="B517" s="54" t="s">
        <v>815</v>
      </c>
      <c r="C517" s="31">
        <v>4301031351</v>
      </c>
      <c r="D517" s="689">
        <v>4680115882072</v>
      </c>
      <c r="E517" s="690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2" t="s">
        <v>816</v>
      </c>
      <c r="Q517" s="679"/>
      <c r="R517" s="679"/>
      <c r="S517" s="679"/>
      <c r="T517" s="680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812</v>
      </c>
      <c r="B518" s="54" t="s">
        <v>817</v>
      </c>
      <c r="C518" s="31">
        <v>4301031383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72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9"/>
      <c r="R518" s="679"/>
      <c r="S518" s="679"/>
      <c r="T518" s="680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819</v>
      </c>
      <c r="B519" s="54" t="s">
        <v>820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52" t="s">
        <v>821</v>
      </c>
      <c r="Q519" s="679"/>
      <c r="R519" s="679"/>
      <c r="S519" s="679"/>
      <c r="T519" s="680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822</v>
      </c>
      <c r="B520" s="54" t="s">
        <v>823</v>
      </c>
      <c r="C520" s="31">
        <v>4301031253</v>
      </c>
      <c r="D520" s="689">
        <v>4680115882096</v>
      </c>
      <c r="E520" s="690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18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9"/>
      <c r="R520" s="679"/>
      <c r="S520" s="679"/>
      <c r="T520" s="680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822</v>
      </c>
      <c r="B521" s="54" t="s">
        <v>825</v>
      </c>
      <c r="C521" s="31">
        <v>4301031417</v>
      </c>
      <c r="D521" s="689">
        <v>4680115882096</v>
      </c>
      <c r="E521" s="690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53" t="s">
        <v>826</v>
      </c>
      <c r="Q521" s="679"/>
      <c r="R521" s="679"/>
      <c r="S521" s="679"/>
      <c r="T521" s="680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822</v>
      </c>
      <c r="B522" s="54" t="s">
        <v>827</v>
      </c>
      <c r="C522" s="31">
        <v>4301031384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9"/>
      <c r="R522" s="679"/>
      <c r="S522" s="679"/>
      <c r="T522" s="680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87</v>
      </c>
      <c r="Q523" s="674"/>
      <c r="R523" s="674"/>
      <c r="S523" s="674"/>
      <c r="T523" s="674"/>
      <c r="U523" s="674"/>
      <c r="V523" s="675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56.818181818181813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57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0.68171999999999999</v>
      </c>
      <c r="AA523" s="670"/>
      <c r="AB523" s="670"/>
      <c r="AC523" s="670"/>
    </row>
    <row r="524" spans="1:68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87</v>
      </c>
      <c r="Q524" s="674"/>
      <c r="R524" s="674"/>
      <c r="S524" s="674"/>
      <c r="T524" s="674"/>
      <c r="U524" s="674"/>
      <c r="V524" s="675"/>
      <c r="W524" s="37" t="s">
        <v>68</v>
      </c>
      <c r="X524" s="669">
        <f>IFERROR(SUM(X512:X522),"0")</f>
        <v>300</v>
      </c>
      <c r="Y524" s="669">
        <f>IFERROR(SUM(Y512:Y522),"0")</f>
        <v>300.96000000000004</v>
      </c>
      <c r="Z524" s="37"/>
      <c r="AA524" s="670"/>
      <c r="AB524" s="670"/>
      <c r="AC524" s="670"/>
    </row>
    <row r="525" spans="1:68" ht="14.25" hidden="1" customHeight="1" x14ac:dyDescent="0.25">
      <c r="A525" s="676" t="s">
        <v>63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828</v>
      </c>
      <c r="B526" s="54" t="s">
        <v>829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831</v>
      </c>
      <c r="B527" s="54" t="s">
        <v>832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834</v>
      </c>
      <c r="B528" s="54" t="s">
        <v>835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87</v>
      </c>
      <c r="Q529" s="674"/>
      <c r="R529" s="674"/>
      <c r="S529" s="674"/>
      <c r="T529" s="674"/>
      <c r="U529" s="674"/>
      <c r="V529" s="675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87</v>
      </c>
      <c r="Q530" s="674"/>
      <c r="R530" s="674"/>
      <c r="S530" s="674"/>
      <c r="T530" s="674"/>
      <c r="U530" s="674"/>
      <c r="V530" s="675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170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837</v>
      </c>
      <c r="B532" s="54" t="s">
        <v>838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70" t="s">
        <v>839</v>
      </c>
      <c r="Q532" s="679"/>
      <c r="R532" s="679"/>
      <c r="S532" s="679"/>
      <c r="T532" s="680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87</v>
      </c>
      <c r="Q533" s="674"/>
      <c r="R533" s="674"/>
      <c r="S533" s="674"/>
      <c r="T533" s="674"/>
      <c r="U533" s="674"/>
      <c r="V533" s="675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87</v>
      </c>
      <c r="Q534" s="674"/>
      <c r="R534" s="674"/>
      <c r="S534" s="674"/>
      <c r="T534" s="674"/>
      <c r="U534" s="674"/>
      <c r="V534" s="675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841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841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97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842</v>
      </c>
      <c r="B538" s="54" t="s">
        <v>843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80" t="s">
        <v>844</v>
      </c>
      <c r="Q538" s="679"/>
      <c r="R538" s="679"/>
      <c r="S538" s="679"/>
      <c r="T538" s="680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846</v>
      </c>
      <c r="B539" s="54" t="s">
        <v>847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8" t="s">
        <v>848</v>
      </c>
      <c r="Q539" s="679"/>
      <c r="R539" s="679"/>
      <c r="S539" s="679"/>
      <c r="T539" s="680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850</v>
      </c>
      <c r="B540" s="54" t="s">
        <v>851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6" t="s">
        <v>852</v>
      </c>
      <c r="Q540" s="679"/>
      <c r="R540" s="679"/>
      <c r="S540" s="679"/>
      <c r="T540" s="680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854</v>
      </c>
      <c r="B541" s="54" t="s">
        <v>855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29" t="s">
        <v>856</v>
      </c>
      <c r="Q541" s="679"/>
      <c r="R541" s="679"/>
      <c r="S541" s="679"/>
      <c r="T541" s="680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858</v>
      </c>
      <c r="B542" s="54" t="s">
        <v>859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38" t="s">
        <v>860</v>
      </c>
      <c r="Q542" s="679"/>
      <c r="R542" s="679"/>
      <c r="S542" s="679"/>
      <c r="T542" s="680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861</v>
      </c>
      <c r="B543" s="54" t="s">
        <v>862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84" t="s">
        <v>863</v>
      </c>
      <c r="Q543" s="679"/>
      <c r="R543" s="679"/>
      <c r="S543" s="679"/>
      <c r="T543" s="680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87</v>
      </c>
      <c r="Q544" s="674"/>
      <c r="R544" s="674"/>
      <c r="S544" s="674"/>
      <c r="T544" s="674"/>
      <c r="U544" s="674"/>
      <c r="V544" s="675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87</v>
      </c>
      <c r="Q545" s="674"/>
      <c r="R545" s="674"/>
      <c r="S545" s="674"/>
      <c r="T545" s="674"/>
      <c r="U545" s="674"/>
      <c r="V545" s="675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133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864</v>
      </c>
      <c r="B547" s="54" t="s">
        <v>865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62" t="s">
        <v>866</v>
      </c>
      <c r="Q547" s="679"/>
      <c r="R547" s="679"/>
      <c r="S547" s="679"/>
      <c r="T547" s="680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864</v>
      </c>
      <c r="B548" s="54" t="s">
        <v>868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809" t="s">
        <v>869</v>
      </c>
      <c r="Q548" s="679"/>
      <c r="R548" s="679"/>
      <c r="S548" s="679"/>
      <c r="T548" s="680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871</v>
      </c>
      <c r="B549" s="54" t="s">
        <v>872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06" t="s">
        <v>873</v>
      </c>
      <c r="Q549" s="679"/>
      <c r="R549" s="679"/>
      <c r="S549" s="679"/>
      <c r="T549" s="680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874</v>
      </c>
      <c r="B550" s="54" t="s">
        <v>875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68" t="s">
        <v>876</v>
      </c>
      <c r="Q550" s="679"/>
      <c r="R550" s="679"/>
      <c r="S550" s="679"/>
      <c r="T550" s="680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878</v>
      </c>
      <c r="B551" s="54" t="s">
        <v>879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3" t="s">
        <v>880</v>
      </c>
      <c r="Q551" s="679"/>
      <c r="R551" s="679"/>
      <c r="S551" s="679"/>
      <c r="T551" s="680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87</v>
      </c>
      <c r="Q552" s="674"/>
      <c r="R552" s="674"/>
      <c r="S552" s="674"/>
      <c r="T552" s="674"/>
      <c r="U552" s="674"/>
      <c r="V552" s="675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87</v>
      </c>
      <c r="Q553" s="674"/>
      <c r="R553" s="674"/>
      <c r="S553" s="674"/>
      <c r="T553" s="674"/>
      <c r="U553" s="674"/>
      <c r="V553" s="675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144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881</v>
      </c>
      <c r="B555" s="54" t="s">
        <v>882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58" t="s">
        <v>883</v>
      </c>
      <c r="Q555" s="679"/>
      <c r="R555" s="679"/>
      <c r="S555" s="679"/>
      <c r="T555" s="680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885</v>
      </c>
      <c r="B556" s="54" t="s">
        <v>886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93" t="s">
        <v>887</v>
      </c>
      <c r="Q556" s="679"/>
      <c r="R556" s="679"/>
      <c r="S556" s="679"/>
      <c r="T556" s="680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889</v>
      </c>
      <c r="B557" s="54" t="s">
        <v>890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84" t="s">
        <v>891</v>
      </c>
      <c r="Q557" s="679"/>
      <c r="R557" s="679"/>
      <c r="S557" s="679"/>
      <c r="T557" s="680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893</v>
      </c>
      <c r="B558" s="54" t="s">
        <v>894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2" t="s">
        <v>895</v>
      </c>
      <c r="Q558" s="679"/>
      <c r="R558" s="679"/>
      <c r="S558" s="679"/>
      <c r="T558" s="680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897</v>
      </c>
      <c r="B559" s="54" t="s">
        <v>898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3" t="s">
        <v>899</v>
      </c>
      <c r="Q559" s="679"/>
      <c r="R559" s="679"/>
      <c r="S559" s="679"/>
      <c r="T559" s="680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901</v>
      </c>
      <c r="B560" s="54" t="s">
        <v>902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4" t="s">
        <v>903</v>
      </c>
      <c r="Q560" s="679"/>
      <c r="R560" s="679"/>
      <c r="S560" s="679"/>
      <c r="T560" s="680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904</v>
      </c>
      <c r="B561" s="54" t="s">
        <v>905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08" t="s">
        <v>906</v>
      </c>
      <c r="Q561" s="679"/>
      <c r="R561" s="679"/>
      <c r="S561" s="679"/>
      <c r="T561" s="680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87</v>
      </c>
      <c r="Q562" s="674"/>
      <c r="R562" s="674"/>
      <c r="S562" s="674"/>
      <c r="T562" s="674"/>
      <c r="U562" s="674"/>
      <c r="V562" s="675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87</v>
      </c>
      <c r="Q563" s="674"/>
      <c r="R563" s="674"/>
      <c r="S563" s="674"/>
      <c r="T563" s="674"/>
      <c r="U563" s="674"/>
      <c r="V563" s="675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63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hidden="1" customHeight="1" x14ac:dyDescent="0.25">
      <c r="A565" s="54" t="s">
        <v>907</v>
      </c>
      <c r="B565" s="54" t="s">
        <v>908</v>
      </c>
      <c r="C565" s="31">
        <v>4301052046</v>
      </c>
      <c r="D565" s="689">
        <v>4640242180533</v>
      </c>
      <c r="E565" s="690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8" t="s">
        <v>909</v>
      </c>
      <c r="Q565" s="679"/>
      <c r="R565" s="679"/>
      <c r="S565" s="679"/>
      <c r="T565" s="680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hidden="1" customHeight="1" x14ac:dyDescent="0.25">
      <c r="A566" s="54" t="s">
        <v>907</v>
      </c>
      <c r="B566" s="54" t="s">
        <v>911</v>
      </c>
      <c r="C566" s="31">
        <v>4301051887</v>
      </c>
      <c r="D566" s="689">
        <v>4640242180533</v>
      </c>
      <c r="E566" s="690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881" t="s">
        <v>909</v>
      </c>
      <c r="Q566" s="679"/>
      <c r="R566" s="679"/>
      <c r="S566" s="679"/>
      <c r="T566" s="680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912</v>
      </c>
      <c r="B567" s="54" t="s">
        <v>913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2" t="s">
        <v>914</v>
      </c>
      <c r="Q567" s="679"/>
      <c r="R567" s="679"/>
      <c r="S567" s="679"/>
      <c r="T567" s="680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916</v>
      </c>
      <c r="B568" s="54" t="s">
        <v>917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56" t="s">
        <v>918</v>
      </c>
      <c r="Q568" s="679"/>
      <c r="R568" s="679"/>
      <c r="S568" s="679"/>
      <c r="T568" s="680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919</v>
      </c>
      <c r="B569" s="54" t="s">
        <v>920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47" t="s">
        <v>921</v>
      </c>
      <c r="Q569" s="679"/>
      <c r="R569" s="679"/>
      <c r="S569" s="679"/>
      <c r="T569" s="680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idden="1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87</v>
      </c>
      <c r="Q570" s="674"/>
      <c r="R570" s="674"/>
      <c r="S570" s="674"/>
      <c r="T570" s="674"/>
      <c r="U570" s="674"/>
      <c r="V570" s="675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hidden="1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87</v>
      </c>
      <c r="Q571" s="674"/>
      <c r="R571" s="674"/>
      <c r="S571" s="674"/>
      <c r="T571" s="674"/>
      <c r="U571" s="674"/>
      <c r="V571" s="675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170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922</v>
      </c>
      <c r="B573" s="54" t="s">
        <v>923</v>
      </c>
      <c r="C573" s="31">
        <v>4301060496</v>
      </c>
      <c r="D573" s="689">
        <v>4640242180120</v>
      </c>
      <c r="E573" s="690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75" t="s">
        <v>924</v>
      </c>
      <c r="Q573" s="679"/>
      <c r="R573" s="679"/>
      <c r="S573" s="679"/>
      <c r="T573" s="680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922</v>
      </c>
      <c r="B574" s="54" t="s">
        <v>926</v>
      </c>
      <c r="C574" s="31">
        <v>4301060485</v>
      </c>
      <c r="D574" s="689">
        <v>4640242180120</v>
      </c>
      <c r="E574" s="690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19" t="s">
        <v>927</v>
      </c>
      <c r="Q574" s="679"/>
      <c r="R574" s="679"/>
      <c r="S574" s="679"/>
      <c r="T574" s="680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928</v>
      </c>
      <c r="B575" s="54" t="s">
        <v>929</v>
      </c>
      <c r="C575" s="31">
        <v>4301060498</v>
      </c>
      <c r="D575" s="689">
        <v>4640242180137</v>
      </c>
      <c r="E575" s="690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68" t="s">
        <v>930</v>
      </c>
      <c r="Q575" s="679"/>
      <c r="R575" s="679"/>
      <c r="S575" s="679"/>
      <c r="T575" s="680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928</v>
      </c>
      <c r="B576" s="54" t="s">
        <v>932</v>
      </c>
      <c r="C576" s="31">
        <v>4301060486</v>
      </c>
      <c r="D576" s="689">
        <v>4640242180137</v>
      </c>
      <c r="E576" s="690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77" t="s">
        <v>933</v>
      </c>
      <c r="Q576" s="679"/>
      <c r="R576" s="679"/>
      <c r="S576" s="679"/>
      <c r="T576" s="680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87</v>
      </c>
      <c r="Q577" s="674"/>
      <c r="R577" s="674"/>
      <c r="S577" s="674"/>
      <c r="T577" s="674"/>
      <c r="U577" s="674"/>
      <c r="V577" s="675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87</v>
      </c>
      <c r="Q578" s="674"/>
      <c r="R578" s="674"/>
      <c r="S578" s="674"/>
      <c r="T578" s="674"/>
      <c r="U578" s="674"/>
      <c r="V578" s="675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934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97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935</v>
      </c>
      <c r="B581" s="54" t="s">
        <v>936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51" t="s">
        <v>937</v>
      </c>
      <c r="Q581" s="679"/>
      <c r="R581" s="679"/>
      <c r="S581" s="679"/>
      <c r="T581" s="680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87</v>
      </c>
      <c r="Q582" s="674"/>
      <c r="R582" s="674"/>
      <c r="S582" s="674"/>
      <c r="T582" s="674"/>
      <c r="U582" s="674"/>
      <c r="V582" s="675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87</v>
      </c>
      <c r="Q583" s="674"/>
      <c r="R583" s="674"/>
      <c r="S583" s="674"/>
      <c r="T583" s="674"/>
      <c r="U583" s="674"/>
      <c r="V583" s="675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133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939</v>
      </c>
      <c r="B585" s="54" t="s">
        <v>940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806" t="s">
        <v>941</v>
      </c>
      <c r="Q585" s="679"/>
      <c r="R585" s="679"/>
      <c r="S585" s="679"/>
      <c r="T585" s="680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87</v>
      </c>
      <c r="Q586" s="674"/>
      <c r="R586" s="674"/>
      <c r="S586" s="674"/>
      <c r="T586" s="674"/>
      <c r="U586" s="674"/>
      <c r="V586" s="675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87</v>
      </c>
      <c r="Q587" s="674"/>
      <c r="R587" s="674"/>
      <c r="S587" s="674"/>
      <c r="T587" s="674"/>
      <c r="U587" s="674"/>
      <c r="V587" s="675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144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943</v>
      </c>
      <c r="B589" s="54" t="s">
        <v>944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57" t="s">
        <v>945</v>
      </c>
      <c r="Q589" s="679"/>
      <c r="R589" s="679"/>
      <c r="S589" s="679"/>
      <c r="T589" s="680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87</v>
      </c>
      <c r="Q590" s="674"/>
      <c r="R590" s="674"/>
      <c r="S590" s="674"/>
      <c r="T590" s="674"/>
      <c r="U590" s="674"/>
      <c r="V590" s="675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87</v>
      </c>
      <c r="Q591" s="674"/>
      <c r="R591" s="674"/>
      <c r="S591" s="674"/>
      <c r="T591" s="674"/>
      <c r="U591" s="674"/>
      <c r="V591" s="675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63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947</v>
      </c>
      <c r="B593" s="54" t="s">
        <v>948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35" t="s">
        <v>949</v>
      </c>
      <c r="Q593" s="679"/>
      <c r="R593" s="679"/>
      <c r="S593" s="679"/>
      <c r="T593" s="680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87</v>
      </c>
      <c r="Q594" s="674"/>
      <c r="R594" s="674"/>
      <c r="S594" s="674"/>
      <c r="T594" s="674"/>
      <c r="U594" s="674"/>
      <c r="V594" s="675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87</v>
      </c>
      <c r="Q595" s="674"/>
      <c r="R595" s="674"/>
      <c r="S595" s="674"/>
      <c r="T595" s="674"/>
      <c r="U595" s="674"/>
      <c r="V595" s="675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951</v>
      </c>
      <c r="Q596" s="687"/>
      <c r="R596" s="687"/>
      <c r="S596" s="687"/>
      <c r="T596" s="687"/>
      <c r="U596" s="687"/>
      <c r="V596" s="688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8652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8702.9399999999987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952</v>
      </c>
      <c r="Q597" s="687"/>
      <c r="R597" s="687"/>
      <c r="S597" s="687"/>
      <c r="T597" s="687"/>
      <c r="U597" s="687"/>
      <c r="V597" s="688"/>
      <c r="W597" s="37" t="s">
        <v>68</v>
      </c>
      <c r="X597" s="669">
        <f>IFERROR(SUM(BM22:BM593),"0")</f>
        <v>9018.0937582723782</v>
      </c>
      <c r="Y597" s="669">
        <f>IFERROR(SUM(BN22:BN593),"0")</f>
        <v>9071.4089999999997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953</v>
      </c>
      <c r="Q598" s="687"/>
      <c r="R598" s="687"/>
      <c r="S598" s="687"/>
      <c r="T598" s="687"/>
      <c r="U598" s="687"/>
      <c r="V598" s="688"/>
      <c r="W598" s="37" t="s">
        <v>954</v>
      </c>
      <c r="X598" s="38">
        <f>ROUNDUP(SUM(BO22:BO593),0)</f>
        <v>14</v>
      </c>
      <c r="Y598" s="38">
        <f>ROUNDUP(SUM(BP22:BP593),0)</f>
        <v>14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955</v>
      </c>
      <c r="Q599" s="687"/>
      <c r="R599" s="687"/>
      <c r="S599" s="687"/>
      <c r="T599" s="687"/>
      <c r="U599" s="687"/>
      <c r="V599" s="688"/>
      <c r="W599" s="37" t="s">
        <v>68</v>
      </c>
      <c r="X599" s="669">
        <f>GrossWeightTotal+PalletQtyTotal*25</f>
        <v>9368.0937582723782</v>
      </c>
      <c r="Y599" s="669">
        <f>GrossWeightTotalR+PalletQtyTotalR*25</f>
        <v>9421.4089999999997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956</v>
      </c>
      <c r="Q600" s="687"/>
      <c r="R600" s="687"/>
      <c r="S600" s="687"/>
      <c r="T600" s="687"/>
      <c r="U600" s="687"/>
      <c r="V600" s="688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925.77105206415536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931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957</v>
      </c>
      <c r="Q601" s="687"/>
      <c r="R601" s="687"/>
      <c r="S601" s="687"/>
      <c r="T601" s="687"/>
      <c r="U601" s="687"/>
      <c r="V601" s="688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14.485450000000002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725" t="s">
        <v>95</v>
      </c>
      <c r="D603" s="734"/>
      <c r="E603" s="734"/>
      <c r="F603" s="734"/>
      <c r="G603" s="734"/>
      <c r="H603" s="735"/>
      <c r="I603" s="725" t="s">
        <v>279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597</v>
      </c>
      <c r="X603" s="735"/>
      <c r="Y603" s="725" t="s">
        <v>669</v>
      </c>
      <c r="Z603" s="734"/>
      <c r="AA603" s="734"/>
      <c r="AB603" s="735"/>
      <c r="AC603" s="664" t="s">
        <v>744</v>
      </c>
      <c r="AD603" s="725" t="s">
        <v>841</v>
      </c>
      <c r="AE603" s="735"/>
      <c r="AF603" s="665"/>
    </row>
    <row r="604" spans="1:68" ht="14.25" customHeight="1" thickTop="1" x14ac:dyDescent="0.2">
      <c r="A604" s="940" t="s">
        <v>960</v>
      </c>
      <c r="B604" s="725" t="s">
        <v>62</v>
      </c>
      <c r="C604" s="725" t="s">
        <v>96</v>
      </c>
      <c r="D604" s="725" t="s">
        <v>115</v>
      </c>
      <c r="E604" s="725" t="s">
        <v>178</v>
      </c>
      <c r="F604" s="725" t="s">
        <v>209</v>
      </c>
      <c r="G604" s="725" t="s">
        <v>252</v>
      </c>
      <c r="H604" s="725" t="s">
        <v>95</v>
      </c>
      <c r="I604" s="725" t="s">
        <v>280</v>
      </c>
      <c r="J604" s="725" t="s">
        <v>326</v>
      </c>
      <c r="K604" s="725" t="s">
        <v>387</v>
      </c>
      <c r="L604" s="725" t="s">
        <v>434</v>
      </c>
      <c r="M604" s="725" t="s">
        <v>452</v>
      </c>
      <c r="N604" s="665"/>
      <c r="O604" s="725" t="s">
        <v>456</v>
      </c>
      <c r="P604" s="725" t="s">
        <v>469</v>
      </c>
      <c r="Q604" s="725" t="s">
        <v>483</v>
      </c>
      <c r="R604" s="725" t="s">
        <v>493</v>
      </c>
      <c r="S604" s="725" t="s">
        <v>497</v>
      </c>
      <c r="T604" s="725" t="s">
        <v>505</v>
      </c>
      <c r="U604" s="725" t="s">
        <v>510</v>
      </c>
      <c r="V604" s="725" t="s">
        <v>584</v>
      </c>
      <c r="W604" s="725" t="s">
        <v>598</v>
      </c>
      <c r="X604" s="725" t="s">
        <v>639</v>
      </c>
      <c r="Y604" s="725" t="s">
        <v>670</v>
      </c>
      <c r="Z604" s="725" t="s">
        <v>709</v>
      </c>
      <c r="AA604" s="725" t="s">
        <v>729</v>
      </c>
      <c r="AB604" s="725" t="s">
        <v>737</v>
      </c>
      <c r="AC604" s="725" t="s">
        <v>744</v>
      </c>
      <c r="AD604" s="725" t="s">
        <v>841</v>
      </c>
      <c r="AE604" s="725" t="s">
        <v>934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0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100.80000000000001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866.1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168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6678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135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755.04000000000008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00,00"/>
        <filter val="130,00"/>
        <filter val="14"/>
        <filter val="14,44"/>
        <filter val="150,00"/>
        <filter val="16,67"/>
        <filter val="160,00"/>
        <filter val="18,94"/>
        <filter val="19,05"/>
        <filter val="192,00"/>
        <filter val="2 000,00"/>
        <filter val="200,00"/>
        <filter val="216,00"/>
        <filter val="23,81"/>
        <filter val="248,65"/>
        <filter val="27,78"/>
        <filter val="30,00"/>
        <filter val="300,00"/>
        <filter val="333,33"/>
        <filter val="350,00"/>
        <filter val="48,00"/>
        <filter val="5 000,00"/>
        <filter val="50,00"/>
        <filter val="56,82"/>
        <filter val="66,29"/>
        <filter val="712,00"/>
        <filter val="8 652,00"/>
        <filter val="9 018,09"/>
        <filter val="9 368,09"/>
        <filter val="925,77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2025-04-24T11:02:58Z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