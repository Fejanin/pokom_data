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9F198C7-BB30-43D1-8EBC-A13D073A9F0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X594" i="1"/>
  <c r="BO593" i="1"/>
  <c r="BM593" i="1"/>
  <c r="Y593" i="1"/>
  <c r="X591" i="1"/>
  <c r="X590" i="1"/>
  <c r="BO589" i="1"/>
  <c r="BM589" i="1"/>
  <c r="Y589" i="1"/>
  <c r="X587" i="1"/>
  <c r="X586" i="1"/>
  <c r="BO585" i="1"/>
  <c r="BM585" i="1"/>
  <c r="Y585" i="1"/>
  <c r="X583" i="1"/>
  <c r="X582" i="1"/>
  <c r="BO581" i="1"/>
  <c r="BM581" i="1"/>
  <c r="Y581" i="1"/>
  <c r="X578" i="1"/>
  <c r="X577" i="1"/>
  <c r="BO576" i="1"/>
  <c r="BM576" i="1"/>
  <c r="Y576" i="1"/>
  <c r="BO575" i="1"/>
  <c r="BM575" i="1"/>
  <c r="Y575" i="1"/>
  <c r="BO574" i="1"/>
  <c r="BM574" i="1"/>
  <c r="Y574" i="1"/>
  <c r="BO573" i="1"/>
  <c r="BM573" i="1"/>
  <c r="Y573" i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X562" i="1"/>
  <c r="BO561" i="1"/>
  <c r="BM561" i="1"/>
  <c r="Y561" i="1"/>
  <c r="BO560" i="1"/>
  <c r="BM560" i="1"/>
  <c r="Y560" i="1"/>
  <c r="BO559" i="1"/>
  <c r="BM559" i="1"/>
  <c r="Y559" i="1"/>
  <c r="BO558" i="1"/>
  <c r="BM558" i="1"/>
  <c r="Y558" i="1"/>
  <c r="BO557" i="1"/>
  <c r="BM557" i="1"/>
  <c r="Y557" i="1"/>
  <c r="BO556" i="1"/>
  <c r="BM556" i="1"/>
  <c r="Y556" i="1"/>
  <c r="BO555" i="1"/>
  <c r="BM555" i="1"/>
  <c r="Y555" i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X544" i="1"/>
  <c r="BO543" i="1"/>
  <c r="BM543" i="1"/>
  <c r="Y543" i="1"/>
  <c r="BO542" i="1"/>
  <c r="BM542" i="1"/>
  <c r="Y542" i="1"/>
  <c r="BO541" i="1"/>
  <c r="BM541" i="1"/>
  <c r="Y541" i="1"/>
  <c r="BO540" i="1"/>
  <c r="BM540" i="1"/>
  <c r="Y540" i="1"/>
  <c r="BO539" i="1"/>
  <c r="BM539" i="1"/>
  <c r="Y539" i="1"/>
  <c r="BO538" i="1"/>
  <c r="BM538" i="1"/>
  <c r="Y538" i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O520" i="1"/>
  <c r="BN520" i="1"/>
  <c r="BM520" i="1"/>
  <c r="Z520" i="1"/>
  <c r="Y520" i="1"/>
  <c r="BP520" i="1" s="1"/>
  <c r="P520" i="1"/>
  <c r="BO519" i="1"/>
  <c r="BM519" i="1"/>
  <c r="Y519" i="1"/>
  <c r="BO518" i="1"/>
  <c r="BM518" i="1"/>
  <c r="Y518" i="1"/>
  <c r="P518" i="1"/>
  <c r="BP517" i="1"/>
  <c r="BO517" i="1"/>
  <c r="BN517" i="1"/>
  <c r="BM517" i="1"/>
  <c r="Z517" i="1"/>
  <c r="Y517" i="1"/>
  <c r="BP516" i="1"/>
  <c r="BO516" i="1"/>
  <c r="BN516" i="1"/>
  <c r="BM516" i="1"/>
  <c r="Z516" i="1"/>
  <c r="Y516" i="1"/>
  <c r="BP515" i="1"/>
  <c r="BO515" i="1"/>
  <c r="BN515" i="1"/>
  <c r="BM515" i="1"/>
  <c r="Z515" i="1"/>
  <c r="Y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BP512" i="1"/>
  <c r="BO512" i="1"/>
  <c r="BN512" i="1"/>
  <c r="BM512" i="1"/>
  <c r="Z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P505" i="1"/>
  <c r="X503" i="1"/>
  <c r="X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O464" i="1"/>
  <c r="BM464" i="1"/>
  <c r="Y464" i="1"/>
  <c r="BO463" i="1"/>
  <c r="BM463" i="1"/>
  <c r="Y463" i="1"/>
  <c r="P463" i="1"/>
  <c r="BO462" i="1"/>
  <c r="BM462" i="1"/>
  <c r="Y462" i="1"/>
  <c r="X460" i="1"/>
  <c r="X459" i="1"/>
  <c r="BO458" i="1"/>
  <c r="BM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O451" i="1"/>
  <c r="BM451" i="1"/>
  <c r="Y451" i="1"/>
  <c r="Y453" i="1" s="1"/>
  <c r="P451" i="1"/>
  <c r="X449" i="1"/>
  <c r="X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BO443" i="1"/>
  <c r="BM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O401" i="1"/>
  <c r="BM401" i="1"/>
  <c r="Y401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O347" i="1"/>
  <c r="BM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19" i="1"/>
  <c r="X318" i="1"/>
  <c r="BO317" i="1"/>
  <c r="BM317" i="1"/>
  <c r="Y317" i="1"/>
  <c r="P317" i="1"/>
  <c r="BO316" i="1"/>
  <c r="BM316" i="1"/>
  <c r="Y316" i="1"/>
  <c r="Y318" i="1" s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P307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X269" i="1"/>
  <c r="X268" i="1"/>
  <c r="BO267" i="1"/>
  <c r="BM267" i="1"/>
  <c r="Y267" i="1"/>
  <c r="P267" i="1"/>
  <c r="BO266" i="1"/>
  <c r="BN266" i="1"/>
  <c r="BM266" i="1"/>
  <c r="Z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X250" i="1"/>
  <c r="BO249" i="1"/>
  <c r="BM249" i="1"/>
  <c r="Y249" i="1"/>
  <c r="X247" i="1"/>
  <c r="X246" i="1"/>
  <c r="BO245" i="1"/>
  <c r="BM245" i="1"/>
  <c r="Y245" i="1"/>
  <c r="BP245" i="1" s="1"/>
  <c r="P245" i="1"/>
  <c r="BO244" i="1"/>
  <c r="BM244" i="1"/>
  <c r="Y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N238" i="1"/>
  <c r="BM238" i="1"/>
  <c r="Z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BP227" i="1" s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BP199" i="1" s="1"/>
  <c r="P199" i="1"/>
  <c r="X197" i="1"/>
  <c r="X196" i="1"/>
  <c r="BO195" i="1"/>
  <c r="BM195" i="1"/>
  <c r="Y195" i="1"/>
  <c r="BP195" i="1" s="1"/>
  <c r="P195" i="1"/>
  <c r="BO194" i="1"/>
  <c r="BM194" i="1"/>
  <c r="Y194" i="1"/>
  <c r="Y196" i="1" s="1"/>
  <c r="P194" i="1"/>
  <c r="X191" i="1"/>
  <c r="X190" i="1"/>
  <c r="BO189" i="1"/>
  <c r="BM189" i="1"/>
  <c r="Y189" i="1"/>
  <c r="X187" i="1"/>
  <c r="X186" i="1"/>
  <c r="BO185" i="1"/>
  <c r="BM185" i="1"/>
  <c r="Y185" i="1"/>
  <c r="BP185" i="1" s="1"/>
  <c r="BO184" i="1"/>
  <c r="BM184" i="1"/>
  <c r="Y184" i="1"/>
  <c r="BP184" i="1" s="1"/>
  <c r="BO183" i="1"/>
  <c r="BM183" i="1"/>
  <c r="Y183" i="1"/>
  <c r="Y187" i="1" s="1"/>
  <c r="X181" i="1"/>
  <c r="X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X169" i="1"/>
  <c r="X168" i="1"/>
  <c r="BO167" i="1"/>
  <c r="BM167" i="1"/>
  <c r="Y167" i="1"/>
  <c r="Y168" i="1" s="1"/>
  <c r="P167" i="1"/>
  <c r="X163" i="1"/>
  <c r="X162" i="1"/>
  <c r="BO161" i="1"/>
  <c r="BM161" i="1"/>
  <c r="Y161" i="1"/>
  <c r="Y163" i="1" s="1"/>
  <c r="P161" i="1"/>
  <c r="X159" i="1"/>
  <c r="X158" i="1"/>
  <c r="BO157" i="1"/>
  <c r="BM157" i="1"/>
  <c r="Y157" i="1"/>
  <c r="BP157" i="1" s="1"/>
  <c r="P157" i="1"/>
  <c r="BO156" i="1"/>
  <c r="BM156" i="1"/>
  <c r="Y156" i="1"/>
  <c r="P156" i="1"/>
  <c r="BP155" i="1"/>
  <c r="BO155" i="1"/>
  <c r="BN155" i="1"/>
  <c r="BM155" i="1"/>
  <c r="Z155" i="1"/>
  <c r="Y155" i="1"/>
  <c r="P155" i="1"/>
  <c r="X153" i="1"/>
  <c r="Y152" i="1"/>
  <c r="X152" i="1"/>
  <c r="BP151" i="1"/>
  <c r="BO151" i="1"/>
  <c r="BN151" i="1"/>
  <c r="BM151" i="1"/>
  <c r="Z151" i="1"/>
  <c r="Z152" i="1" s="1"/>
  <c r="Y151" i="1"/>
  <c r="P151" i="1"/>
  <c r="X148" i="1"/>
  <c r="X147" i="1"/>
  <c r="BO146" i="1"/>
  <c r="BM146" i="1"/>
  <c r="Y146" i="1"/>
  <c r="BP146" i="1" s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BP140" i="1" s="1"/>
  <c r="P140" i="1"/>
  <c r="X138" i="1"/>
  <c r="X137" i="1"/>
  <c r="BO136" i="1"/>
  <c r="BM136" i="1"/>
  <c r="Y136" i="1"/>
  <c r="BP136" i="1" s="1"/>
  <c r="P136" i="1"/>
  <c r="BO135" i="1"/>
  <c r="BM135" i="1"/>
  <c r="Y135" i="1"/>
  <c r="Y137" i="1" s="1"/>
  <c r="P135" i="1"/>
  <c r="X132" i="1"/>
  <c r="X131" i="1"/>
  <c r="BO130" i="1"/>
  <c r="BM130" i="1"/>
  <c r="Y130" i="1"/>
  <c r="P130" i="1"/>
  <c r="BO129" i="1"/>
  <c r="BM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BP87" i="1" s="1"/>
  <c r="P87" i="1"/>
  <c r="X84" i="1"/>
  <c r="X83" i="1"/>
  <c r="BO82" i="1"/>
  <c r="BM82" i="1"/>
  <c r="Y82" i="1"/>
  <c r="BP82" i="1" s="1"/>
  <c r="P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P61" i="1"/>
  <c r="BO60" i="1"/>
  <c r="BM60" i="1"/>
  <c r="Y60" i="1"/>
  <c r="BP60" i="1" s="1"/>
  <c r="P60" i="1"/>
  <c r="BO59" i="1"/>
  <c r="BM59" i="1"/>
  <c r="Y59" i="1"/>
  <c r="P59" i="1"/>
  <c r="BO58" i="1"/>
  <c r="BM58" i="1"/>
  <c r="Y58" i="1"/>
  <c r="BP58" i="1" s="1"/>
  <c r="P58" i="1"/>
  <c r="X56" i="1"/>
  <c r="X55" i="1"/>
  <c r="BO54" i="1"/>
  <c r="BM54" i="1"/>
  <c r="Y54" i="1"/>
  <c r="BP54" i="1" s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Y259" i="1" l="1"/>
  <c r="Y258" i="1"/>
  <c r="BP253" i="1"/>
  <c r="BN253" i="1"/>
  <c r="Z253" i="1"/>
  <c r="BP255" i="1"/>
  <c r="BN255" i="1"/>
  <c r="Z255" i="1"/>
  <c r="BP257" i="1"/>
  <c r="BN257" i="1"/>
  <c r="Z257" i="1"/>
  <c r="BP262" i="1"/>
  <c r="BN262" i="1"/>
  <c r="Z262" i="1"/>
  <c r="BP339" i="1"/>
  <c r="BN339" i="1"/>
  <c r="Z339" i="1"/>
  <c r="BP364" i="1"/>
  <c r="BN364" i="1"/>
  <c r="Z364" i="1"/>
  <c r="BP397" i="1"/>
  <c r="BN397" i="1"/>
  <c r="Z397" i="1"/>
  <c r="Y421" i="1"/>
  <c r="Y420" i="1"/>
  <c r="BP419" i="1"/>
  <c r="BN419" i="1"/>
  <c r="Z419" i="1"/>
  <c r="Z420" i="1" s="1"/>
  <c r="BP423" i="1"/>
  <c r="BN423" i="1"/>
  <c r="Z423" i="1"/>
  <c r="BP471" i="1"/>
  <c r="BN471" i="1"/>
  <c r="Z471" i="1"/>
  <c r="Y477" i="1"/>
  <c r="BP476" i="1"/>
  <c r="BN476" i="1"/>
  <c r="Z476" i="1"/>
  <c r="Z477" i="1" s="1"/>
  <c r="BN480" i="1"/>
  <c r="Z480" i="1"/>
  <c r="Z481" i="1" s="1"/>
  <c r="BP488" i="1"/>
  <c r="BN488" i="1"/>
  <c r="Z488" i="1"/>
  <c r="BP496" i="1"/>
  <c r="BN496" i="1"/>
  <c r="Z496" i="1"/>
  <c r="BP498" i="1"/>
  <c r="BN498" i="1"/>
  <c r="Z498" i="1"/>
  <c r="X600" i="1"/>
  <c r="Z38" i="1"/>
  <c r="BN38" i="1"/>
  <c r="Z58" i="1"/>
  <c r="BN58" i="1"/>
  <c r="Z74" i="1"/>
  <c r="BN74" i="1"/>
  <c r="Z89" i="1"/>
  <c r="BN89" i="1"/>
  <c r="Y103" i="1"/>
  <c r="Z106" i="1"/>
  <c r="BN106" i="1"/>
  <c r="Z136" i="1"/>
  <c r="BN136" i="1"/>
  <c r="Z140" i="1"/>
  <c r="BN140" i="1"/>
  <c r="Z173" i="1"/>
  <c r="BN173" i="1"/>
  <c r="Z178" i="1"/>
  <c r="BN178" i="1"/>
  <c r="Z183" i="1"/>
  <c r="Z186" i="1" s="1"/>
  <c r="BN183" i="1"/>
  <c r="BP183" i="1"/>
  <c r="Z184" i="1"/>
  <c r="BN184" i="1"/>
  <c r="Z185" i="1"/>
  <c r="BN185" i="1"/>
  <c r="Y186" i="1"/>
  <c r="Z209" i="1"/>
  <c r="BN209" i="1"/>
  <c r="Z219" i="1"/>
  <c r="BN219" i="1"/>
  <c r="Z234" i="1"/>
  <c r="BN234" i="1"/>
  <c r="BP254" i="1"/>
  <c r="BN254" i="1"/>
  <c r="Z254" i="1"/>
  <c r="BP256" i="1"/>
  <c r="BN256" i="1"/>
  <c r="Z256" i="1"/>
  <c r="BP317" i="1"/>
  <c r="BN317" i="1"/>
  <c r="Z317" i="1"/>
  <c r="T606" i="1"/>
  <c r="Y323" i="1"/>
  <c r="BP322" i="1"/>
  <c r="BN322" i="1"/>
  <c r="Z322" i="1"/>
  <c r="Z323" i="1" s="1"/>
  <c r="BP327" i="1"/>
  <c r="BN327" i="1"/>
  <c r="Z327" i="1"/>
  <c r="BP351" i="1"/>
  <c r="BN351" i="1"/>
  <c r="Z351" i="1"/>
  <c r="BP385" i="1"/>
  <c r="BN385" i="1"/>
  <c r="Z385" i="1"/>
  <c r="AA606" i="1"/>
  <c r="Y472" i="1"/>
  <c r="BP470" i="1"/>
  <c r="BN470" i="1"/>
  <c r="Z470" i="1"/>
  <c r="BP495" i="1"/>
  <c r="BN495" i="1"/>
  <c r="Z495" i="1"/>
  <c r="BP497" i="1"/>
  <c r="BN497" i="1"/>
  <c r="Z497" i="1"/>
  <c r="BP526" i="1"/>
  <c r="BN526" i="1"/>
  <c r="Z526" i="1"/>
  <c r="BP288" i="1"/>
  <c r="BN288" i="1"/>
  <c r="Z288" i="1"/>
  <c r="BP337" i="1"/>
  <c r="BN337" i="1"/>
  <c r="Z337" i="1"/>
  <c r="BP347" i="1"/>
  <c r="BN347" i="1"/>
  <c r="Z347" i="1"/>
  <c r="BP360" i="1"/>
  <c r="BN360" i="1"/>
  <c r="Z360" i="1"/>
  <c r="BP383" i="1"/>
  <c r="BN383" i="1"/>
  <c r="Z383" i="1"/>
  <c r="BP391" i="1"/>
  <c r="BN391" i="1"/>
  <c r="Z391" i="1"/>
  <c r="BP415" i="1"/>
  <c r="BN415" i="1"/>
  <c r="Z415" i="1"/>
  <c r="Y432" i="1"/>
  <c r="Y431" i="1"/>
  <c r="BP430" i="1"/>
  <c r="BN430" i="1"/>
  <c r="Z430" i="1"/>
  <c r="Z431" i="1" s="1"/>
  <c r="BP443" i="1"/>
  <c r="BN443" i="1"/>
  <c r="Z443" i="1"/>
  <c r="BP452" i="1"/>
  <c r="BN452" i="1"/>
  <c r="Z452" i="1"/>
  <c r="BP457" i="1"/>
  <c r="BN457" i="1"/>
  <c r="Z457" i="1"/>
  <c r="BP465" i="1"/>
  <c r="BN465" i="1"/>
  <c r="Z465" i="1"/>
  <c r="Z26" i="1"/>
  <c r="BN26" i="1"/>
  <c r="Z40" i="1"/>
  <c r="BN40" i="1"/>
  <c r="Z50" i="1"/>
  <c r="BN50" i="1"/>
  <c r="Z54" i="1"/>
  <c r="BN54" i="1"/>
  <c r="Z60" i="1"/>
  <c r="BN60" i="1"/>
  <c r="Z72" i="1"/>
  <c r="BN72" i="1"/>
  <c r="Z76" i="1"/>
  <c r="BN76" i="1"/>
  <c r="X596" i="1"/>
  <c r="Y84" i="1"/>
  <c r="Z82" i="1"/>
  <c r="BN82" i="1"/>
  <c r="Y83" i="1"/>
  <c r="Z87" i="1"/>
  <c r="BN87" i="1"/>
  <c r="Z93" i="1"/>
  <c r="BN93" i="1"/>
  <c r="BP93" i="1"/>
  <c r="Z101" i="1"/>
  <c r="BN101" i="1"/>
  <c r="Z108" i="1"/>
  <c r="BN108" i="1"/>
  <c r="Z120" i="1"/>
  <c r="BN120" i="1"/>
  <c r="Z121" i="1"/>
  <c r="BN121" i="1"/>
  <c r="Z122" i="1"/>
  <c r="BN122" i="1"/>
  <c r="Z123" i="1"/>
  <c r="BN123" i="1"/>
  <c r="Z129" i="1"/>
  <c r="BN129" i="1"/>
  <c r="BP129" i="1"/>
  <c r="Z146" i="1"/>
  <c r="BN146" i="1"/>
  <c r="Y159" i="1"/>
  <c r="Z157" i="1"/>
  <c r="BN157" i="1"/>
  <c r="Y158" i="1"/>
  <c r="Z161" i="1"/>
  <c r="Z162" i="1" s="1"/>
  <c r="BN161" i="1"/>
  <c r="BP161" i="1"/>
  <c r="Y162" i="1"/>
  <c r="Z167" i="1"/>
  <c r="Z168" i="1" s="1"/>
  <c r="BN167" i="1"/>
  <c r="BP167" i="1"/>
  <c r="Z171" i="1"/>
  <c r="BN171" i="1"/>
  <c r="Z175" i="1"/>
  <c r="BN175" i="1"/>
  <c r="Z176" i="1"/>
  <c r="BN176" i="1"/>
  <c r="Z195" i="1"/>
  <c r="BN195" i="1"/>
  <c r="Z199" i="1"/>
  <c r="BN199" i="1"/>
  <c r="Z207" i="1"/>
  <c r="BN207" i="1"/>
  <c r="Z211" i="1"/>
  <c r="BN211" i="1"/>
  <c r="Z217" i="1"/>
  <c r="BN217" i="1"/>
  <c r="Z221" i="1"/>
  <c r="BN221" i="1"/>
  <c r="Z227" i="1"/>
  <c r="BN227" i="1"/>
  <c r="Z236" i="1"/>
  <c r="BN236" i="1"/>
  <c r="Z240" i="1"/>
  <c r="BN240" i="1"/>
  <c r="Z245" i="1"/>
  <c r="BN245" i="1"/>
  <c r="Z264" i="1"/>
  <c r="BN264" i="1"/>
  <c r="BP329" i="1"/>
  <c r="BN329" i="1"/>
  <c r="Z329" i="1"/>
  <c r="BP343" i="1"/>
  <c r="BN343" i="1"/>
  <c r="Z343" i="1"/>
  <c r="BP353" i="1"/>
  <c r="BN353" i="1"/>
  <c r="Z353" i="1"/>
  <c r="BP366" i="1"/>
  <c r="BN366" i="1"/>
  <c r="Z366" i="1"/>
  <c r="Y372" i="1"/>
  <c r="BP371" i="1"/>
  <c r="BN371" i="1"/>
  <c r="Z371" i="1"/>
  <c r="Z372" i="1" s="1"/>
  <c r="BP375" i="1"/>
  <c r="BN375" i="1"/>
  <c r="Z375" i="1"/>
  <c r="BP387" i="1"/>
  <c r="BN387" i="1"/>
  <c r="Z387" i="1"/>
  <c r="Y408" i="1"/>
  <c r="Y407" i="1"/>
  <c r="BP406" i="1"/>
  <c r="BN406" i="1"/>
  <c r="Z406" i="1"/>
  <c r="Z407" i="1" s="1"/>
  <c r="Y417" i="1"/>
  <c r="BP411" i="1"/>
  <c r="BN411" i="1"/>
  <c r="Z411" i="1"/>
  <c r="BP425" i="1"/>
  <c r="BN425" i="1"/>
  <c r="Z425" i="1"/>
  <c r="BP444" i="1"/>
  <c r="BN444" i="1"/>
  <c r="Z444" i="1"/>
  <c r="BP462" i="1"/>
  <c r="BN462" i="1"/>
  <c r="Z462" i="1"/>
  <c r="BP490" i="1"/>
  <c r="BN490" i="1"/>
  <c r="Z490" i="1"/>
  <c r="BP500" i="1"/>
  <c r="BN500" i="1"/>
  <c r="Z500" i="1"/>
  <c r="BP528" i="1"/>
  <c r="BN528" i="1"/>
  <c r="Z528" i="1"/>
  <c r="Y545" i="1"/>
  <c r="Y544" i="1"/>
  <c r="BP538" i="1"/>
  <c r="BN538" i="1"/>
  <c r="Z538" i="1"/>
  <c r="BP540" i="1"/>
  <c r="BN540" i="1"/>
  <c r="Z540" i="1"/>
  <c r="BP542" i="1"/>
  <c r="BN542" i="1"/>
  <c r="Z542" i="1"/>
  <c r="BP556" i="1"/>
  <c r="BN556" i="1"/>
  <c r="Z556" i="1"/>
  <c r="BP558" i="1"/>
  <c r="BN558" i="1"/>
  <c r="Z558" i="1"/>
  <c r="BP560" i="1"/>
  <c r="BN560" i="1"/>
  <c r="Z560" i="1"/>
  <c r="BP574" i="1"/>
  <c r="BN574" i="1"/>
  <c r="Z574" i="1"/>
  <c r="BP576" i="1"/>
  <c r="BN576" i="1"/>
  <c r="Z576" i="1"/>
  <c r="Y587" i="1"/>
  <c r="Y586" i="1"/>
  <c r="BP585" i="1"/>
  <c r="BN585" i="1"/>
  <c r="Z585" i="1"/>
  <c r="Z586" i="1" s="1"/>
  <c r="Y595" i="1"/>
  <c r="Y594" i="1"/>
  <c r="BP593" i="1"/>
  <c r="BN593" i="1"/>
  <c r="Z593" i="1"/>
  <c r="Z594" i="1" s="1"/>
  <c r="Y368" i="1"/>
  <c r="Y367" i="1"/>
  <c r="Y427" i="1"/>
  <c r="Y478" i="1"/>
  <c r="AB606" i="1"/>
  <c r="Y482" i="1"/>
  <c r="Y481" i="1"/>
  <c r="BP480" i="1"/>
  <c r="BP486" i="1"/>
  <c r="BN486" i="1"/>
  <c r="Z486" i="1"/>
  <c r="BP493" i="1"/>
  <c r="BN493" i="1"/>
  <c r="Z493" i="1"/>
  <c r="BP522" i="1"/>
  <c r="BN522" i="1"/>
  <c r="Z522" i="1"/>
  <c r="BP539" i="1"/>
  <c r="BN539" i="1"/>
  <c r="Z539" i="1"/>
  <c r="BP541" i="1"/>
  <c r="BN541" i="1"/>
  <c r="Z541" i="1"/>
  <c r="BP543" i="1"/>
  <c r="BN543" i="1"/>
  <c r="Z543" i="1"/>
  <c r="Y563" i="1"/>
  <c r="Y562" i="1"/>
  <c r="BP555" i="1"/>
  <c r="BN555" i="1"/>
  <c r="Z555" i="1"/>
  <c r="BP557" i="1"/>
  <c r="BN557" i="1"/>
  <c r="Z557" i="1"/>
  <c r="BP559" i="1"/>
  <c r="BN559" i="1"/>
  <c r="Z559" i="1"/>
  <c r="BP561" i="1"/>
  <c r="BN561" i="1"/>
  <c r="Z561" i="1"/>
  <c r="Y578" i="1"/>
  <c r="Y577" i="1"/>
  <c r="BP573" i="1"/>
  <c r="BN573" i="1"/>
  <c r="Z573" i="1"/>
  <c r="BP575" i="1"/>
  <c r="BN575" i="1"/>
  <c r="Z575" i="1"/>
  <c r="Y530" i="1"/>
  <c r="Y529" i="1"/>
  <c r="F9" i="1"/>
  <c r="J9" i="1"/>
  <c r="F10" i="1"/>
  <c r="Y29" i="1"/>
  <c r="Y33" i="1"/>
  <c r="C606" i="1"/>
  <c r="Y41" i="1"/>
  <c r="BP51" i="1"/>
  <c r="BN51" i="1"/>
  <c r="Z51" i="1"/>
  <c r="Y55" i="1"/>
  <c r="BP59" i="1"/>
  <c r="BN59" i="1"/>
  <c r="Z59" i="1"/>
  <c r="BP67" i="1"/>
  <c r="BN67" i="1"/>
  <c r="Z67" i="1"/>
  <c r="Y69" i="1"/>
  <c r="Y78" i="1"/>
  <c r="BP71" i="1"/>
  <c r="BN71" i="1"/>
  <c r="Z71" i="1"/>
  <c r="BP75" i="1"/>
  <c r="BN75" i="1"/>
  <c r="Z75" i="1"/>
  <c r="BP88" i="1"/>
  <c r="BN88" i="1"/>
  <c r="Z88" i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1" i="1"/>
  <c r="Y116" i="1"/>
  <c r="BP113" i="1"/>
  <c r="BN113" i="1"/>
  <c r="Z113" i="1"/>
  <c r="BP124" i="1"/>
  <c r="BN124" i="1"/>
  <c r="Z124" i="1"/>
  <c r="BP141" i="1"/>
  <c r="BN141" i="1"/>
  <c r="Z141" i="1"/>
  <c r="Z142" i="1" s="1"/>
  <c r="Y143" i="1"/>
  <c r="Y148" i="1"/>
  <c r="BP145" i="1"/>
  <c r="BN145" i="1"/>
  <c r="Z145" i="1"/>
  <c r="BP172" i="1"/>
  <c r="BN172" i="1"/>
  <c r="Z172" i="1"/>
  <c r="BP177" i="1"/>
  <c r="BN177" i="1"/>
  <c r="Z177" i="1"/>
  <c r="BP200" i="1"/>
  <c r="BN200" i="1"/>
  <c r="Z200" i="1"/>
  <c r="Z201" i="1" s="1"/>
  <c r="Y202" i="1"/>
  <c r="Y213" i="1"/>
  <c r="BP204" i="1"/>
  <c r="BN204" i="1"/>
  <c r="Z204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606" i="1"/>
  <c r="Y242" i="1"/>
  <c r="BP233" i="1"/>
  <c r="BN233" i="1"/>
  <c r="Z233" i="1"/>
  <c r="BP237" i="1"/>
  <c r="BN237" i="1"/>
  <c r="Z237" i="1"/>
  <c r="Y241" i="1"/>
  <c r="Y247" i="1"/>
  <c r="BP244" i="1"/>
  <c r="BN244" i="1"/>
  <c r="Z244" i="1"/>
  <c r="Z246" i="1" s="1"/>
  <c r="BP265" i="1"/>
  <c r="BN265" i="1"/>
  <c r="Z265" i="1"/>
  <c r="BP279" i="1"/>
  <c r="BN279" i="1"/>
  <c r="Z279" i="1"/>
  <c r="BP287" i="1"/>
  <c r="BN287" i="1"/>
  <c r="Z287" i="1"/>
  <c r="BP328" i="1"/>
  <c r="BN328" i="1"/>
  <c r="Z328" i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Z354" i="1" s="1"/>
  <c r="BP358" i="1"/>
  <c r="BN358" i="1"/>
  <c r="Z358" i="1"/>
  <c r="BP376" i="1"/>
  <c r="BN376" i="1"/>
  <c r="Z376" i="1"/>
  <c r="Z378" i="1" s="1"/>
  <c r="Y378" i="1"/>
  <c r="BP426" i="1"/>
  <c r="BN426" i="1"/>
  <c r="Z426" i="1"/>
  <c r="Y428" i="1"/>
  <c r="Y606" i="1"/>
  <c r="Y448" i="1"/>
  <c r="BP436" i="1"/>
  <c r="BN436" i="1"/>
  <c r="Z436" i="1"/>
  <c r="Y449" i="1"/>
  <c r="BP438" i="1"/>
  <c r="BN438" i="1"/>
  <c r="Z438" i="1"/>
  <c r="BP440" i="1"/>
  <c r="BN440" i="1"/>
  <c r="Z440" i="1"/>
  <c r="BP445" i="1"/>
  <c r="BN445" i="1"/>
  <c r="Z445" i="1"/>
  <c r="BP458" i="1"/>
  <c r="BN458" i="1"/>
  <c r="Z458" i="1"/>
  <c r="Z459" i="1" s="1"/>
  <c r="Y460" i="1"/>
  <c r="BP463" i="1"/>
  <c r="BN463" i="1"/>
  <c r="Z463" i="1"/>
  <c r="Y466" i="1"/>
  <c r="BP487" i="1"/>
  <c r="BN487" i="1"/>
  <c r="Z487" i="1"/>
  <c r="BP491" i="1"/>
  <c r="BN491" i="1"/>
  <c r="Z491" i="1"/>
  <c r="BP494" i="1"/>
  <c r="BN494" i="1"/>
  <c r="Z494" i="1"/>
  <c r="BP501" i="1"/>
  <c r="BN501" i="1"/>
  <c r="Z501" i="1"/>
  <c r="Y503" i="1"/>
  <c r="Y509" i="1"/>
  <c r="BP505" i="1"/>
  <c r="BN505" i="1"/>
  <c r="Z505" i="1"/>
  <c r="Y510" i="1"/>
  <c r="BP507" i="1"/>
  <c r="BN507" i="1"/>
  <c r="Z507" i="1"/>
  <c r="BP519" i="1"/>
  <c r="BN519" i="1"/>
  <c r="Z519" i="1"/>
  <c r="Y533" i="1"/>
  <c r="BP532" i="1"/>
  <c r="BN532" i="1"/>
  <c r="Z532" i="1"/>
  <c r="Z533" i="1" s="1"/>
  <c r="Y534" i="1"/>
  <c r="Y552" i="1"/>
  <c r="BP547" i="1"/>
  <c r="BN547" i="1"/>
  <c r="Z547" i="1"/>
  <c r="AD606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G606" i="1"/>
  <c r="X606" i="1"/>
  <c r="H9" i="1"/>
  <c r="B606" i="1"/>
  <c r="X597" i="1"/>
  <c r="X598" i="1"/>
  <c r="Z23" i="1"/>
  <c r="BN23" i="1"/>
  <c r="Z24" i="1"/>
  <c r="BN24" i="1"/>
  <c r="Z25" i="1"/>
  <c r="BN25" i="1"/>
  <c r="Z27" i="1"/>
  <c r="BN27" i="1"/>
  <c r="Y28" i="1"/>
  <c r="Z31" i="1"/>
  <c r="Z32" i="1" s="1"/>
  <c r="BN31" i="1"/>
  <c r="BP31" i="1"/>
  <c r="Z37" i="1"/>
  <c r="BN37" i="1"/>
  <c r="BP37" i="1"/>
  <c r="Z39" i="1"/>
  <c r="BN39" i="1"/>
  <c r="Y42" i="1"/>
  <c r="Y45" i="1"/>
  <c r="BP44" i="1"/>
  <c r="BN44" i="1"/>
  <c r="Z44" i="1"/>
  <c r="Z45" i="1" s="1"/>
  <c r="Y46" i="1"/>
  <c r="D606" i="1"/>
  <c r="Y56" i="1"/>
  <c r="BP49" i="1"/>
  <c r="BN49" i="1"/>
  <c r="Z49" i="1"/>
  <c r="BP53" i="1"/>
  <c r="BN53" i="1"/>
  <c r="Z53" i="1"/>
  <c r="Y62" i="1"/>
  <c r="BP61" i="1"/>
  <c r="BN61" i="1"/>
  <c r="Z61" i="1"/>
  <c r="Y63" i="1"/>
  <c r="Y68" i="1"/>
  <c r="BP65" i="1"/>
  <c r="BN65" i="1"/>
  <c r="Z65" i="1"/>
  <c r="BP73" i="1"/>
  <c r="BN73" i="1"/>
  <c r="Z73" i="1"/>
  <c r="Y77" i="1"/>
  <c r="BP81" i="1"/>
  <c r="BN81" i="1"/>
  <c r="Z81" i="1"/>
  <c r="Z83" i="1" s="1"/>
  <c r="Y90" i="1"/>
  <c r="BP94" i="1"/>
  <c r="BN94" i="1"/>
  <c r="Z94" i="1"/>
  <c r="BP96" i="1"/>
  <c r="BN96" i="1"/>
  <c r="Z96" i="1"/>
  <c r="BP98" i="1"/>
  <c r="BN98" i="1"/>
  <c r="Z98" i="1"/>
  <c r="Y102" i="1"/>
  <c r="BP107" i="1"/>
  <c r="BN107" i="1"/>
  <c r="Z107" i="1"/>
  <c r="Z110" i="1" s="1"/>
  <c r="BP115" i="1"/>
  <c r="BN115" i="1"/>
  <c r="Z115" i="1"/>
  <c r="Y117" i="1"/>
  <c r="Y127" i="1"/>
  <c r="BP119" i="1"/>
  <c r="BN119" i="1"/>
  <c r="Z119" i="1"/>
  <c r="Z126" i="1" s="1"/>
  <c r="Y126" i="1"/>
  <c r="BP130" i="1"/>
  <c r="BN130" i="1"/>
  <c r="Z130" i="1"/>
  <c r="Z131" i="1" s="1"/>
  <c r="Y132" i="1"/>
  <c r="Y138" i="1"/>
  <c r="BP135" i="1"/>
  <c r="BN135" i="1"/>
  <c r="Z135" i="1"/>
  <c r="Y142" i="1"/>
  <c r="Y147" i="1"/>
  <c r="BP156" i="1"/>
  <c r="BN156" i="1"/>
  <c r="Z156" i="1"/>
  <c r="Z158" i="1" s="1"/>
  <c r="Y180" i="1"/>
  <c r="BP174" i="1"/>
  <c r="BN174" i="1"/>
  <c r="Z174" i="1"/>
  <c r="BP179" i="1"/>
  <c r="BN179" i="1"/>
  <c r="Z179" i="1"/>
  <c r="Y181" i="1"/>
  <c r="Y190" i="1"/>
  <c r="BP189" i="1"/>
  <c r="BN189" i="1"/>
  <c r="Z189" i="1"/>
  <c r="Z190" i="1" s="1"/>
  <c r="Y191" i="1"/>
  <c r="J606" i="1"/>
  <c r="Y197" i="1"/>
  <c r="BP194" i="1"/>
  <c r="BN194" i="1"/>
  <c r="Z194" i="1"/>
  <c r="Z196" i="1" s="1"/>
  <c r="Y201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Y246" i="1"/>
  <c r="Y250" i="1"/>
  <c r="BP249" i="1"/>
  <c r="BN249" i="1"/>
  <c r="Z249" i="1"/>
  <c r="Z250" i="1" s="1"/>
  <c r="Y251" i="1"/>
  <c r="BP263" i="1"/>
  <c r="BN263" i="1"/>
  <c r="Z263" i="1"/>
  <c r="Z268" i="1" s="1"/>
  <c r="BP267" i="1"/>
  <c r="BN267" i="1"/>
  <c r="Z267" i="1"/>
  <c r="Y269" i="1"/>
  <c r="M606" i="1"/>
  <c r="Y273" i="1"/>
  <c r="BP272" i="1"/>
  <c r="BN272" i="1"/>
  <c r="Z272" i="1"/>
  <c r="Z273" i="1" s="1"/>
  <c r="Y274" i="1"/>
  <c r="O606" i="1"/>
  <c r="Y281" i="1"/>
  <c r="BP277" i="1"/>
  <c r="BN277" i="1"/>
  <c r="Z277" i="1"/>
  <c r="BP280" i="1"/>
  <c r="BN280" i="1"/>
  <c r="Z280" i="1"/>
  <c r="Y282" i="1"/>
  <c r="Y290" i="1"/>
  <c r="BP285" i="1"/>
  <c r="BN285" i="1"/>
  <c r="Z285" i="1"/>
  <c r="BP289" i="1"/>
  <c r="BN289" i="1"/>
  <c r="Z289" i="1"/>
  <c r="Y291" i="1"/>
  <c r="Q606" i="1"/>
  <c r="Y295" i="1"/>
  <c r="BP294" i="1"/>
  <c r="BN294" i="1"/>
  <c r="Z294" i="1"/>
  <c r="Z295" i="1" s="1"/>
  <c r="Y296" i="1"/>
  <c r="Y299" i="1"/>
  <c r="BP298" i="1"/>
  <c r="BN298" i="1"/>
  <c r="Z298" i="1"/>
  <c r="Z299" i="1" s="1"/>
  <c r="Y300" i="1"/>
  <c r="Y303" i="1"/>
  <c r="BP302" i="1"/>
  <c r="BN302" i="1"/>
  <c r="Z302" i="1"/>
  <c r="Z303" i="1" s="1"/>
  <c r="Y304" i="1"/>
  <c r="R606" i="1"/>
  <c r="Y308" i="1"/>
  <c r="BP307" i="1"/>
  <c r="BN307" i="1"/>
  <c r="Z307" i="1"/>
  <c r="Z308" i="1" s="1"/>
  <c r="Y309" i="1"/>
  <c r="S606" i="1"/>
  <c r="Y313" i="1"/>
  <c r="BP312" i="1"/>
  <c r="BN312" i="1"/>
  <c r="Z312" i="1"/>
  <c r="Z313" i="1" s="1"/>
  <c r="Y314" i="1"/>
  <c r="Y319" i="1"/>
  <c r="BP316" i="1"/>
  <c r="BN316" i="1"/>
  <c r="Z316" i="1"/>
  <c r="BP330" i="1"/>
  <c r="BN330" i="1"/>
  <c r="Z330" i="1"/>
  <c r="BP338" i="1"/>
  <c r="BN338" i="1"/>
  <c r="Z338" i="1"/>
  <c r="Y349" i="1"/>
  <c r="BP346" i="1"/>
  <c r="BN346" i="1"/>
  <c r="Z346" i="1"/>
  <c r="Y355" i="1"/>
  <c r="Y354" i="1"/>
  <c r="Y362" i="1"/>
  <c r="Y361" i="1"/>
  <c r="BP357" i="1"/>
  <c r="BN357" i="1"/>
  <c r="Z357" i="1"/>
  <c r="Z361" i="1" s="1"/>
  <c r="BP386" i="1"/>
  <c r="BN386" i="1"/>
  <c r="Z386" i="1"/>
  <c r="BP390" i="1"/>
  <c r="BN390" i="1"/>
  <c r="Z390" i="1"/>
  <c r="Y403" i="1"/>
  <c r="BP401" i="1"/>
  <c r="BN401" i="1"/>
  <c r="Z401" i="1"/>
  <c r="Y404" i="1"/>
  <c r="BP414" i="1"/>
  <c r="BN414" i="1"/>
  <c r="Z414" i="1"/>
  <c r="P606" i="1"/>
  <c r="E606" i="1"/>
  <c r="Y91" i="1"/>
  <c r="F606" i="1"/>
  <c r="Y110" i="1"/>
  <c r="H606" i="1"/>
  <c r="Y153" i="1"/>
  <c r="I606" i="1"/>
  <c r="Y169" i="1"/>
  <c r="L606" i="1"/>
  <c r="Y268" i="1"/>
  <c r="Y324" i="1"/>
  <c r="U606" i="1"/>
  <c r="Y333" i="1"/>
  <c r="BP359" i="1"/>
  <c r="BN359" i="1"/>
  <c r="BP365" i="1"/>
  <c r="BN365" i="1"/>
  <c r="Z365" i="1"/>
  <c r="V606" i="1"/>
  <c r="Y379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BP402" i="1"/>
  <c r="BN402" i="1"/>
  <c r="Z402" i="1"/>
  <c r="BP412" i="1"/>
  <c r="BN412" i="1"/>
  <c r="Z412" i="1"/>
  <c r="Y416" i="1"/>
  <c r="BP424" i="1"/>
  <c r="BN424" i="1"/>
  <c r="Z424" i="1"/>
  <c r="BP437" i="1"/>
  <c r="BN437" i="1"/>
  <c r="Z437" i="1"/>
  <c r="BP439" i="1"/>
  <c r="BN439" i="1"/>
  <c r="Z439" i="1"/>
  <c r="BP442" i="1"/>
  <c r="BN442" i="1"/>
  <c r="Z442" i="1"/>
  <c r="BP447" i="1"/>
  <c r="BN447" i="1"/>
  <c r="Z447" i="1"/>
  <c r="Y454" i="1"/>
  <c r="BP451" i="1"/>
  <c r="BN451" i="1"/>
  <c r="Z451" i="1"/>
  <c r="Z606" i="1"/>
  <c r="Y467" i="1"/>
  <c r="BP464" i="1"/>
  <c r="BN464" i="1"/>
  <c r="Z464" i="1"/>
  <c r="BP489" i="1"/>
  <c r="BN489" i="1"/>
  <c r="Z489" i="1"/>
  <c r="BP492" i="1"/>
  <c r="BN492" i="1"/>
  <c r="Z492" i="1"/>
  <c r="BP499" i="1"/>
  <c r="BN499" i="1"/>
  <c r="Z499" i="1"/>
  <c r="BP506" i="1"/>
  <c r="BN506" i="1"/>
  <c r="Z506" i="1"/>
  <c r="BP508" i="1"/>
  <c r="BN508" i="1"/>
  <c r="Z508" i="1"/>
  <c r="BP518" i="1"/>
  <c r="BN518" i="1"/>
  <c r="Z518" i="1"/>
  <c r="BP521" i="1"/>
  <c r="BN521" i="1"/>
  <c r="Z521" i="1"/>
  <c r="Y373" i="1"/>
  <c r="W606" i="1"/>
  <c r="Y393" i="1"/>
  <c r="Y459" i="1"/>
  <c r="Y473" i="1"/>
  <c r="AC606" i="1"/>
  <c r="Y502" i="1"/>
  <c r="Y524" i="1"/>
  <c r="Y523" i="1"/>
  <c r="BP527" i="1"/>
  <c r="BN527" i="1"/>
  <c r="Z52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Z529" i="1" l="1"/>
  <c r="Z453" i="1"/>
  <c r="Z427" i="1"/>
  <c r="Z416" i="1"/>
  <c r="Z367" i="1"/>
  <c r="Z348" i="1"/>
  <c r="Z318" i="1"/>
  <c r="Z137" i="1"/>
  <c r="Z68" i="1"/>
  <c r="Z147" i="1"/>
  <c r="Z90" i="1"/>
  <c r="Z472" i="1"/>
  <c r="Z258" i="1"/>
  <c r="Z523" i="1"/>
  <c r="Z393" i="1"/>
  <c r="Z290" i="1"/>
  <c r="Z281" i="1"/>
  <c r="Z102" i="1"/>
  <c r="Z41" i="1"/>
  <c r="Z28" i="1"/>
  <c r="X599" i="1"/>
  <c r="Z224" i="1"/>
  <c r="Z180" i="1"/>
  <c r="Z577" i="1"/>
  <c r="Z562" i="1"/>
  <c r="Z544" i="1"/>
  <c r="Y598" i="1"/>
  <c r="Y597" i="1"/>
  <c r="Y599" i="1" s="1"/>
  <c r="Z502" i="1"/>
  <c r="Z466" i="1"/>
  <c r="Z333" i="1"/>
  <c r="Z62" i="1"/>
  <c r="Z403" i="1"/>
  <c r="Z55" i="1"/>
  <c r="Z570" i="1"/>
  <c r="Z552" i="1"/>
  <c r="Z509" i="1"/>
  <c r="Z448" i="1"/>
  <c r="Z340" i="1"/>
  <c r="Z241" i="1"/>
  <c r="Z116" i="1"/>
  <c r="Z77" i="1"/>
  <c r="Y596" i="1"/>
  <c r="Y600" i="1"/>
  <c r="Z212" i="1"/>
  <c r="Z601" i="1" l="1"/>
</calcChain>
</file>

<file path=xl/sharedStrings.xml><?xml version="1.0" encoding="utf-8"?>
<sst xmlns="http://schemas.openxmlformats.org/spreadsheetml/2006/main" count="2761" uniqueCount="999">
  <si>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</si>
  <si>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</si>
  <si>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</si>
  <si>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</si>
  <si>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</si>
  <si>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</si>
  <si>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</si>
  <si>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</si>
  <si>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</si>
  <si>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</si>
  <si>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</si>
  <si>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</si>
  <si>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</si>
  <si>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</si>
  <si>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</si>
  <si>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</si>
  <si>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</si>
  <si>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</si>
  <si>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</si>
  <si>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</si>
  <si>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</si>
  <si>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</si>
  <si>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</si>
  <si>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</si>
  <si>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</si>
  <si>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</si>
  <si>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</si>
  <si>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</si>
  <si>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</si>
  <si>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</si>
  <si>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</si>
  <si>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</si>
  <si>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</si>
  <si>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</si>
  <si>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</si>
  <si>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</si>
  <si>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</si>
  <si>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</si>
  <si>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</si>
  <si>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</si>
  <si>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</si>
  <si>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</si>
  <si>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</si>
  <si>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</si>
  <si>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</si>
  <si>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</si>
  <si>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</si>
  <si>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</si>
  <si>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</si>
  <si>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</si>
  <si>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</si>
  <si>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</si>
  <si>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</si>
  <si>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</si>
  <si>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</si>
  <si>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</si>
  <si>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</si>
  <si>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</si>
  <si>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</si>
  <si>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</si>
  <si>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</si>
  <si>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</si>
  <si>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</si>
  <si>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</si>
  <si>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</si>
  <si>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</si>
  <si>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</si>
  <si>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</si>
  <si>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</si>
  <si>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</si>
  <si>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</si>
  <si>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</si>
  <si>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</si>
  <si>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</si>
  <si>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</si>
  <si>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</si>
  <si>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</si>
  <si>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</si>
  <si>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</si>
  <si>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</si>
  <si>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</si>
  <si>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</si>
  <si>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</si>
  <si>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</si>
  <si>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</si>
  <si>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</si>
  <si>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</si>
  <si>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</si>
  <si>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</si>
  <si>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</si>
  <si>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</si>
  <si>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</si>
  <si>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</si>
  <si>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</si>
  <si>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</si>
  <si>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</si>
  <si>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</si>
  <si>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</si>
  <si>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</si>
  <si>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</si>
  <si>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</si>
  <si>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</si>
  <si>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</si>
  <si>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</si>
  <si>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</si>
  <si>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</si>
  <si>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</si>
  <si>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</si>
  <si>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</si>
  <si>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</si>
  <si>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</si>
  <si>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</si>
  <si>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</si>
  <si>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</si>
  <si>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</si>
  <si>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</si>
  <si>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</si>
  <si>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</si>
  <si>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</si>
  <si>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</si>
  <si>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</si>
  <si>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</si>
  <si>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</si>
  <si>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</si>
  <si>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</si>
  <si>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</si>
  <si>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</si>
  <si>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</si>
  <si>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</si>
  <si>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</si>
  <si>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</si>
  <si>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</si>
  <si>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</si>
  <si>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</si>
  <si>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</si>
  <si>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</si>
  <si>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</si>
  <si>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</si>
  <si>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</si>
  <si>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</si>
  <si>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</si>
  <si>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</si>
  <si>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</si>
  <si>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</si>
  <si>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</si>
  <si>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</si>
  <si>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</si>
  <si>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</si>
  <si>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</si>
  <si>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</si>
  <si>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</si>
  <si>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</si>
  <si>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</si>
  <si>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</si>
  <si>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</si>
  <si>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</si>
  <si>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</si>
  <si>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</si>
  <si>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</si>
  <si>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</si>
  <si>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</si>
  <si>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</si>
  <si>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</si>
  <si>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</si>
  <si>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</si>
  <si>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</si>
  <si>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</si>
  <si>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</si>
  <si>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</si>
  <si>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</si>
  <si>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</si>
  <si>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</si>
  <si>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</si>
  <si>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</si>
  <si>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</si>
  <si>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</si>
  <si>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</si>
  <si>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</si>
  <si>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</si>
  <si>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</si>
  <si>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</si>
  <si>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</si>
  <si>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</si>
  <si>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</si>
  <si>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</si>
  <si>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</si>
  <si>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</si>
  <si>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</si>
  <si>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</si>
  <si>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</si>
  <si>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</si>
  <si>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</si>
  <si>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</si>
  <si>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</si>
  <si>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</si>
  <si>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</si>
  <si>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</si>
  <si>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</si>
  <si>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</si>
  <si>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</si>
  <si>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</si>
  <si>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</si>
  <si>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</si>
  <si>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</si>
  <si>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</si>
  <si>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</si>
  <si>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</si>
  <si>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</si>
  <si>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</si>
  <si>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</si>
  <si>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</si>
  <si>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</si>
  <si>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</si>
  <si>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</si>
  <si>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</si>
  <si>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</si>
  <si>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</si>
  <si>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</si>
  <si>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</si>
  <si>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</si>
  <si>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</si>
  <si>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</si>
  <si>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</si>
  <si>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</si>
  <si>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</si>
  <si>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</si>
  <si>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</si>
  <si>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</si>
  <si>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</si>
  <si>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</si>
  <si>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</si>
  <si>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</si>
  <si>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</si>
  <si>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</si>
  <si>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</si>
  <si>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</si>
  <si>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</si>
  <si>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</si>
  <si>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</si>
  <si>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</si>
  <si>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</si>
  <si>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</si>
  <si>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</si>
  <si>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</si>
  <si>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</si>
  <si>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</si>
  <si>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</si>
  <si>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</si>
  <si>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</si>
  <si>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</si>
  <si>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</si>
  <si>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</si>
  <si>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</si>
  <si>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</si>
  <si>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</si>
  <si>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</si>
  <si>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</si>
  <si>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</si>
  <si>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</si>
  <si>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</si>
  <si>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</si>
  <si>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</si>
  <si>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</si>
  <si>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</si>
  <si>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</si>
  <si>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</si>
  <si>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</si>
  <si>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</si>
  <si>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</si>
  <si>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</si>
  <si>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</si>
  <si>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</si>
  <si>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</si>
  <si>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</si>
  <si>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</si>
  <si>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</si>
  <si>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</si>
  <si>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</si>
  <si>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</si>
  <si>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</si>
  <si>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</si>
  <si>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</si>
  <si>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</si>
  <si>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</si>
  <si>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</si>
  <si>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</si>
  <si>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</si>
  <si>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</si>
  <si>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</si>
  <si>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</si>
  <si>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</si>
  <si>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</si>
  <si>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</si>
  <si>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</si>
  <si>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</si>
  <si>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</si>
  <si>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</si>
  <si>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</si>
  <si>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</si>
  <si>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</si>
  <si>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</si>
  <si>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</si>
  <si>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</si>
  <si>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</si>
  <si>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</si>
  <si>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</si>
  <si>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</si>
  <si>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</si>
  <si>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</si>
  <si>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</si>
  <si>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</si>
  <si>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</si>
  <si>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</si>
  <si>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</si>
  <si>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</si>
  <si>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</si>
  <si>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</si>
  <si>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</si>
  <si>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</si>
  <si>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</si>
  <si>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</si>
  <si>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</si>
  <si>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</si>
  <si>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</si>
  <si>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</si>
  <si>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</si>
  <si>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</si>
  <si>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</si>
  <si>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</si>
  <si>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</si>
  <si>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</si>
  <si>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</si>
  <si>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</si>
  <si>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</si>
  <si>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</si>
  <si>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</si>
  <si>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</si>
  <si>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</si>
  <si>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</si>
  <si>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</si>
  <si>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</si>
  <si>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</si>
  <si>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</si>
  <si>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</si>
  <si>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</si>
  <si>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</si>
  <si>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</si>
  <si>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</si>
  <si>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</si>
  <si>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</si>
  <si>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</si>
  <si>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</si>
  <si>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</si>
  <si>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</si>
  <si>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</si>
  <si>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</si>
  <si>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</si>
  <si>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</si>
  <si>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</si>
  <si>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</si>
  <si>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</si>
  <si>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</si>
  <si>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</si>
  <si>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</si>
  <si>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</si>
  <si>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</si>
  <si>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</si>
  <si>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</si>
  <si>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</si>
  <si>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</si>
  <si>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</si>
  <si>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</si>
  <si>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</si>
  <si>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</si>
  <si>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</si>
  <si>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</si>
  <si>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</si>
  <si>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</si>
  <si>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</si>
  <si>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</si>
  <si>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</si>
  <si>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</si>
  <si>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</si>
  <si>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</si>
  <si>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</si>
  <si>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</si>
  <si>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</si>
  <si>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</si>
  <si>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</si>
  <si>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</si>
  <si>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</si>
  <si>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</si>
  <si>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</si>
  <si>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</si>
  <si>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</si>
  <si>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</si>
  <si>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</si>
  <si>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</si>
  <si>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</si>
  <si>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</si>
  <si>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</si>
  <si>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</si>
  <si>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</si>
  <si>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</si>
  <si>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</si>
  <si>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</si>
  <si>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</si>
  <si>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</si>
  <si>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</si>
  <si>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</si>
  <si>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</si>
  <si>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</si>
  <si>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</si>
  <si>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</si>
  <si>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</si>
  <si>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</si>
  <si>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</si>
  <si>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</si>
  <si>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</si>
  <si>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</si>
  <si>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</si>
  <si>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</si>
  <si>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</si>
  <si>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</si>
  <si>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</si>
  <si>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</si>
  <si>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</si>
  <si>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</si>
  <si>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</si>
  <si>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</si>
  <si>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</si>
  <si>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</si>
  <si>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</si>
  <si>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</si>
  <si>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</si>
  <si>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</si>
  <si>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</si>
  <si>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</si>
  <si>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</si>
  <si>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</si>
  <si>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</si>
  <si>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</si>
  <si>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</si>
  <si>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</si>
  <si>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</si>
  <si>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</si>
  <si>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</si>
  <si>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</si>
  <si>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</si>
  <si>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</si>
  <si>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</si>
  <si>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</si>
  <si>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</si>
  <si>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</si>
  <si>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</si>
  <si>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</si>
  <si>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</si>
  <si>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</si>
  <si>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</si>
  <si>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</si>
  <si>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</si>
  <si>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</si>
  <si>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</si>
  <si>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</si>
  <si>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</si>
  <si>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</si>
  <si>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</si>
  <si>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</si>
  <si>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</si>
  <si>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</si>
  <si>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</si>
  <si>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</si>
  <si>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</si>
  <si>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</si>
  <si>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</si>
  <si>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</si>
  <si>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</si>
  <si>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</si>
  <si>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</si>
  <si>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</si>
  <si>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</si>
  <si>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</si>
  <si>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</si>
  <si>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</si>
  <si>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</si>
  <si>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</si>
  <si>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</si>
  <si>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</si>
  <si>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</si>
  <si>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</si>
  <si>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</si>
  <si>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</si>
  <si>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</si>
  <si>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</si>
  <si>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</si>
  <si>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</si>
  <si>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</si>
  <si>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</si>
  <si>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</si>
  <si>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</si>
  <si>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</si>
  <si>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</si>
  <si>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</si>
  <si>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</si>
  <si>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</si>
  <si>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</si>
  <si>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</si>
  <si>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</si>
  <si>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</si>
  <si>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</si>
  <si>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</si>
  <si>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</si>
  <si>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</si>
  <si>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</si>
  <si>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</si>
  <si>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</si>
  <si>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</si>
  <si>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</si>
  <si>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</si>
  <si>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</si>
  <si>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</si>
  <si>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</si>
  <si>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</si>
  <si>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</si>
  <si>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</si>
  <si>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</si>
  <si>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</si>
  <si>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</si>
  <si>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</si>
  <si>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</si>
  <si>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</si>
  <si>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</si>
  <si>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</si>
  <si>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</si>
  <si>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</si>
  <si>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</si>
  <si>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</si>
  <si>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</si>
  <si>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</si>
  <si>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</si>
  <si>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</si>
  <si>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</si>
  <si>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</si>
  <si>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</si>
  <si>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</si>
  <si>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</si>
  <si>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</si>
  <si>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</si>
  <si>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</si>
  <si>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</si>
  <si>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</si>
  <si>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</si>
  <si>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</si>
  <si>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</si>
  <si>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</si>
  <si>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</si>
  <si>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</si>
  <si>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</si>
  <si>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</si>
  <si>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</si>
  <si>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</si>
  <si>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</si>
  <si>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</si>
  <si>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</si>
  <si>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</si>
  <si>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</si>
  <si>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</si>
  <si>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</si>
  <si>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</si>
  <si>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</si>
  <si>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</si>
  <si>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</si>
  <si>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</si>
  <si>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</si>
  <si>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</si>
  <si>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</si>
  <si>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</si>
  <si>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</si>
  <si>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</si>
  <si>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</si>
  <si>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</si>
  <si>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</si>
  <si>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</si>
  <si>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</si>
  <si>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</si>
  <si>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</si>
  <si>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</si>
  <si>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</si>
  <si>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</si>
  <si>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</si>
  <si>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</si>
  <si>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</si>
  <si>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</si>
  <si>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</si>
  <si>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</si>
  <si>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</si>
  <si>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</si>
  <si>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</si>
  <si>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</si>
  <si>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</si>
  <si>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</si>
  <si>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</si>
  <si>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</si>
  <si>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</si>
  <si>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</si>
  <si>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</si>
  <si>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</si>
  <si>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</si>
  <si>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</si>
  <si>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</si>
  <si>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</si>
  <si>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</si>
  <si>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</si>
  <si>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</si>
  <si>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</si>
  <si>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</si>
  <si>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</si>
  <si>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</si>
  <si>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</si>
  <si>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</si>
  <si>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</si>
  <si>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</si>
  <si>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</si>
  <si>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</si>
  <si>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</si>
  <si>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</si>
  <si>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</si>
  <si>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</si>
  <si>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</si>
  <si>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</si>
  <si>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</si>
  <si>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</si>
  <si>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</si>
  <si>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</si>
  <si>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</si>
  <si>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</si>
  <si>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</si>
  <si>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</si>
  <si>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</si>
  <si>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</si>
  <si>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</si>
  <si>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</si>
  <si>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</si>
  <si>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</si>
  <si>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</si>
  <si>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</si>
  <si>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</si>
  <si>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</si>
  <si>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</si>
  <si>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</si>
  <si>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</si>
  <si>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</si>
  <si>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</si>
  <si>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</si>
  <si>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</si>
  <si>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</si>
  <si>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</si>
  <si>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</si>
  <si>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</si>
  <si>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</si>
  <si>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</si>
  <si>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</si>
  <si>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</si>
  <si>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</si>
  <si>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</si>
  <si>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</si>
  <si>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</si>
  <si>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</si>
  <si>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</si>
  <si>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</si>
  <si>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</si>
  <si>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</si>
  <si>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</si>
  <si>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</si>
  <si>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</si>
  <si>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</si>
  <si>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</si>
  <si>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</si>
  <si>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</si>
  <si>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</si>
  <si>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</si>
  <si>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</si>
  <si>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</si>
  <si>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</si>
  <si>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</si>
  <si>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</si>
  <si>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</si>
  <si>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</si>
  <si>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</si>
  <si>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</si>
  <si>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</si>
  <si>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</si>
  <si>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</si>
  <si>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</si>
  <si>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</si>
  <si>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</si>
  <si>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</si>
  <si>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</si>
  <si>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</si>
  <si>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</si>
  <si>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</si>
  <si>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</si>
  <si>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</si>
  <si>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</si>
  <si>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</si>
  <si>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</si>
  <si>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</si>
  <si>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</si>
  <si>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</si>
  <si>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</si>
  <si>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</si>
  <si>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</si>
  <si>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</si>
  <si>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</si>
  <si>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</si>
  <si>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</si>
  <si>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</si>
  <si>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</si>
  <si>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</si>
  <si>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</si>
  <si>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</si>
  <si>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</si>
  <si>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</si>
  <si>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</si>
  <si>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</si>
  <si>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</si>
  <si>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</si>
  <si>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</si>
  <si>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</si>
  <si>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</si>
  <si>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</si>
  <si>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</si>
  <si>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</si>
  <si>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</si>
  <si>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</si>
  <si>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</si>
  <si>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</si>
  <si>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</si>
  <si>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</si>
  <si>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</si>
  <si>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</si>
  <si>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</si>
  <si>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</si>
  <si>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</si>
  <si>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</si>
  <si>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</si>
  <si>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</si>
  <si>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</si>
  <si>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</si>
  <si>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</si>
  <si>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</si>
  <si>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</si>
  <si>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</si>
  <si>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</si>
  <si>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</si>
  <si>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</si>
  <si>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</si>
  <si>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</si>
  <si>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</si>
  <si>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</si>
  <si>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</si>
  <si>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</si>
  <si>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</si>
  <si>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</si>
  <si>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</si>
  <si>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</si>
  <si>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</si>
  <si>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</si>
  <si>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</si>
  <si>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</si>
  <si>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</si>
  <si>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</si>
  <si>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</si>
  <si>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</si>
  <si>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</si>
  <si>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</si>
  <si>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</si>
  <si>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</si>
  <si>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</si>
  <si>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</si>
  <si>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</si>
  <si>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</si>
  <si>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</si>
  <si>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</si>
  <si>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</si>
  <si>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</si>
  <si>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</si>
  <si>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</si>
  <si>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</si>
  <si>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</si>
  <si>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</si>
  <si>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</si>
  <si>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</si>
  <si>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</si>
  <si>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</si>
  <si>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</si>
  <si>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</si>
  <si>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</si>
  <si>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</si>
  <si>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</si>
  <si>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</si>
  <si>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</si>
  <si>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</si>
  <si>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</si>
  <si>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</si>
  <si>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</si>
  <si>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</si>
  <si>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</si>
  <si>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</si>
  <si>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</si>
  <si>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</si>
  <si>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</si>
  <si>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</si>
  <si>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</si>
  <si>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</si>
  <si>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</si>
  <si>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</si>
  <si>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</si>
  <si>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</si>
  <si>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</si>
  <si>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</si>
  <si>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</si>
  <si>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</si>
  <si>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</si>
  <si>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</si>
  <si>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</si>
  <si>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</si>
  <si>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</si>
  <si>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</si>
  <si>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</si>
  <si>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</si>
  <si>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</si>
  <si>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</si>
  <si>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</si>
  <si>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</si>
  <si>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</si>
  <si>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</si>
  <si>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</si>
  <si>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</si>
  <si>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</si>
  <si>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</si>
  <si>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</si>
  <si>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</si>
  <si>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</si>
  <si>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</si>
  <si>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</si>
  <si>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</si>
  <si>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</si>
  <si>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</si>
  <si>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</si>
  <si>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</si>
  <si>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</si>
  <si>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</si>
  <si>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</si>
  <si>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</si>
  <si>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</si>
  <si>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</si>
  <si>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</si>
  <si>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</si>
  <si>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</si>
  <si>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</si>
  <si>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</si>
  <si>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</si>
  <si>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</si>
  <si>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</si>
  <si>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</si>
  <si>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</si>
  <si>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</si>
  <si>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</si>
  <si>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</si>
  <si>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</si>
  <si>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</si>
  <si>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</si>
  <si>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</si>
  <si>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</si>
  <si>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</si>
  <si>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</si>
  <si>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</si>
  <si>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</si>
  <si>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</si>
  <si>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</si>
  <si>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</si>
  <si>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</si>
  <si>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</si>
  <si>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</si>
  <si>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</si>
  <si>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</si>
  <si>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</si>
  <si>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</si>
  <si>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</si>
  <si>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</si>
  <si>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</si>
  <si>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</si>
  <si>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</si>
  <si>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</si>
  <si>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</si>
  <si>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</si>
  <si>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</si>
  <si>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</si>
  <si>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</si>
  <si>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</si>
  <si>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</si>
  <si>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</si>
  <si>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</si>
  <si>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</si>
  <si>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</si>
  <si>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</si>
  <si>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</si>
  <si>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</si>
  <si>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</si>
  <si>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</si>
  <si>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</si>
  <si>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</si>
  <si>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</si>
  <si>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</si>
  <si>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</si>
  <si>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</si>
  <si>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</si>
  <si>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</si>
  <si>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</si>
  <si>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</si>
  <si>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</si>
  <si>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</si>
  <si>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</si>
  <si>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</si>
  <si>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</si>
  <si>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</si>
  <si>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</si>
  <si>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</si>
  <si>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</si>
  <si>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</si>
  <si>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</si>
  <si>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</si>
  <si>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</si>
  <si>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</si>
  <si>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</si>
  <si>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</si>
  <si>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</si>
  <si>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</si>
  <si>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</si>
  <si>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</si>
  <si>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</si>
  <si>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</si>
  <si>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</si>
  <si>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</si>
  <si>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</si>
  <si>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</si>
  <si>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</si>
  <si>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</si>
  <si>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</si>
  <si>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</si>
  <si>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</si>
  <si>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</si>
  <si>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</si>
  <si>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</si>
  <si>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</si>
  <si>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</si>
  <si>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</si>
  <si>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</si>
  <si>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</si>
  <si>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</si>
  <si>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</si>
  <si>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</si>
  <si>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</si>
  <si>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</si>
  <si>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</si>
  <si>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</si>
  <si>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</si>
  <si>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</si>
  <si>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</si>
  <si>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</si>
  <si>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</si>
  <si>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</si>
  <si>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</si>
  <si>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</si>
  <si>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</si>
  <si>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</si>
  <si>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</si>
  <si>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</si>
  <si>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</si>
  <si>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</si>
  <si>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</si>
  <si>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</si>
  <si>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</si>
  <si>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</si>
  <si>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</si>
  <si>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</si>
  <si>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</si>
  <si>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</si>
  <si>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</si>
  <si>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</si>
  <si>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</si>
  <si>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</si>
  <si>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</si>
  <si>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</si>
  <si>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</si>
  <si>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</si>
  <si>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</si>
  <si>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Луганск,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</si>
</sst>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998</v>
      </c>
      <c r="I5" s="939"/>
      <c r="J5" s="939"/>
      <c r="K5" s="939"/>
      <c r="L5" s="939"/>
      <c r="M5" s="745"/>
      <c r="N5" s="58"/>
      <c r="P5" s="24" t="s">
        <v>10</v>
      </c>
      <c r="Q5" s="992">
        <v>45773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978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6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/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19</v>
      </c>
      <c r="Q8" s="822">
        <v>0.41666666666666669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20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21</v>
      </c>
      <c r="Q10" s="847"/>
      <c r="R10" s="848"/>
      <c r="U10" s="24" t="s">
        <v>22</v>
      </c>
      <c r="V10" s="710" t="s">
        <v>23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15"/>
      <c r="R11" s="816"/>
      <c r="U11" s="24" t="s">
        <v>26</v>
      </c>
      <c r="V11" s="963" t="s">
        <v>27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28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29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30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31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32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33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34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35</v>
      </c>
      <c r="B17" s="683" t="s">
        <v>36</v>
      </c>
      <c r="C17" s="844" t="s">
        <v>37</v>
      </c>
      <c r="D17" s="683" t="s">
        <v>38</v>
      </c>
      <c r="E17" s="782"/>
      <c r="F17" s="683" t="s">
        <v>39</v>
      </c>
      <c r="G17" s="683" t="s">
        <v>40</v>
      </c>
      <c r="H17" s="683" t="s">
        <v>41</v>
      </c>
      <c r="I17" s="683" t="s">
        <v>42</v>
      </c>
      <c r="J17" s="683" t="s">
        <v>43</v>
      </c>
      <c r="K17" s="683" t="s">
        <v>44</v>
      </c>
      <c r="L17" s="683" t="s">
        <v>45</v>
      </c>
      <c r="M17" s="683" t="s">
        <v>46</v>
      </c>
      <c r="N17" s="683" t="s">
        <v>47</v>
      </c>
      <c r="O17" s="683" t="s">
        <v>48</v>
      </c>
      <c r="P17" s="683" t="s">
        <v>49</v>
      </c>
      <c r="Q17" s="781"/>
      <c r="R17" s="781"/>
      <c r="S17" s="781"/>
      <c r="T17" s="782"/>
      <c r="U17" s="1055" t="s">
        <v>50</v>
      </c>
      <c r="V17" s="688"/>
      <c r="W17" s="683" t="s">
        <v>51</v>
      </c>
      <c r="X17" s="683" t="s">
        <v>52</v>
      </c>
      <c r="Y17" s="1052" t="s">
        <v>53</v>
      </c>
      <c r="Z17" s="937" t="s">
        <v>54</v>
      </c>
      <c r="AA17" s="912" t="s">
        <v>55</v>
      </c>
      <c r="AB17" s="912" t="s">
        <v>56</v>
      </c>
      <c r="AC17" s="912" t="s">
        <v>57</v>
      </c>
      <c r="AD17" s="912" t="s">
        <v>58</v>
      </c>
      <c r="AE17" s="995"/>
      <c r="AF17" s="996"/>
      <c r="AG17" s="66"/>
      <c r="BD17" s="65" t="s">
        <v>59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60</v>
      </c>
      <c r="V18" s="67" t="s">
        <v>61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62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62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63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8" t="s">
        <v>75</v>
      </c>
      <c r="Q24" s="679"/>
      <c r="R24" s="679"/>
      <c r="S24" s="679"/>
      <c r="T24" s="680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1" t="s">
        <v>79</v>
      </c>
      <c r="Q25" s="679"/>
      <c r="R25" s="679"/>
      <c r="S25" s="679"/>
      <c r="T25" s="680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87</v>
      </c>
      <c r="Q28" s="674"/>
      <c r="R28" s="674"/>
      <c r="S28" s="674"/>
      <c r="T28" s="674"/>
      <c r="U28" s="674"/>
      <c r="V28" s="675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87</v>
      </c>
      <c r="Q29" s="674"/>
      <c r="R29" s="674"/>
      <c r="S29" s="674"/>
      <c r="T29" s="674"/>
      <c r="U29" s="674"/>
      <c r="V29" s="675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89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87</v>
      </c>
      <c r="Q32" s="674"/>
      <c r="R32" s="674"/>
      <c r="S32" s="674"/>
      <c r="T32" s="674"/>
      <c r="U32" s="674"/>
      <c r="V32" s="675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87</v>
      </c>
      <c r="Q33" s="674"/>
      <c r="R33" s="674"/>
      <c r="S33" s="674"/>
      <c r="T33" s="674"/>
      <c r="U33" s="674"/>
      <c r="V33" s="675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95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96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97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68</v>
      </c>
      <c r="X37" s="667">
        <v>440</v>
      </c>
      <c r="Y37" s="668">
        <f>IFERROR(IF(X37="",0,CEILING((X37/$H37),1)*$H37),"")</f>
        <v>442.8</v>
      </c>
      <c r="Z37" s="36">
        <f>IFERROR(IF(Y37=0,"",ROUNDUP(Y37/H37,0)*0.01898),"")</f>
        <v>0.77817999999999998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457.72222222222217</v>
      </c>
      <c r="BN37" s="64">
        <f>IFERROR(Y37*I37/H37,"0")</f>
        <v>460.63499999999999</v>
      </c>
      <c r="BO37" s="64">
        <f>IFERROR(1/J37*(X37/H37),"0")</f>
        <v>0.63657407407407407</v>
      </c>
      <c r="BP37" s="64">
        <f>IFERROR(1/J37*(Y37/H37),"0")</f>
        <v>0.640625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87</v>
      </c>
      <c r="Q41" s="674"/>
      <c r="R41" s="674"/>
      <c r="S41" s="674"/>
      <c r="T41" s="674"/>
      <c r="U41" s="674"/>
      <c r="V41" s="675"/>
      <c r="W41" s="37" t="s">
        <v>88</v>
      </c>
      <c r="X41" s="669">
        <f>IFERROR(X37/H37,"0")+IFERROR(X38/H38,"0")+IFERROR(X39/H39,"0")+IFERROR(X40/H40,"0")</f>
        <v>40.74074074074074</v>
      </c>
      <c r="Y41" s="669">
        <f>IFERROR(Y37/H37,"0")+IFERROR(Y38/H38,"0")+IFERROR(Y39/H39,"0")+IFERROR(Y40/H40,"0")</f>
        <v>41</v>
      </c>
      <c r="Z41" s="669">
        <f>IFERROR(IF(Z37="",0,Z37),"0")+IFERROR(IF(Z38="",0,Z38),"0")+IFERROR(IF(Z39="",0,Z39),"0")+IFERROR(IF(Z40="",0,Z40),"0")</f>
        <v>0.77817999999999998</v>
      </c>
      <c r="AA41" s="670"/>
      <c r="AB41" s="670"/>
      <c r="AC41" s="670"/>
    </row>
    <row r="42" spans="1:68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87</v>
      </c>
      <c r="Q42" s="674"/>
      <c r="R42" s="674"/>
      <c r="S42" s="674"/>
      <c r="T42" s="674"/>
      <c r="U42" s="674"/>
      <c r="V42" s="675"/>
      <c r="W42" s="37" t="s">
        <v>68</v>
      </c>
      <c r="X42" s="669">
        <f>IFERROR(SUM(X37:X40),"0")</f>
        <v>440</v>
      </c>
      <c r="Y42" s="669">
        <f>IFERROR(SUM(Y37:Y40),"0")</f>
        <v>442.8</v>
      </c>
      <c r="Z42" s="37"/>
      <c r="AA42" s="670"/>
      <c r="AB42" s="670"/>
      <c r="AC42" s="670"/>
    </row>
    <row r="43" spans="1:68" ht="14.25" hidden="1" customHeight="1" x14ac:dyDescent="0.25">
      <c r="A43" s="676" t="s">
        <v>63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87</v>
      </c>
      <c r="Q45" s="674"/>
      <c r="R45" s="674"/>
      <c r="S45" s="674"/>
      <c r="T45" s="674"/>
      <c r="U45" s="674"/>
      <c r="V45" s="675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87</v>
      </c>
      <c r="Q46" s="674"/>
      <c r="R46" s="674"/>
      <c r="S46" s="674"/>
      <c r="T46" s="674"/>
      <c r="U46" s="674"/>
      <c r="V46" s="675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115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97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68</v>
      </c>
      <c r="X49" s="667">
        <v>95</v>
      </c>
      <c r="Y49" s="668">
        <f t="shared" ref="Y49:Y54" si="6">IFERROR(IF(X49="",0,CEILING((X49/$H49),1)*$H49),"")</f>
        <v>100.8</v>
      </c>
      <c r="Z49" s="36">
        <f>IFERROR(IF(Y49=0,"",ROUNDUP(Y49/H49,0)*0.01898),"")</f>
        <v>0.17082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98.689732142857153</v>
      </c>
      <c r="BN49" s="64">
        <f t="shared" ref="BN49:BN54" si="8">IFERROR(Y49*I49/H49,"0")</f>
        <v>104.715</v>
      </c>
      <c r="BO49" s="64">
        <f t="shared" ref="BO49:BO54" si="9">IFERROR(1/J49*(X49/H49),"0")</f>
        <v>0.13253348214285715</v>
      </c>
      <c r="BP49" s="64">
        <f t="shared" ref="BP49:BP54" si="10">IFERROR(1/J49*(Y49/H49),"0")</f>
        <v>0.140625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68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87</v>
      </c>
      <c r="Q55" s="674"/>
      <c r="R55" s="674"/>
      <c r="S55" s="674"/>
      <c r="T55" s="674"/>
      <c r="U55" s="674"/>
      <c r="V55" s="675"/>
      <c r="W55" s="37" t="s">
        <v>88</v>
      </c>
      <c r="X55" s="669">
        <f>IFERROR(X49/H49,"0")+IFERROR(X50/H50,"0")+IFERROR(X51/H51,"0")+IFERROR(X52/H52,"0")+IFERROR(X53/H53,"0")+IFERROR(X54/H54,"0")</f>
        <v>8.4821428571428577</v>
      </c>
      <c r="Y55" s="669">
        <f>IFERROR(Y49/H49,"0")+IFERROR(Y50/H50,"0")+IFERROR(Y51/H51,"0")+IFERROR(Y52/H52,"0")+IFERROR(Y53/H53,"0")+IFERROR(Y54/H54,"0")</f>
        <v>9</v>
      </c>
      <c r="Z55" s="669">
        <f>IFERROR(IF(Z49="",0,Z49),"0")+IFERROR(IF(Z50="",0,Z50),"0")+IFERROR(IF(Z51="",0,Z51),"0")+IFERROR(IF(Z52="",0,Z52),"0")+IFERROR(IF(Z53="",0,Z53),"0")+IFERROR(IF(Z54="",0,Z54),"0")</f>
        <v>0.17082</v>
      </c>
      <c r="AA55" s="670"/>
      <c r="AB55" s="670"/>
      <c r="AC55" s="670"/>
    </row>
    <row r="56" spans="1:68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87</v>
      </c>
      <c r="Q56" s="674"/>
      <c r="R56" s="674"/>
      <c r="S56" s="674"/>
      <c r="T56" s="674"/>
      <c r="U56" s="674"/>
      <c r="V56" s="675"/>
      <c r="W56" s="37" t="s">
        <v>68</v>
      </c>
      <c r="X56" s="669">
        <f>IFERROR(SUM(X49:X54),"0")</f>
        <v>95</v>
      </c>
      <c r="Y56" s="669">
        <f>IFERROR(SUM(Y49:Y54),"0")</f>
        <v>100.8</v>
      </c>
      <c r="Z56" s="37"/>
      <c r="AA56" s="670"/>
      <c r="AB56" s="670"/>
      <c r="AC56" s="670"/>
    </row>
    <row r="57" spans="1:68" ht="14.25" hidden="1" customHeight="1" x14ac:dyDescent="0.25">
      <c r="A57" s="676" t="s">
        <v>133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68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87</v>
      </c>
      <c r="Q62" s="674"/>
      <c r="R62" s="674"/>
      <c r="S62" s="674"/>
      <c r="T62" s="674"/>
      <c r="U62" s="674"/>
      <c r="V62" s="675"/>
      <c r="W62" s="37" t="s">
        <v>88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hidden="1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87</v>
      </c>
      <c r="Q63" s="674"/>
      <c r="R63" s="674"/>
      <c r="S63" s="674"/>
      <c r="T63" s="674"/>
      <c r="U63" s="674"/>
      <c r="V63" s="675"/>
      <c r="W63" s="37" t="s">
        <v>68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hidden="1" customHeight="1" x14ac:dyDescent="0.25">
      <c r="A64" s="676" t="s">
        <v>144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87</v>
      </c>
      <c r="Q68" s="674"/>
      <c r="R68" s="674"/>
      <c r="S68" s="674"/>
      <c r="T68" s="674"/>
      <c r="U68" s="674"/>
      <c r="V68" s="675"/>
      <c r="W68" s="37" t="s">
        <v>88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87</v>
      </c>
      <c r="Q69" s="674"/>
      <c r="R69" s="674"/>
      <c r="S69" s="674"/>
      <c r="T69" s="674"/>
      <c r="U69" s="674"/>
      <c r="V69" s="675"/>
      <c r="W69" s="37" t="s">
        <v>68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676" t="s">
        <v>63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87</v>
      </c>
      <c r="Q77" s="674"/>
      <c r="R77" s="674"/>
      <c r="S77" s="674"/>
      <c r="T77" s="674"/>
      <c r="U77" s="674"/>
      <c r="V77" s="675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hidden="1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87</v>
      </c>
      <c r="Q78" s="674"/>
      <c r="R78" s="674"/>
      <c r="S78" s="674"/>
      <c r="T78" s="674"/>
      <c r="U78" s="674"/>
      <c r="V78" s="675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hidden="1" customHeight="1" x14ac:dyDescent="0.25">
      <c r="A79" s="676" t="s">
        <v>170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171</v>
      </c>
      <c r="B80" s="54" t="s">
        <v>172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68</v>
      </c>
      <c r="X81" s="667">
        <v>57</v>
      </c>
      <c r="Y81" s="668">
        <f>IFERROR(IF(X81="",0,CEILING((X81/$H81),1)*$H81),"")</f>
        <v>58.800000000000004</v>
      </c>
      <c r="Z81" s="36">
        <f>IFERROR(IF(Y81=0,"",ROUNDUP(Y81/H81,0)*0.01898),"")</f>
        <v>0.13286000000000001</v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60.521785714285713</v>
      </c>
      <c r="BN81" s="64">
        <f>IFERROR(Y81*I81/H81,"0")</f>
        <v>62.433000000000007</v>
      </c>
      <c r="BO81" s="64">
        <f>IFERROR(1/J81*(X81/H81),"0")</f>
        <v>0.10602678571428571</v>
      </c>
      <c r="BP81" s="64">
        <f>IFERROR(1/J81*(Y81/H81),"0")</f>
        <v>0.109375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87</v>
      </c>
      <c r="Q83" s="674"/>
      <c r="R83" s="674"/>
      <c r="S83" s="674"/>
      <c r="T83" s="674"/>
      <c r="U83" s="674"/>
      <c r="V83" s="675"/>
      <c r="W83" s="37" t="s">
        <v>88</v>
      </c>
      <c r="X83" s="669">
        <f>IFERROR(X80/H80,"0")+IFERROR(X81/H81,"0")+IFERROR(X82/H82,"0")</f>
        <v>6.7857142857142856</v>
      </c>
      <c r="Y83" s="669">
        <f>IFERROR(Y80/H80,"0")+IFERROR(Y81/H81,"0")+IFERROR(Y82/H82,"0")</f>
        <v>7</v>
      </c>
      <c r="Z83" s="669">
        <f>IFERROR(IF(Z80="",0,Z80),"0")+IFERROR(IF(Z81="",0,Z81),"0")+IFERROR(IF(Z82="",0,Z82),"0")</f>
        <v>0.13286000000000001</v>
      </c>
      <c r="AA83" s="670"/>
      <c r="AB83" s="670"/>
      <c r="AC83" s="670"/>
    </row>
    <row r="84" spans="1:68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87</v>
      </c>
      <c r="Q84" s="674"/>
      <c r="R84" s="674"/>
      <c r="S84" s="674"/>
      <c r="T84" s="674"/>
      <c r="U84" s="674"/>
      <c r="V84" s="675"/>
      <c r="W84" s="37" t="s">
        <v>68</v>
      </c>
      <c r="X84" s="669">
        <f>IFERROR(SUM(X80:X82),"0")</f>
        <v>57</v>
      </c>
      <c r="Y84" s="669">
        <f>IFERROR(SUM(Y80:Y82),"0")</f>
        <v>58.800000000000004</v>
      </c>
      <c r="Z84" s="37"/>
      <c r="AA84" s="670"/>
      <c r="AB84" s="670"/>
      <c r="AC84" s="670"/>
    </row>
    <row r="85" spans="1:68" ht="16.5" hidden="1" customHeight="1" x14ac:dyDescent="0.25">
      <c r="A85" s="685" t="s">
        <v>178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97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68</v>
      </c>
      <c r="X87" s="667">
        <v>386</v>
      </c>
      <c r="Y87" s="668">
        <f>IFERROR(IF(X87="",0,CEILING((X87/$H87),1)*$H87),"")</f>
        <v>388.8</v>
      </c>
      <c r="Z87" s="36">
        <f>IFERROR(IF(Y87=0,"",ROUNDUP(Y87/H87,0)*0.01898),"")</f>
        <v>0.68328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401.54722222222222</v>
      </c>
      <c r="BN87" s="64">
        <f>IFERROR(Y87*I87/H87,"0")</f>
        <v>404.45999999999992</v>
      </c>
      <c r="BO87" s="64">
        <f>IFERROR(1/J87*(X87/H87),"0")</f>
        <v>0.55844907407407407</v>
      </c>
      <c r="BP87" s="64">
        <f>IFERROR(1/J87*(Y87/H87),"0")</f>
        <v>0.5625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68</v>
      </c>
      <c r="X89" s="667">
        <v>92</v>
      </c>
      <c r="Y89" s="668">
        <f>IFERROR(IF(X89="",0,CEILING((X89/$H89),1)*$H89),"")</f>
        <v>94.5</v>
      </c>
      <c r="Z89" s="36">
        <f>IFERROR(IF(Y89=0,"",ROUNDUP(Y89/H89,0)*0.00902),"")</f>
        <v>0.18942000000000001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96.293333333333337</v>
      </c>
      <c r="BN89" s="64">
        <f>IFERROR(Y89*I89/H89,"0")</f>
        <v>98.91</v>
      </c>
      <c r="BO89" s="64">
        <f>IFERROR(1/J89*(X89/H89),"0")</f>
        <v>0.15488215488215487</v>
      </c>
      <c r="BP89" s="64">
        <f>IFERROR(1/J89*(Y89/H89),"0")</f>
        <v>0.15909090909090909</v>
      </c>
    </row>
    <row r="90" spans="1:68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87</v>
      </c>
      <c r="Q90" s="674"/>
      <c r="R90" s="674"/>
      <c r="S90" s="674"/>
      <c r="T90" s="674"/>
      <c r="U90" s="674"/>
      <c r="V90" s="675"/>
      <c r="W90" s="37" t="s">
        <v>88</v>
      </c>
      <c r="X90" s="669">
        <f>IFERROR(X87/H87,"0")+IFERROR(X88/H88,"0")+IFERROR(X89/H89,"0")</f>
        <v>56.185185185185183</v>
      </c>
      <c r="Y90" s="669">
        <f>IFERROR(Y87/H87,"0")+IFERROR(Y88/H88,"0")+IFERROR(Y89/H89,"0")</f>
        <v>57</v>
      </c>
      <c r="Z90" s="669">
        <f>IFERROR(IF(Z87="",0,Z87),"0")+IFERROR(IF(Z88="",0,Z88),"0")+IFERROR(IF(Z89="",0,Z89),"0")</f>
        <v>0.87270000000000003</v>
      </c>
      <c r="AA90" s="670"/>
      <c r="AB90" s="670"/>
      <c r="AC90" s="670"/>
    </row>
    <row r="91" spans="1:68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87</v>
      </c>
      <c r="Q91" s="674"/>
      <c r="R91" s="674"/>
      <c r="S91" s="674"/>
      <c r="T91" s="674"/>
      <c r="U91" s="674"/>
      <c r="V91" s="675"/>
      <c r="W91" s="37" t="s">
        <v>68</v>
      </c>
      <c r="X91" s="669">
        <f>IFERROR(SUM(X87:X89),"0")</f>
        <v>478</v>
      </c>
      <c r="Y91" s="669">
        <f>IFERROR(SUM(Y87:Y89),"0")</f>
        <v>483.3</v>
      </c>
      <c r="Z91" s="37"/>
      <c r="AA91" s="670"/>
      <c r="AB91" s="670"/>
      <c r="AC91" s="670"/>
    </row>
    <row r="92" spans="1:68" ht="14.25" hidden="1" customHeight="1" x14ac:dyDescent="0.25">
      <c r="A92" s="676" t="s">
        <v>63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27" customHeight="1" x14ac:dyDescent="0.25">
      <c r="A93" s="54" t="s">
        <v>187</v>
      </c>
      <c r="B93" s="54" t="s">
        <v>188</v>
      </c>
      <c r="C93" s="31">
        <v>4301051546</v>
      </c>
      <c r="D93" s="689">
        <v>4607091386967</v>
      </c>
      <c r="E93" s="690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68</v>
      </c>
      <c r="X93" s="667">
        <v>175</v>
      </c>
      <c r="Y93" s="668">
        <f t="shared" ref="Y93:Y101" si="16">IFERROR(IF(X93="",0,CEILING((X93/$H93),1)*$H93),"")</f>
        <v>176.4</v>
      </c>
      <c r="Z93" s="36">
        <f>IFERROR(IF(Y93=0,"",ROUNDUP(Y93/H93,0)*0.01898),"")</f>
        <v>0.39857999999999999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185.8125</v>
      </c>
      <c r="BN93" s="64">
        <f t="shared" ref="BN93:BN101" si="18">IFERROR(Y93*I93/H93,"0")</f>
        <v>187.29900000000001</v>
      </c>
      <c r="BO93" s="64">
        <f t="shared" ref="BO93:BO101" si="19">IFERROR(1/J93*(X93/H93),"0")</f>
        <v>0.32552083333333331</v>
      </c>
      <c r="BP93" s="64">
        <f t="shared" ref="BP93:BP101" si="20">IFERROR(1/J93*(Y93/H93),"0")</f>
        <v>0.328125</v>
      </c>
    </row>
    <row r="94" spans="1:68" ht="27" hidden="1" customHeight="1" x14ac:dyDescent="0.25">
      <c r="A94" s="54" t="s">
        <v>187</v>
      </c>
      <c r="B94" s="54" t="s">
        <v>190</v>
      </c>
      <c r="C94" s="31">
        <v>4301051437</v>
      </c>
      <c r="D94" s="689">
        <v>4607091386967</v>
      </c>
      <c r="E94" s="690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6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187</v>
      </c>
      <c r="B95" s="54" t="s">
        <v>191</v>
      </c>
      <c r="C95" s="31">
        <v>4301051712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31" t="s">
        <v>192</v>
      </c>
      <c r="Q95" s="679"/>
      <c r="R95" s="679"/>
      <c r="S95" s="679"/>
      <c r="T95" s="680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59" t="s">
        <v>196</v>
      </c>
      <c r="Q96" s="679"/>
      <c r="R96" s="679"/>
      <c r="S96" s="679"/>
      <c r="T96" s="680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56" t="s">
        <v>200</v>
      </c>
      <c r="Q97" s="679"/>
      <c r="R97" s="679"/>
      <c r="S97" s="679"/>
      <c r="T97" s="680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861" t="s">
        <v>202</v>
      </c>
      <c r="Q98" s="679"/>
      <c r="R98" s="679"/>
      <c r="S98" s="679"/>
      <c r="T98" s="680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4301051439</v>
      </c>
      <c r="D100" s="689">
        <v>4680115880214</v>
      </c>
      <c r="E100" s="690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4301051687</v>
      </c>
      <c r="D101" s="689">
        <v>4680115880214</v>
      </c>
      <c r="E101" s="690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87</v>
      </c>
      <c r="Q102" s="674"/>
      <c r="R102" s="674"/>
      <c r="S102" s="674"/>
      <c r="T102" s="674"/>
      <c r="U102" s="674"/>
      <c r="V102" s="675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20.833333333333332</v>
      </c>
      <c r="Y102" s="669">
        <f>IFERROR(Y93/H93,"0")+IFERROR(Y94/H94,"0")+IFERROR(Y95/H95,"0")+IFERROR(Y96/H96,"0")+IFERROR(Y97/H97,"0")+IFERROR(Y98/H98,"0")+IFERROR(Y99/H99,"0")+IFERROR(Y100/H100,"0")+IFERROR(Y101/H101,"0")</f>
        <v>21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0.39857999999999999</v>
      </c>
      <c r="AA102" s="670"/>
      <c r="AB102" s="670"/>
      <c r="AC102" s="670"/>
    </row>
    <row r="103" spans="1:68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87</v>
      </c>
      <c r="Q103" s="674"/>
      <c r="R103" s="674"/>
      <c r="S103" s="674"/>
      <c r="T103" s="674"/>
      <c r="U103" s="674"/>
      <c r="V103" s="675"/>
      <c r="W103" s="37" t="s">
        <v>68</v>
      </c>
      <c r="X103" s="669">
        <f>IFERROR(SUM(X93:X101),"0")</f>
        <v>175</v>
      </c>
      <c r="Y103" s="669">
        <f>IFERROR(SUM(Y93:Y101),"0")</f>
        <v>176.4</v>
      </c>
      <c r="Z103" s="37"/>
      <c r="AA103" s="670"/>
      <c r="AB103" s="670"/>
      <c r="AC103" s="670"/>
    </row>
    <row r="104" spans="1:68" ht="16.5" hidden="1" customHeight="1" x14ac:dyDescent="0.25">
      <c r="A104" s="685" t="s">
        <v>209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97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68</v>
      </c>
      <c r="X106" s="667">
        <v>200</v>
      </c>
      <c r="Y106" s="668">
        <f>IFERROR(IF(X106="",0,CEILING((X106/$H106),1)*$H106),"")</f>
        <v>205.20000000000002</v>
      </c>
      <c r="Z106" s="36">
        <f>IFERROR(IF(Y106=0,"",ROUNDUP(Y106/H106,0)*0.01898),"")</f>
        <v>0.36062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208.05555555555554</v>
      </c>
      <c r="BN106" s="64">
        <f>IFERROR(Y106*I106/H106,"0")</f>
        <v>213.46499999999997</v>
      </c>
      <c r="BO106" s="64">
        <f>IFERROR(1/J106*(X106/H106),"0")</f>
        <v>0.28935185185185186</v>
      </c>
      <c r="BP106" s="64">
        <f>IFERROR(1/J106*(Y106/H106),"0")</f>
        <v>0.296875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68</v>
      </c>
      <c r="X108" s="667">
        <v>123</v>
      </c>
      <c r="Y108" s="668">
        <f>IFERROR(IF(X108="",0,CEILING((X108/$H108),1)*$H108),"")</f>
        <v>126</v>
      </c>
      <c r="Z108" s="36">
        <f>IFERROR(IF(Y108=0,"",ROUNDUP(Y108/H108,0)*0.00902),"")</f>
        <v>0.25256000000000001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128.74</v>
      </c>
      <c r="BN108" s="64">
        <f>IFERROR(Y108*I108/H108,"0")</f>
        <v>131.88</v>
      </c>
      <c r="BO108" s="64">
        <f>IFERROR(1/J108*(X108/H108),"0")</f>
        <v>0.20707070707070707</v>
      </c>
      <c r="BP108" s="64">
        <f>IFERROR(1/J108*(Y108/H108),"0")</f>
        <v>0.21212121212121213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87</v>
      </c>
      <c r="Q110" s="674"/>
      <c r="R110" s="674"/>
      <c r="S110" s="674"/>
      <c r="T110" s="674"/>
      <c r="U110" s="674"/>
      <c r="V110" s="675"/>
      <c r="W110" s="37" t="s">
        <v>88</v>
      </c>
      <c r="X110" s="669">
        <f>IFERROR(X106/H106,"0")+IFERROR(X107/H107,"0")+IFERROR(X108/H108,"0")+IFERROR(X109/H109,"0")</f>
        <v>45.851851851851848</v>
      </c>
      <c r="Y110" s="669">
        <f>IFERROR(Y106/H106,"0")+IFERROR(Y107/H107,"0")+IFERROR(Y108/H108,"0")+IFERROR(Y109/H109,"0")</f>
        <v>47</v>
      </c>
      <c r="Z110" s="669">
        <f>IFERROR(IF(Z106="",0,Z106),"0")+IFERROR(IF(Z107="",0,Z107),"0")+IFERROR(IF(Z108="",0,Z108),"0")+IFERROR(IF(Z109="",0,Z109),"0")</f>
        <v>0.61318000000000006</v>
      </c>
      <c r="AA110" s="670"/>
      <c r="AB110" s="670"/>
      <c r="AC110" s="670"/>
    </row>
    <row r="111" spans="1:68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87</v>
      </c>
      <c r="Q111" s="674"/>
      <c r="R111" s="674"/>
      <c r="S111" s="674"/>
      <c r="T111" s="674"/>
      <c r="U111" s="674"/>
      <c r="V111" s="675"/>
      <c r="W111" s="37" t="s">
        <v>68</v>
      </c>
      <c r="X111" s="669">
        <f>IFERROR(SUM(X106:X109),"0")</f>
        <v>323</v>
      </c>
      <c r="Y111" s="669">
        <f>IFERROR(SUM(Y106:Y109),"0")</f>
        <v>331.20000000000005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133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68</v>
      </c>
      <c r="X113" s="667">
        <v>96</v>
      </c>
      <c r="Y113" s="668">
        <f>IFERROR(IF(X113="",0,CEILING((X113/$H113),1)*$H113),"")</f>
        <v>97.2</v>
      </c>
      <c r="Z113" s="36">
        <f>IFERROR(IF(Y113=0,"",ROUNDUP(Y113/H113,0)*0.01898),"")</f>
        <v>0.17082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99.86666666666666</v>
      </c>
      <c r="BN113" s="64">
        <f>IFERROR(Y113*I113/H113,"0")</f>
        <v>101.11499999999998</v>
      </c>
      <c r="BO113" s="64">
        <f>IFERROR(1/J113*(X113/H113),"0")</f>
        <v>0.13888888888888887</v>
      </c>
      <c r="BP113" s="64">
        <f>IFERROR(1/J113*(Y113/H113),"0")</f>
        <v>0.140625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87</v>
      </c>
      <c r="Q116" s="674"/>
      <c r="R116" s="674"/>
      <c r="S116" s="674"/>
      <c r="T116" s="674"/>
      <c r="U116" s="674"/>
      <c r="V116" s="675"/>
      <c r="W116" s="37" t="s">
        <v>88</v>
      </c>
      <c r="X116" s="669">
        <f>IFERROR(X113/H113,"0")+IFERROR(X114/H114,"0")+IFERROR(X115/H115,"0")</f>
        <v>8.8888888888888875</v>
      </c>
      <c r="Y116" s="669">
        <f>IFERROR(Y113/H113,"0")+IFERROR(Y114/H114,"0")+IFERROR(Y115/H115,"0")</f>
        <v>9</v>
      </c>
      <c r="Z116" s="669">
        <f>IFERROR(IF(Z113="",0,Z113),"0")+IFERROR(IF(Z114="",0,Z114),"0")+IFERROR(IF(Z115="",0,Z115),"0")</f>
        <v>0.17082</v>
      </c>
      <c r="AA116" s="670"/>
      <c r="AB116" s="670"/>
      <c r="AC116" s="670"/>
    </row>
    <row r="117" spans="1:68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87</v>
      </c>
      <c r="Q117" s="674"/>
      <c r="R117" s="674"/>
      <c r="S117" s="674"/>
      <c r="T117" s="674"/>
      <c r="U117" s="674"/>
      <c r="V117" s="675"/>
      <c r="W117" s="37" t="s">
        <v>68</v>
      </c>
      <c r="X117" s="669">
        <f>IFERROR(SUM(X113:X115),"0")</f>
        <v>96</v>
      </c>
      <c r="Y117" s="669">
        <f>IFERROR(SUM(Y113:Y115),"0")</f>
        <v>97.2</v>
      </c>
      <c r="Z117" s="37"/>
      <c r="AA117" s="670"/>
      <c r="AB117" s="670"/>
      <c r="AC117" s="670"/>
    </row>
    <row r="118" spans="1:68" ht="14.25" hidden="1" customHeight="1" x14ac:dyDescent="0.25">
      <c r="A118" s="676" t="s">
        <v>63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37.5" hidden="1" customHeight="1" x14ac:dyDescent="0.25">
      <c r="A119" s="54" t="s">
        <v>226</v>
      </c>
      <c r="B119" s="54" t="s">
        <v>227</v>
      </c>
      <c r="C119" s="31">
        <v>4301051360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226</v>
      </c>
      <c r="B120" s="54" t="s">
        <v>229</v>
      </c>
      <c r="C120" s="31">
        <v>4301051625</v>
      </c>
      <c r="D120" s="689">
        <v>4607091385168</v>
      </c>
      <c r="E120" s="690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68</v>
      </c>
      <c r="X120" s="667">
        <v>124</v>
      </c>
      <c r="Y120" s="668">
        <f t="shared" si="21"/>
        <v>126</v>
      </c>
      <c r="Z120" s="36">
        <f>IFERROR(IF(Y120=0,"",ROUNDUP(Y120/H120,0)*0.01898),"")</f>
        <v>0.28470000000000001</v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131.57285714285715</v>
      </c>
      <c r="BN120" s="64">
        <f t="shared" si="23"/>
        <v>133.69499999999999</v>
      </c>
      <c r="BO120" s="64">
        <f t="shared" si="24"/>
        <v>0.23065476190476189</v>
      </c>
      <c r="BP120" s="64">
        <f t="shared" si="25"/>
        <v>0.234375</v>
      </c>
    </row>
    <row r="121" spans="1:68" ht="16.5" hidden="1" customHeight="1" x14ac:dyDescent="0.25">
      <c r="A121" s="54" t="s">
        <v>226</v>
      </c>
      <c r="B121" s="54" t="s">
        <v>231</v>
      </c>
      <c r="C121" s="31">
        <v>4301051724</v>
      </c>
      <c r="D121" s="689">
        <v>4607091385168</v>
      </c>
      <c r="E121" s="690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21" t="s">
        <v>232</v>
      </c>
      <c r="Q121" s="679"/>
      <c r="R121" s="679"/>
      <c r="S121" s="679"/>
      <c r="T121" s="680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54" t="s">
        <v>236</v>
      </c>
      <c r="Q122" s="679"/>
      <c r="R122" s="679"/>
      <c r="S122" s="679"/>
      <c r="T122" s="680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09" t="s">
        <v>239</v>
      </c>
      <c r="Q123" s="679"/>
      <c r="R123" s="679"/>
      <c r="S123" s="679"/>
      <c r="T123" s="680"/>
      <c r="U123" s="34"/>
      <c r="V123" s="34"/>
      <c r="W123" s="35" t="s">
        <v>68</v>
      </c>
      <c r="X123" s="667">
        <v>108</v>
      </c>
      <c r="Y123" s="668">
        <f t="shared" si="21"/>
        <v>108</v>
      </c>
      <c r="Z123" s="36">
        <f>IFERROR(IF(Y123=0,"",ROUNDUP(Y123/H123,0)*0.00651),"")</f>
        <v>0.26040000000000002</v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118.07999999999998</v>
      </c>
      <c r="BN123" s="64">
        <f t="shared" si="23"/>
        <v>118.07999999999998</v>
      </c>
      <c r="BO123" s="64">
        <f t="shared" si="24"/>
        <v>0.2197802197802198</v>
      </c>
      <c r="BP123" s="64">
        <f t="shared" si="25"/>
        <v>0.2197802197802198</v>
      </c>
    </row>
    <row r="124" spans="1:68" ht="27" hidden="1" customHeight="1" x14ac:dyDescent="0.25">
      <c r="A124" s="54" t="s">
        <v>240</v>
      </c>
      <c r="B124" s="54" t="s">
        <v>241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243</v>
      </c>
      <c r="B125" s="54" t="s">
        <v>244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87</v>
      </c>
      <c r="Q126" s="674"/>
      <c r="R126" s="674"/>
      <c r="S126" s="674"/>
      <c r="T126" s="674"/>
      <c r="U126" s="674"/>
      <c r="V126" s="675"/>
      <c r="W126" s="37" t="s">
        <v>88</v>
      </c>
      <c r="X126" s="669">
        <f>IFERROR(X119/H119,"0")+IFERROR(X120/H120,"0")+IFERROR(X121/H121,"0")+IFERROR(X122/H122,"0")+IFERROR(X123/H123,"0")+IFERROR(X124/H124,"0")+IFERROR(X125/H125,"0")</f>
        <v>54.761904761904759</v>
      </c>
      <c r="Y126" s="669">
        <f>IFERROR(Y119/H119,"0")+IFERROR(Y120/H120,"0")+IFERROR(Y121/H121,"0")+IFERROR(Y122/H122,"0")+IFERROR(Y123/H123,"0")+IFERROR(Y124/H124,"0")+IFERROR(Y125/H125,"0")</f>
        <v>55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0.54510000000000003</v>
      </c>
      <c r="AA126" s="670"/>
      <c r="AB126" s="670"/>
      <c r="AC126" s="670"/>
    </row>
    <row r="127" spans="1:68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87</v>
      </c>
      <c r="Q127" s="674"/>
      <c r="R127" s="674"/>
      <c r="S127" s="674"/>
      <c r="T127" s="674"/>
      <c r="U127" s="674"/>
      <c r="V127" s="675"/>
      <c r="W127" s="37" t="s">
        <v>68</v>
      </c>
      <c r="X127" s="669">
        <f>IFERROR(SUM(X119:X125),"0")</f>
        <v>232</v>
      </c>
      <c r="Y127" s="669">
        <f>IFERROR(SUM(Y119:Y125),"0")</f>
        <v>234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170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246</v>
      </c>
      <c r="B129" s="54" t="s">
        <v>247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249</v>
      </c>
      <c r="B130" s="54" t="s">
        <v>250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87</v>
      </c>
      <c r="Q131" s="674"/>
      <c r="R131" s="674"/>
      <c r="S131" s="674"/>
      <c r="T131" s="674"/>
      <c r="U131" s="674"/>
      <c r="V131" s="675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87</v>
      </c>
      <c r="Q132" s="674"/>
      <c r="R132" s="674"/>
      <c r="S132" s="674"/>
      <c r="T132" s="674"/>
      <c r="U132" s="674"/>
      <c r="V132" s="675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685" t="s">
        <v>252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97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253</v>
      </c>
      <c r="B135" s="54" t="s">
        <v>254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253</v>
      </c>
      <c r="B136" s="54" t="s">
        <v>256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87</v>
      </c>
      <c r="Q137" s="674"/>
      <c r="R137" s="674"/>
      <c r="S137" s="674"/>
      <c r="T137" s="674"/>
      <c r="U137" s="674"/>
      <c r="V137" s="675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hidden="1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87</v>
      </c>
      <c r="Q138" s="674"/>
      <c r="R138" s="674"/>
      <c r="S138" s="674"/>
      <c r="T138" s="674"/>
      <c r="U138" s="674"/>
      <c r="V138" s="675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144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hidden="1" customHeight="1" x14ac:dyDescent="0.25">
      <c r="A140" s="54" t="s">
        <v>257</v>
      </c>
      <c r="B140" s="54" t="s">
        <v>258</v>
      </c>
      <c r="C140" s="31">
        <v>4301031235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257</v>
      </c>
      <c r="B141" s="54" t="s">
        <v>260</v>
      </c>
      <c r="C141" s="31">
        <v>4301031234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87</v>
      </c>
      <c r="Q142" s="674"/>
      <c r="R142" s="674"/>
      <c r="S142" s="674"/>
      <c r="T142" s="674"/>
      <c r="U142" s="674"/>
      <c r="V142" s="675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hidden="1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87</v>
      </c>
      <c r="Q143" s="674"/>
      <c r="R143" s="674"/>
      <c r="S143" s="674"/>
      <c r="T143" s="674"/>
      <c r="U143" s="674"/>
      <c r="V143" s="675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hidden="1" customHeight="1" x14ac:dyDescent="0.25">
      <c r="A144" s="676" t="s">
        <v>63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261</v>
      </c>
      <c r="B145" s="54" t="s">
        <v>262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261</v>
      </c>
      <c r="B146" s="54" t="s">
        <v>263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87</v>
      </c>
      <c r="Q147" s="674"/>
      <c r="R147" s="674"/>
      <c r="S147" s="674"/>
      <c r="T147" s="674"/>
      <c r="U147" s="674"/>
      <c r="V147" s="675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hidden="1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87</v>
      </c>
      <c r="Q148" s="674"/>
      <c r="R148" s="674"/>
      <c r="S148" s="674"/>
      <c r="T148" s="674"/>
      <c r="U148" s="674"/>
      <c r="V148" s="675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hidden="1" customHeight="1" x14ac:dyDescent="0.25">
      <c r="A149" s="685" t="s">
        <v>95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97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hidden="1" customHeight="1" x14ac:dyDescent="0.25">
      <c r="A151" s="54" t="s">
        <v>264</v>
      </c>
      <c r="B151" s="54" t="s">
        <v>265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87</v>
      </c>
      <c r="Q152" s="674"/>
      <c r="R152" s="674"/>
      <c r="S152" s="674"/>
      <c r="T152" s="674"/>
      <c r="U152" s="674"/>
      <c r="V152" s="675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87</v>
      </c>
      <c r="Q153" s="674"/>
      <c r="R153" s="674"/>
      <c r="S153" s="674"/>
      <c r="T153" s="674"/>
      <c r="U153" s="674"/>
      <c r="V153" s="675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144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267</v>
      </c>
      <c r="B155" s="54" t="s">
        <v>268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270</v>
      </c>
      <c r="B156" s="54" t="s">
        <v>271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273</v>
      </c>
      <c r="B157" s="54" t="s">
        <v>274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87</v>
      </c>
      <c r="Q158" s="674"/>
      <c r="R158" s="674"/>
      <c r="S158" s="674"/>
      <c r="T158" s="674"/>
      <c r="U158" s="674"/>
      <c r="V158" s="675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87</v>
      </c>
      <c r="Q159" s="674"/>
      <c r="R159" s="674"/>
      <c r="S159" s="674"/>
      <c r="T159" s="674"/>
      <c r="U159" s="674"/>
      <c r="V159" s="675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676" t="s">
        <v>63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276</v>
      </c>
      <c r="B161" s="54" t="s">
        <v>277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87</v>
      </c>
      <c r="Q162" s="674"/>
      <c r="R162" s="674"/>
      <c r="S162" s="674"/>
      <c r="T162" s="674"/>
      <c r="U162" s="674"/>
      <c r="V162" s="675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87</v>
      </c>
      <c r="Q163" s="674"/>
      <c r="R163" s="674"/>
      <c r="S163" s="674"/>
      <c r="T163" s="674"/>
      <c r="U163" s="674"/>
      <c r="V163" s="675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279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280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133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281</v>
      </c>
      <c r="B167" s="54" t="s">
        <v>282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87</v>
      </c>
      <c r="Q168" s="674"/>
      <c r="R168" s="674"/>
      <c r="S168" s="674"/>
      <c r="T168" s="674"/>
      <c r="U168" s="674"/>
      <c r="V168" s="675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87</v>
      </c>
      <c r="Q169" s="674"/>
      <c r="R169" s="674"/>
      <c r="S169" s="674"/>
      <c r="T169" s="674"/>
      <c r="U169" s="674"/>
      <c r="V169" s="675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144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hidden="1" customHeight="1" x14ac:dyDescent="0.25">
      <c r="A171" s="54" t="s">
        <v>284</v>
      </c>
      <c r="B171" s="54" t="s">
        <v>285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hidden="1" customHeight="1" x14ac:dyDescent="0.25">
      <c r="A172" s="54" t="s">
        <v>287</v>
      </c>
      <c r="B172" s="54" t="s">
        <v>288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290</v>
      </c>
      <c r="B173" s="54" t="s">
        <v>291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68</v>
      </c>
      <c r="X173" s="667">
        <v>249</v>
      </c>
      <c r="Y173" s="668">
        <f t="shared" si="26"/>
        <v>252</v>
      </c>
      <c r="Z173" s="36">
        <f>IFERROR(IF(Y173=0,"",ROUNDUP(Y173/H173,0)*0.00902),"")</f>
        <v>0.54120000000000001</v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261.45000000000005</v>
      </c>
      <c r="BN173" s="64">
        <f t="shared" si="28"/>
        <v>264.59999999999997</v>
      </c>
      <c r="BO173" s="64">
        <f t="shared" si="29"/>
        <v>0.44913419913419916</v>
      </c>
      <c r="BP173" s="64">
        <f t="shared" si="30"/>
        <v>0.45454545454545459</v>
      </c>
    </row>
    <row r="174" spans="1:68" ht="27" customHeight="1" x14ac:dyDescent="0.25">
      <c r="A174" s="54" t="s">
        <v>293</v>
      </c>
      <c r="B174" s="54" t="s">
        <v>294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68</v>
      </c>
      <c r="X174" s="667">
        <v>350</v>
      </c>
      <c r="Y174" s="668">
        <f t="shared" si="26"/>
        <v>350.7</v>
      </c>
      <c r="Z174" s="36">
        <f>IFERROR(IF(Y174=0,"",ROUNDUP(Y174/H174,0)*0.00502),"")</f>
        <v>0.83833999999999997</v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371.66666666666663</v>
      </c>
      <c r="BN174" s="64">
        <f t="shared" si="28"/>
        <v>372.40999999999997</v>
      </c>
      <c r="BO174" s="64">
        <f t="shared" si="29"/>
        <v>0.71225071225071224</v>
      </c>
      <c r="BP174" s="64">
        <f t="shared" si="30"/>
        <v>0.71367521367521369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65" t="s">
        <v>299</v>
      </c>
      <c r="Q176" s="679"/>
      <c r="R176" s="679"/>
      <c r="S176" s="679"/>
      <c r="T176" s="680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68</v>
      </c>
      <c r="X177" s="667">
        <v>206</v>
      </c>
      <c r="Y177" s="668">
        <f t="shared" si="26"/>
        <v>207.9</v>
      </c>
      <c r="Z177" s="36">
        <f>IFERROR(IF(Y177=0,"",ROUNDUP(Y177/H177,0)*0.00502),"")</f>
        <v>0.49698000000000003</v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215.80952380952382</v>
      </c>
      <c r="BN177" s="64">
        <f t="shared" si="28"/>
        <v>217.8</v>
      </c>
      <c r="BO177" s="64">
        <f t="shared" si="29"/>
        <v>0.41921041921041924</v>
      </c>
      <c r="BP177" s="64">
        <f t="shared" si="30"/>
        <v>0.42307692307692313</v>
      </c>
    </row>
    <row r="178" spans="1:68" ht="27" hidden="1" customHeight="1" x14ac:dyDescent="0.25">
      <c r="A178" s="54" t="s">
        <v>303</v>
      </c>
      <c r="B178" s="54" t="s">
        <v>304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87</v>
      </c>
      <c r="Q180" s="674"/>
      <c r="R180" s="674"/>
      <c r="S180" s="674"/>
      <c r="T180" s="674"/>
      <c r="U180" s="674"/>
      <c r="V180" s="675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324.04761904761904</v>
      </c>
      <c r="Y180" s="669">
        <f>IFERROR(Y171/H171,"0")+IFERROR(Y172/H172,"0")+IFERROR(Y173/H173,"0")+IFERROR(Y174/H174,"0")+IFERROR(Y175/H175,"0")+IFERROR(Y176/H176,"0")+IFERROR(Y177/H177,"0")+IFERROR(Y178/H178,"0")+IFERROR(Y179/H179,"0")</f>
        <v>326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1.87652</v>
      </c>
      <c r="AA180" s="670"/>
      <c r="AB180" s="670"/>
      <c r="AC180" s="670"/>
    </row>
    <row r="181" spans="1:68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87</v>
      </c>
      <c r="Q181" s="674"/>
      <c r="R181" s="674"/>
      <c r="S181" s="674"/>
      <c r="T181" s="674"/>
      <c r="U181" s="674"/>
      <c r="V181" s="675"/>
      <c r="W181" s="37" t="s">
        <v>68</v>
      </c>
      <c r="X181" s="669">
        <f>IFERROR(SUM(X171:X179),"0")</f>
        <v>805</v>
      </c>
      <c r="Y181" s="669">
        <f>IFERROR(SUM(Y171:Y179),"0")</f>
        <v>810.6</v>
      </c>
      <c r="Z181" s="37"/>
      <c r="AA181" s="670"/>
      <c r="AB181" s="670"/>
      <c r="AC181" s="670"/>
    </row>
    <row r="182" spans="1:68" ht="14.25" hidden="1" customHeight="1" x14ac:dyDescent="0.25">
      <c r="A182" s="676" t="s">
        <v>89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308</v>
      </c>
      <c r="B183" s="54" t="s">
        <v>309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860" t="s">
        <v>312</v>
      </c>
      <c r="Q183" s="679"/>
      <c r="R183" s="679"/>
      <c r="S183" s="679"/>
      <c r="T183" s="680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315</v>
      </c>
      <c r="B184" s="54" t="s">
        <v>316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41" t="s">
        <v>317</v>
      </c>
      <c r="Q184" s="679"/>
      <c r="R184" s="679"/>
      <c r="S184" s="679"/>
      <c r="T184" s="680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50" t="s">
        <v>320</v>
      </c>
      <c r="Q185" s="679"/>
      <c r="R185" s="679"/>
      <c r="S185" s="679"/>
      <c r="T185" s="680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87</v>
      </c>
      <c r="Q186" s="674"/>
      <c r="R186" s="674"/>
      <c r="S186" s="674"/>
      <c r="T186" s="674"/>
      <c r="U186" s="674"/>
      <c r="V186" s="675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87</v>
      </c>
      <c r="Q187" s="674"/>
      <c r="R187" s="674"/>
      <c r="S187" s="674"/>
      <c r="T187" s="674"/>
      <c r="U187" s="674"/>
      <c r="V187" s="675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322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323</v>
      </c>
      <c r="B189" s="54" t="s">
        <v>324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8" t="s">
        <v>325</v>
      </c>
      <c r="Q189" s="679"/>
      <c r="R189" s="679"/>
      <c r="S189" s="679"/>
      <c r="T189" s="680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87</v>
      </c>
      <c r="Q190" s="674"/>
      <c r="R190" s="674"/>
      <c r="S190" s="674"/>
      <c r="T190" s="674"/>
      <c r="U190" s="674"/>
      <c r="V190" s="675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87</v>
      </c>
      <c r="Q191" s="674"/>
      <c r="R191" s="674"/>
      <c r="S191" s="674"/>
      <c r="T191" s="674"/>
      <c r="U191" s="674"/>
      <c r="V191" s="675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326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97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327</v>
      </c>
      <c r="B194" s="54" t="s">
        <v>328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330</v>
      </c>
      <c r="B195" s="54" t="s">
        <v>331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87</v>
      </c>
      <c r="Q196" s="674"/>
      <c r="R196" s="674"/>
      <c r="S196" s="674"/>
      <c r="T196" s="674"/>
      <c r="U196" s="674"/>
      <c r="V196" s="675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87</v>
      </c>
      <c r="Q197" s="674"/>
      <c r="R197" s="674"/>
      <c r="S197" s="674"/>
      <c r="T197" s="674"/>
      <c r="U197" s="674"/>
      <c r="V197" s="675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133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332</v>
      </c>
      <c r="B199" s="54" t="s">
        <v>333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335</v>
      </c>
      <c r="B200" s="54" t="s">
        <v>336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68</v>
      </c>
      <c r="X200" s="667">
        <v>50</v>
      </c>
      <c r="Y200" s="668">
        <f>IFERROR(IF(X200="",0,CEILING((X200/$H200),1)*$H200),"")</f>
        <v>50.400000000000006</v>
      </c>
      <c r="Z200" s="36">
        <f>IFERROR(IF(Y200=0,"",ROUNDUP(Y200/H200,0)*0.00651),"")</f>
        <v>0.15623999999999999</v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54.285714285714278</v>
      </c>
      <c r="BN200" s="64">
        <f>IFERROR(Y200*I200/H200,"0")</f>
        <v>54.72</v>
      </c>
      <c r="BO200" s="64">
        <f>IFERROR(1/J200*(X200/H200),"0")</f>
        <v>0.13082155939298798</v>
      </c>
      <c r="BP200" s="64">
        <f>IFERROR(1/J200*(Y200/H200),"0")</f>
        <v>0.13186813186813187</v>
      </c>
    </row>
    <row r="201" spans="1:68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87</v>
      </c>
      <c r="Q201" s="674"/>
      <c r="R201" s="674"/>
      <c r="S201" s="674"/>
      <c r="T201" s="674"/>
      <c r="U201" s="674"/>
      <c r="V201" s="675"/>
      <c r="W201" s="37" t="s">
        <v>88</v>
      </c>
      <c r="X201" s="669">
        <f>IFERROR(X199/H199,"0")+IFERROR(X200/H200,"0")</f>
        <v>23.80952380952381</v>
      </c>
      <c r="Y201" s="669">
        <f>IFERROR(Y199/H199,"0")+IFERROR(Y200/H200,"0")</f>
        <v>24</v>
      </c>
      <c r="Z201" s="669">
        <f>IFERROR(IF(Z199="",0,Z199),"0")+IFERROR(IF(Z200="",0,Z200),"0")</f>
        <v>0.15623999999999999</v>
      </c>
      <c r="AA201" s="670"/>
      <c r="AB201" s="670"/>
      <c r="AC201" s="670"/>
    </row>
    <row r="202" spans="1:68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87</v>
      </c>
      <c r="Q202" s="674"/>
      <c r="R202" s="674"/>
      <c r="S202" s="674"/>
      <c r="T202" s="674"/>
      <c r="U202" s="674"/>
      <c r="V202" s="675"/>
      <c r="W202" s="37" t="s">
        <v>68</v>
      </c>
      <c r="X202" s="669">
        <f>IFERROR(SUM(X199:X200),"0")</f>
        <v>50</v>
      </c>
      <c r="Y202" s="669">
        <f>IFERROR(SUM(Y199:Y200),"0")</f>
        <v>50.400000000000006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144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customHeight="1" x14ac:dyDescent="0.25">
      <c r="A204" s="54" t="s">
        <v>337</v>
      </c>
      <c r="B204" s="54" t="s">
        <v>338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68</v>
      </c>
      <c r="X204" s="667">
        <v>219</v>
      </c>
      <c r="Y204" s="668">
        <f t="shared" ref="Y204:Y211" si="31">IFERROR(IF(X204="",0,CEILING((X204/$H204),1)*$H204),"")</f>
        <v>221.4</v>
      </c>
      <c r="Z204" s="36">
        <f>IFERROR(IF(Y204=0,"",ROUNDUP(Y204/H204,0)*0.00902),"")</f>
        <v>0.36982000000000004</v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227.51666666666668</v>
      </c>
      <c r="BN204" s="64">
        <f t="shared" ref="BN204:BN211" si="33">IFERROR(Y204*I204/H204,"0")</f>
        <v>230.01</v>
      </c>
      <c r="BO204" s="64">
        <f t="shared" ref="BO204:BO211" si="34">IFERROR(1/J204*(X204/H204),"0")</f>
        <v>0.3072390572390572</v>
      </c>
      <c r="BP204" s="64">
        <f t="shared" ref="BP204:BP211" si="35">IFERROR(1/J204*(Y204/H204),"0")</f>
        <v>0.31060606060606061</v>
      </c>
    </row>
    <row r="205" spans="1:68" ht="27" customHeight="1" x14ac:dyDescent="0.25">
      <c r="A205" s="54" t="s">
        <v>340</v>
      </c>
      <c r="B205" s="54" t="s">
        <v>341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68</v>
      </c>
      <c r="X205" s="667">
        <v>387</v>
      </c>
      <c r="Y205" s="668">
        <f t="shared" si="31"/>
        <v>388.8</v>
      </c>
      <c r="Z205" s="36">
        <f>IFERROR(IF(Y205=0,"",ROUNDUP(Y205/H205,0)*0.00902),"")</f>
        <v>0.64944000000000002</v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402.05</v>
      </c>
      <c r="BN205" s="64">
        <f t="shared" si="33"/>
        <v>403.92</v>
      </c>
      <c r="BO205" s="64">
        <f t="shared" si="34"/>
        <v>0.54292929292929282</v>
      </c>
      <c r="BP205" s="64">
        <f t="shared" si="35"/>
        <v>0.54545454545454541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68</v>
      </c>
      <c r="X207" s="667">
        <v>203</v>
      </c>
      <c r="Y207" s="668">
        <f t="shared" si="31"/>
        <v>205.20000000000002</v>
      </c>
      <c r="Z207" s="36">
        <f>IFERROR(IF(Y207=0,"",ROUNDUP(Y207/H207,0)*0.00902),"")</f>
        <v>0.34276000000000001</v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210.89444444444445</v>
      </c>
      <c r="BN207" s="64">
        <f t="shared" si="33"/>
        <v>213.18000000000004</v>
      </c>
      <c r="BO207" s="64">
        <f t="shared" si="34"/>
        <v>0.28479236812570141</v>
      </c>
      <c r="BP207" s="64">
        <f t="shared" si="35"/>
        <v>0.2878787878787879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68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hidden="1" customHeight="1" x14ac:dyDescent="0.25">
      <c r="A211" s="54" t="s">
        <v>355</v>
      </c>
      <c r="B211" s="54" t="s">
        <v>356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68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87</v>
      </c>
      <c r="Q212" s="674"/>
      <c r="R212" s="674"/>
      <c r="S212" s="674"/>
      <c r="T212" s="674"/>
      <c r="U212" s="674"/>
      <c r="V212" s="675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149.81481481481478</v>
      </c>
      <c r="Y212" s="669">
        <f>IFERROR(Y204/H204,"0")+IFERROR(Y205/H205,"0")+IFERROR(Y206/H206,"0")+IFERROR(Y207/H207,"0")+IFERROR(Y208/H208,"0")+IFERROR(Y209/H209,"0")+IFERROR(Y210/H210,"0")+IFERROR(Y211/H211,"0")</f>
        <v>151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1.36202</v>
      </c>
      <c r="AA212" s="670"/>
      <c r="AB212" s="670"/>
      <c r="AC212" s="670"/>
    </row>
    <row r="213" spans="1:68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87</v>
      </c>
      <c r="Q213" s="674"/>
      <c r="R213" s="674"/>
      <c r="S213" s="674"/>
      <c r="T213" s="674"/>
      <c r="U213" s="674"/>
      <c r="V213" s="675"/>
      <c r="W213" s="37" t="s">
        <v>68</v>
      </c>
      <c r="X213" s="669">
        <f>IFERROR(SUM(X204:X211),"0")</f>
        <v>809</v>
      </c>
      <c r="Y213" s="669">
        <f>IFERROR(SUM(Y204:Y211),"0")</f>
        <v>815.40000000000009</v>
      </c>
      <c r="Z213" s="37"/>
      <c r="AA213" s="670"/>
      <c r="AB213" s="670"/>
      <c r="AC213" s="670"/>
    </row>
    <row r="214" spans="1:68" ht="14.25" hidden="1" customHeight="1" x14ac:dyDescent="0.25">
      <c r="A214" s="676" t="s">
        <v>63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hidden="1" customHeight="1" x14ac:dyDescent="0.25">
      <c r="A215" s="54" t="s">
        <v>357</v>
      </c>
      <c r="B215" s="54" t="s">
        <v>358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hidden="1" customHeight="1" x14ac:dyDescent="0.25">
      <c r="A217" s="54" t="s">
        <v>363</v>
      </c>
      <c r="B217" s="54" t="s">
        <v>364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68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68</v>
      </c>
      <c r="X218" s="667">
        <v>82</v>
      </c>
      <c r="Y218" s="668">
        <f t="shared" si="36"/>
        <v>84</v>
      </c>
      <c r="Z218" s="36">
        <f t="shared" ref="Z218:Z223" si="41">IFERROR(IF(Y218=0,"",ROUNDUP(Y218/H218,0)*0.00651),"")</f>
        <v>0.22785</v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91.225000000000009</v>
      </c>
      <c r="BN218" s="64">
        <f t="shared" si="38"/>
        <v>93.45</v>
      </c>
      <c r="BO218" s="64">
        <f t="shared" si="39"/>
        <v>0.18772893772893776</v>
      </c>
      <c r="BP218" s="64">
        <f t="shared" si="40"/>
        <v>0.19230769230769232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68</v>
      </c>
      <c r="X220" s="667">
        <v>280</v>
      </c>
      <c r="Y220" s="668">
        <f t="shared" si="36"/>
        <v>280.8</v>
      </c>
      <c r="Z220" s="36">
        <f t="shared" si="41"/>
        <v>0.76167000000000007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309.40000000000003</v>
      </c>
      <c r="BN220" s="64">
        <f t="shared" si="38"/>
        <v>310.28400000000005</v>
      </c>
      <c r="BO220" s="64">
        <f t="shared" si="39"/>
        <v>0.64102564102564108</v>
      </c>
      <c r="BP220" s="64">
        <f t="shared" si="40"/>
        <v>0.64285714285714302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68</v>
      </c>
      <c r="X221" s="667">
        <v>1183</v>
      </c>
      <c r="Y221" s="668">
        <f t="shared" si="36"/>
        <v>1183.2</v>
      </c>
      <c r="Z221" s="36">
        <f t="shared" si="41"/>
        <v>3.2094300000000002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1307.2150000000001</v>
      </c>
      <c r="BN221" s="64">
        <f t="shared" si="38"/>
        <v>1307.4360000000001</v>
      </c>
      <c r="BO221" s="64">
        <f t="shared" si="39"/>
        <v>2.7083333333333335</v>
      </c>
      <c r="BP221" s="64">
        <f t="shared" si="40"/>
        <v>2.7087912087912094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68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68</v>
      </c>
      <c r="X223" s="667">
        <v>267</v>
      </c>
      <c r="Y223" s="668">
        <f t="shared" si="36"/>
        <v>268.8</v>
      </c>
      <c r="Z223" s="36">
        <f t="shared" si="41"/>
        <v>0.72911999999999999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295.70249999999999</v>
      </c>
      <c r="BN223" s="64">
        <f t="shared" si="38"/>
        <v>297.69600000000003</v>
      </c>
      <c r="BO223" s="64">
        <f t="shared" si="39"/>
        <v>0.61126373626373631</v>
      </c>
      <c r="BP223" s="64">
        <f t="shared" si="40"/>
        <v>0.61538461538461553</v>
      </c>
    </row>
    <row r="224" spans="1:68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87</v>
      </c>
      <c r="Q224" s="674"/>
      <c r="R224" s="674"/>
      <c r="S224" s="674"/>
      <c r="T224" s="674"/>
      <c r="U224" s="674"/>
      <c r="V224" s="675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755</v>
      </c>
      <c r="Y224" s="669">
        <f>IFERROR(Y215/H215,"0")+IFERROR(Y216/H216,"0")+IFERROR(Y217/H217,"0")+IFERROR(Y218/H218,"0")+IFERROR(Y219/H219,"0")+IFERROR(Y220/H220,"0")+IFERROR(Y221/H221,"0")+IFERROR(Y222/H222,"0")+IFERROR(Y223/H223,"0")</f>
        <v>757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4.92807</v>
      </c>
      <c r="AA224" s="670"/>
      <c r="AB224" s="670"/>
      <c r="AC224" s="670"/>
    </row>
    <row r="225" spans="1:68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87</v>
      </c>
      <c r="Q225" s="674"/>
      <c r="R225" s="674"/>
      <c r="S225" s="674"/>
      <c r="T225" s="674"/>
      <c r="U225" s="674"/>
      <c r="V225" s="675"/>
      <c r="W225" s="37" t="s">
        <v>68</v>
      </c>
      <c r="X225" s="669">
        <f>IFERROR(SUM(X215:X223),"0")</f>
        <v>1812</v>
      </c>
      <c r="Y225" s="669">
        <f>IFERROR(SUM(Y215:Y223),"0")</f>
        <v>1816.8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170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68</v>
      </c>
      <c r="X227" s="667">
        <v>3</v>
      </c>
      <c r="Y227" s="668">
        <f>IFERROR(IF(X227="",0,CEILING((X227/$H227),1)*$H227),"")</f>
        <v>4.8</v>
      </c>
      <c r="Z227" s="36">
        <f>IFERROR(IF(Y227=0,"",ROUNDUP(Y227/H227,0)*0.00651),"")</f>
        <v>1.302E-2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3.3150000000000004</v>
      </c>
      <c r="BN227" s="64">
        <f>IFERROR(Y227*I227/H227,"0")</f>
        <v>5.3040000000000003</v>
      </c>
      <c r="BO227" s="64">
        <f>IFERROR(1/J227*(X227/H227),"0")</f>
        <v>6.8681318681318689E-3</v>
      </c>
      <c r="BP227" s="64">
        <f>IFERROR(1/J227*(Y227/H227),"0")</f>
        <v>1.098901098901099E-2</v>
      </c>
    </row>
    <row r="228" spans="1:68" ht="27" customHeight="1" x14ac:dyDescent="0.25">
      <c r="A228" s="54" t="s">
        <v>384</v>
      </c>
      <c r="B228" s="54" t="s">
        <v>385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68</v>
      </c>
      <c r="X228" s="667">
        <v>31</v>
      </c>
      <c r="Y228" s="668">
        <f>IFERROR(IF(X228="",0,CEILING((X228/$H228),1)*$H228),"")</f>
        <v>31.2</v>
      </c>
      <c r="Z228" s="36">
        <f>IFERROR(IF(Y228=0,"",ROUNDUP(Y228/H228,0)*0.00651),"")</f>
        <v>8.4629999999999997E-2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34.255000000000003</v>
      </c>
      <c r="BN228" s="64">
        <f>IFERROR(Y228*I228/H228,"0")</f>
        <v>34.476000000000006</v>
      </c>
      <c r="BO228" s="64">
        <f>IFERROR(1/J228*(X228/H228),"0")</f>
        <v>7.0970695970695982E-2</v>
      </c>
      <c r="BP228" s="64">
        <f>IFERROR(1/J228*(Y228/H228),"0")</f>
        <v>7.1428571428571438E-2</v>
      </c>
    </row>
    <row r="229" spans="1:68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87</v>
      </c>
      <c r="Q229" s="674"/>
      <c r="R229" s="674"/>
      <c r="S229" s="674"/>
      <c r="T229" s="674"/>
      <c r="U229" s="674"/>
      <c r="V229" s="675"/>
      <c r="W229" s="37" t="s">
        <v>88</v>
      </c>
      <c r="X229" s="669">
        <f>IFERROR(X227/H227,"0")+IFERROR(X228/H228,"0")</f>
        <v>14.166666666666668</v>
      </c>
      <c r="Y229" s="669">
        <f>IFERROR(Y227/H227,"0")+IFERROR(Y228/H228,"0")</f>
        <v>15</v>
      </c>
      <c r="Z229" s="669">
        <f>IFERROR(IF(Z227="",0,Z227),"0")+IFERROR(IF(Z228="",0,Z228),"0")</f>
        <v>9.7650000000000001E-2</v>
      </c>
      <c r="AA229" s="670"/>
      <c r="AB229" s="670"/>
      <c r="AC229" s="670"/>
    </row>
    <row r="230" spans="1:68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87</v>
      </c>
      <c r="Q230" s="674"/>
      <c r="R230" s="674"/>
      <c r="S230" s="674"/>
      <c r="T230" s="674"/>
      <c r="U230" s="674"/>
      <c r="V230" s="675"/>
      <c r="W230" s="37" t="s">
        <v>68</v>
      </c>
      <c r="X230" s="669">
        <f>IFERROR(SUM(X227:X228),"0")</f>
        <v>34</v>
      </c>
      <c r="Y230" s="669">
        <f>IFERROR(SUM(Y227:Y228),"0")</f>
        <v>36</v>
      </c>
      <c r="Z230" s="37"/>
      <c r="AA230" s="670"/>
      <c r="AB230" s="670"/>
      <c r="AC230" s="670"/>
    </row>
    <row r="231" spans="1:68" ht="16.5" hidden="1" customHeight="1" x14ac:dyDescent="0.25">
      <c r="A231" s="685" t="s">
        <v>387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97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customHeight="1" x14ac:dyDescent="0.25">
      <c r="A233" s="54" t="s">
        <v>388</v>
      </c>
      <c r="B233" s="54" t="s">
        <v>389</v>
      </c>
      <c r="C233" s="31">
        <v>4301011826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68</v>
      </c>
      <c r="X233" s="667">
        <v>107</v>
      </c>
      <c r="Y233" s="668">
        <f t="shared" ref="Y233:Y240" si="42">IFERROR(IF(X233="",0,CEILING((X233/$H233),1)*$H233),"")</f>
        <v>116</v>
      </c>
      <c r="Z233" s="36">
        <f>IFERROR(IF(Y233=0,"",ROUNDUP(Y233/H233,0)*0.01898),"")</f>
        <v>0.1898</v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111.01250000000002</v>
      </c>
      <c r="BN233" s="64">
        <f t="shared" ref="BN233:BN240" si="44">IFERROR(Y233*I233/H233,"0")</f>
        <v>120.35</v>
      </c>
      <c r="BO233" s="64">
        <f t="shared" ref="BO233:BO240" si="45">IFERROR(1/J233*(X233/H233),"0")</f>
        <v>0.14412715517241378</v>
      </c>
      <c r="BP233" s="64">
        <f t="shared" ref="BP233:BP240" si="46">IFERROR(1/J233*(Y233/H233),"0")</f>
        <v>0.15625</v>
      </c>
    </row>
    <row r="234" spans="1:68" ht="27" hidden="1" customHeight="1" x14ac:dyDescent="0.25">
      <c r="A234" s="54" t="s">
        <v>388</v>
      </c>
      <c r="B234" s="54" t="s">
        <v>391</v>
      </c>
      <c r="C234" s="31">
        <v>4301011942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4301011721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397</v>
      </c>
      <c r="B237" s="54" t="s">
        <v>400</v>
      </c>
      <c r="C237" s="31">
        <v>4301011941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401</v>
      </c>
      <c r="B238" s="54" t="s">
        <v>402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403</v>
      </c>
      <c r="B239" s="54" t="s">
        <v>404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405</v>
      </c>
      <c r="B240" s="54" t="s">
        <v>406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87</v>
      </c>
      <c r="Q241" s="674"/>
      <c r="R241" s="674"/>
      <c r="S241" s="674"/>
      <c r="T241" s="674"/>
      <c r="U241" s="674"/>
      <c r="V241" s="675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9.2241379310344822</v>
      </c>
      <c r="Y241" s="669">
        <f>IFERROR(Y233/H233,"0")+IFERROR(Y234/H234,"0")+IFERROR(Y235/H235,"0")+IFERROR(Y236/H236,"0")+IFERROR(Y237/H237,"0")+IFERROR(Y238/H238,"0")+IFERROR(Y239/H239,"0")+IFERROR(Y240/H240,"0")</f>
        <v>10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0.1898</v>
      </c>
      <c r="AA241" s="670"/>
      <c r="AB241" s="670"/>
      <c r="AC241" s="670"/>
    </row>
    <row r="242" spans="1:68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87</v>
      </c>
      <c r="Q242" s="674"/>
      <c r="R242" s="674"/>
      <c r="S242" s="674"/>
      <c r="T242" s="674"/>
      <c r="U242" s="674"/>
      <c r="V242" s="675"/>
      <c r="W242" s="37" t="s">
        <v>68</v>
      </c>
      <c r="X242" s="669">
        <f>IFERROR(SUM(X233:X240),"0")</f>
        <v>107</v>
      </c>
      <c r="Y242" s="669">
        <f>IFERROR(SUM(Y233:Y240),"0")</f>
        <v>116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133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407</v>
      </c>
      <c r="B244" s="54" t="s">
        <v>408</v>
      </c>
      <c r="C244" s="31">
        <v>4301020377</v>
      </c>
      <c r="D244" s="689">
        <v>4680115885981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93" t="s">
        <v>409</v>
      </c>
      <c r="Q244" s="679"/>
      <c r="R244" s="679"/>
      <c r="S244" s="679"/>
      <c r="T244" s="680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407</v>
      </c>
      <c r="B245" s="54" t="s">
        <v>411</v>
      </c>
      <c r="C245" s="31">
        <v>4301020340</v>
      </c>
      <c r="D245" s="689">
        <v>4680115885721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8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9"/>
      <c r="R245" s="679"/>
      <c r="S245" s="679"/>
      <c r="T245" s="680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87</v>
      </c>
      <c r="Q246" s="674"/>
      <c r="R246" s="674"/>
      <c r="S246" s="674"/>
      <c r="T246" s="674"/>
      <c r="U246" s="674"/>
      <c r="V246" s="675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87</v>
      </c>
      <c r="Q247" s="674"/>
      <c r="R247" s="674"/>
      <c r="S247" s="674"/>
      <c r="T247" s="674"/>
      <c r="U247" s="674"/>
      <c r="V247" s="675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412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customHeight="1" x14ac:dyDescent="0.25">
      <c r="A249" s="54" t="s">
        <v>413</v>
      </c>
      <c r="B249" s="54" t="s">
        <v>414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17" t="s">
        <v>415</v>
      </c>
      <c r="Q249" s="679"/>
      <c r="R249" s="679"/>
      <c r="S249" s="679"/>
      <c r="T249" s="680"/>
      <c r="U249" s="34"/>
      <c r="V249" s="34"/>
      <c r="W249" s="35" t="s">
        <v>68</v>
      </c>
      <c r="X249" s="667">
        <v>16</v>
      </c>
      <c r="Y249" s="668">
        <f>IFERROR(IF(X249="",0,CEILING((X249/$H249),1)*$H249),"")</f>
        <v>17.28</v>
      </c>
      <c r="Z249" s="36">
        <f>IFERROR(IF(Y249=0,"",ROUNDUP(Y249/H249,0)*0.0059),"")</f>
        <v>4.7199999999999999E-2</v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17.407407407407408</v>
      </c>
      <c r="BN249" s="64">
        <f>IFERROR(Y249*I249/H249,"0")</f>
        <v>18.8</v>
      </c>
      <c r="BO249" s="64">
        <f>IFERROR(1/J249*(X249/H249),"0")</f>
        <v>3.4293552812071325E-2</v>
      </c>
      <c r="BP249" s="64">
        <f>IFERROR(1/J249*(Y249/H249),"0")</f>
        <v>3.7037037037037035E-2</v>
      </c>
    </row>
    <row r="250" spans="1:68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87</v>
      </c>
      <c r="Q250" s="674"/>
      <c r="R250" s="674"/>
      <c r="S250" s="674"/>
      <c r="T250" s="674"/>
      <c r="U250" s="674"/>
      <c r="V250" s="675"/>
      <c r="W250" s="37" t="s">
        <v>88</v>
      </c>
      <c r="X250" s="669">
        <f>IFERROR(X249/H249,"0")</f>
        <v>7.4074074074074066</v>
      </c>
      <c r="Y250" s="669">
        <f>IFERROR(Y249/H249,"0")</f>
        <v>8</v>
      </c>
      <c r="Z250" s="669">
        <f>IFERROR(IF(Z249="",0,Z249),"0")</f>
        <v>4.7199999999999999E-2</v>
      </c>
      <c r="AA250" s="670"/>
      <c r="AB250" s="670"/>
      <c r="AC250" s="670"/>
    </row>
    <row r="251" spans="1:68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87</v>
      </c>
      <c r="Q251" s="674"/>
      <c r="R251" s="674"/>
      <c r="S251" s="674"/>
      <c r="T251" s="674"/>
      <c r="U251" s="674"/>
      <c r="V251" s="675"/>
      <c r="W251" s="37" t="s">
        <v>68</v>
      </c>
      <c r="X251" s="669">
        <f>IFERROR(SUM(X249:X249),"0")</f>
        <v>16</v>
      </c>
      <c r="Y251" s="669">
        <f>IFERROR(SUM(Y249:Y249),"0")</f>
        <v>17.28</v>
      </c>
      <c r="Z251" s="37"/>
      <c r="AA251" s="670"/>
      <c r="AB251" s="670"/>
      <c r="AC251" s="670"/>
    </row>
    <row r="252" spans="1:68" ht="14.25" hidden="1" customHeight="1" x14ac:dyDescent="0.25">
      <c r="A252" s="676" t="s">
        <v>417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418</v>
      </c>
      <c r="B253" s="54" t="s">
        <v>419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2" t="s">
        <v>420</v>
      </c>
      <c r="Q253" s="679"/>
      <c r="R253" s="679"/>
      <c r="S253" s="679"/>
      <c r="T253" s="680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422</v>
      </c>
      <c r="B254" s="54" t="s">
        <v>423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17" t="s">
        <v>424</v>
      </c>
      <c r="Q254" s="679"/>
      <c r="R254" s="679"/>
      <c r="S254" s="679"/>
      <c r="T254" s="680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425</v>
      </c>
      <c r="B255" s="54" t="s">
        <v>426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9" t="s">
        <v>427</v>
      </c>
      <c r="Q255" s="679"/>
      <c r="R255" s="679"/>
      <c r="S255" s="679"/>
      <c r="T255" s="680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428</v>
      </c>
      <c r="B256" s="54" t="s">
        <v>429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1" t="s">
        <v>430</v>
      </c>
      <c r="Q256" s="679"/>
      <c r="R256" s="679"/>
      <c r="S256" s="679"/>
      <c r="T256" s="680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431</v>
      </c>
      <c r="B257" s="54" t="s">
        <v>432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5" t="s">
        <v>433</v>
      </c>
      <c r="Q257" s="679"/>
      <c r="R257" s="679"/>
      <c r="S257" s="679"/>
      <c r="T257" s="680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87</v>
      </c>
      <c r="Q258" s="674"/>
      <c r="R258" s="674"/>
      <c r="S258" s="674"/>
      <c r="T258" s="674"/>
      <c r="U258" s="674"/>
      <c r="V258" s="675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87</v>
      </c>
      <c r="Q259" s="674"/>
      <c r="R259" s="674"/>
      <c r="S259" s="674"/>
      <c r="T259" s="674"/>
      <c r="U259" s="674"/>
      <c r="V259" s="675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434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97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435</v>
      </c>
      <c r="B262" s="54" t="s">
        <v>436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438</v>
      </c>
      <c r="B263" s="54" t="s">
        <v>439</v>
      </c>
      <c r="C263" s="31">
        <v>4301011850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438</v>
      </c>
      <c r="B264" s="54" t="s">
        <v>441</v>
      </c>
      <c r="C264" s="31">
        <v>4301011910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443</v>
      </c>
      <c r="B265" s="54" t="s">
        <v>444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446</v>
      </c>
      <c r="B266" s="54" t="s">
        <v>447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449</v>
      </c>
      <c r="B267" s="54" t="s">
        <v>450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87</v>
      </c>
      <c r="Q268" s="674"/>
      <c r="R268" s="674"/>
      <c r="S268" s="674"/>
      <c r="T268" s="674"/>
      <c r="U268" s="674"/>
      <c r="V268" s="675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87</v>
      </c>
      <c r="Q269" s="674"/>
      <c r="R269" s="674"/>
      <c r="S269" s="674"/>
      <c r="T269" s="674"/>
      <c r="U269" s="674"/>
      <c r="V269" s="675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685" t="s">
        <v>452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97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453</v>
      </c>
      <c r="B272" s="54" t="s">
        <v>454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87</v>
      </c>
      <c r="Q273" s="674"/>
      <c r="R273" s="674"/>
      <c r="S273" s="674"/>
      <c r="T273" s="674"/>
      <c r="U273" s="674"/>
      <c r="V273" s="675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87</v>
      </c>
      <c r="Q274" s="674"/>
      <c r="R274" s="674"/>
      <c r="S274" s="674"/>
      <c r="T274" s="674"/>
      <c r="U274" s="674"/>
      <c r="V274" s="675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456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97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457</v>
      </c>
      <c r="B277" s="54" t="s">
        <v>458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459</v>
      </c>
      <c r="B278" s="54" t="s">
        <v>460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462</v>
      </c>
      <c r="B279" s="54" t="s">
        <v>463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465</v>
      </c>
      <c r="B280" s="54" t="s">
        <v>466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21" t="s">
        <v>467</v>
      </c>
      <c r="Q280" s="679"/>
      <c r="R280" s="679"/>
      <c r="S280" s="679"/>
      <c r="T280" s="680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87</v>
      </c>
      <c r="Q281" s="674"/>
      <c r="R281" s="674"/>
      <c r="S281" s="674"/>
      <c r="T281" s="674"/>
      <c r="U281" s="674"/>
      <c r="V281" s="675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87</v>
      </c>
      <c r="Q282" s="674"/>
      <c r="R282" s="674"/>
      <c r="S282" s="674"/>
      <c r="T282" s="674"/>
      <c r="U282" s="674"/>
      <c r="V282" s="675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469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63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470</v>
      </c>
      <c r="B285" s="54" t="s">
        <v>471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473</v>
      </c>
      <c r="B286" s="54" t="s">
        <v>474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68</v>
      </c>
      <c r="X287" s="667">
        <v>38</v>
      </c>
      <c r="Y287" s="668">
        <f>IFERROR(IF(X287="",0,CEILING((X287/$H287),1)*$H287),"")</f>
        <v>38.4</v>
      </c>
      <c r="Z287" s="36">
        <f>IFERROR(IF(Y287=0,"",ROUNDUP(Y287/H287,0)*0.00651),"")</f>
        <v>0.10416</v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41.990000000000009</v>
      </c>
      <c r="BN287" s="64">
        <f>IFERROR(Y287*I287/H287,"0")</f>
        <v>42.432000000000002</v>
      </c>
      <c r="BO287" s="64">
        <f>IFERROR(1/J287*(X287/H287),"0")</f>
        <v>8.6996336996337006E-2</v>
      </c>
      <c r="BP287" s="64">
        <f>IFERROR(1/J287*(Y287/H287),"0")</f>
        <v>8.7912087912087919E-2</v>
      </c>
    </row>
    <row r="288" spans="1:68" ht="37.5" hidden="1" customHeight="1" x14ac:dyDescent="0.25">
      <c r="A288" s="54" t="s">
        <v>478</v>
      </c>
      <c r="B288" s="54" t="s">
        <v>479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68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481</v>
      </c>
      <c r="B289" s="54" t="s">
        <v>482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87</v>
      </c>
      <c r="Q290" s="674"/>
      <c r="R290" s="674"/>
      <c r="S290" s="674"/>
      <c r="T290" s="674"/>
      <c r="U290" s="674"/>
      <c r="V290" s="675"/>
      <c r="W290" s="37" t="s">
        <v>88</v>
      </c>
      <c r="X290" s="669">
        <f>IFERROR(X285/H285,"0")+IFERROR(X286/H286,"0")+IFERROR(X287/H287,"0")+IFERROR(X288/H288,"0")+IFERROR(X289/H289,"0")</f>
        <v>15.833333333333334</v>
      </c>
      <c r="Y290" s="669">
        <f>IFERROR(Y285/H285,"0")+IFERROR(Y286/H286,"0")+IFERROR(Y287/H287,"0")+IFERROR(Y288/H288,"0")+IFERROR(Y289/H289,"0")</f>
        <v>16</v>
      </c>
      <c r="Z290" s="669">
        <f>IFERROR(IF(Z285="",0,Z285),"0")+IFERROR(IF(Z286="",0,Z286),"0")+IFERROR(IF(Z287="",0,Z287),"0")+IFERROR(IF(Z288="",0,Z288),"0")+IFERROR(IF(Z289="",0,Z289),"0")</f>
        <v>0.10416</v>
      </c>
      <c r="AA290" s="670"/>
      <c r="AB290" s="670"/>
      <c r="AC290" s="670"/>
    </row>
    <row r="291" spans="1:68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87</v>
      </c>
      <c r="Q291" s="674"/>
      <c r="R291" s="674"/>
      <c r="S291" s="674"/>
      <c r="T291" s="674"/>
      <c r="U291" s="674"/>
      <c r="V291" s="675"/>
      <c r="W291" s="37" t="s">
        <v>68</v>
      </c>
      <c r="X291" s="669">
        <f>IFERROR(SUM(X285:X289),"0")</f>
        <v>38</v>
      </c>
      <c r="Y291" s="669">
        <f>IFERROR(SUM(Y285:Y289),"0")</f>
        <v>38.4</v>
      </c>
      <c r="Z291" s="37"/>
      <c r="AA291" s="670"/>
      <c r="AB291" s="670"/>
      <c r="AC291" s="670"/>
    </row>
    <row r="292" spans="1:68" ht="16.5" hidden="1" customHeight="1" x14ac:dyDescent="0.25">
      <c r="A292" s="685" t="s">
        <v>483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97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484</v>
      </c>
      <c r="B294" s="54" t="s">
        <v>485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87</v>
      </c>
      <c r="Q295" s="674"/>
      <c r="R295" s="674"/>
      <c r="S295" s="674"/>
      <c r="T295" s="674"/>
      <c r="U295" s="674"/>
      <c r="V295" s="675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87</v>
      </c>
      <c r="Q296" s="674"/>
      <c r="R296" s="674"/>
      <c r="S296" s="674"/>
      <c r="T296" s="674"/>
      <c r="U296" s="674"/>
      <c r="V296" s="675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144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487</v>
      </c>
      <c r="B298" s="54" t="s">
        <v>488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87</v>
      </c>
      <c r="Q299" s="674"/>
      <c r="R299" s="674"/>
      <c r="S299" s="674"/>
      <c r="T299" s="674"/>
      <c r="U299" s="674"/>
      <c r="V299" s="675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87</v>
      </c>
      <c r="Q300" s="674"/>
      <c r="R300" s="674"/>
      <c r="S300" s="674"/>
      <c r="T300" s="674"/>
      <c r="U300" s="674"/>
      <c r="V300" s="675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63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490</v>
      </c>
      <c r="B302" s="54" t="s">
        <v>491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87</v>
      </c>
      <c r="Q303" s="674"/>
      <c r="R303" s="674"/>
      <c r="S303" s="674"/>
      <c r="T303" s="674"/>
      <c r="U303" s="674"/>
      <c r="V303" s="675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87</v>
      </c>
      <c r="Q304" s="674"/>
      <c r="R304" s="674"/>
      <c r="S304" s="674"/>
      <c r="T304" s="674"/>
      <c r="U304" s="674"/>
      <c r="V304" s="675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493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63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494</v>
      </c>
      <c r="B307" s="54" t="s">
        <v>495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87</v>
      </c>
      <c r="Q308" s="674"/>
      <c r="R308" s="674"/>
      <c r="S308" s="674"/>
      <c r="T308" s="674"/>
      <c r="U308" s="674"/>
      <c r="V308" s="675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87</v>
      </c>
      <c r="Q309" s="674"/>
      <c r="R309" s="674"/>
      <c r="S309" s="674"/>
      <c r="T309" s="674"/>
      <c r="U309" s="674"/>
      <c r="V309" s="675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497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97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498</v>
      </c>
      <c r="B312" s="54" t="s">
        <v>499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87</v>
      </c>
      <c r="Q313" s="674"/>
      <c r="R313" s="674"/>
      <c r="S313" s="674"/>
      <c r="T313" s="674"/>
      <c r="U313" s="674"/>
      <c r="V313" s="675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87</v>
      </c>
      <c r="Q314" s="674"/>
      <c r="R314" s="674"/>
      <c r="S314" s="674"/>
      <c r="T314" s="674"/>
      <c r="U314" s="674"/>
      <c r="V314" s="675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144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hidden="1" customHeight="1" x14ac:dyDescent="0.25">
      <c r="A316" s="54" t="s">
        <v>500</v>
      </c>
      <c r="B316" s="54" t="s">
        <v>501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503</v>
      </c>
      <c r="B317" s="54" t="s">
        <v>504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87</v>
      </c>
      <c r="Q318" s="674"/>
      <c r="R318" s="674"/>
      <c r="S318" s="674"/>
      <c r="T318" s="674"/>
      <c r="U318" s="674"/>
      <c r="V318" s="675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hidden="1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87</v>
      </c>
      <c r="Q319" s="674"/>
      <c r="R319" s="674"/>
      <c r="S319" s="674"/>
      <c r="T319" s="674"/>
      <c r="U319" s="674"/>
      <c r="V319" s="675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hidden="1" customHeight="1" x14ac:dyDescent="0.25">
      <c r="A320" s="685" t="s">
        <v>505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97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506</v>
      </c>
      <c r="B322" s="54" t="s">
        <v>507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87</v>
      </c>
      <c r="Q323" s="674"/>
      <c r="R323" s="674"/>
      <c r="S323" s="674"/>
      <c r="T323" s="674"/>
      <c r="U323" s="674"/>
      <c r="V323" s="675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87</v>
      </c>
      <c r="Q324" s="674"/>
      <c r="R324" s="674"/>
      <c r="S324" s="674"/>
      <c r="T324" s="674"/>
      <c r="U324" s="674"/>
      <c r="V324" s="675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510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97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511</v>
      </c>
      <c r="B327" s="54" t="s">
        <v>512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514</v>
      </c>
      <c r="B328" s="54" t="s">
        <v>515</v>
      </c>
      <c r="C328" s="31">
        <v>4301012016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514</v>
      </c>
      <c r="B329" s="54" t="s">
        <v>517</v>
      </c>
      <c r="C329" s="31">
        <v>4301011911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519</v>
      </c>
      <c r="B330" s="54" t="s">
        <v>520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522</v>
      </c>
      <c r="B331" s="54" t="s">
        <v>523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525</v>
      </c>
      <c r="B332" s="54" t="s">
        <v>526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87</v>
      </c>
      <c r="Q333" s="674"/>
      <c r="R333" s="674"/>
      <c r="S333" s="674"/>
      <c r="T333" s="674"/>
      <c r="U333" s="674"/>
      <c r="V333" s="675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87</v>
      </c>
      <c r="Q334" s="674"/>
      <c r="R334" s="674"/>
      <c r="S334" s="674"/>
      <c r="T334" s="674"/>
      <c r="U334" s="674"/>
      <c r="V334" s="675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144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hidden="1" customHeight="1" x14ac:dyDescent="0.25">
      <c r="A336" s="54" t="s">
        <v>527</v>
      </c>
      <c r="B336" s="54" t="s">
        <v>528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530</v>
      </c>
      <c r="B337" s="54" t="s">
        <v>531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533</v>
      </c>
      <c r="B338" s="54" t="s">
        <v>534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536</v>
      </c>
      <c r="B339" s="54" t="s">
        <v>537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87</v>
      </c>
      <c r="Q340" s="674"/>
      <c r="R340" s="674"/>
      <c r="S340" s="674"/>
      <c r="T340" s="674"/>
      <c r="U340" s="674"/>
      <c r="V340" s="675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hidden="1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87</v>
      </c>
      <c r="Q341" s="674"/>
      <c r="R341" s="674"/>
      <c r="S341" s="674"/>
      <c r="T341" s="674"/>
      <c r="U341" s="674"/>
      <c r="V341" s="675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hidden="1" customHeight="1" x14ac:dyDescent="0.25">
      <c r="A342" s="676" t="s">
        <v>63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hidden="1" customHeight="1" x14ac:dyDescent="0.25">
      <c r="A343" s="54" t="s">
        <v>538</v>
      </c>
      <c r="B343" s="54" t="s">
        <v>539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541</v>
      </c>
      <c r="B344" s="54" t="s">
        <v>542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544</v>
      </c>
      <c r="B345" s="54" t="s">
        <v>545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547</v>
      </c>
      <c r="B346" s="54" t="s">
        <v>548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550</v>
      </c>
      <c r="B347" s="54" t="s">
        <v>551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68</v>
      </c>
      <c r="X347" s="667">
        <v>22</v>
      </c>
      <c r="Y347" s="668">
        <f>IFERROR(IF(X347="",0,CEILING((X347/$H347),1)*$H347),"")</f>
        <v>24.3</v>
      </c>
      <c r="Z347" s="36">
        <f>IFERROR(IF(Y347=0,"",ROUNDUP(Y347/H347,0)*0.00651),"")</f>
        <v>5.8590000000000003E-2</v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24.102222222222224</v>
      </c>
      <c r="BN347" s="64">
        <f>IFERROR(Y347*I347/H347,"0")</f>
        <v>26.622</v>
      </c>
      <c r="BO347" s="64">
        <f>IFERROR(1/J347*(X347/H347),"0")</f>
        <v>4.4770044770044766E-2</v>
      </c>
      <c r="BP347" s="64">
        <f>IFERROR(1/J347*(Y347/H347),"0")</f>
        <v>4.9450549450549455E-2</v>
      </c>
    </row>
    <row r="348" spans="1:68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87</v>
      </c>
      <c r="Q348" s="674"/>
      <c r="R348" s="674"/>
      <c r="S348" s="674"/>
      <c r="T348" s="674"/>
      <c r="U348" s="674"/>
      <c r="V348" s="675"/>
      <c r="W348" s="37" t="s">
        <v>88</v>
      </c>
      <c r="X348" s="669">
        <f>IFERROR(X343/H343,"0")+IFERROR(X344/H344,"0")+IFERROR(X345/H345,"0")+IFERROR(X346/H346,"0")+IFERROR(X347/H347,"0")</f>
        <v>8.148148148148147</v>
      </c>
      <c r="Y348" s="669">
        <f>IFERROR(Y343/H343,"0")+IFERROR(Y344/H344,"0")+IFERROR(Y345/H345,"0")+IFERROR(Y346/H346,"0")+IFERROR(Y347/H347,"0")</f>
        <v>9</v>
      </c>
      <c r="Z348" s="669">
        <f>IFERROR(IF(Z343="",0,Z343),"0")+IFERROR(IF(Z344="",0,Z344),"0")+IFERROR(IF(Z345="",0,Z345),"0")+IFERROR(IF(Z346="",0,Z346),"0")+IFERROR(IF(Z347="",0,Z347),"0")</f>
        <v>5.8590000000000003E-2</v>
      </c>
      <c r="AA348" s="670"/>
      <c r="AB348" s="670"/>
      <c r="AC348" s="670"/>
    </row>
    <row r="349" spans="1:68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87</v>
      </c>
      <c r="Q349" s="674"/>
      <c r="R349" s="674"/>
      <c r="S349" s="674"/>
      <c r="T349" s="674"/>
      <c r="U349" s="674"/>
      <c r="V349" s="675"/>
      <c r="W349" s="37" t="s">
        <v>68</v>
      </c>
      <c r="X349" s="669">
        <f>IFERROR(SUM(X343:X347),"0")</f>
        <v>22</v>
      </c>
      <c r="Y349" s="669">
        <f>IFERROR(SUM(Y343:Y347),"0")</f>
        <v>24.3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170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customHeight="1" x14ac:dyDescent="0.25">
      <c r="A351" s="54" t="s">
        <v>553</v>
      </c>
      <c r="B351" s="54" t="s">
        <v>554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68</v>
      </c>
      <c r="X351" s="667">
        <v>57</v>
      </c>
      <c r="Y351" s="668">
        <f>IFERROR(IF(X351="",0,CEILING((X351/$H351),1)*$H351),"")</f>
        <v>58.800000000000004</v>
      </c>
      <c r="Z351" s="36">
        <f>IFERROR(IF(Y351=0,"",ROUNDUP(Y351/H351,0)*0.01898),"")</f>
        <v>0.13286000000000001</v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60.521785714285713</v>
      </c>
      <c r="BN351" s="64">
        <f>IFERROR(Y351*I351/H351,"0")</f>
        <v>62.433000000000007</v>
      </c>
      <c r="BO351" s="64">
        <f>IFERROR(1/J351*(X351/H351),"0")</f>
        <v>0.10602678571428571</v>
      </c>
      <c r="BP351" s="64">
        <f>IFERROR(1/J351*(Y351/H351),"0")</f>
        <v>0.109375</v>
      </c>
    </row>
    <row r="352" spans="1:68" ht="27" customHeight="1" x14ac:dyDescent="0.25">
      <c r="A352" s="54" t="s">
        <v>556</v>
      </c>
      <c r="B352" s="54" t="s">
        <v>557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68</v>
      </c>
      <c r="X352" s="667">
        <v>7</v>
      </c>
      <c r="Y352" s="668">
        <f>IFERROR(IF(X352="",0,CEILING((X352/$H352),1)*$H352),"")</f>
        <v>7.8</v>
      </c>
      <c r="Z352" s="36">
        <f>IFERROR(IF(Y352=0,"",ROUNDUP(Y352/H352,0)*0.01898),"")</f>
        <v>1.898E-2</v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7.4657692307692312</v>
      </c>
      <c r="BN352" s="64">
        <f>IFERROR(Y352*I352/H352,"0")</f>
        <v>8.3190000000000008</v>
      </c>
      <c r="BO352" s="64">
        <f>IFERROR(1/J352*(X352/H352),"0")</f>
        <v>1.4022435897435898E-2</v>
      </c>
      <c r="BP352" s="64">
        <f>IFERROR(1/J352*(Y352/H352),"0")</f>
        <v>1.5625E-2</v>
      </c>
    </row>
    <row r="353" spans="1:68" ht="16.5" hidden="1" customHeight="1" x14ac:dyDescent="0.25">
      <c r="A353" s="54" t="s">
        <v>559</v>
      </c>
      <c r="B353" s="54" t="s">
        <v>560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87</v>
      </c>
      <c r="Q354" s="674"/>
      <c r="R354" s="674"/>
      <c r="S354" s="674"/>
      <c r="T354" s="674"/>
      <c r="U354" s="674"/>
      <c r="V354" s="675"/>
      <c r="W354" s="37" t="s">
        <v>88</v>
      </c>
      <c r="X354" s="669">
        <f>IFERROR(X351/H351,"0")+IFERROR(X352/H352,"0")+IFERROR(X353/H353,"0")</f>
        <v>7.6831501831501834</v>
      </c>
      <c r="Y354" s="669">
        <f>IFERROR(Y351/H351,"0")+IFERROR(Y352/H352,"0")+IFERROR(Y353/H353,"0")</f>
        <v>8</v>
      </c>
      <c r="Z354" s="669">
        <f>IFERROR(IF(Z351="",0,Z351),"0")+IFERROR(IF(Z352="",0,Z352),"0")+IFERROR(IF(Z353="",0,Z353),"0")</f>
        <v>0.15184</v>
      </c>
      <c r="AA354" s="670"/>
      <c r="AB354" s="670"/>
      <c r="AC354" s="670"/>
    </row>
    <row r="355" spans="1:68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87</v>
      </c>
      <c r="Q355" s="674"/>
      <c r="R355" s="674"/>
      <c r="S355" s="674"/>
      <c r="T355" s="674"/>
      <c r="U355" s="674"/>
      <c r="V355" s="675"/>
      <c r="W355" s="37" t="s">
        <v>68</v>
      </c>
      <c r="X355" s="669">
        <f>IFERROR(SUM(X351:X353),"0")</f>
        <v>64</v>
      </c>
      <c r="Y355" s="669">
        <f>IFERROR(SUM(Y351:Y353),"0")</f>
        <v>66.600000000000009</v>
      </c>
      <c r="Z355" s="37"/>
      <c r="AA355" s="670"/>
      <c r="AB355" s="670"/>
      <c r="AC355" s="670"/>
    </row>
    <row r="356" spans="1:68" ht="14.25" hidden="1" customHeight="1" x14ac:dyDescent="0.25">
      <c r="A356" s="676" t="s">
        <v>89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562</v>
      </c>
      <c r="B357" s="54" t="s">
        <v>563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22" t="s">
        <v>564</v>
      </c>
      <c r="Q357" s="679"/>
      <c r="R357" s="679"/>
      <c r="S357" s="679"/>
      <c r="T357" s="680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566</v>
      </c>
      <c r="B358" s="54" t="s">
        <v>567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12" t="s">
        <v>568</v>
      </c>
      <c r="Q358" s="679"/>
      <c r="R358" s="679"/>
      <c r="S358" s="679"/>
      <c r="T358" s="680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570</v>
      </c>
      <c r="B359" s="54" t="s">
        <v>571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573</v>
      </c>
      <c r="B360" s="54" t="s">
        <v>574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87</v>
      </c>
      <c r="Q361" s="674"/>
      <c r="R361" s="674"/>
      <c r="S361" s="674"/>
      <c r="T361" s="674"/>
      <c r="U361" s="674"/>
      <c r="V361" s="675"/>
      <c r="W361" s="37" t="s">
        <v>88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hidden="1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87</v>
      </c>
      <c r="Q362" s="674"/>
      <c r="R362" s="674"/>
      <c r="S362" s="674"/>
      <c r="T362" s="674"/>
      <c r="U362" s="674"/>
      <c r="V362" s="675"/>
      <c r="W362" s="37" t="s">
        <v>68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hidden="1" customHeight="1" x14ac:dyDescent="0.25">
      <c r="A363" s="676" t="s">
        <v>575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hidden="1" customHeight="1" x14ac:dyDescent="0.25">
      <c r="A364" s="54" t="s">
        <v>576</v>
      </c>
      <c r="B364" s="54" t="s">
        <v>577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580</v>
      </c>
      <c r="B365" s="54" t="s">
        <v>581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582</v>
      </c>
      <c r="B366" s="54" t="s">
        <v>583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87</v>
      </c>
      <c r="Q367" s="674"/>
      <c r="R367" s="674"/>
      <c r="S367" s="674"/>
      <c r="T367" s="674"/>
      <c r="U367" s="674"/>
      <c r="V367" s="675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87</v>
      </c>
      <c r="Q368" s="674"/>
      <c r="R368" s="674"/>
      <c r="S368" s="674"/>
      <c r="T368" s="674"/>
      <c r="U368" s="674"/>
      <c r="V368" s="675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584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144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customHeight="1" x14ac:dyDescent="0.25">
      <c r="A371" s="54" t="s">
        <v>585</v>
      </c>
      <c r="B371" s="54" t="s">
        <v>586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68</v>
      </c>
      <c r="X371" s="667">
        <v>8</v>
      </c>
      <c r="Y371" s="668">
        <f>IFERROR(IF(X371="",0,CEILING((X371/$H371),1)*$H371),"")</f>
        <v>9</v>
      </c>
      <c r="Z371" s="36">
        <f>IFERROR(IF(Y371=0,"",ROUNDUP(Y371/H371,0)*0.00651),"")</f>
        <v>3.2550000000000003E-2</v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9.0133333333333336</v>
      </c>
      <c r="BN371" s="64">
        <f>IFERROR(Y371*I371/H371,"0")</f>
        <v>10.139999999999999</v>
      </c>
      <c r="BO371" s="64">
        <f>IFERROR(1/J371*(X371/H371),"0")</f>
        <v>2.4420024420024423E-2</v>
      </c>
      <c r="BP371" s="64">
        <f>IFERROR(1/J371*(Y371/H371),"0")</f>
        <v>2.7472527472527476E-2</v>
      </c>
    </row>
    <row r="372" spans="1:68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87</v>
      </c>
      <c r="Q372" s="674"/>
      <c r="R372" s="674"/>
      <c r="S372" s="674"/>
      <c r="T372" s="674"/>
      <c r="U372" s="674"/>
      <c r="V372" s="675"/>
      <c r="W372" s="37" t="s">
        <v>88</v>
      </c>
      <c r="X372" s="669">
        <f>IFERROR(X371/H371,"0")</f>
        <v>4.4444444444444446</v>
      </c>
      <c r="Y372" s="669">
        <f>IFERROR(Y371/H371,"0")</f>
        <v>5</v>
      </c>
      <c r="Z372" s="669">
        <f>IFERROR(IF(Z371="",0,Z371),"0")</f>
        <v>3.2550000000000003E-2</v>
      </c>
      <c r="AA372" s="670"/>
      <c r="AB372" s="670"/>
      <c r="AC372" s="670"/>
    </row>
    <row r="373" spans="1:68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87</v>
      </c>
      <c r="Q373" s="674"/>
      <c r="R373" s="674"/>
      <c r="S373" s="674"/>
      <c r="T373" s="674"/>
      <c r="U373" s="674"/>
      <c r="V373" s="675"/>
      <c r="W373" s="37" t="s">
        <v>68</v>
      </c>
      <c r="X373" s="669">
        <f>IFERROR(SUM(X371:X371),"0")</f>
        <v>8</v>
      </c>
      <c r="Y373" s="669">
        <f>IFERROR(SUM(Y371:Y371),"0")</f>
        <v>9</v>
      </c>
      <c r="Z373" s="37"/>
      <c r="AA373" s="670"/>
      <c r="AB373" s="670"/>
      <c r="AC373" s="670"/>
    </row>
    <row r="374" spans="1:68" ht="14.25" hidden="1" customHeight="1" x14ac:dyDescent="0.25">
      <c r="A374" s="676" t="s">
        <v>63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hidden="1" customHeight="1" x14ac:dyDescent="0.25">
      <c r="A375" s="54" t="s">
        <v>588</v>
      </c>
      <c r="B375" s="54" t="s">
        <v>589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591</v>
      </c>
      <c r="B376" s="54" t="s">
        <v>592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594</v>
      </c>
      <c r="B377" s="54" t="s">
        <v>595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87</v>
      </c>
      <c r="Q378" s="674"/>
      <c r="R378" s="674"/>
      <c r="S378" s="674"/>
      <c r="T378" s="674"/>
      <c r="U378" s="674"/>
      <c r="V378" s="675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hidden="1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87</v>
      </c>
      <c r="Q379" s="674"/>
      <c r="R379" s="674"/>
      <c r="S379" s="674"/>
      <c r="T379" s="674"/>
      <c r="U379" s="674"/>
      <c r="V379" s="675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hidden="1" customHeight="1" x14ac:dyDescent="0.2">
      <c r="A380" s="697" t="s">
        <v>597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598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97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9"/>
      <c r="R383" s="679"/>
      <c r="S383" s="679"/>
      <c r="T383" s="680"/>
      <c r="U383" s="34"/>
      <c r="V383" s="34"/>
      <c r="W383" s="35" t="s">
        <v>68</v>
      </c>
      <c r="X383" s="667">
        <v>2000</v>
      </c>
      <c r="Y383" s="668">
        <f t="shared" ref="Y383:Y392" si="57">IFERROR(IF(X383="",0,CEILING((X383/$H383),1)*$H383),"")</f>
        <v>2010</v>
      </c>
      <c r="Z383" s="36">
        <f>IFERROR(IF(Y383=0,"",ROUNDUP(Y383/H383,0)*0.02175),"")</f>
        <v>2.9144999999999999</v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2064</v>
      </c>
      <c r="BN383" s="64">
        <f t="shared" ref="BN383:BN392" si="59">IFERROR(Y383*I383/H383,"0")</f>
        <v>2074.3200000000002</v>
      </c>
      <c r="BO383" s="64">
        <f t="shared" ref="BO383:BO392" si="60">IFERROR(1/J383*(X383/H383),"0")</f>
        <v>2.7777777777777777</v>
      </c>
      <c r="BP383" s="64">
        <f t="shared" ref="BP383:BP392" si="61">IFERROR(1/J383*(Y383/H383),"0")</f>
        <v>2.7916666666666665</v>
      </c>
    </row>
    <row r="384" spans="1:68" ht="27" hidden="1" customHeight="1" x14ac:dyDescent="0.25">
      <c r="A384" s="54" t="s">
        <v>599</v>
      </c>
      <c r="B384" s="54" t="s">
        <v>602</v>
      </c>
      <c r="C384" s="31">
        <v>4301011946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72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9"/>
      <c r="R384" s="679"/>
      <c r="S384" s="679"/>
      <c r="T384" s="680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hidden="1" customHeight="1" x14ac:dyDescent="0.25">
      <c r="A385" s="54" t="s">
        <v>604</v>
      </c>
      <c r="B385" s="54" t="s">
        <v>605</v>
      </c>
      <c r="C385" s="31">
        <v>4301011870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hidden="1" customHeight="1" x14ac:dyDescent="0.25">
      <c r="A386" s="54" t="s">
        <v>604</v>
      </c>
      <c r="B386" s="54" t="s">
        <v>607</v>
      </c>
      <c r="C386" s="31">
        <v>4301011947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2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608</v>
      </c>
      <c r="B387" s="54" t="s">
        <v>609</v>
      </c>
      <c r="C387" s="31">
        <v>4301011832</v>
      </c>
      <c r="D387" s="689">
        <v>4607091383997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76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9"/>
      <c r="R387" s="679"/>
      <c r="S387" s="679"/>
      <c r="T387" s="680"/>
      <c r="U387" s="34"/>
      <c r="V387" s="34"/>
      <c r="W387" s="35" t="s">
        <v>68</v>
      </c>
      <c r="X387" s="667">
        <v>207</v>
      </c>
      <c r="Y387" s="668">
        <f t="shared" si="57"/>
        <v>210</v>
      </c>
      <c r="Z387" s="36">
        <f>IFERROR(IF(Y387=0,"",ROUNDUP(Y387/H387,0)*0.02175),"")</f>
        <v>0.30449999999999999</v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213.624</v>
      </c>
      <c r="BN387" s="64">
        <f t="shared" si="59"/>
        <v>216.72</v>
      </c>
      <c r="BO387" s="64">
        <f t="shared" si="60"/>
        <v>0.28749999999999998</v>
      </c>
      <c r="BP387" s="64">
        <f t="shared" si="61"/>
        <v>0.29166666666666663</v>
      </c>
    </row>
    <row r="388" spans="1:68" ht="37.5" hidden="1" customHeight="1" x14ac:dyDescent="0.25">
      <c r="A388" s="54" t="s">
        <v>611</v>
      </c>
      <c r="B388" s="54" t="s">
        <v>612</v>
      </c>
      <c r="C388" s="31">
        <v>4301011867</v>
      </c>
      <c r="D388" s="689">
        <v>4680115884830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9"/>
      <c r="R388" s="679"/>
      <c r="S388" s="679"/>
      <c r="T388" s="680"/>
      <c r="U388" s="34"/>
      <c r="V388" s="34"/>
      <c r="W388" s="35" t="s">
        <v>68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hidden="1" customHeight="1" x14ac:dyDescent="0.25">
      <c r="A389" s="54" t="s">
        <v>611</v>
      </c>
      <c r="B389" s="54" t="s">
        <v>614</v>
      </c>
      <c r="C389" s="31">
        <v>4301011943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7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615</v>
      </c>
      <c r="B390" s="54" t="s">
        <v>616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618</v>
      </c>
      <c r="B391" s="54" t="s">
        <v>619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620</v>
      </c>
      <c r="B392" s="54" t="s">
        <v>621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87</v>
      </c>
      <c r="Q393" s="674"/>
      <c r="R393" s="674"/>
      <c r="S393" s="674"/>
      <c r="T393" s="674"/>
      <c r="U393" s="674"/>
      <c r="V393" s="675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147.13333333333335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148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3.2189999999999999</v>
      </c>
      <c r="AA393" s="670"/>
      <c r="AB393" s="670"/>
      <c r="AC393" s="670"/>
    </row>
    <row r="394" spans="1:68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87</v>
      </c>
      <c r="Q394" s="674"/>
      <c r="R394" s="674"/>
      <c r="S394" s="674"/>
      <c r="T394" s="674"/>
      <c r="U394" s="674"/>
      <c r="V394" s="675"/>
      <c r="W394" s="37" t="s">
        <v>68</v>
      </c>
      <c r="X394" s="669">
        <f>IFERROR(SUM(X383:X392),"0")</f>
        <v>2207</v>
      </c>
      <c r="Y394" s="669">
        <f>IFERROR(SUM(Y383:Y392),"0")</f>
        <v>2220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133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hidden="1" customHeight="1" x14ac:dyDescent="0.25">
      <c r="A396" s="54" t="s">
        <v>622</v>
      </c>
      <c r="B396" s="54" t="s">
        <v>623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68</v>
      </c>
      <c r="X396" s="667">
        <v>0</v>
      </c>
      <c r="Y396" s="668">
        <f>IFERROR(IF(X396="",0,CEILING((X396/$H396),1)*$H396),"")</f>
        <v>0</v>
      </c>
      <c r="Z396" s="36" t="str">
        <f>IFERROR(IF(Y396=0,"",ROUNDUP(Y396/H396,0)*0.02175),"")</f>
        <v/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16.5" hidden="1" customHeight="1" x14ac:dyDescent="0.25">
      <c r="A397" s="54" t="s">
        <v>625</v>
      </c>
      <c r="B397" s="54" t="s">
        <v>626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87</v>
      </c>
      <c r="Q398" s="674"/>
      <c r="R398" s="674"/>
      <c r="S398" s="674"/>
      <c r="T398" s="674"/>
      <c r="U398" s="674"/>
      <c r="V398" s="675"/>
      <c r="W398" s="37" t="s">
        <v>88</v>
      </c>
      <c r="X398" s="669">
        <f>IFERROR(X396/H396,"0")+IFERROR(X397/H397,"0")</f>
        <v>0</v>
      </c>
      <c r="Y398" s="669">
        <f>IFERROR(Y396/H396,"0")+IFERROR(Y397/H397,"0")</f>
        <v>0</v>
      </c>
      <c r="Z398" s="669">
        <f>IFERROR(IF(Z396="",0,Z396),"0")+IFERROR(IF(Z397="",0,Z397),"0")</f>
        <v>0</v>
      </c>
      <c r="AA398" s="670"/>
      <c r="AB398" s="670"/>
      <c r="AC398" s="670"/>
    </row>
    <row r="399" spans="1:68" hidden="1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87</v>
      </c>
      <c r="Q399" s="674"/>
      <c r="R399" s="674"/>
      <c r="S399" s="674"/>
      <c r="T399" s="674"/>
      <c r="U399" s="674"/>
      <c r="V399" s="675"/>
      <c r="W399" s="37" t="s">
        <v>68</v>
      </c>
      <c r="X399" s="669">
        <f>IFERROR(SUM(X396:X397),"0")</f>
        <v>0</v>
      </c>
      <c r="Y399" s="669">
        <f>IFERROR(SUM(Y396:Y397),"0")</f>
        <v>0</v>
      </c>
      <c r="Z399" s="37"/>
      <c r="AA399" s="670"/>
      <c r="AB399" s="670"/>
      <c r="AC399" s="670"/>
    </row>
    <row r="400" spans="1:68" ht="14.25" hidden="1" customHeight="1" x14ac:dyDescent="0.25">
      <c r="A400" s="676" t="s">
        <v>63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627</v>
      </c>
      <c r="B401" s="54" t="s">
        <v>628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54" t="s">
        <v>629</v>
      </c>
      <c r="Q401" s="679"/>
      <c r="R401" s="679"/>
      <c r="S401" s="679"/>
      <c r="T401" s="680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631</v>
      </c>
      <c r="B402" s="54" t="s">
        <v>632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76" t="s">
        <v>633</v>
      </c>
      <c r="Q402" s="679"/>
      <c r="R402" s="679"/>
      <c r="S402" s="679"/>
      <c r="T402" s="680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87</v>
      </c>
      <c r="Q403" s="674"/>
      <c r="R403" s="674"/>
      <c r="S403" s="674"/>
      <c r="T403" s="674"/>
      <c r="U403" s="674"/>
      <c r="V403" s="675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hidden="1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87</v>
      </c>
      <c r="Q404" s="674"/>
      <c r="R404" s="674"/>
      <c r="S404" s="674"/>
      <c r="T404" s="674"/>
      <c r="U404" s="674"/>
      <c r="V404" s="675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170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32" t="s">
        <v>637</v>
      </c>
      <c r="Q406" s="679"/>
      <c r="R406" s="679"/>
      <c r="S406" s="679"/>
      <c r="T406" s="680"/>
      <c r="U406" s="34"/>
      <c r="V406" s="34"/>
      <c r="W406" s="35" t="s">
        <v>68</v>
      </c>
      <c r="X406" s="667">
        <v>37</v>
      </c>
      <c r="Y406" s="668">
        <f>IFERROR(IF(X406="",0,CEILING((X406/$H406),1)*$H406),"")</f>
        <v>45</v>
      </c>
      <c r="Z406" s="36">
        <f>IFERROR(IF(Y406=0,"",ROUNDUP(Y406/H406,0)*0.01898),"")</f>
        <v>9.4899999999999998E-2</v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39.13366666666667</v>
      </c>
      <c r="BN406" s="64">
        <f>IFERROR(Y406*I406/H406,"0")</f>
        <v>47.594999999999999</v>
      </c>
      <c r="BO406" s="64">
        <f>IFERROR(1/J406*(X406/H406),"0")</f>
        <v>6.4236111111111105E-2</v>
      </c>
      <c r="BP406" s="64">
        <f>IFERROR(1/J406*(Y406/H406),"0")</f>
        <v>7.8125E-2</v>
      </c>
    </row>
    <row r="407" spans="1:68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87</v>
      </c>
      <c r="Q407" s="674"/>
      <c r="R407" s="674"/>
      <c r="S407" s="674"/>
      <c r="T407" s="674"/>
      <c r="U407" s="674"/>
      <c r="V407" s="675"/>
      <c r="W407" s="37" t="s">
        <v>88</v>
      </c>
      <c r="X407" s="669">
        <f>IFERROR(X406/H406,"0")</f>
        <v>4.1111111111111107</v>
      </c>
      <c r="Y407" s="669">
        <f>IFERROR(Y406/H406,"0")</f>
        <v>5</v>
      </c>
      <c r="Z407" s="669">
        <f>IFERROR(IF(Z406="",0,Z406),"0")</f>
        <v>9.4899999999999998E-2</v>
      </c>
      <c r="AA407" s="670"/>
      <c r="AB407" s="670"/>
      <c r="AC407" s="670"/>
    </row>
    <row r="408" spans="1:68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87</v>
      </c>
      <c r="Q408" s="674"/>
      <c r="R408" s="674"/>
      <c r="S408" s="674"/>
      <c r="T408" s="674"/>
      <c r="U408" s="674"/>
      <c r="V408" s="675"/>
      <c r="W408" s="37" t="s">
        <v>68</v>
      </c>
      <c r="X408" s="669">
        <f>IFERROR(SUM(X406:X406),"0")</f>
        <v>37</v>
      </c>
      <c r="Y408" s="669">
        <f>IFERROR(SUM(Y406:Y406),"0")</f>
        <v>45</v>
      </c>
      <c r="Z408" s="37"/>
      <c r="AA408" s="670"/>
      <c r="AB408" s="670"/>
      <c r="AC408" s="670"/>
    </row>
    <row r="409" spans="1:68" ht="16.5" hidden="1" customHeight="1" x14ac:dyDescent="0.25">
      <c r="A409" s="685" t="s">
        <v>639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97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27" hidden="1" customHeight="1" x14ac:dyDescent="0.25">
      <c r="A411" s="54" t="s">
        <v>640</v>
      </c>
      <c r="B411" s="54" t="s">
        <v>641</v>
      </c>
      <c r="C411" s="31">
        <v>4301011483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640</v>
      </c>
      <c r="B412" s="54" t="s">
        <v>643</v>
      </c>
      <c r="C412" s="31">
        <v>4301011873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645</v>
      </c>
      <c r="B413" s="54" t="s">
        <v>646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hidden="1" customHeight="1" x14ac:dyDescent="0.25">
      <c r="A414" s="54" t="s">
        <v>648</v>
      </c>
      <c r="B414" s="54" t="s">
        <v>649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hidden="1" customHeight="1" x14ac:dyDescent="0.25">
      <c r="A415" s="54" t="s">
        <v>650</v>
      </c>
      <c r="B415" s="54" t="s">
        <v>651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87</v>
      </c>
      <c r="Q416" s="674"/>
      <c r="R416" s="674"/>
      <c r="S416" s="674"/>
      <c r="T416" s="674"/>
      <c r="U416" s="674"/>
      <c r="V416" s="675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hidden="1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87</v>
      </c>
      <c r="Q417" s="674"/>
      <c r="R417" s="674"/>
      <c r="S417" s="674"/>
      <c r="T417" s="674"/>
      <c r="U417" s="674"/>
      <c r="V417" s="675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144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hidden="1" customHeight="1" x14ac:dyDescent="0.25">
      <c r="A419" s="54" t="s">
        <v>652</v>
      </c>
      <c r="B419" s="54" t="s">
        <v>653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87</v>
      </c>
      <c r="Q420" s="674"/>
      <c r="R420" s="674"/>
      <c r="S420" s="674"/>
      <c r="T420" s="674"/>
      <c r="U420" s="674"/>
      <c r="V420" s="675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87</v>
      </c>
      <c r="Q421" s="674"/>
      <c r="R421" s="674"/>
      <c r="S421" s="674"/>
      <c r="T421" s="674"/>
      <c r="U421" s="674"/>
      <c r="V421" s="675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63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customHeight="1" x14ac:dyDescent="0.25">
      <c r="A423" s="54" t="s">
        <v>655</v>
      </c>
      <c r="B423" s="54" t="s">
        <v>656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68</v>
      </c>
      <c r="X423" s="667">
        <v>948</v>
      </c>
      <c r="Y423" s="668">
        <f>IFERROR(IF(X423="",0,CEILING((X423/$H423),1)*$H423),"")</f>
        <v>954</v>
      </c>
      <c r="Z423" s="36">
        <f>IFERROR(IF(Y423=0,"",ROUNDUP(Y423/H423,0)*0.01898),"")</f>
        <v>2.0118800000000001</v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1002.6680000000001</v>
      </c>
      <c r="BN423" s="64">
        <f>IFERROR(Y423*I423/H423,"0")</f>
        <v>1009.014</v>
      </c>
      <c r="BO423" s="64">
        <f>IFERROR(1/J423*(X423/H423),"0")</f>
        <v>1.6458333333333333</v>
      </c>
      <c r="BP423" s="64">
        <f>IFERROR(1/J423*(Y423/H423),"0")</f>
        <v>1.65625</v>
      </c>
    </row>
    <row r="424" spans="1:68" ht="27" hidden="1" customHeight="1" x14ac:dyDescent="0.25">
      <c r="A424" s="54" t="s">
        <v>658</v>
      </c>
      <c r="B424" s="54" t="s">
        <v>659</v>
      </c>
      <c r="C424" s="31">
        <v>4301051297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658</v>
      </c>
      <c r="B425" s="54" t="s">
        <v>661</v>
      </c>
      <c r="C425" s="31">
        <v>4301051660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662</v>
      </c>
      <c r="B426" s="54" t="s">
        <v>663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87</v>
      </c>
      <c r="Q427" s="674"/>
      <c r="R427" s="674"/>
      <c r="S427" s="674"/>
      <c r="T427" s="674"/>
      <c r="U427" s="674"/>
      <c r="V427" s="675"/>
      <c r="W427" s="37" t="s">
        <v>88</v>
      </c>
      <c r="X427" s="669">
        <f>IFERROR(X423/H423,"0")+IFERROR(X424/H424,"0")+IFERROR(X425/H425,"0")+IFERROR(X426/H426,"0")</f>
        <v>105.33333333333333</v>
      </c>
      <c r="Y427" s="669">
        <f>IFERROR(Y423/H423,"0")+IFERROR(Y424/H424,"0")+IFERROR(Y425/H425,"0")+IFERROR(Y426/H426,"0")</f>
        <v>106</v>
      </c>
      <c r="Z427" s="669">
        <f>IFERROR(IF(Z423="",0,Z423),"0")+IFERROR(IF(Z424="",0,Z424),"0")+IFERROR(IF(Z425="",0,Z425),"0")+IFERROR(IF(Z426="",0,Z426),"0")</f>
        <v>2.0118800000000001</v>
      </c>
      <c r="AA427" s="670"/>
      <c r="AB427" s="670"/>
      <c r="AC427" s="670"/>
    </row>
    <row r="428" spans="1:68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87</v>
      </c>
      <c r="Q428" s="674"/>
      <c r="R428" s="674"/>
      <c r="S428" s="674"/>
      <c r="T428" s="674"/>
      <c r="U428" s="674"/>
      <c r="V428" s="675"/>
      <c r="W428" s="37" t="s">
        <v>68</v>
      </c>
      <c r="X428" s="669">
        <f>IFERROR(SUM(X423:X426),"0")</f>
        <v>948</v>
      </c>
      <c r="Y428" s="669">
        <f>IFERROR(SUM(Y423:Y426),"0")</f>
        <v>954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170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665</v>
      </c>
      <c r="B430" s="54" t="s">
        <v>666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2" t="s">
        <v>667</v>
      </c>
      <c r="Q430" s="679"/>
      <c r="R430" s="679"/>
      <c r="S430" s="679"/>
      <c r="T430" s="680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87</v>
      </c>
      <c r="Q431" s="674"/>
      <c r="R431" s="674"/>
      <c r="S431" s="674"/>
      <c r="T431" s="674"/>
      <c r="U431" s="674"/>
      <c r="V431" s="675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87</v>
      </c>
      <c r="Q432" s="674"/>
      <c r="R432" s="674"/>
      <c r="S432" s="674"/>
      <c r="T432" s="674"/>
      <c r="U432" s="674"/>
      <c r="V432" s="675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669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670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144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customHeight="1" x14ac:dyDescent="0.25">
      <c r="A436" s="54" t="s">
        <v>671</v>
      </c>
      <c r="B436" s="54" t="s">
        <v>672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28" t="s">
        <v>673</v>
      </c>
      <c r="Q436" s="679"/>
      <c r="R436" s="679"/>
      <c r="S436" s="679"/>
      <c r="T436" s="680"/>
      <c r="U436" s="34"/>
      <c r="V436" s="34"/>
      <c r="W436" s="35" t="s">
        <v>68</v>
      </c>
      <c r="X436" s="667">
        <v>12</v>
      </c>
      <c r="Y436" s="668">
        <f t="shared" ref="Y436:Y447" si="62">IFERROR(IF(X436="",0,CEILING((X436/$H436),1)*$H436),"")</f>
        <v>16.200000000000003</v>
      </c>
      <c r="Z436" s="36">
        <f>IFERROR(IF(Y436=0,"",ROUNDUP(Y436/H436,0)*0.00902),"")</f>
        <v>2.7060000000000001E-2</v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12.466666666666667</v>
      </c>
      <c r="BN436" s="64">
        <f t="shared" ref="BN436:BN447" si="64">IFERROR(Y436*I436/H436,"0")</f>
        <v>16.830000000000002</v>
      </c>
      <c r="BO436" s="64">
        <f t="shared" ref="BO436:BO447" si="65">IFERROR(1/J436*(X436/H436),"0")</f>
        <v>1.6835016835016831E-2</v>
      </c>
      <c r="BP436" s="64">
        <f t="shared" ref="BP436:BP447" si="66">IFERROR(1/J436*(Y436/H436),"0")</f>
        <v>2.2727272727272731E-2</v>
      </c>
    </row>
    <row r="437" spans="1:68" ht="27" hidden="1" customHeight="1" x14ac:dyDescent="0.25">
      <c r="A437" s="54" t="s">
        <v>675</v>
      </c>
      <c r="B437" s="54" t="s">
        <v>676</v>
      </c>
      <c r="C437" s="31">
        <v>4301031406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95" t="s">
        <v>677</v>
      </c>
      <c r="Q437" s="679"/>
      <c r="R437" s="679"/>
      <c r="S437" s="679"/>
      <c r="T437" s="680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675</v>
      </c>
      <c r="B438" s="54" t="s">
        <v>679</v>
      </c>
      <c r="C438" s="31">
        <v>4301031382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88" t="s">
        <v>677</v>
      </c>
      <c r="Q438" s="679"/>
      <c r="R438" s="679"/>
      <c r="S438" s="679"/>
      <c r="T438" s="680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680</v>
      </c>
      <c r="B439" s="54" t="s">
        <v>681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04" t="s">
        <v>682</v>
      </c>
      <c r="Q439" s="679"/>
      <c r="R439" s="679"/>
      <c r="S439" s="679"/>
      <c r="T439" s="680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684</v>
      </c>
      <c r="B440" s="54" t="s">
        <v>685</v>
      </c>
      <c r="C440" s="31">
        <v>4301031366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78" t="s">
        <v>686</v>
      </c>
      <c r="Q440" s="679"/>
      <c r="R440" s="679"/>
      <c r="S440" s="679"/>
      <c r="T440" s="680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684</v>
      </c>
      <c r="B441" s="54" t="s">
        <v>687</v>
      </c>
      <c r="C441" s="31">
        <v>4301031335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9"/>
      <c r="R441" s="679"/>
      <c r="S441" s="679"/>
      <c r="T441" s="680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688</v>
      </c>
      <c r="B442" s="54" t="s">
        <v>689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690</v>
      </c>
      <c r="B443" s="54" t="s">
        <v>691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hidden="1" customHeight="1" x14ac:dyDescent="0.25">
      <c r="A444" s="54" t="s">
        <v>693</v>
      </c>
      <c r="B444" s="54" t="s">
        <v>694</v>
      </c>
      <c r="C444" s="31">
        <v>4301031364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48" t="s">
        <v>695</v>
      </c>
      <c r="Q444" s="679"/>
      <c r="R444" s="679"/>
      <c r="S444" s="679"/>
      <c r="T444" s="680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693</v>
      </c>
      <c r="B445" s="54" t="s">
        <v>697</v>
      </c>
      <c r="C445" s="31">
        <v>4301031337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692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9"/>
      <c r="R445" s="679"/>
      <c r="S445" s="679"/>
      <c r="T445" s="680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hidden="1" customHeight="1" x14ac:dyDescent="0.25">
      <c r="A446" s="54" t="s">
        <v>698</v>
      </c>
      <c r="B446" s="54" t="s">
        <v>699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hidden="1" customHeight="1" x14ac:dyDescent="0.25">
      <c r="A447" s="54" t="s">
        <v>701</v>
      </c>
      <c r="B447" s="54" t="s">
        <v>702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87</v>
      </c>
      <c r="Q448" s="674"/>
      <c r="R448" s="674"/>
      <c r="S448" s="674"/>
      <c r="T448" s="674"/>
      <c r="U448" s="674"/>
      <c r="V448" s="675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2.2222222222222219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3.0000000000000004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2.7060000000000001E-2</v>
      </c>
      <c r="AA448" s="670"/>
      <c r="AB448" s="670"/>
      <c r="AC448" s="670"/>
    </row>
    <row r="449" spans="1:68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87</v>
      </c>
      <c r="Q449" s="674"/>
      <c r="R449" s="674"/>
      <c r="S449" s="674"/>
      <c r="T449" s="674"/>
      <c r="U449" s="674"/>
      <c r="V449" s="675"/>
      <c r="W449" s="37" t="s">
        <v>68</v>
      </c>
      <c r="X449" s="669">
        <f>IFERROR(SUM(X436:X447),"0")</f>
        <v>12</v>
      </c>
      <c r="Y449" s="669">
        <f>IFERROR(SUM(Y436:Y447),"0")</f>
        <v>16.200000000000003</v>
      </c>
      <c r="Z449" s="37"/>
      <c r="AA449" s="670"/>
      <c r="AB449" s="670"/>
      <c r="AC449" s="670"/>
    </row>
    <row r="450" spans="1:68" ht="14.25" hidden="1" customHeight="1" x14ac:dyDescent="0.25">
      <c r="A450" s="676" t="s">
        <v>63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703</v>
      </c>
      <c r="B451" s="54" t="s">
        <v>704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706</v>
      </c>
      <c r="B452" s="54" t="s">
        <v>707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87</v>
      </c>
      <c r="Q453" s="674"/>
      <c r="R453" s="674"/>
      <c r="S453" s="674"/>
      <c r="T453" s="674"/>
      <c r="U453" s="674"/>
      <c r="V453" s="675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87</v>
      </c>
      <c r="Q454" s="674"/>
      <c r="R454" s="674"/>
      <c r="S454" s="674"/>
      <c r="T454" s="674"/>
      <c r="U454" s="674"/>
      <c r="V454" s="675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709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133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710</v>
      </c>
      <c r="B457" s="54" t="s">
        <v>711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713</v>
      </c>
      <c r="B458" s="54" t="s">
        <v>714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87</v>
      </c>
      <c r="Q459" s="674"/>
      <c r="R459" s="674"/>
      <c r="S459" s="674"/>
      <c r="T459" s="674"/>
      <c r="U459" s="674"/>
      <c r="V459" s="675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87</v>
      </c>
      <c r="Q460" s="674"/>
      <c r="R460" s="674"/>
      <c r="S460" s="674"/>
      <c r="T460" s="674"/>
      <c r="U460" s="674"/>
      <c r="V460" s="675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144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customHeight="1" x14ac:dyDescent="0.25">
      <c r="A462" s="54" t="s">
        <v>716</v>
      </c>
      <c r="B462" s="54" t="s">
        <v>717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2" t="s">
        <v>718</v>
      </c>
      <c r="Q462" s="679"/>
      <c r="R462" s="679"/>
      <c r="S462" s="679"/>
      <c r="T462" s="680"/>
      <c r="U462" s="34"/>
      <c r="V462" s="34"/>
      <c r="W462" s="35" t="s">
        <v>68</v>
      </c>
      <c r="X462" s="667">
        <v>9</v>
      </c>
      <c r="Y462" s="668">
        <f>IFERROR(IF(X462="",0,CEILING((X462/$H462),1)*$H462),"")</f>
        <v>10.8</v>
      </c>
      <c r="Z462" s="36">
        <f>IFERROR(IF(Y462=0,"",ROUNDUP(Y462/H462,0)*0.00902),"")</f>
        <v>1.804E-2</v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9.35</v>
      </c>
      <c r="BN462" s="64">
        <f>IFERROR(Y462*I462/H462,"0")</f>
        <v>11.22</v>
      </c>
      <c r="BO462" s="64">
        <f>IFERROR(1/J462*(X462/H462),"0")</f>
        <v>1.2626262626262626E-2</v>
      </c>
      <c r="BP462" s="64">
        <f>IFERROR(1/J462*(Y462/H462),"0")</f>
        <v>1.5151515151515152E-2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723</v>
      </c>
      <c r="B464" s="54" t="s">
        <v>724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74" t="s">
        <v>725</v>
      </c>
      <c r="Q464" s="679"/>
      <c r="R464" s="679"/>
      <c r="S464" s="679"/>
      <c r="T464" s="680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727</v>
      </c>
      <c r="B465" s="54" t="s">
        <v>728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87</v>
      </c>
      <c r="Q466" s="674"/>
      <c r="R466" s="674"/>
      <c r="S466" s="674"/>
      <c r="T466" s="674"/>
      <c r="U466" s="674"/>
      <c r="V466" s="675"/>
      <c r="W466" s="37" t="s">
        <v>88</v>
      </c>
      <c r="X466" s="669">
        <f>IFERROR(X462/H462,"0")+IFERROR(X463/H463,"0")+IFERROR(X464/H464,"0")+IFERROR(X465/H465,"0")</f>
        <v>1.6666666666666665</v>
      </c>
      <c r="Y466" s="669">
        <f>IFERROR(Y462/H462,"0")+IFERROR(Y463/H463,"0")+IFERROR(Y464/H464,"0")+IFERROR(Y465/H465,"0")</f>
        <v>2</v>
      </c>
      <c r="Z466" s="669">
        <f>IFERROR(IF(Z462="",0,Z462),"0")+IFERROR(IF(Z463="",0,Z463),"0")+IFERROR(IF(Z464="",0,Z464),"0")+IFERROR(IF(Z465="",0,Z465),"0")</f>
        <v>1.804E-2</v>
      </c>
      <c r="AA466" s="670"/>
      <c r="AB466" s="670"/>
      <c r="AC466" s="670"/>
    </row>
    <row r="467" spans="1:68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87</v>
      </c>
      <c r="Q467" s="674"/>
      <c r="R467" s="674"/>
      <c r="S467" s="674"/>
      <c r="T467" s="674"/>
      <c r="U467" s="674"/>
      <c r="V467" s="675"/>
      <c r="W467" s="37" t="s">
        <v>68</v>
      </c>
      <c r="X467" s="669">
        <f>IFERROR(SUM(X462:X465),"0")</f>
        <v>9</v>
      </c>
      <c r="Y467" s="669">
        <f>IFERROR(SUM(Y462:Y465),"0")</f>
        <v>10.8</v>
      </c>
      <c r="Z467" s="37"/>
      <c r="AA467" s="670"/>
      <c r="AB467" s="670"/>
      <c r="AC467" s="670"/>
    </row>
    <row r="468" spans="1:68" ht="16.5" hidden="1" customHeight="1" x14ac:dyDescent="0.25">
      <c r="A468" s="685" t="s">
        <v>729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144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hidden="1" customHeight="1" x14ac:dyDescent="0.25">
      <c r="A470" s="54" t="s">
        <v>730</v>
      </c>
      <c r="B470" s="54" t="s">
        <v>731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733</v>
      </c>
      <c r="B471" s="54" t="s">
        <v>734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36" t="s">
        <v>735</v>
      </c>
      <c r="Q471" s="679"/>
      <c r="R471" s="679"/>
      <c r="S471" s="679"/>
      <c r="T471" s="680"/>
      <c r="U471" s="34"/>
      <c r="V471" s="34"/>
      <c r="W471" s="35" t="s">
        <v>68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87</v>
      </c>
      <c r="Q472" s="674"/>
      <c r="R472" s="674"/>
      <c r="S472" s="674"/>
      <c r="T472" s="674"/>
      <c r="U472" s="674"/>
      <c r="V472" s="675"/>
      <c r="W472" s="37" t="s">
        <v>88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hidden="1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87</v>
      </c>
      <c r="Q473" s="674"/>
      <c r="R473" s="674"/>
      <c r="S473" s="674"/>
      <c r="T473" s="674"/>
      <c r="U473" s="674"/>
      <c r="V473" s="675"/>
      <c r="W473" s="37" t="s">
        <v>68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hidden="1" customHeight="1" x14ac:dyDescent="0.25">
      <c r="A474" s="685" t="s">
        <v>737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144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738</v>
      </c>
      <c r="B476" s="54" t="s">
        <v>739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87</v>
      </c>
      <c r="Q477" s="674"/>
      <c r="R477" s="674"/>
      <c r="S477" s="674"/>
      <c r="T477" s="674"/>
      <c r="U477" s="674"/>
      <c r="V477" s="675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87</v>
      </c>
      <c r="Q478" s="674"/>
      <c r="R478" s="674"/>
      <c r="S478" s="674"/>
      <c r="T478" s="674"/>
      <c r="U478" s="674"/>
      <c r="V478" s="675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170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741</v>
      </c>
      <c r="B480" s="54" t="s">
        <v>742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87</v>
      </c>
      <c r="Q481" s="674"/>
      <c r="R481" s="674"/>
      <c r="S481" s="674"/>
      <c r="T481" s="674"/>
      <c r="U481" s="674"/>
      <c r="V481" s="675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87</v>
      </c>
      <c r="Q482" s="674"/>
      <c r="R482" s="674"/>
      <c r="S482" s="674"/>
      <c r="T482" s="674"/>
      <c r="U482" s="674"/>
      <c r="V482" s="675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744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744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97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customHeight="1" x14ac:dyDescent="0.25">
      <c r="A486" s="54" t="s">
        <v>745</v>
      </c>
      <c r="B486" s="54" t="s">
        <v>746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68</v>
      </c>
      <c r="X486" s="667">
        <v>53</v>
      </c>
      <c r="Y486" s="668">
        <f t="shared" ref="Y486:Y501" si="68">IFERROR(IF(X486="",0,CEILING((X486/$H486),1)*$H486),"")</f>
        <v>58.080000000000005</v>
      </c>
      <c r="Z486" s="36">
        <f t="shared" ref="Z486:Z491" si="69">IFERROR(IF(Y486=0,"",ROUNDUP(Y486/H486,0)*0.01196),"")</f>
        <v>0.13156000000000001</v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56.613636363636353</v>
      </c>
      <c r="BN486" s="64">
        <f t="shared" ref="BN486:BN501" si="71">IFERROR(Y486*I486/H486,"0")</f>
        <v>62.040000000000006</v>
      </c>
      <c r="BO486" s="64">
        <f t="shared" ref="BO486:BO501" si="72">IFERROR(1/J486*(X486/H486),"0")</f>
        <v>9.6518065268065265E-2</v>
      </c>
      <c r="BP486" s="64">
        <f t="shared" ref="BP486:BP501" si="73">IFERROR(1/J486*(Y486/H486),"0")</f>
        <v>0.10576923076923078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hidden="1" customHeight="1" x14ac:dyDescent="0.25">
      <c r="A489" s="54" t="s">
        <v>754</v>
      </c>
      <c r="B489" s="54" t="s">
        <v>755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68</v>
      </c>
      <c r="X490" s="667">
        <v>858</v>
      </c>
      <c r="Y490" s="668">
        <f t="shared" si="68"/>
        <v>860.64</v>
      </c>
      <c r="Z490" s="36">
        <f t="shared" si="69"/>
        <v>1.9494800000000001</v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916.49999999999989</v>
      </c>
      <c r="BN490" s="64">
        <f t="shared" si="71"/>
        <v>919.31999999999982</v>
      </c>
      <c r="BO490" s="64">
        <f t="shared" si="72"/>
        <v>1.5625</v>
      </c>
      <c r="BP490" s="64">
        <f t="shared" si="73"/>
        <v>1.5673076923076923</v>
      </c>
    </row>
    <row r="491" spans="1:68" ht="16.5" hidden="1" customHeight="1" x14ac:dyDescent="0.25">
      <c r="A491" s="54" t="s">
        <v>760</v>
      </c>
      <c r="B491" s="54" t="s">
        <v>761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763</v>
      </c>
      <c r="B492" s="54" t="s">
        <v>764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69" t="s">
        <v>765</v>
      </c>
      <c r="Q492" s="679"/>
      <c r="R492" s="679"/>
      <c r="S492" s="679"/>
      <c r="T492" s="680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766</v>
      </c>
      <c r="B493" s="54" t="s">
        <v>767</v>
      </c>
      <c r="C493" s="31">
        <v>4301011778</v>
      </c>
      <c r="D493" s="689">
        <v>4680115880603</v>
      </c>
      <c r="E493" s="690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4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9"/>
      <c r="R493" s="679"/>
      <c r="S493" s="679"/>
      <c r="T493" s="680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766</v>
      </c>
      <c r="B494" s="54" t="s">
        <v>768</v>
      </c>
      <c r="C494" s="31">
        <v>4301012035</v>
      </c>
      <c r="D494" s="689">
        <v>4680115880603</v>
      </c>
      <c r="E494" s="690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9"/>
      <c r="R494" s="679"/>
      <c r="S494" s="679"/>
      <c r="T494" s="680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769</v>
      </c>
      <c r="B495" s="54" t="s">
        <v>770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771</v>
      </c>
      <c r="B496" s="54" t="s">
        <v>772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66" t="s">
        <v>773</v>
      </c>
      <c r="Q496" s="679"/>
      <c r="R496" s="679"/>
      <c r="S496" s="679"/>
      <c r="T496" s="680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774</v>
      </c>
      <c r="B497" s="54" t="s">
        <v>775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44" t="s">
        <v>776</v>
      </c>
      <c r="Q497" s="679"/>
      <c r="R497" s="679"/>
      <c r="S497" s="679"/>
      <c r="T497" s="680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777</v>
      </c>
      <c r="B498" s="54" t="s">
        <v>778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810" t="s">
        <v>779</v>
      </c>
      <c r="Q498" s="679"/>
      <c r="R498" s="679"/>
      <c r="S498" s="679"/>
      <c r="T498" s="680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hidden="1" customHeight="1" x14ac:dyDescent="0.25">
      <c r="A499" s="54" t="s">
        <v>780</v>
      </c>
      <c r="B499" s="54" t="s">
        <v>781</v>
      </c>
      <c r="C499" s="31">
        <v>4301011784</v>
      </c>
      <c r="D499" s="689">
        <v>4607091389982</v>
      </c>
      <c r="E499" s="690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1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hidden="1" customHeight="1" x14ac:dyDescent="0.25">
      <c r="A500" s="54" t="s">
        <v>780</v>
      </c>
      <c r="B500" s="54" t="s">
        <v>782</v>
      </c>
      <c r="C500" s="31">
        <v>4301012034</v>
      </c>
      <c r="D500" s="689">
        <v>4607091389982</v>
      </c>
      <c r="E500" s="690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783</v>
      </c>
      <c r="B501" s="54" t="s">
        <v>784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87</v>
      </c>
      <c r="Q502" s="674"/>
      <c r="R502" s="674"/>
      <c r="S502" s="674"/>
      <c r="T502" s="674"/>
      <c r="U502" s="674"/>
      <c r="V502" s="675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172.53787878787878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174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2.0810400000000002</v>
      </c>
      <c r="AA502" s="670"/>
      <c r="AB502" s="670"/>
      <c r="AC502" s="670"/>
    </row>
    <row r="503" spans="1:68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87</v>
      </c>
      <c r="Q503" s="674"/>
      <c r="R503" s="674"/>
      <c r="S503" s="674"/>
      <c r="T503" s="674"/>
      <c r="U503" s="674"/>
      <c r="V503" s="675"/>
      <c r="W503" s="37" t="s">
        <v>68</v>
      </c>
      <c r="X503" s="669">
        <f>IFERROR(SUM(X486:X501),"0")</f>
        <v>911</v>
      </c>
      <c r="Y503" s="669">
        <f>IFERROR(SUM(Y486:Y501),"0")</f>
        <v>918.72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133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hidden="1" customHeight="1" x14ac:dyDescent="0.25">
      <c r="A505" s="54" t="s">
        <v>785</v>
      </c>
      <c r="B505" s="54" t="s">
        <v>786</v>
      </c>
      <c r="C505" s="31">
        <v>4301020222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9"/>
      <c r="R505" s="679"/>
      <c r="S505" s="679"/>
      <c r="T505" s="680"/>
      <c r="U505" s="34"/>
      <c r="V505" s="34"/>
      <c r="W505" s="35" t="s">
        <v>68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hidden="1" customHeight="1" x14ac:dyDescent="0.25">
      <c r="A506" s="54" t="s">
        <v>785</v>
      </c>
      <c r="B506" s="54" t="s">
        <v>788</v>
      </c>
      <c r="C506" s="31">
        <v>4301020334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899" t="s">
        <v>789</v>
      </c>
      <c r="Q506" s="679"/>
      <c r="R506" s="679"/>
      <c r="S506" s="679"/>
      <c r="T506" s="680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791</v>
      </c>
      <c r="B507" s="54" t="s">
        <v>792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42" t="s">
        <v>793</v>
      </c>
      <c r="Q507" s="679"/>
      <c r="R507" s="679"/>
      <c r="S507" s="679"/>
      <c r="T507" s="680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794</v>
      </c>
      <c r="B508" s="54" t="s">
        <v>795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72" t="s">
        <v>796</v>
      </c>
      <c r="Q508" s="679"/>
      <c r="R508" s="679"/>
      <c r="S508" s="679"/>
      <c r="T508" s="680"/>
      <c r="U508" s="34"/>
      <c r="V508" s="34"/>
      <c r="W508" s="35" t="s">
        <v>68</v>
      </c>
      <c r="X508" s="667">
        <v>23</v>
      </c>
      <c r="Y508" s="668">
        <f>IFERROR(IF(X508="",0,CEILING((X508/$H508),1)*$H508),"")</f>
        <v>24</v>
      </c>
      <c r="Z508" s="36">
        <f>IFERROR(IF(Y508=0,"",ROUNDUP(Y508/H508,0)*0.00902),"")</f>
        <v>4.5100000000000001E-2</v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33.206249999999997</v>
      </c>
      <c r="BN508" s="64">
        <f>IFERROR(Y508*I508/H508,"0")</f>
        <v>34.65</v>
      </c>
      <c r="BO508" s="64">
        <f>IFERROR(1/J508*(X508/H508),"0")</f>
        <v>3.6300505050505055E-2</v>
      </c>
      <c r="BP508" s="64">
        <f>IFERROR(1/J508*(Y508/H508),"0")</f>
        <v>3.787878787878788E-2</v>
      </c>
    </row>
    <row r="509" spans="1:68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87</v>
      </c>
      <c r="Q509" s="674"/>
      <c r="R509" s="674"/>
      <c r="S509" s="674"/>
      <c r="T509" s="674"/>
      <c r="U509" s="674"/>
      <c r="V509" s="675"/>
      <c r="W509" s="37" t="s">
        <v>88</v>
      </c>
      <c r="X509" s="669">
        <f>IFERROR(X505/H505,"0")+IFERROR(X506/H506,"0")+IFERROR(X507/H507,"0")+IFERROR(X508/H508,"0")</f>
        <v>4.791666666666667</v>
      </c>
      <c r="Y509" s="669">
        <f>IFERROR(Y505/H505,"0")+IFERROR(Y506/H506,"0")+IFERROR(Y507/H507,"0")+IFERROR(Y508/H508,"0")</f>
        <v>5</v>
      </c>
      <c r="Z509" s="669">
        <f>IFERROR(IF(Z505="",0,Z505),"0")+IFERROR(IF(Z506="",0,Z506),"0")+IFERROR(IF(Z507="",0,Z507),"0")+IFERROR(IF(Z508="",0,Z508),"0")</f>
        <v>4.5100000000000001E-2</v>
      </c>
      <c r="AA509" s="670"/>
      <c r="AB509" s="670"/>
      <c r="AC509" s="670"/>
    </row>
    <row r="510" spans="1:68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87</v>
      </c>
      <c r="Q510" s="674"/>
      <c r="R510" s="674"/>
      <c r="S510" s="674"/>
      <c r="T510" s="674"/>
      <c r="U510" s="674"/>
      <c r="V510" s="675"/>
      <c r="W510" s="37" t="s">
        <v>68</v>
      </c>
      <c r="X510" s="669">
        <f>IFERROR(SUM(X505:X508),"0")</f>
        <v>23</v>
      </c>
      <c r="Y510" s="669">
        <f>IFERROR(SUM(Y505:Y508),"0")</f>
        <v>24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144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hidden="1" customHeight="1" x14ac:dyDescent="0.25">
      <c r="A512" s="54" t="s">
        <v>797</v>
      </c>
      <c r="B512" s="54" t="s">
        <v>798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18" t="s">
        <v>799</v>
      </c>
      <c r="Q512" s="679"/>
      <c r="R512" s="679"/>
      <c r="S512" s="679"/>
      <c r="T512" s="680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hidden="1" customHeight="1" x14ac:dyDescent="0.25">
      <c r="A513" s="54" t="s">
        <v>801</v>
      </c>
      <c r="B513" s="54" t="s">
        <v>802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1" t="s">
        <v>803</v>
      </c>
      <c r="Q513" s="679"/>
      <c r="R513" s="679"/>
      <c r="S513" s="679"/>
      <c r="T513" s="680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77" t="s">
        <v>807</v>
      </c>
      <c r="Q514" s="679"/>
      <c r="R514" s="679"/>
      <c r="S514" s="679"/>
      <c r="T514" s="680"/>
      <c r="U514" s="34"/>
      <c r="V514" s="34"/>
      <c r="W514" s="35" t="s">
        <v>68</v>
      </c>
      <c r="X514" s="667">
        <v>300</v>
      </c>
      <c r="Y514" s="668">
        <f t="shared" si="74"/>
        <v>300.96000000000004</v>
      </c>
      <c r="Z514" s="36">
        <f>IFERROR(IF(Y514=0,"",ROUNDUP(Y514/H514,0)*0.01196),"")</f>
        <v>0.68171999999999999</v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320.45454545454544</v>
      </c>
      <c r="BN514" s="64">
        <f t="shared" si="76"/>
        <v>321.48</v>
      </c>
      <c r="BO514" s="64">
        <f t="shared" si="77"/>
        <v>0.54632867132867136</v>
      </c>
      <c r="BP514" s="64">
        <f t="shared" si="78"/>
        <v>0.54807692307692313</v>
      </c>
    </row>
    <row r="515" spans="1:68" ht="27" hidden="1" customHeight="1" x14ac:dyDescent="0.25">
      <c r="A515" s="54" t="s">
        <v>809</v>
      </c>
      <c r="B515" s="54" t="s">
        <v>810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07" t="s">
        <v>811</v>
      </c>
      <c r="Q515" s="679"/>
      <c r="R515" s="679"/>
      <c r="S515" s="679"/>
      <c r="T515" s="680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4301031419</v>
      </c>
      <c r="D516" s="689">
        <v>4680115882072</v>
      </c>
      <c r="E516" s="690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83" t="s">
        <v>814</v>
      </c>
      <c r="Q516" s="679"/>
      <c r="R516" s="679"/>
      <c r="S516" s="679"/>
      <c r="T516" s="680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812</v>
      </c>
      <c r="B517" s="54" t="s">
        <v>815</v>
      </c>
      <c r="C517" s="31">
        <v>4301031351</v>
      </c>
      <c r="D517" s="689">
        <v>4680115882072</v>
      </c>
      <c r="E517" s="690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2" t="s">
        <v>816</v>
      </c>
      <c r="Q517" s="679"/>
      <c r="R517" s="679"/>
      <c r="S517" s="679"/>
      <c r="T517" s="680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812</v>
      </c>
      <c r="B518" s="54" t="s">
        <v>817</v>
      </c>
      <c r="C518" s="31">
        <v>4301031383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72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9"/>
      <c r="R518" s="679"/>
      <c r="S518" s="679"/>
      <c r="T518" s="680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819</v>
      </c>
      <c r="B519" s="54" t="s">
        <v>820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52" t="s">
        <v>821</v>
      </c>
      <c r="Q519" s="679"/>
      <c r="R519" s="679"/>
      <c r="S519" s="679"/>
      <c r="T519" s="680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822</v>
      </c>
      <c r="B520" s="54" t="s">
        <v>823</v>
      </c>
      <c r="C520" s="31">
        <v>4301031253</v>
      </c>
      <c r="D520" s="689">
        <v>4680115882096</v>
      </c>
      <c r="E520" s="690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18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9"/>
      <c r="R520" s="679"/>
      <c r="S520" s="679"/>
      <c r="T520" s="680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822</v>
      </c>
      <c r="B521" s="54" t="s">
        <v>825</v>
      </c>
      <c r="C521" s="31">
        <v>4301031417</v>
      </c>
      <c r="D521" s="689">
        <v>4680115882096</v>
      </c>
      <c r="E521" s="690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53" t="s">
        <v>826</v>
      </c>
      <c r="Q521" s="679"/>
      <c r="R521" s="679"/>
      <c r="S521" s="679"/>
      <c r="T521" s="680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822</v>
      </c>
      <c r="B522" s="54" t="s">
        <v>827</v>
      </c>
      <c r="C522" s="31">
        <v>4301031384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9"/>
      <c r="R522" s="679"/>
      <c r="S522" s="679"/>
      <c r="T522" s="680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87</v>
      </c>
      <c r="Q523" s="674"/>
      <c r="R523" s="674"/>
      <c r="S523" s="674"/>
      <c r="T523" s="674"/>
      <c r="U523" s="674"/>
      <c r="V523" s="675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56.818181818181813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57.000000000000007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0.68171999999999999</v>
      </c>
      <c r="AA523" s="670"/>
      <c r="AB523" s="670"/>
      <c r="AC523" s="670"/>
    </row>
    <row r="524" spans="1:68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87</v>
      </c>
      <c r="Q524" s="674"/>
      <c r="R524" s="674"/>
      <c r="S524" s="674"/>
      <c r="T524" s="674"/>
      <c r="U524" s="674"/>
      <c r="V524" s="675"/>
      <c r="W524" s="37" t="s">
        <v>68</v>
      </c>
      <c r="X524" s="669">
        <f>IFERROR(SUM(X512:X522),"0")</f>
        <v>300</v>
      </c>
      <c r="Y524" s="669">
        <f>IFERROR(SUM(Y512:Y522),"0")</f>
        <v>300.96000000000004</v>
      </c>
      <c r="Z524" s="37"/>
      <c r="AA524" s="670"/>
      <c r="AB524" s="670"/>
      <c r="AC524" s="670"/>
    </row>
    <row r="525" spans="1:68" ht="14.25" hidden="1" customHeight="1" x14ac:dyDescent="0.25">
      <c r="A525" s="676" t="s">
        <v>63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828</v>
      </c>
      <c r="B526" s="54" t="s">
        <v>829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831</v>
      </c>
      <c r="B527" s="54" t="s">
        <v>832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834</v>
      </c>
      <c r="B528" s="54" t="s">
        <v>835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87</v>
      </c>
      <c r="Q529" s="674"/>
      <c r="R529" s="674"/>
      <c r="S529" s="674"/>
      <c r="T529" s="674"/>
      <c r="U529" s="674"/>
      <c r="V529" s="675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87</v>
      </c>
      <c r="Q530" s="674"/>
      <c r="R530" s="674"/>
      <c r="S530" s="674"/>
      <c r="T530" s="674"/>
      <c r="U530" s="674"/>
      <c r="V530" s="675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170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837</v>
      </c>
      <c r="B532" s="54" t="s">
        <v>838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70" t="s">
        <v>839</v>
      </c>
      <c r="Q532" s="679"/>
      <c r="R532" s="679"/>
      <c r="S532" s="679"/>
      <c r="T532" s="680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87</v>
      </c>
      <c r="Q533" s="674"/>
      <c r="R533" s="674"/>
      <c r="S533" s="674"/>
      <c r="T533" s="674"/>
      <c r="U533" s="674"/>
      <c r="V533" s="675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87</v>
      </c>
      <c r="Q534" s="674"/>
      <c r="R534" s="674"/>
      <c r="S534" s="674"/>
      <c r="T534" s="674"/>
      <c r="U534" s="674"/>
      <c r="V534" s="675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841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841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97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842</v>
      </c>
      <c r="B538" s="54" t="s">
        <v>843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80" t="s">
        <v>844</v>
      </c>
      <c r="Q538" s="679"/>
      <c r="R538" s="679"/>
      <c r="S538" s="679"/>
      <c r="T538" s="680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846</v>
      </c>
      <c r="B539" s="54" t="s">
        <v>847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8" t="s">
        <v>848</v>
      </c>
      <c r="Q539" s="679"/>
      <c r="R539" s="679"/>
      <c r="S539" s="679"/>
      <c r="T539" s="680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850</v>
      </c>
      <c r="B540" s="54" t="s">
        <v>851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6" t="s">
        <v>852</v>
      </c>
      <c r="Q540" s="679"/>
      <c r="R540" s="679"/>
      <c r="S540" s="679"/>
      <c r="T540" s="680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854</v>
      </c>
      <c r="B541" s="54" t="s">
        <v>855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29" t="s">
        <v>856</v>
      </c>
      <c r="Q541" s="679"/>
      <c r="R541" s="679"/>
      <c r="S541" s="679"/>
      <c r="T541" s="680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858</v>
      </c>
      <c r="B542" s="54" t="s">
        <v>859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38" t="s">
        <v>860</v>
      </c>
      <c r="Q542" s="679"/>
      <c r="R542" s="679"/>
      <c r="S542" s="679"/>
      <c r="T542" s="680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861</v>
      </c>
      <c r="B543" s="54" t="s">
        <v>862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84" t="s">
        <v>863</v>
      </c>
      <c r="Q543" s="679"/>
      <c r="R543" s="679"/>
      <c r="S543" s="679"/>
      <c r="T543" s="680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87</v>
      </c>
      <c r="Q544" s="674"/>
      <c r="R544" s="674"/>
      <c r="S544" s="674"/>
      <c r="T544" s="674"/>
      <c r="U544" s="674"/>
      <c r="V544" s="675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87</v>
      </c>
      <c r="Q545" s="674"/>
      <c r="R545" s="674"/>
      <c r="S545" s="674"/>
      <c r="T545" s="674"/>
      <c r="U545" s="674"/>
      <c r="V545" s="675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133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864</v>
      </c>
      <c r="B547" s="54" t="s">
        <v>865</v>
      </c>
      <c r="C547" s="31">
        <v>4301020269</v>
      </c>
      <c r="D547" s="689">
        <v>4640242180519</v>
      </c>
      <c r="E547" s="690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62" t="s">
        <v>866</v>
      </c>
      <c r="Q547" s="679"/>
      <c r="R547" s="679"/>
      <c r="S547" s="679"/>
      <c r="T547" s="680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864</v>
      </c>
      <c r="B548" s="54" t="s">
        <v>868</v>
      </c>
      <c r="C548" s="31">
        <v>4301020400</v>
      </c>
      <c r="D548" s="689">
        <v>4640242180519</v>
      </c>
      <c r="E548" s="690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809" t="s">
        <v>869</v>
      </c>
      <c r="Q548" s="679"/>
      <c r="R548" s="679"/>
      <c r="S548" s="679"/>
      <c r="T548" s="680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871</v>
      </c>
      <c r="B549" s="54" t="s">
        <v>872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06" t="s">
        <v>873</v>
      </c>
      <c r="Q549" s="679"/>
      <c r="R549" s="679"/>
      <c r="S549" s="679"/>
      <c r="T549" s="680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874</v>
      </c>
      <c r="B550" s="54" t="s">
        <v>875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68" t="s">
        <v>876</v>
      </c>
      <c r="Q550" s="679"/>
      <c r="R550" s="679"/>
      <c r="S550" s="679"/>
      <c r="T550" s="680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878</v>
      </c>
      <c r="B551" s="54" t="s">
        <v>879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3" t="s">
        <v>880</v>
      </c>
      <c r="Q551" s="679"/>
      <c r="R551" s="679"/>
      <c r="S551" s="679"/>
      <c r="T551" s="680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87</v>
      </c>
      <c r="Q552" s="674"/>
      <c r="R552" s="674"/>
      <c r="S552" s="674"/>
      <c r="T552" s="674"/>
      <c r="U552" s="674"/>
      <c r="V552" s="675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87</v>
      </c>
      <c r="Q553" s="674"/>
      <c r="R553" s="674"/>
      <c r="S553" s="674"/>
      <c r="T553" s="674"/>
      <c r="U553" s="674"/>
      <c r="V553" s="675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144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881</v>
      </c>
      <c r="B555" s="54" t="s">
        <v>882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58" t="s">
        <v>883</v>
      </c>
      <c r="Q555" s="679"/>
      <c r="R555" s="679"/>
      <c r="S555" s="679"/>
      <c r="T555" s="680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885</v>
      </c>
      <c r="B556" s="54" t="s">
        <v>886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93" t="s">
        <v>887</v>
      </c>
      <c r="Q556" s="679"/>
      <c r="R556" s="679"/>
      <c r="S556" s="679"/>
      <c r="T556" s="680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889</v>
      </c>
      <c r="B557" s="54" t="s">
        <v>890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84" t="s">
        <v>891</v>
      </c>
      <c r="Q557" s="679"/>
      <c r="R557" s="679"/>
      <c r="S557" s="679"/>
      <c r="T557" s="680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893</v>
      </c>
      <c r="B558" s="54" t="s">
        <v>894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2" t="s">
        <v>895</v>
      </c>
      <c r="Q558" s="679"/>
      <c r="R558" s="679"/>
      <c r="S558" s="679"/>
      <c r="T558" s="680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897</v>
      </c>
      <c r="B559" s="54" t="s">
        <v>898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3" t="s">
        <v>899</v>
      </c>
      <c r="Q559" s="679"/>
      <c r="R559" s="679"/>
      <c r="S559" s="679"/>
      <c r="T559" s="680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901</v>
      </c>
      <c r="B560" s="54" t="s">
        <v>902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4" t="s">
        <v>903</v>
      </c>
      <c r="Q560" s="679"/>
      <c r="R560" s="679"/>
      <c r="S560" s="679"/>
      <c r="T560" s="680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904</v>
      </c>
      <c r="B561" s="54" t="s">
        <v>905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08" t="s">
        <v>906</v>
      </c>
      <c r="Q561" s="679"/>
      <c r="R561" s="679"/>
      <c r="S561" s="679"/>
      <c r="T561" s="680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87</v>
      </c>
      <c r="Q562" s="674"/>
      <c r="R562" s="674"/>
      <c r="S562" s="674"/>
      <c r="T562" s="674"/>
      <c r="U562" s="674"/>
      <c r="V562" s="675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87</v>
      </c>
      <c r="Q563" s="674"/>
      <c r="R563" s="674"/>
      <c r="S563" s="674"/>
      <c r="T563" s="674"/>
      <c r="U563" s="674"/>
      <c r="V563" s="675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63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hidden="1" customHeight="1" x14ac:dyDescent="0.25">
      <c r="A565" s="54" t="s">
        <v>907</v>
      </c>
      <c r="B565" s="54" t="s">
        <v>908</v>
      </c>
      <c r="C565" s="31">
        <v>4301052046</v>
      </c>
      <c r="D565" s="689">
        <v>4640242180533</v>
      </c>
      <c r="E565" s="690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8" t="s">
        <v>909</v>
      </c>
      <c r="Q565" s="679"/>
      <c r="R565" s="679"/>
      <c r="S565" s="679"/>
      <c r="T565" s="680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hidden="1" customHeight="1" x14ac:dyDescent="0.25">
      <c r="A566" s="54" t="s">
        <v>907</v>
      </c>
      <c r="B566" s="54" t="s">
        <v>911</v>
      </c>
      <c r="C566" s="31">
        <v>4301051887</v>
      </c>
      <c r="D566" s="689">
        <v>4640242180533</v>
      </c>
      <c r="E566" s="690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881" t="s">
        <v>909</v>
      </c>
      <c r="Q566" s="679"/>
      <c r="R566" s="679"/>
      <c r="S566" s="679"/>
      <c r="T566" s="680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912</v>
      </c>
      <c r="B567" s="54" t="s">
        <v>913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2" t="s">
        <v>914</v>
      </c>
      <c r="Q567" s="679"/>
      <c r="R567" s="679"/>
      <c r="S567" s="679"/>
      <c r="T567" s="680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916</v>
      </c>
      <c r="B568" s="54" t="s">
        <v>917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56" t="s">
        <v>918</v>
      </c>
      <c r="Q568" s="679"/>
      <c r="R568" s="679"/>
      <c r="S568" s="679"/>
      <c r="T568" s="680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919</v>
      </c>
      <c r="B569" s="54" t="s">
        <v>920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47" t="s">
        <v>921</v>
      </c>
      <c r="Q569" s="679"/>
      <c r="R569" s="679"/>
      <c r="S569" s="679"/>
      <c r="T569" s="680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idden="1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87</v>
      </c>
      <c r="Q570" s="674"/>
      <c r="R570" s="674"/>
      <c r="S570" s="674"/>
      <c r="T570" s="674"/>
      <c r="U570" s="674"/>
      <c r="V570" s="675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hidden="1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87</v>
      </c>
      <c r="Q571" s="674"/>
      <c r="R571" s="674"/>
      <c r="S571" s="674"/>
      <c r="T571" s="674"/>
      <c r="U571" s="674"/>
      <c r="V571" s="675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170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hidden="1" customHeight="1" x14ac:dyDescent="0.25">
      <c r="A573" s="54" t="s">
        <v>922</v>
      </c>
      <c r="B573" s="54" t="s">
        <v>923</v>
      </c>
      <c r="C573" s="31">
        <v>4301060496</v>
      </c>
      <c r="D573" s="689">
        <v>4640242180120</v>
      </c>
      <c r="E573" s="690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75" t="s">
        <v>924</v>
      </c>
      <c r="Q573" s="679"/>
      <c r="R573" s="679"/>
      <c r="S573" s="679"/>
      <c r="T573" s="680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922</v>
      </c>
      <c r="B574" s="54" t="s">
        <v>926</v>
      </c>
      <c r="C574" s="31">
        <v>4301060485</v>
      </c>
      <c r="D574" s="689">
        <v>4640242180120</v>
      </c>
      <c r="E574" s="690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19" t="s">
        <v>927</v>
      </c>
      <c r="Q574" s="679"/>
      <c r="R574" s="679"/>
      <c r="S574" s="679"/>
      <c r="T574" s="680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928</v>
      </c>
      <c r="B575" s="54" t="s">
        <v>929</v>
      </c>
      <c r="C575" s="31">
        <v>4301060498</v>
      </c>
      <c r="D575" s="689">
        <v>4640242180137</v>
      </c>
      <c r="E575" s="690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68" t="s">
        <v>930</v>
      </c>
      <c r="Q575" s="679"/>
      <c r="R575" s="679"/>
      <c r="S575" s="679"/>
      <c r="T575" s="680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928</v>
      </c>
      <c r="B576" s="54" t="s">
        <v>932</v>
      </c>
      <c r="C576" s="31">
        <v>4301060486</v>
      </c>
      <c r="D576" s="689">
        <v>4640242180137</v>
      </c>
      <c r="E576" s="690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77" t="s">
        <v>933</v>
      </c>
      <c r="Q576" s="679"/>
      <c r="R576" s="679"/>
      <c r="S576" s="679"/>
      <c r="T576" s="680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87</v>
      </c>
      <c r="Q577" s="674"/>
      <c r="R577" s="674"/>
      <c r="S577" s="674"/>
      <c r="T577" s="674"/>
      <c r="U577" s="674"/>
      <c r="V577" s="675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87</v>
      </c>
      <c r="Q578" s="674"/>
      <c r="R578" s="674"/>
      <c r="S578" s="674"/>
      <c r="T578" s="674"/>
      <c r="U578" s="674"/>
      <c r="V578" s="675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934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97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935</v>
      </c>
      <c r="B581" s="54" t="s">
        <v>936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51" t="s">
        <v>937</v>
      </c>
      <c r="Q581" s="679"/>
      <c r="R581" s="679"/>
      <c r="S581" s="679"/>
      <c r="T581" s="680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87</v>
      </c>
      <c r="Q582" s="674"/>
      <c r="R582" s="674"/>
      <c r="S582" s="674"/>
      <c r="T582" s="674"/>
      <c r="U582" s="674"/>
      <c r="V582" s="675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87</v>
      </c>
      <c r="Q583" s="674"/>
      <c r="R583" s="674"/>
      <c r="S583" s="674"/>
      <c r="T583" s="674"/>
      <c r="U583" s="674"/>
      <c r="V583" s="675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133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939</v>
      </c>
      <c r="B585" s="54" t="s">
        <v>940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806" t="s">
        <v>941</v>
      </c>
      <c r="Q585" s="679"/>
      <c r="R585" s="679"/>
      <c r="S585" s="679"/>
      <c r="T585" s="680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87</v>
      </c>
      <c r="Q586" s="674"/>
      <c r="R586" s="674"/>
      <c r="S586" s="674"/>
      <c r="T586" s="674"/>
      <c r="U586" s="674"/>
      <c r="V586" s="675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87</v>
      </c>
      <c r="Q587" s="674"/>
      <c r="R587" s="674"/>
      <c r="S587" s="674"/>
      <c r="T587" s="674"/>
      <c r="U587" s="674"/>
      <c r="V587" s="675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144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943</v>
      </c>
      <c r="B589" s="54" t="s">
        <v>944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57" t="s">
        <v>945</v>
      </c>
      <c r="Q589" s="679"/>
      <c r="R589" s="679"/>
      <c r="S589" s="679"/>
      <c r="T589" s="680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87</v>
      </c>
      <c r="Q590" s="674"/>
      <c r="R590" s="674"/>
      <c r="S590" s="674"/>
      <c r="T590" s="674"/>
      <c r="U590" s="674"/>
      <c r="V590" s="675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87</v>
      </c>
      <c r="Q591" s="674"/>
      <c r="R591" s="674"/>
      <c r="S591" s="674"/>
      <c r="T591" s="674"/>
      <c r="U591" s="674"/>
      <c r="V591" s="675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63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947</v>
      </c>
      <c r="B593" s="54" t="s">
        <v>948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35" t="s">
        <v>949</v>
      </c>
      <c r="Q593" s="679"/>
      <c r="R593" s="679"/>
      <c r="S593" s="679"/>
      <c r="T593" s="680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87</v>
      </c>
      <c r="Q594" s="674"/>
      <c r="R594" s="674"/>
      <c r="S594" s="674"/>
      <c r="T594" s="674"/>
      <c r="U594" s="674"/>
      <c r="V594" s="675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87</v>
      </c>
      <c r="Q595" s="674"/>
      <c r="R595" s="674"/>
      <c r="S595" s="674"/>
      <c r="T595" s="674"/>
      <c r="U595" s="674"/>
      <c r="V595" s="675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951</v>
      </c>
      <c r="Q596" s="687"/>
      <c r="R596" s="687"/>
      <c r="S596" s="687"/>
      <c r="T596" s="687"/>
      <c r="U596" s="687"/>
      <c r="V596" s="688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10108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10214.959999999999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952</v>
      </c>
      <c r="Q597" s="687"/>
      <c r="R597" s="687"/>
      <c r="S597" s="687"/>
      <c r="T597" s="687"/>
      <c r="U597" s="687"/>
      <c r="V597" s="688"/>
      <c r="W597" s="37" t="s">
        <v>68</v>
      </c>
      <c r="X597" s="669">
        <f>IFERROR(SUM(BM22:BM593),"0")</f>
        <v>10711.217173932549</v>
      </c>
      <c r="Y597" s="669">
        <f>IFERROR(SUM(BN22:BN593),"0")</f>
        <v>10824.257999999998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953</v>
      </c>
      <c r="Q598" s="687"/>
      <c r="R598" s="687"/>
      <c r="S598" s="687"/>
      <c r="T598" s="687"/>
      <c r="U598" s="687"/>
      <c r="V598" s="688"/>
      <c r="W598" s="37" t="s">
        <v>954</v>
      </c>
      <c r="X598" s="38">
        <f>ROUNDUP(SUM(BO22:BO593),0)</f>
        <v>18</v>
      </c>
      <c r="Y598" s="38">
        <f>ROUNDUP(SUM(BP22:BP593),0)</f>
        <v>18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955</v>
      </c>
      <c r="Q599" s="687"/>
      <c r="R599" s="687"/>
      <c r="S599" s="687"/>
      <c r="T599" s="687"/>
      <c r="U599" s="687"/>
      <c r="V599" s="688"/>
      <c r="W599" s="37" t="s">
        <v>68</v>
      </c>
      <c r="X599" s="669">
        <f>GrossWeightTotal+PalletQtyTotal*25</f>
        <v>11161.217173932549</v>
      </c>
      <c r="Y599" s="669">
        <f>GrossWeightTotalR+PalletQtyTotalR*25</f>
        <v>11274.257999999998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956</v>
      </c>
      <c r="Q600" s="687"/>
      <c r="R600" s="687"/>
      <c r="S600" s="687"/>
      <c r="T600" s="687"/>
      <c r="U600" s="687"/>
      <c r="V600" s="688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2056.7234016302982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2075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957</v>
      </c>
      <c r="Q601" s="687"/>
      <c r="R601" s="687"/>
      <c r="S601" s="687"/>
      <c r="T601" s="687"/>
      <c r="U601" s="687"/>
      <c r="V601" s="688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20.865620000000003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725" t="s">
        <v>95</v>
      </c>
      <c r="D603" s="734"/>
      <c r="E603" s="734"/>
      <c r="F603" s="734"/>
      <c r="G603" s="734"/>
      <c r="H603" s="735"/>
      <c r="I603" s="725" t="s">
        <v>279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597</v>
      </c>
      <c r="X603" s="735"/>
      <c r="Y603" s="725" t="s">
        <v>669</v>
      </c>
      <c r="Z603" s="734"/>
      <c r="AA603" s="734"/>
      <c r="AB603" s="735"/>
      <c r="AC603" s="664" t="s">
        <v>744</v>
      </c>
      <c r="AD603" s="725" t="s">
        <v>841</v>
      </c>
      <c r="AE603" s="735"/>
      <c r="AF603" s="665"/>
    </row>
    <row r="604" spans="1:68" ht="14.25" customHeight="1" thickTop="1" x14ac:dyDescent="0.2">
      <c r="A604" s="940" t="s">
        <v>960</v>
      </c>
      <c r="B604" s="725" t="s">
        <v>62</v>
      </c>
      <c r="C604" s="725" t="s">
        <v>96</v>
      </c>
      <c r="D604" s="725" t="s">
        <v>115</v>
      </c>
      <c r="E604" s="725" t="s">
        <v>178</v>
      </c>
      <c r="F604" s="725" t="s">
        <v>209</v>
      </c>
      <c r="G604" s="725" t="s">
        <v>252</v>
      </c>
      <c r="H604" s="725" t="s">
        <v>95</v>
      </c>
      <c r="I604" s="725" t="s">
        <v>280</v>
      </c>
      <c r="J604" s="725" t="s">
        <v>326</v>
      </c>
      <c r="K604" s="725" t="s">
        <v>387</v>
      </c>
      <c r="L604" s="725" t="s">
        <v>434</v>
      </c>
      <c r="M604" s="725" t="s">
        <v>452</v>
      </c>
      <c r="N604" s="665"/>
      <c r="O604" s="725" t="s">
        <v>456</v>
      </c>
      <c r="P604" s="725" t="s">
        <v>469</v>
      </c>
      <c r="Q604" s="725" t="s">
        <v>483</v>
      </c>
      <c r="R604" s="725" t="s">
        <v>493</v>
      </c>
      <c r="S604" s="725" t="s">
        <v>497</v>
      </c>
      <c r="T604" s="725" t="s">
        <v>505</v>
      </c>
      <c r="U604" s="725" t="s">
        <v>510</v>
      </c>
      <c r="V604" s="725" t="s">
        <v>584</v>
      </c>
      <c r="W604" s="725" t="s">
        <v>598</v>
      </c>
      <c r="X604" s="725" t="s">
        <v>639</v>
      </c>
      <c r="Y604" s="725" t="s">
        <v>670</v>
      </c>
      <c r="Z604" s="725" t="s">
        <v>709</v>
      </c>
      <c r="AA604" s="725" t="s">
        <v>729</v>
      </c>
      <c r="AB604" s="725" t="s">
        <v>737</v>
      </c>
      <c r="AC604" s="725" t="s">
        <v>744</v>
      </c>
      <c r="AD604" s="725" t="s">
        <v>841</v>
      </c>
      <c r="AE604" s="725" t="s">
        <v>934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442.8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159.6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659.7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662.40000000000009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810.6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2718.6000000000004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133.28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38.4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90.9</v>
      </c>
      <c r="V606" s="46">
        <f>IFERROR(Y371*1,"0")+IFERROR(Y375*1,"0")+IFERROR(Y376*1,"0")+IFERROR(Y377*1,"0")</f>
        <v>9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2265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954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16.200000000000003</v>
      </c>
      <c r="Z606" s="46">
        <f>IFERROR(Y457*1,"0")+IFERROR(Y458*1,"0")+IFERROR(Y462*1,"0")+IFERROR(Y463*1,"0")+IFERROR(Y464*1,"0")+IFERROR(Y465*1,"0")</f>
        <v>10.8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1243.68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83,00"/>
        <filter val="1 812,00"/>
        <filter val="1,67"/>
        <filter val="10 108,00"/>
        <filter val="10 711,22"/>
        <filter val="105,33"/>
        <filter val="107,00"/>
        <filter val="108,00"/>
        <filter val="11 161,22"/>
        <filter val="12,00"/>
        <filter val="123,00"/>
        <filter val="124,00"/>
        <filter val="14,17"/>
        <filter val="147,13"/>
        <filter val="149,81"/>
        <filter val="15,83"/>
        <filter val="16,00"/>
        <filter val="172,54"/>
        <filter val="175,00"/>
        <filter val="18"/>
        <filter val="2 000,00"/>
        <filter val="2 056,72"/>
        <filter val="2 207,00"/>
        <filter val="2,22"/>
        <filter val="20,83"/>
        <filter val="200,00"/>
        <filter val="203,00"/>
        <filter val="206,00"/>
        <filter val="207,00"/>
        <filter val="219,00"/>
        <filter val="22,00"/>
        <filter val="23,00"/>
        <filter val="23,81"/>
        <filter val="232,00"/>
        <filter val="249,00"/>
        <filter val="267,00"/>
        <filter val="280,00"/>
        <filter val="3,00"/>
        <filter val="300,00"/>
        <filter val="31,00"/>
        <filter val="323,00"/>
        <filter val="324,05"/>
        <filter val="34,00"/>
        <filter val="350,00"/>
        <filter val="37,00"/>
        <filter val="38,00"/>
        <filter val="386,00"/>
        <filter val="387,00"/>
        <filter val="4,11"/>
        <filter val="4,44"/>
        <filter val="4,79"/>
        <filter val="40,74"/>
        <filter val="440,00"/>
        <filter val="45,85"/>
        <filter val="478,00"/>
        <filter val="50,00"/>
        <filter val="53,00"/>
        <filter val="54,76"/>
        <filter val="56,19"/>
        <filter val="56,82"/>
        <filter val="57,00"/>
        <filter val="6,79"/>
        <filter val="64,00"/>
        <filter val="7,00"/>
        <filter val="7,41"/>
        <filter val="7,68"/>
        <filter val="755,00"/>
        <filter val="8,00"/>
        <filter val="8,15"/>
        <filter val="8,48"/>
        <filter val="8,89"/>
        <filter val="805,00"/>
        <filter val="809,00"/>
        <filter val="82,00"/>
        <filter val="858,00"/>
        <filter val="9,00"/>
        <filter val="9,22"/>
        <filter val="911,00"/>
        <filter val="92,00"/>
        <filter val="948,00"/>
        <filter val="95,00"/>
        <filter val="96,00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2025-04-24T10:57:36Z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