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52934A-BF53-4E4B-BF09-C8792A6FAEF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Y296" i="1"/>
  <c r="X294" i="1"/>
  <c r="X293" i="1"/>
  <c r="BO292" i="1"/>
  <c r="BM292" i="1"/>
  <c r="Z292" i="1"/>
  <c r="Y292" i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Y288" i="1" s="1"/>
  <c r="P285" i="1"/>
  <c r="X283" i="1"/>
  <c r="X282" i="1"/>
  <c r="BO281" i="1"/>
  <c r="BM281" i="1"/>
  <c r="Z281" i="1"/>
  <c r="Z282" i="1" s="1"/>
  <c r="Y281" i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Y279" i="1" s="1"/>
  <c r="X271" i="1"/>
  <c r="X270" i="1"/>
  <c r="BO269" i="1"/>
  <c r="BM269" i="1"/>
  <c r="Z269" i="1"/>
  <c r="Z270" i="1" s="1"/>
  <c r="Y269" i="1"/>
  <c r="P269" i="1"/>
  <c r="X267" i="1"/>
  <c r="X266" i="1"/>
  <c r="BO265" i="1"/>
  <c r="BM265" i="1"/>
  <c r="Z265" i="1"/>
  <c r="Z266" i="1" s="1"/>
  <c r="Y265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X254" i="1"/>
  <c r="X253" i="1"/>
  <c r="BO252" i="1"/>
  <c r="BM252" i="1"/>
  <c r="Z252" i="1"/>
  <c r="Z253" i="1" s="1"/>
  <c r="Y252" i="1"/>
  <c r="Y254" i="1" s="1"/>
  <c r="P252" i="1"/>
  <c r="X248" i="1"/>
  <c r="X247" i="1"/>
  <c r="BO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Y242" i="1" s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O223" i="1"/>
  <c r="BM223" i="1"/>
  <c r="Z223" i="1"/>
  <c r="Y223" i="1"/>
  <c r="P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Y211" i="1"/>
  <c r="Y218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O185" i="1"/>
  <c r="BM185" i="1"/>
  <c r="Z185" i="1"/>
  <c r="Y185" i="1"/>
  <c r="P185" i="1"/>
  <c r="BO184" i="1"/>
  <c r="BM184" i="1"/>
  <c r="Z184" i="1"/>
  <c r="Y184" i="1"/>
  <c r="P184" i="1"/>
  <c r="X180" i="1"/>
  <c r="X179" i="1"/>
  <c r="BO178" i="1"/>
  <c r="BM178" i="1"/>
  <c r="Z178" i="1"/>
  <c r="Y178" i="1"/>
  <c r="P178" i="1"/>
  <c r="BP177" i="1"/>
  <c r="BO177" i="1"/>
  <c r="BN177" i="1"/>
  <c r="BM177" i="1"/>
  <c r="Z177" i="1"/>
  <c r="Z179" i="1" s="1"/>
  <c r="Y177" i="1"/>
  <c r="P177" i="1"/>
  <c r="X175" i="1"/>
  <c r="X174" i="1"/>
  <c r="BO173" i="1"/>
  <c r="BM173" i="1"/>
  <c r="Z173" i="1"/>
  <c r="Y173" i="1"/>
  <c r="P173" i="1"/>
  <c r="BO172" i="1"/>
  <c r="BM172" i="1"/>
  <c r="Z172" i="1"/>
  <c r="Y172" i="1"/>
  <c r="P172" i="1"/>
  <c r="BO171" i="1"/>
  <c r="BM171" i="1"/>
  <c r="Z171" i="1"/>
  <c r="Y171" i="1"/>
  <c r="BO170" i="1"/>
  <c r="BM170" i="1"/>
  <c r="Z170" i="1"/>
  <c r="Y170" i="1"/>
  <c r="X167" i="1"/>
  <c r="X166" i="1"/>
  <c r="BO165" i="1"/>
  <c r="BM165" i="1"/>
  <c r="Z165" i="1"/>
  <c r="Z166" i="1" s="1"/>
  <c r="Y165" i="1"/>
  <c r="X161" i="1"/>
  <c r="X160" i="1"/>
  <c r="BO159" i="1"/>
  <c r="BM159" i="1"/>
  <c r="Z159" i="1"/>
  <c r="Z160" i="1" s="1"/>
  <c r="Y159" i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Y150" i="1" s="1"/>
  <c r="P148" i="1"/>
  <c r="X145" i="1"/>
  <c r="X144" i="1"/>
  <c r="BO143" i="1"/>
  <c r="BM143" i="1"/>
  <c r="Z143" i="1"/>
  <c r="Z144" i="1" s="1"/>
  <c r="Y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Z133" i="1" s="1"/>
  <c r="Y132" i="1"/>
  <c r="P132" i="1"/>
  <c r="BO131" i="1"/>
  <c r="BM131" i="1"/>
  <c r="Z131" i="1"/>
  <c r="Y131" i="1"/>
  <c r="P131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Y125" i="1"/>
  <c r="P125" i="1"/>
  <c r="X122" i="1"/>
  <c r="X121" i="1"/>
  <c r="BO120" i="1"/>
  <c r="BM120" i="1"/>
  <c r="Z120" i="1"/>
  <c r="Z121" i="1" s="1"/>
  <c r="Y120" i="1"/>
  <c r="X118" i="1"/>
  <c r="X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Y112" i="1"/>
  <c r="P112" i="1"/>
  <c r="BO111" i="1"/>
  <c r="BM111" i="1"/>
  <c r="Z111" i="1"/>
  <c r="Y111" i="1"/>
  <c r="X108" i="1"/>
  <c r="X107" i="1"/>
  <c r="BO106" i="1"/>
  <c r="BM106" i="1"/>
  <c r="Z106" i="1"/>
  <c r="Y106" i="1"/>
  <c r="BP106" i="1" s="1"/>
  <c r="P106" i="1"/>
  <c r="BO105" i="1"/>
  <c r="BM105" i="1"/>
  <c r="Z105" i="1"/>
  <c r="Y105" i="1"/>
  <c r="BO104" i="1"/>
  <c r="BM104" i="1"/>
  <c r="Z104" i="1"/>
  <c r="Y104" i="1"/>
  <c r="P104" i="1"/>
  <c r="X101" i="1"/>
  <c r="X100" i="1"/>
  <c r="BO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X91" i="1"/>
  <c r="X90" i="1"/>
  <c r="BO89" i="1"/>
  <c r="BM89" i="1"/>
  <c r="Z89" i="1"/>
  <c r="Y89" i="1"/>
  <c r="BO88" i="1"/>
  <c r="BM88" i="1"/>
  <c r="Z88" i="1"/>
  <c r="Z90" i="1" s="1"/>
  <c r="Y88" i="1"/>
  <c r="X85" i="1"/>
  <c r="X84" i="1"/>
  <c r="BO83" i="1"/>
  <c r="BM83" i="1"/>
  <c r="Z83" i="1"/>
  <c r="Z84" i="1" s="1"/>
  <c r="Y83" i="1"/>
  <c r="X80" i="1"/>
  <c r="X79" i="1"/>
  <c r="BO78" i="1"/>
  <c r="BM78" i="1"/>
  <c r="Z78" i="1"/>
  <c r="Y78" i="1"/>
  <c r="P78" i="1"/>
  <c r="BO77" i="1"/>
  <c r="BM77" i="1"/>
  <c r="Z77" i="1"/>
  <c r="Y77" i="1"/>
  <c r="BP77" i="1" s="1"/>
  <c r="P77" i="1"/>
  <c r="X74" i="1"/>
  <c r="X73" i="1"/>
  <c r="BO72" i="1"/>
  <c r="BM72" i="1"/>
  <c r="Z72" i="1"/>
  <c r="Y72" i="1"/>
  <c r="BP72" i="1" s="1"/>
  <c r="BO71" i="1"/>
  <c r="BM71" i="1"/>
  <c r="Z71" i="1"/>
  <c r="Y71" i="1"/>
  <c r="BP71" i="1" s="1"/>
  <c r="BO70" i="1"/>
  <c r="BM70" i="1"/>
  <c r="Z70" i="1"/>
  <c r="Z73" i="1" s="1"/>
  <c r="Y70" i="1"/>
  <c r="Y74" i="1" s="1"/>
  <c r="X68" i="1"/>
  <c r="X67" i="1"/>
  <c r="BO66" i="1"/>
  <c r="BM66" i="1"/>
  <c r="Z66" i="1"/>
  <c r="Z67" i="1" s="1"/>
  <c r="Y66" i="1"/>
  <c r="P66" i="1"/>
  <c r="X64" i="1"/>
  <c r="X63" i="1"/>
  <c r="BO62" i="1"/>
  <c r="BM62" i="1"/>
  <c r="Z62" i="1"/>
  <c r="Z63" i="1" s="1"/>
  <c r="Y62" i="1"/>
  <c r="Y64" i="1" s="1"/>
  <c r="X60" i="1"/>
  <c r="X59" i="1"/>
  <c r="BO58" i="1"/>
  <c r="BM58" i="1"/>
  <c r="Z58" i="1"/>
  <c r="Z59" i="1" s="1"/>
  <c r="Y58" i="1"/>
  <c r="X56" i="1"/>
  <c r="X55" i="1"/>
  <c r="BO54" i="1"/>
  <c r="BM54" i="1"/>
  <c r="Z54" i="1"/>
  <c r="Z55" i="1" s="1"/>
  <c r="Y54" i="1"/>
  <c r="X51" i="1"/>
  <c r="X50" i="1"/>
  <c r="BO49" i="1"/>
  <c r="BM49" i="1"/>
  <c r="Z49" i="1"/>
  <c r="Y49" i="1"/>
  <c r="BP49" i="1" s="1"/>
  <c r="P49" i="1"/>
  <c r="BO48" i="1"/>
  <c r="BM48" i="1"/>
  <c r="Z48" i="1"/>
  <c r="Y48" i="1"/>
  <c r="P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BO44" i="1"/>
  <c r="BM44" i="1"/>
  <c r="Z44" i="1"/>
  <c r="Y44" i="1"/>
  <c r="P44" i="1"/>
  <c r="BO43" i="1"/>
  <c r="BM43" i="1"/>
  <c r="Z43" i="1"/>
  <c r="Y43" i="1"/>
  <c r="BP43" i="1" s="1"/>
  <c r="P43" i="1"/>
  <c r="BO42" i="1"/>
  <c r="BM42" i="1"/>
  <c r="Z42" i="1"/>
  <c r="Y42" i="1"/>
  <c r="P42" i="1"/>
  <c r="X39" i="1"/>
  <c r="X38" i="1"/>
  <c r="BO37" i="1"/>
  <c r="BM37" i="1"/>
  <c r="Z37" i="1"/>
  <c r="Y37" i="1"/>
  <c r="BO36" i="1"/>
  <c r="BM36" i="1"/>
  <c r="Z36" i="1"/>
  <c r="Y36" i="1"/>
  <c r="BO35" i="1"/>
  <c r="BM35" i="1"/>
  <c r="Z35" i="1"/>
  <c r="Z38" i="1" s="1"/>
  <c r="Y35" i="1"/>
  <c r="Y39" i="1" s="1"/>
  <c r="X32" i="1"/>
  <c r="X31" i="1"/>
  <c r="BO30" i="1"/>
  <c r="BM30" i="1"/>
  <c r="Z30" i="1"/>
  <c r="Y30" i="1"/>
  <c r="BO29" i="1"/>
  <c r="BM29" i="1"/>
  <c r="Z29" i="1"/>
  <c r="Y29" i="1"/>
  <c r="BO28" i="1"/>
  <c r="BM28" i="1"/>
  <c r="Z28" i="1"/>
  <c r="Z31" i="1" s="1"/>
  <c r="Y28" i="1"/>
  <c r="X24" i="1"/>
  <c r="X23" i="1"/>
  <c r="BO22" i="1"/>
  <c r="BM22" i="1"/>
  <c r="Z22" i="1"/>
  <c r="Z23" i="1" s="1"/>
  <c r="Y22" i="1"/>
  <c r="P22" i="1"/>
  <c r="H10" i="1"/>
  <c r="H9" i="1"/>
  <c r="A9" i="1"/>
  <c r="D7" i="1"/>
  <c r="Q6" i="1"/>
  <c r="P2" i="1"/>
  <c r="BN43" i="1" l="1"/>
  <c r="BN45" i="1"/>
  <c r="BN47" i="1"/>
  <c r="BN49" i="1"/>
  <c r="BN70" i="1"/>
  <c r="BP70" i="1"/>
  <c r="BN71" i="1"/>
  <c r="BN72" i="1"/>
  <c r="Y73" i="1"/>
  <c r="Z79" i="1"/>
  <c r="BN77" i="1"/>
  <c r="Z100" i="1"/>
  <c r="BN106" i="1"/>
  <c r="BN252" i="1"/>
  <c r="BP252" i="1"/>
  <c r="Y253" i="1"/>
  <c r="Z260" i="1"/>
  <c r="BN258" i="1"/>
  <c r="Z317" i="1"/>
  <c r="BN298" i="1"/>
  <c r="BN299" i="1"/>
  <c r="BN300" i="1"/>
  <c r="BN303" i="1"/>
  <c r="BN304" i="1"/>
  <c r="Y32" i="1"/>
  <c r="Y31" i="1"/>
  <c r="BP28" i="1"/>
  <c r="BN28" i="1"/>
  <c r="BP29" i="1"/>
  <c r="BN29" i="1"/>
  <c r="BP30" i="1"/>
  <c r="BN30" i="1"/>
  <c r="Y100" i="1"/>
  <c r="BP94" i="1"/>
  <c r="BN94" i="1"/>
  <c r="BP97" i="1"/>
  <c r="BN97" i="1"/>
  <c r="BP98" i="1"/>
  <c r="BN98" i="1"/>
  <c r="Y101" i="1"/>
  <c r="BP112" i="1"/>
  <c r="BN112" i="1"/>
  <c r="BP114" i="1"/>
  <c r="BN114" i="1"/>
  <c r="BP116" i="1"/>
  <c r="BN116" i="1"/>
  <c r="Y175" i="1"/>
  <c r="BP170" i="1"/>
  <c r="BN170" i="1"/>
  <c r="BP171" i="1"/>
  <c r="BN171" i="1"/>
  <c r="BP173" i="1"/>
  <c r="BN173" i="1"/>
  <c r="BP185" i="1"/>
  <c r="BN185" i="1"/>
  <c r="BP205" i="1"/>
  <c r="BN205" i="1"/>
  <c r="Y225" i="1"/>
  <c r="BP221" i="1"/>
  <c r="BN221" i="1"/>
  <c r="BP223" i="1"/>
  <c r="BN223" i="1"/>
  <c r="Y271" i="1"/>
  <c r="Y270" i="1"/>
  <c r="BP269" i="1"/>
  <c r="BN269" i="1"/>
  <c r="BP290" i="1"/>
  <c r="BN290" i="1"/>
  <c r="BP292" i="1"/>
  <c r="BN292" i="1"/>
  <c r="Y323" i="1"/>
  <c r="Y322" i="1"/>
  <c r="BP321" i="1"/>
  <c r="BN321" i="1"/>
  <c r="Y60" i="1"/>
  <c r="Y59" i="1"/>
  <c r="BP58" i="1"/>
  <c r="BN58" i="1"/>
  <c r="Y85" i="1"/>
  <c r="Y84" i="1"/>
  <c r="BP83" i="1"/>
  <c r="BN83" i="1"/>
  <c r="Y133" i="1"/>
  <c r="BP131" i="1"/>
  <c r="BN131" i="1"/>
  <c r="Y134" i="1"/>
  <c r="Y161" i="1"/>
  <c r="Y160" i="1"/>
  <c r="BP159" i="1"/>
  <c r="BN159" i="1"/>
  <c r="BP246" i="1"/>
  <c r="BN246" i="1"/>
  <c r="Y267" i="1"/>
  <c r="Y266" i="1"/>
  <c r="BP265" i="1"/>
  <c r="BN265" i="1"/>
  <c r="X325" i="1"/>
  <c r="X328" i="1"/>
  <c r="X324" i="1"/>
  <c r="Y79" i="1"/>
  <c r="Y80" i="1"/>
  <c r="Z127" i="1"/>
  <c r="Z174" i="1"/>
  <c r="Y179" i="1"/>
  <c r="Y180" i="1"/>
  <c r="Z187" i="1"/>
  <c r="Y200" i="1"/>
  <c r="Y207" i="1"/>
  <c r="Z207" i="1"/>
  <c r="Z217" i="1"/>
  <c r="Z225" i="1"/>
  <c r="Z293" i="1"/>
  <c r="Y23" i="1"/>
  <c r="BP22" i="1"/>
  <c r="BN22" i="1"/>
  <c r="X327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X326" i="1"/>
  <c r="Y24" i="1"/>
  <c r="Y38" i="1"/>
  <c r="BP35" i="1"/>
  <c r="BN35" i="1"/>
  <c r="BP36" i="1"/>
  <c r="BN36" i="1"/>
  <c r="BP37" i="1"/>
  <c r="BN37" i="1"/>
  <c r="Z50" i="1"/>
  <c r="Y56" i="1"/>
  <c r="Y63" i="1"/>
  <c r="BP62" i="1"/>
  <c r="BN62" i="1"/>
  <c r="Y68" i="1"/>
  <c r="BP78" i="1"/>
  <c r="BN78" i="1"/>
  <c r="Y91" i="1"/>
  <c r="BP95" i="1"/>
  <c r="BN95" i="1"/>
  <c r="BP96" i="1"/>
  <c r="BN96" i="1"/>
  <c r="BP99" i="1"/>
  <c r="BN99" i="1"/>
  <c r="Z107" i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Z155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Z329" i="1" l="1"/>
  <c r="Y324" i="1"/>
  <c r="Y325" i="1"/>
  <c r="Y328" i="1"/>
  <c r="Y326" i="1"/>
  <c r="B337" i="1" l="1"/>
  <c r="Y327" i="1"/>
  <c r="C337" i="1"/>
  <c r="A337" i="1"/>
</calcChain>
</file>

<file path=xl/sharedStrings.xml><?xml version="1.0" encoding="utf-8"?>
<sst xmlns="http://schemas.openxmlformats.org/spreadsheetml/2006/main" count="1593" uniqueCount="533">
  <si>
    <t xml:space="preserve">  БЛАНК ЗАКАЗА </t>
  </si>
  <si>
    <t>ЗПФ</t>
  </si>
  <si>
    <t>на отгрузку продукции с ООО Трейд-Сервис с</t>
  </si>
  <si>
    <t>24.04.2025</t>
  </si>
  <si>
    <t>бланк создан</t>
  </si>
  <si>
    <t>21.04.2025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</si>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</sst>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93" t="s">
        <v>0</v>
      </c>
      <c r="E1" s="365"/>
      <c r="F1" s="365"/>
      <c r="G1" s="12" t="s">
        <v>1</v>
      </c>
      <c r="H1" s="393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18" t="s">
        <v>8</v>
      </c>
      <c r="B5" s="356"/>
      <c r="C5" s="357"/>
      <c r="D5" s="397"/>
      <c r="E5" s="398"/>
      <c r="F5" s="524" t="s">
        <v>9</v>
      </c>
      <c r="G5" s="357"/>
      <c r="H5" s="397"/>
      <c r="I5" s="509"/>
      <c r="J5" s="509"/>
      <c r="K5" s="509"/>
      <c r="L5" s="509"/>
      <c r="M5" s="398"/>
      <c r="N5" s="61"/>
      <c r="P5" s="24" t="s">
        <v>10</v>
      </c>
      <c r="Q5" s="533">
        <v>45779</v>
      </c>
      <c r="R5" s="416"/>
      <c r="T5" s="456" t="s">
        <v>11</v>
      </c>
      <c r="U5" s="457"/>
      <c r="V5" s="458" t="s">
        <v>12</v>
      </c>
      <c r="W5" s="416"/>
      <c r="AB5" s="51"/>
      <c r="AC5" s="51"/>
      <c r="AD5" s="51"/>
      <c r="AE5" s="51"/>
    </row>
    <row r="6" spans="1:32" s="324" customFormat="1" ht="24" customHeight="1" x14ac:dyDescent="0.2">
      <c r="A6" s="418" t="s">
        <v>13</v>
      </c>
      <c r="B6" s="356"/>
      <c r="C6" s="357"/>
      <c r="D6" s="496" t="s">
        <v>14</v>
      </c>
      <c r="E6" s="497"/>
      <c r="F6" s="497"/>
      <c r="G6" s="497"/>
      <c r="H6" s="497"/>
      <c r="I6" s="497"/>
      <c r="J6" s="497"/>
      <c r="K6" s="497"/>
      <c r="L6" s="497"/>
      <c r="M6" s="416"/>
      <c r="N6" s="62"/>
      <c r="P6" s="24" t="s">
        <v>15</v>
      </c>
      <c r="Q6" s="537" t="str">
        <f>IF(Q5=0," ",CHOOSE(WEEKDAY(Q5,2),"Понедельник","Вторник","Среда","Четверг","Пятница","Суббота","Воскресенье"))</f>
        <v>Пятница</v>
      </c>
      <c r="R6" s="341"/>
      <c r="T6" s="460" t="s">
        <v>16</v>
      </c>
      <c r="U6" s="457"/>
      <c r="V6" s="477" t="s">
        <v>17</v>
      </c>
      <c r="W6" s="348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82" t="str">
        <f>IFERROR(VLOOKUP(DeliveryAddress,Table,3,0),1)</f>
        <v>1</v>
      </c>
      <c r="E7" s="383"/>
      <c r="F7" s="383"/>
      <c r="G7" s="383"/>
      <c r="H7" s="383"/>
      <c r="I7" s="383"/>
      <c r="J7" s="383"/>
      <c r="K7" s="383"/>
      <c r="L7" s="383"/>
      <c r="M7" s="353"/>
      <c r="N7" s="63"/>
      <c r="P7" s="24"/>
      <c r="Q7" s="42"/>
      <c r="R7" s="42"/>
      <c r="T7" s="339"/>
      <c r="U7" s="457"/>
      <c r="V7" s="478"/>
      <c r="W7" s="479"/>
      <c r="AB7" s="51"/>
      <c r="AC7" s="51"/>
      <c r="AD7" s="51"/>
      <c r="AE7" s="51"/>
    </row>
    <row r="8" spans="1:32" s="324" customFormat="1" ht="25.5" customHeight="1" x14ac:dyDescent="0.2">
      <c r="A8" s="540" t="s">
        <v>18</v>
      </c>
      <c r="B8" s="345"/>
      <c r="C8" s="346"/>
      <c r="D8" s="388" t="s">
        <v>19</v>
      </c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20</v>
      </c>
      <c r="Q8" s="352">
        <v>0.375</v>
      </c>
      <c r="R8" s="353"/>
      <c r="T8" s="339"/>
      <c r="U8" s="457"/>
      <c r="V8" s="478"/>
      <c r="W8" s="479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21</v>
      </c>
      <c r="Q9" s="413"/>
      <c r="R9" s="414"/>
      <c r="T9" s="339"/>
      <c r="U9" s="457"/>
      <c r="V9" s="480"/>
      <c r="W9" s="481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9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22</v>
      </c>
      <c r="Q10" s="461"/>
      <c r="R10" s="462"/>
      <c r="U10" s="24" t="s">
        <v>23</v>
      </c>
      <c r="V10" s="347" t="s">
        <v>24</v>
      </c>
      <c r="W10" s="348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5"/>
      <c r="R11" s="416"/>
      <c r="U11" s="24" t="s">
        <v>27</v>
      </c>
      <c r="V11" s="517" t="s">
        <v>28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50" t="s">
        <v>29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7"/>
      <c r="N12" s="65"/>
      <c r="P12" s="24" t="s">
        <v>30</v>
      </c>
      <c r="Q12" s="352"/>
      <c r="R12" s="353"/>
      <c r="S12" s="23"/>
      <c r="U12" s="24"/>
      <c r="V12" s="365"/>
      <c r="W12" s="339"/>
      <c r="AB12" s="51"/>
      <c r="AC12" s="51"/>
      <c r="AD12" s="51"/>
      <c r="AE12" s="51"/>
    </row>
    <row r="13" spans="1:32" s="324" customFormat="1" ht="23.25" customHeight="1" x14ac:dyDescent="0.2">
      <c r="A13" s="450" t="s">
        <v>31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7"/>
      <c r="N13" s="65"/>
      <c r="O13" s="26"/>
      <c r="P13" s="26" t="s">
        <v>32</v>
      </c>
      <c r="Q13" s="517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50" t="s">
        <v>33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95" t="s">
        <v>34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7"/>
      <c r="N15" s="66"/>
      <c r="P15" s="438" t="s">
        <v>35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9"/>
      <c r="Q16" s="439"/>
      <c r="R16" s="439"/>
      <c r="S16" s="439"/>
      <c r="T16" s="4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6" t="s">
        <v>36</v>
      </c>
      <c r="B17" s="376" t="s">
        <v>37</v>
      </c>
      <c r="C17" s="426" t="s">
        <v>38</v>
      </c>
      <c r="D17" s="376" t="s">
        <v>39</v>
      </c>
      <c r="E17" s="407"/>
      <c r="F17" s="376" t="s">
        <v>40</v>
      </c>
      <c r="G17" s="376" t="s">
        <v>41</v>
      </c>
      <c r="H17" s="376" t="s">
        <v>42</v>
      </c>
      <c r="I17" s="376" t="s">
        <v>43</v>
      </c>
      <c r="J17" s="376" t="s">
        <v>44</v>
      </c>
      <c r="K17" s="376" t="s">
        <v>45</v>
      </c>
      <c r="L17" s="376" t="s">
        <v>46</v>
      </c>
      <c r="M17" s="376" t="s">
        <v>47</v>
      </c>
      <c r="N17" s="376" t="s">
        <v>48</v>
      </c>
      <c r="O17" s="376" t="s">
        <v>49</v>
      </c>
      <c r="P17" s="376" t="s">
        <v>50</v>
      </c>
      <c r="Q17" s="406"/>
      <c r="R17" s="406"/>
      <c r="S17" s="406"/>
      <c r="T17" s="407"/>
      <c r="U17" s="543" t="s">
        <v>51</v>
      </c>
      <c r="V17" s="357"/>
      <c r="W17" s="376" t="s">
        <v>52</v>
      </c>
      <c r="X17" s="376" t="s">
        <v>53</v>
      </c>
      <c r="Y17" s="541" t="s">
        <v>54</v>
      </c>
      <c r="Z17" s="504" t="s">
        <v>55</v>
      </c>
      <c r="AA17" s="490" t="s">
        <v>56</v>
      </c>
      <c r="AB17" s="490" t="s">
        <v>57</v>
      </c>
      <c r="AC17" s="490" t="s">
        <v>58</v>
      </c>
      <c r="AD17" s="490" t="s">
        <v>59</v>
      </c>
      <c r="AE17" s="527"/>
      <c r="AF17" s="528"/>
      <c r="AG17" s="69"/>
      <c r="BD17" s="68" t="s">
        <v>60</v>
      </c>
    </row>
    <row r="18" spans="1:68" ht="14.25" customHeight="1" x14ac:dyDescent="0.2">
      <c r="A18" s="377"/>
      <c r="B18" s="377"/>
      <c r="C18" s="377"/>
      <c r="D18" s="408"/>
      <c r="E18" s="410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408"/>
      <c r="Q18" s="409"/>
      <c r="R18" s="409"/>
      <c r="S18" s="409"/>
      <c r="T18" s="410"/>
      <c r="U18" s="70" t="s">
        <v>61</v>
      </c>
      <c r="V18" s="70" t="s">
        <v>62</v>
      </c>
      <c r="W18" s="377"/>
      <c r="X18" s="377"/>
      <c r="Y18" s="542"/>
      <c r="Z18" s="505"/>
      <c r="AA18" s="491"/>
      <c r="AB18" s="491"/>
      <c r="AC18" s="491"/>
      <c r="AD18" s="529"/>
      <c r="AE18" s="530"/>
      <c r="AF18" s="531"/>
      <c r="AG18" s="69"/>
      <c r="BD18" s="68"/>
    </row>
    <row r="19" spans="1:68" ht="27.75" hidden="1" customHeight="1" x14ac:dyDescent="0.2">
      <c r="A19" s="435" t="s">
        <v>63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hidden="1" customHeight="1" x14ac:dyDescent="0.25">
      <c r="A20" s="349" t="s">
        <v>63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hidden="1" customHeight="1" x14ac:dyDescent="0.25">
      <c r="A21" s="338" t="s">
        <v>64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8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70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73</v>
      </c>
      <c r="Q23" s="345"/>
      <c r="R23" s="345"/>
      <c r="S23" s="345"/>
      <c r="T23" s="345"/>
      <c r="U23" s="345"/>
      <c r="V23" s="346"/>
      <c r="W23" s="37" t="s">
        <v>70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73</v>
      </c>
      <c r="Q24" s="345"/>
      <c r="R24" s="345"/>
      <c r="S24" s="345"/>
      <c r="T24" s="345"/>
      <c r="U24" s="345"/>
      <c r="V24" s="346"/>
      <c r="W24" s="37" t="s">
        <v>74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35" t="s">
        <v>75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hidden="1" customHeight="1" x14ac:dyDescent="0.25">
      <c r="A26" s="349" t="s">
        <v>76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hidden="1" customHeight="1" x14ac:dyDescent="0.25">
      <c r="A27" s="338" t="s">
        <v>77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hidden="1" customHeight="1" x14ac:dyDescent="0.25">
      <c r="A28" s="54" t="s">
        <v>78</v>
      </c>
      <c r="B28" s="54" t="s">
        <v>79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66" t="s">
        <v>81</v>
      </c>
      <c r="Q28" s="335"/>
      <c r="R28" s="335"/>
      <c r="S28" s="335"/>
      <c r="T28" s="336"/>
      <c r="U28" s="34"/>
      <c r="V28" s="34"/>
      <c r="W28" s="35" t="s">
        <v>70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5" t="s">
        <v>86</v>
      </c>
      <c r="Q29" s="335"/>
      <c r="R29" s="335"/>
      <c r="S29" s="335"/>
      <c r="T29" s="336"/>
      <c r="U29" s="34"/>
      <c r="V29" s="34"/>
      <c r="W29" s="35" t="s">
        <v>70</v>
      </c>
      <c r="X29" s="330">
        <v>154</v>
      </c>
      <c r="Y29" s="331">
        <f>IFERROR(IF(X29="","",X29),"")</f>
        <v>154</v>
      </c>
      <c r="Z29" s="36">
        <f>IFERROR(IF(X29="","",X29*0.00941),"")</f>
        <v>1.4491400000000001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295.9572</v>
      </c>
      <c r="BN29" s="67">
        <f>IFERROR(Y29*I29,"0")</f>
        <v>295.9572</v>
      </c>
      <c r="BO29" s="67">
        <f>IFERROR(X29/J29,"0")</f>
        <v>1.1000000000000001</v>
      </c>
      <c r="BP29" s="67">
        <f>IFERROR(Y29/J29,"0")</f>
        <v>1.1000000000000001</v>
      </c>
    </row>
    <row r="30" spans="1:68" ht="27" hidden="1" customHeight="1" x14ac:dyDescent="0.25">
      <c r="A30" s="54" t="s">
        <v>87</v>
      </c>
      <c r="B30" s="54" t="s">
        <v>88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72" t="s">
        <v>89</v>
      </c>
      <c r="Q30" s="335"/>
      <c r="R30" s="335"/>
      <c r="S30" s="335"/>
      <c r="T30" s="336"/>
      <c r="U30" s="34"/>
      <c r="V30" s="34"/>
      <c r="W30" s="35" t="s">
        <v>70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73</v>
      </c>
      <c r="Q31" s="345"/>
      <c r="R31" s="345"/>
      <c r="S31" s="345"/>
      <c r="T31" s="345"/>
      <c r="U31" s="345"/>
      <c r="V31" s="346"/>
      <c r="W31" s="37" t="s">
        <v>70</v>
      </c>
      <c r="X31" s="332">
        <f>IFERROR(SUM(X28:X30),"0")</f>
        <v>154</v>
      </c>
      <c r="Y31" s="332">
        <f>IFERROR(SUM(Y28:Y30),"0")</f>
        <v>154</v>
      </c>
      <c r="Z31" s="332">
        <f>IFERROR(IF(Z28="",0,Z28),"0")+IFERROR(IF(Z29="",0,Z29),"0")+IFERROR(IF(Z30="",0,Z30),"0")</f>
        <v>1.4491400000000001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73</v>
      </c>
      <c r="Q32" s="345"/>
      <c r="R32" s="345"/>
      <c r="S32" s="345"/>
      <c r="T32" s="345"/>
      <c r="U32" s="345"/>
      <c r="V32" s="346"/>
      <c r="W32" s="37" t="s">
        <v>74</v>
      </c>
      <c r="X32" s="332">
        <f>IFERROR(SUMPRODUCT(X28:X30*H28:H30),"0")</f>
        <v>231</v>
      </c>
      <c r="Y32" s="332">
        <f>IFERROR(SUMPRODUCT(Y28:Y30*H28:H30),"0")</f>
        <v>231</v>
      </c>
      <c r="Z32" s="37"/>
      <c r="AA32" s="333"/>
      <c r="AB32" s="333"/>
      <c r="AC32" s="333"/>
    </row>
    <row r="33" spans="1:68" ht="16.5" hidden="1" customHeight="1" x14ac:dyDescent="0.25">
      <c r="A33" s="349" t="s">
        <v>90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hidden="1" customHeight="1" x14ac:dyDescent="0.25">
      <c r="A34" s="338" t="s">
        <v>64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hidden="1" customHeight="1" x14ac:dyDescent="0.25">
      <c r="A35" s="54" t="s">
        <v>91</v>
      </c>
      <c r="B35" s="54" t="s">
        <v>92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501" t="s">
        <v>93</v>
      </c>
      <c r="Q35" s="335"/>
      <c r="R35" s="335"/>
      <c r="S35" s="335"/>
      <c r="T35" s="336"/>
      <c r="U35" s="34"/>
      <c r="V35" s="34"/>
      <c r="W35" s="35" t="s">
        <v>70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95</v>
      </c>
      <c r="B36" s="54" t="s">
        <v>96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85" t="s">
        <v>97</v>
      </c>
      <c r="Q36" s="335"/>
      <c r="R36" s="335"/>
      <c r="S36" s="335"/>
      <c r="T36" s="336"/>
      <c r="U36" s="34"/>
      <c r="V36" s="34"/>
      <c r="W36" s="35" t="s">
        <v>70</v>
      </c>
      <c r="X36" s="330">
        <v>72</v>
      </c>
      <c r="Y36" s="331">
        <f>IFERROR(IF(X36="","",X36),"")</f>
        <v>72</v>
      </c>
      <c r="Z36" s="36">
        <f>IFERROR(IF(X36="","",X36*0.0155),"")</f>
        <v>1.1160000000000001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422.64</v>
      </c>
      <c r="BN36" s="67">
        <f>IFERROR(Y36*I36,"0")</f>
        <v>422.64</v>
      </c>
      <c r="BO36" s="67">
        <f>IFERROR(X36/J36,"0")</f>
        <v>0.8571428571428571</v>
      </c>
      <c r="BP36" s="67">
        <f>IFERROR(Y36/J36,"0")</f>
        <v>0.8571428571428571</v>
      </c>
    </row>
    <row r="37" spans="1:68" ht="27" hidden="1" customHeight="1" x14ac:dyDescent="0.25">
      <c r="A37" s="54" t="s">
        <v>99</v>
      </c>
      <c r="B37" s="54" t="s">
        <v>100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71" t="s">
        <v>101</v>
      </c>
      <c r="Q37" s="335"/>
      <c r="R37" s="335"/>
      <c r="S37" s="335"/>
      <c r="T37" s="336"/>
      <c r="U37" s="34"/>
      <c r="V37" s="34"/>
      <c r="W37" s="35" t="s">
        <v>70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102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73</v>
      </c>
      <c r="Q38" s="345"/>
      <c r="R38" s="345"/>
      <c r="S38" s="345"/>
      <c r="T38" s="345"/>
      <c r="U38" s="345"/>
      <c r="V38" s="346"/>
      <c r="W38" s="37" t="s">
        <v>70</v>
      </c>
      <c r="X38" s="332">
        <f>IFERROR(SUM(X35:X37),"0")</f>
        <v>72</v>
      </c>
      <c r="Y38" s="332">
        <f>IFERROR(SUM(Y35:Y37),"0")</f>
        <v>72</v>
      </c>
      <c r="Z38" s="332">
        <f>IFERROR(IF(Z35="",0,Z35),"0")+IFERROR(IF(Z36="",0,Z36),"0")+IFERROR(IF(Z37="",0,Z37),"0")</f>
        <v>1.1160000000000001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73</v>
      </c>
      <c r="Q39" s="345"/>
      <c r="R39" s="345"/>
      <c r="S39" s="345"/>
      <c r="T39" s="345"/>
      <c r="U39" s="345"/>
      <c r="V39" s="346"/>
      <c r="W39" s="37" t="s">
        <v>74</v>
      </c>
      <c r="X39" s="332">
        <f>IFERROR(SUMPRODUCT(X35:X37*H35:H37),"0")</f>
        <v>403.2</v>
      </c>
      <c r="Y39" s="332">
        <f>IFERROR(SUMPRODUCT(Y35:Y37*H35:H37),"0")</f>
        <v>403.2</v>
      </c>
      <c r="Z39" s="37"/>
      <c r="AA39" s="333"/>
      <c r="AB39" s="333"/>
      <c r="AC39" s="333"/>
    </row>
    <row r="40" spans="1:68" ht="16.5" hidden="1" customHeight="1" x14ac:dyDescent="0.25">
      <c r="A40" s="349" t="s">
        <v>103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hidden="1" customHeight="1" x14ac:dyDescent="0.25">
      <c r="A41" s="338" t="s">
        <v>64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hidden="1" customHeight="1" x14ac:dyDescent="0.25">
      <c r="A42" s="54" t="s">
        <v>104</v>
      </c>
      <c r="B42" s="54" t="s">
        <v>105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67</v>
      </c>
      <c r="L42" s="32" t="s">
        <v>106</v>
      </c>
      <c r="M42" s="33" t="s">
        <v>69</v>
      </c>
      <c r="N42" s="33"/>
      <c r="O42" s="32">
        <v>180</v>
      </c>
      <c r="P42" s="39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70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107</v>
      </c>
      <c r="AG42" s="67"/>
      <c r="AJ42" s="71" t="s">
        <v>108</v>
      </c>
      <c r="AK42" s="71">
        <v>12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hidden="1" customHeight="1" x14ac:dyDescent="0.25">
      <c r="A43" s="54" t="s">
        <v>109</v>
      </c>
      <c r="B43" s="54" t="s">
        <v>110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67</v>
      </c>
      <c r="L43" s="32" t="s">
        <v>111</v>
      </c>
      <c r="M43" s="33" t="s">
        <v>69</v>
      </c>
      <c r="N43" s="33"/>
      <c r="O43" s="32">
        <v>180</v>
      </c>
      <c r="P43" s="44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70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107</v>
      </c>
      <c r="AG43" s="67"/>
      <c r="AJ43" s="71" t="s">
        <v>112</v>
      </c>
      <c r="AK43" s="71">
        <v>84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113</v>
      </c>
      <c r="B44" s="54" t="s">
        <v>114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67</v>
      </c>
      <c r="L44" s="32" t="s">
        <v>111</v>
      </c>
      <c r="M44" s="33" t="s">
        <v>69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70</v>
      </c>
      <c r="X44" s="330">
        <v>72</v>
      </c>
      <c r="Y44" s="331">
        <f t="shared" si="0"/>
        <v>72</v>
      </c>
      <c r="Z44" s="36">
        <f t="shared" si="1"/>
        <v>1.1160000000000001</v>
      </c>
      <c r="AA44" s="56"/>
      <c r="AB44" s="57"/>
      <c r="AC44" s="90" t="s">
        <v>107</v>
      </c>
      <c r="AG44" s="67"/>
      <c r="AJ44" s="71" t="s">
        <v>112</v>
      </c>
      <c r="AK44" s="71">
        <v>84</v>
      </c>
      <c r="BB44" s="91" t="s">
        <v>1</v>
      </c>
      <c r="BM44" s="67">
        <f t="shared" si="2"/>
        <v>525.6</v>
      </c>
      <c r="BN44" s="67">
        <f t="shared" si="3"/>
        <v>525.6</v>
      </c>
      <c r="BO44" s="67">
        <f t="shared" si="4"/>
        <v>0.8571428571428571</v>
      </c>
      <c r="BP44" s="67">
        <f t="shared" si="5"/>
        <v>0.8571428571428571</v>
      </c>
    </row>
    <row r="45" spans="1:68" ht="27" hidden="1" customHeight="1" x14ac:dyDescent="0.25">
      <c r="A45" s="54" t="s">
        <v>115</v>
      </c>
      <c r="B45" s="54" t="s">
        <v>116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67</v>
      </c>
      <c r="L45" s="32" t="s">
        <v>106</v>
      </c>
      <c r="M45" s="33" t="s">
        <v>69</v>
      </c>
      <c r="N45" s="33"/>
      <c r="O45" s="32">
        <v>180</v>
      </c>
      <c r="P45" s="49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70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117</v>
      </c>
      <c r="AG45" s="67"/>
      <c r="AJ45" s="71" t="s">
        <v>108</v>
      </c>
      <c r="AK45" s="71">
        <v>12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118</v>
      </c>
      <c r="B46" s="54" t="s">
        <v>119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67</v>
      </c>
      <c r="L46" s="32" t="s">
        <v>106</v>
      </c>
      <c r="M46" s="33" t="s">
        <v>69</v>
      </c>
      <c r="N46" s="33"/>
      <c r="O46" s="32">
        <v>180</v>
      </c>
      <c r="P46" s="5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70</v>
      </c>
      <c r="X46" s="330">
        <v>120</v>
      </c>
      <c r="Y46" s="331">
        <f t="shared" si="0"/>
        <v>120</v>
      </c>
      <c r="Z46" s="36">
        <f t="shared" si="1"/>
        <v>1.8599999999999999</v>
      </c>
      <c r="AA46" s="56"/>
      <c r="AB46" s="57"/>
      <c r="AC46" s="94" t="s">
        <v>117</v>
      </c>
      <c r="AG46" s="67"/>
      <c r="AJ46" s="71" t="s">
        <v>108</v>
      </c>
      <c r="AK46" s="71">
        <v>12</v>
      </c>
      <c r="BB46" s="95" t="s">
        <v>1</v>
      </c>
      <c r="BM46" s="67">
        <f t="shared" si="2"/>
        <v>874.31999999999994</v>
      </c>
      <c r="BN46" s="67">
        <f t="shared" si="3"/>
        <v>874.31999999999994</v>
      </c>
      <c r="BO46" s="67">
        <f t="shared" si="4"/>
        <v>1.4285714285714286</v>
      </c>
      <c r="BP46" s="67">
        <f t="shared" si="5"/>
        <v>1.4285714285714286</v>
      </c>
    </row>
    <row r="47" spans="1:68" ht="27" hidden="1" customHeight="1" x14ac:dyDescent="0.25">
      <c r="A47" s="54" t="s">
        <v>120</v>
      </c>
      <c r="B47" s="54" t="s">
        <v>121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67</v>
      </c>
      <c r="L47" s="32" t="s">
        <v>106</v>
      </c>
      <c r="M47" s="33" t="s">
        <v>69</v>
      </c>
      <c r="N47" s="33"/>
      <c r="O47" s="32">
        <v>180</v>
      </c>
      <c r="P47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70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117</v>
      </c>
      <c r="AG47" s="67"/>
      <c r="AJ47" s="71" t="s">
        <v>108</v>
      </c>
      <c r="AK47" s="71">
        <v>12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hidden="1" customHeight="1" x14ac:dyDescent="0.25">
      <c r="A48" s="54" t="s">
        <v>122</v>
      </c>
      <c r="B48" s="54" t="s">
        <v>123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67</v>
      </c>
      <c r="L48" s="32" t="s">
        <v>106</v>
      </c>
      <c r="M48" s="33" t="s">
        <v>69</v>
      </c>
      <c r="N48" s="33"/>
      <c r="O48" s="32">
        <v>180</v>
      </c>
      <c r="P48" s="48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70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117</v>
      </c>
      <c r="AG48" s="67"/>
      <c r="AJ48" s="71" t="s">
        <v>108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67</v>
      </c>
      <c r="L49" s="32" t="s">
        <v>106</v>
      </c>
      <c r="M49" s="33" t="s">
        <v>69</v>
      </c>
      <c r="N49" s="33"/>
      <c r="O49" s="32">
        <v>180</v>
      </c>
      <c r="P49" s="4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70</v>
      </c>
      <c r="X49" s="330">
        <v>180</v>
      </c>
      <c r="Y49" s="331">
        <f t="shared" si="0"/>
        <v>180</v>
      </c>
      <c r="Z49" s="36">
        <f t="shared" si="1"/>
        <v>2.79</v>
      </c>
      <c r="AA49" s="56"/>
      <c r="AB49" s="57"/>
      <c r="AC49" s="100" t="s">
        <v>117</v>
      </c>
      <c r="AG49" s="67"/>
      <c r="AJ49" s="71" t="s">
        <v>108</v>
      </c>
      <c r="AK49" s="71">
        <v>12</v>
      </c>
      <c r="BB49" s="101" t="s">
        <v>1</v>
      </c>
      <c r="BM49" s="67">
        <f t="shared" si="2"/>
        <v>1314</v>
      </c>
      <c r="BN49" s="67">
        <f t="shared" si="3"/>
        <v>1314</v>
      </c>
      <c r="BO49" s="67">
        <f t="shared" si="4"/>
        <v>2.1428571428571428</v>
      </c>
      <c r="BP49" s="67">
        <f t="shared" si="5"/>
        <v>2.1428571428571428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73</v>
      </c>
      <c r="Q50" s="345"/>
      <c r="R50" s="345"/>
      <c r="S50" s="345"/>
      <c r="T50" s="345"/>
      <c r="U50" s="345"/>
      <c r="V50" s="346"/>
      <c r="W50" s="37" t="s">
        <v>70</v>
      </c>
      <c r="X50" s="332">
        <f>IFERROR(SUM(X42:X49),"0")</f>
        <v>372</v>
      </c>
      <c r="Y50" s="332">
        <f>IFERROR(SUM(Y42:Y49),"0")</f>
        <v>372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5.766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73</v>
      </c>
      <c r="Q51" s="345"/>
      <c r="R51" s="345"/>
      <c r="S51" s="345"/>
      <c r="T51" s="345"/>
      <c r="U51" s="345"/>
      <c r="V51" s="346"/>
      <c r="W51" s="37" t="s">
        <v>74</v>
      </c>
      <c r="X51" s="332">
        <f>IFERROR(SUMPRODUCT(X42:X49*H42:H49),"0")</f>
        <v>2604</v>
      </c>
      <c r="Y51" s="332">
        <f>IFERROR(SUMPRODUCT(Y42:Y49*H42:H49),"0")</f>
        <v>2604</v>
      </c>
      <c r="Z51" s="37"/>
      <c r="AA51" s="333"/>
      <c r="AB51" s="333"/>
      <c r="AC51" s="333"/>
    </row>
    <row r="52" spans="1:68" ht="16.5" hidden="1" customHeight="1" x14ac:dyDescent="0.25">
      <c r="A52" s="349" t="s">
        <v>126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hidden="1" customHeight="1" x14ac:dyDescent="0.25">
      <c r="A53" s="338" t="s">
        <v>64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hidden="1" customHeight="1" x14ac:dyDescent="0.25">
      <c r="A54" s="54" t="s">
        <v>127</v>
      </c>
      <c r="B54" s="54" t="s">
        <v>128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67</v>
      </c>
      <c r="L54" s="32" t="s">
        <v>68</v>
      </c>
      <c r="M54" s="33" t="s">
        <v>69</v>
      </c>
      <c r="N54" s="33"/>
      <c r="O54" s="32">
        <v>365</v>
      </c>
      <c r="P54" s="523" t="s">
        <v>129</v>
      </c>
      <c r="Q54" s="335"/>
      <c r="R54" s="335"/>
      <c r="S54" s="335"/>
      <c r="T54" s="336"/>
      <c r="U54" s="34"/>
      <c r="V54" s="34"/>
      <c r="W54" s="35" t="s">
        <v>70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130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73</v>
      </c>
      <c r="Q55" s="345"/>
      <c r="R55" s="345"/>
      <c r="S55" s="345"/>
      <c r="T55" s="345"/>
      <c r="U55" s="345"/>
      <c r="V55" s="346"/>
      <c r="W55" s="37" t="s">
        <v>70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73</v>
      </c>
      <c r="Q56" s="345"/>
      <c r="R56" s="345"/>
      <c r="S56" s="345"/>
      <c r="T56" s="345"/>
      <c r="U56" s="345"/>
      <c r="V56" s="346"/>
      <c r="W56" s="37" t="s">
        <v>74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38" t="s">
        <v>131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hidden="1" customHeight="1" x14ac:dyDescent="0.25">
      <c r="A58" s="54" t="s">
        <v>132</v>
      </c>
      <c r="B58" s="54" t="s">
        <v>133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549" t="s">
        <v>134</v>
      </c>
      <c r="Q58" s="335"/>
      <c r="R58" s="335"/>
      <c r="S58" s="335"/>
      <c r="T58" s="336"/>
      <c r="U58" s="34"/>
      <c r="V58" s="34"/>
      <c r="W58" s="35" t="s">
        <v>70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135</v>
      </c>
      <c r="AG58" s="67"/>
      <c r="AJ58" s="71" t="s">
        <v>72</v>
      </c>
      <c r="AK58" s="71">
        <v>1</v>
      </c>
      <c r="BB58" s="105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73</v>
      </c>
      <c r="Q59" s="345"/>
      <c r="R59" s="345"/>
      <c r="S59" s="345"/>
      <c r="T59" s="345"/>
      <c r="U59" s="345"/>
      <c r="V59" s="346"/>
      <c r="W59" s="37" t="s">
        <v>70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73</v>
      </c>
      <c r="Q60" s="345"/>
      <c r="R60" s="345"/>
      <c r="S60" s="345"/>
      <c r="T60" s="345"/>
      <c r="U60" s="345"/>
      <c r="V60" s="346"/>
      <c r="W60" s="37" t="s">
        <v>74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38" t="s">
        <v>77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hidden="1" customHeight="1" x14ac:dyDescent="0.25">
      <c r="A62" s="54" t="s">
        <v>136</v>
      </c>
      <c r="B62" s="54" t="s">
        <v>137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50" t="s">
        <v>138</v>
      </c>
      <c r="Q62" s="335"/>
      <c r="R62" s="335"/>
      <c r="S62" s="335"/>
      <c r="T62" s="336"/>
      <c r="U62" s="34"/>
      <c r="V62" s="34"/>
      <c r="W62" s="35" t="s">
        <v>70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139</v>
      </c>
      <c r="AG62" s="67"/>
      <c r="AJ62" s="71" t="s">
        <v>72</v>
      </c>
      <c r="AK62" s="71">
        <v>1</v>
      </c>
      <c r="BB62" s="107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73</v>
      </c>
      <c r="Q63" s="345"/>
      <c r="R63" s="345"/>
      <c r="S63" s="345"/>
      <c r="T63" s="345"/>
      <c r="U63" s="345"/>
      <c r="V63" s="346"/>
      <c r="W63" s="37" t="s">
        <v>70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73</v>
      </c>
      <c r="Q64" s="345"/>
      <c r="R64" s="345"/>
      <c r="S64" s="345"/>
      <c r="T64" s="345"/>
      <c r="U64" s="345"/>
      <c r="V64" s="346"/>
      <c r="W64" s="37" t="s">
        <v>74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38" t="s">
        <v>140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hidden="1" customHeight="1" x14ac:dyDescent="0.25">
      <c r="A66" s="54" t="s">
        <v>141</v>
      </c>
      <c r="B66" s="54" t="s">
        <v>142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80</v>
      </c>
      <c r="L66" s="32" t="s">
        <v>68</v>
      </c>
      <c r="M66" s="33" t="s">
        <v>69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70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143</v>
      </c>
      <c r="AG66" s="67"/>
      <c r="AJ66" s="71" t="s">
        <v>72</v>
      </c>
      <c r="AK66" s="71">
        <v>1</v>
      </c>
      <c r="BB66" s="109" t="s">
        <v>83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73</v>
      </c>
      <c r="Q67" s="345"/>
      <c r="R67" s="345"/>
      <c r="S67" s="345"/>
      <c r="T67" s="345"/>
      <c r="U67" s="345"/>
      <c r="V67" s="346"/>
      <c r="W67" s="37" t="s">
        <v>70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73</v>
      </c>
      <c r="Q68" s="345"/>
      <c r="R68" s="345"/>
      <c r="S68" s="345"/>
      <c r="T68" s="345"/>
      <c r="U68" s="345"/>
      <c r="V68" s="346"/>
      <c r="W68" s="37" t="s">
        <v>74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38" t="s">
        <v>144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hidden="1" customHeight="1" x14ac:dyDescent="0.25">
      <c r="A70" s="54" t="s">
        <v>145</v>
      </c>
      <c r="B70" s="54" t="s">
        <v>146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80</v>
      </c>
      <c r="L70" s="32" t="s">
        <v>68</v>
      </c>
      <c r="M70" s="33" t="s">
        <v>69</v>
      </c>
      <c r="N70" s="33"/>
      <c r="O70" s="32">
        <v>365</v>
      </c>
      <c r="P70" s="536" t="s">
        <v>147</v>
      </c>
      <c r="Q70" s="335"/>
      <c r="R70" s="335"/>
      <c r="S70" s="335"/>
      <c r="T70" s="336"/>
      <c r="U70" s="34"/>
      <c r="V70" s="34"/>
      <c r="W70" s="35" t="s">
        <v>70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143</v>
      </c>
      <c r="AG70" s="67"/>
      <c r="AJ70" s="71" t="s">
        <v>72</v>
      </c>
      <c r="AK70" s="71">
        <v>1</v>
      </c>
      <c r="BB70" s="111" t="s">
        <v>83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148</v>
      </c>
      <c r="B71" s="54" t="s">
        <v>149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46" t="s">
        <v>150</v>
      </c>
      <c r="Q71" s="335"/>
      <c r="R71" s="335"/>
      <c r="S71" s="335"/>
      <c r="T71" s="336"/>
      <c r="U71" s="34"/>
      <c r="V71" s="34"/>
      <c r="W71" s="35" t="s">
        <v>70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151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152</v>
      </c>
      <c r="B72" s="54" t="s">
        <v>153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25" t="s">
        <v>154</v>
      </c>
      <c r="Q72" s="335"/>
      <c r="R72" s="335"/>
      <c r="S72" s="335"/>
      <c r="T72" s="336"/>
      <c r="U72" s="34"/>
      <c r="V72" s="34"/>
      <c r="W72" s="35" t="s">
        <v>70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151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73</v>
      </c>
      <c r="Q73" s="345"/>
      <c r="R73" s="345"/>
      <c r="S73" s="345"/>
      <c r="T73" s="345"/>
      <c r="U73" s="345"/>
      <c r="V73" s="346"/>
      <c r="W73" s="37" t="s">
        <v>70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73</v>
      </c>
      <c r="Q74" s="345"/>
      <c r="R74" s="345"/>
      <c r="S74" s="345"/>
      <c r="T74" s="345"/>
      <c r="U74" s="345"/>
      <c r="V74" s="346"/>
      <c r="W74" s="37" t="s">
        <v>74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9" t="s">
        <v>155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hidden="1" customHeight="1" x14ac:dyDescent="0.25">
      <c r="A76" s="338" t="s">
        <v>64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hidden="1" customHeight="1" x14ac:dyDescent="0.25">
      <c r="A77" s="54" t="s">
        <v>156</v>
      </c>
      <c r="B77" s="54" t="s">
        <v>157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158</v>
      </c>
      <c r="L77" s="32" t="s">
        <v>106</v>
      </c>
      <c r="M77" s="33" t="s">
        <v>69</v>
      </c>
      <c r="N77" s="33"/>
      <c r="O77" s="32">
        <v>180</v>
      </c>
      <c r="P77" s="46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70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159</v>
      </c>
      <c r="AG77" s="67"/>
      <c r="AJ77" s="71" t="s">
        <v>108</v>
      </c>
      <c r="AK77" s="71">
        <v>18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hidden="1" customHeight="1" x14ac:dyDescent="0.25">
      <c r="A78" s="54" t="s">
        <v>160</v>
      </c>
      <c r="B78" s="54" t="s">
        <v>161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67</v>
      </c>
      <c r="L78" s="32" t="s">
        <v>111</v>
      </c>
      <c r="M78" s="33" t="s">
        <v>69</v>
      </c>
      <c r="N78" s="33"/>
      <c r="O78" s="32">
        <v>180</v>
      </c>
      <c r="P78" s="4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70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159</v>
      </c>
      <c r="AG78" s="67"/>
      <c r="AJ78" s="71" t="s">
        <v>112</v>
      </c>
      <c r="AK78" s="71">
        <v>144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idden="1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73</v>
      </c>
      <c r="Q79" s="345"/>
      <c r="R79" s="345"/>
      <c r="S79" s="345"/>
      <c r="T79" s="345"/>
      <c r="U79" s="345"/>
      <c r="V79" s="346"/>
      <c r="W79" s="37" t="s">
        <v>70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hidden="1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73</v>
      </c>
      <c r="Q80" s="345"/>
      <c r="R80" s="345"/>
      <c r="S80" s="345"/>
      <c r="T80" s="345"/>
      <c r="U80" s="345"/>
      <c r="V80" s="346"/>
      <c r="W80" s="37" t="s">
        <v>74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hidden="1" customHeight="1" x14ac:dyDescent="0.25">
      <c r="A81" s="349" t="s">
        <v>162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hidden="1" customHeight="1" x14ac:dyDescent="0.25">
      <c r="A82" s="338" t="s">
        <v>144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hidden="1" customHeight="1" x14ac:dyDescent="0.25">
      <c r="A83" s="54" t="s">
        <v>163</v>
      </c>
      <c r="B83" s="54" t="s">
        <v>164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80</v>
      </c>
      <c r="L83" s="32" t="s">
        <v>68</v>
      </c>
      <c r="M83" s="33" t="s">
        <v>69</v>
      </c>
      <c r="N83" s="33"/>
      <c r="O83" s="32">
        <v>180</v>
      </c>
      <c r="P83" s="539" t="s">
        <v>165</v>
      </c>
      <c r="Q83" s="335"/>
      <c r="R83" s="335"/>
      <c r="S83" s="335"/>
      <c r="T83" s="336"/>
      <c r="U83" s="34"/>
      <c r="V83" s="34"/>
      <c r="W83" s="35" t="s">
        <v>70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166</v>
      </c>
      <c r="AG83" s="67"/>
      <c r="AJ83" s="71" t="s">
        <v>72</v>
      </c>
      <c r="AK83" s="71">
        <v>1</v>
      </c>
      <c r="BB83" s="121" t="s">
        <v>83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73</v>
      </c>
      <c r="Q84" s="345"/>
      <c r="R84" s="345"/>
      <c r="S84" s="345"/>
      <c r="T84" s="345"/>
      <c r="U84" s="345"/>
      <c r="V84" s="346"/>
      <c r="W84" s="37" t="s">
        <v>70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hidden="1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73</v>
      </c>
      <c r="Q85" s="345"/>
      <c r="R85" s="345"/>
      <c r="S85" s="345"/>
      <c r="T85" s="345"/>
      <c r="U85" s="345"/>
      <c r="V85" s="346"/>
      <c r="W85" s="37" t="s">
        <v>74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hidden="1" customHeight="1" x14ac:dyDescent="0.25">
      <c r="A86" s="349" t="s">
        <v>167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hidden="1" customHeight="1" x14ac:dyDescent="0.25">
      <c r="A87" s="338" t="s">
        <v>168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169</v>
      </c>
      <c r="B88" s="54" t="s">
        <v>170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48" t="s">
        <v>171</v>
      </c>
      <c r="Q88" s="335"/>
      <c r="R88" s="335"/>
      <c r="S88" s="335"/>
      <c r="T88" s="336"/>
      <c r="U88" s="34"/>
      <c r="V88" s="34"/>
      <c r="W88" s="35" t="s">
        <v>70</v>
      </c>
      <c r="X88" s="330">
        <v>14</v>
      </c>
      <c r="Y88" s="331">
        <f>IFERROR(IF(X88="","",X88),"")</f>
        <v>14</v>
      </c>
      <c r="Z88" s="36">
        <f>IFERROR(IF(X88="","",X88*0.01788),"")</f>
        <v>0.25031999999999999</v>
      </c>
      <c r="AA88" s="56"/>
      <c r="AB88" s="57"/>
      <c r="AC88" s="122" t="s">
        <v>172</v>
      </c>
      <c r="AG88" s="67"/>
      <c r="AJ88" s="71" t="s">
        <v>72</v>
      </c>
      <c r="AK88" s="71">
        <v>1</v>
      </c>
      <c r="BB88" s="123" t="s">
        <v>83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ht="27" hidden="1" customHeight="1" x14ac:dyDescent="0.25">
      <c r="A89" s="54" t="s">
        <v>173</v>
      </c>
      <c r="B89" s="54" t="s">
        <v>174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45" t="s">
        <v>175</v>
      </c>
      <c r="Q89" s="335"/>
      <c r="R89" s="335"/>
      <c r="S89" s="335"/>
      <c r="T89" s="336"/>
      <c r="U89" s="34"/>
      <c r="V89" s="34"/>
      <c r="W89" s="35" t="s">
        <v>70</v>
      </c>
      <c r="X89" s="330">
        <v>0</v>
      </c>
      <c r="Y89" s="331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176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73</v>
      </c>
      <c r="Q90" s="345"/>
      <c r="R90" s="345"/>
      <c r="S90" s="345"/>
      <c r="T90" s="345"/>
      <c r="U90" s="345"/>
      <c r="V90" s="346"/>
      <c r="W90" s="37" t="s">
        <v>70</v>
      </c>
      <c r="X90" s="332">
        <f>IFERROR(SUM(X88:X89),"0")</f>
        <v>14</v>
      </c>
      <c r="Y90" s="332">
        <f>IFERROR(SUM(Y88:Y89),"0")</f>
        <v>14</v>
      </c>
      <c r="Z90" s="332">
        <f>IFERROR(IF(Z88="",0,Z88),"0")+IFERROR(IF(Z89="",0,Z89),"0")</f>
        <v>0.25031999999999999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73</v>
      </c>
      <c r="Q91" s="345"/>
      <c r="R91" s="345"/>
      <c r="S91" s="345"/>
      <c r="T91" s="345"/>
      <c r="U91" s="345"/>
      <c r="V91" s="346"/>
      <c r="W91" s="37" t="s">
        <v>74</v>
      </c>
      <c r="X91" s="332">
        <f>IFERROR(SUMPRODUCT(X88:X89*H88:H89),"0")</f>
        <v>50.4</v>
      </c>
      <c r="Y91" s="332">
        <f>IFERROR(SUMPRODUCT(Y88:Y89*H88:H89),"0")</f>
        <v>50.4</v>
      </c>
      <c r="Z91" s="37"/>
      <c r="AA91" s="333"/>
      <c r="AB91" s="333"/>
      <c r="AC91" s="333"/>
    </row>
    <row r="92" spans="1:68" ht="16.5" hidden="1" customHeight="1" x14ac:dyDescent="0.25">
      <c r="A92" s="349" t="s">
        <v>177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hidden="1" customHeight="1" x14ac:dyDescent="0.25">
      <c r="A93" s="338" t="s">
        <v>144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hidden="1" customHeight="1" x14ac:dyDescent="0.25">
      <c r="A94" s="54" t="s">
        <v>178</v>
      </c>
      <c r="B94" s="54" t="s">
        <v>179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80</v>
      </c>
      <c r="L94" s="32" t="s">
        <v>106</v>
      </c>
      <c r="M94" s="33" t="s">
        <v>69</v>
      </c>
      <c r="N94" s="33"/>
      <c r="O94" s="32">
        <v>180</v>
      </c>
      <c r="P94" s="387" t="s">
        <v>180</v>
      </c>
      <c r="Q94" s="335"/>
      <c r="R94" s="335"/>
      <c r="S94" s="335"/>
      <c r="T94" s="336"/>
      <c r="U94" s="34"/>
      <c r="V94" s="34"/>
      <c r="W94" s="35" t="s">
        <v>70</v>
      </c>
      <c r="X94" s="330">
        <v>0</v>
      </c>
      <c r="Y94" s="331">
        <f t="shared" ref="Y94:Y99" si="6">IFERROR(IF(X94="","",X94),"")</f>
        <v>0</v>
      </c>
      <c r="Z94" s="36">
        <f t="shared" ref="Z94:Z99" si="7">IFERROR(IF(X94="","",X94*0.01788),"")</f>
        <v>0</v>
      </c>
      <c r="AA94" s="56"/>
      <c r="AB94" s="57"/>
      <c r="AC94" s="126" t="s">
        <v>166</v>
      </c>
      <c r="AG94" s="67"/>
      <c r="AJ94" s="71" t="s">
        <v>108</v>
      </c>
      <c r="AK94" s="71">
        <v>14</v>
      </c>
      <c r="BB94" s="127" t="s">
        <v>83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181</v>
      </c>
      <c r="B95" s="54" t="s">
        <v>182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80</v>
      </c>
      <c r="L95" s="32" t="s">
        <v>111</v>
      </c>
      <c r="M95" s="33" t="s">
        <v>69</v>
      </c>
      <c r="N95" s="33"/>
      <c r="O95" s="32">
        <v>180</v>
      </c>
      <c r="P95" s="39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70</v>
      </c>
      <c r="X95" s="330">
        <v>322</v>
      </c>
      <c r="Y95" s="331">
        <f t="shared" si="6"/>
        <v>322</v>
      </c>
      <c r="Z95" s="36">
        <f t="shared" si="7"/>
        <v>5.7573600000000003</v>
      </c>
      <c r="AA95" s="56"/>
      <c r="AB95" s="57"/>
      <c r="AC95" s="128" t="s">
        <v>166</v>
      </c>
      <c r="AG95" s="67"/>
      <c r="AJ95" s="71" t="s">
        <v>112</v>
      </c>
      <c r="AK95" s="71">
        <v>70</v>
      </c>
      <c r="BB95" s="129" t="s">
        <v>83</v>
      </c>
      <c r="BM95" s="67">
        <f t="shared" si="8"/>
        <v>1385.7592000000002</v>
      </c>
      <c r="BN95" s="67">
        <f t="shared" si="9"/>
        <v>1385.7592000000002</v>
      </c>
      <c r="BO95" s="67">
        <f t="shared" si="10"/>
        <v>4.5999999999999996</v>
      </c>
      <c r="BP95" s="67">
        <f t="shared" si="11"/>
        <v>4.5999999999999996</v>
      </c>
    </row>
    <row r="96" spans="1:68" ht="27" hidden="1" customHeight="1" x14ac:dyDescent="0.25">
      <c r="A96" s="54" t="s">
        <v>183</v>
      </c>
      <c r="B96" s="54" t="s">
        <v>184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68" t="s">
        <v>185</v>
      </c>
      <c r="Q96" s="335"/>
      <c r="R96" s="335"/>
      <c r="S96" s="335"/>
      <c r="T96" s="336"/>
      <c r="U96" s="34"/>
      <c r="V96" s="34"/>
      <c r="W96" s="35" t="s">
        <v>70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186</v>
      </c>
      <c r="AG96" s="67"/>
      <c r="AJ96" s="71" t="s">
        <v>72</v>
      </c>
      <c r="AK96" s="71">
        <v>1</v>
      </c>
      <c r="BB96" s="131" t="s">
        <v>83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187</v>
      </c>
      <c r="B97" s="54" t="s">
        <v>188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80</v>
      </c>
      <c r="L97" s="32" t="s">
        <v>111</v>
      </c>
      <c r="M97" s="33" t="s">
        <v>69</v>
      </c>
      <c r="N97" s="33"/>
      <c r="O97" s="32">
        <v>180</v>
      </c>
      <c r="P97" s="36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70</v>
      </c>
      <c r="X97" s="330">
        <v>224</v>
      </c>
      <c r="Y97" s="331">
        <f t="shared" si="6"/>
        <v>224</v>
      </c>
      <c r="Z97" s="36">
        <f t="shared" si="7"/>
        <v>4.0051199999999998</v>
      </c>
      <c r="AA97" s="56"/>
      <c r="AB97" s="57"/>
      <c r="AC97" s="132" t="s">
        <v>166</v>
      </c>
      <c r="AG97" s="67"/>
      <c r="AJ97" s="71" t="s">
        <v>112</v>
      </c>
      <c r="AK97" s="71">
        <v>70</v>
      </c>
      <c r="BB97" s="133" t="s">
        <v>83</v>
      </c>
      <c r="BM97" s="67">
        <f t="shared" si="8"/>
        <v>964.0064000000001</v>
      </c>
      <c r="BN97" s="67">
        <f t="shared" si="9"/>
        <v>964.0064000000001</v>
      </c>
      <c r="BO97" s="67">
        <f t="shared" si="10"/>
        <v>3.2</v>
      </c>
      <c r="BP97" s="67">
        <f t="shared" si="11"/>
        <v>3.2</v>
      </c>
    </row>
    <row r="98" spans="1:68" ht="27" hidden="1" customHeight="1" x14ac:dyDescent="0.25">
      <c r="A98" s="54" t="s">
        <v>189</v>
      </c>
      <c r="B98" s="54" t="s">
        <v>190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0" t="s">
        <v>191</v>
      </c>
      <c r="Q98" s="335"/>
      <c r="R98" s="335"/>
      <c r="S98" s="335"/>
      <c r="T98" s="336"/>
      <c r="U98" s="34"/>
      <c r="V98" s="34"/>
      <c r="W98" s="35" t="s">
        <v>70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166</v>
      </c>
      <c r="AG98" s="67"/>
      <c r="AJ98" s="71" t="s">
        <v>72</v>
      </c>
      <c r="AK98" s="71">
        <v>1</v>
      </c>
      <c r="BB98" s="135" t="s">
        <v>83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192</v>
      </c>
      <c r="B99" s="54" t="s">
        <v>193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80</v>
      </c>
      <c r="L99" s="32" t="s">
        <v>106</v>
      </c>
      <c r="M99" s="33" t="s">
        <v>69</v>
      </c>
      <c r="N99" s="33"/>
      <c r="O99" s="32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70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194</v>
      </c>
      <c r="AG99" s="67"/>
      <c r="AJ99" s="71" t="s">
        <v>108</v>
      </c>
      <c r="AK99" s="71">
        <v>14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73</v>
      </c>
      <c r="Q100" s="345"/>
      <c r="R100" s="345"/>
      <c r="S100" s="345"/>
      <c r="T100" s="345"/>
      <c r="U100" s="345"/>
      <c r="V100" s="346"/>
      <c r="W100" s="37" t="s">
        <v>70</v>
      </c>
      <c r="X100" s="332">
        <f>IFERROR(SUM(X94:X99),"0")</f>
        <v>546</v>
      </c>
      <c r="Y100" s="332">
        <f>IFERROR(SUM(Y94:Y99),"0")</f>
        <v>546</v>
      </c>
      <c r="Z100" s="332">
        <f>IFERROR(IF(Z94="",0,Z94),"0")+IFERROR(IF(Z95="",0,Z95),"0")+IFERROR(IF(Z96="",0,Z96),"0")+IFERROR(IF(Z97="",0,Z97),"0")+IFERROR(IF(Z98="",0,Z98),"0")+IFERROR(IF(Z99="",0,Z99),"0")</f>
        <v>9.76248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73</v>
      </c>
      <c r="Q101" s="345"/>
      <c r="R101" s="345"/>
      <c r="S101" s="345"/>
      <c r="T101" s="345"/>
      <c r="U101" s="345"/>
      <c r="V101" s="346"/>
      <c r="W101" s="37" t="s">
        <v>74</v>
      </c>
      <c r="X101" s="332">
        <f>IFERROR(SUMPRODUCT(X94:X99*H94:H99),"0")</f>
        <v>1965.6</v>
      </c>
      <c r="Y101" s="332">
        <f>IFERROR(SUMPRODUCT(Y94:Y99*H94:H99),"0")</f>
        <v>1965.6</v>
      </c>
      <c r="Z101" s="37"/>
      <c r="AA101" s="333"/>
      <c r="AB101" s="333"/>
      <c r="AC101" s="333"/>
    </row>
    <row r="102" spans="1:68" ht="16.5" hidden="1" customHeight="1" x14ac:dyDescent="0.25">
      <c r="A102" s="349" t="s">
        <v>195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hidden="1" customHeight="1" x14ac:dyDescent="0.25">
      <c r="A103" s="338" t="s">
        <v>140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196</v>
      </c>
      <c r="B104" s="54" t="s">
        <v>197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80</v>
      </c>
      <c r="L104" s="32" t="s">
        <v>106</v>
      </c>
      <c r="M104" s="33" t="s">
        <v>69</v>
      </c>
      <c r="N104" s="33"/>
      <c r="O104" s="32">
        <v>180</v>
      </c>
      <c r="P104" s="37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70</v>
      </c>
      <c r="X104" s="330">
        <v>14</v>
      </c>
      <c r="Y104" s="331">
        <f>IFERROR(IF(X104="","",X104),"")</f>
        <v>14</v>
      </c>
      <c r="Z104" s="36">
        <f>IFERROR(IF(X104="","",X104*0.00936),"")</f>
        <v>0.13103999999999999</v>
      </c>
      <c r="AA104" s="56"/>
      <c r="AB104" s="57"/>
      <c r="AC104" s="138" t="s">
        <v>198</v>
      </c>
      <c r="AG104" s="67"/>
      <c r="AJ104" s="71" t="s">
        <v>108</v>
      </c>
      <c r="AK104" s="71">
        <v>14</v>
      </c>
      <c r="BB104" s="139" t="s">
        <v>83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hidden="1" customHeight="1" x14ac:dyDescent="0.25">
      <c r="A105" s="54" t="s">
        <v>199</v>
      </c>
      <c r="B105" s="54" t="s">
        <v>200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83" t="s">
        <v>201</v>
      </c>
      <c r="Q105" s="335"/>
      <c r="R105" s="335"/>
      <c r="S105" s="335"/>
      <c r="T105" s="336"/>
      <c r="U105" s="34"/>
      <c r="V105" s="34"/>
      <c r="W105" s="35" t="s">
        <v>70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166</v>
      </c>
      <c r="AG105" s="67"/>
      <c r="AJ105" s="71" t="s">
        <v>72</v>
      </c>
      <c r="AK105" s="71">
        <v>1</v>
      </c>
      <c r="BB105" s="141" t="s">
        <v>83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hidden="1" customHeight="1" x14ac:dyDescent="0.25">
      <c r="A106" s="54" t="s">
        <v>202</v>
      </c>
      <c r="B106" s="54" t="s">
        <v>203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70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204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73</v>
      </c>
      <c r="Q107" s="345"/>
      <c r="R107" s="345"/>
      <c r="S107" s="345"/>
      <c r="T107" s="345"/>
      <c r="U107" s="345"/>
      <c r="V107" s="346"/>
      <c r="W107" s="37" t="s">
        <v>70</v>
      </c>
      <c r="X107" s="332">
        <f>IFERROR(SUM(X104:X106),"0")</f>
        <v>14</v>
      </c>
      <c r="Y107" s="332">
        <f>IFERROR(SUM(Y104:Y106),"0")</f>
        <v>14</v>
      </c>
      <c r="Z107" s="332">
        <f>IFERROR(IF(Z104="",0,Z104),"0")+IFERROR(IF(Z105="",0,Z105),"0")+IFERROR(IF(Z106="",0,Z106),"0")</f>
        <v>0.13103999999999999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73</v>
      </c>
      <c r="Q108" s="345"/>
      <c r="R108" s="345"/>
      <c r="S108" s="345"/>
      <c r="T108" s="345"/>
      <c r="U108" s="345"/>
      <c r="V108" s="346"/>
      <c r="W108" s="37" t="s">
        <v>74</v>
      </c>
      <c r="X108" s="332">
        <f>IFERROR(SUMPRODUCT(X104:X106*H104:H106),"0")</f>
        <v>30.240000000000002</v>
      </c>
      <c r="Y108" s="332">
        <f>IFERROR(SUMPRODUCT(Y104:Y106*H104:H106),"0")</f>
        <v>30.240000000000002</v>
      </c>
      <c r="Z108" s="37"/>
      <c r="AA108" s="333"/>
      <c r="AB108" s="333"/>
      <c r="AC108" s="333"/>
    </row>
    <row r="109" spans="1:68" ht="16.5" hidden="1" customHeight="1" x14ac:dyDescent="0.25">
      <c r="A109" s="349" t="s">
        <v>205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hidden="1" customHeight="1" x14ac:dyDescent="0.25">
      <c r="A110" s="338" t="s">
        <v>64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hidden="1" customHeight="1" x14ac:dyDescent="0.25">
      <c r="A111" s="54" t="s">
        <v>206</v>
      </c>
      <c r="B111" s="54" t="s">
        <v>207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67</v>
      </c>
      <c r="L111" s="32" t="s">
        <v>68</v>
      </c>
      <c r="M111" s="33" t="s">
        <v>69</v>
      </c>
      <c r="N111" s="33"/>
      <c r="O111" s="32">
        <v>180</v>
      </c>
      <c r="P111" s="513" t="s">
        <v>208</v>
      </c>
      <c r="Q111" s="335"/>
      <c r="R111" s="335"/>
      <c r="S111" s="335"/>
      <c r="T111" s="336"/>
      <c r="U111" s="34"/>
      <c r="V111" s="34"/>
      <c r="W111" s="35" t="s">
        <v>70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209</v>
      </c>
      <c r="AG111" s="67"/>
      <c r="AJ111" s="71" t="s">
        <v>72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210</v>
      </c>
      <c r="B112" s="54" t="s">
        <v>211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67</v>
      </c>
      <c r="L112" s="32" t="s">
        <v>106</v>
      </c>
      <c r="M112" s="33" t="s">
        <v>69</v>
      </c>
      <c r="N112" s="33"/>
      <c r="O112" s="32">
        <v>180</v>
      </c>
      <c r="P112" s="5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70</v>
      </c>
      <c r="X112" s="330">
        <v>48</v>
      </c>
      <c r="Y112" s="331">
        <f t="shared" si="12"/>
        <v>48</v>
      </c>
      <c r="Z112" s="36">
        <f t="shared" si="13"/>
        <v>0.74399999999999999</v>
      </c>
      <c r="AA112" s="56"/>
      <c r="AB112" s="57"/>
      <c r="AC112" s="146" t="s">
        <v>159</v>
      </c>
      <c r="AG112" s="67"/>
      <c r="AJ112" s="71" t="s">
        <v>108</v>
      </c>
      <c r="AK112" s="71">
        <v>12</v>
      </c>
      <c r="BB112" s="147" t="s">
        <v>1</v>
      </c>
      <c r="BM112" s="67">
        <f t="shared" si="14"/>
        <v>322.54079999999999</v>
      </c>
      <c r="BN112" s="67">
        <f t="shared" si="15"/>
        <v>322.54079999999999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212</v>
      </c>
      <c r="B113" s="54" t="s">
        <v>213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67</v>
      </c>
      <c r="L113" s="32" t="s">
        <v>111</v>
      </c>
      <c r="M113" s="33" t="s">
        <v>69</v>
      </c>
      <c r="N113" s="33"/>
      <c r="O113" s="32">
        <v>180</v>
      </c>
      <c r="P113" s="405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70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159</v>
      </c>
      <c r="AG113" s="67"/>
      <c r="AJ113" s="71" t="s">
        <v>112</v>
      </c>
      <c r="AK113" s="71">
        <v>84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67</v>
      </c>
      <c r="L114" s="32" t="s">
        <v>111</v>
      </c>
      <c r="M114" s="33" t="s">
        <v>69</v>
      </c>
      <c r="N114" s="33"/>
      <c r="O114" s="32">
        <v>180</v>
      </c>
      <c r="P114" s="5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70</v>
      </c>
      <c r="X114" s="330">
        <v>120</v>
      </c>
      <c r="Y114" s="331">
        <f t="shared" si="12"/>
        <v>120</v>
      </c>
      <c r="Z114" s="36">
        <f t="shared" si="13"/>
        <v>1.8599999999999999</v>
      </c>
      <c r="AA114" s="56"/>
      <c r="AB114" s="57"/>
      <c r="AC114" s="150" t="s">
        <v>159</v>
      </c>
      <c r="AG114" s="67"/>
      <c r="AJ114" s="71" t="s">
        <v>112</v>
      </c>
      <c r="AK114" s="71">
        <v>84</v>
      </c>
      <c r="BB114" s="151" t="s">
        <v>1</v>
      </c>
      <c r="BM114" s="67">
        <f t="shared" si="14"/>
        <v>876</v>
      </c>
      <c r="BN114" s="67">
        <f t="shared" si="15"/>
        <v>876</v>
      </c>
      <c r="BO114" s="67">
        <f t="shared" si="16"/>
        <v>1.4285714285714286</v>
      </c>
      <c r="BP114" s="67">
        <f t="shared" si="17"/>
        <v>1.4285714285714286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67</v>
      </c>
      <c r="L115" s="32" t="s">
        <v>106</v>
      </c>
      <c r="M115" s="33" t="s">
        <v>69</v>
      </c>
      <c r="N115" s="33"/>
      <c r="O115" s="32">
        <v>180</v>
      </c>
      <c r="P115" s="4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70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159</v>
      </c>
      <c r="AG115" s="67"/>
      <c r="AJ115" s="71" t="s">
        <v>108</v>
      </c>
      <c r="AK115" s="71">
        <v>12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67</v>
      </c>
      <c r="L116" s="32" t="s">
        <v>111</v>
      </c>
      <c r="M116" s="33" t="s">
        <v>69</v>
      </c>
      <c r="N116" s="33"/>
      <c r="O116" s="32">
        <v>180</v>
      </c>
      <c r="P116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70</v>
      </c>
      <c r="X116" s="330">
        <v>132</v>
      </c>
      <c r="Y116" s="331">
        <f t="shared" si="12"/>
        <v>132</v>
      </c>
      <c r="Z116" s="36">
        <f t="shared" si="13"/>
        <v>2.0459999999999998</v>
      </c>
      <c r="AA116" s="56"/>
      <c r="AB116" s="57"/>
      <c r="AC116" s="154" t="s">
        <v>159</v>
      </c>
      <c r="AG116" s="67"/>
      <c r="AJ116" s="71" t="s">
        <v>112</v>
      </c>
      <c r="AK116" s="71">
        <v>84</v>
      </c>
      <c r="BB116" s="155" t="s">
        <v>1</v>
      </c>
      <c r="BM116" s="67">
        <f t="shared" si="14"/>
        <v>963.6</v>
      </c>
      <c r="BN116" s="67">
        <f t="shared" si="15"/>
        <v>963.6</v>
      </c>
      <c r="BO116" s="67">
        <f t="shared" si="16"/>
        <v>1.5714285714285714</v>
      </c>
      <c r="BP116" s="67">
        <f t="shared" si="17"/>
        <v>1.5714285714285714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73</v>
      </c>
      <c r="Q117" s="345"/>
      <c r="R117" s="345"/>
      <c r="S117" s="345"/>
      <c r="T117" s="345"/>
      <c r="U117" s="345"/>
      <c r="V117" s="346"/>
      <c r="W117" s="37" t="s">
        <v>70</v>
      </c>
      <c r="X117" s="332">
        <f>IFERROR(SUM(X111:X116),"0")</f>
        <v>300</v>
      </c>
      <c r="Y117" s="332">
        <f>IFERROR(SUM(Y111:Y116),"0")</f>
        <v>300</v>
      </c>
      <c r="Z117" s="332">
        <f>IFERROR(IF(Z111="",0,Z111),"0")+IFERROR(IF(Z112="",0,Z112),"0")+IFERROR(IF(Z113="",0,Z113),"0")+IFERROR(IF(Z114="",0,Z114),"0")+IFERROR(IF(Z115="",0,Z115),"0")+IFERROR(IF(Z116="",0,Z116),"0")</f>
        <v>4.6500000000000004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73</v>
      </c>
      <c r="Q118" s="345"/>
      <c r="R118" s="345"/>
      <c r="S118" s="345"/>
      <c r="T118" s="345"/>
      <c r="U118" s="345"/>
      <c r="V118" s="346"/>
      <c r="W118" s="37" t="s">
        <v>74</v>
      </c>
      <c r="X118" s="332">
        <f>IFERROR(SUMPRODUCT(X111:X116*H111:H116),"0")</f>
        <v>2071.1999999999998</v>
      </c>
      <c r="Y118" s="332">
        <f>IFERROR(SUMPRODUCT(Y111:Y116*H111:H116),"0")</f>
        <v>2071.1999999999998</v>
      </c>
      <c r="Z118" s="37"/>
      <c r="AA118" s="333"/>
      <c r="AB118" s="333"/>
      <c r="AC118" s="333"/>
    </row>
    <row r="119" spans="1:68" ht="14.25" hidden="1" customHeight="1" x14ac:dyDescent="0.25">
      <c r="A119" s="338" t="s">
        <v>144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hidden="1" customHeight="1" x14ac:dyDescent="0.25">
      <c r="A120" s="54" t="s">
        <v>220</v>
      </c>
      <c r="B120" s="54" t="s">
        <v>221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80</v>
      </c>
      <c r="L120" s="32" t="s">
        <v>68</v>
      </c>
      <c r="M120" s="33" t="s">
        <v>69</v>
      </c>
      <c r="N120" s="33"/>
      <c r="O120" s="32">
        <v>180</v>
      </c>
      <c r="P120" s="394" t="s">
        <v>222</v>
      </c>
      <c r="Q120" s="335"/>
      <c r="R120" s="335"/>
      <c r="S120" s="335"/>
      <c r="T120" s="336"/>
      <c r="U120" s="34"/>
      <c r="V120" s="34"/>
      <c r="W120" s="35" t="s">
        <v>70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223</v>
      </c>
      <c r="AG120" s="67"/>
      <c r="AJ120" s="71" t="s">
        <v>72</v>
      </c>
      <c r="AK120" s="71">
        <v>1</v>
      </c>
      <c r="BB120" s="157" t="s">
        <v>83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73</v>
      </c>
      <c r="Q121" s="345"/>
      <c r="R121" s="345"/>
      <c r="S121" s="345"/>
      <c r="T121" s="345"/>
      <c r="U121" s="345"/>
      <c r="V121" s="346"/>
      <c r="W121" s="37" t="s">
        <v>70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hidden="1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73</v>
      </c>
      <c r="Q122" s="345"/>
      <c r="R122" s="345"/>
      <c r="S122" s="345"/>
      <c r="T122" s="345"/>
      <c r="U122" s="345"/>
      <c r="V122" s="346"/>
      <c r="W122" s="37" t="s">
        <v>74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hidden="1" customHeight="1" x14ac:dyDescent="0.25">
      <c r="A123" s="349" t="s">
        <v>224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hidden="1" customHeight="1" x14ac:dyDescent="0.25">
      <c r="A124" s="338" t="s">
        <v>144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225</v>
      </c>
      <c r="B125" s="54" t="s">
        <v>226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80</v>
      </c>
      <c r="L125" s="32" t="s">
        <v>111</v>
      </c>
      <c r="M125" s="33" t="s">
        <v>69</v>
      </c>
      <c r="N125" s="33"/>
      <c r="O125" s="32">
        <v>180</v>
      </c>
      <c r="P125" s="5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70</v>
      </c>
      <c r="X125" s="330">
        <v>168</v>
      </c>
      <c r="Y125" s="331">
        <f>IFERROR(IF(X125="","",X125),"")</f>
        <v>168</v>
      </c>
      <c r="Z125" s="36">
        <f>IFERROR(IF(X125="","",X125*0.01788),"")</f>
        <v>3.0038399999999998</v>
      </c>
      <c r="AA125" s="56"/>
      <c r="AB125" s="57"/>
      <c r="AC125" s="158" t="s">
        <v>227</v>
      </c>
      <c r="AG125" s="67"/>
      <c r="AJ125" s="71" t="s">
        <v>112</v>
      </c>
      <c r="AK125" s="71">
        <v>70</v>
      </c>
      <c r="BB125" s="159" t="s">
        <v>83</v>
      </c>
      <c r="BM125" s="67">
        <f>IFERROR(X125*I125,"0")</f>
        <v>622.20479999999998</v>
      </c>
      <c r="BN125" s="67">
        <f>IFERROR(Y125*I125,"0")</f>
        <v>622.20479999999998</v>
      </c>
      <c r="BO125" s="67">
        <f>IFERROR(X125/J125,"0")</f>
        <v>2.4</v>
      </c>
      <c r="BP125" s="67">
        <f>IFERROR(Y125/J125,"0")</f>
        <v>2.4</v>
      </c>
    </row>
    <row r="126" spans="1:68" ht="27" customHeight="1" x14ac:dyDescent="0.25">
      <c r="A126" s="54" t="s">
        <v>228</v>
      </c>
      <c r="B126" s="54" t="s">
        <v>229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80</v>
      </c>
      <c r="L126" s="32" t="s">
        <v>111</v>
      </c>
      <c r="M126" s="33" t="s">
        <v>69</v>
      </c>
      <c r="N126" s="33"/>
      <c r="O126" s="32">
        <v>180</v>
      </c>
      <c r="P126" s="5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70</v>
      </c>
      <c r="X126" s="330">
        <v>224</v>
      </c>
      <c r="Y126" s="331">
        <f>IFERROR(IF(X126="","",X126),"")</f>
        <v>224</v>
      </c>
      <c r="Z126" s="36">
        <f>IFERROR(IF(X126="","",X126*0.01788),"")</f>
        <v>4.0051199999999998</v>
      </c>
      <c r="AA126" s="56"/>
      <c r="AB126" s="57"/>
      <c r="AC126" s="160" t="s">
        <v>166</v>
      </c>
      <c r="AG126" s="67"/>
      <c r="AJ126" s="71" t="s">
        <v>112</v>
      </c>
      <c r="AK126" s="71">
        <v>70</v>
      </c>
      <c r="BB126" s="161" t="s">
        <v>83</v>
      </c>
      <c r="BM126" s="67">
        <f>IFERROR(X126*I126,"0")</f>
        <v>829.60639999999989</v>
      </c>
      <c r="BN126" s="67">
        <f>IFERROR(Y126*I126,"0")</f>
        <v>829.60639999999989</v>
      </c>
      <c r="BO126" s="67">
        <f>IFERROR(X126/J126,"0")</f>
        <v>3.2</v>
      </c>
      <c r="BP126" s="67">
        <f>IFERROR(Y126/J126,"0")</f>
        <v>3.2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73</v>
      </c>
      <c r="Q127" s="345"/>
      <c r="R127" s="345"/>
      <c r="S127" s="345"/>
      <c r="T127" s="345"/>
      <c r="U127" s="345"/>
      <c r="V127" s="346"/>
      <c r="W127" s="37" t="s">
        <v>70</v>
      </c>
      <c r="X127" s="332">
        <f>IFERROR(SUM(X125:X126),"0")</f>
        <v>392</v>
      </c>
      <c r="Y127" s="332">
        <f>IFERROR(SUM(Y125:Y126),"0")</f>
        <v>392</v>
      </c>
      <c r="Z127" s="332">
        <f>IFERROR(IF(Z125="",0,Z125),"0")+IFERROR(IF(Z126="",0,Z126),"0")</f>
        <v>7.0089600000000001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73</v>
      </c>
      <c r="Q128" s="345"/>
      <c r="R128" s="345"/>
      <c r="S128" s="345"/>
      <c r="T128" s="345"/>
      <c r="U128" s="345"/>
      <c r="V128" s="346"/>
      <c r="W128" s="37" t="s">
        <v>74</v>
      </c>
      <c r="X128" s="332">
        <f>IFERROR(SUMPRODUCT(X125:X126*H125:H126),"0")</f>
        <v>1176</v>
      </c>
      <c r="Y128" s="332">
        <f>IFERROR(SUMPRODUCT(Y125:Y126*H125:H126),"0")</f>
        <v>1176</v>
      </c>
      <c r="Z128" s="37"/>
      <c r="AA128" s="333"/>
      <c r="AB128" s="333"/>
      <c r="AC128" s="333"/>
    </row>
    <row r="129" spans="1:68" ht="16.5" hidden="1" customHeight="1" x14ac:dyDescent="0.25">
      <c r="A129" s="349" t="s">
        <v>230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hidden="1" customHeight="1" x14ac:dyDescent="0.25">
      <c r="A130" s="338" t="s">
        <v>144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231</v>
      </c>
      <c r="B131" s="54" t="s">
        <v>232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80</v>
      </c>
      <c r="L131" s="32" t="s">
        <v>106</v>
      </c>
      <c r="M131" s="33" t="s">
        <v>69</v>
      </c>
      <c r="N131" s="33"/>
      <c r="O131" s="32">
        <v>180</v>
      </c>
      <c r="P131" s="41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70</v>
      </c>
      <c r="X131" s="330">
        <v>14</v>
      </c>
      <c r="Y131" s="331">
        <f>IFERROR(IF(X131="","",X131),"")</f>
        <v>14</v>
      </c>
      <c r="Z131" s="36">
        <f>IFERROR(IF(X131="","",X131*0.01788),"")</f>
        <v>0.25031999999999999</v>
      </c>
      <c r="AA131" s="56"/>
      <c r="AB131" s="57"/>
      <c r="AC131" s="162" t="s">
        <v>233</v>
      </c>
      <c r="AG131" s="67"/>
      <c r="AJ131" s="71" t="s">
        <v>108</v>
      </c>
      <c r="AK131" s="71">
        <v>14</v>
      </c>
      <c r="BB131" s="163" t="s">
        <v>83</v>
      </c>
      <c r="BM131" s="67">
        <f>IFERROR(X131*I131,"0")</f>
        <v>52.472000000000001</v>
      </c>
      <c r="BN131" s="67">
        <f>IFERROR(Y131*I131,"0")</f>
        <v>52.472000000000001</v>
      </c>
      <c r="BO131" s="67">
        <f>IFERROR(X131/J131,"0")</f>
        <v>0.2</v>
      </c>
      <c r="BP131" s="67">
        <f>IFERROR(Y131/J131,"0")</f>
        <v>0.2</v>
      </c>
    </row>
    <row r="132" spans="1:68" ht="16.5" customHeight="1" x14ac:dyDescent="0.25">
      <c r="A132" s="54" t="s">
        <v>234</v>
      </c>
      <c r="B132" s="54" t="s">
        <v>235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80</v>
      </c>
      <c r="L132" s="32" t="s">
        <v>68</v>
      </c>
      <c r="M132" s="33" t="s">
        <v>69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70</v>
      </c>
      <c r="X132" s="330">
        <v>126</v>
      </c>
      <c r="Y132" s="331">
        <f>IFERROR(IF(X132="","",X132),"")</f>
        <v>126</v>
      </c>
      <c r="Z132" s="36">
        <f>IFERROR(IF(X132="","",X132*0.01788),"")</f>
        <v>2.2528800000000002</v>
      </c>
      <c r="AA132" s="56"/>
      <c r="AB132" s="57"/>
      <c r="AC132" s="164" t="s">
        <v>236</v>
      </c>
      <c r="AG132" s="67"/>
      <c r="AJ132" s="71" t="s">
        <v>72</v>
      </c>
      <c r="AK132" s="71">
        <v>1</v>
      </c>
      <c r="BB132" s="165" t="s">
        <v>83</v>
      </c>
      <c r="BM132" s="67">
        <f>IFERROR(X132*I132,"0")</f>
        <v>466.65359999999998</v>
      </c>
      <c r="BN132" s="67">
        <f>IFERROR(Y132*I132,"0")</f>
        <v>466.65359999999998</v>
      </c>
      <c r="BO132" s="67">
        <f>IFERROR(X132/J132,"0")</f>
        <v>1.8</v>
      </c>
      <c r="BP132" s="67">
        <f>IFERROR(Y132/J132,"0")</f>
        <v>1.8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73</v>
      </c>
      <c r="Q133" s="345"/>
      <c r="R133" s="345"/>
      <c r="S133" s="345"/>
      <c r="T133" s="345"/>
      <c r="U133" s="345"/>
      <c r="V133" s="346"/>
      <c r="W133" s="37" t="s">
        <v>70</v>
      </c>
      <c r="X133" s="332">
        <f>IFERROR(SUM(X131:X132),"0")</f>
        <v>140</v>
      </c>
      <c r="Y133" s="332">
        <f>IFERROR(SUM(Y131:Y132),"0")</f>
        <v>140</v>
      </c>
      <c r="Z133" s="332">
        <f>IFERROR(IF(Z131="",0,Z131),"0")+IFERROR(IF(Z132="",0,Z132),"0")</f>
        <v>2.5032000000000001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73</v>
      </c>
      <c r="Q134" s="345"/>
      <c r="R134" s="345"/>
      <c r="S134" s="345"/>
      <c r="T134" s="345"/>
      <c r="U134" s="345"/>
      <c r="V134" s="346"/>
      <c r="W134" s="37" t="s">
        <v>74</v>
      </c>
      <c r="X134" s="332">
        <f>IFERROR(SUMPRODUCT(X131:X132*H131:H132),"0")</f>
        <v>420</v>
      </c>
      <c r="Y134" s="332">
        <f>IFERROR(SUMPRODUCT(Y131:Y132*H131:H132),"0")</f>
        <v>420</v>
      </c>
      <c r="Z134" s="37"/>
      <c r="AA134" s="333"/>
      <c r="AB134" s="333"/>
      <c r="AC134" s="333"/>
    </row>
    <row r="135" spans="1:68" ht="16.5" hidden="1" customHeight="1" x14ac:dyDescent="0.25">
      <c r="A135" s="349" t="s">
        <v>237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hidden="1" customHeight="1" x14ac:dyDescent="0.25">
      <c r="A136" s="338" t="s">
        <v>144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238</v>
      </c>
      <c r="B137" s="54" t="s">
        <v>239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80</v>
      </c>
      <c r="L137" s="32" t="s">
        <v>106</v>
      </c>
      <c r="M137" s="33" t="s">
        <v>69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70</v>
      </c>
      <c r="X137" s="330">
        <v>28</v>
      </c>
      <c r="Y137" s="331">
        <f>IFERROR(IF(X137="","",X137),"")</f>
        <v>28</v>
      </c>
      <c r="Z137" s="36">
        <f>IFERROR(IF(X137="","",X137*0.01788),"")</f>
        <v>0.50063999999999997</v>
      </c>
      <c r="AA137" s="56"/>
      <c r="AB137" s="57"/>
      <c r="AC137" s="166" t="s">
        <v>240</v>
      </c>
      <c r="AG137" s="67"/>
      <c r="AJ137" s="71" t="s">
        <v>108</v>
      </c>
      <c r="AK137" s="71">
        <v>14</v>
      </c>
      <c r="BB137" s="167" t="s">
        <v>83</v>
      </c>
      <c r="BM137" s="67">
        <f>IFERROR(X137*I137,"0")</f>
        <v>91.839999999999989</v>
      </c>
      <c r="BN137" s="67">
        <f>IFERROR(Y137*I137,"0")</f>
        <v>91.839999999999989</v>
      </c>
      <c r="BO137" s="67">
        <f>IFERROR(X137/J137,"0")</f>
        <v>0.4</v>
      </c>
      <c r="BP137" s="67">
        <f>IFERROR(Y137/J137,"0")</f>
        <v>0.4</v>
      </c>
    </row>
    <row r="138" spans="1:68" ht="27" customHeight="1" x14ac:dyDescent="0.25">
      <c r="A138" s="54" t="s">
        <v>241</v>
      </c>
      <c r="B138" s="54" t="s">
        <v>242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80</v>
      </c>
      <c r="L138" s="32" t="s">
        <v>111</v>
      </c>
      <c r="M138" s="33" t="s">
        <v>69</v>
      </c>
      <c r="N138" s="33"/>
      <c r="O138" s="32">
        <v>180</v>
      </c>
      <c r="P138" s="45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70</v>
      </c>
      <c r="X138" s="330">
        <v>84</v>
      </c>
      <c r="Y138" s="331">
        <f>IFERROR(IF(X138="","",X138),"")</f>
        <v>84</v>
      </c>
      <c r="Z138" s="36">
        <f>IFERROR(IF(X138="","",X138*0.01788),"")</f>
        <v>1.5019199999999999</v>
      </c>
      <c r="AA138" s="56"/>
      <c r="AB138" s="57"/>
      <c r="AC138" s="168" t="s">
        <v>227</v>
      </c>
      <c r="AG138" s="67"/>
      <c r="AJ138" s="71" t="s">
        <v>112</v>
      </c>
      <c r="AK138" s="71">
        <v>70</v>
      </c>
      <c r="BB138" s="169" t="s">
        <v>83</v>
      </c>
      <c r="BM138" s="67">
        <f>IFERROR(X138*I138,"0")</f>
        <v>275.52</v>
      </c>
      <c r="BN138" s="67">
        <f>IFERROR(Y138*I138,"0")</f>
        <v>275.52</v>
      </c>
      <c r="BO138" s="67">
        <f>IFERROR(X138/J138,"0")</f>
        <v>1.2</v>
      </c>
      <c r="BP138" s="67">
        <f>IFERROR(Y138/J138,"0")</f>
        <v>1.2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73</v>
      </c>
      <c r="Q139" s="345"/>
      <c r="R139" s="345"/>
      <c r="S139" s="345"/>
      <c r="T139" s="345"/>
      <c r="U139" s="345"/>
      <c r="V139" s="346"/>
      <c r="W139" s="37" t="s">
        <v>70</v>
      </c>
      <c r="X139" s="332">
        <f>IFERROR(SUM(X137:X138),"0")</f>
        <v>112</v>
      </c>
      <c r="Y139" s="332">
        <f>IFERROR(SUM(Y137:Y138),"0")</f>
        <v>112</v>
      </c>
      <c r="Z139" s="332">
        <f>IFERROR(IF(Z137="",0,Z137),"0")+IFERROR(IF(Z138="",0,Z138),"0")</f>
        <v>2.0025599999999999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73</v>
      </c>
      <c r="Q140" s="345"/>
      <c r="R140" s="345"/>
      <c r="S140" s="345"/>
      <c r="T140" s="345"/>
      <c r="U140" s="345"/>
      <c r="V140" s="346"/>
      <c r="W140" s="37" t="s">
        <v>74</v>
      </c>
      <c r="X140" s="332">
        <f>IFERROR(SUMPRODUCT(X137:X138*H137:H138),"0")</f>
        <v>336</v>
      </c>
      <c r="Y140" s="332">
        <f>IFERROR(SUMPRODUCT(Y137:Y138*H137:H138),"0")</f>
        <v>336</v>
      </c>
      <c r="Z140" s="37"/>
      <c r="AA140" s="333"/>
      <c r="AB140" s="333"/>
      <c r="AC140" s="333"/>
    </row>
    <row r="141" spans="1:68" ht="16.5" hidden="1" customHeight="1" x14ac:dyDescent="0.25">
      <c r="A141" s="349" t="s">
        <v>243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hidden="1" customHeight="1" x14ac:dyDescent="0.25">
      <c r="A142" s="338" t="s">
        <v>144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244</v>
      </c>
      <c r="B143" s="54" t="s">
        <v>245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73" t="s">
        <v>246</v>
      </c>
      <c r="Q143" s="335"/>
      <c r="R143" s="335"/>
      <c r="S143" s="335"/>
      <c r="T143" s="336"/>
      <c r="U143" s="34"/>
      <c r="V143" s="34"/>
      <c r="W143" s="35" t="s">
        <v>70</v>
      </c>
      <c r="X143" s="330">
        <v>14</v>
      </c>
      <c r="Y143" s="331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0" t="s">
        <v>247</v>
      </c>
      <c r="AG143" s="67"/>
      <c r="AJ143" s="71" t="s">
        <v>72</v>
      </c>
      <c r="AK143" s="71">
        <v>1</v>
      </c>
      <c r="BB143" s="171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73</v>
      </c>
      <c r="Q144" s="345"/>
      <c r="R144" s="345"/>
      <c r="S144" s="345"/>
      <c r="T144" s="345"/>
      <c r="U144" s="345"/>
      <c r="V144" s="346"/>
      <c r="W144" s="37" t="s">
        <v>70</v>
      </c>
      <c r="X144" s="332">
        <f>IFERROR(SUM(X143:X143),"0")</f>
        <v>14</v>
      </c>
      <c r="Y144" s="332">
        <f>IFERROR(SUM(Y143:Y143),"0")</f>
        <v>14</v>
      </c>
      <c r="Z144" s="332">
        <f>IFERROR(IF(Z143="",0,Z143),"0")</f>
        <v>0.25031999999999999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73</v>
      </c>
      <c r="Q145" s="345"/>
      <c r="R145" s="345"/>
      <c r="S145" s="345"/>
      <c r="T145" s="345"/>
      <c r="U145" s="345"/>
      <c r="V145" s="346"/>
      <c r="W145" s="37" t="s">
        <v>74</v>
      </c>
      <c r="X145" s="332">
        <f>IFERROR(SUMPRODUCT(X143:X143*H143:H143),"0")</f>
        <v>42</v>
      </c>
      <c r="Y145" s="332">
        <f>IFERROR(SUMPRODUCT(Y143:Y143*H143:H143),"0")</f>
        <v>42</v>
      </c>
      <c r="Z145" s="37"/>
      <c r="AA145" s="333"/>
      <c r="AB145" s="333"/>
      <c r="AC145" s="333"/>
    </row>
    <row r="146" spans="1:68" ht="16.5" hidden="1" customHeight="1" x14ac:dyDescent="0.25">
      <c r="A146" s="349" t="s">
        <v>248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hidden="1" customHeight="1" x14ac:dyDescent="0.25">
      <c r="A147" s="338" t="s">
        <v>144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hidden="1" customHeight="1" x14ac:dyDescent="0.25">
      <c r="A148" s="54" t="s">
        <v>249</v>
      </c>
      <c r="B148" s="54" t="s">
        <v>250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0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70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233</v>
      </c>
      <c r="AG148" s="67"/>
      <c r="AJ148" s="71" t="s">
        <v>72</v>
      </c>
      <c r="AK148" s="71">
        <v>1</v>
      </c>
      <c r="BB148" s="173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73</v>
      </c>
      <c r="Q149" s="345"/>
      <c r="R149" s="345"/>
      <c r="S149" s="345"/>
      <c r="T149" s="345"/>
      <c r="U149" s="345"/>
      <c r="V149" s="346"/>
      <c r="W149" s="37" t="s">
        <v>70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hidden="1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73</v>
      </c>
      <c r="Q150" s="345"/>
      <c r="R150" s="345"/>
      <c r="S150" s="345"/>
      <c r="T150" s="345"/>
      <c r="U150" s="345"/>
      <c r="V150" s="346"/>
      <c r="W150" s="37" t="s">
        <v>74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hidden="1" customHeight="1" x14ac:dyDescent="0.25">
      <c r="A151" s="349" t="s">
        <v>251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hidden="1" customHeight="1" x14ac:dyDescent="0.25">
      <c r="A152" s="338" t="s">
        <v>252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hidden="1" customHeight="1" x14ac:dyDescent="0.25">
      <c r="A153" s="54" t="s">
        <v>253</v>
      </c>
      <c r="B153" s="54" t="s">
        <v>254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255</v>
      </c>
      <c r="L153" s="32" t="s">
        <v>68</v>
      </c>
      <c r="M153" s="33" t="s">
        <v>69</v>
      </c>
      <c r="N153" s="33"/>
      <c r="O153" s="32">
        <v>180</v>
      </c>
      <c r="P153" s="44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70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256</v>
      </c>
      <c r="AG153" s="67"/>
      <c r="AJ153" s="71" t="s">
        <v>72</v>
      </c>
      <c r="AK153" s="71">
        <v>1</v>
      </c>
      <c r="BB153" s="175" t="s">
        <v>83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257</v>
      </c>
      <c r="B154" s="54" t="s">
        <v>258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255</v>
      </c>
      <c r="L154" s="32" t="s">
        <v>68</v>
      </c>
      <c r="M154" s="33" t="s">
        <v>69</v>
      </c>
      <c r="N154" s="33"/>
      <c r="O154" s="32">
        <v>180</v>
      </c>
      <c r="P154" s="4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70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256</v>
      </c>
      <c r="AG154" s="67"/>
      <c r="AJ154" s="71" t="s">
        <v>72</v>
      </c>
      <c r="AK154" s="71">
        <v>1</v>
      </c>
      <c r="BB154" s="177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73</v>
      </c>
      <c r="Q155" s="345"/>
      <c r="R155" s="345"/>
      <c r="S155" s="345"/>
      <c r="T155" s="345"/>
      <c r="U155" s="345"/>
      <c r="V155" s="346"/>
      <c r="W155" s="37" t="s">
        <v>70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73</v>
      </c>
      <c r="Q156" s="345"/>
      <c r="R156" s="345"/>
      <c r="S156" s="345"/>
      <c r="T156" s="345"/>
      <c r="U156" s="345"/>
      <c r="V156" s="346"/>
      <c r="W156" s="37" t="s">
        <v>74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9" t="s">
        <v>259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hidden="1" customHeight="1" x14ac:dyDescent="0.25">
      <c r="A158" s="338" t="s">
        <v>144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hidden="1" customHeight="1" x14ac:dyDescent="0.25">
      <c r="A159" s="54" t="s">
        <v>260</v>
      </c>
      <c r="B159" s="54" t="s">
        <v>261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80</v>
      </c>
      <c r="L159" s="32" t="s">
        <v>68</v>
      </c>
      <c r="M159" s="33" t="s">
        <v>69</v>
      </c>
      <c r="N159" s="33"/>
      <c r="O159" s="32">
        <v>180</v>
      </c>
      <c r="P159" s="46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70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262</v>
      </c>
      <c r="AG159" s="67"/>
      <c r="AJ159" s="71" t="s">
        <v>72</v>
      </c>
      <c r="AK159" s="71">
        <v>1</v>
      </c>
      <c r="BB159" s="179" t="s">
        <v>83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73</v>
      </c>
      <c r="Q160" s="345"/>
      <c r="R160" s="345"/>
      <c r="S160" s="345"/>
      <c r="T160" s="345"/>
      <c r="U160" s="345"/>
      <c r="V160" s="346"/>
      <c r="W160" s="37" t="s">
        <v>70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hidden="1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73</v>
      </c>
      <c r="Q161" s="345"/>
      <c r="R161" s="345"/>
      <c r="S161" s="345"/>
      <c r="T161" s="345"/>
      <c r="U161" s="345"/>
      <c r="V161" s="346"/>
      <c r="W161" s="37" t="s">
        <v>74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hidden="1" customHeight="1" x14ac:dyDescent="0.2">
      <c r="A162" s="435" t="s">
        <v>263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hidden="1" customHeight="1" x14ac:dyDescent="0.25">
      <c r="A163" s="349" t="s">
        <v>264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hidden="1" customHeight="1" x14ac:dyDescent="0.25">
      <c r="A164" s="338" t="s">
        <v>144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hidden="1" customHeight="1" x14ac:dyDescent="0.25">
      <c r="A165" s="54" t="s">
        <v>265</v>
      </c>
      <c r="B165" s="54" t="s">
        <v>266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158</v>
      </c>
      <c r="L165" s="32" t="s">
        <v>106</v>
      </c>
      <c r="M165" s="33" t="s">
        <v>69</v>
      </c>
      <c r="N165" s="33"/>
      <c r="O165" s="32">
        <v>180</v>
      </c>
      <c r="P165" s="371" t="s">
        <v>267</v>
      </c>
      <c r="Q165" s="335"/>
      <c r="R165" s="335"/>
      <c r="S165" s="335"/>
      <c r="T165" s="336"/>
      <c r="U165" s="34"/>
      <c r="V165" s="34"/>
      <c r="W165" s="35" t="s">
        <v>70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233</v>
      </c>
      <c r="AG165" s="67"/>
      <c r="AJ165" s="71" t="s">
        <v>108</v>
      </c>
      <c r="AK165" s="71">
        <v>18</v>
      </c>
      <c r="BB165" s="181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73</v>
      </c>
      <c r="Q166" s="345"/>
      <c r="R166" s="345"/>
      <c r="S166" s="345"/>
      <c r="T166" s="345"/>
      <c r="U166" s="345"/>
      <c r="V166" s="346"/>
      <c r="W166" s="37" t="s">
        <v>70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73</v>
      </c>
      <c r="Q167" s="345"/>
      <c r="R167" s="345"/>
      <c r="S167" s="345"/>
      <c r="T167" s="345"/>
      <c r="U167" s="345"/>
      <c r="V167" s="346"/>
      <c r="W167" s="37" t="s">
        <v>74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9" t="s">
        <v>268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hidden="1" customHeight="1" x14ac:dyDescent="0.25">
      <c r="A169" s="338" t="s">
        <v>64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hidden="1" customHeight="1" x14ac:dyDescent="0.25">
      <c r="A170" s="54" t="s">
        <v>269</v>
      </c>
      <c r="B170" s="54" t="s">
        <v>270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67</v>
      </c>
      <c r="L170" s="32" t="s">
        <v>68</v>
      </c>
      <c r="M170" s="33" t="s">
        <v>69</v>
      </c>
      <c r="N170" s="33"/>
      <c r="O170" s="32">
        <v>180</v>
      </c>
      <c r="P170" s="378" t="s">
        <v>271</v>
      </c>
      <c r="Q170" s="335"/>
      <c r="R170" s="335"/>
      <c r="S170" s="335"/>
      <c r="T170" s="336"/>
      <c r="U170" s="34"/>
      <c r="V170" s="34"/>
      <c r="W170" s="35" t="s">
        <v>70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272</v>
      </c>
      <c r="AG170" s="67"/>
      <c r="AJ170" s="71" t="s">
        <v>72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273</v>
      </c>
      <c r="B171" s="54" t="s">
        <v>274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67</v>
      </c>
      <c r="L171" s="32" t="s">
        <v>106</v>
      </c>
      <c r="M171" s="33" t="s">
        <v>69</v>
      </c>
      <c r="N171" s="33"/>
      <c r="O171" s="32">
        <v>180</v>
      </c>
      <c r="P171" s="396" t="s">
        <v>275</v>
      </c>
      <c r="Q171" s="335"/>
      <c r="R171" s="335"/>
      <c r="S171" s="335"/>
      <c r="T171" s="336"/>
      <c r="U171" s="34"/>
      <c r="V171" s="34"/>
      <c r="W171" s="35" t="s">
        <v>70</v>
      </c>
      <c r="X171" s="330">
        <v>36</v>
      </c>
      <c r="Y171" s="331">
        <f>IFERROR(IF(X171="","",X171),"")</f>
        <v>36</v>
      </c>
      <c r="Z171" s="36">
        <f>IFERROR(IF(X171="","",X171*0.00866),"")</f>
        <v>0.31175999999999998</v>
      </c>
      <c r="AA171" s="56"/>
      <c r="AB171" s="57"/>
      <c r="AC171" s="184" t="s">
        <v>276</v>
      </c>
      <c r="AG171" s="67"/>
      <c r="AJ171" s="71" t="s">
        <v>108</v>
      </c>
      <c r="AK171" s="71">
        <v>12</v>
      </c>
      <c r="BB171" s="185" t="s">
        <v>1</v>
      </c>
      <c r="BM171" s="67">
        <f>IFERROR(X171*I171,"0")</f>
        <v>187.67519999999999</v>
      </c>
      <c r="BN171" s="67">
        <f>IFERROR(Y171*I171,"0")</f>
        <v>187.67519999999999</v>
      </c>
      <c r="BO171" s="67">
        <f>IFERROR(X171/J171,"0")</f>
        <v>0.25</v>
      </c>
      <c r="BP171" s="67">
        <f>IFERROR(Y171/J171,"0")</f>
        <v>0.25</v>
      </c>
    </row>
    <row r="172" spans="1:68" ht="27" customHeight="1" x14ac:dyDescent="0.25">
      <c r="A172" s="54" t="s">
        <v>277</v>
      </c>
      <c r="B172" s="54" t="s">
        <v>278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67</v>
      </c>
      <c r="L172" s="32" t="s">
        <v>106</v>
      </c>
      <c r="M172" s="33" t="s">
        <v>69</v>
      </c>
      <c r="N172" s="33"/>
      <c r="O172" s="32">
        <v>180</v>
      </c>
      <c r="P17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70</v>
      </c>
      <c r="X172" s="330">
        <v>36</v>
      </c>
      <c r="Y172" s="331">
        <f>IFERROR(IF(X172="","",X172),"")</f>
        <v>36</v>
      </c>
      <c r="Z172" s="36">
        <f>IFERROR(IF(X172="","",X172*0.00866),"")</f>
        <v>0.31175999999999998</v>
      </c>
      <c r="AA172" s="56"/>
      <c r="AB172" s="57"/>
      <c r="AC172" s="186" t="s">
        <v>279</v>
      </c>
      <c r="AG172" s="67"/>
      <c r="AJ172" s="71" t="s">
        <v>108</v>
      </c>
      <c r="AK172" s="71">
        <v>12</v>
      </c>
      <c r="BB172" s="187" t="s">
        <v>1</v>
      </c>
      <c r="BM172" s="67">
        <f>IFERROR(X172*I172,"0")</f>
        <v>187.67519999999999</v>
      </c>
      <c r="BN172" s="67">
        <f>IFERROR(Y172*I172,"0")</f>
        <v>187.67519999999999</v>
      </c>
      <c r="BO172" s="67">
        <f>IFERROR(X172/J172,"0")</f>
        <v>0.25</v>
      </c>
      <c r="BP172" s="67">
        <f>IFERROR(Y172/J172,"0")</f>
        <v>0.25</v>
      </c>
    </row>
    <row r="173" spans="1:68" ht="27" hidden="1" customHeight="1" x14ac:dyDescent="0.25">
      <c r="A173" s="54" t="s">
        <v>280</v>
      </c>
      <c r="B173" s="54" t="s">
        <v>281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67</v>
      </c>
      <c r="L173" s="32" t="s">
        <v>68</v>
      </c>
      <c r="M173" s="33" t="s">
        <v>69</v>
      </c>
      <c r="N173" s="33"/>
      <c r="O173" s="32">
        <v>180</v>
      </c>
      <c r="P173" s="384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70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282</v>
      </c>
      <c r="AG173" s="67"/>
      <c r="AJ173" s="71" t="s">
        <v>72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73</v>
      </c>
      <c r="Q174" s="345"/>
      <c r="R174" s="345"/>
      <c r="S174" s="345"/>
      <c r="T174" s="345"/>
      <c r="U174" s="345"/>
      <c r="V174" s="346"/>
      <c r="W174" s="37" t="s">
        <v>70</v>
      </c>
      <c r="X174" s="332">
        <f>IFERROR(SUM(X170:X173),"0")</f>
        <v>72</v>
      </c>
      <c r="Y174" s="332">
        <f>IFERROR(SUM(Y170:Y173),"0")</f>
        <v>72</v>
      </c>
      <c r="Z174" s="332">
        <f>IFERROR(IF(Z170="",0,Z170),"0")+IFERROR(IF(Z171="",0,Z171),"0")+IFERROR(IF(Z172="",0,Z172),"0")+IFERROR(IF(Z173="",0,Z173),"0")</f>
        <v>0.62351999999999996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73</v>
      </c>
      <c r="Q175" s="345"/>
      <c r="R175" s="345"/>
      <c r="S175" s="345"/>
      <c r="T175" s="345"/>
      <c r="U175" s="345"/>
      <c r="V175" s="346"/>
      <c r="W175" s="37" t="s">
        <v>74</v>
      </c>
      <c r="X175" s="332">
        <f>IFERROR(SUMPRODUCT(X170:X173*H170:H173),"0")</f>
        <v>360</v>
      </c>
      <c r="Y175" s="332">
        <f>IFERROR(SUMPRODUCT(Y170:Y173*H170:H173),"0")</f>
        <v>360</v>
      </c>
      <c r="Z175" s="37"/>
      <c r="AA175" s="333"/>
      <c r="AB175" s="333"/>
      <c r="AC175" s="333"/>
    </row>
    <row r="176" spans="1:68" ht="14.25" hidden="1" customHeight="1" x14ac:dyDescent="0.25">
      <c r="A176" s="338" t="s">
        <v>283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hidden="1" customHeight="1" x14ac:dyDescent="0.25">
      <c r="A177" s="54" t="s">
        <v>284</v>
      </c>
      <c r="B177" s="54" t="s">
        <v>285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67</v>
      </c>
      <c r="L177" s="32" t="s">
        <v>68</v>
      </c>
      <c r="M177" s="33" t="s">
        <v>69</v>
      </c>
      <c r="N177" s="33"/>
      <c r="O177" s="32">
        <v>90</v>
      </c>
      <c r="P177" s="49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70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286</v>
      </c>
      <c r="AG177" s="67"/>
      <c r="AJ177" s="71" t="s">
        <v>72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287</v>
      </c>
      <c r="B178" s="54" t="s">
        <v>288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67</v>
      </c>
      <c r="L178" s="32" t="s">
        <v>68</v>
      </c>
      <c r="M178" s="33" t="s">
        <v>69</v>
      </c>
      <c r="N178" s="33"/>
      <c r="O178" s="32">
        <v>90</v>
      </c>
      <c r="P178" s="5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70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286</v>
      </c>
      <c r="AG178" s="67"/>
      <c r="AJ178" s="71" t="s">
        <v>72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73</v>
      </c>
      <c r="Q179" s="345"/>
      <c r="R179" s="345"/>
      <c r="S179" s="345"/>
      <c r="T179" s="345"/>
      <c r="U179" s="345"/>
      <c r="V179" s="346"/>
      <c r="W179" s="37" t="s">
        <v>70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73</v>
      </c>
      <c r="Q180" s="345"/>
      <c r="R180" s="345"/>
      <c r="S180" s="345"/>
      <c r="T180" s="345"/>
      <c r="U180" s="345"/>
      <c r="V180" s="346"/>
      <c r="W180" s="37" t="s">
        <v>74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35" t="s">
        <v>289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hidden="1" customHeight="1" x14ac:dyDescent="0.25">
      <c r="A182" s="349" t="s">
        <v>290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hidden="1" customHeight="1" x14ac:dyDescent="0.25">
      <c r="A183" s="338" t="s">
        <v>77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291</v>
      </c>
      <c r="B184" s="54" t="s">
        <v>292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365</v>
      </c>
      <c r="P184" s="39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70</v>
      </c>
      <c r="X184" s="330">
        <v>84</v>
      </c>
      <c r="Y184" s="331">
        <f>IFERROR(IF(X184="","",X184),"")</f>
        <v>84</v>
      </c>
      <c r="Z184" s="36">
        <f>IFERROR(IF(X184="","",X184*0.01788),"")</f>
        <v>1.5019199999999999</v>
      </c>
      <c r="AA184" s="56"/>
      <c r="AB184" s="57"/>
      <c r="AC184" s="194" t="s">
        <v>293</v>
      </c>
      <c r="AG184" s="67"/>
      <c r="AJ184" s="71" t="s">
        <v>72</v>
      </c>
      <c r="AK184" s="71">
        <v>1</v>
      </c>
      <c r="BB184" s="195" t="s">
        <v>83</v>
      </c>
      <c r="BM184" s="67">
        <f>IFERROR(X184*I184,"0")</f>
        <v>284.59199999999998</v>
      </c>
      <c r="BN184" s="67">
        <f>IFERROR(Y184*I184,"0")</f>
        <v>284.59199999999998</v>
      </c>
      <c r="BO184" s="67">
        <f>IFERROR(X184/J184,"0")</f>
        <v>1.2</v>
      </c>
      <c r="BP184" s="67">
        <f>IFERROR(Y184/J184,"0")</f>
        <v>1.2</v>
      </c>
    </row>
    <row r="185" spans="1:68" ht="27" customHeight="1" x14ac:dyDescent="0.25">
      <c r="A185" s="54" t="s">
        <v>294</v>
      </c>
      <c r="B185" s="54" t="s">
        <v>295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365</v>
      </c>
      <c r="P185" s="4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70</v>
      </c>
      <c r="X185" s="330">
        <v>84</v>
      </c>
      <c r="Y185" s="331">
        <f>IFERROR(IF(X185="","",X185),"")</f>
        <v>84</v>
      </c>
      <c r="Z185" s="36">
        <f>IFERROR(IF(X185="","",X185*0.01788),"")</f>
        <v>1.5019199999999999</v>
      </c>
      <c r="AA185" s="56"/>
      <c r="AB185" s="57"/>
      <c r="AC185" s="196" t="s">
        <v>296</v>
      </c>
      <c r="AG185" s="67"/>
      <c r="AJ185" s="71" t="s">
        <v>72</v>
      </c>
      <c r="AK185" s="71">
        <v>1</v>
      </c>
      <c r="BB185" s="197" t="s">
        <v>83</v>
      </c>
      <c r="BM185" s="67">
        <f>IFERROR(X185*I185,"0")</f>
        <v>284.59199999999998</v>
      </c>
      <c r="BN185" s="67">
        <f>IFERROR(Y185*I185,"0")</f>
        <v>284.59199999999998</v>
      </c>
      <c r="BO185" s="67">
        <f>IFERROR(X185/J185,"0")</f>
        <v>1.2</v>
      </c>
      <c r="BP185" s="67">
        <f>IFERROR(Y185/J185,"0")</f>
        <v>1.2</v>
      </c>
    </row>
    <row r="186" spans="1:68" ht="27" customHeight="1" x14ac:dyDescent="0.25">
      <c r="A186" s="54" t="s">
        <v>297</v>
      </c>
      <c r="B186" s="54" t="s">
        <v>298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70</v>
      </c>
      <c r="X186" s="330">
        <v>98</v>
      </c>
      <c r="Y186" s="331">
        <f>IFERROR(IF(X186="","",X186),"")</f>
        <v>98</v>
      </c>
      <c r="Z186" s="36">
        <f>IFERROR(IF(X186="","",X186*0.01788),"")</f>
        <v>1.75224</v>
      </c>
      <c r="AA186" s="56"/>
      <c r="AB186" s="57"/>
      <c r="AC186" s="198" t="s">
        <v>299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366.12800000000004</v>
      </c>
      <c r="BN186" s="67">
        <f>IFERROR(Y186*I186,"0")</f>
        <v>366.12800000000004</v>
      </c>
      <c r="BO186" s="67">
        <f>IFERROR(X186/J186,"0")</f>
        <v>1.4</v>
      </c>
      <c r="BP186" s="67">
        <f>IFERROR(Y186/J186,"0")</f>
        <v>1.4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73</v>
      </c>
      <c r="Q187" s="345"/>
      <c r="R187" s="345"/>
      <c r="S187" s="345"/>
      <c r="T187" s="345"/>
      <c r="U187" s="345"/>
      <c r="V187" s="346"/>
      <c r="W187" s="37" t="s">
        <v>70</v>
      </c>
      <c r="X187" s="332">
        <f>IFERROR(SUM(X184:X186),"0")</f>
        <v>266</v>
      </c>
      <c r="Y187" s="332">
        <f>IFERROR(SUM(Y184:Y186),"0")</f>
        <v>266</v>
      </c>
      <c r="Z187" s="332">
        <f>IFERROR(IF(Z184="",0,Z184),"0")+IFERROR(IF(Z185="",0,Z185),"0")+IFERROR(IF(Z186="",0,Z186),"0")</f>
        <v>4.7560799999999999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73</v>
      </c>
      <c r="Q188" s="345"/>
      <c r="R188" s="345"/>
      <c r="S188" s="345"/>
      <c r="T188" s="345"/>
      <c r="U188" s="345"/>
      <c r="V188" s="346"/>
      <c r="W188" s="37" t="s">
        <v>74</v>
      </c>
      <c r="X188" s="332">
        <f>IFERROR(SUMPRODUCT(X184:X186*H184:H186),"0")</f>
        <v>798</v>
      </c>
      <c r="Y188" s="332">
        <f>IFERROR(SUMPRODUCT(Y184:Y186*H184:H186),"0")</f>
        <v>798</v>
      </c>
      <c r="Z188" s="37"/>
      <c r="AA188" s="333"/>
      <c r="AB188" s="333"/>
      <c r="AC188" s="333"/>
    </row>
    <row r="189" spans="1:68" ht="14.25" hidden="1" customHeight="1" x14ac:dyDescent="0.25">
      <c r="A189" s="338" t="s">
        <v>300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hidden="1" customHeight="1" x14ac:dyDescent="0.25">
      <c r="A190" s="54" t="s">
        <v>301</v>
      </c>
      <c r="B190" s="54" t="s">
        <v>302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303</v>
      </c>
      <c r="L190" s="32" t="s">
        <v>68</v>
      </c>
      <c r="M190" s="33" t="s">
        <v>304</v>
      </c>
      <c r="N190" s="33"/>
      <c r="O190" s="32">
        <v>365</v>
      </c>
      <c r="P190" s="511" t="s">
        <v>305</v>
      </c>
      <c r="Q190" s="335"/>
      <c r="R190" s="335"/>
      <c r="S190" s="335"/>
      <c r="T190" s="336"/>
      <c r="U190" s="34"/>
      <c r="V190" s="34"/>
      <c r="W190" s="35" t="s">
        <v>70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306</v>
      </c>
      <c r="AG190" s="67"/>
      <c r="AJ190" s="71" t="s">
        <v>72</v>
      </c>
      <c r="AK190" s="71">
        <v>1</v>
      </c>
      <c r="BB190" s="201" t="s">
        <v>307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73</v>
      </c>
      <c r="Q191" s="345"/>
      <c r="R191" s="345"/>
      <c r="S191" s="345"/>
      <c r="T191" s="345"/>
      <c r="U191" s="345"/>
      <c r="V191" s="346"/>
      <c r="W191" s="37" t="s">
        <v>70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73</v>
      </c>
      <c r="Q192" s="345"/>
      <c r="R192" s="345"/>
      <c r="S192" s="345"/>
      <c r="T192" s="345"/>
      <c r="U192" s="345"/>
      <c r="V192" s="346"/>
      <c r="W192" s="37" t="s">
        <v>74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35" t="s">
        <v>308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hidden="1" customHeight="1" x14ac:dyDescent="0.25">
      <c r="A194" s="349" t="s">
        <v>309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hidden="1" customHeight="1" x14ac:dyDescent="0.25">
      <c r="A195" s="338" t="s">
        <v>144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hidden="1" customHeight="1" x14ac:dyDescent="0.25">
      <c r="A196" s="54" t="s">
        <v>310</v>
      </c>
      <c r="B196" s="54" t="s">
        <v>311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80</v>
      </c>
      <c r="L196" s="32" t="s">
        <v>106</v>
      </c>
      <c r="M196" s="33" t="s">
        <v>69</v>
      </c>
      <c r="N196" s="33"/>
      <c r="O196" s="32">
        <v>180</v>
      </c>
      <c r="P196" s="54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70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312</v>
      </c>
      <c r="AG196" s="67"/>
      <c r="AJ196" s="71" t="s">
        <v>108</v>
      </c>
      <c r="AK196" s="71">
        <v>14</v>
      </c>
      <c r="BB196" s="203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80</v>
      </c>
      <c r="L197" s="32" t="s">
        <v>106</v>
      </c>
      <c r="M197" s="33" t="s">
        <v>69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70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315</v>
      </c>
      <c r="AG197" s="67"/>
      <c r="AJ197" s="71" t="s">
        <v>108</v>
      </c>
      <c r="AK197" s="71">
        <v>14</v>
      </c>
      <c r="BB197" s="205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80</v>
      </c>
      <c r="L198" s="32" t="s">
        <v>106</v>
      </c>
      <c r="M198" s="33" t="s">
        <v>69</v>
      </c>
      <c r="N198" s="33"/>
      <c r="O198" s="32">
        <v>180</v>
      </c>
      <c r="P198" s="5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70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312</v>
      </c>
      <c r="AG198" s="67"/>
      <c r="AJ198" s="71" t="s">
        <v>108</v>
      </c>
      <c r="AK198" s="71">
        <v>14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318</v>
      </c>
      <c r="B199" s="54" t="s">
        <v>319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80</v>
      </c>
      <c r="L199" s="32" t="s">
        <v>68</v>
      </c>
      <c r="M199" s="33" t="s">
        <v>69</v>
      </c>
      <c r="N199" s="33"/>
      <c r="O199" s="32">
        <v>180</v>
      </c>
      <c r="P199" s="5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70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72</v>
      </c>
      <c r="AK199" s="71">
        <v>1</v>
      </c>
      <c r="BB199" s="209" t="s">
        <v>83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73</v>
      </c>
      <c r="Q200" s="345"/>
      <c r="R200" s="345"/>
      <c r="S200" s="345"/>
      <c r="T200" s="345"/>
      <c r="U200" s="345"/>
      <c r="V200" s="346"/>
      <c r="W200" s="37" t="s">
        <v>70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hidden="1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73</v>
      </c>
      <c r="Q201" s="345"/>
      <c r="R201" s="345"/>
      <c r="S201" s="345"/>
      <c r="T201" s="345"/>
      <c r="U201" s="345"/>
      <c r="V201" s="346"/>
      <c r="W201" s="37" t="s">
        <v>74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hidden="1" customHeight="1" x14ac:dyDescent="0.25">
      <c r="A202" s="349" t="s">
        <v>321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hidden="1" customHeight="1" x14ac:dyDescent="0.25">
      <c r="A203" s="338" t="s">
        <v>64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322</v>
      </c>
      <c r="B204" s="54" t="s">
        <v>323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67</v>
      </c>
      <c r="L204" s="32" t="s">
        <v>111</v>
      </c>
      <c r="M204" s="33" t="s">
        <v>69</v>
      </c>
      <c r="N204" s="33"/>
      <c r="O204" s="32">
        <v>180</v>
      </c>
      <c r="P204" s="466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70</v>
      </c>
      <c r="X204" s="330">
        <v>72</v>
      </c>
      <c r="Y204" s="331">
        <f>IFERROR(IF(X204="","",X204),"")</f>
        <v>72</v>
      </c>
      <c r="Z204" s="36">
        <f>IFERROR(IF(X204="","",X204*0.0155),"")</f>
        <v>1.1160000000000001</v>
      </c>
      <c r="AA204" s="56"/>
      <c r="AB204" s="57"/>
      <c r="AC204" s="210" t="s">
        <v>324</v>
      </c>
      <c r="AG204" s="67"/>
      <c r="AJ204" s="71" t="s">
        <v>112</v>
      </c>
      <c r="AK204" s="71">
        <v>84</v>
      </c>
      <c r="BB204" s="211" t="s">
        <v>1</v>
      </c>
      <c r="BM204" s="67">
        <f>IFERROR(X204*I204,"0")</f>
        <v>422.64</v>
      </c>
      <c r="BN204" s="67">
        <f>IFERROR(Y204*I204,"0")</f>
        <v>422.64</v>
      </c>
      <c r="BO204" s="67">
        <f>IFERROR(X204/J204,"0")</f>
        <v>0.8571428571428571</v>
      </c>
      <c r="BP204" s="67">
        <f>IFERROR(Y204/J204,"0")</f>
        <v>0.8571428571428571</v>
      </c>
    </row>
    <row r="205" spans="1:68" ht="27" hidden="1" customHeight="1" x14ac:dyDescent="0.25">
      <c r="A205" s="54" t="s">
        <v>325</v>
      </c>
      <c r="B205" s="54" t="s">
        <v>326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41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70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327</v>
      </c>
      <c r="AG205" s="67"/>
      <c r="AJ205" s="71" t="s">
        <v>72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328</v>
      </c>
      <c r="B206" s="54" t="s">
        <v>329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67</v>
      </c>
      <c r="L206" s="32" t="s">
        <v>106</v>
      </c>
      <c r="M206" s="33" t="s">
        <v>69</v>
      </c>
      <c r="N206" s="33"/>
      <c r="O206" s="32">
        <v>180</v>
      </c>
      <c r="P206" s="469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70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330</v>
      </c>
      <c r="AG206" s="67"/>
      <c r="AJ206" s="71" t="s">
        <v>108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73</v>
      </c>
      <c r="Q207" s="345"/>
      <c r="R207" s="345"/>
      <c r="S207" s="345"/>
      <c r="T207" s="345"/>
      <c r="U207" s="345"/>
      <c r="V207" s="346"/>
      <c r="W207" s="37" t="s">
        <v>70</v>
      </c>
      <c r="X207" s="332">
        <f>IFERROR(SUM(X204:X206),"0")</f>
        <v>72</v>
      </c>
      <c r="Y207" s="332">
        <f>IFERROR(SUM(Y204:Y206),"0")</f>
        <v>72</v>
      </c>
      <c r="Z207" s="332">
        <f>IFERROR(IF(Z204="",0,Z204),"0")+IFERROR(IF(Z205="",0,Z205),"0")+IFERROR(IF(Z206="",0,Z206),"0")</f>
        <v>1.1160000000000001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73</v>
      </c>
      <c r="Q208" s="345"/>
      <c r="R208" s="345"/>
      <c r="S208" s="345"/>
      <c r="T208" s="345"/>
      <c r="U208" s="345"/>
      <c r="V208" s="346"/>
      <c r="W208" s="37" t="s">
        <v>74</v>
      </c>
      <c r="X208" s="332">
        <f>IFERROR(SUMPRODUCT(X204:X206*H204:H206),"0")</f>
        <v>403.2</v>
      </c>
      <c r="Y208" s="332">
        <f>IFERROR(SUMPRODUCT(Y204:Y206*H204:H206),"0")</f>
        <v>403.2</v>
      </c>
      <c r="Z208" s="37"/>
      <c r="AA208" s="333"/>
      <c r="AB208" s="333"/>
      <c r="AC208" s="333"/>
    </row>
    <row r="209" spans="1:68" ht="16.5" hidden="1" customHeight="1" x14ac:dyDescent="0.25">
      <c r="A209" s="349" t="s">
        <v>331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hidden="1" customHeight="1" x14ac:dyDescent="0.25">
      <c r="A210" s="338" t="s">
        <v>64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hidden="1" customHeight="1" x14ac:dyDescent="0.25">
      <c r="A211" s="54" t="s">
        <v>332</v>
      </c>
      <c r="B211" s="54" t="s">
        <v>333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67</v>
      </c>
      <c r="L211" s="32" t="s">
        <v>68</v>
      </c>
      <c r="M211" s="33" t="s">
        <v>69</v>
      </c>
      <c r="N211" s="33"/>
      <c r="O211" s="32">
        <v>180</v>
      </c>
      <c r="P211" s="4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70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334</v>
      </c>
      <c r="AG211" s="67"/>
      <c r="AJ211" s="71" t="s">
        <v>72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335</v>
      </c>
      <c r="B212" s="54" t="s">
        <v>336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67</v>
      </c>
      <c r="L212" s="32" t="s">
        <v>106</v>
      </c>
      <c r="M212" s="33" t="s">
        <v>69</v>
      </c>
      <c r="N212" s="33"/>
      <c r="O212" s="32">
        <v>180</v>
      </c>
      <c r="P212" s="48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70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334</v>
      </c>
      <c r="AG212" s="67"/>
      <c r="AJ212" s="71" t="s">
        <v>108</v>
      </c>
      <c r="AK212" s="71">
        <v>12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337</v>
      </c>
      <c r="B213" s="54" t="s">
        <v>338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3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70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340</v>
      </c>
      <c r="B214" s="54" t="s">
        <v>341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67</v>
      </c>
      <c r="L214" s="32" t="s">
        <v>68</v>
      </c>
      <c r="M214" s="33" t="s">
        <v>69</v>
      </c>
      <c r="N214" s="33"/>
      <c r="O214" s="32">
        <v>180</v>
      </c>
      <c r="P214" s="4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70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72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342</v>
      </c>
      <c r="B215" s="54" t="s">
        <v>343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7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70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334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344</v>
      </c>
      <c r="B216" s="54" t="s">
        <v>345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67</v>
      </c>
      <c r="L216" s="32" t="s">
        <v>106</v>
      </c>
      <c r="M216" s="33" t="s">
        <v>69</v>
      </c>
      <c r="N216" s="33"/>
      <c r="O216" s="32">
        <v>180</v>
      </c>
      <c r="P216" s="4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70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334</v>
      </c>
      <c r="AG216" s="67"/>
      <c r="AJ216" s="71" t="s">
        <v>108</v>
      </c>
      <c r="AK216" s="71">
        <v>12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idden="1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73</v>
      </c>
      <c r="Q217" s="345"/>
      <c r="R217" s="345"/>
      <c r="S217" s="345"/>
      <c r="T217" s="345"/>
      <c r="U217" s="345"/>
      <c r="V217" s="346"/>
      <c r="W217" s="37" t="s">
        <v>70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hidden="1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73</v>
      </c>
      <c r="Q218" s="345"/>
      <c r="R218" s="345"/>
      <c r="S218" s="345"/>
      <c r="T218" s="345"/>
      <c r="U218" s="345"/>
      <c r="V218" s="346"/>
      <c r="W218" s="37" t="s">
        <v>74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hidden="1" customHeight="1" x14ac:dyDescent="0.25">
      <c r="A219" s="349" t="s">
        <v>346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hidden="1" customHeight="1" x14ac:dyDescent="0.25">
      <c r="A220" s="338" t="s">
        <v>64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hidden="1" customHeight="1" x14ac:dyDescent="0.25">
      <c r="A221" s="54" t="s">
        <v>347</v>
      </c>
      <c r="B221" s="54" t="s">
        <v>348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67</v>
      </c>
      <c r="L221" s="32" t="s">
        <v>68</v>
      </c>
      <c r="M221" s="33" t="s">
        <v>69</v>
      </c>
      <c r="N221" s="33"/>
      <c r="O221" s="32">
        <v>180</v>
      </c>
      <c r="P221" s="36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70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349</v>
      </c>
      <c r="AG221" s="67"/>
      <c r="AJ221" s="71" t="s">
        <v>72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350</v>
      </c>
      <c r="B222" s="54" t="s">
        <v>351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67</v>
      </c>
      <c r="L222" s="32" t="s">
        <v>106</v>
      </c>
      <c r="M222" s="33" t="s">
        <v>69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70</v>
      </c>
      <c r="X222" s="330">
        <v>72</v>
      </c>
      <c r="Y222" s="331">
        <f>IFERROR(IF(X222="","",X222),"")</f>
        <v>72</v>
      </c>
      <c r="Z222" s="36">
        <f>IFERROR(IF(X222="","",X222*0.0155),"")</f>
        <v>1.1160000000000001</v>
      </c>
      <c r="AA222" s="56"/>
      <c r="AB222" s="57"/>
      <c r="AC222" s="230" t="s">
        <v>349</v>
      </c>
      <c r="AG222" s="67"/>
      <c r="AJ222" s="71" t="s">
        <v>108</v>
      </c>
      <c r="AK222" s="71">
        <v>12</v>
      </c>
      <c r="BB222" s="231" t="s">
        <v>1</v>
      </c>
      <c r="BM222" s="67">
        <f>IFERROR(X222*I222,"0")</f>
        <v>537.84</v>
      </c>
      <c r="BN222" s="67">
        <f>IFERROR(Y222*I222,"0")</f>
        <v>537.84</v>
      </c>
      <c r="BO222" s="67">
        <f>IFERROR(X222/J222,"0")</f>
        <v>0.8571428571428571</v>
      </c>
      <c r="BP222" s="67">
        <f>IFERROR(Y222/J222,"0")</f>
        <v>0.8571428571428571</v>
      </c>
    </row>
    <row r="223" spans="1:68" ht="27" hidden="1" customHeight="1" x14ac:dyDescent="0.25">
      <c r="A223" s="54" t="s">
        <v>352</v>
      </c>
      <c r="B223" s="54" t="s">
        <v>353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2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70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355</v>
      </c>
      <c r="B224" s="54" t="s">
        <v>356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5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70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354</v>
      </c>
      <c r="AG224" s="67"/>
      <c r="AJ224" s="71" t="s">
        <v>72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73</v>
      </c>
      <c r="Q225" s="345"/>
      <c r="R225" s="345"/>
      <c r="S225" s="345"/>
      <c r="T225" s="345"/>
      <c r="U225" s="345"/>
      <c r="V225" s="346"/>
      <c r="W225" s="37" t="s">
        <v>70</v>
      </c>
      <c r="X225" s="332">
        <f>IFERROR(SUM(X221:X224),"0")</f>
        <v>72</v>
      </c>
      <c r="Y225" s="332">
        <f>IFERROR(SUM(Y221:Y224),"0")</f>
        <v>72</v>
      </c>
      <c r="Z225" s="332">
        <f>IFERROR(IF(Z221="",0,Z221),"0")+IFERROR(IF(Z222="",0,Z222),"0")+IFERROR(IF(Z223="",0,Z223),"0")+IFERROR(IF(Z224="",0,Z224),"0")</f>
        <v>1.1160000000000001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73</v>
      </c>
      <c r="Q226" s="345"/>
      <c r="R226" s="345"/>
      <c r="S226" s="345"/>
      <c r="T226" s="345"/>
      <c r="U226" s="345"/>
      <c r="V226" s="346"/>
      <c r="W226" s="37" t="s">
        <v>74</v>
      </c>
      <c r="X226" s="332">
        <f>IFERROR(SUMPRODUCT(X221:X224*H221:H224),"0")</f>
        <v>518.4</v>
      </c>
      <c r="Y226" s="332">
        <f>IFERROR(SUMPRODUCT(Y221:Y224*H221:H224),"0")</f>
        <v>518.4</v>
      </c>
      <c r="Z226" s="37"/>
      <c r="AA226" s="333"/>
      <c r="AB226" s="333"/>
      <c r="AC226" s="333"/>
    </row>
    <row r="227" spans="1:68" ht="16.5" hidden="1" customHeight="1" x14ac:dyDescent="0.25">
      <c r="A227" s="349" t="s">
        <v>357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hidden="1" customHeight="1" x14ac:dyDescent="0.25">
      <c r="A228" s="338" t="s">
        <v>64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hidden="1" customHeight="1" x14ac:dyDescent="0.25">
      <c r="A229" s="54" t="s">
        <v>358</v>
      </c>
      <c r="B229" s="54" t="s">
        <v>359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464" t="s">
        <v>360</v>
      </c>
      <c r="Q229" s="335"/>
      <c r="R229" s="335"/>
      <c r="S229" s="335"/>
      <c r="T229" s="336"/>
      <c r="U229" s="34"/>
      <c r="V229" s="34"/>
      <c r="W229" s="35" t="s">
        <v>70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361</v>
      </c>
      <c r="AG229" s="67"/>
      <c r="AJ229" s="71" t="s">
        <v>72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73</v>
      </c>
      <c r="Q230" s="345"/>
      <c r="R230" s="345"/>
      <c r="S230" s="345"/>
      <c r="T230" s="345"/>
      <c r="U230" s="345"/>
      <c r="V230" s="346"/>
      <c r="W230" s="37" t="s">
        <v>70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73</v>
      </c>
      <c r="Q231" s="345"/>
      <c r="R231" s="345"/>
      <c r="S231" s="345"/>
      <c r="T231" s="345"/>
      <c r="U231" s="345"/>
      <c r="V231" s="346"/>
      <c r="W231" s="37" t="s">
        <v>74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38" t="s">
        <v>144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hidden="1" customHeight="1" x14ac:dyDescent="0.25">
      <c r="A233" s="54" t="s">
        <v>362</v>
      </c>
      <c r="B233" s="54" t="s">
        <v>363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80</v>
      </c>
      <c r="L233" s="32" t="s">
        <v>68</v>
      </c>
      <c r="M233" s="33" t="s">
        <v>69</v>
      </c>
      <c r="N233" s="33"/>
      <c r="O233" s="32">
        <v>180</v>
      </c>
      <c r="P233" s="470" t="s">
        <v>364</v>
      </c>
      <c r="Q233" s="335"/>
      <c r="R233" s="335"/>
      <c r="S233" s="335"/>
      <c r="T233" s="336"/>
      <c r="U233" s="34"/>
      <c r="V233" s="34"/>
      <c r="W233" s="35" t="s">
        <v>70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365</v>
      </c>
      <c r="AG233" s="67"/>
      <c r="AJ233" s="71" t="s">
        <v>72</v>
      </c>
      <c r="AK233" s="71">
        <v>1</v>
      </c>
      <c r="BB233" s="239" t="s">
        <v>83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366</v>
      </c>
      <c r="B234" s="54" t="s">
        <v>367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80</v>
      </c>
      <c r="L234" s="32" t="s">
        <v>68</v>
      </c>
      <c r="M234" s="33" t="s">
        <v>69</v>
      </c>
      <c r="N234" s="33"/>
      <c r="O234" s="32">
        <v>180</v>
      </c>
      <c r="P234" s="380" t="s">
        <v>368</v>
      </c>
      <c r="Q234" s="335"/>
      <c r="R234" s="335"/>
      <c r="S234" s="335"/>
      <c r="T234" s="336"/>
      <c r="U234" s="34"/>
      <c r="V234" s="34"/>
      <c r="W234" s="35" t="s">
        <v>70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365</v>
      </c>
      <c r="AG234" s="67"/>
      <c r="AJ234" s="71" t="s">
        <v>72</v>
      </c>
      <c r="AK234" s="71">
        <v>1</v>
      </c>
      <c r="BB234" s="241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369</v>
      </c>
      <c r="B235" s="54" t="s">
        <v>370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74" t="s">
        <v>371</v>
      </c>
      <c r="Q235" s="335"/>
      <c r="R235" s="335"/>
      <c r="S235" s="335"/>
      <c r="T235" s="336"/>
      <c r="U235" s="34"/>
      <c r="V235" s="34"/>
      <c r="W235" s="35" t="s">
        <v>70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365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73</v>
      </c>
      <c r="Q236" s="345"/>
      <c r="R236" s="345"/>
      <c r="S236" s="345"/>
      <c r="T236" s="345"/>
      <c r="U236" s="345"/>
      <c r="V236" s="346"/>
      <c r="W236" s="37" t="s">
        <v>70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73</v>
      </c>
      <c r="Q237" s="345"/>
      <c r="R237" s="345"/>
      <c r="S237" s="345"/>
      <c r="T237" s="345"/>
      <c r="U237" s="345"/>
      <c r="V237" s="346"/>
      <c r="W237" s="37" t="s">
        <v>74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9" t="s">
        <v>372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hidden="1" customHeight="1" x14ac:dyDescent="0.25">
      <c r="A239" s="338" t="s">
        <v>300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hidden="1" customHeight="1" x14ac:dyDescent="0.25">
      <c r="A240" s="54" t="s">
        <v>373</v>
      </c>
      <c r="B240" s="54" t="s">
        <v>374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80</v>
      </c>
      <c r="L240" s="32" t="s">
        <v>68</v>
      </c>
      <c r="M240" s="33" t="s">
        <v>304</v>
      </c>
      <c r="N240" s="33"/>
      <c r="O240" s="32">
        <v>365</v>
      </c>
      <c r="P240" s="38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70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375</v>
      </c>
      <c r="AG240" s="67"/>
      <c r="AJ240" s="71" t="s">
        <v>72</v>
      </c>
      <c r="AK240" s="71">
        <v>1</v>
      </c>
      <c r="BB240" s="245" t="s">
        <v>307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73</v>
      </c>
      <c r="Q241" s="345"/>
      <c r="R241" s="345"/>
      <c r="S241" s="345"/>
      <c r="T241" s="345"/>
      <c r="U241" s="345"/>
      <c r="V241" s="346"/>
      <c r="W241" s="37" t="s">
        <v>70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73</v>
      </c>
      <c r="Q242" s="345"/>
      <c r="R242" s="345"/>
      <c r="S242" s="345"/>
      <c r="T242" s="345"/>
      <c r="U242" s="345"/>
      <c r="V242" s="346"/>
      <c r="W242" s="37" t="s">
        <v>74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9" t="s">
        <v>376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hidden="1" customHeight="1" x14ac:dyDescent="0.25">
      <c r="A244" s="338" t="s">
        <v>64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hidden="1" customHeight="1" x14ac:dyDescent="0.25">
      <c r="A245" s="54" t="s">
        <v>377</v>
      </c>
      <c r="B245" s="54" t="s">
        <v>378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45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70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379</v>
      </c>
      <c r="AG245" s="67"/>
      <c r="AJ245" s="71" t="s">
        <v>72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hidden="1" customHeight="1" x14ac:dyDescent="0.25">
      <c r="A246" s="54" t="s">
        <v>380</v>
      </c>
      <c r="B246" s="54" t="s">
        <v>381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67</v>
      </c>
      <c r="L246" s="32" t="s">
        <v>106</v>
      </c>
      <c r="M246" s="33" t="s">
        <v>69</v>
      </c>
      <c r="N246" s="33"/>
      <c r="O246" s="32">
        <v>180</v>
      </c>
      <c r="P246" s="35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70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379</v>
      </c>
      <c r="AG246" s="67"/>
      <c r="AJ246" s="71" t="s">
        <v>108</v>
      </c>
      <c r="AK246" s="71">
        <v>12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73</v>
      </c>
      <c r="Q247" s="345"/>
      <c r="R247" s="345"/>
      <c r="S247" s="345"/>
      <c r="T247" s="345"/>
      <c r="U247" s="345"/>
      <c r="V247" s="346"/>
      <c r="W247" s="37" t="s">
        <v>70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hidden="1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73</v>
      </c>
      <c r="Q248" s="345"/>
      <c r="R248" s="345"/>
      <c r="S248" s="345"/>
      <c r="T248" s="345"/>
      <c r="U248" s="345"/>
      <c r="V248" s="346"/>
      <c r="W248" s="37" t="s">
        <v>74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hidden="1" customHeight="1" x14ac:dyDescent="0.2">
      <c r="A249" s="435" t="s">
        <v>382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hidden="1" customHeight="1" x14ac:dyDescent="0.25">
      <c r="A250" s="349" t="s">
        <v>383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hidden="1" customHeight="1" x14ac:dyDescent="0.25">
      <c r="A251" s="338" t="s">
        <v>64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hidden="1" customHeight="1" x14ac:dyDescent="0.25">
      <c r="A252" s="54" t="s">
        <v>384</v>
      </c>
      <c r="B252" s="54" t="s">
        <v>385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67</v>
      </c>
      <c r="L252" s="32" t="s">
        <v>68</v>
      </c>
      <c r="M252" s="33" t="s">
        <v>69</v>
      </c>
      <c r="N252" s="33"/>
      <c r="O252" s="32">
        <v>90</v>
      </c>
      <c r="P25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70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386</v>
      </c>
      <c r="AG252" s="67"/>
      <c r="AJ252" s="71" t="s">
        <v>72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73</v>
      </c>
      <c r="Q253" s="345"/>
      <c r="R253" s="345"/>
      <c r="S253" s="345"/>
      <c r="T253" s="345"/>
      <c r="U253" s="345"/>
      <c r="V253" s="346"/>
      <c r="W253" s="37" t="s">
        <v>70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73</v>
      </c>
      <c r="Q254" s="345"/>
      <c r="R254" s="345"/>
      <c r="S254" s="345"/>
      <c r="T254" s="345"/>
      <c r="U254" s="345"/>
      <c r="V254" s="346"/>
      <c r="W254" s="37" t="s">
        <v>74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35" t="s">
        <v>387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hidden="1" customHeight="1" x14ac:dyDescent="0.25">
      <c r="A256" s="349" t="s">
        <v>388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hidden="1" customHeight="1" x14ac:dyDescent="0.25">
      <c r="A257" s="338" t="s">
        <v>64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389</v>
      </c>
      <c r="B258" s="54" t="s">
        <v>390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67</v>
      </c>
      <c r="L258" s="32" t="s">
        <v>111</v>
      </c>
      <c r="M258" s="33" t="s">
        <v>69</v>
      </c>
      <c r="N258" s="33"/>
      <c r="O258" s="32">
        <v>180</v>
      </c>
      <c r="P258" s="4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70</v>
      </c>
      <c r="X258" s="330">
        <v>24</v>
      </c>
      <c r="Y258" s="331">
        <f>IFERROR(IF(X258="","",X258),"")</f>
        <v>24</v>
      </c>
      <c r="Z258" s="36">
        <f>IFERROR(IF(X258="","",X258*0.0155),"")</f>
        <v>0.372</v>
      </c>
      <c r="AA258" s="56"/>
      <c r="AB258" s="57"/>
      <c r="AC258" s="252" t="s">
        <v>279</v>
      </c>
      <c r="AG258" s="67"/>
      <c r="AJ258" s="71" t="s">
        <v>112</v>
      </c>
      <c r="AK258" s="71">
        <v>84</v>
      </c>
      <c r="BB258" s="253" t="s">
        <v>1</v>
      </c>
      <c r="BM258" s="67">
        <f>IFERROR(X258*I258,"0")</f>
        <v>126.28799999999998</v>
      </c>
      <c r="BN258" s="67">
        <f>IFERROR(Y258*I258,"0")</f>
        <v>126.28799999999998</v>
      </c>
      <c r="BO258" s="67">
        <f>IFERROR(X258/J258,"0")</f>
        <v>0.2857142857142857</v>
      </c>
      <c r="BP258" s="67">
        <f>IFERROR(Y258/J258,"0")</f>
        <v>0.2857142857142857</v>
      </c>
    </row>
    <row r="259" spans="1:68" ht="27" hidden="1" customHeight="1" x14ac:dyDescent="0.25">
      <c r="A259" s="54" t="s">
        <v>391</v>
      </c>
      <c r="B259" s="54" t="s">
        <v>392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67</v>
      </c>
      <c r="L259" s="32" t="s">
        <v>106</v>
      </c>
      <c r="M259" s="33" t="s">
        <v>69</v>
      </c>
      <c r="N259" s="33"/>
      <c r="O259" s="32">
        <v>180</v>
      </c>
      <c r="P259" s="40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70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393</v>
      </c>
      <c r="AG259" s="67"/>
      <c r="AJ259" s="71" t="s">
        <v>108</v>
      </c>
      <c r="AK259" s="71">
        <v>12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73</v>
      </c>
      <c r="Q260" s="345"/>
      <c r="R260" s="345"/>
      <c r="S260" s="345"/>
      <c r="T260" s="345"/>
      <c r="U260" s="345"/>
      <c r="V260" s="346"/>
      <c r="W260" s="37" t="s">
        <v>70</v>
      </c>
      <c r="X260" s="332">
        <f>IFERROR(SUM(X258:X259),"0")</f>
        <v>24</v>
      </c>
      <c r="Y260" s="332">
        <f>IFERROR(SUM(Y258:Y259),"0")</f>
        <v>24</v>
      </c>
      <c r="Z260" s="332">
        <f>IFERROR(IF(Z258="",0,Z258),"0")+IFERROR(IF(Z259="",0,Z259),"0")</f>
        <v>0.372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73</v>
      </c>
      <c r="Q261" s="345"/>
      <c r="R261" s="345"/>
      <c r="S261" s="345"/>
      <c r="T261" s="345"/>
      <c r="U261" s="345"/>
      <c r="V261" s="346"/>
      <c r="W261" s="37" t="s">
        <v>74</v>
      </c>
      <c r="X261" s="332">
        <f>IFERROR(SUMPRODUCT(X258:X259*H258:H259),"0")</f>
        <v>120</v>
      </c>
      <c r="Y261" s="332">
        <f>IFERROR(SUMPRODUCT(Y258:Y259*H258:H259),"0")</f>
        <v>120</v>
      </c>
      <c r="Z261" s="37"/>
      <c r="AA261" s="333"/>
      <c r="AB261" s="333"/>
      <c r="AC261" s="333"/>
    </row>
    <row r="262" spans="1:68" ht="27.75" hidden="1" customHeight="1" x14ac:dyDescent="0.2">
      <c r="A262" s="435" t="s">
        <v>394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hidden="1" customHeight="1" x14ac:dyDescent="0.25">
      <c r="A263" s="349" t="s">
        <v>395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hidden="1" customHeight="1" x14ac:dyDescent="0.25">
      <c r="A264" s="338" t="s">
        <v>396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hidden="1" customHeight="1" x14ac:dyDescent="0.25">
      <c r="A265" s="54" t="s">
        <v>397</v>
      </c>
      <c r="B265" s="54" t="s">
        <v>398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80</v>
      </c>
      <c r="L265" s="32" t="s">
        <v>68</v>
      </c>
      <c r="M265" s="33" t="s">
        <v>69</v>
      </c>
      <c r="N265" s="33"/>
      <c r="O265" s="32">
        <v>180</v>
      </c>
      <c r="P265" s="386" t="s">
        <v>399</v>
      </c>
      <c r="Q265" s="335"/>
      <c r="R265" s="335"/>
      <c r="S265" s="335"/>
      <c r="T265" s="336"/>
      <c r="U265" s="34"/>
      <c r="V265" s="34"/>
      <c r="W265" s="35" t="s">
        <v>70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400</v>
      </c>
      <c r="AG265" s="67"/>
      <c r="AJ265" s="71" t="s">
        <v>72</v>
      </c>
      <c r="AK265" s="71">
        <v>1</v>
      </c>
      <c r="BB265" s="257" t="s">
        <v>83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73</v>
      </c>
      <c r="Q266" s="345"/>
      <c r="R266" s="345"/>
      <c r="S266" s="345"/>
      <c r="T266" s="345"/>
      <c r="U266" s="345"/>
      <c r="V266" s="346"/>
      <c r="W266" s="37" t="s">
        <v>70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73</v>
      </c>
      <c r="Q267" s="345"/>
      <c r="R267" s="345"/>
      <c r="S267" s="345"/>
      <c r="T267" s="345"/>
      <c r="U267" s="345"/>
      <c r="V267" s="346"/>
      <c r="W267" s="37" t="s">
        <v>74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38" t="s">
        <v>144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hidden="1" customHeight="1" x14ac:dyDescent="0.25">
      <c r="A269" s="54" t="s">
        <v>401</v>
      </c>
      <c r="B269" s="54" t="s">
        <v>402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5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70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400</v>
      </c>
      <c r="AG269" s="67"/>
      <c r="AJ269" s="71" t="s">
        <v>72</v>
      </c>
      <c r="AK269" s="71">
        <v>1</v>
      </c>
      <c r="BB269" s="259" t="s">
        <v>83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73</v>
      </c>
      <c r="Q270" s="345"/>
      <c r="R270" s="345"/>
      <c r="S270" s="345"/>
      <c r="T270" s="345"/>
      <c r="U270" s="345"/>
      <c r="V270" s="346"/>
      <c r="W270" s="37" t="s">
        <v>70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73</v>
      </c>
      <c r="Q271" s="345"/>
      <c r="R271" s="345"/>
      <c r="S271" s="345"/>
      <c r="T271" s="345"/>
      <c r="U271" s="345"/>
      <c r="V271" s="346"/>
      <c r="W271" s="37" t="s">
        <v>74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35" t="s">
        <v>264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hidden="1" customHeight="1" x14ac:dyDescent="0.25">
      <c r="A273" s="349" t="s">
        <v>264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hidden="1" customHeight="1" x14ac:dyDescent="0.25">
      <c r="A274" s="338" t="s">
        <v>64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hidden="1" customHeight="1" x14ac:dyDescent="0.25">
      <c r="A275" s="54" t="s">
        <v>403</v>
      </c>
      <c r="B275" s="54" t="s">
        <v>404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67</v>
      </c>
      <c r="L275" s="32" t="s">
        <v>106</v>
      </c>
      <c r="M275" s="33" t="s">
        <v>69</v>
      </c>
      <c r="N275" s="33"/>
      <c r="O275" s="32">
        <v>180</v>
      </c>
      <c r="P275" s="374" t="s">
        <v>405</v>
      </c>
      <c r="Q275" s="335"/>
      <c r="R275" s="335"/>
      <c r="S275" s="335"/>
      <c r="T275" s="336"/>
      <c r="U275" s="34"/>
      <c r="V275" s="34"/>
      <c r="W275" s="35" t="s">
        <v>70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406</v>
      </c>
      <c r="AG275" s="67"/>
      <c r="AJ275" s="71" t="s">
        <v>108</v>
      </c>
      <c r="AK275" s="71">
        <v>12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407</v>
      </c>
      <c r="B276" s="54" t="s">
        <v>408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67</v>
      </c>
      <c r="L276" s="32" t="s">
        <v>106</v>
      </c>
      <c r="M276" s="33" t="s">
        <v>69</v>
      </c>
      <c r="N276" s="33"/>
      <c r="O276" s="32">
        <v>180</v>
      </c>
      <c r="P276" s="508" t="s">
        <v>409</v>
      </c>
      <c r="Q276" s="335"/>
      <c r="R276" s="335"/>
      <c r="S276" s="335"/>
      <c r="T276" s="336"/>
      <c r="U276" s="34"/>
      <c r="V276" s="34"/>
      <c r="W276" s="35" t="s">
        <v>70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406</v>
      </c>
      <c r="AG276" s="67"/>
      <c r="AJ276" s="71" t="s">
        <v>108</v>
      </c>
      <c r="AK276" s="71">
        <v>12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410</v>
      </c>
      <c r="B277" s="54" t="s">
        <v>411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67</v>
      </c>
      <c r="L277" s="32" t="s">
        <v>106</v>
      </c>
      <c r="M277" s="33" t="s">
        <v>69</v>
      </c>
      <c r="N277" s="33"/>
      <c r="O277" s="32">
        <v>180</v>
      </c>
      <c r="P277" s="442" t="s">
        <v>412</v>
      </c>
      <c r="Q277" s="335"/>
      <c r="R277" s="335"/>
      <c r="S277" s="335"/>
      <c r="T277" s="336"/>
      <c r="U277" s="34"/>
      <c r="V277" s="34"/>
      <c r="W277" s="35" t="s">
        <v>70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413</v>
      </c>
      <c r="AG277" s="67"/>
      <c r="AJ277" s="71" t="s">
        <v>108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73</v>
      </c>
      <c r="Q278" s="345"/>
      <c r="R278" s="345"/>
      <c r="S278" s="345"/>
      <c r="T278" s="345"/>
      <c r="U278" s="345"/>
      <c r="V278" s="346"/>
      <c r="W278" s="37" t="s">
        <v>70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73</v>
      </c>
      <c r="Q279" s="345"/>
      <c r="R279" s="345"/>
      <c r="S279" s="345"/>
      <c r="T279" s="345"/>
      <c r="U279" s="345"/>
      <c r="V279" s="346"/>
      <c r="W279" s="37" t="s">
        <v>74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38" t="s">
        <v>168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hidden="1" customHeight="1" x14ac:dyDescent="0.25">
      <c r="A281" s="54" t="s">
        <v>414</v>
      </c>
      <c r="B281" s="54" t="s">
        <v>415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158</v>
      </c>
      <c r="L281" s="32" t="s">
        <v>106</v>
      </c>
      <c r="M281" s="33" t="s">
        <v>69</v>
      </c>
      <c r="N281" s="33"/>
      <c r="O281" s="32">
        <v>180</v>
      </c>
      <c r="P281" s="4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70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416</v>
      </c>
      <c r="AG281" s="67"/>
      <c r="AJ281" s="71" t="s">
        <v>108</v>
      </c>
      <c r="AK281" s="71">
        <v>18</v>
      </c>
      <c r="BB281" s="267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73</v>
      </c>
      <c r="Q282" s="345"/>
      <c r="R282" s="345"/>
      <c r="S282" s="345"/>
      <c r="T282" s="345"/>
      <c r="U282" s="345"/>
      <c r="V282" s="346"/>
      <c r="W282" s="37" t="s">
        <v>70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hidden="1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73</v>
      </c>
      <c r="Q283" s="345"/>
      <c r="R283" s="345"/>
      <c r="S283" s="345"/>
      <c r="T283" s="345"/>
      <c r="U283" s="345"/>
      <c r="V283" s="346"/>
      <c r="W283" s="37" t="s">
        <v>74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hidden="1" customHeight="1" x14ac:dyDescent="0.25">
      <c r="A284" s="338" t="s">
        <v>77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417</v>
      </c>
      <c r="B285" s="54" t="s">
        <v>418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67</v>
      </c>
      <c r="L285" s="32" t="s">
        <v>111</v>
      </c>
      <c r="M285" s="33" t="s">
        <v>69</v>
      </c>
      <c r="N285" s="33"/>
      <c r="O285" s="32">
        <v>180</v>
      </c>
      <c r="P285" s="4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70</v>
      </c>
      <c r="X285" s="330">
        <v>24</v>
      </c>
      <c r="Y285" s="331">
        <f>IFERROR(IF(X285="","",X285),"")</f>
        <v>24</v>
      </c>
      <c r="Z285" s="36">
        <f>IFERROR(IF(X285="","",X285*0.0155),"")</f>
        <v>0.372</v>
      </c>
      <c r="AA285" s="56"/>
      <c r="AB285" s="57"/>
      <c r="AC285" s="268" t="s">
        <v>419</v>
      </c>
      <c r="AG285" s="67"/>
      <c r="AJ285" s="71" t="s">
        <v>112</v>
      </c>
      <c r="AK285" s="71">
        <v>84</v>
      </c>
      <c r="BB285" s="269" t="s">
        <v>83</v>
      </c>
      <c r="BM285" s="67">
        <f>IFERROR(X285*I285,"0")</f>
        <v>150.24</v>
      </c>
      <c r="BN285" s="67">
        <f>IFERROR(Y285*I285,"0")</f>
        <v>150.24</v>
      </c>
      <c r="BO285" s="67">
        <f>IFERROR(X285/J285,"0")</f>
        <v>0.2857142857142857</v>
      </c>
      <c r="BP285" s="67">
        <f>IFERROR(Y285/J285,"0")</f>
        <v>0.2857142857142857</v>
      </c>
    </row>
    <row r="286" spans="1:68" ht="27" hidden="1" customHeight="1" x14ac:dyDescent="0.25">
      <c r="A286" s="54" t="s">
        <v>420</v>
      </c>
      <c r="B286" s="54" t="s">
        <v>421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158</v>
      </c>
      <c r="L286" s="32" t="s">
        <v>106</v>
      </c>
      <c r="M286" s="33" t="s">
        <v>69</v>
      </c>
      <c r="N286" s="33"/>
      <c r="O286" s="32">
        <v>180</v>
      </c>
      <c r="P286" s="411" t="s">
        <v>422</v>
      </c>
      <c r="Q286" s="335"/>
      <c r="R286" s="335"/>
      <c r="S286" s="335"/>
      <c r="T286" s="336"/>
      <c r="U286" s="34"/>
      <c r="V286" s="34"/>
      <c r="W286" s="35" t="s">
        <v>70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419</v>
      </c>
      <c r="AG286" s="67"/>
      <c r="AJ286" s="71" t="s">
        <v>108</v>
      </c>
      <c r="AK286" s="71">
        <v>18</v>
      </c>
      <c r="BB286" s="271" t="s">
        <v>83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73</v>
      </c>
      <c r="Q287" s="345"/>
      <c r="R287" s="345"/>
      <c r="S287" s="345"/>
      <c r="T287" s="345"/>
      <c r="U287" s="345"/>
      <c r="V287" s="346"/>
      <c r="W287" s="37" t="s">
        <v>70</v>
      </c>
      <c r="X287" s="332">
        <f>IFERROR(SUM(X285:X286),"0")</f>
        <v>24</v>
      </c>
      <c r="Y287" s="332">
        <f>IFERROR(SUM(Y285:Y286),"0")</f>
        <v>24</v>
      </c>
      <c r="Z287" s="332">
        <f>IFERROR(IF(Z285="",0,Z285),"0")+IFERROR(IF(Z286="",0,Z286),"0")</f>
        <v>0.372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73</v>
      </c>
      <c r="Q288" s="345"/>
      <c r="R288" s="345"/>
      <c r="S288" s="345"/>
      <c r="T288" s="345"/>
      <c r="U288" s="345"/>
      <c r="V288" s="346"/>
      <c r="W288" s="37" t="s">
        <v>74</v>
      </c>
      <c r="X288" s="332">
        <f>IFERROR(SUMPRODUCT(X285:X286*H285:H286),"0")</f>
        <v>144</v>
      </c>
      <c r="Y288" s="332">
        <f>IFERROR(SUMPRODUCT(Y285:Y286*H285:H286),"0")</f>
        <v>144</v>
      </c>
      <c r="Z288" s="37"/>
      <c r="AA288" s="333"/>
      <c r="AB288" s="333"/>
      <c r="AC288" s="333"/>
    </row>
    <row r="289" spans="1:68" ht="14.25" hidden="1" customHeight="1" x14ac:dyDescent="0.25">
      <c r="A289" s="338" t="s">
        <v>140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hidden="1" customHeight="1" x14ac:dyDescent="0.25">
      <c r="A290" s="54" t="s">
        <v>423</v>
      </c>
      <c r="B290" s="54" t="s">
        <v>424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80</v>
      </c>
      <c r="L290" s="32" t="s">
        <v>106</v>
      </c>
      <c r="M290" s="33" t="s">
        <v>69</v>
      </c>
      <c r="N290" s="33"/>
      <c r="O290" s="32">
        <v>180</v>
      </c>
      <c r="P290" s="373" t="s">
        <v>425</v>
      </c>
      <c r="Q290" s="335"/>
      <c r="R290" s="335"/>
      <c r="S290" s="335"/>
      <c r="T290" s="336"/>
      <c r="U290" s="34"/>
      <c r="V290" s="34"/>
      <c r="W290" s="35" t="s">
        <v>70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426</v>
      </c>
      <c r="AG290" s="67"/>
      <c r="AJ290" s="71" t="s">
        <v>108</v>
      </c>
      <c r="AK290" s="71">
        <v>14</v>
      </c>
      <c r="BB290" s="273" t="s">
        <v>83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427</v>
      </c>
      <c r="B291" s="54" t="s">
        <v>428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67</v>
      </c>
      <c r="L291" s="32" t="s">
        <v>111</v>
      </c>
      <c r="M291" s="33" t="s">
        <v>69</v>
      </c>
      <c r="N291" s="33"/>
      <c r="O291" s="32">
        <v>180</v>
      </c>
      <c r="P291" s="5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70</v>
      </c>
      <c r="X291" s="330">
        <v>36</v>
      </c>
      <c r="Y291" s="331">
        <f>IFERROR(IF(X291="","",X291),"")</f>
        <v>36</v>
      </c>
      <c r="Z291" s="36">
        <f>IFERROR(IF(X291="","",X291*0.0155),"")</f>
        <v>0.55800000000000005</v>
      </c>
      <c r="AA291" s="56"/>
      <c r="AB291" s="57"/>
      <c r="AC291" s="274" t="s">
        <v>426</v>
      </c>
      <c r="AG291" s="67"/>
      <c r="AJ291" s="71" t="s">
        <v>112</v>
      </c>
      <c r="AK291" s="71">
        <v>84</v>
      </c>
      <c r="BB291" s="275" t="s">
        <v>83</v>
      </c>
      <c r="BM291" s="67">
        <f>IFERROR(X291*I291,"0")</f>
        <v>188.46</v>
      </c>
      <c r="BN291" s="67">
        <f>IFERROR(Y291*I291,"0")</f>
        <v>188.46</v>
      </c>
      <c r="BO291" s="67">
        <f>IFERROR(X291/J291,"0")</f>
        <v>0.42857142857142855</v>
      </c>
      <c r="BP291" s="67">
        <f>IFERROR(Y291/J291,"0")</f>
        <v>0.42857142857142855</v>
      </c>
    </row>
    <row r="292" spans="1:68" ht="27" hidden="1" customHeight="1" x14ac:dyDescent="0.25">
      <c r="A292" s="54" t="s">
        <v>429</v>
      </c>
      <c r="B292" s="54" t="s">
        <v>430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80</v>
      </c>
      <c r="L292" s="32" t="s">
        <v>106</v>
      </c>
      <c r="M292" s="33" t="s">
        <v>69</v>
      </c>
      <c r="N292" s="33"/>
      <c r="O292" s="32">
        <v>180</v>
      </c>
      <c r="P292" s="53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70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426</v>
      </c>
      <c r="AG292" s="67"/>
      <c r="AJ292" s="71" t="s">
        <v>108</v>
      </c>
      <c r="AK292" s="71">
        <v>14</v>
      </c>
      <c r="BB292" s="277" t="s">
        <v>83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73</v>
      </c>
      <c r="Q293" s="345"/>
      <c r="R293" s="345"/>
      <c r="S293" s="345"/>
      <c r="T293" s="345"/>
      <c r="U293" s="345"/>
      <c r="V293" s="346"/>
      <c r="W293" s="37" t="s">
        <v>70</v>
      </c>
      <c r="X293" s="332">
        <f>IFERROR(SUM(X290:X292),"0")</f>
        <v>36</v>
      </c>
      <c r="Y293" s="332">
        <f>IFERROR(SUM(Y290:Y292),"0")</f>
        <v>36</v>
      </c>
      <c r="Z293" s="332">
        <f>IFERROR(IF(Z290="",0,Z290),"0")+IFERROR(IF(Z291="",0,Z291),"0")+IFERROR(IF(Z292="",0,Z292),"0")</f>
        <v>0.55800000000000005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73</v>
      </c>
      <c r="Q294" s="345"/>
      <c r="R294" s="345"/>
      <c r="S294" s="345"/>
      <c r="T294" s="345"/>
      <c r="U294" s="345"/>
      <c r="V294" s="346"/>
      <c r="W294" s="37" t="s">
        <v>74</v>
      </c>
      <c r="X294" s="332">
        <f>IFERROR(SUMPRODUCT(X290:X292*H290:H292),"0")</f>
        <v>180</v>
      </c>
      <c r="Y294" s="332">
        <f>IFERROR(SUMPRODUCT(Y290:Y292*H290:H292),"0")</f>
        <v>180</v>
      </c>
      <c r="Z294" s="37"/>
      <c r="AA294" s="333"/>
      <c r="AB294" s="333"/>
      <c r="AC294" s="333"/>
    </row>
    <row r="295" spans="1:68" ht="14.25" hidden="1" customHeight="1" x14ac:dyDescent="0.25">
      <c r="A295" s="338" t="s">
        <v>144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hidden="1" customHeight="1" x14ac:dyDescent="0.25">
      <c r="A296" s="54" t="s">
        <v>431</v>
      </c>
      <c r="B296" s="54" t="s">
        <v>432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80</v>
      </c>
      <c r="L296" s="32" t="s">
        <v>68</v>
      </c>
      <c r="M296" s="33" t="s">
        <v>69</v>
      </c>
      <c r="N296" s="33"/>
      <c r="O296" s="32">
        <v>180</v>
      </c>
      <c r="P296" s="463" t="s">
        <v>433</v>
      </c>
      <c r="Q296" s="335"/>
      <c r="R296" s="335"/>
      <c r="S296" s="335"/>
      <c r="T296" s="336"/>
      <c r="U296" s="34"/>
      <c r="V296" s="34"/>
      <c r="W296" s="35" t="s">
        <v>70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434</v>
      </c>
      <c r="AG296" s="67"/>
      <c r="AJ296" s="71" t="s">
        <v>72</v>
      </c>
      <c r="AK296" s="71">
        <v>1</v>
      </c>
      <c r="BB296" s="279" t="s">
        <v>83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hidden="1" customHeight="1" x14ac:dyDescent="0.25">
      <c r="A297" s="54" t="s">
        <v>435</v>
      </c>
      <c r="B297" s="54" t="s">
        <v>436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80</v>
      </c>
      <c r="L297" s="32" t="s">
        <v>106</v>
      </c>
      <c r="M297" s="33" t="s">
        <v>69</v>
      </c>
      <c r="N297" s="33"/>
      <c r="O297" s="32">
        <v>180</v>
      </c>
      <c r="P297" s="534" t="s">
        <v>437</v>
      </c>
      <c r="Q297" s="335"/>
      <c r="R297" s="335"/>
      <c r="S297" s="335"/>
      <c r="T297" s="336"/>
      <c r="U297" s="34"/>
      <c r="V297" s="34"/>
      <c r="W297" s="35" t="s">
        <v>70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438</v>
      </c>
      <c r="AG297" s="67"/>
      <c r="AJ297" s="71" t="s">
        <v>108</v>
      </c>
      <c r="AK297" s="71">
        <v>14</v>
      </c>
      <c r="BB297" s="281" t="s">
        <v>83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customHeight="1" x14ac:dyDescent="0.25">
      <c r="A298" s="54" t="s">
        <v>439</v>
      </c>
      <c r="B298" s="54" t="s">
        <v>440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67</v>
      </c>
      <c r="L298" s="32" t="s">
        <v>106</v>
      </c>
      <c r="M298" s="33" t="s">
        <v>69</v>
      </c>
      <c r="N298" s="33"/>
      <c r="O298" s="32">
        <v>180</v>
      </c>
      <c r="P298" s="5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70</v>
      </c>
      <c r="X298" s="330">
        <v>12</v>
      </c>
      <c r="Y298" s="331">
        <f t="shared" si="24"/>
        <v>12</v>
      </c>
      <c r="Z298" s="36">
        <f>IFERROR(IF(X298="","",X298*0.0155),"")</f>
        <v>0.186</v>
      </c>
      <c r="AA298" s="56"/>
      <c r="AB298" s="57"/>
      <c r="AC298" s="282" t="s">
        <v>434</v>
      </c>
      <c r="AG298" s="67"/>
      <c r="AJ298" s="71" t="s">
        <v>108</v>
      </c>
      <c r="AK298" s="71">
        <v>12</v>
      </c>
      <c r="BB298" s="283" t="s">
        <v>83</v>
      </c>
      <c r="BM298" s="67">
        <f t="shared" si="25"/>
        <v>68.820000000000007</v>
      </c>
      <c r="BN298" s="67">
        <f t="shared" si="26"/>
        <v>68.820000000000007</v>
      </c>
      <c r="BO298" s="67">
        <f t="shared" si="27"/>
        <v>0.14285714285714285</v>
      </c>
      <c r="BP298" s="67">
        <f t="shared" si="28"/>
        <v>0.14285714285714285</v>
      </c>
    </row>
    <row r="299" spans="1:68" ht="27" hidden="1" customHeight="1" x14ac:dyDescent="0.25">
      <c r="A299" s="54" t="s">
        <v>441</v>
      </c>
      <c r="B299" s="54" t="s">
        <v>442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80</v>
      </c>
      <c r="L299" s="32" t="s">
        <v>68</v>
      </c>
      <c r="M299" s="33" t="s">
        <v>69</v>
      </c>
      <c r="N299" s="33"/>
      <c r="O299" s="32">
        <v>180</v>
      </c>
      <c r="P299" s="476" t="s">
        <v>443</v>
      </c>
      <c r="Q299" s="335"/>
      <c r="R299" s="335"/>
      <c r="S299" s="335"/>
      <c r="T299" s="336"/>
      <c r="U299" s="34"/>
      <c r="V299" s="34"/>
      <c r="W299" s="35" t="s">
        <v>70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444</v>
      </c>
      <c r="AG299" s="67"/>
      <c r="AJ299" s="71" t="s">
        <v>72</v>
      </c>
      <c r="AK299" s="71">
        <v>1</v>
      </c>
      <c r="BB299" s="285" t="s">
        <v>83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445</v>
      </c>
      <c r="B300" s="54" t="s">
        <v>446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80</v>
      </c>
      <c r="L300" s="32" t="s">
        <v>68</v>
      </c>
      <c r="M300" s="33" t="s">
        <v>69</v>
      </c>
      <c r="N300" s="33"/>
      <c r="O300" s="32">
        <v>180</v>
      </c>
      <c r="P300" s="425" t="s">
        <v>447</v>
      </c>
      <c r="Q300" s="335"/>
      <c r="R300" s="335"/>
      <c r="S300" s="335"/>
      <c r="T300" s="336"/>
      <c r="U300" s="34"/>
      <c r="V300" s="34"/>
      <c r="W300" s="35" t="s">
        <v>70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448</v>
      </c>
      <c r="AG300" s="67"/>
      <c r="AJ300" s="71" t="s">
        <v>72</v>
      </c>
      <c r="AK300" s="71">
        <v>1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449</v>
      </c>
      <c r="B301" s="54" t="s">
        <v>450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80</v>
      </c>
      <c r="L301" s="32" t="s">
        <v>106</v>
      </c>
      <c r="M301" s="33" t="s">
        <v>69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70</v>
      </c>
      <c r="X301" s="330">
        <v>14</v>
      </c>
      <c r="Y301" s="331">
        <f t="shared" si="24"/>
        <v>14</v>
      </c>
      <c r="Z301" s="36">
        <f t="shared" si="29"/>
        <v>0.13103999999999999</v>
      </c>
      <c r="AA301" s="56"/>
      <c r="AB301" s="57"/>
      <c r="AC301" s="288" t="s">
        <v>438</v>
      </c>
      <c r="AG301" s="67"/>
      <c r="AJ301" s="71" t="s">
        <v>108</v>
      </c>
      <c r="AK301" s="71">
        <v>14</v>
      </c>
      <c r="BB301" s="289" t="s">
        <v>83</v>
      </c>
      <c r="BM301" s="67">
        <f t="shared" si="25"/>
        <v>44.688000000000002</v>
      </c>
      <c r="BN301" s="67">
        <f t="shared" si="26"/>
        <v>44.688000000000002</v>
      </c>
      <c r="BO301" s="67">
        <f t="shared" si="27"/>
        <v>0.1111111111111111</v>
      </c>
      <c r="BP301" s="67">
        <f t="shared" si="28"/>
        <v>0.1111111111111111</v>
      </c>
    </row>
    <row r="302" spans="1:68" ht="37.5" hidden="1" customHeight="1" x14ac:dyDescent="0.25">
      <c r="A302" s="54" t="s">
        <v>451</v>
      </c>
      <c r="B302" s="54" t="s">
        <v>452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37" t="s">
        <v>453</v>
      </c>
      <c r="Q302" s="335"/>
      <c r="R302" s="335"/>
      <c r="S302" s="335"/>
      <c r="T302" s="336"/>
      <c r="U302" s="34"/>
      <c r="V302" s="34"/>
      <c r="W302" s="35" t="s">
        <v>70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448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454</v>
      </c>
      <c r="B303" s="54" t="s">
        <v>455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80</v>
      </c>
      <c r="L303" s="32" t="s">
        <v>106</v>
      </c>
      <c r="M303" s="33" t="s">
        <v>69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70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434</v>
      </c>
      <c r="AG303" s="67"/>
      <c r="AJ303" s="71" t="s">
        <v>108</v>
      </c>
      <c r="AK303" s="71">
        <v>14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456</v>
      </c>
      <c r="B304" s="54" t="s">
        <v>457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72" t="s">
        <v>458</v>
      </c>
      <c r="Q304" s="335"/>
      <c r="R304" s="335"/>
      <c r="S304" s="335"/>
      <c r="T304" s="336"/>
      <c r="U304" s="34"/>
      <c r="V304" s="34"/>
      <c r="W304" s="35" t="s">
        <v>70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434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hidden="1" customHeight="1" x14ac:dyDescent="0.25">
      <c r="A305" s="54" t="s">
        <v>459</v>
      </c>
      <c r="B305" s="54" t="s">
        <v>460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80</v>
      </c>
      <c r="L305" s="32" t="s">
        <v>106</v>
      </c>
      <c r="M305" s="33" t="s">
        <v>69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70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434</v>
      </c>
      <c r="AG305" s="67"/>
      <c r="AJ305" s="71" t="s">
        <v>108</v>
      </c>
      <c r="AK305" s="71">
        <v>14</v>
      </c>
      <c r="BB305" s="297" t="s">
        <v>83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461</v>
      </c>
      <c r="B306" s="54" t="s">
        <v>462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80</v>
      </c>
      <c r="L306" s="32" t="s">
        <v>106</v>
      </c>
      <c r="M306" s="33" t="s">
        <v>69</v>
      </c>
      <c r="N306" s="33"/>
      <c r="O306" s="32">
        <v>180</v>
      </c>
      <c r="P306" s="475" t="s">
        <v>463</v>
      </c>
      <c r="Q306" s="335"/>
      <c r="R306" s="335"/>
      <c r="S306" s="335"/>
      <c r="T306" s="336"/>
      <c r="U306" s="34"/>
      <c r="V306" s="34"/>
      <c r="W306" s="35" t="s">
        <v>70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434</v>
      </c>
      <c r="AG306" s="67"/>
      <c r="AJ306" s="71" t="s">
        <v>108</v>
      </c>
      <c r="AK306" s="71">
        <v>14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464</v>
      </c>
      <c r="B307" s="54" t="s">
        <v>465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80</v>
      </c>
      <c r="L307" s="32" t="s">
        <v>106</v>
      </c>
      <c r="M307" s="33" t="s">
        <v>69</v>
      </c>
      <c r="N307" s="33"/>
      <c r="O307" s="32">
        <v>180</v>
      </c>
      <c r="P307" s="548" t="s">
        <v>466</v>
      </c>
      <c r="Q307" s="335"/>
      <c r="R307" s="335"/>
      <c r="S307" s="335"/>
      <c r="T307" s="336"/>
      <c r="U307" s="34"/>
      <c r="V307" s="34"/>
      <c r="W307" s="35" t="s">
        <v>70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438</v>
      </c>
      <c r="AG307" s="67"/>
      <c r="AJ307" s="71" t="s">
        <v>108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467</v>
      </c>
      <c r="B308" s="54" t="s">
        <v>468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158</v>
      </c>
      <c r="L308" s="32" t="s">
        <v>106</v>
      </c>
      <c r="M308" s="33" t="s">
        <v>69</v>
      </c>
      <c r="N308" s="33"/>
      <c r="O308" s="32">
        <v>180</v>
      </c>
      <c r="P308" s="440" t="s">
        <v>469</v>
      </c>
      <c r="Q308" s="335"/>
      <c r="R308" s="335"/>
      <c r="S308" s="335"/>
      <c r="T308" s="336"/>
      <c r="U308" s="34"/>
      <c r="V308" s="34"/>
      <c r="W308" s="35" t="s">
        <v>70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434</v>
      </c>
      <c r="AG308" s="67"/>
      <c r="AJ308" s="71" t="s">
        <v>108</v>
      </c>
      <c r="AK308" s="71">
        <v>18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470</v>
      </c>
      <c r="B309" s="54" t="s">
        <v>471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158</v>
      </c>
      <c r="L309" s="32" t="s">
        <v>106</v>
      </c>
      <c r="M309" s="33" t="s">
        <v>69</v>
      </c>
      <c r="N309" s="33"/>
      <c r="O309" s="32">
        <v>180</v>
      </c>
      <c r="P309" s="447" t="s">
        <v>472</v>
      </c>
      <c r="Q309" s="335"/>
      <c r="R309" s="335"/>
      <c r="S309" s="335"/>
      <c r="T309" s="336"/>
      <c r="U309" s="34"/>
      <c r="V309" s="34"/>
      <c r="W309" s="35" t="s">
        <v>70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434</v>
      </c>
      <c r="AG309" s="67"/>
      <c r="AJ309" s="71" t="s">
        <v>108</v>
      </c>
      <c r="AK309" s="71">
        <v>18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473</v>
      </c>
      <c r="B310" s="54" t="s">
        <v>474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158</v>
      </c>
      <c r="L310" s="32" t="s">
        <v>68</v>
      </c>
      <c r="M310" s="33" t="s">
        <v>69</v>
      </c>
      <c r="N310" s="33"/>
      <c r="O310" s="32">
        <v>180</v>
      </c>
      <c r="P310" s="451" t="s">
        <v>475</v>
      </c>
      <c r="Q310" s="335"/>
      <c r="R310" s="335"/>
      <c r="S310" s="335"/>
      <c r="T310" s="336"/>
      <c r="U310" s="34"/>
      <c r="V310" s="34"/>
      <c r="W310" s="35" t="s">
        <v>70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434</v>
      </c>
      <c r="AG310" s="67"/>
      <c r="AJ310" s="71" t="s">
        <v>72</v>
      </c>
      <c r="AK310" s="71">
        <v>1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476</v>
      </c>
      <c r="B311" s="54" t="s">
        <v>477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158</v>
      </c>
      <c r="L311" s="32" t="s">
        <v>106</v>
      </c>
      <c r="M311" s="33" t="s">
        <v>69</v>
      </c>
      <c r="N311" s="33"/>
      <c r="O311" s="32">
        <v>180</v>
      </c>
      <c r="P311" s="459" t="s">
        <v>478</v>
      </c>
      <c r="Q311" s="335"/>
      <c r="R311" s="335"/>
      <c r="S311" s="335"/>
      <c r="T311" s="336"/>
      <c r="U311" s="34"/>
      <c r="V311" s="34"/>
      <c r="W311" s="35" t="s">
        <v>70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434</v>
      </c>
      <c r="AG311" s="67"/>
      <c r="AJ311" s="71" t="s">
        <v>108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479</v>
      </c>
      <c r="B312" s="54" t="s">
        <v>480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158</v>
      </c>
      <c r="L312" s="32" t="s">
        <v>68</v>
      </c>
      <c r="M312" s="33" t="s">
        <v>69</v>
      </c>
      <c r="N312" s="33"/>
      <c r="O312" s="32">
        <v>180</v>
      </c>
      <c r="P312" s="422" t="s">
        <v>481</v>
      </c>
      <c r="Q312" s="335"/>
      <c r="R312" s="335"/>
      <c r="S312" s="335"/>
      <c r="T312" s="336"/>
      <c r="U312" s="34"/>
      <c r="V312" s="34"/>
      <c r="W312" s="35" t="s">
        <v>70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482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483</v>
      </c>
      <c r="B313" s="54" t="s">
        <v>484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67</v>
      </c>
      <c r="L313" s="32" t="s">
        <v>68</v>
      </c>
      <c r="M313" s="33" t="s">
        <v>69</v>
      </c>
      <c r="N313" s="33"/>
      <c r="O313" s="32">
        <v>180</v>
      </c>
      <c r="P313" s="547" t="s">
        <v>485</v>
      </c>
      <c r="Q313" s="335"/>
      <c r="R313" s="335"/>
      <c r="S313" s="335"/>
      <c r="T313" s="336"/>
      <c r="U313" s="34"/>
      <c r="V313" s="34"/>
      <c r="W313" s="35" t="s">
        <v>70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486</v>
      </c>
      <c r="AG313" s="67"/>
      <c r="AJ313" s="71" t="s">
        <v>72</v>
      </c>
      <c r="AK313" s="71">
        <v>1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487</v>
      </c>
      <c r="B314" s="54" t="s">
        <v>488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67</v>
      </c>
      <c r="L314" s="32" t="s">
        <v>68</v>
      </c>
      <c r="M314" s="33" t="s">
        <v>69</v>
      </c>
      <c r="N314" s="33"/>
      <c r="O314" s="32">
        <v>180</v>
      </c>
      <c r="P314" s="502" t="s">
        <v>489</v>
      </c>
      <c r="Q314" s="335"/>
      <c r="R314" s="335"/>
      <c r="S314" s="335"/>
      <c r="T314" s="336"/>
      <c r="U314" s="34"/>
      <c r="V314" s="34"/>
      <c r="W314" s="35" t="s">
        <v>70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490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491</v>
      </c>
      <c r="B315" s="54" t="s">
        <v>492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34" t="s">
        <v>493</v>
      </c>
      <c r="Q315" s="335"/>
      <c r="R315" s="335"/>
      <c r="S315" s="335"/>
      <c r="T315" s="336"/>
      <c r="U315" s="34"/>
      <c r="V315" s="34"/>
      <c r="W315" s="35" t="s">
        <v>70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494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495</v>
      </c>
      <c r="B316" s="54" t="s">
        <v>496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79" t="s">
        <v>497</v>
      </c>
      <c r="Q316" s="335"/>
      <c r="R316" s="335"/>
      <c r="S316" s="335"/>
      <c r="T316" s="336"/>
      <c r="U316" s="34"/>
      <c r="V316" s="34"/>
      <c r="W316" s="35" t="s">
        <v>70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498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73</v>
      </c>
      <c r="Q317" s="345"/>
      <c r="R317" s="345"/>
      <c r="S317" s="345"/>
      <c r="T317" s="345"/>
      <c r="U317" s="345"/>
      <c r="V317" s="346"/>
      <c r="W317" s="37" t="s">
        <v>70</v>
      </c>
      <c r="X317" s="332">
        <f>IFERROR(SUM(X296:X316),"0")</f>
        <v>26</v>
      </c>
      <c r="Y317" s="332">
        <f>IFERROR(SUM(Y296:Y316),"0")</f>
        <v>26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0.31703999999999999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73</v>
      </c>
      <c r="Q318" s="345"/>
      <c r="R318" s="345"/>
      <c r="S318" s="345"/>
      <c r="T318" s="345"/>
      <c r="U318" s="345"/>
      <c r="V318" s="346"/>
      <c r="W318" s="37" t="s">
        <v>74</v>
      </c>
      <c r="X318" s="332">
        <f>IFERROR(SUMPRODUCT(X296:X316*H296:H316),"0")</f>
        <v>108</v>
      </c>
      <c r="Y318" s="332">
        <f>IFERROR(SUMPRODUCT(Y296:Y316*H296:H316),"0")</f>
        <v>108</v>
      </c>
      <c r="Z318" s="37"/>
      <c r="AA318" s="333"/>
      <c r="AB318" s="333"/>
      <c r="AC318" s="333"/>
    </row>
    <row r="319" spans="1:68" ht="16.5" hidden="1" customHeight="1" x14ac:dyDescent="0.25">
      <c r="A319" s="349" t="s">
        <v>499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hidden="1" customHeight="1" x14ac:dyDescent="0.25">
      <c r="A320" s="338" t="s">
        <v>144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hidden="1" customHeight="1" x14ac:dyDescent="0.25">
      <c r="A321" s="54" t="s">
        <v>500</v>
      </c>
      <c r="B321" s="54" t="s">
        <v>501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67</v>
      </c>
      <c r="L321" s="32" t="s">
        <v>68</v>
      </c>
      <c r="M321" s="33" t="s">
        <v>69</v>
      </c>
      <c r="N321" s="33"/>
      <c r="O321" s="32">
        <v>180</v>
      </c>
      <c r="P321" s="514" t="s">
        <v>502</v>
      </c>
      <c r="Q321" s="335"/>
      <c r="R321" s="335"/>
      <c r="S321" s="335"/>
      <c r="T321" s="336"/>
      <c r="U321" s="34"/>
      <c r="V321" s="34"/>
      <c r="W321" s="35" t="s">
        <v>70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503</v>
      </c>
      <c r="AG321" s="67"/>
      <c r="AJ321" s="71" t="s">
        <v>72</v>
      </c>
      <c r="AK321" s="71">
        <v>1</v>
      </c>
      <c r="BB321" s="321" t="s">
        <v>83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73</v>
      </c>
      <c r="Q322" s="345"/>
      <c r="R322" s="345"/>
      <c r="S322" s="345"/>
      <c r="T322" s="345"/>
      <c r="U322" s="345"/>
      <c r="V322" s="346"/>
      <c r="W322" s="37" t="s">
        <v>70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73</v>
      </c>
      <c r="Q323" s="345"/>
      <c r="R323" s="345"/>
      <c r="S323" s="345"/>
      <c r="T323" s="345"/>
      <c r="U323" s="345"/>
      <c r="V323" s="346"/>
      <c r="W323" s="37" t="s">
        <v>74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06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57"/>
      <c r="P324" s="355" t="s">
        <v>504</v>
      </c>
      <c r="Q324" s="356"/>
      <c r="R324" s="356"/>
      <c r="S324" s="356"/>
      <c r="T324" s="356"/>
      <c r="U324" s="356"/>
      <c r="V324" s="357"/>
      <c r="W324" s="37" t="s">
        <v>74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11961.24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11961.24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57"/>
      <c r="P325" s="355" t="s">
        <v>505</v>
      </c>
      <c r="Q325" s="356"/>
      <c r="R325" s="356"/>
      <c r="S325" s="356"/>
      <c r="T325" s="356"/>
      <c r="U325" s="356"/>
      <c r="V325" s="357"/>
      <c r="W325" s="37" t="s">
        <v>74</v>
      </c>
      <c r="X325" s="332">
        <f>IFERROR(SUM(BM22:BM321),"0")</f>
        <v>13279.3364</v>
      </c>
      <c r="Y325" s="332">
        <f>IFERROR(SUM(BN22:BN321),"0")</f>
        <v>13279.3364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57"/>
      <c r="P326" s="355" t="s">
        <v>506</v>
      </c>
      <c r="Q326" s="356"/>
      <c r="R326" s="356"/>
      <c r="S326" s="356"/>
      <c r="T326" s="356"/>
      <c r="U326" s="356"/>
      <c r="V326" s="357"/>
      <c r="W326" s="37" t="s">
        <v>507</v>
      </c>
      <c r="X326" s="38">
        <f>ROUNDUP(SUM(BO22:BO321),0)</f>
        <v>35</v>
      </c>
      <c r="Y326" s="38">
        <f>ROUNDUP(SUM(BP22:BP321),0)</f>
        <v>35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57"/>
      <c r="P327" s="355" t="s">
        <v>508</v>
      </c>
      <c r="Q327" s="356"/>
      <c r="R327" s="356"/>
      <c r="S327" s="356"/>
      <c r="T327" s="356"/>
      <c r="U327" s="356"/>
      <c r="V327" s="357"/>
      <c r="W327" s="37" t="s">
        <v>74</v>
      </c>
      <c r="X327" s="332">
        <f>GrossWeightTotal+PalletQtyTotal*25</f>
        <v>14154.3364</v>
      </c>
      <c r="Y327" s="332">
        <f>GrossWeightTotalR+PalletQtyTotalR*25</f>
        <v>14154.3364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57"/>
      <c r="P328" s="355" t="s">
        <v>509</v>
      </c>
      <c r="Q328" s="356"/>
      <c r="R328" s="356"/>
      <c r="S328" s="356"/>
      <c r="T328" s="356"/>
      <c r="U328" s="356"/>
      <c r="V328" s="357"/>
      <c r="W328" s="37" t="s">
        <v>507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2722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2722</v>
      </c>
      <c r="Z328" s="37"/>
      <c r="AA328" s="333"/>
      <c r="AB328" s="333"/>
      <c r="AC328" s="333"/>
    </row>
    <row r="329" spans="1:68" ht="14.25" hidden="1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57"/>
      <c r="P329" s="355" t="s">
        <v>510</v>
      </c>
      <c r="Q329" s="356"/>
      <c r="R329" s="356"/>
      <c r="S329" s="356"/>
      <c r="T329" s="356"/>
      <c r="U329" s="356"/>
      <c r="V329" s="357"/>
      <c r="W329" s="39" t="s">
        <v>511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44.120660000000001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512</v>
      </c>
      <c r="B331" s="327" t="s">
        <v>63</v>
      </c>
      <c r="C331" s="368" t="s">
        <v>75</v>
      </c>
      <c r="D331" s="503"/>
      <c r="E331" s="503"/>
      <c r="F331" s="503"/>
      <c r="G331" s="503"/>
      <c r="H331" s="503"/>
      <c r="I331" s="503"/>
      <c r="J331" s="503"/>
      <c r="K331" s="503"/>
      <c r="L331" s="503"/>
      <c r="M331" s="503"/>
      <c r="N331" s="503"/>
      <c r="O331" s="503"/>
      <c r="P331" s="503"/>
      <c r="Q331" s="503"/>
      <c r="R331" s="503"/>
      <c r="S331" s="503"/>
      <c r="T331" s="424"/>
      <c r="U331" s="368" t="s">
        <v>263</v>
      </c>
      <c r="V331" s="424"/>
      <c r="W331" s="327" t="s">
        <v>289</v>
      </c>
      <c r="X331" s="368" t="s">
        <v>308</v>
      </c>
      <c r="Y331" s="503"/>
      <c r="Z331" s="503"/>
      <c r="AA331" s="503"/>
      <c r="AB331" s="503"/>
      <c r="AC331" s="503"/>
      <c r="AD331" s="424"/>
      <c r="AE331" s="327" t="s">
        <v>382</v>
      </c>
      <c r="AF331" s="327" t="s">
        <v>387</v>
      </c>
      <c r="AG331" s="327" t="s">
        <v>394</v>
      </c>
      <c r="AH331" s="368" t="s">
        <v>264</v>
      </c>
      <c r="AI331" s="424"/>
    </row>
    <row r="332" spans="1:68" ht="14.25" customHeight="1" thickTop="1" x14ac:dyDescent="0.2">
      <c r="A332" s="402" t="s">
        <v>513</v>
      </c>
      <c r="B332" s="368" t="s">
        <v>63</v>
      </c>
      <c r="C332" s="368" t="s">
        <v>76</v>
      </c>
      <c r="D332" s="368" t="s">
        <v>90</v>
      </c>
      <c r="E332" s="368" t="s">
        <v>103</v>
      </c>
      <c r="F332" s="368" t="s">
        <v>126</v>
      </c>
      <c r="G332" s="368" t="s">
        <v>155</v>
      </c>
      <c r="H332" s="368" t="s">
        <v>162</v>
      </c>
      <c r="I332" s="368" t="s">
        <v>167</v>
      </c>
      <c r="J332" s="368" t="s">
        <v>177</v>
      </c>
      <c r="K332" s="368" t="s">
        <v>195</v>
      </c>
      <c r="L332" s="368" t="s">
        <v>205</v>
      </c>
      <c r="M332" s="368" t="s">
        <v>224</v>
      </c>
      <c r="N332" s="328"/>
      <c r="O332" s="368" t="s">
        <v>230</v>
      </c>
      <c r="P332" s="368" t="s">
        <v>237</v>
      </c>
      <c r="Q332" s="368" t="s">
        <v>243</v>
      </c>
      <c r="R332" s="368" t="s">
        <v>248</v>
      </c>
      <c r="S332" s="368" t="s">
        <v>251</v>
      </c>
      <c r="T332" s="368" t="s">
        <v>259</v>
      </c>
      <c r="U332" s="368" t="s">
        <v>264</v>
      </c>
      <c r="V332" s="368" t="s">
        <v>268</v>
      </c>
      <c r="W332" s="368" t="s">
        <v>290</v>
      </c>
      <c r="X332" s="368" t="s">
        <v>309</v>
      </c>
      <c r="Y332" s="368" t="s">
        <v>321</v>
      </c>
      <c r="Z332" s="368" t="s">
        <v>331</v>
      </c>
      <c r="AA332" s="368" t="s">
        <v>346</v>
      </c>
      <c r="AB332" s="368" t="s">
        <v>357</v>
      </c>
      <c r="AC332" s="368" t="s">
        <v>372</v>
      </c>
      <c r="AD332" s="368" t="s">
        <v>376</v>
      </c>
      <c r="AE332" s="368" t="s">
        <v>383</v>
      </c>
      <c r="AF332" s="368" t="s">
        <v>388</v>
      </c>
      <c r="AG332" s="368" t="s">
        <v>395</v>
      </c>
      <c r="AH332" s="368" t="s">
        <v>264</v>
      </c>
      <c r="AI332" s="368" t="s">
        <v>499</v>
      </c>
    </row>
    <row r="333" spans="1:68" ht="13.5" customHeight="1" thickBot="1" x14ac:dyDescent="0.25">
      <c r="A333" s="403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28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  <c r="AG333" s="369"/>
      <c r="AH333" s="369"/>
      <c r="AI333" s="369"/>
    </row>
    <row r="334" spans="1:68" ht="18" customHeight="1" thickTop="1" thickBot="1" x14ac:dyDescent="0.25">
      <c r="A334" s="40" t="s">
        <v>514</v>
      </c>
      <c r="B334" s="46">
        <f>IFERROR(X22*H22,"0")</f>
        <v>0</v>
      </c>
      <c r="C334" s="46">
        <f>IFERROR(X28*H28,"0")+IFERROR(X29*H29,"0")+IFERROR(X30*H30,"0")</f>
        <v>231</v>
      </c>
      <c r="D334" s="46">
        <f>IFERROR(X35*H35,"0")+IFERROR(X36*H36,"0")+IFERROR(X37*H37,"0")</f>
        <v>403.2</v>
      </c>
      <c r="E334" s="46">
        <f>IFERROR(X42*H42,"0")+IFERROR(X43*H43,"0")+IFERROR(X44*H44,"0")+IFERROR(X45*H45,"0")+IFERROR(X46*H46,"0")+IFERROR(X47*H47,"0")+IFERROR(X48*H48,"0")+IFERROR(X49*H49,"0")</f>
        <v>2604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50.4</v>
      </c>
      <c r="J334" s="46">
        <f>IFERROR(X94*H94,"0")+IFERROR(X95*H95,"0")+IFERROR(X96*H96,"0")+IFERROR(X97*H97,"0")+IFERROR(X98*H98,"0")+IFERROR(X99*H99,"0")</f>
        <v>1965.6</v>
      </c>
      <c r="K334" s="46">
        <f>IFERROR(X104*H104,"0")+IFERROR(X105*H105,"0")+IFERROR(X106*H106,"0")</f>
        <v>30.240000000000002</v>
      </c>
      <c r="L334" s="46">
        <f>IFERROR(X111*H111,"0")+IFERROR(X112*H112,"0")+IFERROR(X113*H113,"0")+IFERROR(X114*H114,"0")+IFERROR(X115*H115,"0")+IFERROR(X116*H116,"0")+IFERROR(X120*H120,"0")</f>
        <v>2071.1999999999998</v>
      </c>
      <c r="M334" s="46">
        <f>IFERROR(X125*H125,"0")+IFERROR(X126*H126,"0")</f>
        <v>1176</v>
      </c>
      <c r="N334" s="328"/>
      <c r="O334" s="46">
        <f>IFERROR(X131*H131,"0")+IFERROR(X132*H132,"0")</f>
        <v>420</v>
      </c>
      <c r="P334" s="46">
        <f>IFERROR(X137*H137,"0")+IFERROR(X138*H138,"0")</f>
        <v>336</v>
      </c>
      <c r="Q334" s="46">
        <f>IFERROR(X143*H143,"0")</f>
        <v>42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360</v>
      </c>
      <c r="W334" s="46">
        <f>IFERROR(X184*H184,"0")+IFERROR(X185*H185,"0")+IFERROR(X186*H186,"0")+IFERROR(X190*H190,"0")</f>
        <v>798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403.2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518.4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120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432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515</v>
      </c>
      <c r="B336" s="58" t="s">
        <v>516</v>
      </c>
      <c r="C336" s="58" t="s">
        <v>517</v>
      </c>
    </row>
    <row r="337" spans="1:3" x14ac:dyDescent="0.2">
      <c r="A337" s="59">
        <f>SUMPRODUCT(--(BB:BB="ЗПФ"),--(W:W="кор"),H:H,Y:Y)+SUMPRODUCT(--(BB:BB="ЗПФ"),--(W:W="кг"),Y:Y)</f>
        <v>6479.9999999999991</v>
      </c>
      <c r="B337" s="60">
        <f>SUMPRODUCT(--(BB:BB="ПГП"),--(W:W="кор"),H:H,Y:Y)+SUMPRODUCT(--(BB:BB="ПГП"),--(W:W="кг"),Y:Y)</f>
        <v>5481.24</v>
      </c>
      <c r="C337" s="60">
        <f>SUMPRODUCT(--(BB:BB="КИЗ"),--(W:W="кор"),H:H,Y:Y)+SUMPRODUCT(--(BB:BB="КИЗ"),--(W:W="кг"),Y:Y)</f>
        <v>0</v>
      </c>
    </row>
  </sheetData>
  <sheetProtection algorithmName="SHA-512" hashValue="PqRl5/+OsLg3LvTZZzLR36y5cSUsaszPA46vPohOM25zwtrDPs5hlVTPAuZ/vCi+R6+wPFLP7wBVBfY8+hNkAA==" saltValue="28SVc7B+dZHtdbw3E2+n1Q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6,00"/>
        <filter val="1 965,60"/>
        <filter val="108,00"/>
        <filter val="11 961,24"/>
        <filter val="112,00"/>
        <filter val="12,00"/>
        <filter val="120,00"/>
        <filter val="126,00"/>
        <filter val="13 279,34"/>
        <filter val="132,00"/>
        <filter val="14 154,34"/>
        <filter val="14,00"/>
        <filter val="140,00"/>
        <filter val="144,00"/>
        <filter val="154,00"/>
        <filter val="168,00"/>
        <filter val="180,00"/>
        <filter val="2 071,20"/>
        <filter val="2 604,00"/>
        <filter val="2 722,00"/>
        <filter val="224,00"/>
        <filter val="231,00"/>
        <filter val="24,00"/>
        <filter val="26,00"/>
        <filter val="266,00"/>
        <filter val="28,00"/>
        <filter val="30,24"/>
        <filter val="300,00"/>
        <filter val="322,00"/>
        <filter val="336,00"/>
        <filter val="35"/>
        <filter val="36,00"/>
        <filter val="360,00"/>
        <filter val="372,00"/>
        <filter val="392,00"/>
        <filter val="403,20"/>
        <filter val="42,00"/>
        <filter val="420,00"/>
        <filter val="48,00"/>
        <filter val="50,40"/>
        <filter val="518,40"/>
        <filter val="546,00"/>
        <filter val="72,00"/>
        <filter val="798,00"/>
        <filter val="84,00"/>
        <filter val="98,00"/>
      </filters>
    </filterColumn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D177:E177"/>
    <mergeCell ref="P62:T62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P60:V60"/>
    <mergeCell ref="P84:V84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54 X58 X62 X66 X70:X72 X83 X88:X89 X96 X98 X105:X106 X111 X120 X132 X143 X148 X153:X154 X159 X170 X173 X177:X178 X184:X186 X190 X199 X205 X211 X213:X215 X221 X223:X224 X229 X233:X235 X240 X245 X252 X265 X269 X296 X299:X300 X302 X304 X310 X312:X316 X32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2 X45:X49 X77 X94 X99 X104 X112 X115 X131 X137 X165 X171:X172 X196:X198 X206 X212 X216 X222 X246 X259 X275:X277 X281 X286 X290 X292 X297:X298 X301 X303 X305:X309 X311" xr:uid="{00000000-0002-0000-0000-000012000000}">
      <formula1>IF(AK42&gt;0,OR(X42=0,AND(IF(X42-AK42&gt;=0,TRUE,FALSE),X42&gt;0,IF(X42/K42=ROUND(X42/K42,0),TRUE,FALSE))),FALSE)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:X44 X78 X95 X97 X113:X114 X116 X125:X126 X138 X204 X258 X285 X291" xr:uid="{00000000-0002-0000-0000-000013000000}">
      <formula1>IF(AK43&gt;0,OR(X43=0,AND(IF(X43-AK43&gt;=0,TRUE,FALSE),X43&gt;0,IF(X43/J43=ROUND(X43/J43,0),TRUE,FALSE))),FALSE)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518</v>
      </c>
      <c r="H1" s="52"/>
    </row>
    <row r="3" spans="2:8" x14ac:dyDescent="0.2">
      <c r="B3" s="47" t="s">
        <v>519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520</v>
      </c>
      <c r="D6" s="47" t="s">
        <v>521</v>
      </c>
      <c r="E6" s="47"/>
    </row>
    <row r="8" spans="2:8" x14ac:dyDescent="0.2">
      <c r="B8" s="47" t="s">
        <v>19</v>
      </c>
      <c r="C8" s="47" t="s">
        <v>520</v>
      </c>
      <c r="D8" s="47"/>
      <c r="E8" s="47"/>
    </row>
    <row r="10" spans="2:8" x14ac:dyDescent="0.2">
      <c r="B10" s="47" t="s">
        <v>522</v>
      </c>
      <c r="C10" s="47"/>
      <c r="D10" s="47"/>
      <c r="E10" s="47"/>
    </row>
    <row r="11" spans="2:8" x14ac:dyDescent="0.2">
      <c r="B11" s="47" t="s">
        <v>523</v>
      </c>
      <c r="C11" s="47"/>
      <c r="D11" s="47"/>
      <c r="E11" s="47"/>
    </row>
    <row r="12" spans="2:8" x14ac:dyDescent="0.2">
      <c r="B12" s="47" t="s">
        <v>524</v>
      </c>
      <c r="C12" s="47"/>
      <c r="D12" s="47"/>
      <c r="E12" s="47"/>
    </row>
    <row r="13" spans="2:8" x14ac:dyDescent="0.2">
      <c r="B13" s="47" t="s">
        <v>525</v>
      </c>
      <c r="C13" s="47"/>
      <c r="D13" s="47"/>
      <c r="E13" s="47"/>
    </row>
    <row r="14" spans="2:8" x14ac:dyDescent="0.2">
      <c r="B14" s="47" t="s">
        <v>526</v>
      </c>
      <c r="C14" s="47"/>
      <c r="D14" s="47"/>
      <c r="E14" s="47"/>
    </row>
    <row r="15" spans="2:8" x14ac:dyDescent="0.2">
      <c r="B15" s="47" t="s">
        <v>527</v>
      </c>
      <c r="C15" s="47"/>
      <c r="D15" s="47"/>
      <c r="E15" s="47"/>
    </row>
    <row r="16" spans="2:8" x14ac:dyDescent="0.2">
      <c r="B16" s="47" t="s">
        <v>528</v>
      </c>
      <c r="C16" s="47"/>
      <c r="D16" s="47"/>
      <c r="E16" s="47"/>
    </row>
    <row r="17" spans="2:5" x14ac:dyDescent="0.2">
      <c r="B17" s="47" t="s">
        <v>529</v>
      </c>
      <c r="C17" s="47"/>
      <c r="D17" s="47"/>
      <c r="E17" s="47"/>
    </row>
    <row r="18" spans="2:5" x14ac:dyDescent="0.2">
      <c r="B18" s="47" t="s">
        <v>530</v>
      </c>
      <c r="C18" s="47"/>
      <c r="D18" s="47"/>
      <c r="E18" s="47"/>
    </row>
    <row r="19" spans="2:5" x14ac:dyDescent="0.2">
      <c r="B19" s="47" t="s">
        <v>531</v>
      </c>
      <c r="C19" s="47"/>
      <c r="D19" s="47"/>
      <c r="E19" s="47"/>
    </row>
    <row r="20" spans="2:5" x14ac:dyDescent="0.2">
      <c r="B20" s="47" t="s">
        <v>532</v>
      </c>
      <c r="C20" s="47"/>
      <c r="D20" s="47"/>
      <c r="E20" s="47"/>
    </row>
  </sheetData>
  <sheetProtection algorithmName="SHA-512" hashValue="8eyimDiY+/x6VpoIJp8S1L0Ugavrk4ydw030T/dXId3bJeIy5j8RSbzioa97uZCYtFS9974Nf48wqWy7FqZZEw==" saltValue="7f9VVHetcX/IJcXxRKBd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541</vt:i4>
      </vt:variant>
    </vt:vector>
  </HeadingPairs>
  <TitlesOfParts>
    <vt:vector size="5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2025-04-30T11:13:38Z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