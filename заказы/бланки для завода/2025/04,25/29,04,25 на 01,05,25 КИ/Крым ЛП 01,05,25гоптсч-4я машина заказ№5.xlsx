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A326D16-0543-46BA-8F3F-0A387D4C5E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BO521" i="1"/>
  <c r="BM521" i="1"/>
  <c r="Y521" i="1"/>
  <c r="P521" i="1"/>
  <c r="BO520" i="1"/>
  <c r="BM520" i="1"/>
  <c r="Y520" i="1"/>
  <c r="P520" i="1"/>
  <c r="BO519" i="1"/>
  <c r="BM519" i="1"/>
  <c r="Y519" i="1"/>
  <c r="BO518" i="1"/>
  <c r="BM518" i="1"/>
  <c r="Y518" i="1"/>
  <c r="BO517" i="1"/>
  <c r="BM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O505" i="1"/>
  <c r="BM505" i="1"/>
  <c r="Y505" i="1"/>
  <c r="X503" i="1"/>
  <c r="X502" i="1"/>
  <c r="BO501" i="1"/>
  <c r="BM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N343" i="1"/>
  <c r="BM343" i="1"/>
  <c r="Z343" i="1"/>
  <c r="Y343" i="1"/>
  <c r="BP343" i="1" s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BP327" i="1" s="1"/>
  <c r="P327" i="1"/>
  <c r="X324" i="1"/>
  <c r="X323" i="1"/>
  <c r="BO322" i="1"/>
  <c r="BM322" i="1"/>
  <c r="Y322" i="1"/>
  <c r="T606" i="1" s="1"/>
  <c r="P322" i="1"/>
  <c r="X319" i="1"/>
  <c r="X318" i="1"/>
  <c r="BO317" i="1"/>
  <c r="BM317" i="1"/>
  <c r="Y317" i="1"/>
  <c r="BP317" i="1" s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Y269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1" i="1" s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BP199" i="1" s="1"/>
  <c r="P199" i="1"/>
  <c r="X197" i="1"/>
  <c r="X196" i="1"/>
  <c r="BO195" i="1"/>
  <c r="BM195" i="1"/>
  <c r="Y195" i="1"/>
  <c r="BP195" i="1" s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X169" i="1"/>
  <c r="X168" i="1"/>
  <c r="BO167" i="1"/>
  <c r="BM167" i="1"/>
  <c r="Y167" i="1"/>
  <c r="Y168" i="1" s="1"/>
  <c r="P167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D606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X598" i="1" s="1"/>
  <c r="BM22" i="1"/>
  <c r="Y22" i="1"/>
  <c r="B606" i="1" s="1"/>
  <c r="P22" i="1"/>
  <c r="H10" i="1"/>
  <c r="A9" i="1"/>
  <c r="A10" i="1" s="1"/>
  <c r="D7" i="1"/>
  <c r="Q6" i="1"/>
  <c r="P2" i="1"/>
  <c r="BP52" i="1" l="1"/>
  <c r="BN52" i="1"/>
  <c r="Z52" i="1"/>
  <c r="BP80" i="1"/>
  <c r="BN80" i="1"/>
  <c r="Z80" i="1"/>
  <c r="BP108" i="1"/>
  <c r="BN108" i="1"/>
  <c r="Z108" i="1"/>
  <c r="Y152" i="1"/>
  <c r="BP151" i="1"/>
  <c r="BN151" i="1"/>
  <c r="Z151" i="1"/>
  <c r="Z152" i="1" s="1"/>
  <c r="BP155" i="1"/>
  <c r="BN155" i="1"/>
  <c r="Z155" i="1"/>
  <c r="BP215" i="1"/>
  <c r="BN215" i="1"/>
  <c r="Z215" i="1"/>
  <c r="BP238" i="1"/>
  <c r="BN238" i="1"/>
  <c r="Z238" i="1"/>
  <c r="BP288" i="1"/>
  <c r="BN288" i="1"/>
  <c r="Z288" i="1"/>
  <c r="BP351" i="1"/>
  <c r="BN351" i="1"/>
  <c r="Z351" i="1"/>
  <c r="BP390" i="1"/>
  <c r="BN390" i="1"/>
  <c r="Z390" i="1"/>
  <c r="BP444" i="1"/>
  <c r="BN444" i="1"/>
  <c r="Z444" i="1"/>
  <c r="BP517" i="1"/>
  <c r="BN517" i="1"/>
  <c r="Z517" i="1"/>
  <c r="BP519" i="1"/>
  <c r="BN519" i="1"/>
  <c r="Z519" i="1"/>
  <c r="Z27" i="1"/>
  <c r="BN27" i="1"/>
  <c r="BP66" i="1"/>
  <c r="BN66" i="1"/>
  <c r="Z66" i="1"/>
  <c r="BP93" i="1"/>
  <c r="BN93" i="1"/>
  <c r="Z93" i="1"/>
  <c r="BP129" i="1"/>
  <c r="BN129" i="1"/>
  <c r="Z129" i="1"/>
  <c r="BP205" i="1"/>
  <c r="BN205" i="1"/>
  <c r="Z205" i="1"/>
  <c r="BP223" i="1"/>
  <c r="BN223" i="1"/>
  <c r="Z223" i="1"/>
  <c r="BP266" i="1"/>
  <c r="BN266" i="1"/>
  <c r="Z266" i="1"/>
  <c r="BP337" i="1"/>
  <c r="BN337" i="1"/>
  <c r="Z337" i="1"/>
  <c r="BP376" i="1"/>
  <c r="BN376" i="1"/>
  <c r="Z376" i="1"/>
  <c r="BP414" i="1"/>
  <c r="BN414" i="1"/>
  <c r="Z414" i="1"/>
  <c r="BP445" i="1"/>
  <c r="BN445" i="1"/>
  <c r="Z445" i="1"/>
  <c r="BP518" i="1"/>
  <c r="BN518" i="1"/>
  <c r="Z518" i="1"/>
  <c r="BP526" i="1"/>
  <c r="BN526" i="1"/>
  <c r="Z526" i="1"/>
  <c r="X596" i="1"/>
  <c r="Y77" i="1"/>
  <c r="Y83" i="1"/>
  <c r="Y102" i="1"/>
  <c r="Y132" i="1"/>
  <c r="G606" i="1"/>
  <c r="Y224" i="1"/>
  <c r="O606" i="1"/>
  <c r="Y354" i="1"/>
  <c r="BP347" i="1"/>
  <c r="BN347" i="1"/>
  <c r="Z347" i="1"/>
  <c r="BP365" i="1"/>
  <c r="BN365" i="1"/>
  <c r="Z365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2" i="1"/>
  <c r="BN442" i="1"/>
  <c r="Z442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BP507" i="1"/>
  <c r="BN507" i="1"/>
  <c r="Z507" i="1"/>
  <c r="BP522" i="1"/>
  <c r="BN522" i="1"/>
  <c r="Z522" i="1"/>
  <c r="X597" i="1"/>
  <c r="X599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2" i="1"/>
  <c r="Z60" i="1"/>
  <c r="BN60" i="1"/>
  <c r="Y69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Y111" i="1"/>
  <c r="Z114" i="1"/>
  <c r="BN114" i="1"/>
  <c r="Y126" i="1"/>
  <c r="Z125" i="1"/>
  <c r="BN125" i="1"/>
  <c r="Y131" i="1"/>
  <c r="Z136" i="1"/>
  <c r="BN136" i="1"/>
  <c r="Y142" i="1"/>
  <c r="Z146" i="1"/>
  <c r="BN146" i="1"/>
  <c r="Y159" i="1"/>
  <c r="Z157" i="1"/>
  <c r="BN157" i="1"/>
  <c r="Y158" i="1"/>
  <c r="Z161" i="1"/>
  <c r="Z162" i="1" s="1"/>
  <c r="BN161" i="1"/>
  <c r="BP161" i="1"/>
  <c r="Y162" i="1"/>
  <c r="Z167" i="1"/>
  <c r="Z168" i="1" s="1"/>
  <c r="BN167" i="1"/>
  <c r="BP167" i="1"/>
  <c r="Z171" i="1"/>
  <c r="BN171" i="1"/>
  <c r="Y181" i="1"/>
  <c r="Z175" i="1"/>
  <c r="BN175" i="1"/>
  <c r="Z176" i="1"/>
  <c r="BN176" i="1"/>
  <c r="Z195" i="1"/>
  <c r="BN195" i="1"/>
  <c r="Z199" i="1"/>
  <c r="BN199" i="1"/>
  <c r="Z207" i="1"/>
  <c r="BN207" i="1"/>
  <c r="Z211" i="1"/>
  <c r="BN211" i="1"/>
  <c r="Y225" i="1"/>
  <c r="Z217" i="1"/>
  <c r="BN217" i="1"/>
  <c r="Z221" i="1"/>
  <c r="BN221" i="1"/>
  <c r="Z227" i="1"/>
  <c r="BN227" i="1"/>
  <c r="BP227" i="1"/>
  <c r="Y230" i="1"/>
  <c r="K606" i="1"/>
  <c r="Z236" i="1"/>
  <c r="BN236" i="1"/>
  <c r="Z240" i="1"/>
  <c r="BN240" i="1"/>
  <c r="Z264" i="1"/>
  <c r="BN264" i="1"/>
  <c r="Z278" i="1"/>
  <c r="BN278" i="1"/>
  <c r="Z286" i="1"/>
  <c r="BN286" i="1"/>
  <c r="Z317" i="1"/>
  <c r="BN317" i="1"/>
  <c r="Z322" i="1"/>
  <c r="Z323" i="1" s="1"/>
  <c r="BN322" i="1"/>
  <c r="BP322" i="1"/>
  <c r="Y323" i="1"/>
  <c r="Z327" i="1"/>
  <c r="BN327" i="1"/>
  <c r="Z331" i="1"/>
  <c r="BN331" i="1"/>
  <c r="Z339" i="1"/>
  <c r="BN339" i="1"/>
  <c r="BP353" i="1"/>
  <c r="BN353" i="1"/>
  <c r="Z353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BP487" i="1"/>
  <c r="BN487" i="1"/>
  <c r="Z487" i="1"/>
  <c r="BP492" i="1"/>
  <c r="BN492" i="1"/>
  <c r="Z492" i="1"/>
  <c r="Y509" i="1"/>
  <c r="BP506" i="1"/>
  <c r="BN506" i="1"/>
  <c r="Z506" i="1"/>
  <c r="BP508" i="1"/>
  <c r="BN508" i="1"/>
  <c r="Z508" i="1"/>
  <c r="BP521" i="1"/>
  <c r="BN521" i="1"/>
  <c r="Z521" i="1"/>
  <c r="BP528" i="1"/>
  <c r="BN528" i="1"/>
  <c r="Z528" i="1"/>
  <c r="Y379" i="1"/>
  <c r="Y473" i="1"/>
  <c r="F9" i="1"/>
  <c r="J9" i="1"/>
  <c r="F10" i="1"/>
  <c r="Z22" i="1"/>
  <c r="BN22" i="1"/>
  <c r="BP22" i="1"/>
  <c r="Z26" i="1"/>
  <c r="BN26" i="1"/>
  <c r="X600" i="1"/>
  <c r="Y29" i="1"/>
  <c r="C606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Z83" i="1" s="1"/>
  <c r="BN81" i="1"/>
  <c r="BP81" i="1"/>
  <c r="E606" i="1"/>
  <c r="Z88" i="1"/>
  <c r="Z90" i="1" s="1"/>
  <c r="BN88" i="1"/>
  <c r="BP88" i="1"/>
  <c r="Y91" i="1"/>
  <c r="Z94" i="1"/>
  <c r="BN94" i="1"/>
  <c r="BP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19" i="1"/>
  <c r="BN119" i="1"/>
  <c r="BP119" i="1"/>
  <c r="Z124" i="1"/>
  <c r="BN124" i="1"/>
  <c r="Y127" i="1"/>
  <c r="Z130" i="1"/>
  <c r="Z131" i="1" s="1"/>
  <c r="BN130" i="1"/>
  <c r="BP130" i="1"/>
  <c r="Z135" i="1"/>
  <c r="BN135" i="1"/>
  <c r="BP135" i="1"/>
  <c r="Y138" i="1"/>
  <c r="Z141" i="1"/>
  <c r="Z142" i="1" s="1"/>
  <c r="BN141" i="1"/>
  <c r="BP141" i="1"/>
  <c r="Z145" i="1"/>
  <c r="BN145" i="1"/>
  <c r="BP145" i="1"/>
  <c r="Y148" i="1"/>
  <c r="H606" i="1"/>
  <c r="Y153" i="1"/>
  <c r="BP156" i="1"/>
  <c r="BN156" i="1"/>
  <c r="Z156" i="1"/>
  <c r="Z158" i="1" s="1"/>
  <c r="I606" i="1"/>
  <c r="Y180" i="1"/>
  <c r="BP174" i="1"/>
  <c r="BN174" i="1"/>
  <c r="Z174" i="1"/>
  <c r="BP179" i="1"/>
  <c r="BN179" i="1"/>
  <c r="Z179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H9" i="1"/>
  <c r="Y28" i="1"/>
  <c r="Y55" i="1"/>
  <c r="Y137" i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Y169" i="1"/>
  <c r="Z216" i="1"/>
  <c r="BN216" i="1"/>
  <c r="BP216" i="1"/>
  <c r="Z218" i="1"/>
  <c r="BN218" i="1"/>
  <c r="Z220" i="1"/>
  <c r="BN220" i="1"/>
  <c r="Z222" i="1"/>
  <c r="BN222" i="1"/>
  <c r="Z228" i="1"/>
  <c r="Z229" i="1" s="1"/>
  <c r="BN228" i="1"/>
  <c r="BP228" i="1"/>
  <c r="Z233" i="1"/>
  <c r="BN233" i="1"/>
  <c r="BP233" i="1"/>
  <c r="Z235" i="1"/>
  <c r="BN235" i="1"/>
  <c r="Z237" i="1"/>
  <c r="BN237" i="1"/>
  <c r="Z239" i="1"/>
  <c r="BN239" i="1"/>
  <c r="Y242" i="1"/>
  <c r="Z249" i="1"/>
  <c r="Z250" i="1" s="1"/>
  <c r="BN249" i="1"/>
  <c r="BP249" i="1"/>
  <c r="Y250" i="1"/>
  <c r="L606" i="1"/>
  <c r="Z263" i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41" i="1"/>
  <c r="Y274" i="1"/>
  <c r="Y282" i="1"/>
  <c r="Y291" i="1"/>
  <c r="Y296" i="1"/>
  <c r="Y308" i="1"/>
  <c r="BP307" i="1"/>
  <c r="BN307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BP527" i="1"/>
  <c r="BN527" i="1"/>
  <c r="Z527" i="1"/>
  <c r="Z529" i="1" s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416" i="1" l="1"/>
  <c r="Z354" i="1"/>
  <c r="Z348" i="1"/>
  <c r="Z137" i="1"/>
  <c r="Z62" i="1"/>
  <c r="Z41" i="1"/>
  <c r="Z509" i="1"/>
  <c r="Z448" i="1"/>
  <c r="Z340" i="1"/>
  <c r="Z333" i="1"/>
  <c r="Z318" i="1"/>
  <c r="Z268" i="1"/>
  <c r="Z241" i="1"/>
  <c r="Z224" i="1"/>
  <c r="Z212" i="1"/>
  <c r="Z147" i="1"/>
  <c r="Z126" i="1"/>
  <c r="Z116" i="1"/>
  <c r="Z110" i="1"/>
  <c r="Z102" i="1"/>
  <c r="Z77" i="1"/>
  <c r="Z68" i="1"/>
  <c r="Z570" i="1"/>
  <c r="Z466" i="1"/>
  <c r="Z393" i="1"/>
  <c r="Z367" i="1"/>
  <c r="Z361" i="1"/>
  <c r="Z290" i="1"/>
  <c r="Z281" i="1"/>
  <c r="Z55" i="1"/>
  <c r="Y596" i="1"/>
  <c r="Y598" i="1"/>
  <c r="Z28" i="1"/>
  <c r="Z552" i="1"/>
  <c r="Z523" i="1"/>
  <c r="Z502" i="1"/>
  <c r="Y600" i="1"/>
  <c r="Y597" i="1"/>
  <c r="Y599" i="1" s="1"/>
  <c r="Z601" i="1" l="1"/>
</calcChain>
</file>

<file path=xl/sharedStrings.xml><?xml version="1.0" encoding="utf-8"?>
<sst xmlns="http://schemas.openxmlformats.org/spreadsheetml/2006/main" count="2761" uniqueCount="983">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</sst>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45778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Четверг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0.54166666666666663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300</v>
      </c>
      <c r="Y50" s="668">
        <f t="shared" si="6"/>
        <v>302.40000000000003</v>
      </c>
      <c r="Z50" s="36">
        <f>IFERROR(IF(Y50=0,"",ROUNDUP(Y50/H50,0)*0.01898),"")</f>
        <v>0.53144000000000002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312.08333333333331</v>
      </c>
      <c r="BN50" s="64">
        <f t="shared" si="8"/>
        <v>314.58000000000004</v>
      </c>
      <c r="BO50" s="64">
        <f t="shared" si="9"/>
        <v>0.43402777777777773</v>
      </c>
      <c r="BP50" s="64">
        <f t="shared" si="10"/>
        <v>0.4375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27.777777777777775</v>
      </c>
      <c r="Y55" s="669">
        <f>IFERROR(Y49/H49,"0")+IFERROR(Y50/H50,"0")+IFERROR(Y51/H51,"0")+IFERROR(Y52/H52,"0")+IFERROR(Y53/H53,"0")+IFERROR(Y54/H54,"0")</f>
        <v>28</v>
      </c>
      <c r="Z55" s="669">
        <f>IFERROR(IF(Z49="",0,Z49),"0")+IFERROR(IF(Z50="",0,Z50),"0")+IFERROR(IF(Z51="",0,Z51),"0")+IFERROR(IF(Z52="",0,Z52),"0")+IFERROR(IF(Z53="",0,Z53),"0")+IFERROR(IF(Z54="",0,Z54),"0")</f>
        <v>0.53144000000000002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300</v>
      </c>
      <c r="Y56" s="669">
        <f>IFERROR(SUM(Y49:Y54),"0")</f>
        <v>302.40000000000003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150</v>
      </c>
      <c r="Y73" s="668">
        <f t="shared" si="11"/>
        <v>151.20000000000002</v>
      </c>
      <c r="Z73" s="36">
        <f>IFERROR(IF(Y73=0,"",ROUNDUP(Y73/H73,0)*0.01898),"")</f>
        <v>0.34164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159.05357142857142</v>
      </c>
      <c r="BN73" s="64">
        <f t="shared" si="13"/>
        <v>160.32600000000002</v>
      </c>
      <c r="BO73" s="64">
        <f t="shared" si="14"/>
        <v>0.27901785714285715</v>
      </c>
      <c r="BP73" s="64">
        <f t="shared" si="15"/>
        <v>0.28125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17.857142857142858</v>
      </c>
      <c r="Y77" s="669">
        <f>IFERROR(Y71/H71,"0")+IFERROR(Y72/H72,"0")+IFERROR(Y73/H73,"0")+IFERROR(Y74/H74,"0")+IFERROR(Y75/H75,"0")+IFERROR(Y76/H76,"0")</f>
        <v>18</v>
      </c>
      <c r="Z77" s="669">
        <f>IFERROR(IF(Z71="",0,Z71),"0")+IFERROR(IF(Z72="",0,Z72),"0")+IFERROR(IF(Z73="",0,Z73),"0")+IFERROR(IF(Z74="",0,Z74),"0")+IFERROR(IF(Z75="",0,Z75),"0")+IFERROR(IF(Z76="",0,Z76),"0")</f>
        <v>0.34164</v>
      </c>
      <c r="AA77" s="670"/>
      <c r="AB77" s="670"/>
      <c r="AC77" s="670"/>
    </row>
    <row r="78" spans="1:68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150</v>
      </c>
      <c r="Y78" s="669">
        <f>IFERROR(SUM(Y71:Y76),"0")</f>
        <v>151.20000000000002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31" t="s">
        <v>197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231</v>
      </c>
      <c r="B120" s="54" t="s">
        <v>234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231</v>
      </c>
      <c r="B121" s="54" t="s">
        <v>236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21" t="s">
        <v>237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idden="1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hidden="1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50.4</v>
      </c>
      <c r="Y156" s="668">
        <f>IFERROR(IF(X156="",0,CEILING((X156/$H156),1)*$H156),"")</f>
        <v>50.400000000000006</v>
      </c>
      <c r="Z156" s="36">
        <f>IFERROR(IF(Y156=0,"",ROUNDUP(Y156/H156,0)*0.00651),"")</f>
        <v>7.8119999999999995E-2</v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53.639999999999993</v>
      </c>
      <c r="BN156" s="64">
        <f>IFERROR(Y156*I156/H156,"0")</f>
        <v>53.64</v>
      </c>
      <c r="BO156" s="64">
        <f>IFERROR(1/J156*(X156/H156),"0")</f>
        <v>6.5934065934065936E-2</v>
      </c>
      <c r="BP156" s="64">
        <f>IFERROR(1/J156*(Y156/H156),"0")</f>
        <v>6.5934065934065936E-2</v>
      </c>
    </row>
    <row r="157" spans="1:68" ht="16.5" hidden="1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12</v>
      </c>
      <c r="Y158" s="669">
        <f>IFERROR(Y155/H155,"0")+IFERROR(Y156/H156,"0")+IFERROR(Y157/H157,"0")</f>
        <v>12</v>
      </c>
      <c r="Z158" s="669">
        <f>IFERROR(IF(Z155="",0,Z155),"0")+IFERROR(IF(Z156="",0,Z156),"0")+IFERROR(IF(Z157="",0,Z157),"0")</f>
        <v>7.8119999999999995E-2</v>
      </c>
      <c r="AA158" s="670"/>
      <c r="AB158" s="670"/>
      <c r="AC158" s="670"/>
    </row>
    <row r="159" spans="1:68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50.4</v>
      </c>
      <c r="Y159" s="669">
        <f>IFERROR(SUM(Y155:Y157),"0")</f>
        <v>50.400000000000006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hidden="1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hidden="1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4301011942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397</v>
      </c>
      <c r="C234" s="31">
        <v>4301011826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4301011941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404</v>
      </c>
      <c r="C237" s="31">
        <v>4301011721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4301020340</v>
      </c>
      <c r="D244" s="689">
        <v>4680115885721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415</v>
      </c>
      <c r="C245" s="31">
        <v>4301020377</v>
      </c>
      <c r="D245" s="689">
        <v>4680115885981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">
        <v>416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4301011910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443</v>
      </c>
      <c r="B264" s="54" t="s">
        <v>446</v>
      </c>
      <c r="C264" s="31">
        <v>4301011850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20</v>
      </c>
      <c r="Y267" s="668">
        <f t="shared" si="47"/>
        <v>20</v>
      </c>
      <c r="Z267" s="36">
        <f>IFERROR(IF(Y267=0,"",ROUNDUP(Y267/H267,0)*0.00902),"")</f>
        <v>4.5100000000000001E-2</v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21.05</v>
      </c>
      <c r="BN267" s="64">
        <f t="shared" si="49"/>
        <v>21.05</v>
      </c>
      <c r="BO267" s="64">
        <f t="shared" si="50"/>
        <v>3.787878787878788E-2</v>
      </c>
      <c r="BP267" s="64">
        <f t="shared" si="51"/>
        <v>3.787878787878788E-2</v>
      </c>
    </row>
    <row r="268" spans="1:68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5</v>
      </c>
      <c r="Y268" s="669">
        <f>IFERROR(Y262/H262,"0")+IFERROR(Y263/H263,"0")+IFERROR(Y264/H264,"0")+IFERROR(Y265/H265,"0")+IFERROR(Y266/H266,"0")+IFERROR(Y267/H267,"0")</f>
        <v>5</v>
      </c>
      <c r="Z268" s="669">
        <f>IFERROR(IF(Z262="",0,Z262),"0")+IFERROR(IF(Z263="",0,Z263),"0")+IFERROR(IF(Z264="",0,Z264),"0")+IFERROR(IF(Z265="",0,Z265),"0")+IFERROR(IF(Z266="",0,Z266),"0")+IFERROR(IF(Z267="",0,Z267),"0")</f>
        <v>4.5100000000000001E-2</v>
      </c>
      <c r="AA268" s="670"/>
      <c r="AB268" s="670"/>
      <c r="AC268" s="670"/>
    </row>
    <row r="269" spans="1:68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20</v>
      </c>
      <c r="Y269" s="669">
        <f>IFERROR(SUM(Y262:Y267),"0")</f>
        <v>20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4301011911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728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519</v>
      </c>
      <c r="B329" s="54" t="s">
        <v>522</v>
      </c>
      <c r="C329" s="31">
        <v>4301012016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436.8</v>
      </c>
      <c r="Y343" s="668">
        <f>IFERROR(IF(X343="",0,CEILING((X343/$H343),1)*$H343),"")</f>
        <v>436.8</v>
      </c>
      <c r="Z343" s="36">
        <f>IFERROR(IF(Y343=0,"",ROUNDUP(Y343/H343,0)*0.01898),"")</f>
        <v>1.06288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465.52800000000002</v>
      </c>
      <c r="BN343" s="64">
        <f>IFERROR(Y343*I343/H343,"0")</f>
        <v>465.52800000000002</v>
      </c>
      <c r="BO343" s="64">
        <f>IFERROR(1/J343*(X343/H343),"0")</f>
        <v>0.875</v>
      </c>
      <c r="BP343" s="64">
        <f>IFERROR(1/J343*(Y343/H343),"0")</f>
        <v>0.875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9</v>
      </c>
      <c r="Y346" s="668">
        <f>IFERROR(IF(X346="",0,CEILING((X346/$H346),1)*$H346),"")</f>
        <v>9</v>
      </c>
      <c r="Z346" s="36">
        <f>IFERROR(IF(Y346=0,"",ROUNDUP(Y346/H346,0)*0.00651),"")</f>
        <v>1.9529999999999999E-2</v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9.7379999999999995</v>
      </c>
      <c r="BN346" s="64">
        <f>IFERROR(Y346*I346/H346,"0")</f>
        <v>9.7379999999999995</v>
      </c>
      <c r="BO346" s="64">
        <f>IFERROR(1/J346*(X346/H346),"0")</f>
        <v>1.6483516483516484E-2</v>
      </c>
      <c r="BP346" s="64">
        <f>IFERROR(1/J346*(Y346/H346),"0")</f>
        <v>1.6483516483516484E-2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59</v>
      </c>
      <c r="Y348" s="669">
        <f>IFERROR(Y343/H343,"0")+IFERROR(Y344/H344,"0")+IFERROR(Y345/H345,"0")+IFERROR(Y346/H346,"0")+IFERROR(Y347/H347,"0")</f>
        <v>59</v>
      </c>
      <c r="Z348" s="669">
        <f>IFERROR(IF(Z343="",0,Z343),"0")+IFERROR(IF(Z344="",0,Z344),"0")+IFERROR(IF(Z345="",0,Z345),"0")+IFERROR(IF(Z346="",0,Z346),"0")+IFERROR(IF(Z347="",0,Z347),"0")</f>
        <v>1.0824100000000001</v>
      </c>
      <c r="AA348" s="670"/>
      <c r="AB348" s="670"/>
      <c r="AC348" s="670"/>
    </row>
    <row r="349" spans="1:68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445.8</v>
      </c>
      <c r="Y349" s="669">
        <f>IFERROR(SUM(Y343:Y347),"0")</f>
        <v>445.8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7.65</v>
      </c>
      <c r="Y360" s="668">
        <f>IFERROR(IF(X360="",0,CEILING((X360/$H360),1)*$H360),"")</f>
        <v>7.6499999999999995</v>
      </c>
      <c r="Z360" s="36">
        <f>IFERROR(IF(Y360=0,"",ROUNDUP(Y360/H360,0)*0.00651),"")</f>
        <v>1.9529999999999999E-2</v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8.64</v>
      </c>
      <c r="BN360" s="64">
        <f>IFERROR(Y360*I360/H360,"0")</f>
        <v>8.6399999999999988</v>
      </c>
      <c r="BO360" s="64">
        <f>IFERROR(1/J360*(X360/H360),"0")</f>
        <v>1.6483516483516487E-2</v>
      </c>
      <c r="BP360" s="64">
        <f>IFERROR(1/J360*(Y360/H360),"0")</f>
        <v>1.6483516483516484E-2</v>
      </c>
    </row>
    <row r="361" spans="1:68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3.0000000000000004</v>
      </c>
      <c r="Y361" s="669">
        <f>IFERROR(Y357/H357,"0")+IFERROR(Y358/H358,"0")+IFERROR(Y359/H359,"0")+IFERROR(Y360/H360,"0")</f>
        <v>3</v>
      </c>
      <c r="Z361" s="669">
        <f>IFERROR(IF(Z357="",0,Z357),"0")+IFERROR(IF(Z358="",0,Z358),"0")+IFERROR(IF(Z359="",0,Z359),"0")+IFERROR(IF(Z360="",0,Z360),"0")</f>
        <v>1.9529999999999999E-2</v>
      </c>
      <c r="AA361" s="670"/>
      <c r="AB361" s="670"/>
      <c r="AC361" s="670"/>
    </row>
    <row r="362" spans="1:68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7.65</v>
      </c>
      <c r="Y362" s="669">
        <f>IFERROR(SUM(Y357:Y360),"0")</f>
        <v>7.6499999999999995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27" hidden="1" customHeight="1" x14ac:dyDescent="0.25">
      <c r="A383" s="54" t="s">
        <v>604</v>
      </c>
      <c r="B383" s="54" t="s">
        <v>605</v>
      </c>
      <c r="C383" s="31">
        <v>4301011946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hidden="1" customHeight="1" x14ac:dyDescent="0.25">
      <c r="A384" s="54" t="s">
        <v>604</v>
      </c>
      <c r="B384" s="54" t="s">
        <v>607</v>
      </c>
      <c r="C384" s="31">
        <v>4301011869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7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IFERROR(IF(Y384=0,"",ROUNDUP(Y384/H384,0)*0.02175),"")</f>
        <v/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4301011947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1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609</v>
      </c>
      <c r="B386" s="54" t="s">
        <v>611</v>
      </c>
      <c r="C386" s="31">
        <v>4301011870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IFERROR(IF(Y386=0,"",ROUNDUP(Y386/H386,0)*0.02175),"")</f>
        <v/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4301011943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7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hidden="1" customHeight="1" x14ac:dyDescent="0.25">
      <c r="A388" s="54" t="s">
        <v>615</v>
      </c>
      <c r="B388" s="54" t="s">
        <v>616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hidden="1" customHeight="1" x14ac:dyDescent="0.25">
      <c r="A389" s="54" t="s">
        <v>613</v>
      </c>
      <c r="B389" s="54" t="s">
        <v>618</v>
      </c>
      <c r="C389" s="31">
        <v>4301011867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hidden="1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hidden="1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21.6</v>
      </c>
      <c r="Y413" s="668">
        <f>IFERROR(IF(X413="",0,CEILING((X413/$H413),1)*$H413),"")</f>
        <v>21.6</v>
      </c>
      <c r="Z413" s="36">
        <f>IFERROR(IF(Y413=0,"",ROUNDUP(Y413/H413,0)*0.01898),"")</f>
        <v>3.7960000000000001E-2</v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22.47</v>
      </c>
      <c r="BN413" s="64">
        <f>IFERROR(Y413*I413/H413,"0")</f>
        <v>22.47</v>
      </c>
      <c r="BO413" s="64">
        <f>IFERROR(1/J413*(X413/H413),"0")</f>
        <v>3.125E-2</v>
      </c>
      <c r="BP413" s="64">
        <f>IFERROR(1/J413*(Y413/H413),"0")</f>
        <v>3.125E-2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2</v>
      </c>
      <c r="Y416" s="669">
        <f>IFERROR(Y411/H411,"0")+IFERROR(Y412/H412,"0")+IFERROR(Y413/H413,"0")+IFERROR(Y414/H414,"0")+IFERROR(Y415/H415,"0")</f>
        <v>2</v>
      </c>
      <c r="Z416" s="669">
        <f>IFERROR(IF(Z411="",0,Z411),"0")+IFERROR(IF(Z412="",0,Z412),"0")+IFERROR(IF(Z413="",0,Z413),"0")+IFERROR(IF(Z414="",0,Z414),"0")+IFERROR(IF(Z415="",0,Z415),"0")</f>
        <v>3.7960000000000001E-2</v>
      </c>
      <c r="AA416" s="670"/>
      <c r="AB416" s="670"/>
      <c r="AC416" s="670"/>
    </row>
    <row r="417" spans="1:68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21.6</v>
      </c>
      <c r="Y417" s="669">
        <f>IFERROR(SUM(Y411:Y415),"0")</f>
        <v>21.6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4301031382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4301031406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4301012035</v>
      </c>
      <c r="D493" s="689">
        <v>4680115880603</v>
      </c>
      <c r="E493" s="690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4301011778</v>
      </c>
      <c r="D494" s="689">
        <v>4680115880603</v>
      </c>
      <c r="E494" s="690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4301012034</v>
      </c>
      <c r="D499" s="689">
        <v>4607091389982</v>
      </c>
      <c r="E499" s="690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4301011784</v>
      </c>
      <c r="D500" s="689">
        <v>4607091389982</v>
      </c>
      <c r="E500" s="690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idden="1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hidden="1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4301020334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1" t="s">
        <v>792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790</v>
      </c>
      <c r="B506" s="54" t="s">
        <v>794</v>
      </c>
      <c r="C506" s="31">
        <v>4301020222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89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4301031351</v>
      </c>
      <c r="D516" s="689">
        <v>4680115882072</v>
      </c>
      <c r="E516" s="690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4301031383</v>
      </c>
      <c r="D517" s="689">
        <v>4680115882072</v>
      </c>
      <c r="E517" s="690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4301031419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720" t="s">
        <v>823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4301031384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829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831</v>
      </c>
      <c r="C522" s="31">
        <v>4301031417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7" t="s">
        <v>832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4301051887</v>
      </c>
      <c r="D565" s="689">
        <v>4640242180533</v>
      </c>
      <c r="E565" s="690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4301052046</v>
      </c>
      <c r="D566" s="689">
        <v>4640242180533</v>
      </c>
      <c r="E566" s="690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4301060485</v>
      </c>
      <c r="D573" s="689">
        <v>4640242180120</v>
      </c>
      <c r="E573" s="690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4301060496</v>
      </c>
      <c r="D574" s="689">
        <v>4640242180120</v>
      </c>
      <c r="E574" s="690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4301060486</v>
      </c>
      <c r="D575" s="689">
        <v>4640242180137</v>
      </c>
      <c r="E575" s="690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4301060498</v>
      </c>
      <c r="D576" s="689">
        <v>4640242180137</v>
      </c>
      <c r="E576" s="690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995.45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999.05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1052.2029047619048</v>
      </c>
      <c r="Y597" s="669">
        <f>IFERROR(SUM(BN22:BN593),"0")</f>
        <v>1055.9720000000002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1102.2029047619048</v>
      </c>
      <c r="Y599" s="669">
        <f>GrossWeightTotalR+PalletQtyTotalR*25</f>
        <v>1105.9720000000002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126.63492063492063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127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2.1362000000000001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453.6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50.400000000000006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20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453.45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21.6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2,20"/>
        <filter val="1 102,20"/>
        <filter val="12,00"/>
        <filter val="126,63"/>
        <filter val="150,00"/>
        <filter val="17,86"/>
        <filter val="2"/>
        <filter val="2,00"/>
        <filter val="20,00"/>
        <filter val="21,60"/>
        <filter val="27,78"/>
        <filter val="3,00"/>
        <filter val="300,00"/>
        <filter val="436,80"/>
        <filter val="445,80"/>
        <filter val="5,00"/>
        <filter val="50,40"/>
        <filter val="59,00"/>
        <filter val="7,65"/>
        <filter val="9,00"/>
        <filter val="995,45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