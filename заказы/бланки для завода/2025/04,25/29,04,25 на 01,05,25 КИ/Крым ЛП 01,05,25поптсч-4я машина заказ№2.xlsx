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8362D2-1E0E-4123-9732-1F6AA3E0EC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O518" i="1"/>
  <c r="BM518" i="1"/>
  <c r="Y518" i="1"/>
  <c r="BO517" i="1"/>
  <c r="BM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X196" i="1"/>
  <c r="BO195" i="1"/>
  <c r="BM195" i="1"/>
  <c r="Y195" i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6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55" i="1" l="1"/>
  <c r="BN155" i="1"/>
  <c r="Z155" i="1"/>
  <c r="BP178" i="1"/>
  <c r="BN178" i="1"/>
  <c r="Z178" i="1"/>
  <c r="BP184" i="1"/>
  <c r="BN184" i="1"/>
  <c r="Z184" i="1"/>
  <c r="BP217" i="1"/>
  <c r="BN217" i="1"/>
  <c r="Z217" i="1"/>
  <c r="BP240" i="1"/>
  <c r="BN240" i="1"/>
  <c r="Z240" i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BP351" i="1"/>
  <c r="BN351" i="1"/>
  <c r="Z351" i="1"/>
  <c r="BP390" i="1"/>
  <c r="BN390" i="1"/>
  <c r="Z390" i="1"/>
  <c r="BP444" i="1"/>
  <c r="BN444" i="1"/>
  <c r="Z444" i="1"/>
  <c r="BP517" i="1"/>
  <c r="BN517" i="1"/>
  <c r="Z517" i="1"/>
  <c r="BP519" i="1"/>
  <c r="BN519" i="1"/>
  <c r="Z519" i="1"/>
  <c r="Z40" i="1"/>
  <c r="BN40" i="1"/>
  <c r="Z59" i="1"/>
  <c r="BN59" i="1"/>
  <c r="Z71" i="1"/>
  <c r="BN71" i="1"/>
  <c r="Y78" i="1"/>
  <c r="Z88" i="1"/>
  <c r="BN88" i="1"/>
  <c r="Y103" i="1"/>
  <c r="Z109" i="1"/>
  <c r="BN109" i="1"/>
  <c r="BP130" i="1"/>
  <c r="BN130" i="1"/>
  <c r="Z130" i="1"/>
  <c r="BP173" i="1"/>
  <c r="BN173" i="1"/>
  <c r="Z173" i="1"/>
  <c r="Y187" i="1"/>
  <c r="Y186" i="1"/>
  <c r="BP183" i="1"/>
  <c r="BN183" i="1"/>
  <c r="Z183" i="1"/>
  <c r="Z186" i="1" s="1"/>
  <c r="BP185" i="1"/>
  <c r="BN185" i="1"/>
  <c r="Z185" i="1"/>
  <c r="BP207" i="1"/>
  <c r="BN207" i="1"/>
  <c r="Z207" i="1"/>
  <c r="BP227" i="1"/>
  <c r="BN227" i="1"/>
  <c r="Z227" i="1"/>
  <c r="BP264" i="1"/>
  <c r="BN264" i="1"/>
  <c r="Z264" i="1"/>
  <c r="BP339" i="1"/>
  <c r="BN339" i="1"/>
  <c r="Z339" i="1"/>
  <c r="BP376" i="1"/>
  <c r="BN376" i="1"/>
  <c r="Z376" i="1"/>
  <c r="BP414" i="1"/>
  <c r="BN414" i="1"/>
  <c r="Z414" i="1"/>
  <c r="BP445" i="1"/>
  <c r="BN445" i="1"/>
  <c r="Z445" i="1"/>
  <c r="BP518" i="1"/>
  <c r="BN518" i="1"/>
  <c r="Z518" i="1"/>
  <c r="BP526" i="1"/>
  <c r="BN526" i="1"/>
  <c r="Z526" i="1"/>
  <c r="Y127" i="1"/>
  <c r="Y158" i="1"/>
  <c r="Y354" i="1"/>
  <c r="Y509" i="1"/>
  <c r="BP205" i="1"/>
  <c r="BN205" i="1"/>
  <c r="Z205" i="1"/>
  <c r="Y225" i="1"/>
  <c r="BP215" i="1"/>
  <c r="BN215" i="1"/>
  <c r="Z215" i="1"/>
  <c r="BP238" i="1"/>
  <c r="BN238" i="1"/>
  <c r="Z238" i="1"/>
  <c r="BP245" i="1"/>
  <c r="BN245" i="1"/>
  <c r="Z245" i="1"/>
  <c r="Y259" i="1"/>
  <c r="Y258" i="1"/>
  <c r="BP253" i="1"/>
  <c r="BN253" i="1"/>
  <c r="Z253" i="1"/>
  <c r="BP257" i="1"/>
  <c r="BN257" i="1"/>
  <c r="Z257" i="1"/>
  <c r="BP288" i="1"/>
  <c r="BN288" i="1"/>
  <c r="Z288" i="1"/>
  <c r="BP337" i="1"/>
  <c r="BN337" i="1"/>
  <c r="Z337" i="1"/>
  <c r="Y180" i="1"/>
  <c r="BP171" i="1"/>
  <c r="BN171" i="1"/>
  <c r="Z171" i="1"/>
  <c r="BP176" i="1"/>
  <c r="BN176" i="1"/>
  <c r="Z176" i="1"/>
  <c r="BP223" i="1"/>
  <c r="BN223" i="1"/>
  <c r="Z223" i="1"/>
  <c r="BP255" i="1"/>
  <c r="BN255" i="1"/>
  <c r="Z255" i="1"/>
  <c r="BP262" i="1"/>
  <c r="BN262" i="1"/>
  <c r="Z262" i="1"/>
  <c r="Z22" i="1"/>
  <c r="BN22" i="1"/>
  <c r="Y29" i="1"/>
  <c r="X600" i="1"/>
  <c r="Z38" i="1"/>
  <c r="BN38" i="1"/>
  <c r="Z44" i="1"/>
  <c r="Z45" i="1" s="1"/>
  <c r="BN44" i="1"/>
  <c r="BP44" i="1"/>
  <c r="Y45" i="1"/>
  <c r="Z49" i="1"/>
  <c r="BN49" i="1"/>
  <c r="Y56" i="1"/>
  <c r="Z53" i="1"/>
  <c r="BN53" i="1"/>
  <c r="Y62" i="1"/>
  <c r="Z61" i="1"/>
  <c r="BN61" i="1"/>
  <c r="Y69" i="1"/>
  <c r="Z67" i="1"/>
  <c r="BN67" i="1"/>
  <c r="Y77" i="1"/>
  <c r="Z73" i="1"/>
  <c r="BN73" i="1"/>
  <c r="Z81" i="1"/>
  <c r="BN81" i="1"/>
  <c r="E606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16" i="1"/>
  <c r="Z119" i="1"/>
  <c r="BN119" i="1"/>
  <c r="BP119" i="1"/>
  <c r="Z124" i="1"/>
  <c r="BN124" i="1"/>
  <c r="Z135" i="1"/>
  <c r="BN135" i="1"/>
  <c r="Z145" i="1"/>
  <c r="BN145" i="1"/>
  <c r="BP145" i="1"/>
  <c r="Y159" i="1"/>
  <c r="Z157" i="1"/>
  <c r="BN157" i="1"/>
  <c r="I606" i="1"/>
  <c r="Y168" i="1"/>
  <c r="BP167" i="1"/>
  <c r="BN167" i="1"/>
  <c r="BP175" i="1"/>
  <c r="BN175" i="1"/>
  <c r="Z175" i="1"/>
  <c r="BP195" i="1"/>
  <c r="BN195" i="1"/>
  <c r="Z195" i="1"/>
  <c r="BP209" i="1"/>
  <c r="BN209" i="1"/>
  <c r="Z209" i="1"/>
  <c r="BP219" i="1"/>
  <c r="BN219" i="1"/>
  <c r="Z219" i="1"/>
  <c r="BP234" i="1"/>
  <c r="BN234" i="1"/>
  <c r="Z234" i="1"/>
  <c r="Y247" i="1"/>
  <c r="Y246" i="1"/>
  <c r="BP244" i="1"/>
  <c r="BN244" i="1"/>
  <c r="Z244" i="1"/>
  <c r="Z246" i="1" s="1"/>
  <c r="BP254" i="1"/>
  <c r="BN254" i="1"/>
  <c r="Z254" i="1"/>
  <c r="BP256" i="1"/>
  <c r="BN256" i="1"/>
  <c r="Z256" i="1"/>
  <c r="BP266" i="1"/>
  <c r="BN266" i="1"/>
  <c r="Z266" i="1"/>
  <c r="BP329" i="1"/>
  <c r="BN329" i="1"/>
  <c r="Z329" i="1"/>
  <c r="BP343" i="1"/>
  <c r="BN343" i="1"/>
  <c r="Z343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Y201" i="1"/>
  <c r="Y229" i="1"/>
  <c r="Y269" i="1"/>
  <c r="O606" i="1"/>
  <c r="P606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Y379" i="1"/>
  <c r="Y473" i="1"/>
  <c r="H9" i="1"/>
  <c r="A10" i="1"/>
  <c r="B606" i="1"/>
  <c r="X597" i="1"/>
  <c r="X598" i="1"/>
  <c r="Z23" i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Z114" i="1"/>
  <c r="Z116" i="1" s="1"/>
  <c r="BN114" i="1"/>
  <c r="BP114" i="1"/>
  <c r="Z120" i="1"/>
  <c r="BN120" i="1"/>
  <c r="Z121" i="1"/>
  <c r="BN121" i="1"/>
  <c r="Z122" i="1"/>
  <c r="BN122" i="1"/>
  <c r="Z123" i="1"/>
  <c r="BN123" i="1"/>
  <c r="Z125" i="1"/>
  <c r="BN125" i="1"/>
  <c r="Y126" i="1"/>
  <c r="Z129" i="1"/>
  <c r="Z131" i="1" s="1"/>
  <c r="BN129" i="1"/>
  <c r="BP129" i="1"/>
  <c r="Y132" i="1"/>
  <c r="G606" i="1"/>
  <c r="Z136" i="1"/>
  <c r="BN136" i="1"/>
  <c r="Y137" i="1"/>
  <c r="Z140" i="1"/>
  <c r="Z142" i="1" s="1"/>
  <c r="BN140" i="1"/>
  <c r="BP140" i="1"/>
  <c r="Y143" i="1"/>
  <c r="Z146" i="1"/>
  <c r="Z147" i="1" s="1"/>
  <c r="BN146" i="1"/>
  <c r="Y147" i="1"/>
  <c r="Z151" i="1"/>
  <c r="Z152" i="1" s="1"/>
  <c r="BN151" i="1"/>
  <c r="BP151" i="1"/>
  <c r="BP172" i="1"/>
  <c r="BN172" i="1"/>
  <c r="Z172" i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1" i="1"/>
  <c r="Y242" i="1"/>
  <c r="BP233" i="1"/>
  <c r="BN233" i="1"/>
  <c r="Z233" i="1"/>
  <c r="F9" i="1"/>
  <c r="J9" i="1"/>
  <c r="Y41" i="1"/>
  <c r="Y91" i="1"/>
  <c r="Y110" i="1"/>
  <c r="Y138" i="1"/>
  <c r="H606" i="1"/>
  <c r="Y153" i="1"/>
  <c r="BP156" i="1"/>
  <c r="BN156" i="1"/>
  <c r="Z156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Y169" i="1"/>
  <c r="Z237" i="1"/>
  <c r="BN237" i="1"/>
  <c r="Z239" i="1"/>
  <c r="BN239" i="1"/>
  <c r="Z249" i="1"/>
  <c r="Z250" i="1" s="1"/>
  <c r="BN249" i="1"/>
  <c r="BP249" i="1"/>
  <c r="Y250" i="1"/>
  <c r="L606" i="1"/>
  <c r="Z263" i="1"/>
  <c r="Z268" i="1" s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18" i="1" l="1"/>
  <c r="Z158" i="1"/>
  <c r="Z137" i="1"/>
  <c r="Y597" i="1"/>
  <c r="Z180" i="1"/>
  <c r="Y596" i="1"/>
  <c r="Z28" i="1"/>
  <c r="Z258" i="1"/>
  <c r="Z416" i="1"/>
  <c r="Z224" i="1"/>
  <c r="Y598" i="1"/>
  <c r="Z126" i="1"/>
  <c r="Z77" i="1"/>
  <c r="Z552" i="1"/>
  <c r="Z523" i="1"/>
  <c r="Z466" i="1"/>
  <c r="Z393" i="1"/>
  <c r="Z367" i="1"/>
  <c r="Z361" i="1"/>
  <c r="X599" i="1"/>
  <c r="Z570" i="1"/>
  <c r="Z502" i="1"/>
  <c r="Z241" i="1"/>
  <c r="Z212" i="1"/>
  <c r="Z41" i="1"/>
  <c r="Y600" i="1"/>
  <c r="Z601" i="1" l="1"/>
  <c r="Y599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<sst xmlns="http://schemas.openxmlformats.org/spreadsheetml/2006/main" count="2761" uniqueCount="983">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</sst>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84" sqref="AA384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1200</v>
      </c>
      <c r="Y384" s="668">
        <f t="shared" si="57"/>
        <v>1200</v>
      </c>
      <c r="Z384" s="36">
        <f>IFERROR(IF(Y384=0,"",ROUNDUP(Y384/H384,0)*0.02175),"")</f>
        <v>1.7399999999999998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1238.4000000000001</v>
      </c>
      <c r="BN384" s="64">
        <f t="shared" si="59"/>
        <v>1238.4000000000001</v>
      </c>
      <c r="BO384" s="64">
        <f t="shared" si="60"/>
        <v>1.6666666666666665</v>
      </c>
      <c r="BP384" s="64">
        <f t="shared" si="61"/>
        <v>1.6666666666666665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1200</v>
      </c>
      <c r="Y386" s="668">
        <f t="shared" si="57"/>
        <v>1200</v>
      </c>
      <c r="Z386" s="36">
        <f>IFERROR(IF(Y386=0,"",ROUNDUP(Y386/H386,0)*0.02175),"")</f>
        <v>1.7399999999999998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1238.4000000000001</v>
      </c>
      <c r="BN386" s="64">
        <f t="shared" si="59"/>
        <v>1238.4000000000001</v>
      </c>
      <c r="BO386" s="64">
        <f t="shared" si="60"/>
        <v>1.6666666666666665</v>
      </c>
      <c r="BP386" s="64">
        <f t="shared" si="61"/>
        <v>1.6666666666666665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1200</v>
      </c>
      <c r="Y388" s="668">
        <f t="shared" si="57"/>
        <v>1200</v>
      </c>
      <c r="Z388" s="36">
        <f>IFERROR(IF(Y388=0,"",ROUNDUP(Y388/H388,0)*0.02175),"")</f>
        <v>1.7399999999999998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1238.4000000000001</v>
      </c>
      <c r="BN388" s="64">
        <f t="shared" si="59"/>
        <v>1238.4000000000001</v>
      </c>
      <c r="BO388" s="64">
        <f t="shared" si="60"/>
        <v>1.6666666666666665</v>
      </c>
      <c r="BP388" s="64">
        <f t="shared" si="61"/>
        <v>1.6666666666666665</v>
      </c>
    </row>
    <row r="389" spans="1:68" ht="37.5" hidden="1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240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240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5.2199999999999989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3600</v>
      </c>
      <c r="Y394" s="669">
        <f>IFERROR(SUM(Y383:Y392),"0")</f>
        <v>3600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1200</v>
      </c>
      <c r="Y396" s="668">
        <f>IFERROR(IF(X396="",0,CEILING((X396/$H396),1)*$H396),"")</f>
        <v>1200</v>
      </c>
      <c r="Z396" s="36">
        <f>IFERROR(IF(Y396=0,"",ROUNDUP(Y396/H396,0)*0.02175),"")</f>
        <v>1.7399999999999998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1238.4000000000001</v>
      </c>
      <c r="BN396" s="64">
        <f>IFERROR(Y396*I396/H396,"0")</f>
        <v>1238.4000000000001</v>
      </c>
      <c r="BO396" s="64">
        <f>IFERROR(1/J396*(X396/H396),"0")</f>
        <v>1.6666666666666665</v>
      </c>
      <c r="BP396" s="64">
        <f>IFERROR(1/J396*(Y396/H396),"0")</f>
        <v>1.6666666666666665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80</v>
      </c>
      <c r="Y398" s="669">
        <f>IFERROR(Y396/H396,"0")+IFERROR(Y397/H397,"0")</f>
        <v>80</v>
      </c>
      <c r="Z398" s="669">
        <f>IFERROR(IF(Z396="",0,Z396),"0")+IFERROR(IF(Z397="",0,Z397),"0")</f>
        <v>1.7399999999999998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1200</v>
      </c>
      <c r="Y399" s="669">
        <f>IFERROR(SUM(Y396:Y397),"0")</f>
        <v>1200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4800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4800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4953.6000000000004</v>
      </c>
      <c r="Y597" s="669">
        <f>IFERROR(SUM(BN22:BN593),"0")</f>
        <v>4953.6000000000004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5128.6000000000004</v>
      </c>
      <c r="Y599" s="669">
        <f>GrossWeightTotalR+PalletQtyTotalR*25</f>
        <v>5128.6000000000004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320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320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6.9599999999999991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4800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240,00"/>
        <filter val="3 600,00"/>
        <filter val="320,00"/>
        <filter val="4 800,00"/>
        <filter val="4 953,60"/>
        <filter val="5 128,60"/>
        <filter val="7"/>
        <filter val="80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