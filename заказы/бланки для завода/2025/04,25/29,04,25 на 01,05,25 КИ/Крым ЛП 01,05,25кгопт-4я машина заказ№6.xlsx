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3F617FB-B6F6-4E7A-A436-CFC1BB2DE1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X594" i="1"/>
  <c r="BO593" i="1"/>
  <c r="BM593" i="1"/>
  <c r="Y593" i="1"/>
  <c r="X591" i="1"/>
  <c r="X590" i="1"/>
  <c r="BO589" i="1"/>
  <c r="BM589" i="1"/>
  <c r="Y589" i="1"/>
  <c r="X587" i="1"/>
  <c r="X586" i="1"/>
  <c r="BO585" i="1"/>
  <c r="BM585" i="1"/>
  <c r="Y585" i="1"/>
  <c r="X583" i="1"/>
  <c r="X582" i="1"/>
  <c r="BO581" i="1"/>
  <c r="BM581" i="1"/>
  <c r="Y581" i="1"/>
  <c r="X578" i="1"/>
  <c r="X577" i="1"/>
  <c r="BO576" i="1"/>
  <c r="BM576" i="1"/>
  <c r="Y576" i="1"/>
  <c r="BO575" i="1"/>
  <c r="BM575" i="1"/>
  <c r="Y575" i="1"/>
  <c r="BO574" i="1"/>
  <c r="BM574" i="1"/>
  <c r="Y574" i="1"/>
  <c r="BO573" i="1"/>
  <c r="BM573" i="1"/>
  <c r="Y573" i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X562" i="1"/>
  <c r="BO561" i="1"/>
  <c r="BM561" i="1"/>
  <c r="Y561" i="1"/>
  <c r="BO560" i="1"/>
  <c r="BM560" i="1"/>
  <c r="Y560" i="1"/>
  <c r="BO559" i="1"/>
  <c r="BM559" i="1"/>
  <c r="Y559" i="1"/>
  <c r="BO558" i="1"/>
  <c r="BM558" i="1"/>
  <c r="Y558" i="1"/>
  <c r="BO557" i="1"/>
  <c r="BM557" i="1"/>
  <c r="Y557" i="1"/>
  <c r="BO556" i="1"/>
  <c r="BM556" i="1"/>
  <c r="Y556" i="1"/>
  <c r="BO555" i="1"/>
  <c r="BM555" i="1"/>
  <c r="Y555" i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X544" i="1"/>
  <c r="BO543" i="1"/>
  <c r="BM543" i="1"/>
  <c r="Y543" i="1"/>
  <c r="BO542" i="1"/>
  <c r="BM542" i="1"/>
  <c r="Y542" i="1"/>
  <c r="BO541" i="1"/>
  <c r="BM541" i="1"/>
  <c r="Y541" i="1"/>
  <c r="BO540" i="1"/>
  <c r="BM540" i="1"/>
  <c r="Y540" i="1"/>
  <c r="BO539" i="1"/>
  <c r="BM539" i="1"/>
  <c r="Y539" i="1"/>
  <c r="BO538" i="1"/>
  <c r="BM538" i="1"/>
  <c r="Y538" i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BO521" i="1"/>
  <c r="BM521" i="1"/>
  <c r="Y521" i="1"/>
  <c r="P521" i="1"/>
  <c r="BO520" i="1"/>
  <c r="BM520" i="1"/>
  <c r="Y520" i="1"/>
  <c r="P520" i="1"/>
  <c r="BO519" i="1"/>
  <c r="BM519" i="1"/>
  <c r="Y519" i="1"/>
  <c r="BO518" i="1"/>
  <c r="BM518" i="1"/>
  <c r="Y518" i="1"/>
  <c r="BO517" i="1"/>
  <c r="BM517" i="1"/>
  <c r="Y517" i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P506" i="1"/>
  <c r="BO505" i="1"/>
  <c r="BM505" i="1"/>
  <c r="Y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P476" i="1"/>
  <c r="X473" i="1"/>
  <c r="Y472" i="1"/>
  <c r="X472" i="1"/>
  <c r="BP471" i="1"/>
  <c r="BO471" i="1"/>
  <c r="BN471" i="1"/>
  <c r="BM471" i="1"/>
  <c r="Z471" i="1"/>
  <c r="Y471" i="1"/>
  <c r="BP470" i="1"/>
  <c r="BO470" i="1"/>
  <c r="BN470" i="1"/>
  <c r="BM470" i="1"/>
  <c r="Z470" i="1"/>
  <c r="Z472" i="1" s="1"/>
  <c r="Y470" i="1"/>
  <c r="AA606" i="1" s="1"/>
  <c r="P470" i="1"/>
  <c r="X467" i="1"/>
  <c r="X466" i="1"/>
  <c r="BO465" i="1"/>
  <c r="BM465" i="1"/>
  <c r="Y465" i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3" i="1"/>
  <c r="Y372" i="1"/>
  <c r="X372" i="1"/>
  <c r="BP371" i="1"/>
  <c r="BO371" i="1"/>
  <c r="BN371" i="1"/>
  <c r="BM371" i="1"/>
  <c r="Z371" i="1"/>
  <c r="Z372" i="1" s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Y318" i="1" s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O278" i="1"/>
  <c r="BN278" i="1"/>
  <c r="BM278" i="1"/>
  <c r="Z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X259" i="1"/>
  <c r="X258" i="1"/>
  <c r="BO257" i="1"/>
  <c r="BM257" i="1"/>
  <c r="Y257" i="1"/>
  <c r="BP257" i="1" s="1"/>
  <c r="BO256" i="1"/>
  <c r="BM256" i="1"/>
  <c r="Y256" i="1"/>
  <c r="BP256" i="1" s="1"/>
  <c r="BO255" i="1"/>
  <c r="BM255" i="1"/>
  <c r="Y255" i="1"/>
  <c r="BP255" i="1" s="1"/>
  <c r="BO254" i="1"/>
  <c r="BM254" i="1"/>
  <c r="Y254" i="1"/>
  <c r="BP254" i="1" s="1"/>
  <c r="BO253" i="1"/>
  <c r="BM253" i="1"/>
  <c r="Y253" i="1"/>
  <c r="Y259" i="1" s="1"/>
  <c r="X251" i="1"/>
  <c r="X250" i="1"/>
  <c r="BO249" i="1"/>
  <c r="BM249" i="1"/>
  <c r="Y249" i="1"/>
  <c r="X247" i="1"/>
  <c r="X246" i="1"/>
  <c r="BO245" i="1"/>
  <c r="BM245" i="1"/>
  <c r="Y245" i="1"/>
  <c r="BP245" i="1" s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BP227" i="1" s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Y22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X202" i="1"/>
  <c r="X201" i="1"/>
  <c r="BO200" i="1"/>
  <c r="BM200" i="1"/>
  <c r="Y200" i="1"/>
  <c r="P200" i="1"/>
  <c r="BP199" i="1"/>
  <c r="BO199" i="1"/>
  <c r="BN199" i="1"/>
  <c r="BM199" i="1"/>
  <c r="Z199" i="1"/>
  <c r="Y199" i="1"/>
  <c r="P199" i="1"/>
  <c r="X197" i="1"/>
  <c r="X196" i="1"/>
  <c r="BO195" i="1"/>
  <c r="BM195" i="1"/>
  <c r="Y195" i="1"/>
  <c r="BP195" i="1" s="1"/>
  <c r="P195" i="1"/>
  <c r="BO194" i="1"/>
  <c r="BM194" i="1"/>
  <c r="Y194" i="1"/>
  <c r="P194" i="1"/>
  <c r="X191" i="1"/>
  <c r="X190" i="1"/>
  <c r="BO189" i="1"/>
  <c r="BM189" i="1"/>
  <c r="Y189" i="1"/>
  <c r="X187" i="1"/>
  <c r="X186" i="1"/>
  <c r="BO185" i="1"/>
  <c r="BM185" i="1"/>
  <c r="Y185" i="1"/>
  <c r="BP185" i="1" s="1"/>
  <c r="BO184" i="1"/>
  <c r="BM184" i="1"/>
  <c r="Y184" i="1"/>
  <c r="BP184" i="1" s="1"/>
  <c r="BO183" i="1"/>
  <c r="BM183" i="1"/>
  <c r="Y183" i="1"/>
  <c r="Y187" i="1" s="1"/>
  <c r="X181" i="1"/>
  <c r="X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Y180" i="1" s="1"/>
  <c r="P171" i="1"/>
  <c r="X169" i="1"/>
  <c r="X168" i="1"/>
  <c r="BO167" i="1"/>
  <c r="BM167" i="1"/>
  <c r="Y167" i="1"/>
  <c r="Y168" i="1" s="1"/>
  <c r="P167" i="1"/>
  <c r="X163" i="1"/>
  <c r="X162" i="1"/>
  <c r="BO161" i="1"/>
  <c r="BM161" i="1"/>
  <c r="Y161" i="1"/>
  <c r="Y163" i="1" s="1"/>
  <c r="P161" i="1"/>
  <c r="X159" i="1"/>
  <c r="X158" i="1"/>
  <c r="BP157" i="1"/>
  <c r="BO157" i="1"/>
  <c r="BN157" i="1"/>
  <c r="BM157" i="1"/>
  <c r="Z157" i="1"/>
  <c r="Y157" i="1"/>
  <c r="P157" i="1"/>
  <c r="BO156" i="1"/>
  <c r="BM156" i="1"/>
  <c r="Y156" i="1"/>
  <c r="P156" i="1"/>
  <c r="BO155" i="1"/>
  <c r="BM155" i="1"/>
  <c r="Y155" i="1"/>
  <c r="BP155" i="1" s="1"/>
  <c r="P155" i="1"/>
  <c r="X153" i="1"/>
  <c r="X152" i="1"/>
  <c r="BO151" i="1"/>
  <c r="BM151" i="1"/>
  <c r="Y151" i="1"/>
  <c r="Y152" i="1" s="1"/>
  <c r="P151" i="1"/>
  <c r="X148" i="1"/>
  <c r="X147" i="1"/>
  <c r="BO146" i="1"/>
  <c r="BM146" i="1"/>
  <c r="Y146" i="1"/>
  <c r="BP146" i="1" s="1"/>
  <c r="P146" i="1"/>
  <c r="BO145" i="1"/>
  <c r="BM145" i="1"/>
  <c r="Y145" i="1"/>
  <c r="Y147" i="1" s="1"/>
  <c r="P145" i="1"/>
  <c r="X143" i="1"/>
  <c r="X142" i="1"/>
  <c r="BO141" i="1"/>
  <c r="BM141" i="1"/>
  <c r="Y141" i="1"/>
  <c r="P141" i="1"/>
  <c r="BO140" i="1"/>
  <c r="BM140" i="1"/>
  <c r="Y140" i="1"/>
  <c r="BP140" i="1" s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BO94" i="1"/>
  <c r="BM94" i="1"/>
  <c r="Y94" i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Y90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P51" i="1"/>
  <c r="BO50" i="1"/>
  <c r="BM50" i="1"/>
  <c r="Y50" i="1"/>
  <c r="BP50" i="1" s="1"/>
  <c r="P50" i="1"/>
  <c r="BO49" i="1"/>
  <c r="BM49" i="1"/>
  <c r="Y49" i="1"/>
  <c r="P49" i="1"/>
  <c r="X46" i="1"/>
  <c r="X45" i="1"/>
  <c r="BO44" i="1"/>
  <c r="BM44" i="1"/>
  <c r="Y44" i="1"/>
  <c r="P44" i="1"/>
  <c r="X42" i="1"/>
  <c r="X41" i="1"/>
  <c r="BO40" i="1"/>
  <c r="BM40" i="1"/>
  <c r="Y40" i="1"/>
  <c r="P40" i="1"/>
  <c r="BO39" i="1"/>
  <c r="BM39" i="1"/>
  <c r="Y39" i="1"/>
  <c r="BP39" i="1" s="1"/>
  <c r="P39" i="1"/>
  <c r="BO38" i="1"/>
  <c r="BM38" i="1"/>
  <c r="Y38" i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240" i="1" l="1"/>
  <c r="BN240" i="1"/>
  <c r="BP264" i="1"/>
  <c r="BN264" i="1"/>
  <c r="Z264" i="1"/>
  <c r="BP337" i="1"/>
  <c r="BN337" i="1"/>
  <c r="Z337" i="1"/>
  <c r="BP364" i="1"/>
  <c r="BN364" i="1"/>
  <c r="Z364" i="1"/>
  <c r="BP397" i="1"/>
  <c r="BN397" i="1"/>
  <c r="Z397" i="1"/>
  <c r="BP425" i="1"/>
  <c r="BN425" i="1"/>
  <c r="Z425" i="1"/>
  <c r="BP441" i="1"/>
  <c r="BN441" i="1"/>
  <c r="Z441" i="1"/>
  <c r="BP490" i="1"/>
  <c r="BN490" i="1"/>
  <c r="Z490" i="1"/>
  <c r="BP500" i="1"/>
  <c r="BN500" i="1"/>
  <c r="Z500" i="1"/>
  <c r="BP512" i="1"/>
  <c r="BN512" i="1"/>
  <c r="Z512" i="1"/>
  <c r="BP514" i="1"/>
  <c r="BN514" i="1"/>
  <c r="Z514" i="1"/>
  <c r="BP516" i="1"/>
  <c r="BN516" i="1"/>
  <c r="Z516" i="1"/>
  <c r="BP517" i="1"/>
  <c r="BN517" i="1"/>
  <c r="Z517" i="1"/>
  <c r="BP519" i="1"/>
  <c r="BN519" i="1"/>
  <c r="Z519" i="1"/>
  <c r="X597" i="1"/>
  <c r="Z23" i="1"/>
  <c r="BN23" i="1"/>
  <c r="Z24" i="1"/>
  <c r="BN24" i="1"/>
  <c r="Z25" i="1"/>
  <c r="BN25" i="1"/>
  <c r="Z50" i="1"/>
  <c r="BN50" i="1"/>
  <c r="Z60" i="1"/>
  <c r="BN60" i="1"/>
  <c r="Z76" i="1"/>
  <c r="BN76" i="1"/>
  <c r="Z89" i="1"/>
  <c r="BN89" i="1"/>
  <c r="Z101" i="1"/>
  <c r="BN101" i="1"/>
  <c r="Z120" i="1"/>
  <c r="BN120" i="1"/>
  <c r="Z121" i="1"/>
  <c r="BN121" i="1"/>
  <c r="Z122" i="1"/>
  <c r="BN122" i="1"/>
  <c r="Z123" i="1"/>
  <c r="BN123" i="1"/>
  <c r="Z140" i="1"/>
  <c r="BN140" i="1"/>
  <c r="Z173" i="1"/>
  <c r="BN173" i="1"/>
  <c r="Z178" i="1"/>
  <c r="BN178" i="1"/>
  <c r="Z183" i="1"/>
  <c r="BN183" i="1"/>
  <c r="BP183" i="1"/>
  <c r="Z184" i="1"/>
  <c r="BN184" i="1"/>
  <c r="Z185" i="1"/>
  <c r="BN185" i="1"/>
  <c r="Y186" i="1"/>
  <c r="Z207" i="1"/>
  <c r="BN207" i="1"/>
  <c r="Z217" i="1"/>
  <c r="BN217" i="1"/>
  <c r="Z227" i="1"/>
  <c r="BN227" i="1"/>
  <c r="Z240" i="1"/>
  <c r="BP288" i="1"/>
  <c r="BN288" i="1"/>
  <c r="Z288" i="1"/>
  <c r="BP347" i="1"/>
  <c r="BN347" i="1"/>
  <c r="Z347" i="1"/>
  <c r="BP385" i="1"/>
  <c r="BN385" i="1"/>
  <c r="Z385" i="1"/>
  <c r="Y408" i="1"/>
  <c r="Y407" i="1"/>
  <c r="BP406" i="1"/>
  <c r="BN406" i="1"/>
  <c r="Z406" i="1"/>
  <c r="Z407" i="1" s="1"/>
  <c r="BP411" i="1"/>
  <c r="BN411" i="1"/>
  <c r="Z411" i="1"/>
  <c r="Y432" i="1"/>
  <c r="Y431" i="1"/>
  <c r="BP430" i="1"/>
  <c r="BN430" i="1"/>
  <c r="Z430" i="1"/>
  <c r="Z431" i="1" s="1"/>
  <c r="BP440" i="1"/>
  <c r="BN440" i="1"/>
  <c r="Z440" i="1"/>
  <c r="BP452" i="1"/>
  <c r="BN452" i="1"/>
  <c r="Z452" i="1"/>
  <c r="BP493" i="1"/>
  <c r="BN493" i="1"/>
  <c r="Z493" i="1"/>
  <c r="BP505" i="1"/>
  <c r="BN505" i="1"/>
  <c r="Z505" i="1"/>
  <c r="BP513" i="1"/>
  <c r="BN513" i="1"/>
  <c r="Z513" i="1"/>
  <c r="BP515" i="1"/>
  <c r="BN515" i="1"/>
  <c r="Z515" i="1"/>
  <c r="BP518" i="1"/>
  <c r="BN518" i="1"/>
  <c r="Z518" i="1"/>
  <c r="BP526" i="1"/>
  <c r="BN526" i="1"/>
  <c r="Z526" i="1"/>
  <c r="Y247" i="1"/>
  <c r="X598" i="1"/>
  <c r="Z27" i="1"/>
  <c r="BN27" i="1"/>
  <c r="X596" i="1"/>
  <c r="C606" i="1"/>
  <c r="Z39" i="1"/>
  <c r="BN39" i="1"/>
  <c r="Z52" i="1"/>
  <c r="BN52" i="1"/>
  <c r="Z58" i="1"/>
  <c r="BN58" i="1"/>
  <c r="BP58" i="1"/>
  <c r="Z66" i="1"/>
  <c r="BN66" i="1"/>
  <c r="Z74" i="1"/>
  <c r="BN74" i="1"/>
  <c r="Z80" i="1"/>
  <c r="BN80" i="1"/>
  <c r="Z87" i="1"/>
  <c r="BN87" i="1"/>
  <c r="BP87" i="1"/>
  <c r="Z99" i="1"/>
  <c r="BN99" i="1"/>
  <c r="Z106" i="1"/>
  <c r="BN106" i="1"/>
  <c r="Z114" i="1"/>
  <c r="BN114" i="1"/>
  <c r="Z125" i="1"/>
  <c r="BN125" i="1"/>
  <c r="Z136" i="1"/>
  <c r="BN136" i="1"/>
  <c r="Y142" i="1"/>
  <c r="Z146" i="1"/>
  <c r="BN146" i="1"/>
  <c r="Z151" i="1"/>
  <c r="Z152" i="1" s="1"/>
  <c r="BN151" i="1"/>
  <c r="BP151" i="1"/>
  <c r="Z155" i="1"/>
  <c r="BN155" i="1"/>
  <c r="Z161" i="1"/>
  <c r="Z162" i="1" s="1"/>
  <c r="BN161" i="1"/>
  <c r="BP161" i="1"/>
  <c r="Y162" i="1"/>
  <c r="Z167" i="1"/>
  <c r="Z168" i="1" s="1"/>
  <c r="BN167" i="1"/>
  <c r="BP167" i="1"/>
  <c r="Z171" i="1"/>
  <c r="BN171" i="1"/>
  <c r="BP171" i="1"/>
  <c r="Z175" i="1"/>
  <c r="BN175" i="1"/>
  <c r="Z176" i="1"/>
  <c r="BN176" i="1"/>
  <c r="Z195" i="1"/>
  <c r="BN195" i="1"/>
  <c r="Y201" i="1"/>
  <c r="Z205" i="1"/>
  <c r="BN205" i="1"/>
  <c r="Z209" i="1"/>
  <c r="BN209" i="1"/>
  <c r="Z215" i="1"/>
  <c r="BN215" i="1"/>
  <c r="BP215" i="1"/>
  <c r="Z219" i="1"/>
  <c r="BN219" i="1"/>
  <c r="Z223" i="1"/>
  <c r="BN223" i="1"/>
  <c r="Y229" i="1"/>
  <c r="Z234" i="1"/>
  <c r="BN234" i="1"/>
  <c r="Z238" i="1"/>
  <c r="BN238" i="1"/>
  <c r="Z244" i="1"/>
  <c r="BN244" i="1"/>
  <c r="BP244" i="1"/>
  <c r="Z245" i="1"/>
  <c r="BN245" i="1"/>
  <c r="Y246" i="1"/>
  <c r="Z253" i="1"/>
  <c r="BN253" i="1"/>
  <c r="BP253" i="1"/>
  <c r="Z254" i="1"/>
  <c r="BN254" i="1"/>
  <c r="Z255" i="1"/>
  <c r="BN255" i="1"/>
  <c r="Z256" i="1"/>
  <c r="BN256" i="1"/>
  <c r="Z257" i="1"/>
  <c r="BN257" i="1"/>
  <c r="Y258" i="1"/>
  <c r="Z262" i="1"/>
  <c r="BN262" i="1"/>
  <c r="Z266" i="1"/>
  <c r="BN266" i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BP339" i="1"/>
  <c r="BN339" i="1"/>
  <c r="Z339" i="1"/>
  <c r="BP352" i="1"/>
  <c r="BN352" i="1"/>
  <c r="Z352" i="1"/>
  <c r="BP358" i="1"/>
  <c r="BN358" i="1"/>
  <c r="Z358" i="1"/>
  <c r="BP377" i="1"/>
  <c r="BN377" i="1"/>
  <c r="Z377" i="1"/>
  <c r="BP383" i="1"/>
  <c r="BN383" i="1"/>
  <c r="Z383" i="1"/>
  <c r="BP391" i="1"/>
  <c r="BN391" i="1"/>
  <c r="Z391" i="1"/>
  <c r="Y421" i="1"/>
  <c r="Y420" i="1"/>
  <c r="BP419" i="1"/>
  <c r="BN419" i="1"/>
  <c r="Z419" i="1"/>
  <c r="Z420" i="1" s="1"/>
  <c r="BP423" i="1"/>
  <c r="BN423" i="1"/>
  <c r="Z423" i="1"/>
  <c r="BP446" i="1"/>
  <c r="BN446" i="1"/>
  <c r="Z446" i="1"/>
  <c r="Y467" i="1"/>
  <c r="BP462" i="1"/>
  <c r="BN462" i="1"/>
  <c r="Z462" i="1"/>
  <c r="BP488" i="1"/>
  <c r="BN488" i="1"/>
  <c r="Z488" i="1"/>
  <c r="X599" i="1"/>
  <c r="X600" i="1"/>
  <c r="BP286" i="1"/>
  <c r="BN286" i="1"/>
  <c r="Z286" i="1"/>
  <c r="BP331" i="1"/>
  <c r="BN331" i="1"/>
  <c r="Z331" i="1"/>
  <c r="BP345" i="1"/>
  <c r="BN345" i="1"/>
  <c r="Z345" i="1"/>
  <c r="Y362" i="1"/>
  <c r="BP357" i="1"/>
  <c r="BN357" i="1"/>
  <c r="Z357" i="1"/>
  <c r="Y361" i="1"/>
  <c r="BP366" i="1"/>
  <c r="BN366" i="1"/>
  <c r="Z366" i="1"/>
  <c r="BP387" i="1"/>
  <c r="BN387" i="1"/>
  <c r="Z387" i="1"/>
  <c r="BP413" i="1"/>
  <c r="BN413" i="1"/>
  <c r="Z413" i="1"/>
  <c r="BP443" i="1"/>
  <c r="BN443" i="1"/>
  <c r="Z443" i="1"/>
  <c r="Z606" i="1"/>
  <c r="BP457" i="1"/>
  <c r="BN457" i="1"/>
  <c r="Z457" i="1"/>
  <c r="BP465" i="1"/>
  <c r="BN465" i="1"/>
  <c r="Z465" i="1"/>
  <c r="BP495" i="1"/>
  <c r="BN495" i="1"/>
  <c r="Z495" i="1"/>
  <c r="BP497" i="1"/>
  <c r="BN497" i="1"/>
  <c r="Z497" i="1"/>
  <c r="BP521" i="1"/>
  <c r="BN521" i="1"/>
  <c r="Z521" i="1"/>
  <c r="BP528" i="1"/>
  <c r="BN528" i="1"/>
  <c r="Z528" i="1"/>
  <c r="Y545" i="1"/>
  <c r="Y544" i="1"/>
  <c r="BP538" i="1"/>
  <c r="BN538" i="1"/>
  <c r="Z538" i="1"/>
  <c r="BP540" i="1"/>
  <c r="BN540" i="1"/>
  <c r="Z540" i="1"/>
  <c r="BP542" i="1"/>
  <c r="BN542" i="1"/>
  <c r="Z542" i="1"/>
  <c r="BP556" i="1"/>
  <c r="BN556" i="1"/>
  <c r="Z556" i="1"/>
  <c r="BP558" i="1"/>
  <c r="BN558" i="1"/>
  <c r="Z558" i="1"/>
  <c r="BP560" i="1"/>
  <c r="BN560" i="1"/>
  <c r="Z560" i="1"/>
  <c r="BP574" i="1"/>
  <c r="BN574" i="1"/>
  <c r="Z574" i="1"/>
  <c r="BP576" i="1"/>
  <c r="BN576" i="1"/>
  <c r="Z576" i="1"/>
  <c r="Y587" i="1"/>
  <c r="Y586" i="1"/>
  <c r="BP585" i="1"/>
  <c r="BN585" i="1"/>
  <c r="Z585" i="1"/>
  <c r="Z586" i="1" s="1"/>
  <c r="Y595" i="1"/>
  <c r="Y594" i="1"/>
  <c r="BP593" i="1"/>
  <c r="BN593" i="1"/>
  <c r="Z593" i="1"/>
  <c r="Z594" i="1" s="1"/>
  <c r="V606" i="1"/>
  <c r="Y379" i="1"/>
  <c r="Y378" i="1"/>
  <c r="Y478" i="1"/>
  <c r="AB606" i="1"/>
  <c r="BP496" i="1"/>
  <c r="BN496" i="1"/>
  <c r="Z496" i="1"/>
  <c r="BP498" i="1"/>
  <c r="BN498" i="1"/>
  <c r="Z498" i="1"/>
  <c r="BP522" i="1"/>
  <c r="BN522" i="1"/>
  <c r="Z522" i="1"/>
  <c r="BP539" i="1"/>
  <c r="BN539" i="1"/>
  <c r="Z539" i="1"/>
  <c r="BP541" i="1"/>
  <c r="BN541" i="1"/>
  <c r="Z541" i="1"/>
  <c r="BP543" i="1"/>
  <c r="BN543" i="1"/>
  <c r="Z543" i="1"/>
  <c r="Y563" i="1"/>
  <c r="Y562" i="1"/>
  <c r="BP555" i="1"/>
  <c r="BN555" i="1"/>
  <c r="Z555" i="1"/>
  <c r="BP557" i="1"/>
  <c r="BN557" i="1"/>
  <c r="Z557" i="1"/>
  <c r="BP559" i="1"/>
  <c r="BN559" i="1"/>
  <c r="Z559" i="1"/>
  <c r="BP561" i="1"/>
  <c r="BN561" i="1"/>
  <c r="Z561" i="1"/>
  <c r="Y578" i="1"/>
  <c r="Y577" i="1"/>
  <c r="BP573" i="1"/>
  <c r="BN573" i="1"/>
  <c r="Z573" i="1"/>
  <c r="BP575" i="1"/>
  <c r="BN575" i="1"/>
  <c r="Z575" i="1"/>
  <c r="Y509" i="1"/>
  <c r="Y530" i="1"/>
  <c r="Y529" i="1"/>
  <c r="H9" i="1"/>
  <c r="A10" i="1"/>
  <c r="B606" i="1"/>
  <c r="Y29" i="1"/>
  <c r="BP26" i="1"/>
  <c r="BN26" i="1"/>
  <c r="Z26" i="1"/>
  <c r="BP40" i="1"/>
  <c r="BN40" i="1"/>
  <c r="Z40" i="1"/>
  <c r="Y42" i="1"/>
  <c r="Y45" i="1"/>
  <c r="BP44" i="1"/>
  <c r="BN44" i="1"/>
  <c r="Z44" i="1"/>
  <c r="Z45" i="1" s="1"/>
  <c r="Y46" i="1"/>
  <c r="D606" i="1"/>
  <c r="Y56" i="1"/>
  <c r="BP49" i="1"/>
  <c r="BN49" i="1"/>
  <c r="Z49" i="1"/>
  <c r="BP53" i="1"/>
  <c r="BN53" i="1"/>
  <c r="Z53" i="1"/>
  <c r="BP61" i="1"/>
  <c r="BN61" i="1"/>
  <c r="Z61" i="1"/>
  <c r="Y63" i="1"/>
  <c r="Y68" i="1"/>
  <c r="BP65" i="1"/>
  <c r="BN65" i="1"/>
  <c r="Z65" i="1"/>
  <c r="BP73" i="1"/>
  <c r="BN73" i="1"/>
  <c r="Z73" i="1"/>
  <c r="Y77" i="1"/>
  <c r="BP81" i="1"/>
  <c r="BN81" i="1"/>
  <c r="Z81" i="1"/>
  <c r="Z83" i="1" s="1"/>
  <c r="BP94" i="1"/>
  <c r="BN94" i="1"/>
  <c r="Z94" i="1"/>
  <c r="BP96" i="1"/>
  <c r="BN96" i="1"/>
  <c r="Z96" i="1"/>
  <c r="BP98" i="1"/>
  <c r="BN98" i="1"/>
  <c r="Z98" i="1"/>
  <c r="Y102" i="1"/>
  <c r="BP107" i="1"/>
  <c r="BN107" i="1"/>
  <c r="Z107" i="1"/>
  <c r="BP115" i="1"/>
  <c r="BN115" i="1"/>
  <c r="Z115" i="1"/>
  <c r="Y117" i="1"/>
  <c r="Y127" i="1"/>
  <c r="BP119" i="1"/>
  <c r="BN119" i="1"/>
  <c r="Z119" i="1"/>
  <c r="Y126" i="1"/>
  <c r="BP130" i="1"/>
  <c r="BN130" i="1"/>
  <c r="Z130" i="1"/>
  <c r="Z131" i="1" s="1"/>
  <c r="Y132" i="1"/>
  <c r="Y138" i="1"/>
  <c r="BP135" i="1"/>
  <c r="BN135" i="1"/>
  <c r="Z135" i="1"/>
  <c r="BP156" i="1"/>
  <c r="BN156" i="1"/>
  <c r="Z156" i="1"/>
  <c r="Z158" i="1" s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BP206" i="1"/>
  <c r="BN206" i="1"/>
  <c r="Z206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BP265" i="1"/>
  <c r="BN265" i="1"/>
  <c r="Z265" i="1"/>
  <c r="BP279" i="1"/>
  <c r="BN279" i="1"/>
  <c r="Z279" i="1"/>
  <c r="BP287" i="1"/>
  <c r="BN287" i="1"/>
  <c r="Z287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9" i="1"/>
  <c r="Y354" i="1"/>
  <c r="BP351" i="1"/>
  <c r="BN351" i="1"/>
  <c r="Z351" i="1"/>
  <c r="Y355" i="1"/>
  <c r="BP365" i="1"/>
  <c r="BN365" i="1"/>
  <c r="Z365" i="1"/>
  <c r="Z367" i="1" s="1"/>
  <c r="Y367" i="1"/>
  <c r="BP402" i="1"/>
  <c r="BN402" i="1"/>
  <c r="Z402" i="1"/>
  <c r="Y404" i="1"/>
  <c r="BP412" i="1"/>
  <c r="BN412" i="1"/>
  <c r="Z412" i="1"/>
  <c r="Y416" i="1"/>
  <c r="BP424" i="1"/>
  <c r="BN424" i="1"/>
  <c r="Z424" i="1"/>
  <c r="Y428" i="1"/>
  <c r="BP437" i="1"/>
  <c r="BN437" i="1"/>
  <c r="Z437" i="1"/>
  <c r="BP439" i="1"/>
  <c r="BN439" i="1"/>
  <c r="Z439" i="1"/>
  <c r="BP444" i="1"/>
  <c r="BN444" i="1"/>
  <c r="Z444" i="1"/>
  <c r="BP447" i="1"/>
  <c r="BN447" i="1"/>
  <c r="Z447" i="1"/>
  <c r="Y449" i="1"/>
  <c r="Y454" i="1"/>
  <c r="BP451" i="1"/>
  <c r="BN451" i="1"/>
  <c r="Z451" i="1"/>
  <c r="Z453" i="1" s="1"/>
  <c r="Y453" i="1"/>
  <c r="BP489" i="1"/>
  <c r="BN489" i="1"/>
  <c r="Z489" i="1"/>
  <c r="BP492" i="1"/>
  <c r="BN492" i="1"/>
  <c r="Z492" i="1"/>
  <c r="BP499" i="1"/>
  <c r="BN499" i="1"/>
  <c r="Z499" i="1"/>
  <c r="BP507" i="1"/>
  <c r="BN507" i="1"/>
  <c r="Z507" i="1"/>
  <c r="Y533" i="1"/>
  <c r="BP532" i="1"/>
  <c r="BN532" i="1"/>
  <c r="Z532" i="1"/>
  <c r="Z533" i="1" s="1"/>
  <c r="Y534" i="1"/>
  <c r="Y552" i="1"/>
  <c r="BP547" i="1"/>
  <c r="BN547" i="1"/>
  <c r="Z547" i="1"/>
  <c r="AD606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G606" i="1"/>
  <c r="X606" i="1"/>
  <c r="F9" i="1"/>
  <c r="J9" i="1"/>
  <c r="Z22" i="1"/>
  <c r="BN22" i="1"/>
  <c r="BP22" i="1"/>
  <c r="Y28" i="1"/>
  <c r="BP38" i="1"/>
  <c r="BN38" i="1"/>
  <c r="Z38" i="1"/>
  <c r="BP51" i="1"/>
  <c r="BN51" i="1"/>
  <c r="Z51" i="1"/>
  <c r="Y55" i="1"/>
  <c r="BP59" i="1"/>
  <c r="BN59" i="1"/>
  <c r="Z59" i="1"/>
  <c r="Z62" i="1" s="1"/>
  <c r="BP67" i="1"/>
  <c r="BN67" i="1"/>
  <c r="Z67" i="1"/>
  <c r="Y69" i="1"/>
  <c r="Y78" i="1"/>
  <c r="BP71" i="1"/>
  <c r="BN71" i="1"/>
  <c r="Z71" i="1"/>
  <c r="BP75" i="1"/>
  <c r="BN75" i="1"/>
  <c r="Z75" i="1"/>
  <c r="Y84" i="1"/>
  <c r="Y83" i="1"/>
  <c r="BP88" i="1"/>
  <c r="BN88" i="1"/>
  <c r="Z88" i="1"/>
  <c r="Z90" i="1" s="1"/>
  <c r="Y103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1" i="1"/>
  <c r="Y116" i="1"/>
  <c r="BP113" i="1"/>
  <c r="BN113" i="1"/>
  <c r="Z113" i="1"/>
  <c r="Z116" i="1" s="1"/>
  <c r="BP124" i="1"/>
  <c r="BN124" i="1"/>
  <c r="Z124" i="1"/>
  <c r="Y131" i="1"/>
  <c r="Y137" i="1"/>
  <c r="BP141" i="1"/>
  <c r="BN141" i="1"/>
  <c r="Z141" i="1"/>
  <c r="Z142" i="1" s="1"/>
  <c r="Y143" i="1"/>
  <c r="Y148" i="1"/>
  <c r="BP145" i="1"/>
  <c r="BN145" i="1"/>
  <c r="Z145" i="1"/>
  <c r="Z147" i="1" s="1"/>
  <c r="Y159" i="1"/>
  <c r="Y158" i="1"/>
  <c r="BP172" i="1"/>
  <c r="BN172" i="1"/>
  <c r="Z172" i="1"/>
  <c r="Z180" i="1" s="1"/>
  <c r="BP177" i="1"/>
  <c r="BN177" i="1"/>
  <c r="Z177" i="1"/>
  <c r="Y196" i="1"/>
  <c r="BP200" i="1"/>
  <c r="BN200" i="1"/>
  <c r="Z200" i="1"/>
  <c r="Z201" i="1" s="1"/>
  <c r="Y202" i="1"/>
  <c r="Y213" i="1"/>
  <c r="BP204" i="1"/>
  <c r="BN204" i="1"/>
  <c r="Z204" i="1"/>
  <c r="Z212" i="1" s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606" i="1"/>
  <c r="Y242" i="1"/>
  <c r="BP233" i="1"/>
  <c r="BN233" i="1"/>
  <c r="Z233" i="1"/>
  <c r="BP237" i="1"/>
  <c r="BN237" i="1"/>
  <c r="Z237" i="1"/>
  <c r="Y241" i="1"/>
  <c r="Y250" i="1"/>
  <c r="BP249" i="1"/>
  <c r="BN249" i="1"/>
  <c r="Z249" i="1"/>
  <c r="Z250" i="1" s="1"/>
  <c r="Y251" i="1"/>
  <c r="BP263" i="1"/>
  <c r="BN263" i="1"/>
  <c r="Z263" i="1"/>
  <c r="Z268" i="1" s="1"/>
  <c r="BP267" i="1"/>
  <c r="BN267" i="1"/>
  <c r="Z267" i="1"/>
  <c r="Y269" i="1"/>
  <c r="M606" i="1"/>
  <c r="Y273" i="1"/>
  <c r="BP272" i="1"/>
  <c r="BN272" i="1"/>
  <c r="Z272" i="1"/>
  <c r="Z273" i="1" s="1"/>
  <c r="Y274" i="1"/>
  <c r="O606" i="1"/>
  <c r="Y281" i="1"/>
  <c r="BP277" i="1"/>
  <c r="BN277" i="1"/>
  <c r="Z277" i="1"/>
  <c r="BP280" i="1"/>
  <c r="BN280" i="1"/>
  <c r="Z280" i="1"/>
  <c r="Y282" i="1"/>
  <c r="Y290" i="1"/>
  <c r="BP285" i="1"/>
  <c r="BN285" i="1"/>
  <c r="Z285" i="1"/>
  <c r="BP289" i="1"/>
  <c r="BN289" i="1"/>
  <c r="Z289" i="1"/>
  <c r="Y291" i="1"/>
  <c r="Q606" i="1"/>
  <c r="Y295" i="1"/>
  <c r="BP294" i="1"/>
  <c r="BN294" i="1"/>
  <c r="Z294" i="1"/>
  <c r="Z295" i="1" s="1"/>
  <c r="Y296" i="1"/>
  <c r="Y299" i="1"/>
  <c r="BP298" i="1"/>
  <c r="BN298" i="1"/>
  <c r="Z298" i="1"/>
  <c r="Z299" i="1" s="1"/>
  <c r="Y300" i="1"/>
  <c r="Y303" i="1"/>
  <c r="BP302" i="1"/>
  <c r="BN302" i="1"/>
  <c r="Z302" i="1"/>
  <c r="Z303" i="1" s="1"/>
  <c r="Y304" i="1"/>
  <c r="R606" i="1"/>
  <c r="Y308" i="1"/>
  <c r="BP307" i="1"/>
  <c r="BN307" i="1"/>
  <c r="Z307" i="1"/>
  <c r="Z308" i="1" s="1"/>
  <c r="Y309" i="1"/>
  <c r="S606" i="1"/>
  <c r="Y313" i="1"/>
  <c r="BP312" i="1"/>
  <c r="BN312" i="1"/>
  <c r="Z312" i="1"/>
  <c r="Z313" i="1" s="1"/>
  <c r="Y314" i="1"/>
  <c r="Y319" i="1"/>
  <c r="BP316" i="1"/>
  <c r="BN316" i="1"/>
  <c r="Z316" i="1"/>
  <c r="Z318" i="1" s="1"/>
  <c r="BP330" i="1"/>
  <c r="BN330" i="1"/>
  <c r="Z330" i="1"/>
  <c r="BP338" i="1"/>
  <c r="BN338" i="1"/>
  <c r="Z338" i="1"/>
  <c r="BP346" i="1"/>
  <c r="BN346" i="1"/>
  <c r="Z346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398" i="1"/>
  <c r="BP464" i="1"/>
  <c r="BN464" i="1"/>
  <c r="Z464" i="1"/>
  <c r="P606" i="1"/>
  <c r="Y41" i="1"/>
  <c r="E606" i="1"/>
  <c r="Y91" i="1"/>
  <c r="F606" i="1"/>
  <c r="Y110" i="1"/>
  <c r="H606" i="1"/>
  <c r="Y153" i="1"/>
  <c r="I606" i="1"/>
  <c r="Y169" i="1"/>
  <c r="L606" i="1"/>
  <c r="Y268" i="1"/>
  <c r="Y324" i="1"/>
  <c r="U606" i="1"/>
  <c r="Y333" i="1"/>
  <c r="Y348" i="1"/>
  <c r="BP353" i="1"/>
  <c r="BN353" i="1"/>
  <c r="Z353" i="1"/>
  <c r="BP359" i="1"/>
  <c r="BN359" i="1"/>
  <c r="Z359" i="1"/>
  <c r="Z361" i="1" s="1"/>
  <c r="Y368" i="1"/>
  <c r="Z378" i="1"/>
  <c r="BP376" i="1"/>
  <c r="BN376" i="1"/>
  <c r="Z376" i="1"/>
  <c r="BP386" i="1"/>
  <c r="BN386" i="1"/>
  <c r="Z386" i="1"/>
  <c r="BP390" i="1"/>
  <c r="BN390" i="1"/>
  <c r="Z390" i="1"/>
  <c r="Y403" i="1"/>
  <c r="BP401" i="1"/>
  <c r="BN401" i="1"/>
  <c r="Z401" i="1"/>
  <c r="Y417" i="1"/>
  <c r="BP414" i="1"/>
  <c r="BN414" i="1"/>
  <c r="Z414" i="1"/>
  <c r="Y427" i="1"/>
  <c r="BP426" i="1"/>
  <c r="BN426" i="1"/>
  <c r="Z426" i="1"/>
  <c r="Y606" i="1"/>
  <c r="Y448" i="1"/>
  <c r="BP436" i="1"/>
  <c r="BN436" i="1"/>
  <c r="Z436" i="1"/>
  <c r="BP438" i="1"/>
  <c r="BN438" i="1"/>
  <c r="Z438" i="1"/>
  <c r="BP442" i="1"/>
  <c r="BN442" i="1"/>
  <c r="Z442" i="1"/>
  <c r="BP445" i="1"/>
  <c r="BN445" i="1"/>
  <c r="Z445" i="1"/>
  <c r="BP458" i="1"/>
  <c r="BN458" i="1"/>
  <c r="Z458" i="1"/>
  <c r="Z459" i="1" s="1"/>
  <c r="Y460" i="1"/>
  <c r="Z466" i="1"/>
  <c r="BP463" i="1"/>
  <c r="BN463" i="1"/>
  <c r="Z463" i="1"/>
  <c r="Y466" i="1"/>
  <c r="BP487" i="1"/>
  <c r="BN487" i="1"/>
  <c r="Z487" i="1"/>
  <c r="BP491" i="1"/>
  <c r="BN491" i="1"/>
  <c r="Z491" i="1"/>
  <c r="BP494" i="1"/>
  <c r="BN494" i="1"/>
  <c r="Z494" i="1"/>
  <c r="BP501" i="1"/>
  <c r="BN501" i="1"/>
  <c r="Z501" i="1"/>
  <c r="Y503" i="1"/>
  <c r="BP506" i="1"/>
  <c r="BN506" i="1"/>
  <c r="Z506" i="1"/>
  <c r="Z509" i="1" s="1"/>
  <c r="BP508" i="1"/>
  <c r="BN508" i="1"/>
  <c r="Z508" i="1"/>
  <c r="Y510" i="1"/>
  <c r="BP520" i="1"/>
  <c r="BN520" i="1"/>
  <c r="Z520" i="1"/>
  <c r="Y373" i="1"/>
  <c r="W606" i="1"/>
  <c r="Y393" i="1"/>
  <c r="Y459" i="1"/>
  <c r="Y473" i="1"/>
  <c r="AC606" i="1"/>
  <c r="Y502" i="1"/>
  <c r="Y524" i="1"/>
  <c r="Y523" i="1"/>
  <c r="BP527" i="1"/>
  <c r="BN527" i="1"/>
  <c r="Z52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Z502" i="1" l="1"/>
  <c r="Z529" i="1"/>
  <c r="Z523" i="1"/>
  <c r="Z416" i="1"/>
  <c r="Z403" i="1"/>
  <c r="Z41" i="1"/>
  <c r="Z28" i="1"/>
  <c r="Z196" i="1"/>
  <c r="Z137" i="1"/>
  <c r="Z258" i="1"/>
  <c r="Z246" i="1"/>
  <c r="Z186" i="1"/>
  <c r="Z393" i="1"/>
  <c r="Z290" i="1"/>
  <c r="Z281" i="1"/>
  <c r="Z224" i="1"/>
  <c r="Z348" i="1"/>
  <c r="Z333" i="1"/>
  <c r="Z110" i="1"/>
  <c r="Z102" i="1"/>
  <c r="Z577" i="1"/>
  <c r="Z562" i="1"/>
  <c r="Z427" i="1"/>
  <c r="Z544" i="1"/>
  <c r="Z241" i="1"/>
  <c r="Z77" i="1"/>
  <c r="Y600" i="1"/>
  <c r="Y597" i="1"/>
  <c r="Z570" i="1"/>
  <c r="Z552" i="1"/>
  <c r="Z354" i="1"/>
  <c r="Z55" i="1"/>
  <c r="Z448" i="1"/>
  <c r="Y598" i="1"/>
  <c r="Z340" i="1"/>
  <c r="Z126" i="1"/>
  <c r="Z68" i="1"/>
  <c r="Y596" i="1"/>
  <c r="Z601" i="1" l="1"/>
  <c r="Y599" i="1"/>
</calcChain>
</file>

<file path=xl/sharedStrings.xml><?xml version="1.0" encoding="utf-8"?>
<sst xmlns="http://schemas.openxmlformats.org/spreadsheetml/2006/main" count="2761" uniqueCount="983">
  <si>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</si>
  <si>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</si>
  <si>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</si>
  <si>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</si>
  <si>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</si>
  <si>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</si>
  <si>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</si>
  <si>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</si>
  <si>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</si>
  <si>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</si>
  <si>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</si>
  <si>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</si>
  <si>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</si>
  <si>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</si>
  <si>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</si>
  <si>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</si>
  <si>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</si>
  <si>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</si>
  <si>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</si>
  <si>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</si>
  <si>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</si>
  <si>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</si>
  <si>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</si>
  <si>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</si>
  <si>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</si>
  <si>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</si>
  <si>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</si>
  <si>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</si>
  <si>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</si>
  <si>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</si>
  <si>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</si>
  <si>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</si>
  <si>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</si>
  <si>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</si>
  <si>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</si>
  <si>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</si>
  <si>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</si>
  <si>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</si>
  <si>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</si>
  <si>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</si>
  <si>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</si>
  <si>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</si>
  <si>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</si>
  <si>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</si>
  <si>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</si>
  <si>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</si>
  <si>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</si>
  <si>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</si>
  <si>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</si>
  <si>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</si>
  <si>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</si>
  <si>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</si>
  <si>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</si>
  <si>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</si>
  <si>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</si>
  <si>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</si>
  <si>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</si>
  <si>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</si>
  <si>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</si>
  <si>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</si>
  <si>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</si>
  <si>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</si>
  <si>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</si>
  <si>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</si>
  <si>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</si>
  <si>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</si>
  <si>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</si>
  <si>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</si>
  <si>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</si>
  <si>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</si>
  <si>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</si>
  <si>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</si>
  <si>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</si>
  <si>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</si>
  <si>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</si>
  <si>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</si>
  <si>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</si>
  <si>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</si>
  <si>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</si>
  <si>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</si>
  <si>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</si>
  <si>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</si>
  <si>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</si>
  <si>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</si>
  <si>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</si>
  <si>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</si>
  <si>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</si>
  <si>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</si>
  <si>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</si>
  <si>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</si>
  <si>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</si>
  <si>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</si>
  <si>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</si>
  <si>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</si>
  <si>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</si>
  <si>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</si>
  <si>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</si>
  <si>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</si>
  <si>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</si>
  <si>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</si>
  <si>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</si>
  <si>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</si>
  <si>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</si>
  <si>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</si>
  <si>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</si>
  <si>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</si>
  <si>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</si>
  <si>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</si>
  <si>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</si>
  <si>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</si>
  <si>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</si>
  <si>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</si>
  <si>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</si>
  <si>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</si>
  <si>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</si>
  <si>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</si>
  <si>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</si>
  <si>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</si>
  <si>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</si>
  <si>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</si>
  <si>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</si>
  <si>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</si>
  <si>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</si>
  <si>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</si>
  <si>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</si>
  <si>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</si>
  <si>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</si>
  <si>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</si>
  <si>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</si>
  <si>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</si>
  <si>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</si>
  <si>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</si>
  <si>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</si>
  <si>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</si>
  <si>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</si>
  <si>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</si>
  <si>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</si>
  <si>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</si>
  <si>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</si>
  <si>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</si>
  <si>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</si>
  <si>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</si>
  <si>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</si>
  <si>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</si>
  <si>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</si>
  <si>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</si>
  <si>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</si>
  <si>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</si>
  <si>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</si>
  <si>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</si>
  <si>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</si>
  <si>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</si>
  <si>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</si>
  <si>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</si>
  <si>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</si>
  <si>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</si>
  <si>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</si>
  <si>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</si>
  <si>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</si>
  <si>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</si>
  <si>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</si>
  <si>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</si>
  <si>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</si>
  <si>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</si>
  <si>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</si>
  <si>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</si>
  <si>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</si>
  <si>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</si>
  <si>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</si>
  <si>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</si>
  <si>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</si>
  <si>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</si>
  <si>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</si>
  <si>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</si>
  <si>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</si>
  <si>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</si>
  <si>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</si>
  <si>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</si>
  <si>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</si>
  <si>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</si>
  <si>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</si>
  <si>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</si>
  <si>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</si>
  <si>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</si>
  <si>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</si>
  <si>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</si>
  <si>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</si>
  <si>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</si>
  <si>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</si>
  <si>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</si>
  <si>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</si>
  <si>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</si>
  <si>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</si>
  <si>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</si>
  <si>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</si>
  <si>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</si>
  <si>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</si>
  <si>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</si>
  <si>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</si>
  <si>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</si>
  <si>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</si>
  <si>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</si>
  <si>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</si>
  <si>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</si>
  <si>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</si>
  <si>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</si>
  <si>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</si>
  <si>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</si>
  <si>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</si>
  <si>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</si>
  <si>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</si>
  <si>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</si>
  <si>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</si>
  <si>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</si>
  <si>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</si>
  <si>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</si>
  <si>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</si>
  <si>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</si>
  <si>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</si>
  <si>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</si>
  <si>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</si>
  <si>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</si>
  <si>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</si>
  <si>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</si>
  <si>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</si>
  <si>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</si>
  <si>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</si>
  <si>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</si>
  <si>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</si>
  <si>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</si>
  <si>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</si>
  <si>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</si>
  <si>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</si>
  <si>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</si>
  <si>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</si>
  <si>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</si>
  <si>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</si>
  <si>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</si>
  <si>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</si>
  <si>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</si>
  <si>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</si>
  <si>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</si>
  <si>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</si>
  <si>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</si>
  <si>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</si>
  <si>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</si>
  <si>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</si>
  <si>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</si>
  <si>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</si>
  <si>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</si>
  <si>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</si>
  <si>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</si>
  <si>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</si>
  <si>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</si>
  <si>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</si>
  <si>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</si>
  <si>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</si>
  <si>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</si>
  <si>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</si>
  <si>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</si>
  <si>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</si>
  <si>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</si>
  <si>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</si>
  <si>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</si>
  <si>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</si>
  <si>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</si>
  <si>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</si>
  <si>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</si>
  <si>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</si>
  <si>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</si>
  <si>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</si>
  <si>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</si>
  <si>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</si>
  <si>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</si>
  <si>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</si>
  <si>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</si>
  <si>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</si>
  <si>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</si>
  <si>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</si>
  <si>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</si>
  <si>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</si>
  <si>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</si>
  <si>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</si>
  <si>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</si>
  <si>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</si>
  <si>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</si>
  <si>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</si>
  <si>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</si>
  <si>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</si>
  <si>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</si>
  <si>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</si>
  <si>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</si>
  <si>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</si>
  <si>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</si>
  <si>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</si>
  <si>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</si>
  <si>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</si>
  <si>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</si>
  <si>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</si>
  <si>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</si>
  <si>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</si>
  <si>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</si>
  <si>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</si>
  <si>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</si>
  <si>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</si>
  <si>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</si>
  <si>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</si>
  <si>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</si>
  <si>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</si>
  <si>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</si>
  <si>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</si>
  <si>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</si>
  <si>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</si>
  <si>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</si>
  <si>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</si>
  <si>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</si>
  <si>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</si>
  <si>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</si>
  <si>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</si>
  <si>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</si>
  <si>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</si>
  <si>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</si>
  <si>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</si>
  <si>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</si>
  <si>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</si>
  <si>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</si>
  <si>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</si>
  <si>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</si>
  <si>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</si>
  <si>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</si>
  <si>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</si>
  <si>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</si>
  <si>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</si>
  <si>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</si>
  <si>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</si>
  <si>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</si>
  <si>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</si>
  <si>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</si>
  <si>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</si>
  <si>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</si>
  <si>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</si>
  <si>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</si>
  <si>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</si>
  <si>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</si>
  <si>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</si>
  <si>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</si>
  <si>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</si>
  <si>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</si>
  <si>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</si>
  <si>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</si>
  <si>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</si>
  <si>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</si>
  <si>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</si>
  <si>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</si>
  <si>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</si>
  <si>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</si>
  <si>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</si>
  <si>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</si>
  <si>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</si>
  <si>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</si>
  <si>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</si>
  <si>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</si>
  <si>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</si>
  <si>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</si>
  <si>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</si>
  <si>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</si>
  <si>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</si>
  <si>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</si>
  <si>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</si>
  <si>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</si>
  <si>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</si>
  <si>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</si>
  <si>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</si>
  <si>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</si>
  <si>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</si>
  <si>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</si>
  <si>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</si>
  <si>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</si>
  <si>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</si>
  <si>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</si>
  <si>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</si>
  <si>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</si>
  <si>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</si>
  <si>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</si>
  <si>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</si>
  <si>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</si>
  <si>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</si>
  <si>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</si>
  <si>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</si>
  <si>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</si>
  <si>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</si>
  <si>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</si>
  <si>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</si>
  <si>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</si>
  <si>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</si>
  <si>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</si>
  <si>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</si>
  <si>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</si>
  <si>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</si>
  <si>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</si>
  <si>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</si>
  <si>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</si>
  <si>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</si>
  <si>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</si>
  <si>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</si>
  <si>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</si>
  <si>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</si>
  <si>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</si>
  <si>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</si>
  <si>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</si>
  <si>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</si>
  <si>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</si>
  <si>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</si>
  <si>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</si>
  <si>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</si>
  <si>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</si>
  <si>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</si>
  <si>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</si>
  <si>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</si>
  <si>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</si>
  <si>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</si>
  <si>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</si>
  <si>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</si>
  <si>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</si>
  <si>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</si>
  <si>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</si>
  <si>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</si>
  <si>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</si>
  <si>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</si>
  <si>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</si>
  <si>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</si>
  <si>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</si>
  <si>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</si>
  <si>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</si>
  <si>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</si>
  <si>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</si>
  <si>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</si>
  <si>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</si>
  <si>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</si>
  <si>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</si>
  <si>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</si>
  <si>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</si>
  <si>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</si>
  <si>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</si>
  <si>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</si>
  <si>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</si>
  <si>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</si>
  <si>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</si>
  <si>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</si>
  <si>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</si>
  <si>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</si>
  <si>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</si>
  <si>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</si>
  <si>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</si>
  <si>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</si>
  <si>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</si>
  <si>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</si>
  <si>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</si>
  <si>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</si>
  <si>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</si>
  <si>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</si>
  <si>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</si>
  <si>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</si>
  <si>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</si>
  <si>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</si>
  <si>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</si>
  <si>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</si>
  <si>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</si>
  <si>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</si>
  <si>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</si>
  <si>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</si>
  <si>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</si>
  <si>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</si>
  <si>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</si>
  <si>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</si>
  <si>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</si>
  <si>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</si>
  <si>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</si>
  <si>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</si>
  <si>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</si>
  <si>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</si>
  <si>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</si>
  <si>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</si>
  <si>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</si>
  <si>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</si>
  <si>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</si>
  <si>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</si>
  <si>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</si>
  <si>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</si>
  <si>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</si>
  <si>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</si>
  <si>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</si>
  <si>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</si>
  <si>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</si>
  <si>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</si>
  <si>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</si>
  <si>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</si>
  <si>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</si>
  <si>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</si>
  <si>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</si>
  <si>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</si>
  <si>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</si>
  <si>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</si>
  <si>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</si>
  <si>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</si>
  <si>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</si>
  <si>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</si>
  <si>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</si>
  <si>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</si>
  <si>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</si>
  <si>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</si>
  <si>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</si>
  <si>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</si>
  <si>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</si>
  <si>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</si>
  <si>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</si>
  <si>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</si>
  <si>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</si>
  <si>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</si>
  <si>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</si>
  <si>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</si>
  <si>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</si>
  <si>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</si>
  <si>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</si>
  <si>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</si>
  <si>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</si>
  <si>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</si>
  <si>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</si>
  <si>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</si>
  <si>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</si>
  <si>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</si>
  <si>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</si>
  <si>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</si>
  <si>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</si>
  <si>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</si>
  <si>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</si>
  <si>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</si>
  <si>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</si>
  <si>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</si>
  <si>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</si>
  <si>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</si>
  <si>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</si>
  <si>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</si>
  <si>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</si>
  <si>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</si>
  <si>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</si>
  <si>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</si>
  <si>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</si>
  <si>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</si>
  <si>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</si>
  <si>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</si>
  <si>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</si>
  <si>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</si>
  <si>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</si>
  <si>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</si>
  <si>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</si>
  <si>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</si>
  <si>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</si>
  <si>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</si>
  <si>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</si>
  <si>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</si>
  <si>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</si>
  <si>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</si>
  <si>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</si>
  <si>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</si>
  <si>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</si>
  <si>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</si>
  <si>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</si>
  <si>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</si>
  <si>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</si>
  <si>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</si>
  <si>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</si>
  <si>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</si>
  <si>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</si>
  <si>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</si>
  <si>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</si>
  <si>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</si>
  <si>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</si>
  <si>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</si>
  <si>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</si>
  <si>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</si>
  <si>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</si>
  <si>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</si>
  <si>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</si>
  <si>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</si>
  <si>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</si>
  <si>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</si>
  <si>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</si>
  <si>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</si>
  <si>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</si>
  <si>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</si>
  <si>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</si>
  <si>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</si>
  <si>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</si>
  <si>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</si>
  <si>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</si>
  <si>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</si>
  <si>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</si>
  <si>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</si>
  <si>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</si>
  <si>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</si>
  <si>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</si>
  <si>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</si>
  <si>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</si>
  <si>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</si>
  <si>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</si>
  <si>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</si>
  <si>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</si>
  <si>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</si>
  <si>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</si>
  <si>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</si>
  <si>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</si>
  <si>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</si>
  <si>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</si>
  <si>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</si>
  <si>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</si>
  <si>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</si>
  <si>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</si>
  <si>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</si>
  <si>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</si>
  <si>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</si>
  <si>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</si>
  <si>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</si>
  <si>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</si>
  <si>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</si>
  <si>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</si>
  <si>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</si>
  <si>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</si>
  <si>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</si>
  <si>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</si>
  <si>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</si>
  <si>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</si>
  <si>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</si>
  <si>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</si>
  <si>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</si>
  <si>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</si>
  <si>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</si>
  <si>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</si>
  <si>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</si>
  <si>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</si>
  <si>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</si>
  <si>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</si>
  <si>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</si>
  <si>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</si>
  <si>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</si>
  <si>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</si>
  <si>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</si>
  <si>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</si>
  <si>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</si>
  <si>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</si>
  <si>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</si>
  <si>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</si>
  <si>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</si>
  <si>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</si>
  <si>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</si>
  <si>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</si>
  <si>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</si>
  <si>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</si>
  <si>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</si>
  <si>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</si>
  <si>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</si>
  <si>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</si>
  <si>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</si>
  <si>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</si>
  <si>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</si>
  <si>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</si>
  <si>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</si>
  <si>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</si>
  <si>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</si>
  <si>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</si>
  <si>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</si>
  <si>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</si>
  <si>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</si>
  <si>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</si>
  <si>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</si>
  <si>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</si>
  <si>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</si>
  <si>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</si>
  <si>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</si>
  <si>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</si>
  <si>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</si>
  <si>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</si>
  <si>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</si>
  <si>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</si>
  <si>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</si>
  <si>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</si>
  <si>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</si>
  <si>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</si>
  <si>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</si>
  <si>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</si>
  <si>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</si>
  <si>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</si>
  <si>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</si>
  <si>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</si>
  <si>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</si>
  <si>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</si>
  <si>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</si>
  <si>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</si>
  <si>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</si>
  <si>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</si>
  <si>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</si>
  <si>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</si>
  <si>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</si>
  <si>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</si>
  <si>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</si>
  <si>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</si>
  <si>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</si>
  <si>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</si>
  <si>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</si>
  <si>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</si>
  <si>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</si>
  <si>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</si>
  <si>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</si>
  <si>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</si>
  <si>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</si>
  <si>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</si>
  <si>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</si>
  <si>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</si>
  <si>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</si>
  <si>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</si>
  <si>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</si>
  <si>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</si>
  <si>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</si>
  <si>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</si>
  <si>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</si>
  <si>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</si>
  <si>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</si>
  <si>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</si>
  <si>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</si>
  <si>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</si>
  <si>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</si>
  <si>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</si>
  <si>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</si>
  <si>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</si>
  <si>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</si>
  <si>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</si>
  <si>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</si>
  <si>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</si>
  <si>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</si>
  <si>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</si>
  <si>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</si>
  <si>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</si>
  <si>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</si>
  <si>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</si>
  <si>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</si>
  <si>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</si>
  <si>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</si>
  <si>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</si>
  <si>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</si>
  <si>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</si>
  <si>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</si>
  <si>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</si>
  <si>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</si>
  <si>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</si>
  <si>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</si>
  <si>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</si>
  <si>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</si>
  <si>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</si>
  <si>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</si>
  <si>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</si>
  <si>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</si>
  <si>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</si>
  <si>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</si>
  <si>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</si>
  <si>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</si>
  <si>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</si>
  <si>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</si>
  <si>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</si>
  <si>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</si>
  <si>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</si>
  <si>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</si>
  <si>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</si>
  <si>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</si>
  <si>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</si>
  <si>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</si>
  <si>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</si>
  <si>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</si>
  <si>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</si>
  <si>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</si>
  <si>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</si>
  <si>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</si>
  <si>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</si>
  <si>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</si>
  <si>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</si>
  <si>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</si>
  <si>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</si>
  <si>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</si>
  <si>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</si>
  <si>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</si>
  <si>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</si>
  <si>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</si>
  <si>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</si>
  <si>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</si>
  <si>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</si>
  <si>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</si>
  <si>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</si>
  <si>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</si>
  <si>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</si>
  <si>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</si>
  <si>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</si>
  <si>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</si>
  <si>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</si>
  <si>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</si>
  <si>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</si>
  <si>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</si>
  <si>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</si>
  <si>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</si>
  <si>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</si>
  <si>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</si>
  <si>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</si>
  <si>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</si>
  <si>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</si>
  <si>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</si>
  <si>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</si>
  <si>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</si>
  <si>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</si>
  <si>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</si>
  <si>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</si>
  <si>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</si>
  <si>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</si>
  <si>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</si>
  <si>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</si>
  <si>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</si>
  <si>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</si>
  <si>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</si>
  <si>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</si>
  <si>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</si>
  <si>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</si>
  <si>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</si>
  <si>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</si>
  <si>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</si>
  <si>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</si>
  <si>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</si>
  <si>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</si>
  <si>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</si>
  <si>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</si>
  <si>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</si>
  <si>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</si>
  <si>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</si>
  <si>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</si>
  <si>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</si>
  <si>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</si>
  <si>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</si>
  <si>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</si>
  <si>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</si>
  <si>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</si>
  <si>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</si>
  <si>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</si>
  <si>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</si>
  <si>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</si>
  <si>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</si>
  <si>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</si>
  <si>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</si>
  <si>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</si>
  <si>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</si>
  <si>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</si>
  <si>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</si>
  <si>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</si>
  <si>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</si>
  <si>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</si>
  <si>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</si>
  <si>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</si>
  <si>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</si>
  <si>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</si>
  <si>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</si>
  <si>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</si>
  <si>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</si>
  <si>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</si>
  <si>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</si>
  <si>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</si>
  <si>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</si>
  <si>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</si>
  <si>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</si>
  <si>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</si>
  <si>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</si>
  <si>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</si>
  <si>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</si>
  <si>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</si>
  <si>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</si>
  <si>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</si>
  <si>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</si>
  <si>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</si>
  <si>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</si>
  <si>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</si>
  <si>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</si>
  <si>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</si>
  <si>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</si>
  <si>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</si>
  <si>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</si>
  <si>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</si>
  <si>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</si>
  <si>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</si>
  <si>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</si>
  <si>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</si>
  <si>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</si>
  <si>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</si>
  <si>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</si>
  <si>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</si>
  <si>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</si>
  <si>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</si>
  <si>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</si>
  <si>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</si>
  <si>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</si>
  <si>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</si>
  <si>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</si>
  <si>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</si>
  <si>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</si>
  <si>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</si>
  <si>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</si>
  <si>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</si>
  <si>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</si>
  <si>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</si>
  <si>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</si>
  <si>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</si>
  <si>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</si>
  <si>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</si>
  <si>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</si>
  <si>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</si>
  <si>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</si>
  <si>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</si>
  <si>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</si>
  <si>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</si>
  <si>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</si>
  <si>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</si>
  <si>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</si>
  <si>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</si>
  <si>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</si>
  <si>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</si>
  <si>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</si>
  <si>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</si>
  <si>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</si>
  <si>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</si>
  <si>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</si>
  <si>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</si>
  <si>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</si>
  <si>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</si>
  <si>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</si>
  <si>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</si>
  <si>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</si>
  <si>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</si>
  <si>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</si>
  <si>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</si>
  <si>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</si>
  <si>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</si>
  <si>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</si>
  <si>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</si>
  <si>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</si>
  <si>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</si>
  <si>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</si>
  <si>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</si>
  <si>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</si>
  <si>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</si>
  <si>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</si>
  <si>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</si>
  <si>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</si>
  <si>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</si>
  <si>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</si>
  <si>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</si>
  <si>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</si>
  <si>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</si>
  <si>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</si>
  <si>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</si>
  <si>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</si>
  <si>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</si>
  <si>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</si>
  <si>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</si>
  <si>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</si>
  <si>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</si>
  <si>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</si>
  <si>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</si>
  <si>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</si>
  <si>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</si>
  <si>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</si>
  <si>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</si>
  <si>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</si>
  <si>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</si>
  <si>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</si>
  <si>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</si>
  <si>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</si>
  <si>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</si>
  <si>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</si>
  <si>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</si>
  <si>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№6,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</si>
</sst>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0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57" t="s">
        <v>0</v>
      </c>
      <c r="E1" s="700"/>
      <c r="F1" s="700"/>
      <c r="G1" s="12" t="s">
        <v>1</v>
      </c>
      <c r="H1" s="757" t="s">
        <v>2</v>
      </c>
      <c r="I1" s="700"/>
      <c r="J1" s="700"/>
      <c r="K1" s="700"/>
      <c r="L1" s="700"/>
      <c r="M1" s="700"/>
      <c r="N1" s="700"/>
      <c r="O1" s="700"/>
      <c r="P1" s="700"/>
      <c r="Q1" s="700"/>
      <c r="R1" s="699" t="s">
        <v>3</v>
      </c>
      <c r="S1" s="700"/>
      <c r="T1" s="7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17" t="s">
        <v>8</v>
      </c>
      <c r="B5" s="687"/>
      <c r="C5" s="688"/>
      <c r="D5" s="744"/>
      <c r="E5" s="745"/>
      <c r="F5" s="1000" t="s">
        <v>9</v>
      </c>
      <c r="G5" s="688"/>
      <c r="H5" s="744" t="s">
        <v>982</v>
      </c>
      <c r="I5" s="939"/>
      <c r="J5" s="939"/>
      <c r="K5" s="939"/>
      <c r="L5" s="939"/>
      <c r="M5" s="745"/>
      <c r="N5" s="58"/>
      <c r="P5" s="24" t="s">
        <v>10</v>
      </c>
      <c r="Q5" s="992">
        <v>45778</v>
      </c>
      <c r="R5" s="816"/>
      <c r="T5" s="863" t="s">
        <v>11</v>
      </c>
      <c r="U5" s="846"/>
      <c r="V5" s="865" t="s">
        <v>12</v>
      </c>
      <c r="W5" s="816"/>
      <c r="AB5" s="51"/>
      <c r="AC5" s="51"/>
      <c r="AD5" s="51"/>
      <c r="AE5" s="51"/>
    </row>
    <row r="6" spans="1:32" s="661" customFormat="1" ht="24" customHeight="1" x14ac:dyDescent="0.2">
      <c r="A6" s="817" t="s">
        <v>13</v>
      </c>
      <c r="B6" s="687"/>
      <c r="C6" s="68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16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Четверг</v>
      </c>
      <c r="R6" s="690"/>
      <c r="T6" s="845" t="s">
        <v>16</v>
      </c>
      <c r="U6" s="846"/>
      <c r="V6" s="923" t="s">
        <v>17</v>
      </c>
      <c r="W6" s="711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49" t="str">
        <f>IFERROR(VLOOKUP(DeliveryAddress,Table,3,0),1)</f>
        <v>1</v>
      </c>
      <c r="E7" s="750"/>
      <c r="F7" s="750"/>
      <c r="G7" s="750"/>
      <c r="H7" s="750"/>
      <c r="I7" s="750"/>
      <c r="J7" s="750"/>
      <c r="K7" s="750"/>
      <c r="L7" s="750"/>
      <c r="M7" s="751"/>
      <c r="N7" s="60"/>
      <c r="P7" s="24"/>
      <c r="Q7" s="42"/>
      <c r="R7" s="42"/>
      <c r="T7" s="677"/>
      <c r="U7" s="846"/>
      <c r="V7" s="924"/>
      <c r="W7" s="925"/>
      <c r="AB7" s="51"/>
      <c r="AC7" s="51"/>
      <c r="AD7" s="51"/>
      <c r="AE7" s="51"/>
    </row>
    <row r="8" spans="1:32" s="661" customFormat="1" ht="25.5" customHeight="1" x14ac:dyDescent="0.2">
      <c r="A8" s="1036" t="s">
        <v>18</v>
      </c>
      <c r="B8" s="674"/>
      <c r="C8" s="675"/>
      <c r="D8" s="765" t="s">
        <v>19</v>
      </c>
      <c r="E8" s="766"/>
      <c r="F8" s="766"/>
      <c r="G8" s="766"/>
      <c r="H8" s="766"/>
      <c r="I8" s="766"/>
      <c r="J8" s="766"/>
      <c r="K8" s="766"/>
      <c r="L8" s="766"/>
      <c r="M8" s="767"/>
      <c r="N8" s="61"/>
      <c r="P8" s="24" t="s">
        <v>20</v>
      </c>
      <c r="Q8" s="822">
        <v>0.54166666666666663</v>
      </c>
      <c r="R8" s="751"/>
      <c r="T8" s="677"/>
      <c r="U8" s="846"/>
      <c r="V8" s="924"/>
      <c r="W8" s="925"/>
      <c r="AB8" s="51"/>
      <c r="AC8" s="51"/>
      <c r="AD8" s="51"/>
      <c r="AE8" s="51"/>
    </row>
    <row r="9" spans="1:32" s="661" customFormat="1" ht="39.950000000000003" customHeight="1" x14ac:dyDescent="0.2">
      <c r="A9" s="8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14"/>
      <c r="E9" s="672"/>
      <c r="F9" s="8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59"/>
      <c r="P9" s="26" t="s">
        <v>21</v>
      </c>
      <c r="Q9" s="823"/>
      <c r="R9" s="824"/>
      <c r="T9" s="677"/>
      <c r="U9" s="846"/>
      <c r="V9" s="926"/>
      <c r="W9" s="927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14"/>
      <c r="E10" s="672"/>
      <c r="F10" s="8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14" t="str">
        <f>IFERROR(VLOOKUP($D$10,Proxy,2,FALSE),"")</f>
        <v/>
      </c>
      <c r="I10" s="677"/>
      <c r="J10" s="677"/>
      <c r="K10" s="677"/>
      <c r="L10" s="677"/>
      <c r="M10" s="677"/>
      <c r="N10" s="660"/>
      <c r="P10" s="26" t="s">
        <v>22</v>
      </c>
      <c r="Q10" s="847"/>
      <c r="R10" s="848"/>
      <c r="U10" s="24" t="s">
        <v>23</v>
      </c>
      <c r="V10" s="710" t="s">
        <v>24</v>
      </c>
      <c r="W10" s="711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5"/>
      <c r="R11" s="816"/>
      <c r="U11" s="24" t="s">
        <v>27</v>
      </c>
      <c r="V11" s="963" t="s">
        <v>28</v>
      </c>
      <c r="W11" s="824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686" t="s">
        <v>29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8"/>
      <c r="N12" s="62"/>
      <c r="P12" s="24" t="s">
        <v>30</v>
      </c>
      <c r="Q12" s="822"/>
      <c r="R12" s="751"/>
      <c r="S12" s="23"/>
      <c r="U12" s="24"/>
      <c r="V12" s="700"/>
      <c r="W12" s="677"/>
      <c r="AB12" s="51"/>
      <c r="AC12" s="51"/>
      <c r="AD12" s="51"/>
      <c r="AE12" s="51"/>
    </row>
    <row r="13" spans="1:32" s="661" customFormat="1" ht="23.25" customHeight="1" x14ac:dyDescent="0.2">
      <c r="A13" s="686" t="s">
        <v>31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8"/>
      <c r="N13" s="62"/>
      <c r="O13" s="26"/>
      <c r="P13" s="26" t="s">
        <v>32</v>
      </c>
      <c r="Q13" s="963"/>
      <c r="R13" s="8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686" t="s">
        <v>33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972" t="s">
        <v>34</v>
      </c>
      <c r="B15" s="687"/>
      <c r="C15" s="687"/>
      <c r="D15" s="687"/>
      <c r="E15" s="687"/>
      <c r="F15" s="687"/>
      <c r="G15" s="687"/>
      <c r="H15" s="687"/>
      <c r="I15" s="687"/>
      <c r="J15" s="687"/>
      <c r="K15" s="687"/>
      <c r="L15" s="687"/>
      <c r="M15" s="688"/>
      <c r="N15" s="63"/>
      <c r="P15" s="789" t="s">
        <v>35</v>
      </c>
      <c r="Q15" s="700"/>
      <c r="R15" s="700"/>
      <c r="S15" s="700"/>
      <c r="T15" s="7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0"/>
      <c r="Q16" s="790"/>
      <c r="R16" s="790"/>
      <c r="S16" s="790"/>
      <c r="T16" s="79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3" t="s">
        <v>36</v>
      </c>
      <c r="B17" s="683" t="s">
        <v>37</v>
      </c>
      <c r="C17" s="844" t="s">
        <v>38</v>
      </c>
      <c r="D17" s="683" t="s">
        <v>39</v>
      </c>
      <c r="E17" s="782"/>
      <c r="F17" s="683" t="s">
        <v>40</v>
      </c>
      <c r="G17" s="683" t="s">
        <v>41</v>
      </c>
      <c r="H17" s="683" t="s">
        <v>42</v>
      </c>
      <c r="I17" s="683" t="s">
        <v>43</v>
      </c>
      <c r="J17" s="683" t="s">
        <v>44</v>
      </c>
      <c r="K17" s="683" t="s">
        <v>45</v>
      </c>
      <c r="L17" s="683" t="s">
        <v>46</v>
      </c>
      <c r="M17" s="683" t="s">
        <v>47</v>
      </c>
      <c r="N17" s="683" t="s">
        <v>48</v>
      </c>
      <c r="O17" s="683" t="s">
        <v>49</v>
      </c>
      <c r="P17" s="683" t="s">
        <v>50</v>
      </c>
      <c r="Q17" s="781"/>
      <c r="R17" s="781"/>
      <c r="S17" s="781"/>
      <c r="T17" s="782"/>
      <c r="U17" s="1055" t="s">
        <v>51</v>
      </c>
      <c r="V17" s="688"/>
      <c r="W17" s="683" t="s">
        <v>52</v>
      </c>
      <c r="X17" s="683" t="s">
        <v>53</v>
      </c>
      <c r="Y17" s="1052" t="s">
        <v>54</v>
      </c>
      <c r="Z17" s="937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684"/>
      <c r="B18" s="684"/>
      <c r="C18" s="684"/>
      <c r="D18" s="783"/>
      <c r="E18" s="785"/>
      <c r="F18" s="684"/>
      <c r="G18" s="684"/>
      <c r="H18" s="684"/>
      <c r="I18" s="684"/>
      <c r="J18" s="684"/>
      <c r="K18" s="684"/>
      <c r="L18" s="684"/>
      <c r="M18" s="684"/>
      <c r="N18" s="684"/>
      <c r="O18" s="684"/>
      <c r="P18" s="783"/>
      <c r="Q18" s="784"/>
      <c r="R18" s="784"/>
      <c r="S18" s="784"/>
      <c r="T18" s="785"/>
      <c r="U18" s="67" t="s">
        <v>61</v>
      </c>
      <c r="V18" s="67" t="s">
        <v>62</v>
      </c>
      <c r="W18" s="684"/>
      <c r="X18" s="684"/>
      <c r="Y18" s="1053"/>
      <c r="Z18" s="938"/>
      <c r="AA18" s="913"/>
      <c r="AB18" s="913"/>
      <c r="AC18" s="913"/>
      <c r="AD18" s="997"/>
      <c r="AE18" s="998"/>
      <c r="AF18" s="999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685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3"/>
      <c r="AB21" s="663"/>
      <c r="AC21" s="663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89">
        <v>4680115885912</v>
      </c>
      <c r="E22" s="690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89">
        <v>4607091388237</v>
      </c>
      <c r="E23" s="690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89">
        <v>4680115886230</v>
      </c>
      <c r="E24" s="690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">
        <v>76</v>
      </c>
      <c r="Q24" s="679"/>
      <c r="R24" s="679"/>
      <c r="S24" s="679"/>
      <c r="T24" s="680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89">
        <v>4680115886247</v>
      </c>
      <c r="E25" s="690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1" t="s">
        <v>80</v>
      </c>
      <c r="Q25" s="679"/>
      <c r="R25" s="679"/>
      <c r="S25" s="679"/>
      <c r="T25" s="680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89">
        <v>4680115885905</v>
      </c>
      <c r="E26" s="690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89">
        <v>4607091388244</v>
      </c>
      <c r="E27" s="690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88</v>
      </c>
      <c r="Q28" s="674"/>
      <c r="R28" s="674"/>
      <c r="S28" s="674"/>
      <c r="T28" s="674"/>
      <c r="U28" s="674"/>
      <c r="V28" s="675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88</v>
      </c>
      <c r="Q29" s="674"/>
      <c r="R29" s="674"/>
      <c r="S29" s="674"/>
      <c r="T29" s="674"/>
      <c r="U29" s="674"/>
      <c r="V29" s="675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90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3"/>
      <c r="AB30" s="663"/>
      <c r="AC30" s="663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89">
        <v>4607091388503</v>
      </c>
      <c r="E31" s="690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88</v>
      </c>
      <c r="Q32" s="674"/>
      <c r="R32" s="674"/>
      <c r="S32" s="674"/>
      <c r="T32" s="674"/>
      <c r="U32" s="674"/>
      <c r="V32" s="675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88</v>
      </c>
      <c r="Q33" s="674"/>
      <c r="R33" s="674"/>
      <c r="S33" s="674"/>
      <c r="T33" s="674"/>
      <c r="U33" s="674"/>
      <c r="V33" s="675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7" t="s">
        <v>96</v>
      </c>
      <c r="B34" s="698"/>
      <c r="C34" s="698"/>
      <c r="D34" s="698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48"/>
      <c r="AB34" s="48"/>
      <c r="AC34" s="48"/>
    </row>
    <row r="35" spans="1:68" ht="16.5" hidden="1" customHeight="1" x14ac:dyDescent="0.25">
      <c r="A35" s="685" t="s">
        <v>97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98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89">
        <v>4607091385670</v>
      </c>
      <c r="E37" s="690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69</v>
      </c>
      <c r="X37" s="667">
        <v>90</v>
      </c>
      <c r="Y37" s="668">
        <f>IFERROR(IF(X37="",0,CEILING((X37/$H37),1)*$H37),"")</f>
        <v>97.2</v>
      </c>
      <c r="Z37" s="36">
        <f>IFERROR(IF(Y37=0,"",ROUNDUP(Y37/H37,0)*0.01898),"")</f>
        <v>0.17082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93.624999999999986</v>
      </c>
      <c r="BN37" s="64">
        <f>IFERROR(Y37*I37/H37,"0")</f>
        <v>101.11499999999998</v>
      </c>
      <c r="BO37" s="64">
        <f>IFERROR(1/J37*(X37/H37),"0")</f>
        <v>0.13020833333333331</v>
      </c>
      <c r="BP37" s="64">
        <f>IFERROR(1/J37*(Y37/H37),"0")</f>
        <v>0.140625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89">
        <v>4607091385687</v>
      </c>
      <c r="E38" s="690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89">
        <v>4680115882539</v>
      </c>
      <c r="E39" s="690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89">
        <v>4680115883949</v>
      </c>
      <c r="E40" s="690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88</v>
      </c>
      <c r="Q41" s="674"/>
      <c r="R41" s="674"/>
      <c r="S41" s="674"/>
      <c r="T41" s="674"/>
      <c r="U41" s="674"/>
      <c r="V41" s="675"/>
      <c r="W41" s="37" t="s">
        <v>89</v>
      </c>
      <c r="X41" s="669">
        <f>IFERROR(X37/H37,"0")+IFERROR(X38/H38,"0")+IFERROR(X39/H39,"0")+IFERROR(X40/H40,"0")</f>
        <v>8.3333333333333321</v>
      </c>
      <c r="Y41" s="669">
        <f>IFERROR(Y37/H37,"0")+IFERROR(Y38/H38,"0")+IFERROR(Y39/H39,"0")+IFERROR(Y40/H40,"0")</f>
        <v>9</v>
      </c>
      <c r="Z41" s="669">
        <f>IFERROR(IF(Z37="",0,Z37),"0")+IFERROR(IF(Z38="",0,Z38),"0")+IFERROR(IF(Z39="",0,Z39),"0")+IFERROR(IF(Z40="",0,Z40),"0")</f>
        <v>0.17082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88</v>
      </c>
      <c r="Q42" s="674"/>
      <c r="R42" s="674"/>
      <c r="S42" s="674"/>
      <c r="T42" s="674"/>
      <c r="U42" s="674"/>
      <c r="V42" s="675"/>
      <c r="W42" s="37" t="s">
        <v>69</v>
      </c>
      <c r="X42" s="669">
        <f>IFERROR(SUM(X37:X40),"0")</f>
        <v>90</v>
      </c>
      <c r="Y42" s="669">
        <f>IFERROR(SUM(Y37:Y40),"0")</f>
        <v>97.2</v>
      </c>
      <c r="Z42" s="37"/>
      <c r="AA42" s="670"/>
      <c r="AB42" s="670"/>
      <c r="AC42" s="670"/>
    </row>
    <row r="43" spans="1:68" ht="14.25" hidden="1" customHeight="1" x14ac:dyDescent="0.25">
      <c r="A43" s="676" t="s">
        <v>64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3"/>
      <c r="AB43" s="663"/>
      <c r="AC43" s="663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89">
        <v>4680115884915</v>
      </c>
      <c r="E44" s="690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2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88</v>
      </c>
      <c r="Q45" s="674"/>
      <c r="R45" s="674"/>
      <c r="S45" s="674"/>
      <c r="T45" s="674"/>
      <c r="U45" s="674"/>
      <c r="V45" s="675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88</v>
      </c>
      <c r="Q46" s="674"/>
      <c r="R46" s="674"/>
      <c r="S46" s="674"/>
      <c r="T46" s="674"/>
      <c r="U46" s="674"/>
      <c r="V46" s="675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118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98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3"/>
      <c r="AB48" s="663"/>
      <c r="AC48" s="663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89">
        <v>4680115885882</v>
      </c>
      <c r="E49" s="690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89">
        <v>4680115881426</v>
      </c>
      <c r="E50" s="690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69</v>
      </c>
      <c r="X50" s="667">
        <v>80</v>
      </c>
      <c r="Y50" s="668">
        <f t="shared" si="6"/>
        <v>86.4</v>
      </c>
      <c r="Z50" s="36">
        <f>IFERROR(IF(Y50=0,"",ROUNDUP(Y50/H50,0)*0.01898),"")</f>
        <v>0.15184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83.222222222222214</v>
      </c>
      <c r="BN50" s="64">
        <f t="shared" si="8"/>
        <v>89.88</v>
      </c>
      <c r="BO50" s="64">
        <f t="shared" si="9"/>
        <v>0.11574074074074073</v>
      </c>
      <c r="BP50" s="64">
        <f t="shared" si="10"/>
        <v>0.125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89">
        <v>4680115880283</v>
      </c>
      <c r="E51" s="690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89">
        <v>4680115881525</v>
      </c>
      <c r="E52" s="690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89">
        <v>4680115885899</v>
      </c>
      <c r="E53" s="690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0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89">
        <v>4680115881419</v>
      </c>
      <c r="E54" s="690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88</v>
      </c>
      <c r="Q55" s="674"/>
      <c r="R55" s="674"/>
      <c r="S55" s="674"/>
      <c r="T55" s="674"/>
      <c r="U55" s="674"/>
      <c r="V55" s="675"/>
      <c r="W55" s="37" t="s">
        <v>89</v>
      </c>
      <c r="X55" s="669">
        <f>IFERROR(X49/H49,"0")+IFERROR(X50/H50,"0")+IFERROR(X51/H51,"0")+IFERROR(X52/H52,"0")+IFERROR(X53/H53,"0")+IFERROR(X54/H54,"0")</f>
        <v>7.4074074074074066</v>
      </c>
      <c r="Y55" s="669">
        <f>IFERROR(Y49/H49,"0")+IFERROR(Y50/H50,"0")+IFERROR(Y51/H51,"0")+IFERROR(Y52/H52,"0")+IFERROR(Y53/H53,"0")+IFERROR(Y54/H54,"0")</f>
        <v>8</v>
      </c>
      <c r="Z55" s="669">
        <f>IFERROR(IF(Z49="",0,Z49),"0")+IFERROR(IF(Z50="",0,Z50),"0")+IFERROR(IF(Z51="",0,Z51),"0")+IFERROR(IF(Z52="",0,Z52),"0")+IFERROR(IF(Z53="",0,Z53),"0")+IFERROR(IF(Z54="",0,Z54),"0")</f>
        <v>0.15184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88</v>
      </c>
      <c r="Q56" s="674"/>
      <c r="R56" s="674"/>
      <c r="S56" s="674"/>
      <c r="T56" s="674"/>
      <c r="U56" s="674"/>
      <c r="V56" s="675"/>
      <c r="W56" s="37" t="s">
        <v>69</v>
      </c>
      <c r="X56" s="669">
        <f>IFERROR(SUM(X49:X54),"0")</f>
        <v>80</v>
      </c>
      <c r="Y56" s="669">
        <f>IFERROR(SUM(Y49:Y54),"0")</f>
        <v>86.4</v>
      </c>
      <c r="Z56" s="37"/>
      <c r="AA56" s="670"/>
      <c r="AB56" s="670"/>
      <c r="AC56" s="670"/>
    </row>
    <row r="57" spans="1:68" ht="14.25" hidden="1" customHeight="1" x14ac:dyDescent="0.25">
      <c r="A57" s="676" t="s">
        <v>138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89">
        <v>4680115881440</v>
      </c>
      <c r="E58" s="690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69</v>
      </c>
      <c r="X58" s="667">
        <v>170</v>
      </c>
      <c r="Y58" s="668">
        <f>IFERROR(IF(X58="",0,CEILING((X58/$H58),1)*$H58),"")</f>
        <v>172.8</v>
      </c>
      <c r="Z58" s="36">
        <f>IFERROR(IF(Y58=0,"",ROUNDUP(Y58/H58,0)*0.01898),"")</f>
        <v>0.30368000000000001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176.8472222222222</v>
      </c>
      <c r="BN58" s="64">
        <f>IFERROR(Y58*I58/H58,"0")</f>
        <v>179.76</v>
      </c>
      <c r="BO58" s="64">
        <f>IFERROR(1/J58*(X58/H58),"0")</f>
        <v>0.24594907407407407</v>
      </c>
      <c r="BP58" s="64">
        <f>IFERROR(1/J58*(Y58/H58),"0")</f>
        <v>0.25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89">
        <v>4680115882751</v>
      </c>
      <c r="E59" s="690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89">
        <v>4680115885950</v>
      </c>
      <c r="E60" s="690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89">
        <v>4680115881433</v>
      </c>
      <c r="E61" s="690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88</v>
      </c>
      <c r="Q62" s="674"/>
      <c r="R62" s="674"/>
      <c r="S62" s="674"/>
      <c r="T62" s="674"/>
      <c r="U62" s="674"/>
      <c r="V62" s="675"/>
      <c r="W62" s="37" t="s">
        <v>89</v>
      </c>
      <c r="X62" s="669">
        <f>IFERROR(X58/H58,"0")+IFERROR(X59/H59,"0")+IFERROR(X60/H60,"0")+IFERROR(X61/H61,"0")</f>
        <v>15.74074074074074</v>
      </c>
      <c r="Y62" s="669">
        <f>IFERROR(Y58/H58,"0")+IFERROR(Y59/H59,"0")+IFERROR(Y60/H60,"0")+IFERROR(Y61/H61,"0")</f>
        <v>16</v>
      </c>
      <c r="Z62" s="669">
        <f>IFERROR(IF(Z58="",0,Z58),"0")+IFERROR(IF(Z59="",0,Z59),"0")+IFERROR(IF(Z60="",0,Z60),"0")+IFERROR(IF(Z61="",0,Z61),"0")</f>
        <v>0.30368000000000001</v>
      </c>
      <c r="AA62" s="670"/>
      <c r="AB62" s="670"/>
      <c r="AC62" s="670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88</v>
      </c>
      <c r="Q63" s="674"/>
      <c r="R63" s="674"/>
      <c r="S63" s="674"/>
      <c r="T63" s="674"/>
      <c r="U63" s="674"/>
      <c r="V63" s="675"/>
      <c r="W63" s="37" t="s">
        <v>69</v>
      </c>
      <c r="X63" s="669">
        <f>IFERROR(SUM(X58:X61),"0")</f>
        <v>170</v>
      </c>
      <c r="Y63" s="669">
        <f>IFERROR(SUM(Y58:Y61),"0")</f>
        <v>172.8</v>
      </c>
      <c r="Z63" s="37"/>
      <c r="AA63" s="670"/>
      <c r="AB63" s="670"/>
      <c r="AC63" s="670"/>
    </row>
    <row r="64" spans="1:68" ht="14.25" hidden="1" customHeight="1" x14ac:dyDescent="0.25">
      <c r="A64" s="676" t="s">
        <v>149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3"/>
      <c r="AB64" s="663"/>
      <c r="AC64" s="663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89">
        <v>4680115885073</v>
      </c>
      <c r="E65" s="690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89">
        <v>4680115885059</v>
      </c>
      <c r="E66" s="690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1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89">
        <v>4680115885097</v>
      </c>
      <c r="E67" s="690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88</v>
      </c>
      <c r="Q68" s="674"/>
      <c r="R68" s="674"/>
      <c r="S68" s="674"/>
      <c r="T68" s="674"/>
      <c r="U68" s="674"/>
      <c r="V68" s="675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88</v>
      </c>
      <c r="Q69" s="674"/>
      <c r="R69" s="674"/>
      <c r="S69" s="674"/>
      <c r="T69" s="674"/>
      <c r="U69" s="674"/>
      <c r="V69" s="675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64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3"/>
      <c r="AB70" s="663"/>
      <c r="AC70" s="663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89">
        <v>4680115881891</v>
      </c>
      <c r="E71" s="690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6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89">
        <v>4680115885769</v>
      </c>
      <c r="E72" s="690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9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89">
        <v>4680115884410</v>
      </c>
      <c r="E73" s="690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89">
        <v>4680115884311</v>
      </c>
      <c r="E74" s="690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89">
        <v>4680115885929</v>
      </c>
      <c r="E75" s="690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89">
        <v>4680115884403</v>
      </c>
      <c r="E76" s="690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88</v>
      </c>
      <c r="Q77" s="674"/>
      <c r="R77" s="674"/>
      <c r="S77" s="674"/>
      <c r="T77" s="674"/>
      <c r="U77" s="674"/>
      <c r="V77" s="675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88</v>
      </c>
      <c r="Q78" s="674"/>
      <c r="R78" s="674"/>
      <c r="S78" s="674"/>
      <c r="T78" s="674"/>
      <c r="U78" s="674"/>
      <c r="V78" s="675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175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3"/>
      <c r="AB79" s="663"/>
      <c r="AC79" s="663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89">
        <v>4680115881532</v>
      </c>
      <c r="E80" s="690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89">
        <v>4680115881532</v>
      </c>
      <c r="E81" s="690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2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89">
        <v>4680115881464</v>
      </c>
      <c r="E82" s="690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88</v>
      </c>
      <c r="Q83" s="674"/>
      <c r="R83" s="674"/>
      <c r="S83" s="674"/>
      <c r="T83" s="674"/>
      <c r="U83" s="674"/>
      <c r="V83" s="675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88</v>
      </c>
      <c r="Q84" s="674"/>
      <c r="R84" s="674"/>
      <c r="S84" s="674"/>
      <c r="T84" s="674"/>
      <c r="U84" s="674"/>
      <c r="V84" s="675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183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98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3"/>
      <c r="AB86" s="663"/>
      <c r="AC86" s="663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89">
        <v>4680115881327</v>
      </c>
      <c r="E87" s="690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69</v>
      </c>
      <c r="X87" s="667">
        <v>30</v>
      </c>
      <c r="Y87" s="668">
        <f>IFERROR(IF(X87="",0,CEILING((X87/$H87),1)*$H87),"")</f>
        <v>32.400000000000006</v>
      </c>
      <c r="Z87" s="36">
        <f>IFERROR(IF(Y87=0,"",ROUNDUP(Y87/H87,0)*0.01898),"")</f>
        <v>5.6940000000000004E-2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31.208333333333329</v>
      </c>
      <c r="BN87" s="64">
        <f>IFERROR(Y87*I87/H87,"0")</f>
        <v>33.705000000000005</v>
      </c>
      <c r="BO87" s="64">
        <f>IFERROR(1/J87*(X87/H87),"0")</f>
        <v>4.3402777777777776E-2</v>
      </c>
      <c r="BP87" s="64">
        <f>IFERROR(1/J87*(Y87/H87),"0")</f>
        <v>4.6875000000000007E-2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89">
        <v>4680115881518</v>
      </c>
      <c r="E88" s="690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89">
        <v>4680115881303</v>
      </c>
      <c r="E89" s="690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69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88</v>
      </c>
      <c r="Q90" s="674"/>
      <c r="R90" s="674"/>
      <c r="S90" s="674"/>
      <c r="T90" s="674"/>
      <c r="U90" s="674"/>
      <c r="V90" s="675"/>
      <c r="W90" s="37" t="s">
        <v>89</v>
      </c>
      <c r="X90" s="669">
        <f>IFERROR(X87/H87,"0")+IFERROR(X88/H88,"0")+IFERROR(X89/H89,"0")</f>
        <v>2.7777777777777777</v>
      </c>
      <c r="Y90" s="669">
        <f>IFERROR(Y87/H87,"0")+IFERROR(Y88/H88,"0")+IFERROR(Y89/H89,"0")</f>
        <v>3.0000000000000004</v>
      </c>
      <c r="Z90" s="669">
        <f>IFERROR(IF(Z87="",0,Z87),"0")+IFERROR(IF(Z88="",0,Z88),"0")+IFERROR(IF(Z89="",0,Z89),"0")</f>
        <v>5.6940000000000004E-2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88</v>
      </c>
      <c r="Q91" s="674"/>
      <c r="R91" s="674"/>
      <c r="S91" s="674"/>
      <c r="T91" s="674"/>
      <c r="U91" s="674"/>
      <c r="V91" s="675"/>
      <c r="W91" s="37" t="s">
        <v>69</v>
      </c>
      <c r="X91" s="669">
        <f>IFERROR(SUM(X87:X89),"0")</f>
        <v>30</v>
      </c>
      <c r="Y91" s="669">
        <f>IFERROR(SUM(Y87:Y89),"0")</f>
        <v>32.400000000000006</v>
      </c>
      <c r="Z91" s="37"/>
      <c r="AA91" s="670"/>
      <c r="AB91" s="670"/>
      <c r="AC91" s="670"/>
    </row>
    <row r="92" spans="1:68" ht="14.25" hidden="1" customHeight="1" x14ac:dyDescent="0.25">
      <c r="A92" s="676" t="s">
        <v>64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3"/>
      <c r="AB92" s="663"/>
      <c r="AC92" s="663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89">
        <v>4607091386967</v>
      </c>
      <c r="E93" s="690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69</v>
      </c>
      <c r="X93" s="667">
        <v>50</v>
      </c>
      <c r="Y93" s="668">
        <f t="shared" ref="Y93:Y101" si="16">IFERROR(IF(X93="",0,CEILING((X93/$H93),1)*$H93),"")</f>
        <v>50.400000000000006</v>
      </c>
      <c r="Z93" s="36">
        <f>IFERROR(IF(Y93=0,"",ROUNDUP(Y93/H93,0)*0.01898),"")</f>
        <v>0.11388000000000001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53.089285714285715</v>
      </c>
      <c r="BN93" s="64">
        <f t="shared" ref="BN93:BN101" si="18">IFERROR(Y93*I93/H93,"0")</f>
        <v>53.514000000000003</v>
      </c>
      <c r="BO93" s="64">
        <f t="shared" ref="BO93:BO101" si="19">IFERROR(1/J93*(X93/H93),"0")</f>
        <v>9.3005952380952384E-2</v>
      </c>
      <c r="BP93" s="64">
        <f t="shared" ref="BP93:BP101" si="20">IFERROR(1/J93*(Y93/H93),"0")</f>
        <v>9.375E-2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89">
        <v>4607091386967</v>
      </c>
      <c r="E94" s="690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6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89">
        <v>4607091386967</v>
      </c>
      <c r="E95" s="690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31" t="s">
        <v>197</v>
      </c>
      <c r="Q95" s="679"/>
      <c r="R95" s="679"/>
      <c r="S95" s="679"/>
      <c r="T95" s="680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89">
        <v>4680115884953</v>
      </c>
      <c r="E96" s="690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9" t="s">
        <v>201</v>
      </c>
      <c r="Q96" s="679"/>
      <c r="R96" s="679"/>
      <c r="S96" s="679"/>
      <c r="T96" s="680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89">
        <v>4607091385731</v>
      </c>
      <c r="E97" s="690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56" t="s">
        <v>205</v>
      </c>
      <c r="Q97" s="679"/>
      <c r="R97" s="679"/>
      <c r="S97" s="679"/>
      <c r="T97" s="680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89">
        <v>4607091385731</v>
      </c>
      <c r="E98" s="690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861" t="s">
        <v>207</v>
      </c>
      <c r="Q98" s="679"/>
      <c r="R98" s="679"/>
      <c r="S98" s="679"/>
      <c r="T98" s="680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89">
        <v>4680115880894</v>
      </c>
      <c r="E99" s="690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89">
        <v>4680115880214</v>
      </c>
      <c r="E100" s="690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89">
        <v>4680115880214</v>
      </c>
      <c r="E101" s="690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7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88</v>
      </c>
      <c r="Q102" s="674"/>
      <c r="R102" s="674"/>
      <c r="S102" s="674"/>
      <c r="T102" s="674"/>
      <c r="U102" s="674"/>
      <c r="V102" s="675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5.9523809523809526</v>
      </c>
      <c r="Y102" s="669">
        <f>IFERROR(Y93/H93,"0")+IFERROR(Y94/H94,"0")+IFERROR(Y95/H95,"0")+IFERROR(Y96/H96,"0")+IFERROR(Y97/H97,"0")+IFERROR(Y98/H98,"0")+IFERROR(Y99/H99,"0")+IFERROR(Y100/H100,"0")+IFERROR(Y101/H101,"0")</f>
        <v>6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0.11388000000000001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88</v>
      </c>
      <c r="Q103" s="674"/>
      <c r="R103" s="674"/>
      <c r="S103" s="674"/>
      <c r="T103" s="674"/>
      <c r="U103" s="674"/>
      <c r="V103" s="675"/>
      <c r="W103" s="37" t="s">
        <v>69</v>
      </c>
      <c r="X103" s="669">
        <f>IFERROR(SUM(X93:X101),"0")</f>
        <v>50</v>
      </c>
      <c r="Y103" s="669">
        <f>IFERROR(SUM(Y93:Y101),"0")</f>
        <v>50.400000000000006</v>
      </c>
      <c r="Z103" s="37"/>
      <c r="AA103" s="670"/>
      <c r="AB103" s="670"/>
      <c r="AC103" s="670"/>
    </row>
    <row r="104" spans="1:68" ht="16.5" hidden="1" customHeight="1" x14ac:dyDescent="0.25">
      <c r="A104" s="685" t="s">
        <v>214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98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3"/>
      <c r="AB105" s="663"/>
      <c r="AC105" s="663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89">
        <v>4680115882133</v>
      </c>
      <c r="E106" s="690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89">
        <v>4680115880269</v>
      </c>
      <c r="E107" s="690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89">
        <v>4680115880429</v>
      </c>
      <c r="E108" s="690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89">
        <v>4680115881457</v>
      </c>
      <c r="E109" s="690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88</v>
      </c>
      <c r="Q110" s="674"/>
      <c r="R110" s="674"/>
      <c r="S110" s="674"/>
      <c r="T110" s="674"/>
      <c r="U110" s="674"/>
      <c r="V110" s="675"/>
      <c r="W110" s="37" t="s">
        <v>89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hidden="1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88</v>
      </c>
      <c r="Q111" s="674"/>
      <c r="R111" s="674"/>
      <c r="S111" s="674"/>
      <c r="T111" s="674"/>
      <c r="U111" s="674"/>
      <c r="V111" s="675"/>
      <c r="W111" s="37" t="s">
        <v>69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138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3"/>
      <c r="AB112" s="663"/>
      <c r="AC112" s="663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89">
        <v>4680115881488</v>
      </c>
      <c r="E113" s="690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89">
        <v>4680115882775</v>
      </c>
      <c r="E114" s="690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89">
        <v>4680115880658</v>
      </c>
      <c r="E115" s="690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9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88</v>
      </c>
      <c r="Q116" s="674"/>
      <c r="R116" s="674"/>
      <c r="S116" s="674"/>
      <c r="T116" s="674"/>
      <c r="U116" s="674"/>
      <c r="V116" s="675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88</v>
      </c>
      <c r="Q117" s="674"/>
      <c r="R117" s="674"/>
      <c r="S117" s="674"/>
      <c r="T117" s="674"/>
      <c r="U117" s="674"/>
      <c r="V117" s="675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64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3"/>
      <c r="AB118" s="663"/>
      <c r="AC118" s="663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89">
        <v>4607091385168</v>
      </c>
      <c r="E119" s="690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0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231</v>
      </c>
      <c r="B120" s="54" t="s">
        <v>234</v>
      </c>
      <c r="C120" s="31">
        <v>4301051625</v>
      </c>
      <c r="D120" s="689">
        <v>4607091385168</v>
      </c>
      <c r="E120" s="690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69</v>
      </c>
      <c r="X120" s="667">
        <v>50</v>
      </c>
      <c r="Y120" s="668">
        <f t="shared" si="21"/>
        <v>50.400000000000006</v>
      </c>
      <c r="Z120" s="36">
        <f>IFERROR(IF(Y120=0,"",ROUNDUP(Y120/H120,0)*0.01898),"")</f>
        <v>0.11388000000000001</v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53.053571428571431</v>
      </c>
      <c r="BN120" s="64">
        <f t="shared" si="23"/>
        <v>53.478000000000002</v>
      </c>
      <c r="BO120" s="64">
        <f t="shared" si="24"/>
        <v>9.3005952380952384E-2</v>
      </c>
      <c r="BP120" s="64">
        <f t="shared" si="25"/>
        <v>9.375E-2</v>
      </c>
    </row>
    <row r="121" spans="1:68" ht="16.5" hidden="1" customHeight="1" x14ac:dyDescent="0.25">
      <c r="A121" s="54" t="s">
        <v>231</v>
      </c>
      <c r="B121" s="54" t="s">
        <v>236</v>
      </c>
      <c r="C121" s="31">
        <v>4301051724</v>
      </c>
      <c r="D121" s="689">
        <v>4607091385168</v>
      </c>
      <c r="E121" s="690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21" t="s">
        <v>237</v>
      </c>
      <c r="Q121" s="679"/>
      <c r="R121" s="679"/>
      <c r="S121" s="679"/>
      <c r="T121" s="680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239</v>
      </c>
      <c r="B122" s="54" t="s">
        <v>240</v>
      </c>
      <c r="C122" s="31">
        <v>4301051730</v>
      </c>
      <c r="D122" s="689">
        <v>4607091383256</v>
      </c>
      <c r="E122" s="690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54" t="s">
        <v>241</v>
      </c>
      <c r="Q122" s="679"/>
      <c r="R122" s="679"/>
      <c r="S122" s="679"/>
      <c r="T122" s="680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242</v>
      </c>
      <c r="B123" s="54" t="s">
        <v>243</v>
      </c>
      <c r="C123" s="31">
        <v>4301051721</v>
      </c>
      <c r="D123" s="689">
        <v>4607091385748</v>
      </c>
      <c r="E123" s="690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09" t="s">
        <v>244</v>
      </c>
      <c r="Q123" s="679"/>
      <c r="R123" s="679"/>
      <c r="S123" s="679"/>
      <c r="T123" s="680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245</v>
      </c>
      <c r="B124" s="54" t="s">
        <v>246</v>
      </c>
      <c r="C124" s="31">
        <v>4301051740</v>
      </c>
      <c r="D124" s="689">
        <v>4680115884533</v>
      </c>
      <c r="E124" s="690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5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248</v>
      </c>
      <c r="B125" s="54" t="s">
        <v>249</v>
      </c>
      <c r="C125" s="31">
        <v>4301051480</v>
      </c>
      <c r="D125" s="689">
        <v>4680115882645</v>
      </c>
      <c r="E125" s="690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88</v>
      </c>
      <c r="Q126" s="674"/>
      <c r="R126" s="674"/>
      <c r="S126" s="674"/>
      <c r="T126" s="674"/>
      <c r="U126" s="674"/>
      <c r="V126" s="675"/>
      <c r="W126" s="37" t="s">
        <v>89</v>
      </c>
      <c r="X126" s="669">
        <f>IFERROR(X119/H119,"0")+IFERROR(X120/H120,"0")+IFERROR(X121/H121,"0")+IFERROR(X122/H122,"0")+IFERROR(X123/H123,"0")+IFERROR(X124/H124,"0")+IFERROR(X125/H125,"0")</f>
        <v>5.9523809523809526</v>
      </c>
      <c r="Y126" s="669">
        <f>IFERROR(Y119/H119,"0")+IFERROR(Y120/H120,"0")+IFERROR(Y121/H121,"0")+IFERROR(Y122/H122,"0")+IFERROR(Y123/H123,"0")+IFERROR(Y124/H124,"0")+IFERROR(Y125/H125,"0")</f>
        <v>6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0.11388000000000001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88</v>
      </c>
      <c r="Q127" s="674"/>
      <c r="R127" s="674"/>
      <c r="S127" s="674"/>
      <c r="T127" s="674"/>
      <c r="U127" s="674"/>
      <c r="V127" s="675"/>
      <c r="W127" s="37" t="s">
        <v>69</v>
      </c>
      <c r="X127" s="669">
        <f>IFERROR(SUM(X119:X125),"0")</f>
        <v>50</v>
      </c>
      <c r="Y127" s="669">
        <f>IFERROR(SUM(Y119:Y125),"0")</f>
        <v>50.400000000000006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175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3"/>
      <c r="AB128" s="663"/>
      <c r="AC128" s="663"/>
    </row>
    <row r="129" spans="1:68" ht="37.5" hidden="1" customHeight="1" x14ac:dyDescent="0.25">
      <c r="A129" s="54" t="s">
        <v>251</v>
      </c>
      <c r="B129" s="54" t="s">
        <v>252</v>
      </c>
      <c r="C129" s="31">
        <v>4301060356</v>
      </c>
      <c r="D129" s="689">
        <v>4680115882652</v>
      </c>
      <c r="E129" s="690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254</v>
      </c>
      <c r="B130" s="54" t="s">
        <v>255</v>
      </c>
      <c r="C130" s="31">
        <v>4301060317</v>
      </c>
      <c r="D130" s="689">
        <v>4680115880238</v>
      </c>
      <c r="E130" s="690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88</v>
      </c>
      <c r="Q131" s="674"/>
      <c r="R131" s="674"/>
      <c r="S131" s="674"/>
      <c r="T131" s="674"/>
      <c r="U131" s="674"/>
      <c r="V131" s="675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hidden="1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88</v>
      </c>
      <c r="Q132" s="674"/>
      <c r="R132" s="674"/>
      <c r="S132" s="674"/>
      <c r="T132" s="674"/>
      <c r="U132" s="674"/>
      <c r="V132" s="675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hidden="1" customHeight="1" x14ac:dyDescent="0.25">
      <c r="A133" s="685" t="s">
        <v>257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98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3"/>
      <c r="AB134" s="663"/>
      <c r="AC134" s="663"/>
    </row>
    <row r="135" spans="1:68" ht="27" hidden="1" customHeight="1" x14ac:dyDescent="0.25">
      <c r="A135" s="54" t="s">
        <v>258</v>
      </c>
      <c r="B135" s="54" t="s">
        <v>259</v>
      </c>
      <c r="C135" s="31">
        <v>4301011564</v>
      </c>
      <c r="D135" s="689">
        <v>4680115882577</v>
      </c>
      <c r="E135" s="690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258</v>
      </c>
      <c r="B136" s="54" t="s">
        <v>261</v>
      </c>
      <c r="C136" s="31">
        <v>4301011562</v>
      </c>
      <c r="D136" s="689">
        <v>4680115882577</v>
      </c>
      <c r="E136" s="690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88</v>
      </c>
      <c r="Q137" s="674"/>
      <c r="R137" s="674"/>
      <c r="S137" s="674"/>
      <c r="T137" s="674"/>
      <c r="U137" s="674"/>
      <c r="V137" s="675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hidden="1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88</v>
      </c>
      <c r="Q138" s="674"/>
      <c r="R138" s="674"/>
      <c r="S138" s="674"/>
      <c r="T138" s="674"/>
      <c r="U138" s="674"/>
      <c r="V138" s="675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149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3"/>
      <c r="AB139" s="663"/>
      <c r="AC139" s="663"/>
    </row>
    <row r="140" spans="1:68" ht="27" hidden="1" customHeight="1" x14ac:dyDescent="0.25">
      <c r="A140" s="54" t="s">
        <v>262</v>
      </c>
      <c r="B140" s="54" t="s">
        <v>263</v>
      </c>
      <c r="C140" s="31">
        <v>4301031234</v>
      </c>
      <c r="D140" s="689">
        <v>4680115883444</v>
      </c>
      <c r="E140" s="690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6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262</v>
      </c>
      <c r="B141" s="54" t="s">
        <v>265</v>
      </c>
      <c r="C141" s="31">
        <v>4301031235</v>
      </c>
      <c r="D141" s="689">
        <v>4680115883444</v>
      </c>
      <c r="E141" s="690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88</v>
      </c>
      <c r="Q142" s="674"/>
      <c r="R142" s="674"/>
      <c r="S142" s="674"/>
      <c r="T142" s="674"/>
      <c r="U142" s="674"/>
      <c r="V142" s="675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hidden="1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88</v>
      </c>
      <c r="Q143" s="674"/>
      <c r="R143" s="674"/>
      <c r="S143" s="674"/>
      <c r="T143" s="674"/>
      <c r="U143" s="674"/>
      <c r="V143" s="675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64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3"/>
      <c r="AB144" s="663"/>
      <c r="AC144" s="663"/>
    </row>
    <row r="145" spans="1:68" ht="16.5" hidden="1" customHeight="1" x14ac:dyDescent="0.25">
      <c r="A145" s="54" t="s">
        <v>266</v>
      </c>
      <c r="B145" s="54" t="s">
        <v>267</v>
      </c>
      <c r="C145" s="31">
        <v>4301051477</v>
      </c>
      <c r="D145" s="689">
        <v>4680115882584</v>
      </c>
      <c r="E145" s="690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266</v>
      </c>
      <c r="B146" s="54" t="s">
        <v>268</v>
      </c>
      <c r="C146" s="31">
        <v>4301051476</v>
      </c>
      <c r="D146" s="689">
        <v>4680115882584</v>
      </c>
      <c r="E146" s="690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88</v>
      </c>
      <c r="Q147" s="674"/>
      <c r="R147" s="674"/>
      <c r="S147" s="674"/>
      <c r="T147" s="674"/>
      <c r="U147" s="674"/>
      <c r="V147" s="675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hidden="1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88</v>
      </c>
      <c r="Q148" s="674"/>
      <c r="R148" s="674"/>
      <c r="S148" s="674"/>
      <c r="T148" s="674"/>
      <c r="U148" s="674"/>
      <c r="V148" s="675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hidden="1" customHeight="1" x14ac:dyDescent="0.25">
      <c r="A149" s="685" t="s">
        <v>96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3"/>
      <c r="AB150" s="663"/>
      <c r="AC150" s="663"/>
    </row>
    <row r="151" spans="1:68" ht="27" hidden="1" customHeight="1" x14ac:dyDescent="0.25">
      <c r="A151" s="54" t="s">
        <v>269</v>
      </c>
      <c r="B151" s="54" t="s">
        <v>270</v>
      </c>
      <c r="C151" s="31">
        <v>4301011705</v>
      </c>
      <c r="D151" s="689">
        <v>4607091384604</v>
      </c>
      <c r="E151" s="690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88</v>
      </c>
      <c r="Q152" s="674"/>
      <c r="R152" s="674"/>
      <c r="S152" s="674"/>
      <c r="T152" s="674"/>
      <c r="U152" s="674"/>
      <c r="V152" s="675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88</v>
      </c>
      <c r="Q153" s="674"/>
      <c r="R153" s="674"/>
      <c r="S153" s="674"/>
      <c r="T153" s="674"/>
      <c r="U153" s="674"/>
      <c r="V153" s="675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149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3"/>
      <c r="AB154" s="663"/>
      <c r="AC154" s="663"/>
    </row>
    <row r="155" spans="1:68" ht="16.5" hidden="1" customHeight="1" x14ac:dyDescent="0.25">
      <c r="A155" s="54" t="s">
        <v>272</v>
      </c>
      <c r="B155" s="54" t="s">
        <v>273</v>
      </c>
      <c r="C155" s="31">
        <v>4301030895</v>
      </c>
      <c r="D155" s="689">
        <v>4607091387667</v>
      </c>
      <c r="E155" s="690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70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275</v>
      </c>
      <c r="B156" s="54" t="s">
        <v>276</v>
      </c>
      <c r="C156" s="31">
        <v>4301030961</v>
      </c>
      <c r="D156" s="689">
        <v>4607091387636</v>
      </c>
      <c r="E156" s="690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278</v>
      </c>
      <c r="B157" s="54" t="s">
        <v>279</v>
      </c>
      <c r="C157" s="31">
        <v>4301030963</v>
      </c>
      <c r="D157" s="689">
        <v>4607091382426</v>
      </c>
      <c r="E157" s="690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10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88</v>
      </c>
      <c r="Q158" s="674"/>
      <c r="R158" s="674"/>
      <c r="S158" s="674"/>
      <c r="T158" s="674"/>
      <c r="U158" s="674"/>
      <c r="V158" s="675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88</v>
      </c>
      <c r="Q159" s="674"/>
      <c r="R159" s="674"/>
      <c r="S159" s="674"/>
      <c r="T159" s="674"/>
      <c r="U159" s="674"/>
      <c r="V159" s="675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64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3"/>
      <c r="AB160" s="663"/>
      <c r="AC160" s="663"/>
    </row>
    <row r="161" spans="1:68" ht="16.5" hidden="1" customHeight="1" x14ac:dyDescent="0.25">
      <c r="A161" s="54" t="s">
        <v>281</v>
      </c>
      <c r="B161" s="54" t="s">
        <v>282</v>
      </c>
      <c r="C161" s="31">
        <v>4301051653</v>
      </c>
      <c r="D161" s="689">
        <v>4607091386264</v>
      </c>
      <c r="E161" s="690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88</v>
      </c>
      <c r="Q162" s="674"/>
      <c r="R162" s="674"/>
      <c r="S162" s="674"/>
      <c r="T162" s="674"/>
      <c r="U162" s="674"/>
      <c r="V162" s="675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88</v>
      </c>
      <c r="Q163" s="674"/>
      <c r="R163" s="674"/>
      <c r="S163" s="674"/>
      <c r="T163" s="674"/>
      <c r="U163" s="674"/>
      <c r="V163" s="675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7" t="s">
        <v>284</v>
      </c>
      <c r="B164" s="698"/>
      <c r="C164" s="698"/>
      <c r="D164" s="698"/>
      <c r="E164" s="698"/>
      <c r="F164" s="698"/>
      <c r="G164" s="698"/>
      <c r="H164" s="698"/>
      <c r="I164" s="698"/>
      <c r="J164" s="698"/>
      <c r="K164" s="698"/>
      <c r="L164" s="698"/>
      <c r="M164" s="698"/>
      <c r="N164" s="698"/>
      <c r="O164" s="698"/>
      <c r="P164" s="698"/>
      <c r="Q164" s="698"/>
      <c r="R164" s="698"/>
      <c r="S164" s="698"/>
      <c r="T164" s="698"/>
      <c r="U164" s="698"/>
      <c r="V164" s="698"/>
      <c r="W164" s="698"/>
      <c r="X164" s="698"/>
      <c r="Y164" s="698"/>
      <c r="Z164" s="698"/>
      <c r="AA164" s="48"/>
      <c r="AB164" s="48"/>
      <c r="AC164" s="48"/>
    </row>
    <row r="165" spans="1:68" ht="16.5" hidden="1" customHeight="1" x14ac:dyDescent="0.25">
      <c r="A165" s="685" t="s">
        <v>285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138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3"/>
      <c r="AB166" s="663"/>
      <c r="AC166" s="663"/>
    </row>
    <row r="167" spans="1:68" ht="27" hidden="1" customHeight="1" x14ac:dyDescent="0.25">
      <c r="A167" s="54" t="s">
        <v>286</v>
      </c>
      <c r="B167" s="54" t="s">
        <v>287</v>
      </c>
      <c r="C167" s="31">
        <v>4301020323</v>
      </c>
      <c r="D167" s="689">
        <v>4680115886223</v>
      </c>
      <c r="E167" s="690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88</v>
      </c>
      <c r="Q168" s="674"/>
      <c r="R168" s="674"/>
      <c r="S168" s="674"/>
      <c r="T168" s="674"/>
      <c r="U168" s="674"/>
      <c r="V168" s="675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88</v>
      </c>
      <c r="Q169" s="674"/>
      <c r="R169" s="674"/>
      <c r="S169" s="674"/>
      <c r="T169" s="674"/>
      <c r="U169" s="674"/>
      <c r="V169" s="675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149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3"/>
      <c r="AB170" s="663"/>
      <c r="AC170" s="663"/>
    </row>
    <row r="171" spans="1:68" ht="27" hidden="1" customHeight="1" x14ac:dyDescent="0.25">
      <c r="A171" s="54" t="s">
        <v>289</v>
      </c>
      <c r="B171" s="54" t="s">
        <v>290</v>
      </c>
      <c r="C171" s="31">
        <v>4301031191</v>
      </c>
      <c r="D171" s="689">
        <v>4680115880993</v>
      </c>
      <c r="E171" s="690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hidden="1" customHeight="1" x14ac:dyDescent="0.25">
      <c r="A172" s="54" t="s">
        <v>292</v>
      </c>
      <c r="B172" s="54" t="s">
        <v>293</v>
      </c>
      <c r="C172" s="31">
        <v>4301031204</v>
      </c>
      <c r="D172" s="689">
        <v>4680115881761</v>
      </c>
      <c r="E172" s="690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4301031201</v>
      </c>
      <c r="D173" s="689">
        <v>4680115881563</v>
      </c>
      <c r="E173" s="690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6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4301031199</v>
      </c>
      <c r="D174" s="689">
        <v>4680115880986</v>
      </c>
      <c r="E174" s="690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689">
        <v>4680115881785</v>
      </c>
      <c r="E175" s="690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689">
        <v>4680115886537</v>
      </c>
      <c r="E176" s="690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65" t="s">
        <v>304</v>
      </c>
      <c r="Q176" s="679"/>
      <c r="R176" s="679"/>
      <c r="S176" s="679"/>
      <c r="T176" s="680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hidden="1" customHeight="1" x14ac:dyDescent="0.25">
      <c r="A177" s="54" t="s">
        <v>306</v>
      </c>
      <c r="B177" s="54" t="s">
        <v>307</v>
      </c>
      <c r="C177" s="31">
        <v>4301031202</v>
      </c>
      <c r="D177" s="689">
        <v>4680115881679</v>
      </c>
      <c r="E177" s="690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4301031158</v>
      </c>
      <c r="D178" s="689">
        <v>4680115880191</v>
      </c>
      <c r="E178" s="690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4301031245</v>
      </c>
      <c r="D179" s="689">
        <v>4680115883963</v>
      </c>
      <c r="E179" s="690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7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hidden="1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88</v>
      </c>
      <c r="Q180" s="674"/>
      <c r="R180" s="674"/>
      <c r="S180" s="674"/>
      <c r="T180" s="674"/>
      <c r="U180" s="674"/>
      <c r="V180" s="675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hidden="1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88</v>
      </c>
      <c r="Q181" s="674"/>
      <c r="R181" s="674"/>
      <c r="S181" s="674"/>
      <c r="T181" s="674"/>
      <c r="U181" s="674"/>
      <c r="V181" s="675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hidden="1" customHeight="1" x14ac:dyDescent="0.25">
      <c r="A182" s="676" t="s">
        <v>90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3"/>
      <c r="AB182" s="663"/>
      <c r="AC182" s="663"/>
    </row>
    <row r="183" spans="1:68" ht="27" hidden="1" customHeight="1" x14ac:dyDescent="0.25">
      <c r="A183" s="54" t="s">
        <v>313</v>
      </c>
      <c r="B183" s="54" t="s">
        <v>314</v>
      </c>
      <c r="C183" s="31">
        <v>4301032051</v>
      </c>
      <c r="D183" s="689">
        <v>4680115886742</v>
      </c>
      <c r="E183" s="690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860" t="s">
        <v>317</v>
      </c>
      <c r="Q183" s="679"/>
      <c r="R183" s="679"/>
      <c r="S183" s="679"/>
      <c r="T183" s="680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320</v>
      </c>
      <c r="B184" s="54" t="s">
        <v>321</v>
      </c>
      <c r="C184" s="31">
        <v>4301032052</v>
      </c>
      <c r="D184" s="689">
        <v>4680115886766</v>
      </c>
      <c r="E184" s="690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41" t="s">
        <v>322</v>
      </c>
      <c r="Q184" s="679"/>
      <c r="R184" s="679"/>
      <c r="S184" s="679"/>
      <c r="T184" s="680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323</v>
      </c>
      <c r="B185" s="54" t="s">
        <v>324</v>
      </c>
      <c r="C185" s="31">
        <v>4301032053</v>
      </c>
      <c r="D185" s="689">
        <v>4680115886780</v>
      </c>
      <c r="E185" s="690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50" t="s">
        <v>325</v>
      </c>
      <c r="Q185" s="679"/>
      <c r="R185" s="679"/>
      <c r="S185" s="679"/>
      <c r="T185" s="680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88</v>
      </c>
      <c r="Q186" s="674"/>
      <c r="R186" s="674"/>
      <c r="S186" s="674"/>
      <c r="T186" s="674"/>
      <c r="U186" s="674"/>
      <c r="V186" s="675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88</v>
      </c>
      <c r="Q187" s="674"/>
      <c r="R187" s="674"/>
      <c r="S187" s="674"/>
      <c r="T187" s="674"/>
      <c r="U187" s="674"/>
      <c r="V187" s="675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327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3"/>
      <c r="AB188" s="663"/>
      <c r="AC188" s="663"/>
    </row>
    <row r="189" spans="1:68" ht="27" hidden="1" customHeight="1" x14ac:dyDescent="0.25">
      <c r="A189" s="54" t="s">
        <v>328</v>
      </c>
      <c r="B189" s="54" t="s">
        <v>329</v>
      </c>
      <c r="C189" s="31">
        <v>4301170013</v>
      </c>
      <c r="D189" s="689">
        <v>4680115886797</v>
      </c>
      <c r="E189" s="690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8" t="s">
        <v>330</v>
      </c>
      <c r="Q189" s="679"/>
      <c r="R189" s="679"/>
      <c r="S189" s="679"/>
      <c r="T189" s="680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88</v>
      </c>
      <c r="Q190" s="674"/>
      <c r="R190" s="674"/>
      <c r="S190" s="674"/>
      <c r="T190" s="674"/>
      <c r="U190" s="674"/>
      <c r="V190" s="675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88</v>
      </c>
      <c r="Q191" s="674"/>
      <c r="R191" s="674"/>
      <c r="S191" s="674"/>
      <c r="T191" s="674"/>
      <c r="U191" s="674"/>
      <c r="V191" s="675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331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98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3"/>
      <c r="AB193" s="663"/>
      <c r="AC193" s="663"/>
    </row>
    <row r="194" spans="1:68" ht="16.5" hidden="1" customHeight="1" x14ac:dyDescent="0.25">
      <c r="A194" s="54" t="s">
        <v>332</v>
      </c>
      <c r="B194" s="54" t="s">
        <v>333</v>
      </c>
      <c r="C194" s="31">
        <v>4301011450</v>
      </c>
      <c r="D194" s="689">
        <v>4680115881402</v>
      </c>
      <c r="E194" s="690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335</v>
      </c>
      <c r="B195" s="54" t="s">
        <v>336</v>
      </c>
      <c r="C195" s="31">
        <v>4301011768</v>
      </c>
      <c r="D195" s="689">
        <v>4680115881396</v>
      </c>
      <c r="E195" s="690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88</v>
      </c>
      <c r="Q196" s="674"/>
      <c r="R196" s="674"/>
      <c r="S196" s="674"/>
      <c r="T196" s="674"/>
      <c r="U196" s="674"/>
      <c r="V196" s="675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88</v>
      </c>
      <c r="Q197" s="674"/>
      <c r="R197" s="674"/>
      <c r="S197" s="674"/>
      <c r="T197" s="674"/>
      <c r="U197" s="674"/>
      <c r="V197" s="675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138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3"/>
      <c r="AB198" s="663"/>
      <c r="AC198" s="663"/>
    </row>
    <row r="199" spans="1:68" ht="16.5" hidden="1" customHeight="1" x14ac:dyDescent="0.25">
      <c r="A199" s="54" t="s">
        <v>337</v>
      </c>
      <c r="B199" s="54" t="s">
        <v>338</v>
      </c>
      <c r="C199" s="31">
        <v>4301020262</v>
      </c>
      <c r="D199" s="689">
        <v>4680115882935</v>
      </c>
      <c r="E199" s="690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340</v>
      </c>
      <c r="B200" s="54" t="s">
        <v>341</v>
      </c>
      <c r="C200" s="31">
        <v>4301020220</v>
      </c>
      <c r="D200" s="689">
        <v>4680115880764</v>
      </c>
      <c r="E200" s="690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88</v>
      </c>
      <c r="Q201" s="674"/>
      <c r="R201" s="674"/>
      <c r="S201" s="674"/>
      <c r="T201" s="674"/>
      <c r="U201" s="674"/>
      <c r="V201" s="675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88</v>
      </c>
      <c r="Q202" s="674"/>
      <c r="R202" s="674"/>
      <c r="S202" s="674"/>
      <c r="T202" s="674"/>
      <c r="U202" s="674"/>
      <c r="V202" s="675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149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3"/>
      <c r="AB203" s="663"/>
      <c r="AC203" s="663"/>
    </row>
    <row r="204" spans="1:68" ht="27" hidden="1" customHeight="1" x14ac:dyDescent="0.25">
      <c r="A204" s="54" t="s">
        <v>342</v>
      </c>
      <c r="B204" s="54" t="s">
        <v>343</v>
      </c>
      <c r="C204" s="31">
        <v>4301031224</v>
      </c>
      <c r="D204" s="689">
        <v>4680115882683</v>
      </c>
      <c r="E204" s="690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10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hidden="1" customHeight="1" x14ac:dyDescent="0.25">
      <c r="A205" s="54" t="s">
        <v>345</v>
      </c>
      <c r="B205" s="54" t="s">
        <v>346</v>
      </c>
      <c r="C205" s="31">
        <v>4301031230</v>
      </c>
      <c r="D205" s="689">
        <v>4680115882690</v>
      </c>
      <c r="E205" s="690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2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hidden="1" customHeight="1" x14ac:dyDescent="0.25">
      <c r="A206" s="54" t="s">
        <v>348</v>
      </c>
      <c r="B206" s="54" t="s">
        <v>349</v>
      </c>
      <c r="C206" s="31">
        <v>4301031220</v>
      </c>
      <c r="D206" s="689">
        <v>4680115882669</v>
      </c>
      <c r="E206" s="690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4301031221</v>
      </c>
      <c r="D207" s="689">
        <v>4680115882676</v>
      </c>
      <c r="E207" s="690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hidden="1" customHeight="1" x14ac:dyDescent="0.25">
      <c r="A208" s="54" t="s">
        <v>354</v>
      </c>
      <c r="B208" s="54" t="s">
        <v>355</v>
      </c>
      <c r="C208" s="31">
        <v>4301031223</v>
      </c>
      <c r="D208" s="689">
        <v>4680115884014</v>
      </c>
      <c r="E208" s="690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hidden="1" customHeight="1" x14ac:dyDescent="0.25">
      <c r="A209" s="54" t="s">
        <v>356</v>
      </c>
      <c r="B209" s="54" t="s">
        <v>357</v>
      </c>
      <c r="C209" s="31">
        <v>4301031222</v>
      </c>
      <c r="D209" s="689">
        <v>4680115884007</v>
      </c>
      <c r="E209" s="690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6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hidden="1" customHeight="1" x14ac:dyDescent="0.25">
      <c r="A210" s="54" t="s">
        <v>358</v>
      </c>
      <c r="B210" s="54" t="s">
        <v>359</v>
      </c>
      <c r="C210" s="31">
        <v>4301031229</v>
      </c>
      <c r="D210" s="689">
        <v>4680115884038</v>
      </c>
      <c r="E210" s="690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hidden="1" customHeight="1" x14ac:dyDescent="0.25">
      <c r="A211" s="54" t="s">
        <v>360</v>
      </c>
      <c r="B211" s="54" t="s">
        <v>361</v>
      </c>
      <c r="C211" s="31">
        <v>4301031225</v>
      </c>
      <c r="D211" s="689">
        <v>4680115884021</v>
      </c>
      <c r="E211" s="690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hidden="1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88</v>
      </c>
      <c r="Q212" s="674"/>
      <c r="R212" s="674"/>
      <c r="S212" s="674"/>
      <c r="T212" s="674"/>
      <c r="U212" s="674"/>
      <c r="V212" s="675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hidden="1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88</v>
      </c>
      <c r="Q213" s="674"/>
      <c r="R213" s="674"/>
      <c r="S213" s="674"/>
      <c r="T213" s="674"/>
      <c r="U213" s="674"/>
      <c r="V213" s="675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hidden="1" customHeight="1" x14ac:dyDescent="0.25">
      <c r="A214" s="676" t="s">
        <v>64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3"/>
      <c r="AB214" s="663"/>
      <c r="AC214" s="663"/>
    </row>
    <row r="215" spans="1:68" ht="27" hidden="1" customHeight="1" x14ac:dyDescent="0.25">
      <c r="A215" s="54" t="s">
        <v>362</v>
      </c>
      <c r="B215" s="54" t="s">
        <v>363</v>
      </c>
      <c r="C215" s="31">
        <v>4301051408</v>
      </c>
      <c r="D215" s="689">
        <v>4680115881594</v>
      </c>
      <c r="E215" s="690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4301051411</v>
      </c>
      <c r="D216" s="689">
        <v>4680115881617</v>
      </c>
      <c r="E216" s="690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hidden="1" customHeight="1" x14ac:dyDescent="0.25">
      <c r="A217" s="54" t="s">
        <v>368</v>
      </c>
      <c r="B217" s="54" t="s">
        <v>369</v>
      </c>
      <c r="C217" s="31">
        <v>4301051656</v>
      </c>
      <c r="D217" s="689">
        <v>4680115880573</v>
      </c>
      <c r="E217" s="690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4301051407</v>
      </c>
      <c r="D218" s="689">
        <v>4680115882195</v>
      </c>
      <c r="E218" s="690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3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4301051752</v>
      </c>
      <c r="D219" s="689">
        <v>4680115882607</v>
      </c>
      <c r="E219" s="690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4301051666</v>
      </c>
      <c r="D220" s="689">
        <v>4680115880092</v>
      </c>
      <c r="E220" s="690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69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hidden="1" customHeight="1" x14ac:dyDescent="0.25">
      <c r="A221" s="54" t="s">
        <v>378</v>
      </c>
      <c r="B221" s="54" t="s">
        <v>379</v>
      </c>
      <c r="C221" s="31">
        <v>4301051668</v>
      </c>
      <c r="D221" s="689">
        <v>4680115880221</v>
      </c>
      <c r="E221" s="690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hidden="1" customHeight="1" x14ac:dyDescent="0.25">
      <c r="A222" s="54" t="s">
        <v>380</v>
      </c>
      <c r="B222" s="54" t="s">
        <v>381</v>
      </c>
      <c r="C222" s="31">
        <v>4301051945</v>
      </c>
      <c r="D222" s="689">
        <v>4680115880504</v>
      </c>
      <c r="E222" s="690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hidden="1" customHeight="1" x14ac:dyDescent="0.25">
      <c r="A223" s="54" t="s">
        <v>383</v>
      </c>
      <c r="B223" s="54" t="s">
        <v>384</v>
      </c>
      <c r="C223" s="31">
        <v>4301051410</v>
      </c>
      <c r="D223" s="689">
        <v>4680115882164</v>
      </c>
      <c r="E223" s="690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hidden="1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88</v>
      </c>
      <c r="Q224" s="674"/>
      <c r="R224" s="674"/>
      <c r="S224" s="674"/>
      <c r="T224" s="674"/>
      <c r="U224" s="674"/>
      <c r="V224" s="675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hidden="1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88</v>
      </c>
      <c r="Q225" s="674"/>
      <c r="R225" s="674"/>
      <c r="S225" s="674"/>
      <c r="T225" s="674"/>
      <c r="U225" s="674"/>
      <c r="V225" s="675"/>
      <c r="W225" s="37" t="s">
        <v>69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175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3"/>
      <c r="AB226" s="663"/>
      <c r="AC226" s="663"/>
    </row>
    <row r="227" spans="1:68" ht="27" hidden="1" customHeight="1" x14ac:dyDescent="0.25">
      <c r="A227" s="54" t="s">
        <v>386</v>
      </c>
      <c r="B227" s="54" t="s">
        <v>387</v>
      </c>
      <c r="C227" s="31">
        <v>4301060463</v>
      </c>
      <c r="D227" s="689">
        <v>4680115880818</v>
      </c>
      <c r="E227" s="690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4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hidden="1" customHeight="1" x14ac:dyDescent="0.25">
      <c r="A228" s="54" t="s">
        <v>389</v>
      </c>
      <c r="B228" s="54" t="s">
        <v>390</v>
      </c>
      <c r="C228" s="31">
        <v>4301060389</v>
      </c>
      <c r="D228" s="689">
        <v>4680115880801</v>
      </c>
      <c r="E228" s="690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1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88</v>
      </c>
      <c r="Q229" s="674"/>
      <c r="R229" s="674"/>
      <c r="S229" s="674"/>
      <c r="T229" s="674"/>
      <c r="U229" s="674"/>
      <c r="V229" s="675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hidden="1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88</v>
      </c>
      <c r="Q230" s="674"/>
      <c r="R230" s="674"/>
      <c r="S230" s="674"/>
      <c r="T230" s="674"/>
      <c r="U230" s="674"/>
      <c r="V230" s="675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hidden="1" customHeight="1" x14ac:dyDescent="0.25">
      <c r="A231" s="685" t="s">
        <v>392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98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3"/>
      <c r="AB232" s="663"/>
      <c r="AC232" s="663"/>
    </row>
    <row r="233" spans="1:68" ht="27" hidden="1" customHeight="1" x14ac:dyDescent="0.25">
      <c r="A233" s="54" t="s">
        <v>393</v>
      </c>
      <c r="B233" s="54" t="s">
        <v>394</v>
      </c>
      <c r="C233" s="31">
        <v>4301011942</v>
      </c>
      <c r="D233" s="689">
        <v>4680115884137</v>
      </c>
      <c r="E233" s="690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hidden="1" customHeight="1" x14ac:dyDescent="0.25">
      <c r="A234" s="54" t="s">
        <v>393</v>
      </c>
      <c r="B234" s="54" t="s">
        <v>397</v>
      </c>
      <c r="C234" s="31">
        <v>4301011826</v>
      </c>
      <c r="D234" s="689">
        <v>4680115884137</v>
      </c>
      <c r="E234" s="690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3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4301011724</v>
      </c>
      <c r="D235" s="689">
        <v>4680115884236</v>
      </c>
      <c r="E235" s="690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hidden="1" customHeight="1" x14ac:dyDescent="0.25">
      <c r="A236" s="54" t="s">
        <v>402</v>
      </c>
      <c r="B236" s="54" t="s">
        <v>403</v>
      </c>
      <c r="C236" s="31">
        <v>4301011941</v>
      </c>
      <c r="D236" s="689">
        <v>4680115884175</v>
      </c>
      <c r="E236" s="690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52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hidden="1" customHeight="1" x14ac:dyDescent="0.25">
      <c r="A237" s="54" t="s">
        <v>402</v>
      </c>
      <c r="B237" s="54" t="s">
        <v>404</v>
      </c>
      <c r="C237" s="31">
        <v>4301011721</v>
      </c>
      <c r="D237" s="689">
        <v>4680115884175</v>
      </c>
      <c r="E237" s="690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hidden="1" customHeight="1" x14ac:dyDescent="0.25">
      <c r="A238" s="54" t="s">
        <v>406</v>
      </c>
      <c r="B238" s="54" t="s">
        <v>407</v>
      </c>
      <c r="C238" s="31">
        <v>4301011824</v>
      </c>
      <c r="D238" s="689">
        <v>4680115884144</v>
      </c>
      <c r="E238" s="690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9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4301011726</v>
      </c>
      <c r="D239" s="689">
        <v>4680115884182</v>
      </c>
      <c r="E239" s="690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hidden="1" customHeight="1" x14ac:dyDescent="0.25">
      <c r="A240" s="54" t="s">
        <v>410</v>
      </c>
      <c r="B240" s="54" t="s">
        <v>411</v>
      </c>
      <c r="C240" s="31">
        <v>4301011722</v>
      </c>
      <c r="D240" s="689">
        <v>4680115884205</v>
      </c>
      <c r="E240" s="690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hidden="1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88</v>
      </c>
      <c r="Q241" s="674"/>
      <c r="R241" s="674"/>
      <c r="S241" s="674"/>
      <c r="T241" s="674"/>
      <c r="U241" s="674"/>
      <c r="V241" s="675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hidden="1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88</v>
      </c>
      <c r="Q242" s="674"/>
      <c r="R242" s="674"/>
      <c r="S242" s="674"/>
      <c r="T242" s="674"/>
      <c r="U242" s="674"/>
      <c r="V242" s="675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138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3"/>
      <c r="AB243" s="663"/>
      <c r="AC243" s="663"/>
    </row>
    <row r="244" spans="1:68" ht="27" hidden="1" customHeight="1" x14ac:dyDescent="0.25">
      <c r="A244" s="54" t="s">
        <v>412</v>
      </c>
      <c r="B244" s="54" t="s">
        <v>413</v>
      </c>
      <c r="C244" s="31">
        <v>4301020340</v>
      </c>
      <c r="D244" s="689">
        <v>4680115885721</v>
      </c>
      <c r="E244" s="690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9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9"/>
      <c r="R244" s="679"/>
      <c r="S244" s="679"/>
      <c r="T244" s="680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412</v>
      </c>
      <c r="B245" s="54" t="s">
        <v>415</v>
      </c>
      <c r="C245" s="31">
        <v>4301020377</v>
      </c>
      <c r="D245" s="689">
        <v>4680115885981</v>
      </c>
      <c r="E245" s="690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82" t="s">
        <v>416</v>
      </c>
      <c r="Q245" s="679"/>
      <c r="R245" s="679"/>
      <c r="S245" s="679"/>
      <c r="T245" s="680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88</v>
      </c>
      <c r="Q246" s="674"/>
      <c r="R246" s="674"/>
      <c r="S246" s="674"/>
      <c r="T246" s="674"/>
      <c r="U246" s="674"/>
      <c r="V246" s="675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88</v>
      </c>
      <c r="Q247" s="674"/>
      <c r="R247" s="674"/>
      <c r="S247" s="674"/>
      <c r="T247" s="674"/>
      <c r="U247" s="674"/>
      <c r="V247" s="675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417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3"/>
      <c r="AB248" s="663"/>
      <c r="AC248" s="663"/>
    </row>
    <row r="249" spans="1:68" ht="27" hidden="1" customHeight="1" x14ac:dyDescent="0.25">
      <c r="A249" s="54" t="s">
        <v>418</v>
      </c>
      <c r="B249" s="54" t="s">
        <v>419</v>
      </c>
      <c r="C249" s="31">
        <v>4301040361</v>
      </c>
      <c r="D249" s="689">
        <v>4680115886803</v>
      </c>
      <c r="E249" s="690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17" t="s">
        <v>420</v>
      </c>
      <c r="Q249" s="679"/>
      <c r="R249" s="679"/>
      <c r="S249" s="679"/>
      <c r="T249" s="680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88</v>
      </c>
      <c r="Q250" s="674"/>
      <c r="R250" s="674"/>
      <c r="S250" s="674"/>
      <c r="T250" s="674"/>
      <c r="U250" s="674"/>
      <c r="V250" s="675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hidden="1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88</v>
      </c>
      <c r="Q251" s="674"/>
      <c r="R251" s="674"/>
      <c r="S251" s="674"/>
      <c r="T251" s="674"/>
      <c r="U251" s="674"/>
      <c r="V251" s="675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hidden="1" customHeight="1" x14ac:dyDescent="0.25">
      <c r="A252" s="676" t="s">
        <v>422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3"/>
      <c r="AB252" s="663"/>
      <c r="AC252" s="663"/>
    </row>
    <row r="253" spans="1:68" ht="27" hidden="1" customHeight="1" x14ac:dyDescent="0.25">
      <c r="A253" s="54" t="s">
        <v>423</v>
      </c>
      <c r="B253" s="54" t="s">
        <v>424</v>
      </c>
      <c r="C253" s="31">
        <v>4301041004</v>
      </c>
      <c r="D253" s="689">
        <v>4680115886704</v>
      </c>
      <c r="E253" s="690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2" t="s">
        <v>425</v>
      </c>
      <c r="Q253" s="679"/>
      <c r="R253" s="679"/>
      <c r="S253" s="679"/>
      <c r="T253" s="680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427</v>
      </c>
      <c r="B254" s="54" t="s">
        <v>428</v>
      </c>
      <c r="C254" s="31">
        <v>4301041007</v>
      </c>
      <c r="D254" s="689">
        <v>4680115886735</v>
      </c>
      <c r="E254" s="690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17" t="s">
        <v>429</v>
      </c>
      <c r="Q254" s="679"/>
      <c r="R254" s="679"/>
      <c r="S254" s="679"/>
      <c r="T254" s="680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430</v>
      </c>
      <c r="B255" s="54" t="s">
        <v>431</v>
      </c>
      <c r="C255" s="31">
        <v>4301041006</v>
      </c>
      <c r="D255" s="689">
        <v>4680115886728</v>
      </c>
      <c r="E255" s="690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9" t="s">
        <v>432</v>
      </c>
      <c r="Q255" s="679"/>
      <c r="R255" s="679"/>
      <c r="S255" s="679"/>
      <c r="T255" s="680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433</v>
      </c>
      <c r="B256" s="54" t="s">
        <v>434</v>
      </c>
      <c r="C256" s="31">
        <v>4301041005</v>
      </c>
      <c r="D256" s="689">
        <v>4680115886711</v>
      </c>
      <c r="E256" s="690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1" t="s">
        <v>435</v>
      </c>
      <c r="Q256" s="679"/>
      <c r="R256" s="679"/>
      <c r="S256" s="679"/>
      <c r="T256" s="680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436</v>
      </c>
      <c r="B257" s="54" t="s">
        <v>437</v>
      </c>
      <c r="C257" s="31">
        <v>4301041003</v>
      </c>
      <c r="D257" s="689">
        <v>4680115886681</v>
      </c>
      <c r="E257" s="690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5" t="s">
        <v>438</v>
      </c>
      <c r="Q257" s="679"/>
      <c r="R257" s="679"/>
      <c r="S257" s="679"/>
      <c r="T257" s="680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88</v>
      </c>
      <c r="Q258" s="674"/>
      <c r="R258" s="674"/>
      <c r="S258" s="674"/>
      <c r="T258" s="674"/>
      <c r="U258" s="674"/>
      <c r="V258" s="675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88</v>
      </c>
      <c r="Q259" s="674"/>
      <c r="R259" s="674"/>
      <c r="S259" s="674"/>
      <c r="T259" s="674"/>
      <c r="U259" s="674"/>
      <c r="V259" s="675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439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98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3"/>
      <c r="AB261" s="663"/>
      <c r="AC261" s="663"/>
    </row>
    <row r="262" spans="1:68" ht="27" hidden="1" customHeight="1" x14ac:dyDescent="0.25">
      <c r="A262" s="54" t="s">
        <v>440</v>
      </c>
      <c r="B262" s="54" t="s">
        <v>441</v>
      </c>
      <c r="C262" s="31">
        <v>4301011855</v>
      </c>
      <c r="D262" s="689">
        <v>4680115885837</v>
      </c>
      <c r="E262" s="690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443</v>
      </c>
      <c r="B263" s="54" t="s">
        <v>444</v>
      </c>
      <c r="C263" s="31">
        <v>4301011910</v>
      </c>
      <c r="D263" s="689">
        <v>4680115885806</v>
      </c>
      <c r="E263" s="690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1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443</v>
      </c>
      <c r="B264" s="54" t="s">
        <v>446</v>
      </c>
      <c r="C264" s="31">
        <v>4301011850</v>
      </c>
      <c r="D264" s="689">
        <v>4680115885806</v>
      </c>
      <c r="E264" s="690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IFERROR(IF(Y264=0,"",ROUNDUP(Y264/H264,0)*0.01898),"")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448</v>
      </c>
      <c r="B265" s="54" t="s">
        <v>449</v>
      </c>
      <c r="C265" s="31">
        <v>4301011853</v>
      </c>
      <c r="D265" s="689">
        <v>4680115885851</v>
      </c>
      <c r="E265" s="690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451</v>
      </c>
      <c r="B266" s="54" t="s">
        <v>452</v>
      </c>
      <c r="C266" s="31">
        <v>4301011852</v>
      </c>
      <c r="D266" s="689">
        <v>4680115885844</v>
      </c>
      <c r="E266" s="690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454</v>
      </c>
      <c r="B267" s="54" t="s">
        <v>455</v>
      </c>
      <c r="C267" s="31">
        <v>4301011851</v>
      </c>
      <c r="D267" s="689">
        <v>4680115885820</v>
      </c>
      <c r="E267" s="690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8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88</v>
      </c>
      <c r="Q268" s="674"/>
      <c r="R268" s="674"/>
      <c r="S268" s="674"/>
      <c r="T268" s="674"/>
      <c r="U268" s="674"/>
      <c r="V268" s="675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88</v>
      </c>
      <c r="Q269" s="674"/>
      <c r="R269" s="674"/>
      <c r="S269" s="674"/>
      <c r="T269" s="674"/>
      <c r="U269" s="674"/>
      <c r="V269" s="675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457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98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3"/>
      <c r="AB271" s="663"/>
      <c r="AC271" s="663"/>
    </row>
    <row r="272" spans="1:68" ht="37.5" hidden="1" customHeight="1" x14ac:dyDescent="0.25">
      <c r="A272" s="54" t="s">
        <v>458</v>
      </c>
      <c r="B272" s="54" t="s">
        <v>459</v>
      </c>
      <c r="C272" s="31">
        <v>4301011876</v>
      </c>
      <c r="D272" s="689">
        <v>4680115885707</v>
      </c>
      <c r="E272" s="690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0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88</v>
      </c>
      <c r="Q273" s="674"/>
      <c r="R273" s="674"/>
      <c r="S273" s="674"/>
      <c r="T273" s="674"/>
      <c r="U273" s="674"/>
      <c r="V273" s="675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88</v>
      </c>
      <c r="Q274" s="674"/>
      <c r="R274" s="674"/>
      <c r="S274" s="674"/>
      <c r="T274" s="674"/>
      <c r="U274" s="674"/>
      <c r="V274" s="675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461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3"/>
      <c r="AB276" s="663"/>
      <c r="AC276" s="663"/>
    </row>
    <row r="277" spans="1:68" ht="27" hidden="1" customHeight="1" x14ac:dyDescent="0.25">
      <c r="A277" s="54" t="s">
        <v>462</v>
      </c>
      <c r="B277" s="54" t="s">
        <v>463</v>
      </c>
      <c r="C277" s="31">
        <v>4301011223</v>
      </c>
      <c r="D277" s="689">
        <v>4607091383423</v>
      </c>
      <c r="E277" s="690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464</v>
      </c>
      <c r="B278" s="54" t="s">
        <v>465</v>
      </c>
      <c r="C278" s="31">
        <v>4301012099</v>
      </c>
      <c r="D278" s="689">
        <v>4680115885691</v>
      </c>
      <c r="E278" s="690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4301012098</v>
      </c>
      <c r="D279" s="689">
        <v>4680115885660</v>
      </c>
      <c r="E279" s="690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470</v>
      </c>
      <c r="B280" s="54" t="s">
        <v>471</v>
      </c>
      <c r="C280" s="31">
        <v>4301012176</v>
      </c>
      <c r="D280" s="689">
        <v>4680115886773</v>
      </c>
      <c r="E280" s="690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21" t="s">
        <v>472</v>
      </c>
      <c r="Q280" s="679"/>
      <c r="R280" s="679"/>
      <c r="S280" s="679"/>
      <c r="T280" s="680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88</v>
      </c>
      <c r="Q281" s="674"/>
      <c r="R281" s="674"/>
      <c r="S281" s="674"/>
      <c r="T281" s="674"/>
      <c r="U281" s="674"/>
      <c r="V281" s="675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88</v>
      </c>
      <c r="Q282" s="674"/>
      <c r="R282" s="674"/>
      <c r="S282" s="674"/>
      <c r="T282" s="674"/>
      <c r="U282" s="674"/>
      <c r="V282" s="675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474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3"/>
      <c r="AB284" s="663"/>
      <c r="AC284" s="663"/>
    </row>
    <row r="285" spans="1:68" ht="37.5" hidden="1" customHeight="1" x14ac:dyDescent="0.25">
      <c r="A285" s="54" t="s">
        <v>475</v>
      </c>
      <c r="B285" s="54" t="s">
        <v>476</v>
      </c>
      <c r="C285" s="31">
        <v>4301051940</v>
      </c>
      <c r="D285" s="689">
        <v>4680115881037</v>
      </c>
      <c r="E285" s="690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5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4301051893</v>
      </c>
      <c r="D286" s="689">
        <v>4680115886186</v>
      </c>
      <c r="E286" s="690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481</v>
      </c>
      <c r="B287" s="54" t="s">
        <v>482</v>
      </c>
      <c r="C287" s="31">
        <v>4301051795</v>
      </c>
      <c r="D287" s="689">
        <v>4680115881228</v>
      </c>
      <c r="E287" s="690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hidden="1" customHeight="1" x14ac:dyDescent="0.25">
      <c r="A288" s="54" t="s">
        <v>483</v>
      </c>
      <c r="B288" s="54" t="s">
        <v>484</v>
      </c>
      <c r="C288" s="31">
        <v>4301051388</v>
      </c>
      <c r="D288" s="689">
        <v>4680115881211</v>
      </c>
      <c r="E288" s="690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486</v>
      </c>
      <c r="B289" s="54" t="s">
        <v>487</v>
      </c>
      <c r="C289" s="31">
        <v>4301051386</v>
      </c>
      <c r="D289" s="689">
        <v>4680115881020</v>
      </c>
      <c r="E289" s="690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3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88</v>
      </c>
      <c r="Q290" s="674"/>
      <c r="R290" s="674"/>
      <c r="S290" s="674"/>
      <c r="T290" s="674"/>
      <c r="U290" s="674"/>
      <c r="V290" s="675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hidden="1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88</v>
      </c>
      <c r="Q291" s="674"/>
      <c r="R291" s="674"/>
      <c r="S291" s="674"/>
      <c r="T291" s="674"/>
      <c r="U291" s="674"/>
      <c r="V291" s="675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488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3"/>
      <c r="AB293" s="663"/>
      <c r="AC293" s="663"/>
    </row>
    <row r="294" spans="1:68" ht="27" hidden="1" customHeight="1" x14ac:dyDescent="0.25">
      <c r="A294" s="54" t="s">
        <v>489</v>
      </c>
      <c r="B294" s="54" t="s">
        <v>490</v>
      </c>
      <c r="C294" s="31">
        <v>4301011306</v>
      </c>
      <c r="D294" s="689">
        <v>4607091389296</v>
      </c>
      <c r="E294" s="690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88</v>
      </c>
      <c r="Q295" s="674"/>
      <c r="R295" s="674"/>
      <c r="S295" s="674"/>
      <c r="T295" s="674"/>
      <c r="U295" s="674"/>
      <c r="V295" s="675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88</v>
      </c>
      <c r="Q296" s="674"/>
      <c r="R296" s="674"/>
      <c r="S296" s="674"/>
      <c r="T296" s="674"/>
      <c r="U296" s="674"/>
      <c r="V296" s="675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149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3"/>
      <c r="AB297" s="663"/>
      <c r="AC297" s="663"/>
    </row>
    <row r="298" spans="1:68" ht="27" hidden="1" customHeight="1" x14ac:dyDescent="0.25">
      <c r="A298" s="54" t="s">
        <v>492</v>
      </c>
      <c r="B298" s="54" t="s">
        <v>493</v>
      </c>
      <c r="C298" s="31">
        <v>4301031307</v>
      </c>
      <c r="D298" s="689">
        <v>4680115880344</v>
      </c>
      <c r="E298" s="690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88</v>
      </c>
      <c r="Q299" s="674"/>
      <c r="R299" s="674"/>
      <c r="S299" s="674"/>
      <c r="T299" s="674"/>
      <c r="U299" s="674"/>
      <c r="V299" s="675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88</v>
      </c>
      <c r="Q300" s="674"/>
      <c r="R300" s="674"/>
      <c r="S300" s="674"/>
      <c r="T300" s="674"/>
      <c r="U300" s="674"/>
      <c r="V300" s="675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64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3"/>
      <c r="AB301" s="663"/>
      <c r="AC301" s="663"/>
    </row>
    <row r="302" spans="1:68" ht="27" hidden="1" customHeight="1" x14ac:dyDescent="0.25">
      <c r="A302" s="54" t="s">
        <v>495</v>
      </c>
      <c r="B302" s="54" t="s">
        <v>496</v>
      </c>
      <c r="C302" s="31">
        <v>4301051782</v>
      </c>
      <c r="D302" s="689">
        <v>4680115884618</v>
      </c>
      <c r="E302" s="690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88</v>
      </c>
      <c r="Q303" s="674"/>
      <c r="R303" s="674"/>
      <c r="S303" s="674"/>
      <c r="T303" s="674"/>
      <c r="U303" s="674"/>
      <c r="V303" s="675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88</v>
      </c>
      <c r="Q304" s="674"/>
      <c r="R304" s="674"/>
      <c r="S304" s="674"/>
      <c r="T304" s="674"/>
      <c r="U304" s="674"/>
      <c r="V304" s="675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498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64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3"/>
      <c r="AB306" s="663"/>
      <c r="AC306" s="663"/>
    </row>
    <row r="307" spans="1:68" ht="27" hidden="1" customHeight="1" x14ac:dyDescent="0.25">
      <c r="A307" s="54" t="s">
        <v>499</v>
      </c>
      <c r="B307" s="54" t="s">
        <v>500</v>
      </c>
      <c r="C307" s="31">
        <v>4301051277</v>
      </c>
      <c r="D307" s="689">
        <v>4680115880511</v>
      </c>
      <c r="E307" s="690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47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88</v>
      </c>
      <c r="Q308" s="674"/>
      <c r="R308" s="674"/>
      <c r="S308" s="674"/>
      <c r="T308" s="674"/>
      <c r="U308" s="674"/>
      <c r="V308" s="675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88</v>
      </c>
      <c r="Q309" s="674"/>
      <c r="R309" s="674"/>
      <c r="S309" s="674"/>
      <c r="T309" s="674"/>
      <c r="U309" s="674"/>
      <c r="V309" s="675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502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98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3"/>
      <c r="AB311" s="663"/>
      <c r="AC311" s="663"/>
    </row>
    <row r="312" spans="1:68" ht="27" hidden="1" customHeight="1" x14ac:dyDescent="0.25">
      <c r="A312" s="54" t="s">
        <v>503</v>
      </c>
      <c r="B312" s="54" t="s">
        <v>504</v>
      </c>
      <c r="C312" s="31">
        <v>4301011594</v>
      </c>
      <c r="D312" s="689">
        <v>4680115883413</v>
      </c>
      <c r="E312" s="690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81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88</v>
      </c>
      <c r="Q313" s="674"/>
      <c r="R313" s="674"/>
      <c r="S313" s="674"/>
      <c r="T313" s="674"/>
      <c r="U313" s="674"/>
      <c r="V313" s="675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88</v>
      </c>
      <c r="Q314" s="674"/>
      <c r="R314" s="674"/>
      <c r="S314" s="674"/>
      <c r="T314" s="674"/>
      <c r="U314" s="674"/>
      <c r="V314" s="675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149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3"/>
      <c r="AB315" s="663"/>
      <c r="AC315" s="663"/>
    </row>
    <row r="316" spans="1:68" ht="27" hidden="1" customHeight="1" x14ac:dyDescent="0.25">
      <c r="A316" s="54" t="s">
        <v>505</v>
      </c>
      <c r="B316" s="54" t="s">
        <v>506</v>
      </c>
      <c r="C316" s="31">
        <v>4301031305</v>
      </c>
      <c r="D316" s="689">
        <v>4607091389845</v>
      </c>
      <c r="E316" s="690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4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508</v>
      </c>
      <c r="B317" s="54" t="s">
        <v>509</v>
      </c>
      <c r="C317" s="31">
        <v>4301031306</v>
      </c>
      <c r="D317" s="689">
        <v>4680115882881</v>
      </c>
      <c r="E317" s="690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88</v>
      </c>
      <c r="Q318" s="674"/>
      <c r="R318" s="674"/>
      <c r="S318" s="674"/>
      <c r="T318" s="674"/>
      <c r="U318" s="674"/>
      <c r="V318" s="675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hidden="1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88</v>
      </c>
      <c r="Q319" s="674"/>
      <c r="R319" s="674"/>
      <c r="S319" s="674"/>
      <c r="T319" s="674"/>
      <c r="U319" s="674"/>
      <c r="V319" s="675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hidden="1" customHeight="1" x14ac:dyDescent="0.25">
      <c r="A320" s="685" t="s">
        <v>510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98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3"/>
      <c r="AB321" s="663"/>
      <c r="AC321" s="663"/>
    </row>
    <row r="322" spans="1:68" ht="27" hidden="1" customHeight="1" x14ac:dyDescent="0.25">
      <c r="A322" s="54" t="s">
        <v>511</v>
      </c>
      <c r="B322" s="54" t="s">
        <v>512</v>
      </c>
      <c r="C322" s="31">
        <v>4301011662</v>
      </c>
      <c r="D322" s="689">
        <v>4680115883703</v>
      </c>
      <c r="E322" s="690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88</v>
      </c>
      <c r="Q323" s="674"/>
      <c r="R323" s="674"/>
      <c r="S323" s="674"/>
      <c r="T323" s="674"/>
      <c r="U323" s="674"/>
      <c r="V323" s="675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88</v>
      </c>
      <c r="Q324" s="674"/>
      <c r="R324" s="674"/>
      <c r="S324" s="674"/>
      <c r="T324" s="674"/>
      <c r="U324" s="674"/>
      <c r="V324" s="675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515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98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3"/>
      <c r="AB326" s="663"/>
      <c r="AC326" s="663"/>
    </row>
    <row r="327" spans="1:68" ht="27" hidden="1" customHeight="1" x14ac:dyDescent="0.25">
      <c r="A327" s="54" t="s">
        <v>516</v>
      </c>
      <c r="B327" s="54" t="s">
        <v>517</v>
      </c>
      <c r="C327" s="31">
        <v>4301012024</v>
      </c>
      <c r="D327" s="689">
        <v>4680115885615</v>
      </c>
      <c r="E327" s="690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4301011911</v>
      </c>
      <c r="D328" s="689">
        <v>4680115885554</v>
      </c>
      <c r="E328" s="690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728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519</v>
      </c>
      <c r="B329" s="54" t="s">
        <v>522</v>
      </c>
      <c r="C329" s="31">
        <v>4301012016</v>
      </c>
      <c r="D329" s="689">
        <v>4680115885554</v>
      </c>
      <c r="E329" s="690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69</v>
      </c>
      <c r="X329" s="667">
        <v>160</v>
      </c>
      <c r="Y329" s="668">
        <f t="shared" si="52"/>
        <v>162</v>
      </c>
      <c r="Z329" s="36">
        <f>IFERROR(IF(Y329=0,"",ROUNDUP(Y329/H329,0)*0.01898),"")</f>
        <v>0.28470000000000001</v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166.44444444444443</v>
      </c>
      <c r="BN329" s="64">
        <f t="shared" si="54"/>
        <v>168.52499999999998</v>
      </c>
      <c r="BO329" s="64">
        <f t="shared" si="55"/>
        <v>0.23148148148148145</v>
      </c>
      <c r="BP329" s="64">
        <f t="shared" si="56"/>
        <v>0.23437499999999997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89">
        <v>4680115885646</v>
      </c>
      <c r="E330" s="690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89">
        <v>4680115885622</v>
      </c>
      <c r="E331" s="690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530</v>
      </c>
      <c r="B332" s="54" t="s">
        <v>531</v>
      </c>
      <c r="C332" s="31">
        <v>4301011859</v>
      </c>
      <c r="D332" s="689">
        <v>4680115885608</v>
      </c>
      <c r="E332" s="690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88</v>
      </c>
      <c r="Q333" s="674"/>
      <c r="R333" s="674"/>
      <c r="S333" s="674"/>
      <c r="T333" s="674"/>
      <c r="U333" s="674"/>
      <c r="V333" s="675"/>
      <c r="W333" s="37" t="s">
        <v>89</v>
      </c>
      <c r="X333" s="669">
        <f>IFERROR(X327/H327,"0")+IFERROR(X328/H328,"0")+IFERROR(X329/H329,"0")+IFERROR(X330/H330,"0")+IFERROR(X331/H331,"0")+IFERROR(X332/H332,"0")</f>
        <v>14.814814814814813</v>
      </c>
      <c r="Y333" s="669">
        <f>IFERROR(Y327/H327,"0")+IFERROR(Y328/H328,"0")+IFERROR(Y329/H329,"0")+IFERROR(Y330/H330,"0")+IFERROR(Y331/H331,"0")+IFERROR(Y332/H332,"0")</f>
        <v>14.999999999999998</v>
      </c>
      <c r="Z333" s="669">
        <f>IFERROR(IF(Z327="",0,Z327),"0")+IFERROR(IF(Z328="",0,Z328),"0")+IFERROR(IF(Z329="",0,Z329),"0")+IFERROR(IF(Z330="",0,Z330),"0")+IFERROR(IF(Z331="",0,Z331),"0")+IFERROR(IF(Z332="",0,Z332),"0")</f>
        <v>0.28470000000000001</v>
      </c>
      <c r="AA333" s="670"/>
      <c r="AB333" s="670"/>
      <c r="AC333" s="670"/>
    </row>
    <row r="334" spans="1:68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88</v>
      </c>
      <c r="Q334" s="674"/>
      <c r="R334" s="674"/>
      <c r="S334" s="674"/>
      <c r="T334" s="674"/>
      <c r="U334" s="674"/>
      <c r="V334" s="675"/>
      <c r="W334" s="37" t="s">
        <v>69</v>
      </c>
      <c r="X334" s="669">
        <f>IFERROR(SUM(X327:X332),"0")</f>
        <v>160</v>
      </c>
      <c r="Y334" s="669">
        <f>IFERROR(SUM(Y327:Y332),"0")</f>
        <v>162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149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89">
        <v>4607091387193</v>
      </c>
      <c r="E336" s="690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69</v>
      </c>
      <c r="X336" s="667">
        <v>100</v>
      </c>
      <c r="Y336" s="668">
        <f>IFERROR(IF(X336="",0,CEILING((X336/$H336),1)*$H336),"")</f>
        <v>100.80000000000001</v>
      </c>
      <c r="Z336" s="36">
        <f>IFERROR(IF(Y336=0,"",ROUNDUP(Y336/H336,0)*0.00902),"")</f>
        <v>0.21648000000000001</v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106.42857142857143</v>
      </c>
      <c r="BN336" s="64">
        <f>IFERROR(Y336*I336/H336,"0")</f>
        <v>107.28</v>
      </c>
      <c r="BO336" s="64">
        <f>IFERROR(1/J336*(X336/H336),"0")</f>
        <v>0.18037518037518038</v>
      </c>
      <c r="BP336" s="64">
        <f>IFERROR(1/J336*(Y336/H336),"0")</f>
        <v>0.18181818181818182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89">
        <v>4607091387230</v>
      </c>
      <c r="E337" s="690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69</v>
      </c>
      <c r="X337" s="667">
        <v>80</v>
      </c>
      <c r="Y337" s="668">
        <f>IFERROR(IF(X337="",0,CEILING((X337/$H337),1)*$H337),"")</f>
        <v>84</v>
      </c>
      <c r="Z337" s="36">
        <f>IFERROR(IF(Y337=0,"",ROUNDUP(Y337/H337,0)*0.00902),"")</f>
        <v>0.1804</v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85.142857142857125</v>
      </c>
      <c r="BN337" s="64">
        <f>IFERROR(Y337*I337/H337,"0")</f>
        <v>89.399999999999991</v>
      </c>
      <c r="BO337" s="64">
        <f>IFERROR(1/J337*(X337/H337),"0")</f>
        <v>0.14430014430014429</v>
      </c>
      <c r="BP337" s="64">
        <f>IFERROR(1/J337*(Y337/H337),"0")</f>
        <v>0.15151515151515152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89">
        <v>4607091387292</v>
      </c>
      <c r="E338" s="690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89">
        <v>4607091387285</v>
      </c>
      <c r="E339" s="690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88</v>
      </c>
      <c r="Q340" s="674"/>
      <c r="R340" s="674"/>
      <c r="S340" s="674"/>
      <c r="T340" s="674"/>
      <c r="U340" s="674"/>
      <c r="V340" s="675"/>
      <c r="W340" s="37" t="s">
        <v>89</v>
      </c>
      <c r="X340" s="669">
        <f>IFERROR(X336/H336,"0")+IFERROR(X337/H337,"0")+IFERROR(X338/H338,"0")+IFERROR(X339/H339,"0")</f>
        <v>42.857142857142861</v>
      </c>
      <c r="Y340" s="669">
        <f>IFERROR(Y336/H336,"0")+IFERROR(Y337/H337,"0")+IFERROR(Y338/H338,"0")+IFERROR(Y339/H339,"0")</f>
        <v>44</v>
      </c>
      <c r="Z340" s="669">
        <f>IFERROR(IF(Z336="",0,Z336),"0")+IFERROR(IF(Z337="",0,Z337),"0")+IFERROR(IF(Z338="",0,Z338),"0")+IFERROR(IF(Z339="",0,Z339),"0")</f>
        <v>0.39688000000000001</v>
      </c>
      <c r="AA340" s="670"/>
      <c r="AB340" s="670"/>
      <c r="AC340" s="670"/>
    </row>
    <row r="341" spans="1:68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88</v>
      </c>
      <c r="Q341" s="674"/>
      <c r="R341" s="674"/>
      <c r="S341" s="674"/>
      <c r="T341" s="674"/>
      <c r="U341" s="674"/>
      <c r="V341" s="675"/>
      <c r="W341" s="37" t="s">
        <v>69</v>
      </c>
      <c r="X341" s="669">
        <f>IFERROR(SUM(X336:X339),"0")</f>
        <v>180</v>
      </c>
      <c r="Y341" s="669">
        <f>IFERROR(SUM(Y336:Y339),"0")</f>
        <v>184.8</v>
      </c>
      <c r="Z341" s="37"/>
      <c r="AA341" s="670"/>
      <c r="AB341" s="670"/>
      <c r="AC341" s="670"/>
    </row>
    <row r="342" spans="1:68" ht="14.25" hidden="1" customHeight="1" x14ac:dyDescent="0.25">
      <c r="A342" s="676" t="s">
        <v>64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89">
        <v>4607091387766</v>
      </c>
      <c r="E343" s="690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69</v>
      </c>
      <c r="X343" s="667">
        <v>1200</v>
      </c>
      <c r="Y343" s="668">
        <f>IFERROR(IF(X343="",0,CEILING((X343/$H343),1)*$H343),"")</f>
        <v>1201.2</v>
      </c>
      <c r="Z343" s="36">
        <f>IFERROR(IF(Y343=0,"",ROUNDUP(Y343/H343,0)*0.01898),"")</f>
        <v>2.92292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1278.9230769230769</v>
      </c>
      <c r="BN343" s="64">
        <f>IFERROR(Y343*I343/H343,"0")</f>
        <v>1280.2020000000002</v>
      </c>
      <c r="BO343" s="64">
        <f>IFERROR(1/J343*(X343/H343),"0")</f>
        <v>2.4038461538461537</v>
      </c>
      <c r="BP343" s="64">
        <f>IFERROR(1/J343*(Y343/H343),"0")</f>
        <v>2.40625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89">
        <v>4607091387957</v>
      </c>
      <c r="E344" s="690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89">
        <v>4607091387964</v>
      </c>
      <c r="E345" s="690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552</v>
      </c>
      <c r="B346" s="54" t="s">
        <v>553</v>
      </c>
      <c r="C346" s="31">
        <v>4301051734</v>
      </c>
      <c r="D346" s="689">
        <v>4680115884588</v>
      </c>
      <c r="E346" s="690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89">
        <v>4607091387513</v>
      </c>
      <c r="E347" s="690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8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88</v>
      </c>
      <c r="Q348" s="674"/>
      <c r="R348" s="674"/>
      <c r="S348" s="674"/>
      <c r="T348" s="674"/>
      <c r="U348" s="674"/>
      <c r="V348" s="675"/>
      <c r="W348" s="37" t="s">
        <v>89</v>
      </c>
      <c r="X348" s="669">
        <f>IFERROR(X343/H343,"0")+IFERROR(X344/H344,"0")+IFERROR(X345/H345,"0")+IFERROR(X346/H346,"0")+IFERROR(X347/H347,"0")</f>
        <v>153.84615384615384</v>
      </c>
      <c r="Y348" s="669">
        <f>IFERROR(Y343/H343,"0")+IFERROR(Y344/H344,"0")+IFERROR(Y345/H345,"0")+IFERROR(Y346/H346,"0")+IFERROR(Y347/H347,"0")</f>
        <v>154</v>
      </c>
      <c r="Z348" s="669">
        <f>IFERROR(IF(Z343="",0,Z343),"0")+IFERROR(IF(Z344="",0,Z344),"0")+IFERROR(IF(Z345="",0,Z345),"0")+IFERROR(IF(Z346="",0,Z346),"0")+IFERROR(IF(Z347="",0,Z347),"0")</f>
        <v>2.92292</v>
      </c>
      <c r="AA348" s="670"/>
      <c r="AB348" s="670"/>
      <c r="AC348" s="670"/>
    </row>
    <row r="349" spans="1:68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88</v>
      </c>
      <c r="Q349" s="674"/>
      <c r="R349" s="674"/>
      <c r="S349" s="674"/>
      <c r="T349" s="674"/>
      <c r="U349" s="674"/>
      <c r="V349" s="675"/>
      <c r="W349" s="37" t="s">
        <v>69</v>
      </c>
      <c r="X349" s="669">
        <f>IFERROR(SUM(X343:X347),"0")</f>
        <v>1200</v>
      </c>
      <c r="Y349" s="669">
        <f>IFERROR(SUM(Y343:Y347),"0")</f>
        <v>1201.2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175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3"/>
      <c r="AB350" s="663"/>
      <c r="AC350" s="663"/>
    </row>
    <row r="351" spans="1:68" ht="27" hidden="1" customHeight="1" x14ac:dyDescent="0.25">
      <c r="A351" s="54" t="s">
        <v>558</v>
      </c>
      <c r="B351" s="54" t="s">
        <v>559</v>
      </c>
      <c r="C351" s="31">
        <v>4301060387</v>
      </c>
      <c r="D351" s="689">
        <v>4607091380880</v>
      </c>
      <c r="E351" s="690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561</v>
      </c>
      <c r="B352" s="54" t="s">
        <v>562</v>
      </c>
      <c r="C352" s="31">
        <v>4301060406</v>
      </c>
      <c r="D352" s="689">
        <v>4607091384482</v>
      </c>
      <c r="E352" s="690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80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69</v>
      </c>
      <c r="X352" s="667">
        <v>0</v>
      </c>
      <c r="Y352" s="668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16.5" hidden="1" customHeight="1" x14ac:dyDescent="0.25">
      <c r="A353" s="54" t="s">
        <v>564</v>
      </c>
      <c r="B353" s="54" t="s">
        <v>565</v>
      </c>
      <c r="C353" s="31">
        <v>4301060484</v>
      </c>
      <c r="D353" s="689">
        <v>4607091380897</v>
      </c>
      <c r="E353" s="690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88</v>
      </c>
      <c r="Q354" s="674"/>
      <c r="R354" s="674"/>
      <c r="S354" s="674"/>
      <c r="T354" s="674"/>
      <c r="U354" s="674"/>
      <c r="V354" s="675"/>
      <c r="W354" s="37" t="s">
        <v>89</v>
      </c>
      <c r="X354" s="669">
        <f>IFERROR(X351/H351,"0")+IFERROR(X352/H352,"0")+IFERROR(X353/H353,"0")</f>
        <v>0</v>
      </c>
      <c r="Y354" s="669">
        <f>IFERROR(Y351/H351,"0")+IFERROR(Y352/H352,"0")+IFERROR(Y353/H353,"0")</f>
        <v>0</v>
      </c>
      <c r="Z354" s="669">
        <f>IFERROR(IF(Z351="",0,Z351),"0")+IFERROR(IF(Z352="",0,Z352),"0")+IFERROR(IF(Z353="",0,Z353),"0")</f>
        <v>0</v>
      </c>
      <c r="AA354" s="670"/>
      <c r="AB354" s="670"/>
      <c r="AC354" s="670"/>
    </row>
    <row r="355" spans="1:68" hidden="1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88</v>
      </c>
      <c r="Q355" s="674"/>
      <c r="R355" s="674"/>
      <c r="S355" s="674"/>
      <c r="T355" s="674"/>
      <c r="U355" s="674"/>
      <c r="V355" s="675"/>
      <c r="W355" s="37" t="s">
        <v>69</v>
      </c>
      <c r="X355" s="669">
        <f>IFERROR(SUM(X351:X353),"0")</f>
        <v>0</v>
      </c>
      <c r="Y355" s="669">
        <f>IFERROR(SUM(Y351:Y353),"0")</f>
        <v>0</v>
      </c>
      <c r="Z355" s="37"/>
      <c r="AA355" s="670"/>
      <c r="AB355" s="670"/>
      <c r="AC355" s="670"/>
    </row>
    <row r="356" spans="1:68" ht="14.25" hidden="1" customHeight="1" x14ac:dyDescent="0.25">
      <c r="A356" s="676" t="s">
        <v>90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3"/>
      <c r="AB356" s="663"/>
      <c r="AC356" s="663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89">
        <v>4680115886476</v>
      </c>
      <c r="E357" s="690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22" t="s">
        <v>569</v>
      </c>
      <c r="Q357" s="679"/>
      <c r="R357" s="679"/>
      <c r="S357" s="679"/>
      <c r="T357" s="680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89">
        <v>4607091388374</v>
      </c>
      <c r="E358" s="690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12" t="s">
        <v>573</v>
      </c>
      <c r="Q358" s="679"/>
      <c r="R358" s="679"/>
      <c r="S358" s="679"/>
      <c r="T358" s="680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4301032015</v>
      </c>
      <c r="D359" s="689">
        <v>4607091383102</v>
      </c>
      <c r="E359" s="690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5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578</v>
      </c>
      <c r="B360" s="54" t="s">
        <v>579</v>
      </c>
      <c r="C360" s="31">
        <v>4301030233</v>
      </c>
      <c r="D360" s="689">
        <v>4607091388404</v>
      </c>
      <c r="E360" s="690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88</v>
      </c>
      <c r="Q361" s="674"/>
      <c r="R361" s="674"/>
      <c r="S361" s="674"/>
      <c r="T361" s="674"/>
      <c r="U361" s="674"/>
      <c r="V361" s="675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hidden="1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88</v>
      </c>
      <c r="Q362" s="674"/>
      <c r="R362" s="674"/>
      <c r="S362" s="674"/>
      <c r="T362" s="674"/>
      <c r="U362" s="674"/>
      <c r="V362" s="675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hidden="1" customHeight="1" x14ac:dyDescent="0.25">
      <c r="A363" s="676" t="s">
        <v>580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3"/>
      <c r="AB363" s="663"/>
      <c r="AC363" s="663"/>
    </row>
    <row r="364" spans="1:68" ht="16.5" hidden="1" customHeight="1" x14ac:dyDescent="0.25">
      <c r="A364" s="54" t="s">
        <v>581</v>
      </c>
      <c r="B364" s="54" t="s">
        <v>582</v>
      </c>
      <c r="C364" s="31">
        <v>4301180007</v>
      </c>
      <c r="D364" s="689">
        <v>4680115881808</v>
      </c>
      <c r="E364" s="690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89">
        <v>4680115881822</v>
      </c>
      <c r="E365" s="690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8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587</v>
      </c>
      <c r="B366" s="54" t="s">
        <v>588</v>
      </c>
      <c r="C366" s="31">
        <v>4301180001</v>
      </c>
      <c r="D366" s="689">
        <v>4680115880016</v>
      </c>
      <c r="E366" s="690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88</v>
      </c>
      <c r="Q367" s="674"/>
      <c r="R367" s="674"/>
      <c r="S367" s="674"/>
      <c r="T367" s="674"/>
      <c r="U367" s="674"/>
      <c r="V367" s="675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hidden="1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88</v>
      </c>
      <c r="Q368" s="674"/>
      <c r="R368" s="674"/>
      <c r="S368" s="674"/>
      <c r="T368" s="674"/>
      <c r="U368" s="674"/>
      <c r="V368" s="675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589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149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3"/>
      <c r="AB370" s="663"/>
      <c r="AC370" s="663"/>
    </row>
    <row r="371" spans="1:68" ht="27" hidden="1" customHeight="1" x14ac:dyDescent="0.25">
      <c r="A371" s="54" t="s">
        <v>590</v>
      </c>
      <c r="B371" s="54" t="s">
        <v>591</v>
      </c>
      <c r="C371" s="31">
        <v>4301031066</v>
      </c>
      <c r="D371" s="689">
        <v>4607091383836</v>
      </c>
      <c r="E371" s="690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4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88</v>
      </c>
      <c r="Q372" s="674"/>
      <c r="R372" s="674"/>
      <c r="S372" s="674"/>
      <c r="T372" s="674"/>
      <c r="U372" s="674"/>
      <c r="V372" s="675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hidden="1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88</v>
      </c>
      <c r="Q373" s="674"/>
      <c r="R373" s="674"/>
      <c r="S373" s="674"/>
      <c r="T373" s="674"/>
      <c r="U373" s="674"/>
      <c r="V373" s="675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hidden="1" customHeight="1" x14ac:dyDescent="0.25">
      <c r="A374" s="676" t="s">
        <v>64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89">
        <v>4607091387919</v>
      </c>
      <c r="E375" s="690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10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69</v>
      </c>
      <c r="X375" s="667">
        <v>100</v>
      </c>
      <c r="Y375" s="668">
        <f>IFERROR(IF(X375="",0,CEILING((X375/$H375),1)*$H375),"")</f>
        <v>105.3</v>
      </c>
      <c r="Z375" s="36">
        <f>IFERROR(IF(Y375=0,"",ROUNDUP(Y375/H375,0)*0.01898),"")</f>
        <v>0.24674000000000001</v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106.4074074074074</v>
      </c>
      <c r="BN375" s="64">
        <f>IFERROR(Y375*I375/H375,"0")</f>
        <v>112.047</v>
      </c>
      <c r="BO375" s="64">
        <f>IFERROR(1/J375*(X375/H375),"0")</f>
        <v>0.19290123456790123</v>
      </c>
      <c r="BP375" s="64">
        <f>IFERROR(1/J375*(Y375/H375),"0")</f>
        <v>0.203125</v>
      </c>
    </row>
    <row r="376" spans="1:68" ht="27" hidden="1" customHeight="1" x14ac:dyDescent="0.25">
      <c r="A376" s="54" t="s">
        <v>596</v>
      </c>
      <c r="B376" s="54" t="s">
        <v>597</v>
      </c>
      <c r="C376" s="31">
        <v>4301051461</v>
      </c>
      <c r="D376" s="689">
        <v>4680115883604</v>
      </c>
      <c r="E376" s="690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2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69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hidden="1" customHeight="1" x14ac:dyDescent="0.25">
      <c r="A377" s="54" t="s">
        <v>599</v>
      </c>
      <c r="B377" s="54" t="s">
        <v>600</v>
      </c>
      <c r="C377" s="31">
        <v>4301051864</v>
      </c>
      <c r="D377" s="689">
        <v>4680115883567</v>
      </c>
      <c r="E377" s="690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69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88</v>
      </c>
      <c r="Q378" s="674"/>
      <c r="R378" s="674"/>
      <c r="S378" s="674"/>
      <c r="T378" s="674"/>
      <c r="U378" s="674"/>
      <c r="V378" s="675"/>
      <c r="W378" s="37" t="s">
        <v>89</v>
      </c>
      <c r="X378" s="669">
        <f>IFERROR(X375/H375,"0")+IFERROR(X376/H376,"0")+IFERROR(X377/H377,"0")</f>
        <v>12.345679012345679</v>
      </c>
      <c r="Y378" s="669">
        <f>IFERROR(Y375/H375,"0")+IFERROR(Y376/H376,"0")+IFERROR(Y377/H377,"0")</f>
        <v>13</v>
      </c>
      <c r="Z378" s="669">
        <f>IFERROR(IF(Z375="",0,Z375),"0")+IFERROR(IF(Z376="",0,Z376),"0")+IFERROR(IF(Z377="",0,Z377),"0")</f>
        <v>0.24674000000000001</v>
      </c>
      <c r="AA378" s="670"/>
      <c r="AB378" s="670"/>
      <c r="AC378" s="670"/>
    </row>
    <row r="379" spans="1:68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88</v>
      </c>
      <c r="Q379" s="674"/>
      <c r="R379" s="674"/>
      <c r="S379" s="674"/>
      <c r="T379" s="674"/>
      <c r="U379" s="674"/>
      <c r="V379" s="675"/>
      <c r="W379" s="37" t="s">
        <v>69</v>
      </c>
      <c r="X379" s="669">
        <f>IFERROR(SUM(X375:X377),"0")</f>
        <v>100</v>
      </c>
      <c r="Y379" s="669">
        <f>IFERROR(SUM(Y375:Y377),"0")</f>
        <v>105.3</v>
      </c>
      <c r="Z379" s="37"/>
      <c r="AA379" s="670"/>
      <c r="AB379" s="670"/>
      <c r="AC379" s="670"/>
    </row>
    <row r="380" spans="1:68" ht="27.75" hidden="1" customHeight="1" x14ac:dyDescent="0.2">
      <c r="A380" s="697" t="s">
        <v>602</v>
      </c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  <c r="L380" s="698"/>
      <c r="M380" s="698"/>
      <c r="N380" s="698"/>
      <c r="O380" s="698"/>
      <c r="P380" s="698"/>
      <c r="Q380" s="698"/>
      <c r="R380" s="698"/>
      <c r="S380" s="698"/>
      <c r="T380" s="698"/>
      <c r="U380" s="698"/>
      <c r="V380" s="698"/>
      <c r="W380" s="698"/>
      <c r="X380" s="698"/>
      <c r="Y380" s="698"/>
      <c r="Z380" s="698"/>
      <c r="AA380" s="48"/>
      <c r="AB380" s="48"/>
      <c r="AC380" s="48"/>
    </row>
    <row r="381" spans="1:68" ht="16.5" hidden="1" customHeight="1" x14ac:dyDescent="0.25">
      <c r="A381" s="685" t="s">
        <v>603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98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3"/>
      <c r="AB382" s="663"/>
      <c r="AC382" s="663"/>
    </row>
    <row r="383" spans="1:68" ht="27" hidden="1" customHeight="1" x14ac:dyDescent="0.25">
      <c r="A383" s="54" t="s">
        <v>604</v>
      </c>
      <c r="B383" s="54" t="s">
        <v>605</v>
      </c>
      <c r="C383" s="31">
        <v>4301011946</v>
      </c>
      <c r="D383" s="689">
        <v>4680115884847</v>
      </c>
      <c r="E383" s="690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9"/>
      <c r="R383" s="679"/>
      <c r="S383" s="679"/>
      <c r="T383" s="680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89">
        <v>4680115884847</v>
      </c>
      <c r="E384" s="690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7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9"/>
      <c r="R384" s="679"/>
      <c r="S384" s="679"/>
      <c r="T384" s="680"/>
      <c r="U384" s="34"/>
      <c r="V384" s="34"/>
      <c r="W384" s="35" t="s">
        <v>69</v>
      </c>
      <c r="X384" s="667">
        <v>150</v>
      </c>
      <c r="Y384" s="668">
        <f t="shared" si="57"/>
        <v>150</v>
      </c>
      <c r="Z384" s="36">
        <f>IFERROR(IF(Y384=0,"",ROUNDUP(Y384/H384,0)*0.02175),"")</f>
        <v>0.21749999999999997</v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154.80000000000001</v>
      </c>
      <c r="BN384" s="64">
        <f t="shared" si="59"/>
        <v>154.80000000000001</v>
      </c>
      <c r="BO384" s="64">
        <f t="shared" si="60"/>
        <v>0.20833333333333331</v>
      </c>
      <c r="BP384" s="64">
        <f t="shared" si="61"/>
        <v>0.20833333333333331</v>
      </c>
    </row>
    <row r="385" spans="1:68" ht="27" hidden="1" customHeight="1" x14ac:dyDescent="0.25">
      <c r="A385" s="54" t="s">
        <v>609</v>
      </c>
      <c r="B385" s="54" t="s">
        <v>610</v>
      </c>
      <c r="C385" s="31">
        <v>4301011947</v>
      </c>
      <c r="D385" s="689">
        <v>4680115884854</v>
      </c>
      <c r="E385" s="690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1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89">
        <v>4680115884854</v>
      </c>
      <c r="E386" s="690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69</v>
      </c>
      <c r="X386" s="667">
        <v>200</v>
      </c>
      <c r="Y386" s="668">
        <f t="shared" si="57"/>
        <v>210</v>
      </c>
      <c r="Z386" s="36">
        <f>IFERROR(IF(Y386=0,"",ROUNDUP(Y386/H386,0)*0.02175),"")</f>
        <v>0.30449999999999999</v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206.4</v>
      </c>
      <c r="BN386" s="64">
        <f t="shared" si="59"/>
        <v>216.72</v>
      </c>
      <c r="BO386" s="64">
        <f t="shared" si="60"/>
        <v>0.27777777777777779</v>
      </c>
      <c r="BP386" s="64">
        <f t="shared" si="61"/>
        <v>0.29166666666666663</v>
      </c>
    </row>
    <row r="387" spans="1:68" ht="27" hidden="1" customHeight="1" x14ac:dyDescent="0.25">
      <c r="A387" s="54" t="s">
        <v>613</v>
      </c>
      <c r="B387" s="54" t="s">
        <v>614</v>
      </c>
      <c r="C387" s="31">
        <v>4301011943</v>
      </c>
      <c r="D387" s="689">
        <v>4680115884830</v>
      </c>
      <c r="E387" s="690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7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9"/>
      <c r="R387" s="679"/>
      <c r="S387" s="679"/>
      <c r="T387" s="680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customHeight="1" x14ac:dyDescent="0.25">
      <c r="A388" s="54" t="s">
        <v>615</v>
      </c>
      <c r="B388" s="54" t="s">
        <v>616</v>
      </c>
      <c r="C388" s="31">
        <v>4301011832</v>
      </c>
      <c r="D388" s="689">
        <v>4607091383997</v>
      </c>
      <c r="E388" s="690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9"/>
      <c r="R388" s="679"/>
      <c r="S388" s="679"/>
      <c r="T388" s="680"/>
      <c r="U388" s="34"/>
      <c r="V388" s="34"/>
      <c r="W388" s="35" t="s">
        <v>69</v>
      </c>
      <c r="X388" s="667">
        <v>500</v>
      </c>
      <c r="Y388" s="668">
        <f t="shared" si="57"/>
        <v>510</v>
      </c>
      <c r="Z388" s="36">
        <f>IFERROR(IF(Y388=0,"",ROUNDUP(Y388/H388,0)*0.02175),"")</f>
        <v>0.73949999999999994</v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516</v>
      </c>
      <c r="BN388" s="64">
        <f t="shared" si="59"/>
        <v>526.32000000000005</v>
      </c>
      <c r="BO388" s="64">
        <f t="shared" si="60"/>
        <v>0.69444444444444442</v>
      </c>
      <c r="BP388" s="64">
        <f t="shared" si="61"/>
        <v>0.70833333333333326</v>
      </c>
    </row>
    <row r="389" spans="1:68" ht="37.5" hidden="1" customHeight="1" x14ac:dyDescent="0.25">
      <c r="A389" s="54" t="s">
        <v>613</v>
      </c>
      <c r="B389" s="54" t="s">
        <v>618</v>
      </c>
      <c r="C389" s="31">
        <v>4301011867</v>
      </c>
      <c r="D389" s="689">
        <v>4680115884830</v>
      </c>
      <c r="E389" s="690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IFERROR(IF(Y389=0,"",ROUNDUP(Y389/H389,0)*0.02175),"")</f>
        <v/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89">
        <v>4680115882638</v>
      </c>
      <c r="E390" s="690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623</v>
      </c>
      <c r="B391" s="54" t="s">
        <v>624</v>
      </c>
      <c r="C391" s="31">
        <v>4301011952</v>
      </c>
      <c r="D391" s="689">
        <v>4680115884922</v>
      </c>
      <c r="E391" s="690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hidden="1" customHeight="1" x14ac:dyDescent="0.25">
      <c r="A392" s="54" t="s">
        <v>625</v>
      </c>
      <c r="B392" s="54" t="s">
        <v>626</v>
      </c>
      <c r="C392" s="31">
        <v>4301011868</v>
      </c>
      <c r="D392" s="689">
        <v>4680115884861</v>
      </c>
      <c r="E392" s="690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88</v>
      </c>
      <c r="Q393" s="674"/>
      <c r="R393" s="674"/>
      <c r="S393" s="674"/>
      <c r="T393" s="674"/>
      <c r="U393" s="674"/>
      <c r="V393" s="675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56.666666666666671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58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1.2614999999999998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88</v>
      </c>
      <c r="Q394" s="674"/>
      <c r="R394" s="674"/>
      <c r="S394" s="674"/>
      <c r="T394" s="674"/>
      <c r="U394" s="674"/>
      <c r="V394" s="675"/>
      <c r="W394" s="37" t="s">
        <v>69</v>
      </c>
      <c r="X394" s="669">
        <f>IFERROR(SUM(X383:X392),"0")</f>
        <v>850</v>
      </c>
      <c r="Y394" s="669">
        <f>IFERROR(SUM(Y383:Y392),"0")</f>
        <v>870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138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89">
        <v>4607091383980</v>
      </c>
      <c r="E396" s="690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69</v>
      </c>
      <c r="X396" s="667">
        <v>800</v>
      </c>
      <c r="Y396" s="668">
        <f>IFERROR(IF(X396="",0,CEILING((X396/$H396),1)*$H396),"")</f>
        <v>810</v>
      </c>
      <c r="Z396" s="36">
        <f>IFERROR(IF(Y396=0,"",ROUNDUP(Y396/H396,0)*0.02175),"")</f>
        <v>1.1744999999999999</v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825.6</v>
      </c>
      <c r="BN396" s="64">
        <f>IFERROR(Y396*I396/H396,"0")</f>
        <v>835.92000000000007</v>
      </c>
      <c r="BO396" s="64">
        <f>IFERROR(1/J396*(X396/H396),"0")</f>
        <v>1.1111111111111112</v>
      </c>
      <c r="BP396" s="64">
        <f>IFERROR(1/J396*(Y396/H396),"0")</f>
        <v>1.125</v>
      </c>
    </row>
    <row r="397" spans="1:68" ht="16.5" hidden="1" customHeight="1" x14ac:dyDescent="0.25">
      <c r="A397" s="54" t="s">
        <v>630</v>
      </c>
      <c r="B397" s="54" t="s">
        <v>631</v>
      </c>
      <c r="C397" s="31">
        <v>4301020179</v>
      </c>
      <c r="D397" s="689">
        <v>4607091384178</v>
      </c>
      <c r="E397" s="690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88</v>
      </c>
      <c r="Q398" s="674"/>
      <c r="R398" s="674"/>
      <c r="S398" s="674"/>
      <c r="T398" s="674"/>
      <c r="U398" s="674"/>
      <c r="V398" s="675"/>
      <c r="W398" s="37" t="s">
        <v>89</v>
      </c>
      <c r="X398" s="669">
        <f>IFERROR(X396/H396,"0")+IFERROR(X397/H397,"0")</f>
        <v>53.333333333333336</v>
      </c>
      <c r="Y398" s="669">
        <f>IFERROR(Y396/H396,"0")+IFERROR(Y397/H397,"0")</f>
        <v>54</v>
      </c>
      <c r="Z398" s="669">
        <f>IFERROR(IF(Z396="",0,Z396),"0")+IFERROR(IF(Z397="",0,Z397),"0")</f>
        <v>1.1744999999999999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88</v>
      </c>
      <c r="Q399" s="674"/>
      <c r="R399" s="674"/>
      <c r="S399" s="674"/>
      <c r="T399" s="674"/>
      <c r="U399" s="674"/>
      <c r="V399" s="675"/>
      <c r="W399" s="37" t="s">
        <v>69</v>
      </c>
      <c r="X399" s="669">
        <f>IFERROR(SUM(X396:X397),"0")</f>
        <v>800</v>
      </c>
      <c r="Y399" s="669">
        <f>IFERROR(SUM(Y396:Y397),"0")</f>
        <v>810</v>
      </c>
      <c r="Z399" s="37"/>
      <c r="AA399" s="670"/>
      <c r="AB399" s="670"/>
      <c r="AC399" s="670"/>
    </row>
    <row r="400" spans="1:68" ht="14.25" hidden="1" customHeight="1" x14ac:dyDescent="0.25">
      <c r="A400" s="676" t="s">
        <v>64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3"/>
      <c r="AB400" s="663"/>
      <c r="AC400" s="663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89">
        <v>4607091383928</v>
      </c>
      <c r="E401" s="690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54" t="s">
        <v>634</v>
      </c>
      <c r="Q401" s="679"/>
      <c r="R401" s="679"/>
      <c r="S401" s="679"/>
      <c r="T401" s="680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636</v>
      </c>
      <c r="B402" s="54" t="s">
        <v>637</v>
      </c>
      <c r="C402" s="31">
        <v>4301051897</v>
      </c>
      <c r="D402" s="689">
        <v>4607091384260</v>
      </c>
      <c r="E402" s="690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76" t="s">
        <v>638</v>
      </c>
      <c r="Q402" s="679"/>
      <c r="R402" s="679"/>
      <c r="S402" s="679"/>
      <c r="T402" s="680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88</v>
      </c>
      <c r="Q403" s="674"/>
      <c r="R403" s="674"/>
      <c r="S403" s="674"/>
      <c r="T403" s="674"/>
      <c r="U403" s="674"/>
      <c r="V403" s="675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hidden="1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88</v>
      </c>
      <c r="Q404" s="674"/>
      <c r="R404" s="674"/>
      <c r="S404" s="674"/>
      <c r="T404" s="674"/>
      <c r="U404" s="674"/>
      <c r="V404" s="675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175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3"/>
      <c r="AB405" s="663"/>
      <c r="AC405" s="663"/>
    </row>
    <row r="406" spans="1:68" ht="27" hidden="1" customHeight="1" x14ac:dyDescent="0.25">
      <c r="A406" s="54" t="s">
        <v>640</v>
      </c>
      <c r="B406" s="54" t="s">
        <v>641</v>
      </c>
      <c r="C406" s="31">
        <v>4301060439</v>
      </c>
      <c r="D406" s="689">
        <v>4607091384673</v>
      </c>
      <c r="E406" s="690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32" t="s">
        <v>642</v>
      </c>
      <c r="Q406" s="679"/>
      <c r="R406" s="679"/>
      <c r="S406" s="679"/>
      <c r="T406" s="680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88</v>
      </c>
      <c r="Q407" s="674"/>
      <c r="R407" s="674"/>
      <c r="S407" s="674"/>
      <c r="T407" s="674"/>
      <c r="U407" s="674"/>
      <c r="V407" s="675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88</v>
      </c>
      <c r="Q408" s="674"/>
      <c r="R408" s="674"/>
      <c r="S408" s="674"/>
      <c r="T408" s="674"/>
      <c r="U408" s="674"/>
      <c r="V408" s="675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644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98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3"/>
      <c r="AB410" s="663"/>
      <c r="AC410" s="663"/>
    </row>
    <row r="411" spans="1:68" ht="27" hidden="1" customHeight="1" x14ac:dyDescent="0.25">
      <c r="A411" s="54" t="s">
        <v>645</v>
      </c>
      <c r="B411" s="54" t="s">
        <v>646</v>
      </c>
      <c r="C411" s="31">
        <v>4301011483</v>
      </c>
      <c r="D411" s="689">
        <v>4680115881907</v>
      </c>
      <c r="E411" s="690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0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645</v>
      </c>
      <c r="B412" s="54" t="s">
        <v>648</v>
      </c>
      <c r="C412" s="31">
        <v>4301011873</v>
      </c>
      <c r="D412" s="689">
        <v>4680115881907</v>
      </c>
      <c r="E412" s="690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8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650</v>
      </c>
      <c r="B413" s="54" t="s">
        <v>651</v>
      </c>
      <c r="C413" s="31">
        <v>4301011874</v>
      </c>
      <c r="D413" s="689">
        <v>4680115884892</v>
      </c>
      <c r="E413" s="690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4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hidden="1" customHeight="1" x14ac:dyDescent="0.25">
      <c r="A414" s="54" t="s">
        <v>653</v>
      </c>
      <c r="B414" s="54" t="s">
        <v>654</v>
      </c>
      <c r="C414" s="31">
        <v>4301011875</v>
      </c>
      <c r="D414" s="689">
        <v>4680115884885</v>
      </c>
      <c r="E414" s="690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8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89">
        <v>4680115884908</v>
      </c>
      <c r="E415" s="690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88</v>
      </c>
      <c r="Q416" s="674"/>
      <c r="R416" s="674"/>
      <c r="S416" s="674"/>
      <c r="T416" s="674"/>
      <c r="U416" s="674"/>
      <c r="V416" s="675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hidden="1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88</v>
      </c>
      <c r="Q417" s="674"/>
      <c r="R417" s="674"/>
      <c r="S417" s="674"/>
      <c r="T417" s="674"/>
      <c r="U417" s="674"/>
      <c r="V417" s="675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149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3"/>
      <c r="AB418" s="663"/>
      <c r="AC418" s="663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89">
        <v>4607091384802</v>
      </c>
      <c r="E419" s="690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79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88</v>
      </c>
      <c r="Q420" s="674"/>
      <c r="R420" s="674"/>
      <c r="S420" s="674"/>
      <c r="T420" s="674"/>
      <c r="U420" s="674"/>
      <c r="V420" s="675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88</v>
      </c>
      <c r="Q421" s="674"/>
      <c r="R421" s="674"/>
      <c r="S421" s="674"/>
      <c r="T421" s="674"/>
      <c r="U421" s="674"/>
      <c r="V421" s="675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64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3"/>
      <c r="AB422" s="663"/>
      <c r="AC422" s="663"/>
    </row>
    <row r="423" spans="1:68" ht="27" hidden="1" customHeight="1" x14ac:dyDescent="0.25">
      <c r="A423" s="54" t="s">
        <v>660</v>
      </c>
      <c r="B423" s="54" t="s">
        <v>661</v>
      </c>
      <c r="C423" s="31">
        <v>4301051899</v>
      </c>
      <c r="D423" s="689">
        <v>4607091384246</v>
      </c>
      <c r="E423" s="690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69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663</v>
      </c>
      <c r="B424" s="54" t="s">
        <v>664</v>
      </c>
      <c r="C424" s="31">
        <v>4301051297</v>
      </c>
      <c r="D424" s="689">
        <v>4607091384253</v>
      </c>
      <c r="E424" s="690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77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663</v>
      </c>
      <c r="B425" s="54" t="s">
        <v>666</v>
      </c>
      <c r="C425" s="31">
        <v>4301051660</v>
      </c>
      <c r="D425" s="689">
        <v>4607091384253</v>
      </c>
      <c r="E425" s="690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89">
        <v>4680115881969</v>
      </c>
      <c r="E426" s="690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88</v>
      </c>
      <c r="Q427" s="674"/>
      <c r="R427" s="674"/>
      <c r="S427" s="674"/>
      <c r="T427" s="674"/>
      <c r="U427" s="674"/>
      <c r="V427" s="675"/>
      <c r="W427" s="37" t="s">
        <v>89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hidden="1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88</v>
      </c>
      <c r="Q428" s="674"/>
      <c r="R428" s="674"/>
      <c r="S428" s="674"/>
      <c r="T428" s="674"/>
      <c r="U428" s="674"/>
      <c r="V428" s="675"/>
      <c r="W428" s="37" t="s">
        <v>69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175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3"/>
      <c r="AB429" s="663"/>
      <c r="AC429" s="663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89">
        <v>4607091389357</v>
      </c>
      <c r="E430" s="690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2" t="s">
        <v>672</v>
      </c>
      <c r="Q430" s="679"/>
      <c r="R430" s="679"/>
      <c r="S430" s="679"/>
      <c r="T430" s="680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88</v>
      </c>
      <c r="Q431" s="674"/>
      <c r="R431" s="674"/>
      <c r="S431" s="674"/>
      <c r="T431" s="674"/>
      <c r="U431" s="674"/>
      <c r="V431" s="675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88</v>
      </c>
      <c r="Q432" s="674"/>
      <c r="R432" s="674"/>
      <c r="S432" s="674"/>
      <c r="T432" s="674"/>
      <c r="U432" s="674"/>
      <c r="V432" s="675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7" t="s">
        <v>674</v>
      </c>
      <c r="B433" s="698"/>
      <c r="C433" s="698"/>
      <c r="D433" s="698"/>
      <c r="E433" s="698"/>
      <c r="F433" s="698"/>
      <c r="G433" s="698"/>
      <c r="H433" s="698"/>
      <c r="I433" s="698"/>
      <c r="J433" s="698"/>
      <c r="K433" s="698"/>
      <c r="L433" s="698"/>
      <c r="M433" s="698"/>
      <c r="N433" s="698"/>
      <c r="O433" s="698"/>
      <c r="P433" s="698"/>
      <c r="Q433" s="698"/>
      <c r="R433" s="698"/>
      <c r="S433" s="698"/>
      <c r="T433" s="698"/>
      <c r="U433" s="698"/>
      <c r="V433" s="698"/>
      <c r="W433" s="698"/>
      <c r="X433" s="698"/>
      <c r="Y433" s="698"/>
      <c r="Z433" s="698"/>
      <c r="AA433" s="48"/>
      <c r="AB433" s="48"/>
      <c r="AC433" s="48"/>
    </row>
    <row r="434" spans="1:68" ht="16.5" hidden="1" customHeight="1" x14ac:dyDescent="0.25">
      <c r="A434" s="685" t="s">
        <v>675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149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3"/>
      <c r="AB435" s="663"/>
      <c r="AC435" s="663"/>
    </row>
    <row r="436" spans="1:68" ht="27" hidden="1" customHeight="1" x14ac:dyDescent="0.25">
      <c r="A436" s="54" t="s">
        <v>676</v>
      </c>
      <c r="B436" s="54" t="s">
        <v>677</v>
      </c>
      <c r="C436" s="31">
        <v>4301031405</v>
      </c>
      <c r="D436" s="689">
        <v>4680115886100</v>
      </c>
      <c r="E436" s="690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28" t="s">
        <v>678</v>
      </c>
      <c r="Q436" s="679"/>
      <c r="R436" s="679"/>
      <c r="S436" s="679"/>
      <c r="T436" s="680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4301031382</v>
      </c>
      <c r="D437" s="689">
        <v>4680115886117</v>
      </c>
      <c r="E437" s="690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95" t="s">
        <v>682</v>
      </c>
      <c r="Q437" s="679"/>
      <c r="R437" s="679"/>
      <c r="S437" s="679"/>
      <c r="T437" s="680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4301031406</v>
      </c>
      <c r="D438" s="689">
        <v>4680115886117</v>
      </c>
      <c r="E438" s="690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8" t="s">
        <v>682</v>
      </c>
      <c r="Q438" s="679"/>
      <c r="R438" s="679"/>
      <c r="S438" s="679"/>
      <c r="T438" s="680"/>
      <c r="U438" s="34"/>
      <c r="V438" s="34"/>
      <c r="W438" s="35" t="s">
        <v>69</v>
      </c>
      <c r="X438" s="667">
        <v>20</v>
      </c>
      <c r="Y438" s="668">
        <f t="shared" si="62"/>
        <v>21.6</v>
      </c>
      <c r="Z438" s="36">
        <f>IFERROR(IF(Y438=0,"",ROUNDUP(Y438/H438,0)*0.00902),"")</f>
        <v>3.6080000000000001E-2</v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20.777777777777779</v>
      </c>
      <c r="BN438" s="64">
        <f t="shared" si="64"/>
        <v>22.44</v>
      </c>
      <c r="BO438" s="64">
        <f t="shared" si="65"/>
        <v>2.8058361391694722E-2</v>
      </c>
      <c r="BP438" s="64">
        <f t="shared" si="66"/>
        <v>3.0303030303030304E-2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89">
        <v>4680115886124</v>
      </c>
      <c r="E439" s="690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04" t="s">
        <v>687</v>
      </c>
      <c r="Q439" s="679"/>
      <c r="R439" s="679"/>
      <c r="S439" s="679"/>
      <c r="T439" s="680"/>
      <c r="U439" s="34"/>
      <c r="V439" s="34"/>
      <c r="W439" s="35" t="s">
        <v>69</v>
      </c>
      <c r="X439" s="667">
        <v>20</v>
      </c>
      <c r="Y439" s="668">
        <f t="shared" si="62"/>
        <v>21.6</v>
      </c>
      <c r="Z439" s="36">
        <f>IFERROR(IF(Y439=0,"",ROUNDUP(Y439/H439,0)*0.00902),"")</f>
        <v>3.6080000000000001E-2</v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20.777777777777779</v>
      </c>
      <c r="BN439" s="64">
        <f t="shared" si="64"/>
        <v>22.44</v>
      </c>
      <c r="BO439" s="64">
        <f t="shared" si="65"/>
        <v>2.8058361391694722E-2</v>
      </c>
      <c r="BP439" s="64">
        <f t="shared" si="66"/>
        <v>3.0303030303030304E-2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89">
        <v>4680115883147</v>
      </c>
      <c r="E440" s="690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9"/>
      <c r="R440" s="679"/>
      <c r="S440" s="679"/>
      <c r="T440" s="680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89">
        <v>4680115883147</v>
      </c>
      <c r="E441" s="690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7" t="s">
        <v>692</v>
      </c>
      <c r="Q441" s="679"/>
      <c r="R441" s="679"/>
      <c r="S441" s="679"/>
      <c r="T441" s="680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693</v>
      </c>
      <c r="B442" s="54" t="s">
        <v>694</v>
      </c>
      <c r="C442" s="31">
        <v>4301031362</v>
      </c>
      <c r="D442" s="689">
        <v>4607091384338</v>
      </c>
      <c r="E442" s="690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695</v>
      </c>
      <c r="B443" s="54" t="s">
        <v>696</v>
      </c>
      <c r="C443" s="31">
        <v>4301031361</v>
      </c>
      <c r="D443" s="689">
        <v>4607091389524</v>
      </c>
      <c r="E443" s="690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89">
        <v>4680115883161</v>
      </c>
      <c r="E444" s="690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4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9"/>
      <c r="R444" s="679"/>
      <c r="S444" s="679"/>
      <c r="T444" s="680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89">
        <v>4680115883161</v>
      </c>
      <c r="E445" s="690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692" t="s">
        <v>702</v>
      </c>
      <c r="Q445" s="679"/>
      <c r="R445" s="679"/>
      <c r="S445" s="679"/>
      <c r="T445" s="680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hidden="1" customHeight="1" x14ac:dyDescent="0.25">
      <c r="A446" s="54" t="s">
        <v>703</v>
      </c>
      <c r="B446" s="54" t="s">
        <v>704</v>
      </c>
      <c r="C446" s="31">
        <v>4301031358</v>
      </c>
      <c r="D446" s="689">
        <v>4607091389531</v>
      </c>
      <c r="E446" s="690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10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89">
        <v>4607091384345</v>
      </c>
      <c r="E447" s="690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88</v>
      </c>
      <c r="Q448" s="674"/>
      <c r="R448" s="674"/>
      <c r="S448" s="674"/>
      <c r="T448" s="674"/>
      <c r="U448" s="674"/>
      <c r="V448" s="675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7.4074074074074066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8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7.2160000000000002E-2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88</v>
      </c>
      <c r="Q449" s="674"/>
      <c r="R449" s="674"/>
      <c r="S449" s="674"/>
      <c r="T449" s="674"/>
      <c r="U449" s="674"/>
      <c r="V449" s="675"/>
      <c r="W449" s="37" t="s">
        <v>69</v>
      </c>
      <c r="X449" s="669">
        <f>IFERROR(SUM(X436:X447),"0")</f>
        <v>40</v>
      </c>
      <c r="Y449" s="669">
        <f>IFERROR(SUM(Y436:Y447),"0")</f>
        <v>43.2</v>
      </c>
      <c r="Z449" s="37"/>
      <c r="AA449" s="670"/>
      <c r="AB449" s="670"/>
      <c r="AC449" s="670"/>
    </row>
    <row r="450" spans="1:68" ht="14.25" hidden="1" customHeight="1" x14ac:dyDescent="0.25">
      <c r="A450" s="676" t="s">
        <v>64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3"/>
      <c r="AB450" s="663"/>
      <c r="AC450" s="663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89">
        <v>4607091384352</v>
      </c>
      <c r="E451" s="690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89">
        <v>4607091389654</v>
      </c>
      <c r="E452" s="690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88</v>
      </c>
      <c r="Q453" s="674"/>
      <c r="R453" s="674"/>
      <c r="S453" s="674"/>
      <c r="T453" s="674"/>
      <c r="U453" s="674"/>
      <c r="V453" s="675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88</v>
      </c>
      <c r="Q454" s="674"/>
      <c r="R454" s="674"/>
      <c r="S454" s="674"/>
      <c r="T454" s="674"/>
      <c r="U454" s="674"/>
      <c r="V454" s="675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714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138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3"/>
      <c r="AB456" s="663"/>
      <c r="AC456" s="663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89">
        <v>4680115885240</v>
      </c>
      <c r="E457" s="690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89">
        <v>4607091389364</v>
      </c>
      <c r="E458" s="690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6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88</v>
      </c>
      <c r="Q459" s="674"/>
      <c r="R459" s="674"/>
      <c r="S459" s="674"/>
      <c r="T459" s="674"/>
      <c r="U459" s="674"/>
      <c r="V459" s="675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88</v>
      </c>
      <c r="Q460" s="674"/>
      <c r="R460" s="674"/>
      <c r="S460" s="674"/>
      <c r="T460" s="674"/>
      <c r="U460" s="674"/>
      <c r="V460" s="675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149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89">
        <v>4680115886094</v>
      </c>
      <c r="E462" s="690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2" t="s">
        <v>723</v>
      </c>
      <c r="Q462" s="679"/>
      <c r="R462" s="679"/>
      <c r="S462" s="679"/>
      <c r="T462" s="680"/>
      <c r="U462" s="34"/>
      <c r="V462" s="34"/>
      <c r="W462" s="35" t="s">
        <v>69</v>
      </c>
      <c r="X462" s="667">
        <v>15</v>
      </c>
      <c r="Y462" s="668">
        <f>IFERROR(IF(X462="",0,CEILING((X462/$H462),1)*$H462),"")</f>
        <v>16.200000000000003</v>
      </c>
      <c r="Z462" s="36">
        <f>IFERROR(IF(Y462=0,"",ROUNDUP(Y462/H462,0)*0.00902),"")</f>
        <v>2.7060000000000001E-2</v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15.583333333333334</v>
      </c>
      <c r="BN462" s="64">
        <f>IFERROR(Y462*I462/H462,"0")</f>
        <v>16.830000000000002</v>
      </c>
      <c r="BO462" s="64">
        <f>IFERROR(1/J462*(X462/H462),"0")</f>
        <v>2.1043771043771045E-2</v>
      </c>
      <c r="BP462" s="64">
        <f>IFERROR(1/J462*(Y462/H462),"0")</f>
        <v>2.2727272727272731E-2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89">
        <v>4607091389425</v>
      </c>
      <c r="E463" s="690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89">
        <v>4680115880771</v>
      </c>
      <c r="E464" s="690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74" t="s">
        <v>730</v>
      </c>
      <c r="Q464" s="679"/>
      <c r="R464" s="679"/>
      <c r="S464" s="679"/>
      <c r="T464" s="680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732</v>
      </c>
      <c r="B465" s="54" t="s">
        <v>733</v>
      </c>
      <c r="C465" s="31">
        <v>4301031359</v>
      </c>
      <c r="D465" s="689">
        <v>4607091389500</v>
      </c>
      <c r="E465" s="690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88</v>
      </c>
      <c r="Q466" s="674"/>
      <c r="R466" s="674"/>
      <c r="S466" s="674"/>
      <c r="T466" s="674"/>
      <c r="U466" s="674"/>
      <c r="V466" s="675"/>
      <c r="W466" s="37" t="s">
        <v>89</v>
      </c>
      <c r="X466" s="669">
        <f>IFERROR(X462/H462,"0")+IFERROR(X463/H463,"0")+IFERROR(X464/H464,"0")+IFERROR(X465/H465,"0")</f>
        <v>2.7777777777777777</v>
      </c>
      <c r="Y466" s="669">
        <f>IFERROR(Y462/H462,"0")+IFERROR(Y463/H463,"0")+IFERROR(Y464/H464,"0")+IFERROR(Y465/H465,"0")</f>
        <v>3.0000000000000004</v>
      </c>
      <c r="Z466" s="669">
        <f>IFERROR(IF(Z462="",0,Z462),"0")+IFERROR(IF(Z463="",0,Z463),"0")+IFERROR(IF(Z464="",0,Z464),"0")+IFERROR(IF(Z465="",0,Z465),"0")</f>
        <v>2.7060000000000001E-2</v>
      </c>
      <c r="AA466" s="670"/>
      <c r="AB466" s="670"/>
      <c r="AC466" s="670"/>
    </row>
    <row r="467" spans="1:68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88</v>
      </c>
      <c r="Q467" s="674"/>
      <c r="R467" s="674"/>
      <c r="S467" s="674"/>
      <c r="T467" s="674"/>
      <c r="U467" s="674"/>
      <c r="V467" s="675"/>
      <c r="W467" s="37" t="s">
        <v>69</v>
      </c>
      <c r="X467" s="669">
        <f>IFERROR(SUM(X462:X465),"0")</f>
        <v>15</v>
      </c>
      <c r="Y467" s="669">
        <f>IFERROR(SUM(Y462:Y465),"0")</f>
        <v>16.200000000000003</v>
      </c>
      <c r="Z467" s="37"/>
      <c r="AA467" s="670"/>
      <c r="AB467" s="670"/>
      <c r="AC467" s="670"/>
    </row>
    <row r="468" spans="1:68" ht="16.5" hidden="1" customHeight="1" x14ac:dyDescent="0.25">
      <c r="A468" s="685" t="s">
        <v>734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149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3"/>
      <c r="AB469" s="663"/>
      <c r="AC469" s="663"/>
    </row>
    <row r="470" spans="1:68" ht="27" hidden="1" customHeight="1" x14ac:dyDescent="0.25">
      <c r="A470" s="54" t="s">
        <v>735</v>
      </c>
      <c r="B470" s="54" t="s">
        <v>736</v>
      </c>
      <c r="C470" s="31">
        <v>4301031294</v>
      </c>
      <c r="D470" s="689">
        <v>4680115885189</v>
      </c>
      <c r="E470" s="690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738</v>
      </c>
      <c r="B471" s="54" t="s">
        <v>739</v>
      </c>
      <c r="C471" s="31">
        <v>4301031347</v>
      </c>
      <c r="D471" s="689">
        <v>4680115885110</v>
      </c>
      <c r="E471" s="690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36" t="s">
        <v>740</v>
      </c>
      <c r="Q471" s="679"/>
      <c r="R471" s="679"/>
      <c r="S471" s="679"/>
      <c r="T471" s="680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88</v>
      </c>
      <c r="Q472" s="674"/>
      <c r="R472" s="674"/>
      <c r="S472" s="674"/>
      <c r="T472" s="674"/>
      <c r="U472" s="674"/>
      <c r="V472" s="675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hidden="1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88</v>
      </c>
      <c r="Q473" s="674"/>
      <c r="R473" s="674"/>
      <c r="S473" s="674"/>
      <c r="T473" s="674"/>
      <c r="U473" s="674"/>
      <c r="V473" s="675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hidden="1" customHeight="1" x14ac:dyDescent="0.25">
      <c r="A474" s="685" t="s">
        <v>742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149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3"/>
      <c r="AB475" s="663"/>
      <c r="AC475" s="663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89">
        <v>4680115885103</v>
      </c>
      <c r="E476" s="690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4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88</v>
      </c>
      <c r="Q477" s="674"/>
      <c r="R477" s="674"/>
      <c r="S477" s="674"/>
      <c r="T477" s="674"/>
      <c r="U477" s="674"/>
      <c r="V477" s="675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88</v>
      </c>
      <c r="Q478" s="674"/>
      <c r="R478" s="674"/>
      <c r="S478" s="674"/>
      <c r="T478" s="674"/>
      <c r="U478" s="674"/>
      <c r="V478" s="675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175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3"/>
      <c r="AB479" s="663"/>
      <c r="AC479" s="663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89">
        <v>4680115885509</v>
      </c>
      <c r="E480" s="690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2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88</v>
      </c>
      <c r="Q481" s="674"/>
      <c r="R481" s="674"/>
      <c r="S481" s="674"/>
      <c r="T481" s="674"/>
      <c r="U481" s="674"/>
      <c r="V481" s="675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88</v>
      </c>
      <c r="Q482" s="674"/>
      <c r="R482" s="674"/>
      <c r="S482" s="674"/>
      <c r="T482" s="674"/>
      <c r="U482" s="674"/>
      <c r="V482" s="675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7" t="s">
        <v>749</v>
      </c>
      <c r="B483" s="698"/>
      <c r="C483" s="698"/>
      <c r="D483" s="698"/>
      <c r="E483" s="698"/>
      <c r="F483" s="698"/>
      <c r="G483" s="698"/>
      <c r="H483" s="698"/>
      <c r="I483" s="698"/>
      <c r="J483" s="698"/>
      <c r="K483" s="698"/>
      <c r="L483" s="698"/>
      <c r="M483" s="698"/>
      <c r="N483" s="698"/>
      <c r="O483" s="698"/>
      <c r="P483" s="698"/>
      <c r="Q483" s="698"/>
      <c r="R483" s="698"/>
      <c r="S483" s="698"/>
      <c r="T483" s="698"/>
      <c r="U483" s="698"/>
      <c r="V483" s="698"/>
      <c r="W483" s="698"/>
      <c r="X483" s="698"/>
      <c r="Y483" s="698"/>
      <c r="Z483" s="698"/>
      <c r="AA483" s="48"/>
      <c r="AB483" s="48"/>
      <c r="AC483" s="48"/>
    </row>
    <row r="484" spans="1:68" ht="16.5" hidden="1" customHeight="1" x14ac:dyDescent="0.25">
      <c r="A484" s="685" t="s">
        <v>749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98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3"/>
      <c r="AB485" s="663"/>
      <c r="AC485" s="663"/>
    </row>
    <row r="486" spans="1:68" ht="27" hidden="1" customHeight="1" x14ac:dyDescent="0.25">
      <c r="A486" s="54" t="s">
        <v>750</v>
      </c>
      <c r="B486" s="54" t="s">
        <v>751</v>
      </c>
      <c r="C486" s="31">
        <v>4301011795</v>
      </c>
      <c r="D486" s="689">
        <v>4607091389067</v>
      </c>
      <c r="E486" s="690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hidden="1" customHeight="1" x14ac:dyDescent="0.25">
      <c r="A487" s="54" t="s">
        <v>753</v>
      </c>
      <c r="B487" s="54" t="s">
        <v>754</v>
      </c>
      <c r="C487" s="31">
        <v>4301011961</v>
      </c>
      <c r="D487" s="689">
        <v>4680115885271</v>
      </c>
      <c r="E487" s="690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89">
        <v>4680115885226</v>
      </c>
      <c r="E488" s="690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69</v>
      </c>
      <c r="X488" s="667">
        <v>80</v>
      </c>
      <c r="Y488" s="668">
        <f t="shared" si="68"/>
        <v>84.48</v>
      </c>
      <c r="Z488" s="36">
        <f t="shared" si="69"/>
        <v>0.19136</v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85.454545454545453</v>
      </c>
      <c r="BN488" s="64">
        <f t="shared" si="71"/>
        <v>90.24</v>
      </c>
      <c r="BO488" s="64">
        <f t="shared" si="72"/>
        <v>0.14568764568764569</v>
      </c>
      <c r="BP488" s="64">
        <f t="shared" si="73"/>
        <v>0.15384615384615385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89">
        <v>4680115884502</v>
      </c>
      <c r="E489" s="690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89">
        <v>4607091389104</v>
      </c>
      <c r="E490" s="690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69</v>
      </c>
      <c r="X490" s="667">
        <v>170</v>
      </c>
      <c r="Y490" s="668">
        <f t="shared" si="68"/>
        <v>174.24</v>
      </c>
      <c r="Z490" s="36">
        <f t="shared" si="69"/>
        <v>0.39468000000000003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181.59090909090907</v>
      </c>
      <c r="BN490" s="64">
        <f t="shared" si="71"/>
        <v>186.12</v>
      </c>
      <c r="BO490" s="64">
        <f t="shared" si="72"/>
        <v>0.3095862470862471</v>
      </c>
      <c r="BP490" s="64">
        <f t="shared" si="73"/>
        <v>0.31730769230769235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89">
        <v>4680115884519</v>
      </c>
      <c r="E491" s="690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85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89">
        <v>4680115886391</v>
      </c>
      <c r="E492" s="690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69" t="s">
        <v>770</v>
      </c>
      <c r="Q492" s="679"/>
      <c r="R492" s="679"/>
      <c r="S492" s="679"/>
      <c r="T492" s="680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771</v>
      </c>
      <c r="B493" s="54" t="s">
        <v>772</v>
      </c>
      <c r="C493" s="31">
        <v>4301012035</v>
      </c>
      <c r="D493" s="689">
        <v>4680115880603</v>
      </c>
      <c r="E493" s="690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4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9"/>
      <c r="R493" s="679"/>
      <c r="S493" s="679"/>
      <c r="T493" s="680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771</v>
      </c>
      <c r="B494" s="54" t="s">
        <v>773</v>
      </c>
      <c r="C494" s="31">
        <v>4301011778</v>
      </c>
      <c r="D494" s="689">
        <v>4680115880603</v>
      </c>
      <c r="E494" s="690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9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9"/>
      <c r="R494" s="679"/>
      <c r="S494" s="679"/>
      <c r="T494" s="680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89">
        <v>4680115882782</v>
      </c>
      <c r="E495" s="690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89">
        <v>4680115886469</v>
      </c>
      <c r="E496" s="690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66" t="s">
        <v>778</v>
      </c>
      <c r="Q496" s="679"/>
      <c r="R496" s="679"/>
      <c r="S496" s="679"/>
      <c r="T496" s="680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89">
        <v>4680115886483</v>
      </c>
      <c r="E497" s="690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44" t="s">
        <v>781</v>
      </c>
      <c r="Q497" s="679"/>
      <c r="R497" s="679"/>
      <c r="S497" s="679"/>
      <c r="T497" s="680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89">
        <v>4680115885479</v>
      </c>
      <c r="E498" s="690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810" t="s">
        <v>784</v>
      </c>
      <c r="Q498" s="679"/>
      <c r="R498" s="679"/>
      <c r="S498" s="679"/>
      <c r="T498" s="680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hidden="1" customHeight="1" x14ac:dyDescent="0.25">
      <c r="A499" s="54" t="s">
        <v>785</v>
      </c>
      <c r="B499" s="54" t="s">
        <v>786</v>
      </c>
      <c r="C499" s="31">
        <v>4301012034</v>
      </c>
      <c r="D499" s="689">
        <v>4607091389982</v>
      </c>
      <c r="E499" s="690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4301011784</v>
      </c>
      <c r="D500" s="689">
        <v>4607091389982</v>
      </c>
      <c r="E500" s="690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4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89">
        <v>4680115886490</v>
      </c>
      <c r="E501" s="690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5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88</v>
      </c>
      <c r="Q502" s="674"/>
      <c r="R502" s="674"/>
      <c r="S502" s="674"/>
      <c r="T502" s="674"/>
      <c r="U502" s="674"/>
      <c r="V502" s="675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47.348484848484844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49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0.58604000000000001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88</v>
      </c>
      <c r="Q503" s="674"/>
      <c r="R503" s="674"/>
      <c r="S503" s="674"/>
      <c r="T503" s="674"/>
      <c r="U503" s="674"/>
      <c r="V503" s="675"/>
      <c r="W503" s="37" t="s">
        <v>69</v>
      </c>
      <c r="X503" s="669">
        <f>IFERROR(SUM(X486:X501),"0")</f>
        <v>250</v>
      </c>
      <c r="Y503" s="669">
        <f>IFERROR(SUM(Y486:Y501),"0")</f>
        <v>258.72000000000003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138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3"/>
      <c r="AB504" s="663"/>
      <c r="AC504" s="663"/>
    </row>
    <row r="505" spans="1:68" ht="16.5" hidden="1" customHeight="1" x14ac:dyDescent="0.25">
      <c r="A505" s="54" t="s">
        <v>790</v>
      </c>
      <c r="B505" s="54" t="s">
        <v>791</v>
      </c>
      <c r="C505" s="31">
        <v>4301020334</v>
      </c>
      <c r="D505" s="689">
        <v>4607091388930</v>
      </c>
      <c r="E505" s="690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1" t="s">
        <v>792</v>
      </c>
      <c r="Q505" s="679"/>
      <c r="R505" s="679"/>
      <c r="S505" s="679"/>
      <c r="T505" s="680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790</v>
      </c>
      <c r="B506" s="54" t="s">
        <v>794</v>
      </c>
      <c r="C506" s="31">
        <v>4301020222</v>
      </c>
      <c r="D506" s="689">
        <v>4607091388930</v>
      </c>
      <c r="E506" s="690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89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9"/>
      <c r="R506" s="679"/>
      <c r="S506" s="679"/>
      <c r="T506" s="680"/>
      <c r="U506" s="34"/>
      <c r="V506" s="34"/>
      <c r="W506" s="35" t="s">
        <v>69</v>
      </c>
      <c r="X506" s="667">
        <v>270</v>
      </c>
      <c r="Y506" s="668">
        <f>IFERROR(IF(X506="",0,CEILING((X506/$H506),1)*$H506),"")</f>
        <v>274.56</v>
      </c>
      <c r="Z506" s="36">
        <f>IFERROR(IF(Y506=0,"",ROUNDUP(Y506/H506,0)*0.01196),"")</f>
        <v>0.62192000000000003</v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288.40909090909088</v>
      </c>
      <c r="BN506" s="64">
        <f>IFERROR(Y506*I506/H506,"0")</f>
        <v>293.27999999999997</v>
      </c>
      <c r="BO506" s="64">
        <f>IFERROR(1/J506*(X506/H506),"0")</f>
        <v>0.49169580419580416</v>
      </c>
      <c r="BP506" s="64">
        <f>IFERROR(1/J506*(Y506/H506),"0")</f>
        <v>0.5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89">
        <v>4680115886407</v>
      </c>
      <c r="E507" s="690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42" t="s">
        <v>798</v>
      </c>
      <c r="Q507" s="679"/>
      <c r="R507" s="679"/>
      <c r="S507" s="679"/>
      <c r="T507" s="680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89">
        <v>4680115880054</v>
      </c>
      <c r="E508" s="690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72" t="s">
        <v>801</v>
      </c>
      <c r="Q508" s="679"/>
      <c r="R508" s="679"/>
      <c r="S508" s="679"/>
      <c r="T508" s="680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88</v>
      </c>
      <c r="Q509" s="674"/>
      <c r="R509" s="674"/>
      <c r="S509" s="674"/>
      <c r="T509" s="674"/>
      <c r="U509" s="674"/>
      <c r="V509" s="675"/>
      <c r="W509" s="37" t="s">
        <v>89</v>
      </c>
      <c r="X509" s="669">
        <f>IFERROR(X505/H505,"0")+IFERROR(X506/H506,"0")+IFERROR(X507/H507,"0")+IFERROR(X508/H508,"0")</f>
        <v>51.136363636363633</v>
      </c>
      <c r="Y509" s="669">
        <f>IFERROR(Y505/H505,"0")+IFERROR(Y506/H506,"0")+IFERROR(Y507/H507,"0")+IFERROR(Y508/H508,"0")</f>
        <v>52</v>
      </c>
      <c r="Z509" s="669">
        <f>IFERROR(IF(Z505="",0,Z505),"0")+IFERROR(IF(Z506="",0,Z506),"0")+IFERROR(IF(Z507="",0,Z507),"0")+IFERROR(IF(Z508="",0,Z508),"0")</f>
        <v>0.62192000000000003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88</v>
      </c>
      <c r="Q510" s="674"/>
      <c r="R510" s="674"/>
      <c r="S510" s="674"/>
      <c r="T510" s="674"/>
      <c r="U510" s="674"/>
      <c r="V510" s="675"/>
      <c r="W510" s="37" t="s">
        <v>69</v>
      </c>
      <c r="X510" s="669">
        <f>IFERROR(SUM(X505:X508),"0")</f>
        <v>270</v>
      </c>
      <c r="Y510" s="669">
        <f>IFERROR(SUM(Y505:Y508),"0")</f>
        <v>274.56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149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89">
        <v>4680115883116</v>
      </c>
      <c r="E512" s="690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18" t="s">
        <v>804</v>
      </c>
      <c r="Q512" s="679"/>
      <c r="R512" s="679"/>
      <c r="S512" s="679"/>
      <c r="T512" s="680"/>
      <c r="U512" s="34"/>
      <c r="V512" s="34"/>
      <c r="W512" s="35" t="s">
        <v>69</v>
      </c>
      <c r="X512" s="667">
        <v>90</v>
      </c>
      <c r="Y512" s="668">
        <f t="shared" ref="Y512:Y522" si="74">IFERROR(IF(X512="",0,CEILING((X512/$H512),1)*$H512),"")</f>
        <v>95.04</v>
      </c>
      <c r="Z512" s="36">
        <f>IFERROR(IF(Y512=0,"",ROUNDUP(Y512/H512,0)*0.01196),"")</f>
        <v>0.21528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96.136363636363626</v>
      </c>
      <c r="BN512" s="64">
        <f t="shared" ref="BN512:BN522" si="76">IFERROR(Y512*I512/H512,"0")</f>
        <v>101.52000000000001</v>
      </c>
      <c r="BO512" s="64">
        <f t="shared" ref="BO512:BO522" si="77">IFERROR(1/J512*(X512/H512),"0")</f>
        <v>0.16389860139860138</v>
      </c>
      <c r="BP512" s="64">
        <f t="shared" ref="BP512:BP522" si="78">IFERROR(1/J512*(Y512/H512),"0")</f>
        <v>0.17307692307692307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89">
        <v>4680115883093</v>
      </c>
      <c r="E513" s="690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1" t="s">
        <v>808</v>
      </c>
      <c r="Q513" s="679"/>
      <c r="R513" s="679"/>
      <c r="S513" s="679"/>
      <c r="T513" s="680"/>
      <c r="U513" s="34"/>
      <c r="V513" s="34"/>
      <c r="W513" s="35" t="s">
        <v>69</v>
      </c>
      <c r="X513" s="667">
        <v>130</v>
      </c>
      <c r="Y513" s="668">
        <f t="shared" si="74"/>
        <v>132</v>
      </c>
      <c r="Z513" s="36">
        <f>IFERROR(IF(Y513=0,"",ROUNDUP(Y513/H513,0)*0.01196),"")</f>
        <v>0.29899999999999999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138.86363636363635</v>
      </c>
      <c r="BN513" s="64">
        <f t="shared" si="76"/>
        <v>140.99999999999997</v>
      </c>
      <c r="BO513" s="64">
        <f t="shared" si="77"/>
        <v>0.23674242424242425</v>
      </c>
      <c r="BP513" s="64">
        <f t="shared" si="78"/>
        <v>0.24038461538461539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89">
        <v>4680115883109</v>
      </c>
      <c r="E514" s="690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77" t="s">
        <v>812</v>
      </c>
      <c r="Q514" s="679"/>
      <c r="R514" s="679"/>
      <c r="S514" s="679"/>
      <c r="T514" s="680"/>
      <c r="U514" s="34"/>
      <c r="V514" s="34"/>
      <c r="W514" s="35" t="s">
        <v>69</v>
      </c>
      <c r="X514" s="667">
        <v>180</v>
      </c>
      <c r="Y514" s="668">
        <f t="shared" si="74"/>
        <v>184.8</v>
      </c>
      <c r="Z514" s="36">
        <f>IFERROR(IF(Y514=0,"",ROUNDUP(Y514/H514,0)*0.01196),"")</f>
        <v>0.41860000000000003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192.27272727272725</v>
      </c>
      <c r="BN514" s="64">
        <f t="shared" si="76"/>
        <v>197.39999999999998</v>
      </c>
      <c r="BO514" s="64">
        <f t="shared" si="77"/>
        <v>0.32779720279720276</v>
      </c>
      <c r="BP514" s="64">
        <f t="shared" si="78"/>
        <v>0.33653846153846156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89">
        <v>4680115886438</v>
      </c>
      <c r="E515" s="690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07" t="s">
        <v>816</v>
      </c>
      <c r="Q515" s="679"/>
      <c r="R515" s="679"/>
      <c r="S515" s="679"/>
      <c r="T515" s="680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817</v>
      </c>
      <c r="B516" s="54" t="s">
        <v>818</v>
      </c>
      <c r="C516" s="31">
        <v>4301031351</v>
      </c>
      <c r="D516" s="689">
        <v>4680115882072</v>
      </c>
      <c r="E516" s="690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83" t="s">
        <v>819</v>
      </c>
      <c r="Q516" s="679"/>
      <c r="R516" s="679"/>
      <c r="S516" s="679"/>
      <c r="T516" s="680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4301031383</v>
      </c>
      <c r="D517" s="689">
        <v>4680115882072</v>
      </c>
      <c r="E517" s="690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9"/>
      <c r="R517" s="679"/>
      <c r="S517" s="679"/>
      <c r="T517" s="680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817</v>
      </c>
      <c r="B518" s="54" t="s">
        <v>822</v>
      </c>
      <c r="C518" s="31">
        <v>4301031419</v>
      </c>
      <c r="D518" s="689">
        <v>4680115882072</v>
      </c>
      <c r="E518" s="690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720" t="s">
        <v>823</v>
      </c>
      <c r="Q518" s="679"/>
      <c r="R518" s="679"/>
      <c r="S518" s="679"/>
      <c r="T518" s="680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hidden="1" customHeight="1" x14ac:dyDescent="0.25">
      <c r="A519" s="54" t="s">
        <v>824</v>
      </c>
      <c r="B519" s="54" t="s">
        <v>825</v>
      </c>
      <c r="C519" s="31">
        <v>4301031418</v>
      </c>
      <c r="D519" s="689">
        <v>4680115882102</v>
      </c>
      <c r="E519" s="690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52" t="s">
        <v>826</v>
      </c>
      <c r="Q519" s="679"/>
      <c r="R519" s="679"/>
      <c r="S519" s="679"/>
      <c r="T519" s="680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hidden="1" customHeight="1" x14ac:dyDescent="0.25">
      <c r="A520" s="54" t="s">
        <v>827</v>
      </c>
      <c r="B520" s="54" t="s">
        <v>828</v>
      </c>
      <c r="C520" s="31">
        <v>4301031384</v>
      </c>
      <c r="D520" s="689">
        <v>4680115882096</v>
      </c>
      <c r="E520" s="690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18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9"/>
      <c r="R520" s="679"/>
      <c r="S520" s="679"/>
      <c r="T520" s="680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hidden="1" customHeight="1" x14ac:dyDescent="0.25">
      <c r="A521" s="54" t="s">
        <v>827</v>
      </c>
      <c r="B521" s="54" t="s">
        <v>829</v>
      </c>
      <c r="C521" s="31">
        <v>4301031253</v>
      </c>
      <c r="D521" s="689">
        <v>4680115882096</v>
      </c>
      <c r="E521" s="690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5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9"/>
      <c r="R521" s="679"/>
      <c r="S521" s="679"/>
      <c r="T521" s="680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827</v>
      </c>
      <c r="B522" s="54" t="s">
        <v>831</v>
      </c>
      <c r="C522" s="31">
        <v>4301031417</v>
      </c>
      <c r="D522" s="689">
        <v>4680115882096</v>
      </c>
      <c r="E522" s="690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7" t="s">
        <v>832</v>
      </c>
      <c r="Q522" s="679"/>
      <c r="R522" s="679"/>
      <c r="S522" s="679"/>
      <c r="T522" s="680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88</v>
      </c>
      <c r="Q523" s="674"/>
      <c r="R523" s="674"/>
      <c r="S523" s="674"/>
      <c r="T523" s="674"/>
      <c r="U523" s="674"/>
      <c r="V523" s="675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75.757575757575751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78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0.93287999999999993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88</v>
      </c>
      <c r="Q524" s="674"/>
      <c r="R524" s="674"/>
      <c r="S524" s="674"/>
      <c r="T524" s="674"/>
      <c r="U524" s="674"/>
      <c r="V524" s="675"/>
      <c r="W524" s="37" t="s">
        <v>69</v>
      </c>
      <c r="X524" s="669">
        <f>IFERROR(SUM(X512:X522),"0")</f>
        <v>400</v>
      </c>
      <c r="Y524" s="669">
        <f>IFERROR(SUM(Y512:Y522),"0")</f>
        <v>411.84000000000003</v>
      </c>
      <c r="Z524" s="37"/>
      <c r="AA524" s="670"/>
      <c r="AB524" s="670"/>
      <c r="AC524" s="670"/>
    </row>
    <row r="525" spans="1:68" ht="14.25" hidden="1" customHeight="1" x14ac:dyDescent="0.25">
      <c r="A525" s="676" t="s">
        <v>64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3"/>
      <c r="AB525" s="663"/>
      <c r="AC525" s="663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89">
        <v>4607091383409</v>
      </c>
      <c r="E526" s="690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2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89">
        <v>4607091383416</v>
      </c>
      <c r="E527" s="690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3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89">
        <v>4680115883536</v>
      </c>
      <c r="E528" s="690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88</v>
      </c>
      <c r="Q529" s="674"/>
      <c r="R529" s="674"/>
      <c r="S529" s="674"/>
      <c r="T529" s="674"/>
      <c r="U529" s="674"/>
      <c r="V529" s="675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88</v>
      </c>
      <c r="Q530" s="674"/>
      <c r="R530" s="674"/>
      <c r="S530" s="674"/>
      <c r="T530" s="674"/>
      <c r="U530" s="674"/>
      <c r="V530" s="675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175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3"/>
      <c r="AB531" s="663"/>
      <c r="AC531" s="663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89">
        <v>4680115885936</v>
      </c>
      <c r="E532" s="690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70" t="s">
        <v>844</v>
      </c>
      <c r="Q532" s="679"/>
      <c r="R532" s="679"/>
      <c r="S532" s="679"/>
      <c r="T532" s="680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88</v>
      </c>
      <c r="Q533" s="674"/>
      <c r="R533" s="674"/>
      <c r="S533" s="674"/>
      <c r="T533" s="674"/>
      <c r="U533" s="674"/>
      <c r="V533" s="675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88</v>
      </c>
      <c r="Q534" s="674"/>
      <c r="R534" s="674"/>
      <c r="S534" s="674"/>
      <c r="T534" s="674"/>
      <c r="U534" s="674"/>
      <c r="V534" s="675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7" t="s">
        <v>846</v>
      </c>
      <c r="B535" s="698"/>
      <c r="C535" s="698"/>
      <c r="D535" s="698"/>
      <c r="E535" s="698"/>
      <c r="F535" s="698"/>
      <c r="G535" s="698"/>
      <c r="H535" s="698"/>
      <c r="I535" s="698"/>
      <c r="J535" s="698"/>
      <c r="K535" s="698"/>
      <c r="L535" s="698"/>
      <c r="M535" s="698"/>
      <c r="N535" s="698"/>
      <c r="O535" s="698"/>
      <c r="P535" s="698"/>
      <c r="Q535" s="698"/>
      <c r="R535" s="698"/>
      <c r="S535" s="698"/>
      <c r="T535" s="698"/>
      <c r="U535" s="698"/>
      <c r="V535" s="698"/>
      <c r="W535" s="698"/>
      <c r="X535" s="698"/>
      <c r="Y535" s="698"/>
      <c r="Z535" s="698"/>
      <c r="AA535" s="48"/>
      <c r="AB535" s="48"/>
      <c r="AC535" s="48"/>
    </row>
    <row r="536" spans="1:68" ht="16.5" hidden="1" customHeight="1" x14ac:dyDescent="0.25">
      <c r="A536" s="685" t="s">
        <v>846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98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3"/>
      <c r="AB537" s="663"/>
      <c r="AC537" s="663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89">
        <v>4640242181011</v>
      </c>
      <c r="E538" s="690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80" t="s">
        <v>849</v>
      </c>
      <c r="Q538" s="679"/>
      <c r="R538" s="679"/>
      <c r="S538" s="679"/>
      <c r="T538" s="680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89">
        <v>4640242180441</v>
      </c>
      <c r="E539" s="690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8" t="s">
        <v>853</v>
      </c>
      <c r="Q539" s="679"/>
      <c r="R539" s="679"/>
      <c r="S539" s="679"/>
      <c r="T539" s="680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89">
        <v>4640242180564</v>
      </c>
      <c r="E540" s="690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6" t="s">
        <v>857</v>
      </c>
      <c r="Q540" s="679"/>
      <c r="R540" s="679"/>
      <c r="S540" s="679"/>
      <c r="T540" s="680"/>
      <c r="U540" s="34"/>
      <c r="V540" s="34"/>
      <c r="W540" s="35" t="s">
        <v>69</v>
      </c>
      <c r="X540" s="667">
        <v>90</v>
      </c>
      <c r="Y540" s="668">
        <f t="shared" si="79"/>
        <v>96</v>
      </c>
      <c r="Z540" s="36">
        <f>IFERROR(IF(Y540=0,"",ROUNDUP(Y540/H540,0)*0.01898),"")</f>
        <v>0.15184</v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93.262500000000003</v>
      </c>
      <c r="BN540" s="64">
        <f t="shared" si="81"/>
        <v>99.48</v>
      </c>
      <c r="BO540" s="64">
        <f t="shared" si="82"/>
        <v>0.1171875</v>
      </c>
      <c r="BP540" s="64">
        <f t="shared" si="83"/>
        <v>0.125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89">
        <v>4640242180922</v>
      </c>
      <c r="E541" s="690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29" t="s">
        <v>861</v>
      </c>
      <c r="Q541" s="679"/>
      <c r="R541" s="679"/>
      <c r="S541" s="679"/>
      <c r="T541" s="680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89">
        <v>4640242180038</v>
      </c>
      <c r="E542" s="690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38" t="s">
        <v>865</v>
      </c>
      <c r="Q542" s="679"/>
      <c r="R542" s="679"/>
      <c r="S542" s="679"/>
      <c r="T542" s="680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89">
        <v>4640242181172</v>
      </c>
      <c r="E543" s="690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84" t="s">
        <v>868</v>
      </c>
      <c r="Q543" s="679"/>
      <c r="R543" s="679"/>
      <c r="S543" s="679"/>
      <c r="T543" s="680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88</v>
      </c>
      <c r="Q544" s="674"/>
      <c r="R544" s="674"/>
      <c r="S544" s="674"/>
      <c r="T544" s="674"/>
      <c r="U544" s="674"/>
      <c r="V544" s="675"/>
      <c r="W544" s="37" t="s">
        <v>89</v>
      </c>
      <c r="X544" s="669">
        <f>IFERROR(X538/H538,"0")+IFERROR(X539/H539,"0")+IFERROR(X540/H540,"0")+IFERROR(X541/H541,"0")+IFERROR(X542/H542,"0")+IFERROR(X543/H543,"0")</f>
        <v>7.5</v>
      </c>
      <c r="Y544" s="669">
        <f>IFERROR(Y538/H538,"0")+IFERROR(Y539/H539,"0")+IFERROR(Y540/H540,"0")+IFERROR(Y541/H541,"0")+IFERROR(Y542/H542,"0")+IFERROR(Y543/H543,"0")</f>
        <v>8</v>
      </c>
      <c r="Z544" s="669">
        <f>IFERROR(IF(Z538="",0,Z538),"0")+IFERROR(IF(Z539="",0,Z539),"0")+IFERROR(IF(Z540="",0,Z540),"0")+IFERROR(IF(Z541="",0,Z541),"0")+IFERROR(IF(Z542="",0,Z542),"0")+IFERROR(IF(Z543="",0,Z543),"0")</f>
        <v>0.15184</v>
      </c>
      <c r="AA544" s="670"/>
      <c r="AB544" s="670"/>
      <c r="AC544" s="670"/>
    </row>
    <row r="545" spans="1:68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88</v>
      </c>
      <c r="Q545" s="674"/>
      <c r="R545" s="674"/>
      <c r="S545" s="674"/>
      <c r="T545" s="674"/>
      <c r="U545" s="674"/>
      <c r="V545" s="675"/>
      <c r="W545" s="37" t="s">
        <v>69</v>
      </c>
      <c r="X545" s="669">
        <f>IFERROR(SUM(X538:X543),"0")</f>
        <v>90</v>
      </c>
      <c r="Y545" s="669">
        <f>IFERROR(SUM(Y538:Y543),"0")</f>
        <v>96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138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3"/>
      <c r="AB546" s="663"/>
      <c r="AC546" s="663"/>
    </row>
    <row r="547" spans="1:68" ht="27" hidden="1" customHeight="1" x14ac:dyDescent="0.25">
      <c r="A547" s="54" t="s">
        <v>869</v>
      </c>
      <c r="B547" s="54" t="s">
        <v>870</v>
      </c>
      <c r="C547" s="31">
        <v>4301020269</v>
      </c>
      <c r="D547" s="689">
        <v>4640242180519</v>
      </c>
      <c r="E547" s="690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62" t="s">
        <v>871</v>
      </c>
      <c r="Q547" s="679"/>
      <c r="R547" s="679"/>
      <c r="S547" s="679"/>
      <c r="T547" s="680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4301020400</v>
      </c>
      <c r="D548" s="689">
        <v>4640242180519</v>
      </c>
      <c r="E548" s="690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809" t="s">
        <v>874</v>
      </c>
      <c r="Q548" s="679"/>
      <c r="R548" s="679"/>
      <c r="S548" s="679"/>
      <c r="T548" s="680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89">
        <v>4640242180526</v>
      </c>
      <c r="E549" s="690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06" t="s">
        <v>878</v>
      </c>
      <c r="Q549" s="679"/>
      <c r="R549" s="679"/>
      <c r="S549" s="679"/>
      <c r="T549" s="680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89">
        <v>4640242180090</v>
      </c>
      <c r="E550" s="690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68" t="s">
        <v>881</v>
      </c>
      <c r="Q550" s="679"/>
      <c r="R550" s="679"/>
      <c r="S550" s="679"/>
      <c r="T550" s="680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89">
        <v>4640242181363</v>
      </c>
      <c r="E551" s="690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3" t="s">
        <v>885</v>
      </c>
      <c r="Q551" s="679"/>
      <c r="R551" s="679"/>
      <c r="S551" s="679"/>
      <c r="T551" s="680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88</v>
      </c>
      <c r="Q552" s="674"/>
      <c r="R552" s="674"/>
      <c r="S552" s="674"/>
      <c r="T552" s="674"/>
      <c r="U552" s="674"/>
      <c r="V552" s="675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88</v>
      </c>
      <c r="Q553" s="674"/>
      <c r="R553" s="674"/>
      <c r="S553" s="674"/>
      <c r="T553" s="674"/>
      <c r="U553" s="674"/>
      <c r="V553" s="675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149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3"/>
      <c r="AB554" s="663"/>
      <c r="AC554" s="663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89">
        <v>4640242180816</v>
      </c>
      <c r="E555" s="690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58" t="s">
        <v>888</v>
      </c>
      <c r="Q555" s="679"/>
      <c r="R555" s="679"/>
      <c r="S555" s="679"/>
      <c r="T555" s="680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89">
        <v>4640242180595</v>
      </c>
      <c r="E556" s="690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93" t="s">
        <v>892</v>
      </c>
      <c r="Q556" s="679"/>
      <c r="R556" s="679"/>
      <c r="S556" s="679"/>
      <c r="T556" s="680"/>
      <c r="U556" s="34"/>
      <c r="V556" s="34"/>
      <c r="W556" s="35" t="s">
        <v>69</v>
      </c>
      <c r="X556" s="667">
        <v>50</v>
      </c>
      <c r="Y556" s="668">
        <f t="shared" si="84"/>
        <v>50.400000000000006</v>
      </c>
      <c r="Z556" s="36">
        <f>IFERROR(IF(Y556=0,"",ROUNDUP(Y556/H556,0)*0.00902),"")</f>
        <v>0.10824</v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53.214285714285715</v>
      </c>
      <c r="BN556" s="64">
        <f t="shared" si="86"/>
        <v>53.64</v>
      </c>
      <c r="BO556" s="64">
        <f t="shared" si="87"/>
        <v>9.0187590187590191E-2</v>
      </c>
      <c r="BP556" s="64">
        <f t="shared" si="88"/>
        <v>9.0909090909090912E-2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89">
        <v>4640242181615</v>
      </c>
      <c r="E557" s="690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84" t="s">
        <v>896</v>
      </c>
      <c r="Q557" s="679"/>
      <c r="R557" s="679"/>
      <c r="S557" s="679"/>
      <c r="T557" s="680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89">
        <v>4640242181639</v>
      </c>
      <c r="E558" s="690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2" t="s">
        <v>900</v>
      </c>
      <c r="Q558" s="679"/>
      <c r="R558" s="679"/>
      <c r="S558" s="679"/>
      <c r="T558" s="680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89">
        <v>4640242181622</v>
      </c>
      <c r="E559" s="690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3" t="s">
        <v>904</v>
      </c>
      <c r="Q559" s="679"/>
      <c r="R559" s="679"/>
      <c r="S559" s="679"/>
      <c r="T559" s="680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89">
        <v>4640242180908</v>
      </c>
      <c r="E560" s="690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4" t="s">
        <v>908</v>
      </c>
      <c r="Q560" s="679"/>
      <c r="R560" s="679"/>
      <c r="S560" s="679"/>
      <c r="T560" s="680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89">
        <v>4640242180489</v>
      </c>
      <c r="E561" s="690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08" t="s">
        <v>911</v>
      </c>
      <c r="Q561" s="679"/>
      <c r="R561" s="679"/>
      <c r="S561" s="679"/>
      <c r="T561" s="680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88</v>
      </c>
      <c r="Q562" s="674"/>
      <c r="R562" s="674"/>
      <c r="S562" s="674"/>
      <c r="T562" s="674"/>
      <c r="U562" s="674"/>
      <c r="V562" s="675"/>
      <c r="W562" s="37" t="s">
        <v>89</v>
      </c>
      <c r="X562" s="669">
        <f>IFERROR(X555/H555,"0")+IFERROR(X556/H556,"0")+IFERROR(X557/H557,"0")+IFERROR(X558/H558,"0")+IFERROR(X559/H559,"0")+IFERROR(X560/H560,"0")+IFERROR(X561/H561,"0")</f>
        <v>11.904761904761905</v>
      </c>
      <c r="Y562" s="669">
        <f>IFERROR(Y555/H555,"0")+IFERROR(Y556/H556,"0")+IFERROR(Y557/H557,"0")+IFERROR(Y558/H558,"0")+IFERROR(Y559/H559,"0")+IFERROR(Y560/H560,"0")+IFERROR(Y561/H561,"0")</f>
        <v>12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0.10824</v>
      </c>
      <c r="AA562" s="670"/>
      <c r="AB562" s="670"/>
      <c r="AC562" s="670"/>
    </row>
    <row r="563" spans="1:68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88</v>
      </c>
      <c r="Q563" s="674"/>
      <c r="R563" s="674"/>
      <c r="S563" s="674"/>
      <c r="T563" s="674"/>
      <c r="U563" s="674"/>
      <c r="V563" s="675"/>
      <c r="W563" s="37" t="s">
        <v>69</v>
      </c>
      <c r="X563" s="669">
        <f>IFERROR(SUM(X555:X561),"0")</f>
        <v>50</v>
      </c>
      <c r="Y563" s="669">
        <f>IFERROR(SUM(Y555:Y561),"0")</f>
        <v>50.400000000000006</v>
      </c>
      <c r="Z563" s="37"/>
      <c r="AA563" s="670"/>
      <c r="AB563" s="670"/>
      <c r="AC563" s="670"/>
    </row>
    <row r="564" spans="1:68" ht="14.25" hidden="1" customHeight="1" x14ac:dyDescent="0.25">
      <c r="A564" s="676" t="s">
        <v>64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3"/>
      <c r="AB564" s="663"/>
      <c r="AC564" s="663"/>
    </row>
    <row r="565" spans="1:68" ht="27" hidden="1" customHeight="1" x14ac:dyDescent="0.25">
      <c r="A565" s="54" t="s">
        <v>912</v>
      </c>
      <c r="B565" s="54" t="s">
        <v>913</v>
      </c>
      <c r="C565" s="31">
        <v>4301051887</v>
      </c>
      <c r="D565" s="689">
        <v>4640242180533</v>
      </c>
      <c r="E565" s="690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8" t="s">
        <v>914</v>
      </c>
      <c r="Q565" s="679"/>
      <c r="R565" s="679"/>
      <c r="S565" s="679"/>
      <c r="T565" s="680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912</v>
      </c>
      <c r="B566" s="54" t="s">
        <v>916</v>
      </c>
      <c r="C566" s="31">
        <v>4301052046</v>
      </c>
      <c r="D566" s="689">
        <v>4640242180533</v>
      </c>
      <c r="E566" s="690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881" t="s">
        <v>914</v>
      </c>
      <c r="Q566" s="679"/>
      <c r="R566" s="679"/>
      <c r="S566" s="679"/>
      <c r="T566" s="680"/>
      <c r="U566" s="34"/>
      <c r="V566" s="34"/>
      <c r="W566" s="35" t="s">
        <v>69</v>
      </c>
      <c r="X566" s="667">
        <v>40</v>
      </c>
      <c r="Y566" s="668">
        <f>IFERROR(IF(X566="",0,CEILING((X566/$H566),1)*$H566),"")</f>
        <v>45</v>
      </c>
      <c r="Z566" s="36">
        <f>IFERROR(IF(Y566=0,"",ROUNDUP(Y566/H566,0)*0.01898),"")</f>
        <v>9.4899999999999998E-2</v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42.306666666666665</v>
      </c>
      <c r="BN566" s="64">
        <f>IFERROR(Y566*I566/H566,"0")</f>
        <v>47.594999999999999</v>
      </c>
      <c r="BO566" s="64">
        <f>IFERROR(1/J566*(X566/H566),"0")</f>
        <v>6.9444444444444448E-2</v>
      </c>
      <c r="BP566" s="64">
        <f>IFERROR(1/J566*(Y566/H566),"0")</f>
        <v>7.8125E-2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89">
        <v>4640242180540</v>
      </c>
      <c r="E567" s="690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2" t="s">
        <v>919</v>
      </c>
      <c r="Q567" s="679"/>
      <c r="R567" s="679"/>
      <c r="S567" s="679"/>
      <c r="T567" s="680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89">
        <v>4640242181233</v>
      </c>
      <c r="E568" s="690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56" t="s">
        <v>923</v>
      </c>
      <c r="Q568" s="679"/>
      <c r="R568" s="679"/>
      <c r="S568" s="679"/>
      <c r="T568" s="680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89">
        <v>4640242181226</v>
      </c>
      <c r="E569" s="690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47" t="s">
        <v>926</v>
      </c>
      <c r="Q569" s="679"/>
      <c r="R569" s="679"/>
      <c r="S569" s="679"/>
      <c r="T569" s="680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88</v>
      </c>
      <c r="Q570" s="674"/>
      <c r="R570" s="674"/>
      <c r="S570" s="674"/>
      <c r="T570" s="674"/>
      <c r="U570" s="674"/>
      <c r="V570" s="675"/>
      <c r="W570" s="37" t="s">
        <v>89</v>
      </c>
      <c r="X570" s="669">
        <f>IFERROR(X565/H565,"0")+IFERROR(X566/H566,"0")+IFERROR(X567/H567,"0")+IFERROR(X568/H568,"0")+IFERROR(X569/H569,"0")</f>
        <v>4.4444444444444446</v>
      </c>
      <c r="Y570" s="669">
        <f>IFERROR(Y565/H565,"0")+IFERROR(Y566/H566,"0")+IFERROR(Y567/H567,"0")+IFERROR(Y568/H568,"0")+IFERROR(Y569/H569,"0")</f>
        <v>5</v>
      </c>
      <c r="Z570" s="669">
        <f>IFERROR(IF(Z565="",0,Z565),"0")+IFERROR(IF(Z566="",0,Z566),"0")+IFERROR(IF(Z567="",0,Z567),"0")+IFERROR(IF(Z568="",0,Z568),"0")+IFERROR(IF(Z569="",0,Z569),"0")</f>
        <v>9.4899999999999998E-2</v>
      </c>
      <c r="AA570" s="670"/>
      <c r="AB570" s="670"/>
      <c r="AC570" s="670"/>
    </row>
    <row r="571" spans="1:68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88</v>
      </c>
      <c r="Q571" s="674"/>
      <c r="R571" s="674"/>
      <c r="S571" s="674"/>
      <c r="T571" s="674"/>
      <c r="U571" s="674"/>
      <c r="V571" s="675"/>
      <c r="W571" s="37" t="s">
        <v>69</v>
      </c>
      <c r="X571" s="669">
        <f>IFERROR(SUM(X565:X569),"0")</f>
        <v>40</v>
      </c>
      <c r="Y571" s="669">
        <f>IFERROR(SUM(Y565:Y569),"0")</f>
        <v>45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175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3"/>
      <c r="AB572" s="663"/>
      <c r="AC572" s="663"/>
    </row>
    <row r="573" spans="1:68" ht="27" hidden="1" customHeight="1" x14ac:dyDescent="0.25">
      <c r="A573" s="54" t="s">
        <v>927</v>
      </c>
      <c r="B573" s="54" t="s">
        <v>928</v>
      </c>
      <c r="C573" s="31">
        <v>4301060485</v>
      </c>
      <c r="D573" s="689">
        <v>4640242180120</v>
      </c>
      <c r="E573" s="690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75" t="s">
        <v>929</v>
      </c>
      <c r="Q573" s="679"/>
      <c r="R573" s="679"/>
      <c r="S573" s="679"/>
      <c r="T573" s="680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4301060496</v>
      </c>
      <c r="D574" s="689">
        <v>4640242180120</v>
      </c>
      <c r="E574" s="690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19" t="s">
        <v>932</v>
      </c>
      <c r="Q574" s="679"/>
      <c r="R574" s="679"/>
      <c r="S574" s="679"/>
      <c r="T574" s="680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4301060486</v>
      </c>
      <c r="D575" s="689">
        <v>4640242180137</v>
      </c>
      <c r="E575" s="690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68" t="s">
        <v>935</v>
      </c>
      <c r="Q575" s="679"/>
      <c r="R575" s="679"/>
      <c r="S575" s="679"/>
      <c r="T575" s="680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4301060498</v>
      </c>
      <c r="D576" s="689">
        <v>4640242180137</v>
      </c>
      <c r="E576" s="690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77" t="s">
        <v>938</v>
      </c>
      <c r="Q576" s="679"/>
      <c r="R576" s="679"/>
      <c r="S576" s="679"/>
      <c r="T576" s="680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88</v>
      </c>
      <c r="Q577" s="674"/>
      <c r="R577" s="674"/>
      <c r="S577" s="674"/>
      <c r="T577" s="674"/>
      <c r="U577" s="674"/>
      <c r="V577" s="675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88</v>
      </c>
      <c r="Q578" s="674"/>
      <c r="R578" s="674"/>
      <c r="S578" s="674"/>
      <c r="T578" s="674"/>
      <c r="U578" s="674"/>
      <c r="V578" s="675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939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98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3"/>
      <c r="AB580" s="663"/>
      <c r="AC580" s="663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89">
        <v>4640242180045</v>
      </c>
      <c r="E581" s="690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51" t="s">
        <v>942</v>
      </c>
      <c r="Q581" s="679"/>
      <c r="R581" s="679"/>
      <c r="S581" s="679"/>
      <c r="T581" s="680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88</v>
      </c>
      <c r="Q582" s="674"/>
      <c r="R582" s="674"/>
      <c r="S582" s="674"/>
      <c r="T582" s="674"/>
      <c r="U582" s="674"/>
      <c r="V582" s="675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88</v>
      </c>
      <c r="Q583" s="674"/>
      <c r="R583" s="674"/>
      <c r="S583" s="674"/>
      <c r="T583" s="674"/>
      <c r="U583" s="674"/>
      <c r="V583" s="675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138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3"/>
      <c r="AB584" s="663"/>
      <c r="AC584" s="663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89">
        <v>4640242180090</v>
      </c>
      <c r="E585" s="690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806" t="s">
        <v>946</v>
      </c>
      <c r="Q585" s="679"/>
      <c r="R585" s="679"/>
      <c r="S585" s="679"/>
      <c r="T585" s="680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88</v>
      </c>
      <c r="Q586" s="674"/>
      <c r="R586" s="674"/>
      <c r="S586" s="674"/>
      <c r="T586" s="674"/>
      <c r="U586" s="674"/>
      <c r="V586" s="675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88</v>
      </c>
      <c r="Q587" s="674"/>
      <c r="R587" s="674"/>
      <c r="S587" s="674"/>
      <c r="T587" s="674"/>
      <c r="U587" s="674"/>
      <c r="V587" s="675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149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3"/>
      <c r="AB588" s="663"/>
      <c r="AC588" s="663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89">
        <v>4640242180076</v>
      </c>
      <c r="E589" s="690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57" t="s">
        <v>950</v>
      </c>
      <c r="Q589" s="679"/>
      <c r="R589" s="679"/>
      <c r="S589" s="679"/>
      <c r="T589" s="680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88</v>
      </c>
      <c r="Q590" s="674"/>
      <c r="R590" s="674"/>
      <c r="S590" s="674"/>
      <c r="T590" s="674"/>
      <c r="U590" s="674"/>
      <c r="V590" s="675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88</v>
      </c>
      <c r="Q591" s="674"/>
      <c r="R591" s="674"/>
      <c r="S591" s="674"/>
      <c r="T591" s="674"/>
      <c r="U591" s="674"/>
      <c r="V591" s="675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64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3"/>
      <c r="AB592" s="663"/>
      <c r="AC592" s="663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89">
        <v>4640242180113</v>
      </c>
      <c r="E593" s="690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35" t="s">
        <v>954</v>
      </c>
      <c r="Q593" s="679"/>
      <c r="R593" s="679"/>
      <c r="S593" s="679"/>
      <c r="T593" s="680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88</v>
      </c>
      <c r="Q594" s="674"/>
      <c r="R594" s="674"/>
      <c r="S594" s="674"/>
      <c r="T594" s="674"/>
      <c r="U594" s="674"/>
      <c r="V594" s="675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88</v>
      </c>
      <c r="Q595" s="674"/>
      <c r="R595" s="674"/>
      <c r="S595" s="674"/>
      <c r="T595" s="674"/>
      <c r="U595" s="674"/>
      <c r="V595" s="675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1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46"/>
      <c r="P596" s="830" t="s">
        <v>956</v>
      </c>
      <c r="Q596" s="687"/>
      <c r="R596" s="687"/>
      <c r="S596" s="687"/>
      <c r="T596" s="687"/>
      <c r="U596" s="687"/>
      <c r="V596" s="688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4915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5018.82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46"/>
      <c r="P597" s="830" t="s">
        <v>957</v>
      </c>
      <c r="Q597" s="687"/>
      <c r="R597" s="687"/>
      <c r="S597" s="687"/>
      <c r="T597" s="687"/>
      <c r="U597" s="687"/>
      <c r="V597" s="688"/>
      <c r="W597" s="37" t="s">
        <v>69</v>
      </c>
      <c r="X597" s="669">
        <f>IFERROR(SUM(BM22:BM593),"0")</f>
        <v>5165.8416062641054</v>
      </c>
      <c r="Y597" s="669">
        <f>IFERROR(SUM(BN22:BN593),"0")</f>
        <v>5274.6510000000007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46"/>
      <c r="P598" s="830" t="s">
        <v>958</v>
      </c>
      <c r="Q598" s="687"/>
      <c r="R598" s="687"/>
      <c r="S598" s="687"/>
      <c r="T598" s="687"/>
      <c r="U598" s="687"/>
      <c r="V598" s="688"/>
      <c r="W598" s="37" t="s">
        <v>959</v>
      </c>
      <c r="X598" s="38">
        <f>ROUNDUP(SUM(BO22:BO593),0)</f>
        <v>9</v>
      </c>
      <c r="Y598" s="38">
        <f>ROUNDUP(SUM(BP22:BP593),0)</f>
        <v>9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46"/>
      <c r="P599" s="830" t="s">
        <v>960</v>
      </c>
      <c r="Q599" s="687"/>
      <c r="R599" s="687"/>
      <c r="S599" s="687"/>
      <c r="T599" s="687"/>
      <c r="U599" s="687"/>
      <c r="V599" s="688"/>
      <c r="W599" s="37" t="s">
        <v>69</v>
      </c>
      <c r="X599" s="669">
        <f>GrossWeightTotal+PalletQtyTotal*25</f>
        <v>5390.8416062641054</v>
      </c>
      <c r="Y599" s="669">
        <f>GrossWeightTotalR+PalletQtyTotalR*25</f>
        <v>5499.6510000000007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46"/>
      <c r="P600" s="830" t="s">
        <v>961</v>
      </c>
      <c r="Q600" s="687"/>
      <c r="R600" s="687"/>
      <c r="S600" s="687"/>
      <c r="T600" s="687"/>
      <c r="U600" s="687"/>
      <c r="V600" s="688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588.30462747129411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601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46"/>
      <c r="P601" s="830" t="s">
        <v>962</v>
      </c>
      <c r="Q601" s="687"/>
      <c r="R601" s="687"/>
      <c r="S601" s="687"/>
      <c r="T601" s="687"/>
      <c r="U601" s="687"/>
      <c r="V601" s="688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9.7933200000000014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725" t="s">
        <v>96</v>
      </c>
      <c r="D603" s="734"/>
      <c r="E603" s="734"/>
      <c r="F603" s="734"/>
      <c r="G603" s="734"/>
      <c r="H603" s="735"/>
      <c r="I603" s="725" t="s">
        <v>284</v>
      </c>
      <c r="J603" s="734"/>
      <c r="K603" s="734"/>
      <c r="L603" s="734"/>
      <c r="M603" s="734"/>
      <c r="N603" s="734"/>
      <c r="O603" s="734"/>
      <c r="P603" s="734"/>
      <c r="Q603" s="734"/>
      <c r="R603" s="734"/>
      <c r="S603" s="734"/>
      <c r="T603" s="734"/>
      <c r="U603" s="734"/>
      <c r="V603" s="735"/>
      <c r="W603" s="725" t="s">
        <v>602</v>
      </c>
      <c r="X603" s="735"/>
      <c r="Y603" s="725" t="s">
        <v>674</v>
      </c>
      <c r="Z603" s="734"/>
      <c r="AA603" s="734"/>
      <c r="AB603" s="735"/>
      <c r="AC603" s="664" t="s">
        <v>749</v>
      </c>
      <c r="AD603" s="725" t="s">
        <v>846</v>
      </c>
      <c r="AE603" s="735"/>
      <c r="AF603" s="665"/>
    </row>
    <row r="604" spans="1:68" ht="14.25" customHeight="1" thickTop="1" x14ac:dyDescent="0.2">
      <c r="A604" s="940" t="s">
        <v>965</v>
      </c>
      <c r="B604" s="725" t="s">
        <v>63</v>
      </c>
      <c r="C604" s="725" t="s">
        <v>97</v>
      </c>
      <c r="D604" s="725" t="s">
        <v>118</v>
      </c>
      <c r="E604" s="725" t="s">
        <v>183</v>
      </c>
      <c r="F604" s="725" t="s">
        <v>214</v>
      </c>
      <c r="G604" s="725" t="s">
        <v>257</v>
      </c>
      <c r="H604" s="725" t="s">
        <v>96</v>
      </c>
      <c r="I604" s="725" t="s">
        <v>285</v>
      </c>
      <c r="J604" s="725" t="s">
        <v>331</v>
      </c>
      <c r="K604" s="725" t="s">
        <v>392</v>
      </c>
      <c r="L604" s="725" t="s">
        <v>439</v>
      </c>
      <c r="M604" s="725" t="s">
        <v>457</v>
      </c>
      <c r="N604" s="665"/>
      <c r="O604" s="725" t="s">
        <v>461</v>
      </c>
      <c r="P604" s="725" t="s">
        <v>474</v>
      </c>
      <c r="Q604" s="725" t="s">
        <v>488</v>
      </c>
      <c r="R604" s="725" t="s">
        <v>498</v>
      </c>
      <c r="S604" s="725" t="s">
        <v>502</v>
      </c>
      <c r="T604" s="725" t="s">
        <v>510</v>
      </c>
      <c r="U604" s="725" t="s">
        <v>515</v>
      </c>
      <c r="V604" s="725" t="s">
        <v>589</v>
      </c>
      <c r="W604" s="725" t="s">
        <v>603</v>
      </c>
      <c r="X604" s="725" t="s">
        <v>644</v>
      </c>
      <c r="Y604" s="725" t="s">
        <v>675</v>
      </c>
      <c r="Z604" s="725" t="s">
        <v>714</v>
      </c>
      <c r="AA604" s="725" t="s">
        <v>734</v>
      </c>
      <c r="AB604" s="725" t="s">
        <v>742</v>
      </c>
      <c r="AC604" s="725" t="s">
        <v>749</v>
      </c>
      <c r="AD604" s="725" t="s">
        <v>846</v>
      </c>
      <c r="AE604" s="725" t="s">
        <v>939</v>
      </c>
      <c r="AF604" s="665"/>
    </row>
    <row r="605" spans="1:68" ht="13.5" customHeight="1" thickBot="1" x14ac:dyDescent="0.25">
      <c r="A605" s="941"/>
      <c r="B605" s="726"/>
      <c r="C605" s="726"/>
      <c r="D605" s="726"/>
      <c r="E605" s="726"/>
      <c r="F605" s="726"/>
      <c r="G605" s="726"/>
      <c r="H605" s="726"/>
      <c r="I605" s="726"/>
      <c r="J605" s="726"/>
      <c r="K605" s="726"/>
      <c r="L605" s="726"/>
      <c r="M605" s="726"/>
      <c r="N605" s="665"/>
      <c r="O605" s="726"/>
      <c r="P605" s="726"/>
      <c r="Q605" s="726"/>
      <c r="R605" s="726"/>
      <c r="S605" s="726"/>
      <c r="T605" s="726"/>
      <c r="U605" s="726"/>
      <c r="V605" s="726"/>
      <c r="W605" s="726"/>
      <c r="X605" s="726"/>
      <c r="Y605" s="726"/>
      <c r="Z605" s="726"/>
      <c r="AA605" s="726"/>
      <c r="AB605" s="726"/>
      <c r="AC605" s="726"/>
      <c r="AD605" s="726"/>
      <c r="AE605" s="726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97.2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259.20000000000005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82.800000000000011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50.400000000000006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1548</v>
      </c>
      <c r="V606" s="46">
        <f>IFERROR(Y371*1,"0")+IFERROR(Y375*1,"0")+IFERROR(Y376*1,"0")+IFERROR(Y377*1,"0")</f>
        <v>105.3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1680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43.2</v>
      </c>
      <c r="Z606" s="46">
        <f>IFERROR(Y457*1,"0")+IFERROR(Y458*1,"0")+IFERROR(Y462*1,"0")+IFERROR(Y463*1,"0")+IFERROR(Y464*1,"0")+IFERROR(Y465*1,"0")</f>
        <v>16.200000000000003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945.11999999999989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191.4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00,00"/>
        <filter val="11,90"/>
        <filter val="12,35"/>
        <filter val="130,00"/>
        <filter val="14,81"/>
        <filter val="15,00"/>
        <filter val="15,74"/>
        <filter val="150,00"/>
        <filter val="153,85"/>
        <filter val="160,00"/>
        <filter val="170,00"/>
        <filter val="180,00"/>
        <filter val="2,78"/>
        <filter val="20,00"/>
        <filter val="200,00"/>
        <filter val="250,00"/>
        <filter val="270,00"/>
        <filter val="30,00"/>
        <filter val="4 915,00"/>
        <filter val="4,44"/>
        <filter val="40,00"/>
        <filter val="400,00"/>
        <filter val="42,86"/>
        <filter val="47,35"/>
        <filter val="5 165,84"/>
        <filter val="5 390,84"/>
        <filter val="5,95"/>
        <filter val="50,00"/>
        <filter val="500,00"/>
        <filter val="51,14"/>
        <filter val="53,33"/>
        <filter val="56,67"/>
        <filter val="588,30"/>
        <filter val="7,41"/>
        <filter val="7,50"/>
        <filter val="75,76"/>
        <filter val="8,33"/>
        <filter val="80,00"/>
        <filter val="800,00"/>
        <filter val="850,00"/>
        <filter val="9"/>
        <filter val="90,00"/>
      </filters>
    </filterColumn>
    <filterColumn colId="29" showButton="0"/>
    <filterColumn colId="30" showButton="0"/>
  </autoFilter>
  <mergeCells count="1062"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P568:T568"/>
    <mergeCell ref="D278:E278"/>
    <mergeCell ref="D549:E549"/>
    <mergeCell ref="D107:E107"/>
    <mergeCell ref="D576:E576"/>
    <mergeCell ref="P589:T589"/>
    <mergeCell ref="A552:O55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D49:E49"/>
    <mergeCell ref="P199:T199"/>
    <mergeCell ref="D120:E120"/>
    <mergeCell ref="A315:Z315"/>
    <mergeCell ref="P497:T497"/>
    <mergeCell ref="P290:V290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P116:V116"/>
    <mergeCell ref="P600:V600"/>
    <mergeCell ref="P594:V594"/>
    <mergeCell ref="A193:Z193"/>
    <mergeCell ref="D125:E125"/>
    <mergeCell ref="P375:T375"/>
    <mergeCell ref="P204:T204"/>
    <mergeCell ref="P446:T446"/>
    <mergeCell ref="A369:Z369"/>
    <mergeCell ref="P598:V598"/>
    <mergeCell ref="P338:T338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592:Z592"/>
    <mergeCell ref="D547:E547"/>
    <mergeCell ref="P524:V524"/>
    <mergeCell ref="D589:E589"/>
    <mergeCell ref="D560:E560"/>
    <mergeCell ref="F604:F605"/>
    <mergeCell ref="P571:V571"/>
    <mergeCell ref="D358:E358"/>
    <mergeCell ref="Y603:AB603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D457:E457"/>
    <mergeCell ref="P68:V68"/>
    <mergeCell ref="A64:Z64"/>
    <mergeCell ref="P432:V432"/>
    <mergeCell ref="P439:T439"/>
    <mergeCell ref="D249:E249"/>
    <mergeCell ref="P262:T262"/>
    <mergeCell ref="A83:O84"/>
    <mergeCell ref="D151:E151"/>
    <mergeCell ref="P157:T157"/>
    <mergeCell ref="A9:C9"/>
    <mergeCell ref="P273:V273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P463:T463"/>
    <mergeCell ref="D384:E384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P125:T125"/>
    <mergeCell ref="P557:T557"/>
    <mergeCell ref="D58:E58"/>
    <mergeCell ref="D500:E500"/>
    <mergeCell ref="D294:E294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H17:H18"/>
    <mergeCell ref="P532:T532"/>
    <mergeCell ref="A13:M13"/>
    <mergeCell ref="D61:E61"/>
    <mergeCell ref="P115:T115"/>
    <mergeCell ref="D254:E254"/>
    <mergeCell ref="A15:M15"/>
    <mergeCell ref="P238:T238"/>
    <mergeCell ref="D490:E490"/>
    <mergeCell ref="D346:E346"/>
    <mergeCell ref="A133:Z133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A325:Z325"/>
    <mergeCell ref="R604:R605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U604:U605"/>
    <mergeCell ref="P245:T245"/>
    <mergeCell ref="P516:T516"/>
    <mergeCell ref="P126:V126"/>
    <mergeCell ref="P543:T543"/>
    <mergeCell ref="D424:E424"/>
    <mergeCell ref="P491:T491"/>
    <mergeCell ref="A586:O587"/>
    <mergeCell ref="P216:T216"/>
    <mergeCell ref="A139:Z139"/>
    <mergeCell ref="P489:T489"/>
    <mergeCell ref="D189:E189"/>
    <mergeCell ref="P438:T438"/>
    <mergeCell ref="D444:E444"/>
    <mergeCell ref="D419:E419"/>
    <mergeCell ref="P267:T267"/>
    <mergeCell ref="D219:E219"/>
    <mergeCell ref="A186:O187"/>
    <mergeCell ref="P425:T425"/>
    <mergeCell ref="P288:T288"/>
    <mergeCell ref="D234:E234"/>
    <mergeCell ref="D515:E515"/>
    <mergeCell ref="A479:Z479"/>
    <mergeCell ref="D344:E344"/>
    <mergeCell ref="D471:E471"/>
    <mergeCell ref="D173:E173"/>
    <mergeCell ref="D542:E542"/>
    <mergeCell ref="P84:V84"/>
    <mergeCell ref="P387:T387"/>
    <mergeCell ref="P314:V314"/>
    <mergeCell ref="A381:Z381"/>
    <mergeCell ref="P514:T514"/>
    <mergeCell ref="A582:O583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24:T24"/>
    <mergeCell ref="P322:T322"/>
    <mergeCell ref="P211:T211"/>
    <mergeCell ref="P89:T89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261:Z261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D130:E130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P558:T558"/>
    <mergeCell ref="A577:O578"/>
    <mergeCell ref="A584:Z584"/>
    <mergeCell ref="D555:E555"/>
    <mergeCell ref="A17:A18"/>
    <mergeCell ref="P493:T493"/>
    <mergeCell ref="P371:T371"/>
    <mergeCell ref="C17:C18"/>
    <mergeCell ref="K17:K18"/>
    <mergeCell ref="D37:E37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D74:E74"/>
    <mergeCell ref="P87:T87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D487:E487"/>
    <mergeCell ref="D343:E343"/>
    <mergeCell ref="P397:T397"/>
    <mergeCell ref="P74:T74"/>
    <mergeCell ref="D480:E480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353:T353"/>
    <mergeCell ref="P495:T495"/>
    <mergeCell ref="D167:E167"/>
    <mergeCell ref="P351:T351"/>
    <mergeCell ref="A47:Z47"/>
    <mergeCell ref="P208:T208"/>
    <mergeCell ref="D567:E56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P597:V597"/>
    <mergeCell ref="P593:T593"/>
    <mergeCell ref="P601:V601"/>
    <mergeCell ref="A134:Z134"/>
    <mergeCell ref="D532:E532"/>
    <mergeCell ref="P367:V367"/>
    <mergeCell ref="A420:O421"/>
    <mergeCell ref="D507:E507"/>
    <mergeCell ref="A537:Z537"/>
    <mergeCell ref="D402:E402"/>
    <mergeCell ref="P195:T195"/>
    <mergeCell ref="A118:Z118"/>
    <mergeCell ref="D235:E235"/>
    <mergeCell ref="P312:T312"/>
    <mergeCell ref="D451:E451"/>
    <mergeCell ref="D255:E255"/>
    <mergeCell ref="P478:V478"/>
    <mergeCell ref="D322:E322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Q9:R9"/>
    <mergeCell ref="D24:E24"/>
    <mergeCell ref="P376:T376"/>
    <mergeCell ref="A395:Z395"/>
    <mergeCell ref="P205:T205"/>
    <mergeCell ref="P272:T272"/>
    <mergeCell ref="A340:O341"/>
    <mergeCell ref="D327:E327"/>
    <mergeCell ref="A19:Z19"/>
    <mergeCell ref="D280:E280"/>
    <mergeCell ref="D551:E551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D396:E396"/>
    <mergeCell ref="P15:T16"/>
    <mergeCell ref="D414:E414"/>
    <mergeCell ref="D352:E352"/>
    <mergeCell ref="P419:T419"/>
    <mergeCell ref="P219:T219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D109:E109"/>
    <mergeCell ref="P424:T424"/>
    <mergeCell ref="D345:E345"/>
    <mergeCell ref="D538:E538"/>
    <mergeCell ref="D185:E185"/>
    <mergeCell ref="A429:Z429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P492:T492"/>
    <mergeCell ref="A166:Z166"/>
    <mergeCell ref="D31:E31"/>
    <mergeCell ref="A416:O417"/>
    <mergeCell ref="D329:E329"/>
    <mergeCell ref="P286:T286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D7:M7"/>
    <mergeCell ref="P236:T236"/>
    <mergeCell ref="A450:Z450"/>
    <mergeCell ref="P521:T521"/>
    <mergeCell ref="A468:Z468"/>
    <mergeCell ref="P401:T401"/>
    <mergeCell ref="P339:T339"/>
    <mergeCell ref="D211:E211"/>
    <mergeCell ref="P190:V190"/>
    <mergeCell ref="P97:T97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365:E36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A311:Z31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X604:X605"/>
    <mergeCell ref="Z604:Z605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O604:O605"/>
    <mergeCell ref="Q604:Q605"/>
    <mergeCell ref="P266:T266"/>
    <mergeCell ref="P530:V530"/>
    <mergeCell ref="P95:T95"/>
    <mergeCell ref="P527:T527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A523:O524"/>
    <mergeCell ref="D376:E376"/>
    <mergeCell ref="P249:T249"/>
    <mergeCell ref="P520:T520"/>
    <mergeCell ref="D205:E205"/>
    <mergeCell ref="D357:E357"/>
    <mergeCell ref="P172:T172"/>
    <mergeCell ref="A158:O159"/>
    <mergeCell ref="D71:E71"/>
    <mergeCell ref="P518:T518"/>
    <mergeCell ref="A363:Z363"/>
    <mergeCell ref="D499:E499"/>
    <mergeCell ref="D263:E263"/>
    <mergeCell ref="P220:T220"/>
    <mergeCell ref="D366:E366"/>
    <mergeCell ref="P237:T237"/>
    <mergeCell ref="A226:Z226"/>
    <mergeCell ref="P472:V472"/>
    <mergeCell ref="A70:Z70"/>
    <mergeCell ref="P331:T331"/>
    <mergeCell ref="D470:E470"/>
    <mergeCell ref="A212:O213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P44:T44"/>
    <mergeCell ref="P31:T31"/>
    <mergeCell ref="P45:V45"/>
    <mergeCell ref="D129:E129"/>
    <mergeCell ref="P91:V91"/>
    <mergeCell ref="D67:E67"/>
    <mergeCell ref="P52:T52"/>
    <mergeCell ref="P201:V201"/>
    <mergeCell ref="I17:I18"/>
    <mergeCell ref="D141:E141"/>
    <mergeCell ref="D135:E135"/>
    <mergeCell ref="P189:T189"/>
    <mergeCell ref="D377:E377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  <mergeCell ref="P159:V159"/>
    <mergeCell ref="P209:T209"/>
    <mergeCell ref="P445:T445"/>
    <mergeCell ref="A434:Z434"/>
    <mergeCell ref="P448:V448"/>
    <mergeCell ref="P230:V230"/>
    <mergeCell ref="P168:V168"/>
    <mergeCell ref="A246:O247"/>
    <mergeCell ref="P287:T287"/>
    <mergeCell ref="P23:T23"/>
    <mergeCell ref="A335:Z335"/>
    <mergeCell ref="A164:Z1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2025-04-29T10:54:24Z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