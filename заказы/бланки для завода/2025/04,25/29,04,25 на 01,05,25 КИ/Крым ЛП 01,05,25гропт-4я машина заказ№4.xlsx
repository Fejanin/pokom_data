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1741E1-238F-47D7-AE83-6A514890E6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O518" i="1"/>
  <c r="BM518" i="1"/>
  <c r="Y518" i="1"/>
  <c r="BO517" i="1"/>
  <c r="BM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N343" i="1"/>
  <c r="BM343" i="1"/>
  <c r="Z343" i="1"/>
  <c r="Y343" i="1"/>
  <c r="BP343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M167" i="1"/>
  <c r="Y167" i="1"/>
  <c r="Y168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N27" i="1"/>
  <c r="BM27" i="1"/>
  <c r="Z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52" i="1" l="1"/>
  <c r="BN52" i="1"/>
  <c r="Z52" i="1"/>
  <c r="BP80" i="1"/>
  <c r="BN80" i="1"/>
  <c r="Z80" i="1"/>
  <c r="BP108" i="1"/>
  <c r="BN108" i="1"/>
  <c r="Z108" i="1"/>
  <c r="Y152" i="1"/>
  <c r="BP151" i="1"/>
  <c r="BN151" i="1"/>
  <c r="Z151" i="1"/>
  <c r="Z152" i="1" s="1"/>
  <c r="BP155" i="1"/>
  <c r="BN155" i="1"/>
  <c r="Z155" i="1"/>
  <c r="BP215" i="1"/>
  <c r="BN215" i="1"/>
  <c r="Z215" i="1"/>
  <c r="BP238" i="1"/>
  <c r="BN238" i="1"/>
  <c r="Z238" i="1"/>
  <c r="BP288" i="1"/>
  <c r="BN288" i="1"/>
  <c r="Z288" i="1"/>
  <c r="BP351" i="1"/>
  <c r="BN351" i="1"/>
  <c r="Z351" i="1"/>
  <c r="BP390" i="1"/>
  <c r="BN390" i="1"/>
  <c r="Z390" i="1"/>
  <c r="BP444" i="1"/>
  <c r="BN444" i="1"/>
  <c r="Z444" i="1"/>
  <c r="BP517" i="1"/>
  <c r="BN517" i="1"/>
  <c r="Z517" i="1"/>
  <c r="BP519" i="1"/>
  <c r="BN519" i="1"/>
  <c r="Z519" i="1"/>
  <c r="B606" i="1"/>
  <c r="X598" i="1"/>
  <c r="BP66" i="1"/>
  <c r="BN66" i="1"/>
  <c r="Z66" i="1"/>
  <c r="BP93" i="1"/>
  <c r="BN93" i="1"/>
  <c r="Z93" i="1"/>
  <c r="BP129" i="1"/>
  <c r="BN129" i="1"/>
  <c r="Z129" i="1"/>
  <c r="BP205" i="1"/>
  <c r="BN205" i="1"/>
  <c r="Z205" i="1"/>
  <c r="BP223" i="1"/>
  <c r="BN223" i="1"/>
  <c r="Z223" i="1"/>
  <c r="BP266" i="1"/>
  <c r="BN266" i="1"/>
  <c r="Z266" i="1"/>
  <c r="BP337" i="1"/>
  <c r="BN337" i="1"/>
  <c r="Z337" i="1"/>
  <c r="BP376" i="1"/>
  <c r="BN376" i="1"/>
  <c r="Z376" i="1"/>
  <c r="BP414" i="1"/>
  <c r="BN414" i="1"/>
  <c r="Z414" i="1"/>
  <c r="BP445" i="1"/>
  <c r="BN445" i="1"/>
  <c r="Z445" i="1"/>
  <c r="BP518" i="1"/>
  <c r="BN518" i="1"/>
  <c r="Z518" i="1"/>
  <c r="BP526" i="1"/>
  <c r="BN526" i="1"/>
  <c r="Z526" i="1"/>
  <c r="X596" i="1"/>
  <c r="Y77" i="1"/>
  <c r="Y83" i="1"/>
  <c r="Y102" i="1"/>
  <c r="Y132" i="1"/>
  <c r="G606" i="1"/>
  <c r="O606" i="1"/>
  <c r="Y354" i="1"/>
  <c r="D606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X597" i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Y111" i="1"/>
  <c r="Z114" i="1"/>
  <c r="BN114" i="1"/>
  <c r="Y126" i="1"/>
  <c r="Z125" i="1"/>
  <c r="BN125" i="1"/>
  <c r="Y131" i="1"/>
  <c r="Z136" i="1"/>
  <c r="BN136" i="1"/>
  <c r="Y142" i="1"/>
  <c r="Z146" i="1"/>
  <c r="BN146" i="1"/>
  <c r="Y159" i="1"/>
  <c r="Z157" i="1"/>
  <c r="BN157" i="1"/>
  <c r="Y158" i="1"/>
  <c r="Z161" i="1"/>
  <c r="Z162" i="1" s="1"/>
  <c r="BN161" i="1"/>
  <c r="BP161" i="1"/>
  <c r="Y162" i="1"/>
  <c r="Z167" i="1"/>
  <c r="Z168" i="1" s="1"/>
  <c r="BN167" i="1"/>
  <c r="BP167" i="1"/>
  <c r="Z171" i="1"/>
  <c r="BN171" i="1"/>
  <c r="Y181" i="1"/>
  <c r="Z175" i="1"/>
  <c r="BN175" i="1"/>
  <c r="Z176" i="1"/>
  <c r="BN176" i="1"/>
  <c r="Z195" i="1"/>
  <c r="BN195" i="1"/>
  <c r="Z199" i="1"/>
  <c r="BN199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64" i="1"/>
  <c r="BN264" i="1"/>
  <c r="Z278" i="1"/>
  <c r="BN278" i="1"/>
  <c r="Z286" i="1"/>
  <c r="BN286" i="1"/>
  <c r="Z317" i="1"/>
  <c r="BN317" i="1"/>
  <c r="Z322" i="1"/>
  <c r="Z323" i="1" s="1"/>
  <c r="BN322" i="1"/>
  <c r="BP322" i="1"/>
  <c r="Y323" i="1"/>
  <c r="Z327" i="1"/>
  <c r="BN327" i="1"/>
  <c r="Z331" i="1"/>
  <c r="BN331" i="1"/>
  <c r="Z339" i="1"/>
  <c r="BN339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Y509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Y379" i="1"/>
  <c r="Y473" i="1"/>
  <c r="F9" i="1"/>
  <c r="J9" i="1"/>
  <c r="F10" i="1"/>
  <c r="Z22" i="1"/>
  <c r="BN22" i="1"/>
  <c r="BP22" i="1"/>
  <c r="Z26" i="1"/>
  <c r="BN26" i="1"/>
  <c r="X600" i="1"/>
  <c r="Y29" i="1"/>
  <c r="C606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Z83" i="1" s="1"/>
  <c r="BN81" i="1"/>
  <c r="BP81" i="1"/>
  <c r="E606" i="1"/>
  <c r="Z88" i="1"/>
  <c r="Z90" i="1" s="1"/>
  <c r="BN88" i="1"/>
  <c r="BP88" i="1"/>
  <c r="Y91" i="1"/>
  <c r="Z94" i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4" i="1"/>
  <c r="BN124" i="1"/>
  <c r="Y127" i="1"/>
  <c r="Z130" i="1"/>
  <c r="Z131" i="1" s="1"/>
  <c r="BN130" i="1"/>
  <c r="BP130" i="1"/>
  <c r="Z135" i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BP156" i="1"/>
  <c r="BN156" i="1"/>
  <c r="Z156" i="1"/>
  <c r="Z158" i="1" s="1"/>
  <c r="I606" i="1"/>
  <c r="Y180" i="1"/>
  <c r="BP174" i="1"/>
  <c r="BN174" i="1"/>
  <c r="Z174" i="1"/>
  <c r="BP179" i="1"/>
  <c r="BN179" i="1"/>
  <c r="Z179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H9" i="1"/>
  <c r="Y28" i="1"/>
  <c r="Y55" i="1"/>
  <c r="Y13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Y269" i="1"/>
  <c r="BP263" i="1"/>
  <c r="BN263" i="1"/>
  <c r="Z263" i="1"/>
  <c r="Z268" i="1" s="1"/>
  <c r="Y169" i="1"/>
  <c r="L606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54" i="1" l="1"/>
  <c r="Z137" i="1"/>
  <c r="Z62" i="1"/>
  <c r="Z41" i="1"/>
  <c r="X599" i="1"/>
  <c r="Z416" i="1"/>
  <c r="Z241" i="1"/>
  <c r="Z224" i="1"/>
  <c r="Z126" i="1"/>
  <c r="Z116" i="1"/>
  <c r="Z110" i="1"/>
  <c r="Z102" i="1"/>
  <c r="Z77" i="1"/>
  <c r="Z68" i="1"/>
  <c r="Z552" i="1"/>
  <c r="Z523" i="1"/>
  <c r="Z466" i="1"/>
  <c r="Z393" i="1"/>
  <c r="Z367" i="1"/>
  <c r="Z361" i="1"/>
  <c r="Y597" i="1"/>
  <c r="Z570" i="1"/>
  <c r="Z502" i="1"/>
  <c r="Z212" i="1"/>
  <c r="Y600" i="1"/>
  <c r="Z55" i="1"/>
  <c r="Y596" i="1"/>
  <c r="Y598" i="1"/>
  <c r="Z28" i="1"/>
  <c r="Z601" i="1" l="1"/>
  <c r="Y599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<sst xmlns="http://schemas.openxmlformats.org/spreadsheetml/2006/main" count="2761" uniqueCount="983">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</sst>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30</v>
      </c>
      <c r="Y37" s="668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2.7777777777777777</v>
      </c>
      <c r="Y41" s="669">
        <f>IFERROR(Y37/H37,"0")+IFERROR(Y38/H38,"0")+IFERROR(Y39/H39,"0")+IFERROR(Y40/H40,"0")</f>
        <v>3.0000000000000004</v>
      </c>
      <c r="Z41" s="669">
        <f>IFERROR(IF(Z37="",0,Z37),"0")+IFERROR(IF(Z38="",0,Z38),"0")+IFERROR(IF(Z39="",0,Z39),"0")+IFERROR(IF(Z40="",0,Z40),"0")</f>
        <v>5.6940000000000004E-2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30</v>
      </c>
      <c r="Y42" s="669">
        <f>IFERROR(SUM(Y37:Y40),"0")</f>
        <v>32.400000000000006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50</v>
      </c>
      <c r="Y50" s="668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4.6296296296296298</v>
      </c>
      <c r="Y55" s="669">
        <f>IFERROR(Y49/H49,"0")+IFERROR(Y50/H50,"0")+IFERROR(Y51/H51,"0")+IFERROR(Y52/H52,"0")+IFERROR(Y53/H53,"0")+IFERROR(Y54/H54,"0")</f>
        <v>5</v>
      </c>
      <c r="Z55" s="669">
        <f>IFERROR(IF(Z49="",0,Z49),"0")+IFERROR(IF(Z50="",0,Z50),"0")+IFERROR(IF(Z51="",0,Z51),"0")+IFERROR(IF(Z52="",0,Z52),"0")+IFERROR(IF(Z53="",0,Z53),"0")+IFERROR(IF(Z54="",0,Z54),"0")</f>
        <v>9.4899999999999998E-2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50</v>
      </c>
      <c r="Y56" s="669">
        <f>IFERROR(SUM(Y49:Y54),"0")</f>
        <v>54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30</v>
      </c>
      <c r="Y58" s="668">
        <f>IFERROR(IF(X58="",0,CEILING((X58/$H58),1)*$H58),"")</f>
        <v>32.400000000000006</v>
      </c>
      <c r="Z58" s="36">
        <f>IFERROR(IF(Y58=0,"",ROUNDUP(Y58/H58,0)*0.01898),"")</f>
        <v>5.6940000000000004E-2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31.208333333333329</v>
      </c>
      <c r="BN58" s="64">
        <f>IFERROR(Y58*I58/H58,"0")</f>
        <v>33.705000000000005</v>
      </c>
      <c r="BO58" s="64">
        <f>IFERROR(1/J58*(X58/H58),"0")</f>
        <v>4.3402777777777776E-2</v>
      </c>
      <c r="BP58" s="64">
        <f>IFERROR(1/J58*(Y58/H58),"0")</f>
        <v>4.6875000000000007E-2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2.7777777777777777</v>
      </c>
      <c r="Y62" s="669">
        <f>IFERROR(Y58/H58,"0")+IFERROR(Y59/H59,"0")+IFERROR(Y60/H60,"0")+IFERROR(Y61/H61,"0")</f>
        <v>3.0000000000000004</v>
      </c>
      <c r="Z62" s="669">
        <f>IFERROR(IF(Z58="",0,Z58),"0")+IFERROR(IF(Z59="",0,Z59),"0")+IFERROR(IF(Z60="",0,Z60),"0")+IFERROR(IF(Z61="",0,Z61),"0")</f>
        <v>5.6940000000000004E-2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30</v>
      </c>
      <c r="Y63" s="669">
        <f>IFERROR(SUM(Y58:Y61),"0")</f>
        <v>32.400000000000006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35</v>
      </c>
      <c r="Y120" s="668">
        <f t="shared" si="21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37.137499999999996</v>
      </c>
      <c r="BN120" s="64">
        <f t="shared" si="23"/>
        <v>44.564999999999998</v>
      </c>
      <c r="BO120" s="64">
        <f t="shared" si="24"/>
        <v>6.5104166666666657E-2</v>
      </c>
      <c r="BP120" s="64">
        <f t="shared" si="25"/>
        <v>7.8125E-2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4.1666666666666661</v>
      </c>
      <c r="Y126" s="669">
        <f>IFERROR(Y119/H119,"0")+IFERROR(Y120/H120,"0")+IFERROR(Y121/H121,"0")+IFERROR(Y122/H122,"0")+IFERROR(Y123/H123,"0")+IFERROR(Y124/H124,"0")+IFERROR(Y125/H125,"0")</f>
        <v>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9.4899999999999998E-2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35</v>
      </c>
      <c r="Y127" s="669">
        <f>IFERROR(SUM(Y119:Y125),"0")</f>
        <v>42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10</v>
      </c>
      <c r="Y156" s="668">
        <f>IFERROR(IF(X156="",0,CEILING((X156/$H156),1)*$H156),"")</f>
        <v>12.600000000000001</v>
      </c>
      <c r="Z156" s="36">
        <f>IFERROR(IF(Y156=0,"",ROUNDUP(Y156/H156,0)*0.00651),"")</f>
        <v>1.9529999999999999E-2</v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10.642857142857141</v>
      </c>
      <c r="BN156" s="64">
        <f>IFERROR(Y156*I156/H156,"0")</f>
        <v>13.41</v>
      </c>
      <c r="BO156" s="64">
        <f>IFERROR(1/J156*(X156/H156),"0")</f>
        <v>1.3082155939298797E-2</v>
      </c>
      <c r="BP156" s="64">
        <f>IFERROR(1/J156*(Y156/H156),"0")</f>
        <v>1.6483516483516484E-2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20</v>
      </c>
      <c r="Y157" s="668">
        <f>IFERROR(IF(X157="",0,CEILING((X157/$H157),1)*$H157),"")</f>
        <v>27</v>
      </c>
      <c r="Z157" s="36">
        <f>IFERROR(IF(Y157=0,"",ROUNDUP(Y157/H157,0)*0.01898),"")</f>
        <v>5.6940000000000004E-2</v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21.3</v>
      </c>
      <c r="BN157" s="64">
        <f>IFERROR(Y157*I157/H157,"0")</f>
        <v>28.755000000000003</v>
      </c>
      <c r="BO157" s="64">
        <f>IFERROR(1/J157*(X157/H157),"0")</f>
        <v>3.4722222222222224E-2</v>
      </c>
      <c r="BP157" s="64">
        <f>IFERROR(1/J157*(Y157/H157),"0")</f>
        <v>4.6875E-2</v>
      </c>
    </row>
    <row r="158" spans="1:68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4.6031746031746028</v>
      </c>
      <c r="Y158" s="669">
        <f>IFERROR(Y155/H155,"0")+IFERROR(Y156/H156,"0")+IFERROR(Y157/H157,"0")</f>
        <v>6</v>
      </c>
      <c r="Z158" s="669">
        <f>IFERROR(IF(Z155="",0,Z155),"0")+IFERROR(IF(Z156="",0,Z156),"0")+IFERROR(IF(Z157="",0,Z157),"0")</f>
        <v>7.647000000000001E-2</v>
      </c>
      <c r="AA158" s="670"/>
      <c r="AB158" s="670"/>
      <c r="AC158" s="670"/>
    </row>
    <row r="159" spans="1:68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30</v>
      </c>
      <c r="Y159" s="669">
        <f>IFERROR(SUM(Y155:Y157),"0")</f>
        <v>39.6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0.86206896551724144</v>
      </c>
      <c r="Y241" s="669">
        <f>IFERROR(Y233/H233,"0")+IFERROR(Y234/H234,"0")+IFERROR(Y235/H235,"0")+IFERROR(Y236/H236,"0")+IFERROR(Y237/H237,"0")+IFERROR(Y238/H238,"0")+IFERROR(Y239/H239,"0")+IFERROR(Y240/H240,"0")</f>
        <v>1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10</v>
      </c>
      <c r="Y242" s="669">
        <f>IFERROR(SUM(Y233:Y240),"0")</f>
        <v>11.6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10</v>
      </c>
      <c r="Y264" s="668">
        <f t="shared" si="47"/>
        <v>10.8</v>
      </c>
      <c r="Z264" s="36">
        <f>IFERROR(IF(Y264=0,"",ROUNDUP(Y264/H264,0)*0.01898),"")</f>
        <v>1.898E-2</v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10.402777777777777</v>
      </c>
      <c r="BN264" s="64">
        <f t="shared" si="49"/>
        <v>11.234999999999999</v>
      </c>
      <c r="BO264" s="64">
        <f t="shared" si="50"/>
        <v>1.4467592592592591E-2</v>
      </c>
      <c r="BP264" s="64">
        <f t="shared" si="51"/>
        <v>1.5625E-2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0.92592592592592582</v>
      </c>
      <c r="Y268" s="669">
        <f>IFERROR(Y262/H262,"0")+IFERROR(Y263/H263,"0")+IFERROR(Y264/H264,"0")+IFERROR(Y265/H265,"0")+IFERROR(Y266/H266,"0")+IFERROR(Y267/H267,"0")</f>
        <v>1</v>
      </c>
      <c r="Z268" s="669">
        <f>IFERROR(IF(Z262="",0,Z262),"0")+IFERROR(IF(Z263="",0,Z263),"0")+IFERROR(IF(Z264="",0,Z264),"0")+IFERROR(IF(Z265="",0,Z265),"0")+IFERROR(IF(Z266="",0,Z266),"0")+IFERROR(IF(Z267="",0,Z267),"0")</f>
        <v>1.898E-2</v>
      </c>
      <c r="AA268" s="670"/>
      <c r="AB268" s="670"/>
      <c r="AC268" s="670"/>
    </row>
    <row r="269" spans="1:68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10</v>
      </c>
      <c r="Y269" s="669">
        <f>IFERROR(SUM(Y262:Y267),"0")</f>
        <v>10.8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180</v>
      </c>
      <c r="Y329" s="668">
        <f t="shared" si="52"/>
        <v>183.60000000000002</v>
      </c>
      <c r="Z329" s="36">
        <f>IFERROR(IF(Y329=0,"",ROUNDUP(Y329/H329,0)*0.01898),"")</f>
        <v>0.32266</v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187.24999999999997</v>
      </c>
      <c r="BN329" s="64">
        <f t="shared" si="54"/>
        <v>190.995</v>
      </c>
      <c r="BO329" s="64">
        <f t="shared" si="55"/>
        <v>0.26041666666666663</v>
      </c>
      <c r="BP329" s="64">
        <f t="shared" si="56"/>
        <v>0.265625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16.666666666666664</v>
      </c>
      <c r="Y333" s="669">
        <f>IFERROR(Y327/H327,"0")+IFERROR(Y328/H328,"0")+IFERROR(Y329/H329,"0")+IFERROR(Y330/H330,"0")+IFERROR(Y331/H331,"0")+IFERROR(Y332/H332,"0")</f>
        <v>17</v>
      </c>
      <c r="Z333" s="669">
        <f>IFERROR(IF(Z327="",0,Z327),"0")+IFERROR(IF(Z328="",0,Z328),"0")+IFERROR(IF(Z329="",0,Z329),"0")+IFERROR(IF(Z330="",0,Z330),"0")+IFERROR(IF(Z331="",0,Z331),"0")+IFERROR(IF(Z332="",0,Z332),"0")</f>
        <v>0.32266</v>
      </c>
      <c r="AA333" s="670"/>
      <c r="AB333" s="670"/>
      <c r="AC333" s="670"/>
    </row>
    <row r="334" spans="1:68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180</v>
      </c>
      <c r="Y334" s="669">
        <f>IFERROR(SUM(Y327:Y332),"0")</f>
        <v>183.60000000000002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50</v>
      </c>
      <c r="Y336" s="668">
        <f>IFERROR(IF(X336="",0,CEILING((X336/$H336),1)*$H336),"")</f>
        <v>50.400000000000006</v>
      </c>
      <c r="Z336" s="36">
        <f>IFERROR(IF(Y336=0,"",ROUNDUP(Y336/H336,0)*0.00902),"")</f>
        <v>0.10824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53.214285714285715</v>
      </c>
      <c r="BN336" s="64">
        <f>IFERROR(Y336*I336/H336,"0")</f>
        <v>53.64</v>
      </c>
      <c r="BO336" s="64">
        <f>IFERROR(1/J336*(X336/H336),"0")</f>
        <v>9.0187590187590191E-2</v>
      </c>
      <c r="BP336" s="64">
        <f>IFERROR(1/J336*(Y336/H336),"0")</f>
        <v>9.0909090909090912E-2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30</v>
      </c>
      <c r="Y337" s="668">
        <f>IFERROR(IF(X337="",0,CEILING((X337/$H337),1)*$H337),"")</f>
        <v>33.6</v>
      </c>
      <c r="Z337" s="36">
        <f>IFERROR(IF(Y337=0,"",ROUNDUP(Y337/H337,0)*0.00902),"")</f>
        <v>7.2160000000000002E-2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31.928571428571427</v>
      </c>
      <c r="BN337" s="64">
        <f>IFERROR(Y337*I337/H337,"0")</f>
        <v>35.76</v>
      </c>
      <c r="BO337" s="64">
        <f>IFERROR(1/J337*(X337/H337),"0")</f>
        <v>5.4112554112554112E-2</v>
      </c>
      <c r="BP337" s="64">
        <f>IFERROR(1/J337*(Y337/H337),"0")</f>
        <v>6.0606060606060608E-2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19.047619047619047</v>
      </c>
      <c r="Y340" s="669">
        <f>IFERROR(Y336/H336,"0")+IFERROR(Y337/H337,"0")+IFERROR(Y338/H338,"0")+IFERROR(Y339/H339,"0")</f>
        <v>20</v>
      </c>
      <c r="Z340" s="669">
        <f>IFERROR(IF(Z336="",0,Z336),"0")+IFERROR(IF(Z337="",0,Z337),"0")+IFERROR(IF(Z338="",0,Z338),"0")+IFERROR(IF(Z339="",0,Z339),"0")</f>
        <v>0.1804</v>
      </c>
      <c r="AA340" s="670"/>
      <c r="AB340" s="670"/>
      <c r="AC340" s="670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80</v>
      </c>
      <c r="Y341" s="669">
        <f>IFERROR(SUM(Y336:Y339),"0")</f>
        <v>84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50</v>
      </c>
      <c r="Y343" s="668">
        <f>IFERROR(IF(X343="",0,CEILING((X343/$H343),1)*$H343),"")</f>
        <v>54.6</v>
      </c>
      <c r="Z343" s="36">
        <f>IFERROR(IF(Y343=0,"",ROUNDUP(Y343/H343,0)*0.01898),"")</f>
        <v>0.13286000000000001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53.288461538461547</v>
      </c>
      <c r="BN343" s="64">
        <f>IFERROR(Y343*I343/H343,"0")</f>
        <v>58.191000000000003</v>
      </c>
      <c r="BO343" s="64">
        <f>IFERROR(1/J343*(X343/H343),"0")</f>
        <v>0.10016025641025642</v>
      </c>
      <c r="BP343" s="64">
        <f>IFERROR(1/J343*(Y343/H343),"0")</f>
        <v>0.109375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6.4102564102564106</v>
      </c>
      <c r="Y348" s="669">
        <f>IFERROR(Y343/H343,"0")+IFERROR(Y344/H344,"0")+IFERROR(Y345/H345,"0")+IFERROR(Y346/H346,"0")+IFERROR(Y347/H347,"0")</f>
        <v>7</v>
      </c>
      <c r="Z348" s="669">
        <f>IFERROR(IF(Z343="",0,Z343),"0")+IFERROR(IF(Z344="",0,Z344),"0")+IFERROR(IF(Z345="",0,Z345),"0")+IFERROR(IF(Z346="",0,Z346),"0")+IFERROR(IF(Z347="",0,Z347),"0")</f>
        <v>0.13286000000000001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50</v>
      </c>
      <c r="Y349" s="669">
        <f>IFERROR(SUM(Y343:Y347),"0")</f>
        <v>54.6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120</v>
      </c>
      <c r="Y352" s="668">
        <f>IFERROR(IF(X352="",0,CEILING((X352/$H352),1)*$H352),"")</f>
        <v>124.8</v>
      </c>
      <c r="Z352" s="36">
        <f>IFERROR(IF(Y352=0,"",ROUNDUP(Y352/H352,0)*0.01898),"")</f>
        <v>0.30368000000000001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127.9846153846154</v>
      </c>
      <c r="BN352" s="64">
        <f>IFERROR(Y352*I352/H352,"0")</f>
        <v>133.10400000000001</v>
      </c>
      <c r="BO352" s="64">
        <f>IFERROR(1/J352*(X352/H352),"0")</f>
        <v>0.24038461538461539</v>
      </c>
      <c r="BP352" s="64">
        <f>IFERROR(1/J352*(Y352/H352),"0")</f>
        <v>0.25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15.384615384615385</v>
      </c>
      <c r="Y354" s="669">
        <f>IFERROR(Y351/H351,"0")+IFERROR(Y352/H352,"0")+IFERROR(Y353/H353,"0")</f>
        <v>16</v>
      </c>
      <c r="Z354" s="669">
        <f>IFERROR(IF(Z351="",0,Z351),"0")+IFERROR(IF(Z352="",0,Z352),"0")+IFERROR(IF(Z353="",0,Z353),"0")</f>
        <v>0.30368000000000001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120</v>
      </c>
      <c r="Y355" s="669">
        <f>IFERROR(SUM(Y351:Y353),"0")</f>
        <v>124.8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20</v>
      </c>
      <c r="Y375" s="668">
        <f>IFERROR(IF(X375="",0,CEILING((X375/$H375),1)*$H375),"")</f>
        <v>24.299999999999997</v>
      </c>
      <c r="Z375" s="36">
        <f>IFERROR(IF(Y375=0,"",ROUNDUP(Y375/H375,0)*0.01898),"")</f>
        <v>5.6940000000000004E-2</v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21.281481481481482</v>
      </c>
      <c r="BN375" s="64">
        <f>IFERROR(Y375*I375/H375,"0")</f>
        <v>25.856999999999996</v>
      </c>
      <c r="BO375" s="64">
        <f>IFERROR(1/J375*(X375/H375),"0")</f>
        <v>3.8580246913580252E-2</v>
      </c>
      <c r="BP375" s="64">
        <f>IFERROR(1/J375*(Y375/H375),"0")</f>
        <v>4.6875E-2</v>
      </c>
    </row>
    <row r="376" spans="1:68" ht="27" hidden="1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2.4691358024691361</v>
      </c>
      <c r="Y378" s="669">
        <f>IFERROR(Y375/H375,"0")+IFERROR(Y376/H376,"0")+IFERROR(Y377/H377,"0")</f>
        <v>3</v>
      </c>
      <c r="Z378" s="669">
        <f>IFERROR(IF(Z375="",0,Z375),"0")+IFERROR(IF(Z376="",0,Z376),"0")+IFERROR(IF(Z377="",0,Z377),"0")</f>
        <v>5.6940000000000004E-2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20</v>
      </c>
      <c r="Y379" s="669">
        <f>IFERROR(SUM(Y375:Y377),"0")</f>
        <v>24.299999999999997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hidden="1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IFERROR(IF(Y384=0,"",ROUNDUP(Y384/H384,0)*0.02175),"")</f>
        <v/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45</v>
      </c>
      <c r="Y386" s="668">
        <f t="shared" si="57"/>
        <v>45</v>
      </c>
      <c r="Z386" s="36">
        <f>IFERROR(IF(Y386=0,"",ROUNDUP(Y386/H386,0)*0.02175),"")</f>
        <v>6.5250000000000002E-2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46.440000000000005</v>
      </c>
      <c r="BN386" s="64">
        <f t="shared" si="59"/>
        <v>46.440000000000005</v>
      </c>
      <c r="BO386" s="64">
        <f t="shared" si="60"/>
        <v>6.25E-2</v>
      </c>
      <c r="BP386" s="64">
        <f t="shared" si="61"/>
        <v>6.25E-2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75</v>
      </c>
      <c r="Y388" s="668">
        <f t="shared" si="57"/>
        <v>75</v>
      </c>
      <c r="Z388" s="36">
        <f>IFERROR(IF(Y388=0,"",ROUNDUP(Y388/H388,0)*0.02175),"")</f>
        <v>0.10874999999999999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77.400000000000006</v>
      </c>
      <c r="BN388" s="64">
        <f t="shared" si="59"/>
        <v>77.400000000000006</v>
      </c>
      <c r="BO388" s="64">
        <f t="shared" si="60"/>
        <v>0.10416666666666666</v>
      </c>
      <c r="BP388" s="64">
        <f t="shared" si="61"/>
        <v>0.10416666666666666</v>
      </c>
    </row>
    <row r="389" spans="1:68" ht="37.5" hidden="1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8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0.17399999999999999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120</v>
      </c>
      <c r="Y394" s="669">
        <f>IFERROR(SUM(Y383:Y392),"0")</f>
        <v>120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250</v>
      </c>
      <c r="Y396" s="668">
        <f>IFERROR(IF(X396="",0,CEILING((X396/$H396),1)*$H396),"")</f>
        <v>255</v>
      </c>
      <c r="Z396" s="36">
        <f>IFERROR(IF(Y396=0,"",ROUNDUP(Y396/H396,0)*0.02175),"")</f>
        <v>0.36974999999999997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258</v>
      </c>
      <c r="BN396" s="64">
        <f>IFERROR(Y396*I396/H396,"0")</f>
        <v>263.16000000000003</v>
      </c>
      <c r="BO396" s="64">
        <f>IFERROR(1/J396*(X396/H396),"0")</f>
        <v>0.34722222222222221</v>
      </c>
      <c r="BP396" s="64">
        <f>IFERROR(1/J396*(Y396/H396),"0")</f>
        <v>0.35416666666666663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16.666666666666668</v>
      </c>
      <c r="Y398" s="669">
        <f>IFERROR(Y396/H396,"0")+IFERROR(Y397/H397,"0")</f>
        <v>17</v>
      </c>
      <c r="Z398" s="669">
        <f>IFERROR(IF(Z396="",0,Z396),"0")+IFERROR(IF(Z397="",0,Z397),"0")</f>
        <v>0.36974999999999997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250</v>
      </c>
      <c r="Y399" s="669">
        <f>IFERROR(SUM(Y396:Y397),"0")</f>
        <v>255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20</v>
      </c>
      <c r="Y514" s="668">
        <f t="shared" si="74"/>
        <v>21.12</v>
      </c>
      <c r="Z514" s="36">
        <f>IFERROR(IF(Y514=0,"",ROUNDUP(Y514/H514,0)*0.01196),"")</f>
        <v>4.7840000000000001E-2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21.363636363636363</v>
      </c>
      <c r="BN514" s="64">
        <f t="shared" si="76"/>
        <v>22.56</v>
      </c>
      <c r="BO514" s="64">
        <f t="shared" si="77"/>
        <v>3.6421911421911424E-2</v>
      </c>
      <c r="BP514" s="64">
        <f t="shared" si="78"/>
        <v>3.8461538461538464E-2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3.7878787878787876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4.7840000000000001E-2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20</v>
      </c>
      <c r="Y524" s="669">
        <f>IFERROR(SUM(Y512:Y522),"0")</f>
        <v>21.12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1035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1090.2199999999998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1082.4397423872422</v>
      </c>
      <c r="Y597" s="669">
        <f>IFERROR(SUM(BN22:BN593),"0")</f>
        <v>1140.692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1132.4397423872422</v>
      </c>
      <c r="Y599" s="669">
        <f>GrossWeightTotalR+PalletQtyTotalR*25</f>
        <v>1190.692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109.17586011264173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116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2.00624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32.400000000000006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86.4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42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39.6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11.6</v>
      </c>
      <c r="L606" s="46">
        <f>IFERROR(Y262*1,"0")+IFERROR(Y263*1,"0")+IFERROR(Y264*1,"0")+IFERROR(Y265*1,"0")+IFERROR(Y266*1,"0")+IFERROR(Y267*1,"0")</f>
        <v>10.8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447.00000000000006</v>
      </c>
      <c r="V606" s="46">
        <f>IFERROR(Y371*1,"0")+IFERROR(Y375*1,"0")+IFERROR(Y376*1,"0")+IFERROR(Y377*1,"0")</f>
        <v>24.299999999999997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375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21.12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6"/>
        <filter val="0,93"/>
        <filter val="1 035,00"/>
        <filter val="1 082,44"/>
        <filter val="1 132,44"/>
        <filter val="10,00"/>
        <filter val="109,18"/>
        <filter val="120,00"/>
        <filter val="15,38"/>
        <filter val="16,67"/>
        <filter val="180,00"/>
        <filter val="19,05"/>
        <filter val="2"/>
        <filter val="2,47"/>
        <filter val="2,78"/>
        <filter val="20,00"/>
        <filter val="250,00"/>
        <filter val="3,79"/>
        <filter val="30,00"/>
        <filter val="35,00"/>
        <filter val="4,17"/>
        <filter val="4,60"/>
        <filter val="4,63"/>
        <filter val="45,00"/>
        <filter val="50,00"/>
        <filter val="6,41"/>
        <filter val="75,00"/>
        <filter val="8,00"/>
        <filter val="80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