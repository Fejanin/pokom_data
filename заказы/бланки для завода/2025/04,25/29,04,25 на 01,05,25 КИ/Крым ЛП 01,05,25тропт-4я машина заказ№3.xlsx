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1C6A6C7-CB27-40E8-B5CD-44F4068810F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BP526" i="1" s="1"/>
  <c r="P526" i="1"/>
  <c r="X524" i="1"/>
  <c r="X523" i="1"/>
  <c r="BO522" i="1"/>
  <c r="BM522" i="1"/>
  <c r="Y522" i="1"/>
  <c r="BO521" i="1"/>
  <c r="BM521" i="1"/>
  <c r="Y521" i="1"/>
  <c r="P521" i="1"/>
  <c r="BO520" i="1"/>
  <c r="BM520" i="1"/>
  <c r="Y520" i="1"/>
  <c r="P520" i="1"/>
  <c r="BO519" i="1"/>
  <c r="BM519" i="1"/>
  <c r="Y519" i="1"/>
  <c r="BP519" i="1" s="1"/>
  <c r="BO518" i="1"/>
  <c r="BM518" i="1"/>
  <c r="Y518" i="1"/>
  <c r="BP518" i="1" s="1"/>
  <c r="BO517" i="1"/>
  <c r="BM517" i="1"/>
  <c r="Y517" i="1"/>
  <c r="BP517" i="1" s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O505" i="1"/>
  <c r="BM505" i="1"/>
  <c r="Y505" i="1"/>
  <c r="X503" i="1"/>
  <c r="X502" i="1"/>
  <c r="BO501" i="1"/>
  <c r="BM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P445" i="1" s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P402" i="1" s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BP396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BP359" i="1" s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BP351" i="1" s="1"/>
  <c r="P351" i="1"/>
  <c r="X349" i="1"/>
  <c r="X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BP327" i="1" s="1"/>
  <c r="P327" i="1"/>
  <c r="X324" i="1"/>
  <c r="X323" i="1"/>
  <c r="BO322" i="1"/>
  <c r="BM322" i="1"/>
  <c r="Y322" i="1"/>
  <c r="T606" i="1" s="1"/>
  <c r="P322" i="1"/>
  <c r="X319" i="1"/>
  <c r="X318" i="1"/>
  <c r="BO317" i="1"/>
  <c r="BM317" i="1"/>
  <c r="Y317" i="1"/>
  <c r="BP317" i="1" s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BP257" i="1" s="1"/>
  <c r="BO256" i="1"/>
  <c r="BM256" i="1"/>
  <c r="Y256" i="1"/>
  <c r="BP256" i="1" s="1"/>
  <c r="BO255" i="1"/>
  <c r="BM255" i="1"/>
  <c r="Y255" i="1"/>
  <c r="BP255" i="1" s="1"/>
  <c r="BO254" i="1"/>
  <c r="BM254" i="1"/>
  <c r="Y254" i="1"/>
  <c r="BP254" i="1" s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BP245" i="1" s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BP199" i="1" s="1"/>
  <c r="P199" i="1"/>
  <c r="X197" i="1"/>
  <c r="X196" i="1"/>
  <c r="BO195" i="1"/>
  <c r="BM195" i="1"/>
  <c r="Y195" i="1"/>
  <c r="BP195" i="1" s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X169" i="1"/>
  <c r="X168" i="1"/>
  <c r="BO167" i="1"/>
  <c r="BM167" i="1"/>
  <c r="Y167" i="1"/>
  <c r="Y169" i="1" s="1"/>
  <c r="P167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BP155" i="1" s="1"/>
  <c r="P155" i="1"/>
  <c r="X153" i="1"/>
  <c r="X152" i="1"/>
  <c r="BO151" i="1"/>
  <c r="BM151" i="1"/>
  <c r="Y151" i="1"/>
  <c r="Y152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M140" i="1"/>
  <c r="Y140" i="1"/>
  <c r="BP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39" i="1" l="1"/>
  <c r="BN39" i="1"/>
  <c r="D606" i="1"/>
  <c r="Z101" i="1"/>
  <c r="BN101" i="1"/>
  <c r="Z140" i="1"/>
  <c r="BN140" i="1"/>
  <c r="Y187" i="1"/>
  <c r="Z209" i="1"/>
  <c r="BN209" i="1"/>
  <c r="Y259" i="1"/>
  <c r="Z345" i="1"/>
  <c r="BN345" i="1"/>
  <c r="Y404" i="1"/>
  <c r="B606" i="1"/>
  <c r="X598" i="1"/>
  <c r="Z58" i="1"/>
  <c r="BN58" i="1"/>
  <c r="Z87" i="1"/>
  <c r="BN87" i="1"/>
  <c r="Z120" i="1"/>
  <c r="BN120" i="1"/>
  <c r="Z121" i="1"/>
  <c r="BN121" i="1"/>
  <c r="Z122" i="1"/>
  <c r="BN122" i="1"/>
  <c r="Z123" i="1"/>
  <c r="BN123" i="1"/>
  <c r="Z173" i="1"/>
  <c r="BN173" i="1"/>
  <c r="Z178" i="1"/>
  <c r="BN178" i="1"/>
  <c r="Z183" i="1"/>
  <c r="BN183" i="1"/>
  <c r="BP183" i="1"/>
  <c r="Z184" i="1"/>
  <c r="BN184" i="1"/>
  <c r="Z185" i="1"/>
  <c r="BN185" i="1"/>
  <c r="Y186" i="1"/>
  <c r="Z219" i="1"/>
  <c r="BN219" i="1"/>
  <c r="Z244" i="1"/>
  <c r="BN244" i="1"/>
  <c r="BP244" i="1"/>
  <c r="Z245" i="1"/>
  <c r="BN245" i="1"/>
  <c r="Y246" i="1"/>
  <c r="Z253" i="1"/>
  <c r="BN253" i="1"/>
  <c r="BP253" i="1"/>
  <c r="Z254" i="1"/>
  <c r="BN254" i="1"/>
  <c r="Z255" i="1"/>
  <c r="BN255" i="1"/>
  <c r="Z256" i="1"/>
  <c r="BN256" i="1"/>
  <c r="Z257" i="1"/>
  <c r="BN257" i="1"/>
  <c r="Y258" i="1"/>
  <c r="Z262" i="1"/>
  <c r="BN262" i="1"/>
  <c r="Z329" i="1"/>
  <c r="BN329" i="1"/>
  <c r="Z359" i="1"/>
  <c r="BN359" i="1"/>
  <c r="Z396" i="1"/>
  <c r="BN396" i="1"/>
  <c r="Z401" i="1"/>
  <c r="BN401" i="1"/>
  <c r="BP401" i="1"/>
  <c r="Z402" i="1"/>
  <c r="BN402" i="1"/>
  <c r="Y403" i="1"/>
  <c r="Z27" i="1"/>
  <c r="BN27" i="1"/>
  <c r="X596" i="1"/>
  <c r="Z52" i="1"/>
  <c r="BN52" i="1"/>
  <c r="Z66" i="1"/>
  <c r="BN66" i="1"/>
  <c r="Y78" i="1"/>
  <c r="Z80" i="1"/>
  <c r="BN80" i="1"/>
  <c r="Z93" i="1"/>
  <c r="BN93" i="1"/>
  <c r="Z108" i="1"/>
  <c r="BN108" i="1"/>
  <c r="Z129" i="1"/>
  <c r="BN129" i="1"/>
  <c r="G606" i="1"/>
  <c r="Z151" i="1"/>
  <c r="Z152" i="1" s="1"/>
  <c r="BN151" i="1"/>
  <c r="BP151" i="1"/>
  <c r="Z155" i="1"/>
  <c r="BN155" i="1"/>
  <c r="Z205" i="1"/>
  <c r="BN205" i="1"/>
  <c r="Z215" i="1"/>
  <c r="BN215" i="1"/>
  <c r="Z223" i="1"/>
  <c r="BN223" i="1"/>
  <c r="Z238" i="1"/>
  <c r="BN238" i="1"/>
  <c r="Z266" i="1"/>
  <c r="BN266" i="1"/>
  <c r="Z288" i="1"/>
  <c r="BN288" i="1"/>
  <c r="Z337" i="1"/>
  <c r="BN337" i="1"/>
  <c r="Z351" i="1"/>
  <c r="BN351" i="1"/>
  <c r="Z376" i="1"/>
  <c r="BN376" i="1"/>
  <c r="Z390" i="1"/>
  <c r="BN390" i="1"/>
  <c r="Z414" i="1"/>
  <c r="BN414" i="1"/>
  <c r="Z444" i="1"/>
  <c r="BN444" i="1"/>
  <c r="Z445" i="1"/>
  <c r="BN445" i="1"/>
  <c r="Z517" i="1"/>
  <c r="BN517" i="1"/>
  <c r="Z518" i="1"/>
  <c r="BN518" i="1"/>
  <c r="Z519" i="1"/>
  <c r="BN519" i="1"/>
  <c r="Z526" i="1"/>
  <c r="BN526" i="1"/>
  <c r="BP347" i="1"/>
  <c r="BN347" i="1"/>
  <c r="Z347" i="1"/>
  <c r="BP365" i="1"/>
  <c r="BN365" i="1"/>
  <c r="Z365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2" i="1"/>
  <c r="BN442" i="1"/>
  <c r="Z442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BP507" i="1"/>
  <c r="BN507" i="1"/>
  <c r="Z507" i="1"/>
  <c r="BP522" i="1"/>
  <c r="BN522" i="1"/>
  <c r="Z522" i="1"/>
  <c r="X597" i="1"/>
  <c r="X599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Z50" i="1"/>
  <c r="BN50" i="1"/>
  <c r="Z54" i="1"/>
  <c r="BN54" i="1"/>
  <c r="Y62" i="1"/>
  <c r="Z60" i="1"/>
  <c r="BN60" i="1"/>
  <c r="Y68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Z114" i="1"/>
  <c r="BN114" i="1"/>
  <c r="Y127" i="1"/>
  <c r="Z125" i="1"/>
  <c r="BN125" i="1"/>
  <c r="Y131" i="1"/>
  <c r="Z136" i="1"/>
  <c r="BN136" i="1"/>
  <c r="Y142" i="1"/>
  <c r="Z146" i="1"/>
  <c r="BN146" i="1"/>
  <c r="Y159" i="1"/>
  <c r="Z157" i="1"/>
  <c r="BN157" i="1"/>
  <c r="Y158" i="1"/>
  <c r="Z161" i="1"/>
  <c r="Z162" i="1" s="1"/>
  <c r="BN161" i="1"/>
  <c r="BP161" i="1"/>
  <c r="Y162" i="1"/>
  <c r="Z167" i="1"/>
  <c r="Z168" i="1" s="1"/>
  <c r="BN167" i="1"/>
  <c r="BP167" i="1"/>
  <c r="Y168" i="1"/>
  <c r="Z171" i="1"/>
  <c r="BN171" i="1"/>
  <c r="Z175" i="1"/>
  <c r="BN175" i="1"/>
  <c r="Z176" i="1"/>
  <c r="BN176" i="1"/>
  <c r="Z195" i="1"/>
  <c r="BN195" i="1"/>
  <c r="Z199" i="1"/>
  <c r="BN199" i="1"/>
  <c r="Z207" i="1"/>
  <c r="BN207" i="1"/>
  <c r="Z211" i="1"/>
  <c r="BN211" i="1"/>
  <c r="Z217" i="1"/>
  <c r="BN217" i="1"/>
  <c r="Z221" i="1"/>
  <c r="BN221" i="1"/>
  <c r="Z227" i="1"/>
  <c r="BN227" i="1"/>
  <c r="Z236" i="1"/>
  <c r="BN236" i="1"/>
  <c r="Z240" i="1"/>
  <c r="BN240" i="1"/>
  <c r="Z264" i="1"/>
  <c r="BN264" i="1"/>
  <c r="Z278" i="1"/>
  <c r="BN278" i="1"/>
  <c r="Z286" i="1"/>
  <c r="BN286" i="1"/>
  <c r="Z317" i="1"/>
  <c r="BN317" i="1"/>
  <c r="Z322" i="1"/>
  <c r="Z323" i="1" s="1"/>
  <c r="BN322" i="1"/>
  <c r="BP322" i="1"/>
  <c r="Y323" i="1"/>
  <c r="Z327" i="1"/>
  <c r="BN327" i="1"/>
  <c r="Z331" i="1"/>
  <c r="BN331" i="1"/>
  <c r="Z339" i="1"/>
  <c r="BN339" i="1"/>
  <c r="BP343" i="1"/>
  <c r="BN343" i="1"/>
  <c r="Z343" i="1"/>
  <c r="BP353" i="1"/>
  <c r="BN353" i="1"/>
  <c r="Z353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BP487" i="1"/>
  <c r="BN487" i="1"/>
  <c r="Z487" i="1"/>
  <c r="BP492" i="1"/>
  <c r="BN492" i="1"/>
  <c r="Z492" i="1"/>
  <c r="Y509" i="1"/>
  <c r="BP506" i="1"/>
  <c r="BN506" i="1"/>
  <c r="Z506" i="1"/>
  <c r="BP508" i="1"/>
  <c r="BN508" i="1"/>
  <c r="Z508" i="1"/>
  <c r="BP521" i="1"/>
  <c r="BN521" i="1"/>
  <c r="Z521" i="1"/>
  <c r="BP528" i="1"/>
  <c r="BN528" i="1"/>
  <c r="Z528" i="1"/>
  <c r="H9" i="1"/>
  <c r="A10" i="1"/>
  <c r="Y42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BP172" i="1"/>
  <c r="BN172" i="1"/>
  <c r="Z172" i="1"/>
  <c r="BP177" i="1"/>
  <c r="BN177" i="1"/>
  <c r="Z177" i="1"/>
  <c r="BP200" i="1"/>
  <c r="BN200" i="1"/>
  <c r="Z200" i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50" i="1"/>
  <c r="BP249" i="1"/>
  <c r="BN249" i="1"/>
  <c r="Z249" i="1"/>
  <c r="Z250" i="1" s="1"/>
  <c r="Y251" i="1"/>
  <c r="BP263" i="1"/>
  <c r="BN263" i="1"/>
  <c r="Z263" i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BP280" i="1"/>
  <c r="BN280" i="1"/>
  <c r="Z280" i="1"/>
  <c r="Y282" i="1"/>
  <c r="P606" i="1"/>
  <c r="Y290" i="1"/>
  <c r="BP285" i="1"/>
  <c r="BN285" i="1"/>
  <c r="Z285" i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Y308" i="1"/>
  <c r="BP307" i="1"/>
  <c r="BN307" i="1"/>
  <c r="R606" i="1"/>
  <c r="Y309" i="1"/>
  <c r="Z307" i="1"/>
  <c r="Z308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Y459" i="1"/>
  <c r="I606" i="1"/>
  <c r="Y28" i="1"/>
  <c r="Y46" i="1"/>
  <c r="F9" i="1"/>
  <c r="J9" i="1"/>
  <c r="Z22" i="1"/>
  <c r="BN22" i="1"/>
  <c r="BP22" i="1"/>
  <c r="Z26" i="1"/>
  <c r="BN26" i="1"/>
  <c r="X600" i="1"/>
  <c r="Y29" i="1"/>
  <c r="C606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6" i="1"/>
  <c r="Z88" i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4" i="1"/>
  <c r="BN124" i="1"/>
  <c r="Z130" i="1"/>
  <c r="Z131" i="1" s="1"/>
  <c r="BN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BP156" i="1"/>
  <c r="BN156" i="1"/>
  <c r="Z156" i="1"/>
  <c r="Z158" i="1" s="1"/>
  <c r="Y180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Y201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BP470" i="1"/>
  <c r="BN470" i="1"/>
  <c r="Z470" i="1"/>
  <c r="Y473" i="1"/>
  <c r="Y524" i="1"/>
  <c r="BP512" i="1"/>
  <c r="BN512" i="1"/>
  <c r="Z512" i="1"/>
  <c r="BP514" i="1"/>
  <c r="BN514" i="1"/>
  <c r="Z514" i="1"/>
  <c r="BP516" i="1"/>
  <c r="BN516" i="1"/>
  <c r="Z516" i="1"/>
  <c r="Y523" i="1"/>
  <c r="BP527" i="1"/>
  <c r="BN527" i="1"/>
  <c r="Z527" i="1"/>
  <c r="Z529" i="1" s="1"/>
  <c r="Y529" i="1"/>
  <c r="Z606" i="1"/>
  <c r="L606" i="1"/>
  <c r="Y268" i="1"/>
  <c r="S606" i="1"/>
  <c r="Y313" i="1"/>
  <c r="BP312" i="1"/>
  <c r="BN312" i="1"/>
  <c r="Z312" i="1"/>
  <c r="Z313" i="1" s="1"/>
  <c r="Y314" i="1"/>
  <c r="Y319" i="1"/>
  <c r="BP316" i="1"/>
  <c r="BN316" i="1"/>
  <c r="Z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403" i="1" l="1"/>
  <c r="Z258" i="1"/>
  <c r="Z246" i="1"/>
  <c r="Z186" i="1"/>
  <c r="Z509" i="1"/>
  <c r="Z348" i="1"/>
  <c r="Z318" i="1"/>
  <c r="Z196" i="1"/>
  <c r="Z102" i="1"/>
  <c r="Z62" i="1"/>
  <c r="Z41" i="1"/>
  <c r="Z268" i="1"/>
  <c r="Z466" i="1"/>
  <c r="Z367" i="1"/>
  <c r="Z333" i="1"/>
  <c r="Z224" i="1"/>
  <c r="Z126" i="1"/>
  <c r="Z110" i="1"/>
  <c r="Z90" i="1"/>
  <c r="Z77" i="1"/>
  <c r="Z459" i="1"/>
  <c r="Z448" i="1"/>
  <c r="Z201" i="1"/>
  <c r="Z180" i="1"/>
  <c r="Z570" i="1"/>
  <c r="Z393" i="1"/>
  <c r="Z361" i="1"/>
  <c r="Z523" i="1"/>
  <c r="Z116" i="1"/>
  <c r="Z68" i="1"/>
  <c r="Z55" i="1"/>
  <c r="Y596" i="1"/>
  <c r="Y598" i="1"/>
  <c r="Z28" i="1"/>
  <c r="Y600" i="1"/>
  <c r="Z416" i="1"/>
  <c r="Z378" i="1"/>
  <c r="Z281" i="1"/>
  <c r="Z212" i="1"/>
  <c r="Z552" i="1"/>
  <c r="Z502" i="1"/>
  <c r="Z472" i="1"/>
  <c r="Z340" i="1"/>
  <c r="Y597" i="1"/>
  <c r="Z427" i="1"/>
  <c r="Z290" i="1"/>
  <c r="Z241" i="1"/>
  <c r="Y599" i="1" l="1"/>
  <c r="Z601" i="1"/>
</calcChain>
</file>

<file path=xl/sharedStrings.xml><?xml version="1.0" encoding="utf-8"?>
<sst xmlns="http://schemas.openxmlformats.org/spreadsheetml/2006/main" count="2761" uniqueCount="983">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</sst>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45778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Четверг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0.54166666666666663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30</v>
      </c>
      <c r="Y37" s="668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2.7777777777777777</v>
      </c>
      <c r="Y41" s="669">
        <f>IFERROR(Y37/H37,"0")+IFERROR(Y38/H38,"0")+IFERROR(Y39/H39,"0")+IFERROR(Y40/H40,"0")</f>
        <v>3.0000000000000004</v>
      </c>
      <c r="Z41" s="669">
        <f>IFERROR(IF(Z37="",0,Z37),"0")+IFERROR(IF(Z38="",0,Z38),"0")+IFERROR(IF(Z39="",0,Z39),"0")+IFERROR(IF(Z40="",0,Z40),"0")</f>
        <v>5.6940000000000004E-2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30</v>
      </c>
      <c r="Y42" s="669">
        <f>IFERROR(SUM(Y37:Y40),"0")</f>
        <v>32.400000000000006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16</v>
      </c>
      <c r="Y50" s="668">
        <f t="shared" si="6"/>
        <v>21.6</v>
      </c>
      <c r="Z50" s="36">
        <f>IFERROR(IF(Y50=0,"",ROUNDUP(Y50/H50,0)*0.01898),"")</f>
        <v>3.7960000000000001E-2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16.644444444444442</v>
      </c>
      <c r="BN50" s="64">
        <f t="shared" si="8"/>
        <v>22.47</v>
      </c>
      <c r="BO50" s="64">
        <f t="shared" si="9"/>
        <v>2.3148148148148147E-2</v>
      </c>
      <c r="BP50" s="64">
        <f t="shared" si="10"/>
        <v>3.125E-2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1.4814814814814814</v>
      </c>
      <c r="Y55" s="669">
        <f>IFERROR(Y49/H49,"0")+IFERROR(Y50/H50,"0")+IFERROR(Y51/H51,"0")+IFERROR(Y52/H52,"0")+IFERROR(Y53/H53,"0")+IFERROR(Y54/H54,"0")</f>
        <v>2</v>
      </c>
      <c r="Z55" s="669">
        <f>IFERROR(IF(Z49="",0,Z49),"0")+IFERROR(IF(Z50="",0,Z50),"0")+IFERROR(IF(Z51="",0,Z51),"0")+IFERROR(IF(Z52="",0,Z52),"0")+IFERROR(IF(Z53="",0,Z53),"0")+IFERROR(IF(Z54="",0,Z54),"0")</f>
        <v>3.7960000000000001E-2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16</v>
      </c>
      <c r="Y56" s="669">
        <f>IFERROR(SUM(Y49:Y54),"0")</f>
        <v>21.6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20</v>
      </c>
      <c r="Y58" s="668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1.8518518518518516</v>
      </c>
      <c r="Y62" s="669">
        <f>IFERROR(Y58/H58,"0")+IFERROR(Y59/H59,"0")+IFERROR(Y60/H60,"0")+IFERROR(Y61/H61,"0")</f>
        <v>2</v>
      </c>
      <c r="Z62" s="669">
        <f>IFERROR(IF(Z58="",0,Z58),"0")+IFERROR(IF(Z59="",0,Z59),"0")+IFERROR(IF(Z60="",0,Z60),"0")+IFERROR(IF(Z61="",0,Z61),"0")</f>
        <v>3.7960000000000001E-2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20</v>
      </c>
      <c r="Y63" s="669">
        <f>IFERROR(SUM(Y58:Y61),"0")</f>
        <v>21.6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31" t="s">
        <v>197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80</v>
      </c>
      <c r="Y120" s="668">
        <f t="shared" si="21"/>
        <v>84</v>
      </c>
      <c r="Z120" s="36">
        <f>IFERROR(IF(Y120=0,"",ROUNDUP(Y120/H120,0)*0.01898),"")</f>
        <v>0.1898</v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84.885714285714272</v>
      </c>
      <c r="BN120" s="64">
        <f t="shared" si="23"/>
        <v>89.13</v>
      </c>
      <c r="BO120" s="64">
        <f t="shared" si="24"/>
        <v>0.14880952380952381</v>
      </c>
      <c r="BP120" s="64">
        <f t="shared" si="25"/>
        <v>0.15625</v>
      </c>
    </row>
    <row r="121" spans="1:68" ht="16.5" hidden="1" customHeight="1" x14ac:dyDescent="0.25">
      <c r="A121" s="54" t="s">
        <v>231</v>
      </c>
      <c r="B121" s="54" t="s">
        <v>236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21" t="s">
        <v>237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9.5238095238095237</v>
      </c>
      <c r="Y126" s="669">
        <f>IFERROR(Y119/H119,"0")+IFERROR(Y120/H120,"0")+IFERROR(Y121/H121,"0")+IFERROR(Y122/H122,"0")+IFERROR(Y123/H123,"0")+IFERROR(Y124/H124,"0")+IFERROR(Y125/H125,"0")</f>
        <v>10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0.1898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80</v>
      </c>
      <c r="Y127" s="669">
        <f>IFERROR(SUM(Y119:Y125),"0")</f>
        <v>84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hidden="1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hidden="1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4301011942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397</v>
      </c>
      <c r="C234" s="31">
        <v>4301011826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4301011941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404</v>
      </c>
      <c r="C237" s="31">
        <v>4301011721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4301020340</v>
      </c>
      <c r="D244" s="689">
        <v>4680115885721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415</v>
      </c>
      <c r="C245" s="31">
        <v>4301020377</v>
      </c>
      <c r="D245" s="689">
        <v>4680115885981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">
        <v>416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4301011910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443</v>
      </c>
      <c r="B264" s="54" t="s">
        <v>446</v>
      </c>
      <c r="C264" s="31">
        <v>4301011850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4301011911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728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519</v>
      </c>
      <c r="B329" s="54" t="s">
        <v>522</v>
      </c>
      <c r="C329" s="31">
        <v>4301012016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32</v>
      </c>
      <c r="Y343" s="668">
        <f>IFERROR(IF(X343="",0,CEILING((X343/$H343),1)*$H343),"")</f>
        <v>39</v>
      </c>
      <c r="Z343" s="36">
        <f>IFERROR(IF(Y343=0,"",ROUNDUP(Y343/H343,0)*0.01898),"")</f>
        <v>9.4899999999999998E-2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34.104615384615386</v>
      </c>
      <c r="BN343" s="64">
        <f>IFERROR(Y343*I343/H343,"0")</f>
        <v>41.565000000000005</v>
      </c>
      <c r="BO343" s="64">
        <f>IFERROR(1/J343*(X343/H343),"0")</f>
        <v>6.4102564102564111E-2</v>
      </c>
      <c r="BP343" s="64">
        <f>IFERROR(1/J343*(Y343/H343),"0")</f>
        <v>7.8125E-2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4.1025641025641031</v>
      </c>
      <c r="Y348" s="669">
        <f>IFERROR(Y343/H343,"0")+IFERROR(Y344/H344,"0")+IFERROR(Y345/H345,"0")+IFERROR(Y346/H346,"0")+IFERROR(Y347/H347,"0")</f>
        <v>5</v>
      </c>
      <c r="Z348" s="669">
        <f>IFERROR(IF(Z343="",0,Z343),"0")+IFERROR(IF(Z344="",0,Z344),"0")+IFERROR(IF(Z345="",0,Z345),"0")+IFERROR(IF(Z346="",0,Z346),"0")+IFERROR(IF(Z347="",0,Z347),"0")</f>
        <v>9.4899999999999998E-2</v>
      </c>
      <c r="AA348" s="670"/>
      <c r="AB348" s="670"/>
      <c r="AC348" s="670"/>
    </row>
    <row r="349" spans="1:68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32</v>
      </c>
      <c r="Y349" s="669">
        <f>IFERROR(SUM(Y343:Y347),"0")</f>
        <v>39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72</v>
      </c>
      <c r="Y352" s="668">
        <f>IFERROR(IF(X352="",0,CEILING((X352/$H352),1)*$H352),"")</f>
        <v>78</v>
      </c>
      <c r="Z352" s="36">
        <f>IFERROR(IF(Y352=0,"",ROUNDUP(Y352/H352,0)*0.01898),"")</f>
        <v>0.1898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76.790769230769243</v>
      </c>
      <c r="BN352" s="64">
        <f>IFERROR(Y352*I352/H352,"0")</f>
        <v>83.190000000000012</v>
      </c>
      <c r="BO352" s="64">
        <f>IFERROR(1/J352*(X352/H352),"0")</f>
        <v>0.14423076923076925</v>
      </c>
      <c r="BP352" s="64">
        <f>IFERROR(1/J352*(Y352/H352),"0")</f>
        <v>0.15625</v>
      </c>
    </row>
    <row r="353" spans="1:68" ht="16.5" hidden="1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9.2307692307692317</v>
      </c>
      <c r="Y354" s="669">
        <f>IFERROR(Y351/H351,"0")+IFERROR(Y352/H352,"0")+IFERROR(Y353/H353,"0")</f>
        <v>10</v>
      </c>
      <c r="Z354" s="669">
        <f>IFERROR(IF(Z351="",0,Z351),"0")+IFERROR(IF(Z352="",0,Z352),"0")+IFERROR(IF(Z353="",0,Z353),"0")</f>
        <v>0.1898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72</v>
      </c>
      <c r="Y355" s="669">
        <f>IFERROR(SUM(Y351:Y353),"0")</f>
        <v>78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27" hidden="1" customHeight="1" x14ac:dyDescent="0.25">
      <c r="A383" s="54" t="s">
        <v>604</v>
      </c>
      <c r="B383" s="54" t="s">
        <v>605</v>
      </c>
      <c r="C383" s="31">
        <v>4301011946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7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45</v>
      </c>
      <c r="Y384" s="668">
        <f t="shared" si="57"/>
        <v>45</v>
      </c>
      <c r="Z384" s="36">
        <f>IFERROR(IF(Y384=0,"",ROUNDUP(Y384/H384,0)*0.02175),"")</f>
        <v>6.5250000000000002E-2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46.440000000000005</v>
      </c>
      <c r="BN384" s="64">
        <f t="shared" si="59"/>
        <v>46.440000000000005</v>
      </c>
      <c r="BO384" s="64">
        <f t="shared" si="60"/>
        <v>6.25E-2</v>
      </c>
      <c r="BP384" s="64">
        <f t="shared" si="61"/>
        <v>6.25E-2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4301011947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1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15</v>
      </c>
      <c r="Y386" s="668">
        <f t="shared" si="57"/>
        <v>15</v>
      </c>
      <c r="Z386" s="36">
        <f>IFERROR(IF(Y386=0,"",ROUNDUP(Y386/H386,0)*0.02175),"")</f>
        <v>2.1749999999999999E-2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15.48</v>
      </c>
      <c r="BN386" s="64">
        <f t="shared" si="59"/>
        <v>15.48</v>
      </c>
      <c r="BO386" s="64">
        <f t="shared" si="60"/>
        <v>2.0833333333333332E-2</v>
      </c>
      <c r="BP386" s="64">
        <f t="shared" si="61"/>
        <v>2.0833333333333332E-2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4301011943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7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hidden="1" customHeight="1" x14ac:dyDescent="0.25">
      <c r="A388" s="54" t="s">
        <v>615</v>
      </c>
      <c r="B388" s="54" t="s">
        <v>616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45</v>
      </c>
      <c r="Y389" s="668">
        <f t="shared" si="57"/>
        <v>45</v>
      </c>
      <c r="Z389" s="36">
        <f>IFERROR(IF(Y389=0,"",ROUNDUP(Y389/H389,0)*0.02175),"")</f>
        <v>6.5250000000000002E-2</v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46.440000000000005</v>
      </c>
      <c r="BN389" s="64">
        <f t="shared" si="59"/>
        <v>46.440000000000005</v>
      </c>
      <c r="BO389" s="64">
        <f t="shared" si="60"/>
        <v>6.25E-2</v>
      </c>
      <c r="BP389" s="64">
        <f t="shared" si="61"/>
        <v>6.25E-2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7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7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0.15225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105</v>
      </c>
      <c r="Y394" s="669">
        <f>IFERROR(SUM(Y383:Y392),"0")</f>
        <v>105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40</v>
      </c>
      <c r="Y423" s="668">
        <f>IFERROR(IF(X423="",0,CEILING((X423/$H423),1)*$H423),"")</f>
        <v>45</v>
      </c>
      <c r="Z423" s="36">
        <f>IFERROR(IF(Y423=0,"",ROUNDUP(Y423/H423,0)*0.01898),"")</f>
        <v>9.4899999999999998E-2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42.306666666666665</v>
      </c>
      <c r="BN423" s="64">
        <f>IFERROR(Y423*I423/H423,"0")</f>
        <v>47.594999999999999</v>
      </c>
      <c r="BO423" s="64">
        <f>IFERROR(1/J423*(X423/H423),"0")</f>
        <v>6.9444444444444448E-2</v>
      </c>
      <c r="BP423" s="64">
        <f>IFERROR(1/J423*(Y423/H423),"0")</f>
        <v>7.8125E-2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4.4444444444444446</v>
      </c>
      <c r="Y427" s="669">
        <f>IFERROR(Y423/H423,"0")+IFERROR(Y424/H424,"0")+IFERROR(Y425/H425,"0")+IFERROR(Y426/H426,"0")</f>
        <v>5</v>
      </c>
      <c r="Z427" s="669">
        <f>IFERROR(IF(Z423="",0,Z423),"0")+IFERROR(IF(Z424="",0,Z424),"0")+IFERROR(IF(Z425="",0,Z425),"0")+IFERROR(IF(Z426="",0,Z426),"0")</f>
        <v>9.4899999999999998E-2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40</v>
      </c>
      <c r="Y428" s="669">
        <f>IFERROR(SUM(Y423:Y426),"0")</f>
        <v>45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4301031382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4301031406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10</v>
      </c>
      <c r="Y487" s="668">
        <f t="shared" si="68"/>
        <v>10.56</v>
      </c>
      <c r="Z487" s="36">
        <f t="shared" si="69"/>
        <v>2.392E-2</v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10.681818181818182</v>
      </c>
      <c r="BN487" s="64">
        <f t="shared" si="71"/>
        <v>11.28</v>
      </c>
      <c r="BO487" s="64">
        <f t="shared" si="72"/>
        <v>1.8210955710955712E-2</v>
      </c>
      <c r="BP487" s="64">
        <f t="shared" si="73"/>
        <v>1.9230769230769232E-2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300</v>
      </c>
      <c r="Y488" s="668">
        <f t="shared" si="68"/>
        <v>300.96000000000004</v>
      </c>
      <c r="Z488" s="36">
        <f t="shared" si="69"/>
        <v>0.68171999999999999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320.45454545454544</v>
      </c>
      <c r="BN488" s="64">
        <f t="shared" si="71"/>
        <v>321.48</v>
      </c>
      <c r="BO488" s="64">
        <f t="shared" si="72"/>
        <v>0.54632867132867136</v>
      </c>
      <c r="BP488" s="64">
        <f t="shared" si="73"/>
        <v>0.54807692307692313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250</v>
      </c>
      <c r="Y490" s="668">
        <f t="shared" si="68"/>
        <v>253.44</v>
      </c>
      <c r="Z490" s="36">
        <f t="shared" si="69"/>
        <v>0.57408000000000003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267.04545454545456</v>
      </c>
      <c r="BN490" s="64">
        <f t="shared" si="71"/>
        <v>270.71999999999997</v>
      </c>
      <c r="BO490" s="64">
        <f t="shared" si="72"/>
        <v>0.45527389277389274</v>
      </c>
      <c r="BP490" s="64">
        <f t="shared" si="73"/>
        <v>0.46153846153846156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4301012035</v>
      </c>
      <c r="D493" s="689">
        <v>4680115880603</v>
      </c>
      <c r="E493" s="690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4301011778</v>
      </c>
      <c r="D494" s="689">
        <v>4680115880603</v>
      </c>
      <c r="E494" s="690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4301012034</v>
      </c>
      <c r="D499" s="689">
        <v>4607091389982</v>
      </c>
      <c r="E499" s="690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4301011784</v>
      </c>
      <c r="D500" s="689">
        <v>4607091389982</v>
      </c>
      <c r="E500" s="690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106.06060606060605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107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1.2797200000000002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560</v>
      </c>
      <c r="Y503" s="669">
        <f>IFERROR(SUM(Y486:Y501),"0")</f>
        <v>564.96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4301020334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1" t="s">
        <v>792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89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250</v>
      </c>
      <c r="Y506" s="668">
        <f>IFERROR(IF(X506="",0,CEILING((X506/$H506),1)*$H506),"")</f>
        <v>253.44</v>
      </c>
      <c r="Z506" s="36">
        <f>IFERROR(IF(Y506=0,"",ROUNDUP(Y506/H506,0)*0.01196),"")</f>
        <v>0.57408000000000003</v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267.04545454545456</v>
      </c>
      <c r="BN506" s="64">
        <f>IFERROR(Y506*I506/H506,"0")</f>
        <v>270.71999999999997</v>
      </c>
      <c r="BO506" s="64">
        <f>IFERROR(1/J506*(X506/H506),"0")</f>
        <v>0.45527389277389274</v>
      </c>
      <c r="BP506" s="64">
        <f>IFERROR(1/J506*(Y506/H506),"0")</f>
        <v>0.46153846153846156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47.348484848484844</v>
      </c>
      <c r="Y509" s="669">
        <f>IFERROR(Y505/H505,"0")+IFERROR(Y506/H506,"0")+IFERROR(Y507/H507,"0")+IFERROR(Y508/H508,"0")</f>
        <v>48</v>
      </c>
      <c r="Z509" s="669">
        <f>IFERROR(IF(Z505="",0,Z505),"0")+IFERROR(IF(Z506="",0,Z506),"0")+IFERROR(IF(Z507="",0,Z507),"0")+IFERROR(IF(Z508="",0,Z508),"0")</f>
        <v>0.57408000000000003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250</v>
      </c>
      <c r="Y510" s="669">
        <f>IFERROR(SUM(Y505:Y508),"0")</f>
        <v>253.44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80</v>
      </c>
      <c r="Y512" s="668">
        <f t="shared" ref="Y512:Y522" si="74">IFERROR(IF(X512="",0,CEILING((X512/$H512),1)*$H512),"")</f>
        <v>84.48</v>
      </c>
      <c r="Z512" s="36">
        <f>IFERROR(IF(Y512=0,"",ROUNDUP(Y512/H512,0)*0.01196),"")</f>
        <v>0.19136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85.454545454545453</v>
      </c>
      <c r="BN512" s="64">
        <f t="shared" ref="BN512:BN522" si="76">IFERROR(Y512*I512/H512,"0")</f>
        <v>90.24</v>
      </c>
      <c r="BO512" s="64">
        <f t="shared" ref="BO512:BO522" si="77">IFERROR(1/J512*(X512/H512),"0")</f>
        <v>0.14568764568764569</v>
      </c>
      <c r="BP512" s="64">
        <f t="shared" ref="BP512:BP522" si="78">IFERROR(1/J512*(Y512/H512),"0")</f>
        <v>0.15384615384615385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80</v>
      </c>
      <c r="Y513" s="668">
        <f t="shared" si="74"/>
        <v>84.48</v>
      </c>
      <c r="Z513" s="36">
        <f>IFERROR(IF(Y513=0,"",ROUNDUP(Y513/H513,0)*0.01196),"")</f>
        <v>0.19136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85.454545454545453</v>
      </c>
      <c r="BN513" s="64">
        <f t="shared" si="76"/>
        <v>90.24</v>
      </c>
      <c r="BO513" s="64">
        <f t="shared" si="77"/>
        <v>0.14568764568764569</v>
      </c>
      <c r="BP513" s="64">
        <f t="shared" si="78"/>
        <v>0.15384615384615385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80</v>
      </c>
      <c r="Y514" s="668">
        <f t="shared" si="74"/>
        <v>84.48</v>
      </c>
      <c r="Z514" s="36">
        <f>IFERROR(IF(Y514=0,"",ROUNDUP(Y514/H514,0)*0.01196),"")</f>
        <v>0.19136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85.454545454545453</v>
      </c>
      <c r="BN514" s="64">
        <f t="shared" si="76"/>
        <v>90.24</v>
      </c>
      <c r="BO514" s="64">
        <f t="shared" si="77"/>
        <v>0.14568764568764569</v>
      </c>
      <c r="BP514" s="64">
        <f t="shared" si="78"/>
        <v>0.15384615384615385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4301031351</v>
      </c>
      <c r="D516" s="689">
        <v>4680115882072</v>
      </c>
      <c r="E516" s="690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4301031383</v>
      </c>
      <c r="D517" s="689">
        <v>4680115882072</v>
      </c>
      <c r="E517" s="690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4301031419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720" t="s">
        <v>823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4301031384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829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831</v>
      </c>
      <c r="C522" s="31">
        <v>4301031417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7" t="s">
        <v>832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45.454545454545453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48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0.57408000000000003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240</v>
      </c>
      <c r="Y524" s="669">
        <f>IFERROR(SUM(Y512:Y522),"0")</f>
        <v>253.44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4301051887</v>
      </c>
      <c r="D565" s="689">
        <v>4640242180533</v>
      </c>
      <c r="E565" s="690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4301052046</v>
      </c>
      <c r="D566" s="689">
        <v>4640242180533</v>
      </c>
      <c r="E566" s="690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4301060485</v>
      </c>
      <c r="D573" s="689">
        <v>4640242180120</v>
      </c>
      <c r="E573" s="690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4301060496</v>
      </c>
      <c r="D574" s="689">
        <v>4640242180120</v>
      </c>
      <c r="E574" s="690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4301060486</v>
      </c>
      <c r="D575" s="689">
        <v>4640242180137</v>
      </c>
      <c r="E575" s="690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4301060498</v>
      </c>
      <c r="D576" s="689">
        <v>4640242180137</v>
      </c>
      <c r="E576" s="690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1445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1498.44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1536.6970079920081</v>
      </c>
      <c r="Y597" s="669">
        <f>IFERROR(SUM(BN22:BN593),"0")</f>
        <v>1593.405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3</v>
      </c>
      <c r="Y598" s="38">
        <f>ROUNDUP(SUM(BP22:BP593),0)</f>
        <v>3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1611.6970079920081</v>
      </c>
      <c r="Y599" s="669">
        <f>GrossWeightTotalR+PalletQtyTotalR*25</f>
        <v>1668.405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239.27633477633475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247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3.2823899999999999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32.400000000000006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43.2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84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117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105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45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1071.8400000000001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5,00"/>
        <filter val="1 536,70"/>
        <filter val="1 611,70"/>
        <filter val="1,48"/>
        <filter val="1,85"/>
        <filter val="10,00"/>
        <filter val="105,00"/>
        <filter val="106,06"/>
        <filter val="15,00"/>
        <filter val="16,00"/>
        <filter val="2,78"/>
        <filter val="20,00"/>
        <filter val="239,28"/>
        <filter val="240,00"/>
        <filter val="250,00"/>
        <filter val="3"/>
        <filter val="30,00"/>
        <filter val="300,00"/>
        <filter val="32,00"/>
        <filter val="4,10"/>
        <filter val="4,44"/>
        <filter val="40,00"/>
        <filter val="45,00"/>
        <filter val="45,45"/>
        <filter val="47,35"/>
        <filter val="560,00"/>
        <filter val="7,00"/>
        <filter val="72,00"/>
        <filter val="80,00"/>
        <filter val="9,23"/>
        <filter val="9,52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