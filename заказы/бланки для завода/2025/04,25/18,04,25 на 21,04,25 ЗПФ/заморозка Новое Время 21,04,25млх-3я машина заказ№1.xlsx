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A7E5F51-9B64-4701-982E-DDB9A7AB20E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Y335" i="1" s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Z329" i="1" s="1"/>
  <c r="Y308" i="1"/>
  <c r="X306" i="1"/>
  <c r="X305" i="1"/>
  <c r="BO304" i="1"/>
  <c r="BM304" i="1"/>
  <c r="Z304" i="1"/>
  <c r="Y304" i="1"/>
  <c r="BP304" i="1" s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P297" i="1"/>
  <c r="X295" i="1"/>
  <c r="X294" i="1"/>
  <c r="BO293" i="1"/>
  <c r="BM293" i="1"/>
  <c r="Z293" i="1"/>
  <c r="Z294" i="1" s="1"/>
  <c r="Y293" i="1"/>
  <c r="Y295" i="1" s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P270" i="1"/>
  <c r="X266" i="1"/>
  <c r="X265" i="1"/>
  <c r="BO264" i="1"/>
  <c r="BM264" i="1"/>
  <c r="Z264" i="1"/>
  <c r="Z265" i="1" s="1"/>
  <c r="Y264" i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Y249" i="1" s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Y233" i="1"/>
  <c r="Y238" i="1" s="1"/>
  <c r="P233" i="1"/>
  <c r="X230" i="1"/>
  <c r="X229" i="1"/>
  <c r="BO228" i="1"/>
  <c r="BM228" i="1"/>
  <c r="Z228" i="1"/>
  <c r="Y228" i="1"/>
  <c r="BP228" i="1" s="1"/>
  <c r="P228" i="1"/>
  <c r="BO227" i="1"/>
  <c r="BM227" i="1"/>
  <c r="Z227" i="1"/>
  <c r="Y227" i="1"/>
  <c r="P227" i="1"/>
  <c r="BO226" i="1"/>
  <c r="BM226" i="1"/>
  <c r="Z226" i="1"/>
  <c r="Y226" i="1"/>
  <c r="BP226" i="1" s="1"/>
  <c r="P226" i="1"/>
  <c r="BO225" i="1"/>
  <c r="BM225" i="1"/>
  <c r="Z225" i="1"/>
  <c r="Y225" i="1"/>
  <c r="P225" i="1"/>
  <c r="BO224" i="1"/>
  <c r="BM224" i="1"/>
  <c r="Z224" i="1"/>
  <c r="Y224" i="1"/>
  <c r="BP224" i="1" s="1"/>
  <c r="P224" i="1"/>
  <c r="BO223" i="1"/>
  <c r="BM223" i="1"/>
  <c r="Z223" i="1"/>
  <c r="Y223" i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BO208" i="1"/>
  <c r="BM208" i="1"/>
  <c r="Z208" i="1"/>
  <c r="Z212" i="1" s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BO182" i="1"/>
  <c r="BM182" i="1"/>
  <c r="Z182" i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X133" i="1"/>
  <c r="X132" i="1"/>
  <c r="BO131" i="1"/>
  <c r="BM131" i="1"/>
  <c r="Z131" i="1"/>
  <c r="Z132" i="1" s="1"/>
  <c r="Y131" i="1"/>
  <c r="Y133" i="1" s="1"/>
  <c r="X129" i="1"/>
  <c r="X128" i="1"/>
  <c r="BO127" i="1"/>
  <c r="BM127" i="1"/>
  <c r="Z127" i="1"/>
  <c r="Y127" i="1"/>
  <c r="BP127" i="1" s="1"/>
  <c r="P127" i="1"/>
  <c r="BO126" i="1"/>
  <c r="BM126" i="1"/>
  <c r="Z126" i="1"/>
  <c r="Y126" i="1"/>
  <c r="P126" i="1"/>
  <c r="BO125" i="1"/>
  <c r="BM125" i="1"/>
  <c r="Z125" i="1"/>
  <c r="Y125" i="1"/>
  <c r="BP125" i="1" s="1"/>
  <c r="P125" i="1"/>
  <c r="BO124" i="1"/>
  <c r="BM124" i="1"/>
  <c r="Z124" i="1"/>
  <c r="Y124" i="1"/>
  <c r="P124" i="1"/>
  <c r="BO123" i="1"/>
  <c r="BM123" i="1"/>
  <c r="Z123" i="1"/>
  <c r="Y123" i="1"/>
  <c r="BP123" i="1" s="1"/>
  <c r="P123" i="1"/>
  <c r="BO122" i="1"/>
  <c r="BM122" i="1"/>
  <c r="Z122" i="1"/>
  <c r="Y122" i="1"/>
  <c r="X119" i="1"/>
  <c r="X118" i="1"/>
  <c r="BO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O114" i="1"/>
  <c r="BM114" i="1"/>
  <c r="Z114" i="1"/>
  <c r="Y114" i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BO104" i="1"/>
  <c r="BM104" i="1"/>
  <c r="Z104" i="1"/>
  <c r="Y104" i="1"/>
  <c r="BP104" i="1" s="1"/>
  <c r="P104" i="1"/>
  <c r="BO103" i="1"/>
  <c r="BM103" i="1"/>
  <c r="Z103" i="1"/>
  <c r="Y103" i="1"/>
  <c r="X100" i="1"/>
  <c r="X99" i="1"/>
  <c r="BO98" i="1"/>
  <c r="BM98" i="1"/>
  <c r="Z98" i="1"/>
  <c r="Y98" i="1"/>
  <c r="P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P83" i="1"/>
  <c r="BO82" i="1"/>
  <c r="BM82" i="1"/>
  <c r="Z82" i="1"/>
  <c r="Y82" i="1"/>
  <c r="P82" i="1"/>
  <c r="X79" i="1"/>
  <c r="X78" i="1"/>
  <c r="BO77" i="1"/>
  <c r="BM77" i="1"/>
  <c r="Z77" i="1"/>
  <c r="Y77" i="1"/>
  <c r="BO76" i="1"/>
  <c r="BM76" i="1"/>
  <c r="Z76" i="1"/>
  <c r="Y76" i="1"/>
  <c r="BO75" i="1"/>
  <c r="BM75" i="1"/>
  <c r="Z75" i="1"/>
  <c r="Z78" i="1" s="1"/>
  <c r="Y75" i="1"/>
  <c r="X73" i="1"/>
  <c r="X72" i="1"/>
  <c r="BO71" i="1"/>
  <c r="BM71" i="1"/>
  <c r="Z71" i="1"/>
  <c r="Z72" i="1" s="1"/>
  <c r="Y71" i="1"/>
  <c r="Y73" i="1" s="1"/>
  <c r="P71" i="1"/>
  <c r="X69" i="1"/>
  <c r="X68" i="1"/>
  <c r="BO67" i="1"/>
  <c r="BM67" i="1"/>
  <c r="Z67" i="1"/>
  <c r="Z68" i="1" s="1"/>
  <c r="Y67" i="1"/>
  <c r="X65" i="1"/>
  <c r="X64" i="1"/>
  <c r="BO63" i="1"/>
  <c r="BM63" i="1"/>
  <c r="Z63" i="1"/>
  <c r="Y63" i="1"/>
  <c r="BP63" i="1" s="1"/>
  <c r="BO62" i="1"/>
  <c r="BM62" i="1"/>
  <c r="Z62" i="1"/>
  <c r="Z64" i="1" s="1"/>
  <c r="Y62" i="1"/>
  <c r="Y65" i="1" s="1"/>
  <c r="X60" i="1"/>
  <c r="X59" i="1"/>
  <c r="BO58" i="1"/>
  <c r="BM58" i="1"/>
  <c r="Z58" i="1"/>
  <c r="Z59" i="1" s="1"/>
  <c r="Y58" i="1"/>
  <c r="Y60" i="1" s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X43" i="1"/>
  <c r="X42" i="1"/>
  <c r="BO41" i="1"/>
  <c r="BM41" i="1"/>
  <c r="Z41" i="1"/>
  <c r="Y41" i="1"/>
  <c r="BO40" i="1"/>
  <c r="BM40" i="1"/>
  <c r="Z40" i="1"/>
  <c r="Y40" i="1"/>
  <c r="BO39" i="1"/>
  <c r="BM39" i="1"/>
  <c r="Z39" i="1"/>
  <c r="Z42" i="1" s="1"/>
  <c r="Y39" i="1"/>
  <c r="X36" i="1"/>
  <c r="X35" i="1"/>
  <c r="BO34" i="1"/>
  <c r="BM34" i="1"/>
  <c r="Z34" i="1"/>
  <c r="Y34" i="1"/>
  <c r="BP34" i="1" s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5" i="1" s="1"/>
  <c r="Y28" i="1"/>
  <c r="Y36" i="1" s="1"/>
  <c r="X24" i="1"/>
  <c r="X23" i="1"/>
  <c r="BO22" i="1"/>
  <c r="X338" i="1" s="1"/>
  <c r="BM22" i="1"/>
  <c r="Z22" i="1"/>
  <c r="Z23" i="1" s="1"/>
  <c r="Y22" i="1"/>
  <c r="Y24" i="1" s="1"/>
  <c r="P22" i="1"/>
  <c r="H10" i="1"/>
  <c r="A9" i="1"/>
  <c r="D7" i="1"/>
  <c r="Q6" i="1"/>
  <c r="P2" i="1"/>
  <c r="BN28" i="1" l="1"/>
  <c r="BP28" i="1"/>
  <c r="BN29" i="1"/>
  <c r="BN30" i="1"/>
  <c r="BN31" i="1"/>
  <c r="BN32" i="1"/>
  <c r="BN33" i="1"/>
  <c r="BN34" i="1"/>
  <c r="Y35" i="1"/>
  <c r="BN62" i="1"/>
  <c r="BP62" i="1"/>
  <c r="BN63" i="1"/>
  <c r="Y64" i="1"/>
  <c r="BN104" i="1"/>
  <c r="BN105" i="1"/>
  <c r="BN107" i="1"/>
  <c r="BN109" i="1"/>
  <c r="BN123" i="1"/>
  <c r="BN125" i="1"/>
  <c r="BN127" i="1"/>
  <c r="BN177" i="1"/>
  <c r="BP177" i="1"/>
  <c r="Y178" i="1"/>
  <c r="Y187" i="1"/>
  <c r="BN184" i="1"/>
  <c r="Z199" i="1"/>
  <c r="BN196" i="1"/>
  <c r="BN198" i="1"/>
  <c r="Z272" i="1"/>
  <c r="BN277" i="1"/>
  <c r="BP277" i="1"/>
  <c r="Y278" i="1"/>
  <c r="BN281" i="1"/>
  <c r="BP281" i="1"/>
  <c r="Y282" i="1"/>
  <c r="Y306" i="1"/>
  <c r="Y330" i="1"/>
  <c r="BN310" i="1"/>
  <c r="BN311" i="1"/>
  <c r="BN312" i="1"/>
  <c r="BN315" i="1"/>
  <c r="BN316" i="1"/>
  <c r="Y79" i="1"/>
  <c r="Y78" i="1"/>
  <c r="BP75" i="1"/>
  <c r="BN75" i="1"/>
  <c r="BP76" i="1"/>
  <c r="BN76" i="1"/>
  <c r="BP77" i="1"/>
  <c r="BN77" i="1"/>
  <c r="BP190" i="1"/>
  <c r="BN190" i="1"/>
  <c r="BP209" i="1"/>
  <c r="BN209" i="1"/>
  <c r="BP211" i="1"/>
  <c r="BN211" i="1"/>
  <c r="Y229" i="1"/>
  <c r="BP223" i="1"/>
  <c r="BN223" i="1"/>
  <c r="BP225" i="1"/>
  <c r="BN225" i="1"/>
  <c r="BP227" i="1"/>
  <c r="BN227" i="1"/>
  <c r="Y272" i="1"/>
  <c r="BP270" i="1"/>
  <c r="BN270" i="1"/>
  <c r="Y273" i="1"/>
  <c r="BP82" i="1"/>
  <c r="BN82" i="1"/>
  <c r="BP95" i="1"/>
  <c r="BN95" i="1"/>
  <c r="BP96" i="1"/>
  <c r="BN96" i="1"/>
  <c r="BP98" i="1"/>
  <c r="BN98" i="1"/>
  <c r="BP114" i="1"/>
  <c r="BN114" i="1"/>
  <c r="BP117" i="1"/>
  <c r="BN117" i="1"/>
  <c r="Y144" i="1"/>
  <c r="BP142" i="1"/>
  <c r="BN142" i="1"/>
  <c r="Y157" i="1"/>
  <c r="Y156" i="1"/>
  <c r="BP154" i="1"/>
  <c r="BN154" i="1"/>
  <c r="BP155" i="1"/>
  <c r="BN155" i="1"/>
  <c r="Y167" i="1"/>
  <c r="BP165" i="1"/>
  <c r="BN165" i="1"/>
  <c r="Y168" i="1"/>
  <c r="Z186" i="1"/>
  <c r="Y266" i="1"/>
  <c r="Y265" i="1"/>
  <c r="BP264" i="1"/>
  <c r="BN264" i="1"/>
  <c r="Y162" i="1"/>
  <c r="Y161" i="1"/>
  <c r="BP160" i="1"/>
  <c r="BN160" i="1"/>
  <c r="Z54" i="1"/>
  <c r="Z84" i="1"/>
  <c r="Z118" i="1"/>
  <c r="Z144" i="1"/>
  <c r="Y145" i="1"/>
  <c r="Z150" i="1"/>
  <c r="Y213" i="1"/>
  <c r="Y220" i="1"/>
  <c r="Z229" i="1"/>
  <c r="Z237" i="1"/>
  <c r="Z259" i="1"/>
  <c r="Z305" i="1"/>
  <c r="BN302" i="1"/>
  <c r="BP302" i="1"/>
  <c r="BN304" i="1"/>
  <c r="BN333" i="1"/>
  <c r="BP333" i="1"/>
  <c r="Y334" i="1"/>
  <c r="Y42" i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F10" i="1"/>
  <c r="J9" i="1"/>
  <c r="F9" i="1"/>
  <c r="A10" i="1"/>
  <c r="H9" i="1"/>
  <c r="Y23" i="1"/>
  <c r="BP22" i="1"/>
  <c r="BN22" i="1"/>
  <c r="X337" i="1"/>
  <c r="X339" i="1" s="1"/>
  <c r="X340" i="1"/>
  <c r="X336" i="1"/>
  <c r="Y43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110" i="1"/>
  <c r="Y119" i="1"/>
  <c r="Z128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Z341" i="1" l="1"/>
  <c r="Y336" i="1"/>
  <c r="Y337" i="1"/>
  <c r="Y340" i="1"/>
  <c r="Y338" i="1"/>
  <c r="C349" i="1" l="1"/>
  <c r="Y339" i="1"/>
  <c r="A349" i="1" s="1"/>
  <c r="B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<sst xmlns="http://schemas.openxmlformats.org/spreadsheetml/2006/main" count="1707" uniqueCount="558">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</sst>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270" sqref="AA270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45768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0.5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hidden="1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hidden="1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0</v>
      </c>
      <c r="Y35" s="356">
        <f>IFERROR(SUM(Y28:Y34),"0")</f>
        <v>0</v>
      </c>
      <c r="Z35" s="356">
        <f>IFERROR(IF(Z28="",0,Z28),"0")+IFERROR(IF(Z29="",0,Z29),"0")+IFERROR(IF(Z30="",0,Z30),"0")+IFERROR(IF(Z31="",0,Z31),"0")+IFERROR(IF(Z32="",0,Z32),"0")+IFERROR(IF(Z33="",0,Z33),"0")+IFERROR(IF(Z34="",0,Z34),"0")</f>
        <v>0</v>
      </c>
      <c r="AA35" s="357"/>
      <c r="AB35" s="357"/>
      <c r="AC35" s="357"/>
    </row>
    <row r="36" spans="1:68" hidden="1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0</v>
      </c>
      <c r="Y36" s="356">
        <f>IFERROR(SUMPRODUCT(Y28:Y34*H28:H34),"0")</f>
        <v>0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hidden="1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idden="1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0</v>
      </c>
      <c r="Y42" s="356">
        <f>IFERROR(SUM(Y39:Y41),"0")</f>
        <v>0</v>
      </c>
      <c r="Z42" s="356">
        <f>IFERROR(IF(Z39="",0,Z39),"0")+IFERROR(IF(Z40="",0,Z40),"0")+IFERROR(IF(Z41="",0,Z41),"0")</f>
        <v>0</v>
      </c>
      <c r="AA42" s="357"/>
      <c r="AB42" s="357"/>
      <c r="AC42" s="357"/>
    </row>
    <row r="43" spans="1:68" hidden="1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0</v>
      </c>
      <c r="Y43" s="356">
        <f>IFERROR(SUMPRODUCT(Y39:Y41*H39:H41),"0")</f>
        <v>0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hidden="1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0</v>
      </c>
      <c r="Y54" s="356">
        <f>IFERROR(SUM(Y46:Y53),"0")</f>
        <v>0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</v>
      </c>
      <c r="AA54" s="357"/>
      <c r="AB54" s="357"/>
      <c r="AC54" s="357"/>
    </row>
    <row r="55" spans="1:68" hidden="1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0</v>
      </c>
      <c r="Y55" s="356">
        <f>IFERROR(SUMPRODUCT(Y46:Y53*H46:H53),"0")</f>
        <v>0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hidden="1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0</v>
      </c>
      <c r="Y83" s="355">
        <f>IFERROR(IF(X83="","",X83),"")</f>
        <v>0</v>
      </c>
      <c r="Z83" s="36">
        <f>IFERROR(IF(X83="","",X83*0.00866),"")</f>
        <v>0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0</v>
      </c>
      <c r="Y84" s="356">
        <f>IFERROR(SUM(Y82:Y83),"0")</f>
        <v>0</v>
      </c>
      <c r="Z84" s="356">
        <f>IFERROR(IF(Z82="",0,Z82),"0")+IFERROR(IF(Z83="",0,Z83),"0")</f>
        <v>0</v>
      </c>
      <c r="AA84" s="357"/>
      <c r="AB84" s="357"/>
      <c r="AC84" s="357"/>
    </row>
    <row r="85" spans="1:68" hidden="1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0</v>
      </c>
      <c r="Y85" s="356">
        <f>IFERROR(SUMPRODUCT(Y82:Y83*H82:H83),"0")</f>
        <v>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hidden="1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hidden="1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hidden="1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hidden="1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0</v>
      </c>
      <c r="Y98" s="355">
        <f>IFERROR(IF(X98="","",X98),"")</f>
        <v>0</v>
      </c>
      <c r="Z98" s="36">
        <f>IFERROR(IF(X98="","",X98*0.01788),"")</f>
        <v>0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0</v>
      </c>
      <c r="BN98" s="67">
        <f>IFERROR(Y98*I98,"0")</f>
        <v>0</v>
      </c>
      <c r="BO98" s="67">
        <f>IFERROR(X98/J98,"0")</f>
        <v>0</v>
      </c>
      <c r="BP98" s="67">
        <f>IFERROR(Y98/J98,"0")</f>
        <v>0</v>
      </c>
    </row>
    <row r="99" spans="1:68" hidden="1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0</v>
      </c>
      <c r="Y99" s="356">
        <f>IFERROR(SUM(Y94:Y98),"0")</f>
        <v>0</v>
      </c>
      <c r="Z99" s="356">
        <f>IFERROR(IF(Z94="",0,Z94),"0")+IFERROR(IF(Z95="",0,Z95),"0")+IFERROR(IF(Z96="",0,Z96),"0")+IFERROR(IF(Z97="",0,Z97),"0")+IFERROR(IF(Z98="",0,Z98),"0")</f>
        <v>0</v>
      </c>
      <c r="AA99" s="357"/>
      <c r="AB99" s="357"/>
      <c r="AC99" s="357"/>
    </row>
    <row r="100" spans="1:68" hidden="1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0</v>
      </c>
      <c r="Y100" s="356">
        <f>IFERROR(SUMPRODUCT(Y94:Y98*H94:H98),"0")</f>
        <v>0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hidden="1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0</v>
      </c>
      <c r="Y103" s="355">
        <f t="shared" ref="Y103:Y109" si="12">IFERROR(IF(X103="","",X103),"")</f>
        <v>0</v>
      </c>
      <c r="Z103" s="36">
        <f t="shared" ref="Z103:Z109" si="13">IFERROR(IF(X103="","",X103*0.01788),"")</f>
        <v>0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0</v>
      </c>
      <c r="BN103" s="67">
        <f t="shared" ref="BN103:BN109" si="15">IFERROR(Y103*I103,"0")</f>
        <v>0</v>
      </c>
      <c r="BO103" s="67">
        <f t="shared" ref="BO103:BO109" si="16">IFERROR(X103/J103,"0")</f>
        <v>0</v>
      </c>
      <c r="BP103" s="67">
        <f t="shared" ref="BP103:BP109" si="17">IFERROR(Y103/J103,"0")</f>
        <v>0</v>
      </c>
    </row>
    <row r="104" spans="1:68" ht="27" hidden="1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0</v>
      </c>
      <c r="Y104" s="355">
        <f t="shared" si="12"/>
        <v>0</v>
      </c>
      <c r="Z104" s="36">
        <f t="shared" si="13"/>
        <v>0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hidden="1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0</v>
      </c>
      <c r="Y105" s="355">
        <f t="shared" si="12"/>
        <v>0</v>
      </c>
      <c r="Z105" s="36">
        <f t="shared" si="13"/>
        <v>0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hidden="1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0</v>
      </c>
      <c r="Y107" s="355">
        <f t="shared" si="12"/>
        <v>0</v>
      </c>
      <c r="Z107" s="36">
        <f t="shared" si="13"/>
        <v>0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0</v>
      </c>
      <c r="BN107" s="67">
        <f t="shared" si="15"/>
        <v>0</v>
      </c>
      <c r="BO107" s="67">
        <f t="shared" si="16"/>
        <v>0</v>
      </c>
      <c r="BP107" s="67">
        <f t="shared" si="17"/>
        <v>0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idden="1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0</v>
      </c>
      <c r="Y110" s="356">
        <f>IFERROR(SUM(Y103:Y109),"0")</f>
        <v>0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357"/>
      <c r="AB110" s="357"/>
      <c r="AC110" s="357"/>
    </row>
    <row r="111" spans="1:68" hidden="1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0</v>
      </c>
      <c r="Y111" s="356">
        <f>IFERROR(SUMPRODUCT(Y103:Y109*H103:H109),"0")</f>
        <v>0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hidden="1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0</v>
      </c>
      <c r="Y117" s="355">
        <f>IFERROR(IF(X117="","",X117),"")</f>
        <v>0</v>
      </c>
      <c r="Z117" s="36">
        <f>IFERROR(IF(X117="","",X117*0.0155),"")</f>
        <v>0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0</v>
      </c>
      <c r="Y118" s="356">
        <f>IFERROR(SUM(Y114:Y117),"0")</f>
        <v>0</v>
      </c>
      <c r="Z118" s="356">
        <f>IFERROR(IF(Z114="",0,Z114),"0")+IFERROR(IF(Z115="",0,Z115),"0")+IFERROR(IF(Z116="",0,Z116),"0")+IFERROR(IF(Z117="",0,Z117),"0")</f>
        <v>0</v>
      </c>
      <c r="AA118" s="357"/>
      <c r="AB118" s="357"/>
      <c r="AC118" s="357"/>
    </row>
    <row r="119" spans="1:68" hidden="1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0</v>
      </c>
      <c r="Y119" s="356">
        <f>IFERROR(SUMPRODUCT(Y114:Y117*H114:H117),"0")</f>
        <v>0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hidden="1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0</v>
      </c>
      <c r="Y124" s="355">
        <f t="shared" si="18"/>
        <v>0</v>
      </c>
      <c r="Z124" s="36">
        <f t="shared" si="19"/>
        <v>0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0</v>
      </c>
      <c r="BN124" s="67">
        <f t="shared" si="21"/>
        <v>0</v>
      </c>
      <c r="BO124" s="67">
        <f t="shared" si="22"/>
        <v>0</v>
      </c>
      <c r="BP124" s="67">
        <f t="shared" si="23"/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hidden="1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hidden="1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0</v>
      </c>
      <c r="Y127" s="355">
        <f t="shared" si="18"/>
        <v>0</v>
      </c>
      <c r="Z127" s="36">
        <f t="shared" si="19"/>
        <v>0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0</v>
      </c>
      <c r="BN127" s="67">
        <f t="shared" si="21"/>
        <v>0</v>
      </c>
      <c r="BO127" s="67">
        <f t="shared" si="22"/>
        <v>0</v>
      </c>
      <c r="BP127" s="67">
        <f t="shared" si="23"/>
        <v>0</v>
      </c>
    </row>
    <row r="128" spans="1:68" hidden="1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0</v>
      </c>
      <c r="Y128" s="356">
        <f>IFERROR(SUM(Y122:Y127),"0")</f>
        <v>0</v>
      </c>
      <c r="Z128" s="356">
        <f>IFERROR(IF(Z122="",0,Z122),"0")+IFERROR(IF(Z123="",0,Z123),"0")+IFERROR(IF(Z124="",0,Z124),"0")+IFERROR(IF(Z125="",0,Z125),"0")+IFERROR(IF(Z126="",0,Z126),"0")+IFERROR(IF(Z127="",0,Z127),"0")</f>
        <v>0</v>
      </c>
      <c r="AA128" s="357"/>
      <c r="AB128" s="357"/>
      <c r="AC128" s="357"/>
    </row>
    <row r="129" spans="1:68" hidden="1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0</v>
      </c>
      <c r="Y129" s="356">
        <f>IFERROR(SUMPRODUCT(Y122:Y127*H122:H127),"0")</f>
        <v>0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hidden="1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hidden="1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hidden="1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0</v>
      </c>
      <c r="Y136" s="355">
        <f>IFERROR(IF(X136="","",X136),"")</f>
        <v>0</v>
      </c>
      <c r="Z136" s="36">
        <f>IFERROR(IF(X136="","",X136*0.01788),"")</f>
        <v>0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0</v>
      </c>
      <c r="Y137" s="355">
        <f>IFERROR(IF(X137="","",X137),"")</f>
        <v>0</v>
      </c>
      <c r="Z137" s="36">
        <f>IFERROR(IF(X137="","",X137*0.01788),"")</f>
        <v>0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0</v>
      </c>
      <c r="Y138" s="356">
        <f>IFERROR(SUM(Y136:Y137),"0")</f>
        <v>0</v>
      </c>
      <c r="Z138" s="356">
        <f>IFERROR(IF(Z136="",0,Z136),"0")+IFERROR(IF(Z137="",0,Z137),"0")</f>
        <v>0</v>
      </c>
      <c r="AA138" s="357"/>
      <c r="AB138" s="357"/>
      <c r="AC138" s="357"/>
    </row>
    <row r="139" spans="1:68" hidden="1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0</v>
      </c>
      <c r="Y139" s="356">
        <f>IFERROR(SUMPRODUCT(Y136:Y137*H136:H137),"0")</f>
        <v>0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hidden="1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0</v>
      </c>
      <c r="Y142" s="355">
        <f>IFERROR(IF(X142="","",X142),"")</f>
        <v>0</v>
      </c>
      <c r="Z142" s="36">
        <f>IFERROR(IF(X142="","",X142*0.01788),"")</f>
        <v>0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16.5" hidden="1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0</v>
      </c>
      <c r="Y143" s="355">
        <f>IFERROR(IF(X143="","",X143),"")</f>
        <v>0</v>
      </c>
      <c r="Z143" s="36">
        <f>IFERROR(IF(X143="","",X143*0.01788),"")</f>
        <v>0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0</v>
      </c>
      <c r="Y144" s="356">
        <f>IFERROR(SUM(Y142:Y143),"0")</f>
        <v>0</v>
      </c>
      <c r="Z144" s="356">
        <f>IFERROR(IF(Z142="",0,Z142),"0")+IFERROR(IF(Z143="",0,Z143),"0")</f>
        <v>0</v>
      </c>
      <c r="AA144" s="357"/>
      <c r="AB144" s="357"/>
      <c r="AC144" s="357"/>
    </row>
    <row r="145" spans="1:68" hidden="1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0</v>
      </c>
      <c r="Y145" s="356">
        <f>IFERROR(SUMPRODUCT(Y142:Y143*H142:H143),"0")</f>
        <v>0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hidden="1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0</v>
      </c>
      <c r="Y148" s="355">
        <f>IFERROR(IF(X148="","",X148),"")</f>
        <v>0</v>
      </c>
      <c r="Z148" s="36">
        <f>IFERROR(IF(X148="","",X148*0.01788),"")</f>
        <v>0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0</v>
      </c>
      <c r="Y150" s="356">
        <f>IFERROR(SUM(Y148:Y149),"0")</f>
        <v>0</v>
      </c>
      <c r="Z150" s="356">
        <f>IFERROR(IF(Z148="",0,Z148),"0")+IFERROR(IF(Z149="",0,Z149),"0")</f>
        <v>0</v>
      </c>
      <c r="AA150" s="357"/>
      <c r="AB150" s="357"/>
      <c r="AC150" s="357"/>
    </row>
    <row r="151" spans="1:68" hidden="1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0</v>
      </c>
      <c r="Y151" s="356">
        <f>IFERROR(SUMPRODUCT(Y148:Y149*H148:H149),"0")</f>
        <v>0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hidden="1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hidden="1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hidden="1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hidden="1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hidden="1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hidden="1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hidden="1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0</v>
      </c>
      <c r="Y196" s="355">
        <f>IFERROR(IF(X196="","",X196),"")</f>
        <v>0</v>
      </c>
      <c r="Z196" s="36">
        <f>IFERROR(IF(X196="","",X196*0.01788),"")</f>
        <v>0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0</v>
      </c>
      <c r="Y198" s="355">
        <f>IFERROR(IF(X198="","",X198),"")</f>
        <v>0</v>
      </c>
      <c r="Z198" s="36">
        <f>IFERROR(IF(X198="","",X198*0.01788),"")</f>
        <v>0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0</v>
      </c>
      <c r="Y199" s="356">
        <f>IFERROR(SUM(Y196:Y198),"0")</f>
        <v>0</v>
      </c>
      <c r="Z199" s="356">
        <f>IFERROR(IF(Z196="",0,Z196),"0")+IFERROR(IF(Z197="",0,Z197),"0")+IFERROR(IF(Z198="",0,Z198),"0")</f>
        <v>0</v>
      </c>
      <c r="AA199" s="357"/>
      <c r="AB199" s="357"/>
      <c r="AC199" s="357"/>
    </row>
    <row r="200" spans="1:68" hidden="1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0</v>
      </c>
      <c r="Y200" s="356">
        <f>IFERROR(SUMPRODUCT(Y196:Y198*H196:H198),"0")</f>
        <v>0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hidden="1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hidden="1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hidden="1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hidden="1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hidden="1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hidden="1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168</v>
      </c>
      <c r="Y270" s="355">
        <f>IFERROR(IF(X270="","",X270),"")</f>
        <v>168</v>
      </c>
      <c r="Z270" s="36">
        <f>IFERROR(IF(X270="","",X270*0.0155),"")</f>
        <v>2.6040000000000001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884.01599999999996</v>
      </c>
      <c r="BN270" s="67">
        <f>IFERROR(Y270*I270,"0")</f>
        <v>884.01599999999996</v>
      </c>
      <c r="BO270" s="67">
        <f>IFERROR(X270/J270,"0")</f>
        <v>2</v>
      </c>
      <c r="BP270" s="67">
        <f>IFERROR(Y270/J270,"0")</f>
        <v>2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168</v>
      </c>
      <c r="Y272" s="356">
        <f>IFERROR(SUM(Y270:Y271),"0")</f>
        <v>168</v>
      </c>
      <c r="Z272" s="356">
        <f>IFERROR(IF(Z270="",0,Z270),"0")+IFERROR(IF(Z271="",0,Z271),"0")</f>
        <v>2.6040000000000001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840</v>
      </c>
      <c r="Y273" s="356">
        <f>IFERROR(SUMPRODUCT(Y270:Y271*H270:H271),"0")</f>
        <v>840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hidden="1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idden="1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hidden="1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hidden="1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idden="1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hidden="1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hidden="1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0</v>
      </c>
      <c r="Y297" s="355">
        <f>IFERROR(IF(X297="","",X297),"")</f>
        <v>0</v>
      </c>
      <c r="Z297" s="36">
        <f>IFERROR(IF(X297="","",X297*0.0155),"")</f>
        <v>0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0</v>
      </c>
      <c r="BN297" s="67">
        <f>IFERROR(Y297*I297,"0")</f>
        <v>0</v>
      </c>
      <c r="BO297" s="67">
        <f>IFERROR(X297/J297,"0")</f>
        <v>0</v>
      </c>
      <c r="BP297" s="67">
        <f>IFERROR(Y297/J297,"0")</f>
        <v>0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hidden="1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0</v>
      </c>
      <c r="Y299" s="356">
        <f>IFERROR(SUM(Y297:Y298),"0")</f>
        <v>0</v>
      </c>
      <c r="Z299" s="356">
        <f>IFERROR(IF(Z297="",0,Z297),"0")+IFERROR(IF(Z298="",0,Z298),"0")</f>
        <v>0</v>
      </c>
      <c r="AA299" s="357"/>
      <c r="AB299" s="357"/>
      <c r="AC299" s="357"/>
    </row>
    <row r="300" spans="1:68" hidden="1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0</v>
      </c>
      <c r="Y300" s="356">
        <f>IFERROR(SUMPRODUCT(Y297:Y298*H297:H298),"0")</f>
        <v>0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hidden="1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hidden="1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hidden="1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hidden="1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hidden="1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hidden="1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hidden="1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hidden="1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hidden="1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0</v>
      </c>
      <c r="Y329" s="356">
        <f>IFERROR(SUM(Y308:Y328),"0")</f>
        <v>0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</v>
      </c>
      <c r="AA329" s="357"/>
      <c r="AB329" s="357"/>
      <c r="AC329" s="357"/>
    </row>
    <row r="330" spans="1:68" hidden="1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0</v>
      </c>
      <c r="Y330" s="356">
        <f>IFERROR(SUMPRODUCT(Y308:Y328*H308:H328),"0")</f>
        <v>0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840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840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884.01599999999996</v>
      </c>
      <c r="Y337" s="356">
        <f>IFERROR(SUM(BN22:BN333),"0")</f>
        <v>884.01599999999996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2</v>
      </c>
      <c r="Y338" s="38">
        <f>ROUNDUP(SUM(BP22:BP333),0)</f>
        <v>2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934.01599999999996</v>
      </c>
      <c r="Y339" s="356">
        <f>GrossWeightTotalR+PalletQtyTotalR*25</f>
        <v>934.01599999999996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168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168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2.6040000000000001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0</v>
      </c>
      <c r="D346" s="46">
        <f>IFERROR(X39*H39,"0")+IFERROR(X40*H40,"0")+IFERROR(X41*H41,"0")</f>
        <v>0</v>
      </c>
      <c r="E346" s="46">
        <f>IFERROR(X46*H46,"0")+IFERROR(X47*H47,"0")+IFERROR(X48*H48,"0")+IFERROR(X49*H49,"0")+IFERROR(X50*H50,"0")+IFERROR(X51*H51,"0")+IFERROR(X52*H52,"0")+IFERROR(X53*H53,"0")</f>
        <v>0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0</v>
      </c>
      <c r="J346" s="46">
        <f>IFERROR(X103*H103,"0")+IFERROR(X104*H104,"0")+IFERROR(X105*H105,"0")+IFERROR(X106*H106,"0")+IFERROR(X107*H107,"0")+IFERROR(X108*H108,"0")+IFERROR(X109*H109,"0")</f>
        <v>0</v>
      </c>
      <c r="K346" s="46">
        <f>IFERROR(X114*H114,"0")+IFERROR(X115*H115,"0")+IFERROR(X116*H116,"0")+IFERROR(X117*H117,"0")</f>
        <v>0</v>
      </c>
      <c r="L346" s="46">
        <f>IFERROR(X122*H122,"0")+IFERROR(X123*H123,"0")+IFERROR(X124*H124,"0")+IFERROR(X125*H125,"0")+IFERROR(X126*H126,"0")+IFERROR(X127*H127,"0")+IFERROR(X131*H131,"0")</f>
        <v>0</v>
      </c>
      <c r="M346" s="46">
        <f>IFERROR(X136*H136,"0")+IFERROR(X137*H137,"0")</f>
        <v>0</v>
      </c>
      <c r="N346" s="352"/>
      <c r="O346" s="46">
        <f>IFERROR(X142*H142,"0")+IFERROR(X143*H143,"0")</f>
        <v>0</v>
      </c>
      <c r="P346" s="46">
        <f>IFERROR(X148*H148,"0")+IFERROR(X149*H149,"0")</f>
        <v>0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0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840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0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840</v>
      </c>
      <c r="B349" s="60">
        <f>SUMPRODUCT(--(BB:BB="ПГП"),--(W:W="кор"),H:H,Y:Y)+SUMPRODUCT(--(BB:BB="ПГП"),--(W:W="кг"),Y:Y)</f>
        <v>0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68,00"/>
        <filter val="2"/>
        <filter val="840,00"/>
        <filter val="884,02"/>
        <filter val="934,02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