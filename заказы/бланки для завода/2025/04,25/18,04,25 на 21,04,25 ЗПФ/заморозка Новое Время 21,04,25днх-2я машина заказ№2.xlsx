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4006C3-0DBC-4301-A340-C70ECE800E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Z186" i="1" s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P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P63" i="1" s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P34" i="1" s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BM22" i="1"/>
  <c r="Z22" i="1"/>
  <c r="Z23" i="1" s="1"/>
  <c r="Y22" i="1"/>
  <c r="Y24" i="1" s="1"/>
  <c r="P22" i="1"/>
  <c r="H10" i="1"/>
  <c r="A9" i="1"/>
  <c r="D7" i="1"/>
  <c r="Q6" i="1"/>
  <c r="P2" i="1"/>
  <c r="BN28" i="1" l="1"/>
  <c r="BP28" i="1"/>
  <c r="BN29" i="1"/>
  <c r="BN30" i="1"/>
  <c r="BN31" i="1"/>
  <c r="BN32" i="1"/>
  <c r="BN33" i="1"/>
  <c r="BN34" i="1"/>
  <c r="Y35" i="1"/>
  <c r="BN62" i="1"/>
  <c r="BP62" i="1"/>
  <c r="BN63" i="1"/>
  <c r="Y64" i="1"/>
  <c r="BN104" i="1"/>
  <c r="BN105" i="1"/>
  <c r="BN107" i="1"/>
  <c r="BN109" i="1"/>
  <c r="BN123" i="1"/>
  <c r="BN125" i="1"/>
  <c r="BN127" i="1"/>
  <c r="BN177" i="1"/>
  <c r="BP177" i="1"/>
  <c r="Y178" i="1"/>
  <c r="Y187" i="1"/>
  <c r="BN184" i="1"/>
  <c r="Z199" i="1"/>
  <c r="BN196" i="1"/>
  <c r="BN198" i="1"/>
  <c r="Z272" i="1"/>
  <c r="BN277" i="1"/>
  <c r="BP277" i="1"/>
  <c r="Y278" i="1"/>
  <c r="BN281" i="1"/>
  <c r="BP281" i="1"/>
  <c r="Y282" i="1"/>
  <c r="Y306" i="1"/>
  <c r="Y330" i="1"/>
  <c r="BN310" i="1"/>
  <c r="BN311" i="1"/>
  <c r="BN312" i="1"/>
  <c r="BN315" i="1"/>
  <c r="BN316" i="1"/>
  <c r="BP82" i="1"/>
  <c r="BN82" i="1"/>
  <c r="BP95" i="1"/>
  <c r="BN95" i="1"/>
  <c r="BP96" i="1"/>
  <c r="BN96" i="1"/>
  <c r="BP98" i="1"/>
  <c r="BN98" i="1"/>
  <c r="BP114" i="1"/>
  <c r="BN114" i="1"/>
  <c r="BP117" i="1"/>
  <c r="BN117" i="1"/>
  <c r="Y144" i="1"/>
  <c r="BP142" i="1"/>
  <c r="BN142" i="1"/>
  <c r="Y157" i="1"/>
  <c r="Y156" i="1"/>
  <c r="BP154" i="1"/>
  <c r="BN154" i="1"/>
  <c r="BP155" i="1"/>
  <c r="BN155" i="1"/>
  <c r="Y167" i="1"/>
  <c r="BP165" i="1"/>
  <c r="BN165" i="1"/>
  <c r="Y168" i="1"/>
  <c r="Y266" i="1"/>
  <c r="Y265" i="1"/>
  <c r="BP264" i="1"/>
  <c r="BN264" i="1"/>
  <c r="X338" i="1"/>
  <c r="Y79" i="1"/>
  <c r="Y78" i="1"/>
  <c r="BP75" i="1"/>
  <c r="BN75" i="1"/>
  <c r="BP76" i="1"/>
  <c r="BN76" i="1"/>
  <c r="BP77" i="1"/>
  <c r="BN7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Z54" i="1"/>
  <c r="Z84" i="1"/>
  <c r="Z118" i="1"/>
  <c r="Z144" i="1"/>
  <c r="Y145" i="1"/>
  <c r="Z150" i="1"/>
  <c r="Y213" i="1"/>
  <c r="Y220" i="1"/>
  <c r="Z229" i="1"/>
  <c r="Z237" i="1"/>
  <c r="Z259" i="1"/>
  <c r="Z305" i="1"/>
  <c r="BN302" i="1"/>
  <c r="BP302" i="1"/>
  <c r="BN304" i="1"/>
  <c r="BN333" i="1"/>
  <c r="BP333" i="1"/>
  <c r="Y334" i="1"/>
  <c r="F10" i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Y337" i="1"/>
  <c r="Y340" i="1"/>
  <c r="Y338" i="1"/>
  <c r="C349" i="1" l="1"/>
  <c r="Y339" i="1"/>
  <c r="A349" i="1" s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<sst xmlns="http://schemas.openxmlformats.org/spreadsheetml/2006/main" count="1707" uniqueCount="558">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</sst>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45768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0.45833333333333331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56</v>
      </c>
      <c r="Y29" s="355">
        <f t="shared" si="0"/>
        <v>56</v>
      </c>
      <c r="Z29" s="36">
        <f t="shared" si="1"/>
        <v>0.52695999999999998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107.6208</v>
      </c>
      <c r="BN29" s="67">
        <f t="shared" si="3"/>
        <v>107.6208</v>
      </c>
      <c r="BO29" s="67">
        <f t="shared" si="4"/>
        <v>0.4</v>
      </c>
      <c r="BP29" s="67">
        <f t="shared" si="5"/>
        <v>0.4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14</v>
      </c>
      <c r="Y32" s="355">
        <f t="shared" si="0"/>
        <v>14</v>
      </c>
      <c r="Z32" s="36">
        <f t="shared" si="1"/>
        <v>0.13174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26.905200000000001</v>
      </c>
      <c r="BN32" s="67">
        <f t="shared" si="3"/>
        <v>26.905200000000001</v>
      </c>
      <c r="BO32" s="67">
        <f t="shared" si="4"/>
        <v>0.1</v>
      </c>
      <c r="BP32" s="67">
        <f t="shared" si="5"/>
        <v>0.1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28</v>
      </c>
      <c r="Y34" s="355">
        <f t="shared" si="0"/>
        <v>28</v>
      </c>
      <c r="Z34" s="36">
        <f t="shared" si="1"/>
        <v>0.26347999999999999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53.810400000000001</v>
      </c>
      <c r="BN34" s="67">
        <f t="shared" si="3"/>
        <v>53.810400000000001</v>
      </c>
      <c r="BO34" s="67">
        <f t="shared" si="4"/>
        <v>0.2</v>
      </c>
      <c r="BP34" s="67">
        <f t="shared" si="5"/>
        <v>0.2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98</v>
      </c>
      <c r="Y35" s="356">
        <f>IFERROR(SUM(Y28:Y34),"0")</f>
        <v>98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0.92218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147</v>
      </c>
      <c r="Y36" s="356">
        <f>IFERROR(SUMPRODUCT(Y28:Y34*H28:H34),"0")</f>
        <v>147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12</v>
      </c>
      <c r="Y39" s="355">
        <f>IFERROR(IF(X39="","",X39),"")</f>
        <v>12</v>
      </c>
      <c r="Z39" s="36">
        <f>IFERROR(IF(X39="","",X39*0.0155),"")</f>
        <v>0.186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70.44</v>
      </c>
      <c r="BN39" s="67">
        <f>IFERROR(Y39*I39,"0")</f>
        <v>70.44</v>
      </c>
      <c r="BO39" s="67">
        <f>IFERROR(X39/J39,"0")</f>
        <v>0.14285714285714285</v>
      </c>
      <c r="BP39" s="67">
        <f>IFERROR(Y39/J39,"0")</f>
        <v>0.14285714285714285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24</v>
      </c>
      <c r="Y41" s="355">
        <f>IFERROR(IF(X41="","",X41),"")</f>
        <v>24</v>
      </c>
      <c r="Z41" s="36">
        <f>IFERROR(IF(X41="","",X41*0.0155),"")</f>
        <v>0.372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140.88</v>
      </c>
      <c r="BN41" s="67">
        <f>IFERROR(Y41*I41,"0")</f>
        <v>140.88</v>
      </c>
      <c r="BO41" s="67">
        <f>IFERROR(X41/J41,"0")</f>
        <v>0.2857142857142857</v>
      </c>
      <c r="BP41" s="67">
        <f>IFERROR(Y41/J41,"0")</f>
        <v>0.2857142857142857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201.59999999999997</v>
      </c>
      <c r="Y43" s="356">
        <f>IFERROR(SUMPRODUCT(Y39:Y41*H39:H41),"0")</f>
        <v>201.59999999999997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12</v>
      </c>
      <c r="Y54" s="356">
        <f>IFERROR(SUM(Y46:Y53),"0")</f>
        <v>12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0.186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84</v>
      </c>
      <c r="Y55" s="356">
        <f>IFERROR(SUMPRODUCT(Y46:Y53*H46:H53),"0")</f>
        <v>84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36</v>
      </c>
      <c r="Y83" s="355">
        <f>IFERROR(IF(X83="","",X83),"")</f>
        <v>36</v>
      </c>
      <c r="Z83" s="36">
        <f>IFERROR(IF(X83="","",X83*0.00866),"")</f>
        <v>0.31175999999999998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187.67519999999999</v>
      </c>
      <c r="BN83" s="67">
        <f>IFERROR(Y83*I83,"0")</f>
        <v>187.67519999999999</v>
      </c>
      <c r="BO83" s="67">
        <f>IFERROR(X83/J83,"0")</f>
        <v>0.25</v>
      </c>
      <c r="BP83" s="67">
        <f>IFERROR(Y83/J83,"0")</f>
        <v>0.25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36</v>
      </c>
      <c r="Y84" s="356">
        <f>IFERROR(SUM(Y82:Y83),"0")</f>
        <v>36</v>
      </c>
      <c r="Z84" s="356">
        <f>IFERROR(IF(Z82="",0,Z82),"0")+IFERROR(IF(Z83="",0,Z83),"0")</f>
        <v>0.31175999999999998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180</v>
      </c>
      <c r="Y85" s="356">
        <f>IFERROR(SUMPRODUCT(Y82:Y83*H82:H83),"0")</f>
        <v>180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14</v>
      </c>
      <c r="Y98" s="355">
        <f>IFERROR(IF(X98="","",X98),"")</f>
        <v>14</v>
      </c>
      <c r="Z98" s="36">
        <f>IFERROR(IF(X98="","",X98*0.01788),"")</f>
        <v>0.25031999999999999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60.250400000000006</v>
      </c>
      <c r="BN98" s="67">
        <f>IFERROR(Y98*I98,"0")</f>
        <v>60.250400000000006</v>
      </c>
      <c r="BO98" s="67">
        <f>IFERROR(X98/J98,"0")</f>
        <v>0.2</v>
      </c>
      <c r="BP98" s="67">
        <f>IFERROR(Y98/J98,"0")</f>
        <v>0.2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14</v>
      </c>
      <c r="Y99" s="356">
        <f>IFERROR(SUM(Y94:Y98),"0")</f>
        <v>14</v>
      </c>
      <c r="Z99" s="356">
        <f>IFERROR(IF(Z94="",0,Z94),"0")+IFERROR(IF(Z95="",0,Z95),"0")+IFERROR(IF(Z96="",0,Z96),"0")+IFERROR(IF(Z97="",0,Z97),"0")+IFERROR(IF(Z98="",0,Z98),"0")</f>
        <v>0.25031999999999999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50.4</v>
      </c>
      <c r="Y100" s="356">
        <f>IFERROR(SUMPRODUCT(Y94:Y98*H94:H98),"0")</f>
        <v>50.4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hidden="1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28</v>
      </c>
      <c r="Y105" s="355">
        <f t="shared" si="12"/>
        <v>28</v>
      </c>
      <c r="Z105" s="36">
        <f t="shared" si="13"/>
        <v>0.50063999999999997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120.50080000000001</v>
      </c>
      <c r="BN105" s="67">
        <f t="shared" si="15"/>
        <v>120.50080000000001</v>
      </c>
      <c r="BO105" s="67">
        <f t="shared" si="16"/>
        <v>0.4</v>
      </c>
      <c r="BP105" s="67">
        <f t="shared" si="17"/>
        <v>0.4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56</v>
      </c>
      <c r="Y110" s="356">
        <f>IFERROR(SUM(Y103:Y109),"0")</f>
        <v>56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1.0012799999999999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201.6</v>
      </c>
      <c r="Y111" s="356">
        <f>IFERROR(SUMPRODUCT(Y103:Y109*H103:H109),"0")</f>
        <v>201.6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28</v>
      </c>
      <c r="Y115" s="355">
        <f>IFERROR(IF(X115="","",X115),"")</f>
        <v>28</v>
      </c>
      <c r="Z115" s="36">
        <f>IFERROR(IF(X115="","",X115*0.01788),"")</f>
        <v>0.50063999999999997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118.83199999999999</v>
      </c>
      <c r="BN115" s="67">
        <f>IFERROR(Y115*I115,"0")</f>
        <v>118.83199999999999</v>
      </c>
      <c r="BO115" s="67">
        <f>IFERROR(X115/J115,"0")</f>
        <v>0.4</v>
      </c>
      <c r="BP115" s="67">
        <f>IFERROR(Y115/J115,"0")</f>
        <v>0.4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40</v>
      </c>
      <c r="Y118" s="356">
        <f>IFERROR(SUM(Y114:Y117),"0")</f>
        <v>40</v>
      </c>
      <c r="Z118" s="356">
        <f>IFERROR(IF(Z114="",0,Z114),"0")+IFERROR(IF(Z115="",0,Z115),"0")+IFERROR(IF(Z116="",0,Z116),"0")+IFERROR(IF(Z117="",0,Z117),"0")</f>
        <v>0.68663999999999992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137.76</v>
      </c>
      <c r="Y119" s="356">
        <f>IFERROR(SUMPRODUCT(Y114:Y117*H114:H117),"0")</f>
        <v>137.76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24</v>
      </c>
      <c r="Y124" s="355">
        <f t="shared" si="18"/>
        <v>24</v>
      </c>
      <c r="Z124" s="36">
        <f t="shared" si="19"/>
        <v>0.372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175.2</v>
      </c>
      <c r="BN124" s="67">
        <f t="shared" si="21"/>
        <v>175.2</v>
      </c>
      <c r="BO124" s="67">
        <f t="shared" si="22"/>
        <v>0.2857142857142857</v>
      </c>
      <c r="BP124" s="67">
        <f t="shared" si="23"/>
        <v>0.2857142857142857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12</v>
      </c>
      <c r="Y127" s="355">
        <f t="shared" si="18"/>
        <v>12</v>
      </c>
      <c r="Z127" s="36">
        <f t="shared" si="19"/>
        <v>0.186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87.6</v>
      </c>
      <c r="BN127" s="67">
        <f t="shared" si="21"/>
        <v>87.6</v>
      </c>
      <c r="BO127" s="67">
        <f t="shared" si="22"/>
        <v>0.14285714285714285</v>
      </c>
      <c r="BP127" s="67">
        <f t="shared" si="23"/>
        <v>0.14285714285714285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48</v>
      </c>
      <c r="Y128" s="356">
        <f>IFERROR(SUM(Y122:Y127),"0")</f>
        <v>48</v>
      </c>
      <c r="Z128" s="356">
        <f>IFERROR(IF(Z122="",0,Z122),"0")+IFERROR(IF(Z123="",0,Z123),"0")+IFERROR(IF(Z124="",0,Z124),"0")+IFERROR(IF(Z125="",0,Z125),"0")+IFERROR(IF(Z126="",0,Z126),"0")+IFERROR(IF(Z127="",0,Z127),"0")</f>
        <v>0.74399999999999999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336</v>
      </c>
      <c r="Y129" s="356">
        <f>IFERROR(SUMPRODUCT(Y122:Y127*H122:H127),"0")</f>
        <v>336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hidden="1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42</v>
      </c>
      <c r="Y137" s="35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42</v>
      </c>
      <c r="Y138" s="356">
        <f>IFERROR(SUM(Y136:Y137),"0")</f>
        <v>42</v>
      </c>
      <c r="Z138" s="356">
        <f>IFERROR(IF(Z136="",0,Z136),"0")+IFERROR(IF(Z137="",0,Z137),"0")</f>
        <v>0.75095999999999996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126</v>
      </c>
      <c r="Y139" s="356">
        <f>IFERROR(SUMPRODUCT(Y136:Y137*H136:H137),"0")</f>
        <v>126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hidden="1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14</v>
      </c>
      <c r="Y150" s="356">
        <f>IFERROR(SUM(Y148:Y149),"0")</f>
        <v>14</v>
      </c>
      <c r="Z150" s="356">
        <f>IFERROR(IF(Z148="",0,Z148),"0")+IFERROR(IF(Z149="",0,Z149),"0")</f>
        <v>0.25031999999999999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42</v>
      </c>
      <c r="Y151" s="356">
        <f>IFERROR(SUMPRODUCT(Y148:Y149*H148:H149),"0")</f>
        <v>42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14</v>
      </c>
      <c r="Y171" s="355">
        <f>IFERROR(IF(X171="","",X171),"")</f>
        <v>14</v>
      </c>
      <c r="Z171" s="36">
        <f>IFERROR(IF(X171="","",X171*0.00941),"")</f>
        <v>0.13174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14</v>
      </c>
      <c r="Y172" s="356">
        <f>IFERROR(SUM(Y171:Y171),"0")</f>
        <v>14</v>
      </c>
      <c r="Z172" s="356">
        <f>IFERROR(IF(Z171="",0,Z171),"0")</f>
        <v>0.13174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23.52</v>
      </c>
      <c r="Y173" s="356">
        <f>IFERROR(SUMPRODUCT(Y171:Y171*H171:H171),"0")</f>
        <v>23.52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hidden="1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70</v>
      </c>
      <c r="Y199" s="356">
        <f>IFERROR(SUM(Y196:Y198),"0")</f>
        <v>70</v>
      </c>
      <c r="Z199" s="356">
        <f>IFERROR(IF(Z196="",0,Z196),"0")+IFERROR(IF(Z197="",0,Z197),"0")+IFERROR(IF(Z198="",0,Z198),"0")</f>
        <v>1.2515999999999998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210</v>
      </c>
      <c r="Y200" s="356">
        <f>IFERROR(SUMPRODUCT(Y196:Y198*H196:H198),"0")</f>
        <v>210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14</v>
      </c>
      <c r="Y208" s="355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43.450400000000002</v>
      </c>
      <c r="BN208" s="67">
        <f>IFERROR(Y208*I208,"0")</f>
        <v>43.450400000000002</v>
      </c>
      <c r="BO208" s="67">
        <f>IFERROR(X208/J208,"0")</f>
        <v>0.2</v>
      </c>
      <c r="BP208" s="67">
        <f>IFERROR(Y208/J208,"0")</f>
        <v>0.2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14</v>
      </c>
      <c r="Y212" s="356">
        <f>IFERROR(SUM(Y208:Y211),"0")</f>
        <v>14</v>
      </c>
      <c r="Z212" s="356">
        <f>IFERROR(IF(Z208="",0,Z208),"0")+IFERROR(IF(Z209="",0,Z209),"0")+IFERROR(IF(Z210="",0,Z210),"0")+IFERROR(IF(Z211="",0,Z211),"0")</f>
        <v>0.25031999999999999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33.6</v>
      </c>
      <c r="Y213" s="356">
        <f>IFERROR(SUMPRODUCT(Y208:Y211*H208:H211),"0")</f>
        <v>33.6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hidden="1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hidden="1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12</v>
      </c>
      <c r="Y224" s="355">
        <f t="shared" si="24"/>
        <v>12</v>
      </c>
      <c r="Z224" s="36">
        <f t="shared" si="25"/>
        <v>0.186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69.960000000000008</v>
      </c>
      <c r="BN224" s="67">
        <f t="shared" si="27"/>
        <v>69.960000000000008</v>
      </c>
      <c r="BO224" s="67">
        <f t="shared" si="28"/>
        <v>0.14285714285714285</v>
      </c>
      <c r="BP224" s="67">
        <f t="shared" si="29"/>
        <v>0.14285714285714285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12</v>
      </c>
      <c r="Y226" s="355">
        <f t="shared" si="24"/>
        <v>12</v>
      </c>
      <c r="Z226" s="36">
        <f t="shared" si="25"/>
        <v>0.186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70.44</v>
      </c>
      <c r="BN226" s="67">
        <f t="shared" si="27"/>
        <v>70.44</v>
      </c>
      <c r="BO226" s="67">
        <f t="shared" si="28"/>
        <v>0.14285714285714285</v>
      </c>
      <c r="BP226" s="67">
        <f t="shared" si="29"/>
        <v>0.14285714285714285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24</v>
      </c>
      <c r="Y229" s="356">
        <f>IFERROR(SUM(Y223:Y228),"0")</f>
        <v>24</v>
      </c>
      <c r="Z229" s="356">
        <f>IFERROR(IF(Z223="",0,Z223),"0")+IFERROR(IF(Z224="",0,Z224),"0")+IFERROR(IF(Z225="",0,Z225),"0")+IFERROR(IF(Z226="",0,Z226),"0")+IFERROR(IF(Z227="",0,Z227),"0")+IFERROR(IF(Z228="",0,Z228),"0")</f>
        <v>0.372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134.39999999999998</v>
      </c>
      <c r="Y230" s="356">
        <f>IFERROR(SUMPRODUCT(Y223:Y228*H223:H228),"0")</f>
        <v>134.39999999999998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53.999999999999993</v>
      </c>
      <c r="Y293" s="355">
        <f>IFERROR(IF(X293="","",X293),"")</f>
        <v>53.999999999999993</v>
      </c>
      <c r="Z293" s="36">
        <f>IFERROR(IF(X293="","",X293*0.00502),"")</f>
        <v>0.27107999999999999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103.40999999999998</v>
      </c>
      <c r="BN293" s="67">
        <f>IFERROR(Y293*I293,"0")</f>
        <v>103.40999999999998</v>
      </c>
      <c r="BO293" s="67">
        <f>IFERROR(X293/J293,"0")</f>
        <v>0.23076923076923073</v>
      </c>
      <c r="BP293" s="67">
        <f>IFERROR(Y293/J293,"0")</f>
        <v>0.23076923076923073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53.999999999999993</v>
      </c>
      <c r="Y294" s="356">
        <f>IFERROR(SUM(Y293:Y293),"0")</f>
        <v>53.999999999999993</v>
      </c>
      <c r="Z294" s="356">
        <f>IFERROR(IF(Z293="",0,Z293),"0")</f>
        <v>0.27107999999999999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97.199999999999989</v>
      </c>
      <c r="Y295" s="356">
        <f>IFERROR(SUMPRODUCT(Y293:Y293*H293:H293),"0")</f>
        <v>97.199999999999989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36</v>
      </c>
      <c r="Y297" s="355">
        <f>IFERROR(IF(X297="","",X297),"")</f>
        <v>36</v>
      </c>
      <c r="Z297" s="36">
        <f>IFERROR(IF(X297="","",X297*0.0155),"")</f>
        <v>0.55800000000000005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225.35999999999999</v>
      </c>
      <c r="BN297" s="67">
        <f>IFERROR(Y297*I297,"0")</f>
        <v>225.35999999999999</v>
      </c>
      <c r="BO297" s="67">
        <f>IFERROR(X297/J297,"0")</f>
        <v>0.42857142857142855</v>
      </c>
      <c r="BP297" s="67">
        <f>IFERROR(Y297/J297,"0")</f>
        <v>0.42857142857142855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36</v>
      </c>
      <c r="Y299" s="356">
        <f>IFERROR(SUM(Y297:Y298),"0")</f>
        <v>36</v>
      </c>
      <c r="Z299" s="356">
        <f>IFERROR(IF(Z297="",0,Z297),"0")+IFERROR(IF(Z298="",0,Z298),"0")</f>
        <v>0.55800000000000005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216</v>
      </c>
      <c r="Y300" s="356">
        <f>IFERROR(SUMPRODUCT(Y297:Y298*H297:H298),"0")</f>
        <v>216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14</v>
      </c>
      <c r="Y302" s="355">
        <f>IFERROR(IF(X302="","",X302),"")</f>
        <v>14</v>
      </c>
      <c r="Z302" s="36">
        <f>IFERROR(IF(X302="","",X302*0.00936),"")</f>
        <v>0.13103999999999999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40.468400000000003</v>
      </c>
      <c r="BN302" s="67">
        <f>IFERROR(Y302*I302,"0")</f>
        <v>40.468400000000003</v>
      </c>
      <c r="BO302" s="67">
        <f>IFERROR(X302/J302,"0")</f>
        <v>0.1111111111111111</v>
      </c>
      <c r="BP302" s="67">
        <f>IFERROR(Y302/J302,"0")</f>
        <v>0.1111111111111111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48</v>
      </c>
      <c r="Y303" s="355">
        <f>IFERROR(IF(X303="","",X303),"")</f>
        <v>48</v>
      </c>
      <c r="Z303" s="36">
        <f>IFERROR(IF(X303="","",X303*0.0155),"")</f>
        <v>0.74399999999999999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251.28000000000003</v>
      </c>
      <c r="BN303" s="67">
        <f>IFERROR(Y303*I303,"0")</f>
        <v>251.28000000000003</v>
      </c>
      <c r="BO303" s="67">
        <f>IFERROR(X303/J303,"0")</f>
        <v>0.5714285714285714</v>
      </c>
      <c r="BP303" s="67">
        <f>IFERROR(Y303/J303,"0")</f>
        <v>0.5714285714285714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62</v>
      </c>
      <c r="Y305" s="356">
        <f>IFERROR(SUM(Y302:Y304),"0")</f>
        <v>62</v>
      </c>
      <c r="Z305" s="356">
        <f>IFERROR(IF(Z302="",0,Z302),"0")+IFERROR(IF(Z303="",0,Z303),"0")+IFERROR(IF(Z304="",0,Z304),"0")</f>
        <v>0.87504000000000004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277.8</v>
      </c>
      <c r="Y306" s="356">
        <f>IFERROR(SUMPRODUCT(Y302:Y304*H302:H304),"0")</f>
        <v>277.8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28</v>
      </c>
      <c r="Y309" s="355">
        <f t="shared" si="30"/>
        <v>28</v>
      </c>
      <c r="Z309" s="36">
        <f>IFERROR(IF(X309="","",X309*0.00936),"")</f>
        <v>0.26207999999999998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108.976</v>
      </c>
      <c r="BN309" s="67">
        <f t="shared" si="32"/>
        <v>108.976</v>
      </c>
      <c r="BO309" s="67">
        <f t="shared" si="33"/>
        <v>0.22222222222222221</v>
      </c>
      <c r="BP309" s="67">
        <f t="shared" si="34"/>
        <v>0.22222222222222221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28</v>
      </c>
      <c r="Y313" s="355">
        <f t="shared" si="30"/>
        <v>28</v>
      </c>
      <c r="Z313" s="36">
        <f t="shared" si="35"/>
        <v>0.26207999999999998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89.376000000000005</v>
      </c>
      <c r="BN313" s="67">
        <f t="shared" si="32"/>
        <v>89.376000000000005</v>
      </c>
      <c r="BO313" s="67">
        <f t="shared" si="33"/>
        <v>0.22222222222222221</v>
      </c>
      <c r="BP313" s="67">
        <f t="shared" si="34"/>
        <v>0.22222222222222221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56</v>
      </c>
      <c r="Y329" s="356">
        <f>IFERROR(SUM(Y308:Y328),"0")</f>
        <v>56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0.52415999999999996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187.60000000000002</v>
      </c>
      <c r="Y330" s="356">
        <f>IFERROR(SUMPRODUCT(Y308:Y328*H308:H328),"0")</f>
        <v>187.60000000000002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2953.8399999999997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2953.8399999999997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3270.905600000001</v>
      </c>
      <c r="Y337" s="356">
        <f>IFERROR(SUM(BN22:BN333),"0")</f>
        <v>3270.905600000001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9</v>
      </c>
      <c r="Y338" s="38">
        <f>ROUNDUP(SUM(BP22:BP333),0)</f>
        <v>9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3495.905600000001</v>
      </c>
      <c r="Y339" s="356">
        <f>GrossWeightTotalR+PalletQtyTotalR*25</f>
        <v>3495.905600000001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792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792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10.936279999999998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147</v>
      </c>
      <c r="D346" s="46">
        <f>IFERROR(X39*H39,"0")+IFERROR(X40*H40,"0")+IFERROR(X41*H41,"0")</f>
        <v>201.59999999999997</v>
      </c>
      <c r="E346" s="46">
        <f>IFERROR(X46*H46,"0")+IFERROR(X47*H47,"0")+IFERROR(X48*H48,"0")+IFERROR(X49*H49,"0")+IFERROR(X50*H50,"0")+IFERROR(X51*H51,"0")+IFERROR(X52*H52,"0")+IFERROR(X53*H53,"0")</f>
        <v>84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180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50.4</v>
      </c>
      <c r="J346" s="46">
        <f>IFERROR(X103*H103,"0")+IFERROR(X104*H104,"0")+IFERROR(X105*H105,"0")+IFERROR(X106*H106,"0")+IFERROR(X107*H107,"0")+IFERROR(X108*H108,"0")+IFERROR(X109*H109,"0")</f>
        <v>201.6</v>
      </c>
      <c r="K346" s="46">
        <f>IFERROR(X114*H114,"0")+IFERROR(X115*H115,"0")+IFERROR(X116*H116,"0")+IFERROR(X117*H117,"0")</f>
        <v>137.76</v>
      </c>
      <c r="L346" s="46">
        <f>IFERROR(X122*H122,"0")+IFERROR(X123*H123,"0")+IFERROR(X124*H124,"0")+IFERROR(X125*H125,"0")+IFERROR(X126*H126,"0")+IFERROR(X127*H127,"0")+IFERROR(X131*H131,"0")</f>
        <v>372.96</v>
      </c>
      <c r="M346" s="46">
        <f>IFERROR(X136*H136,"0")+IFERROR(X137*H137,"0")</f>
        <v>126</v>
      </c>
      <c r="N346" s="352"/>
      <c r="O346" s="46">
        <f>IFERROR(X142*H142,"0")+IFERROR(X143*H143,"0")</f>
        <v>84</v>
      </c>
      <c r="P346" s="46">
        <f>IFERROR(X148*H148,"0")+IFERROR(X149*H149,"0")</f>
        <v>42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23.52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60</v>
      </c>
      <c r="W346" s="46">
        <f>IFERROR(X196*H196,"0")+IFERROR(X197*H197,"0")+IFERROR(X198*H198,"0")+IFERROR(X202*H202,"0")</f>
        <v>210</v>
      </c>
      <c r="X346" s="46">
        <f>IFERROR(X208*H208,"0")+IFERROR(X209*H209,"0")+IFERROR(X210*H210,"0")+IFERROR(X211*H211,"0")</f>
        <v>33.6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134.39999999999998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778.6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1082.4000000000001</v>
      </c>
      <c r="B349" s="60">
        <f>SUMPRODUCT(--(BB:BB="ПГП"),--(W:W="кор"),H:H,Y:Y)+SUMPRODUCT(--(BB:BB="ПГП"),--(W:W="кг"),Y:Y)</f>
        <v>1871.4399999999998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26,00"/>
        <filter val="134,40"/>
        <filter val="137,76"/>
        <filter val="14,00"/>
        <filter val="147,00"/>
        <filter val="180,00"/>
        <filter val="187,60"/>
        <filter val="2 953,84"/>
        <filter val="201,60"/>
        <filter val="210,00"/>
        <filter val="216,00"/>
        <filter val="23,52"/>
        <filter val="24,00"/>
        <filter val="277,80"/>
        <filter val="28,00"/>
        <filter val="3 270,91"/>
        <filter val="3 495,91"/>
        <filter val="33,60"/>
        <filter val="336,00"/>
        <filter val="36,00"/>
        <filter val="36,96"/>
        <filter val="40,00"/>
        <filter val="42,00"/>
        <filter val="48,00"/>
        <filter val="50,40"/>
        <filter val="54,00"/>
        <filter val="56,00"/>
        <filter val="60,00"/>
        <filter val="62,00"/>
        <filter val="70,00"/>
        <filter val="792,00"/>
        <filter val="84,00"/>
        <filter val="86,40"/>
        <filter val="9"/>
        <filter val="97,20"/>
        <filter val="98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