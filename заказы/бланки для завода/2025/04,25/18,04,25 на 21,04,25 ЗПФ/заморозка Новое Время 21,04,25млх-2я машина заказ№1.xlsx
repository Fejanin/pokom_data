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0BDC781-8D09-4B50-A604-B519A172594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Y308" i="1"/>
  <c r="X306" i="1"/>
  <c r="X305" i="1"/>
  <c r="BO304" i="1"/>
  <c r="BM304" i="1"/>
  <c r="Z304" i="1"/>
  <c r="Y304" i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Y300" i="1" s="1"/>
  <c r="P297" i="1"/>
  <c r="X295" i="1"/>
  <c r="X294" i="1"/>
  <c r="BO293" i="1"/>
  <c r="BM293" i="1"/>
  <c r="Z293" i="1"/>
  <c r="Z294" i="1" s="1"/>
  <c r="Y293" i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Y291" i="1" s="1"/>
  <c r="X283" i="1"/>
  <c r="X282" i="1"/>
  <c r="BO281" i="1"/>
  <c r="BM281" i="1"/>
  <c r="Z281" i="1"/>
  <c r="Z282" i="1" s="1"/>
  <c r="Y281" i="1"/>
  <c r="P281" i="1"/>
  <c r="X279" i="1"/>
  <c r="X278" i="1"/>
  <c r="BO277" i="1"/>
  <c r="BM277" i="1"/>
  <c r="Z277" i="1"/>
  <c r="Z278" i="1" s="1"/>
  <c r="Y277" i="1"/>
  <c r="X273" i="1"/>
  <c r="X272" i="1"/>
  <c r="BO271" i="1"/>
  <c r="BM271" i="1"/>
  <c r="Z271" i="1"/>
  <c r="Y271" i="1"/>
  <c r="P271" i="1"/>
  <c r="BO270" i="1"/>
  <c r="BM270" i="1"/>
  <c r="Z270" i="1"/>
  <c r="Y270" i="1"/>
  <c r="BP270" i="1" s="1"/>
  <c r="P270" i="1"/>
  <c r="X266" i="1"/>
  <c r="X265" i="1"/>
  <c r="BO264" i="1"/>
  <c r="BM264" i="1"/>
  <c r="Z264" i="1"/>
  <c r="Z265" i="1" s="1"/>
  <c r="Y264" i="1"/>
  <c r="Y266" i="1" s="1"/>
  <c r="P264" i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Y254" i="1" s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X243" i="1"/>
  <c r="Y242" i="1"/>
  <c r="X242" i="1"/>
  <c r="BP241" i="1"/>
  <c r="BO241" i="1"/>
  <c r="BN241" i="1"/>
  <c r="BM241" i="1"/>
  <c r="Z241" i="1"/>
  <c r="Z242" i="1" s="1"/>
  <c r="Y241" i="1"/>
  <c r="Y243" i="1" s="1"/>
  <c r="X238" i="1"/>
  <c r="X237" i="1"/>
  <c r="BO236" i="1"/>
  <c r="BM236" i="1"/>
  <c r="Z236" i="1"/>
  <c r="Y236" i="1"/>
  <c r="P236" i="1"/>
  <c r="BO235" i="1"/>
  <c r="BM235" i="1"/>
  <c r="Z235" i="1"/>
  <c r="Y235" i="1"/>
  <c r="P235" i="1"/>
  <c r="BO234" i="1"/>
  <c r="BM234" i="1"/>
  <c r="Z234" i="1"/>
  <c r="Z237" i="1" s="1"/>
  <c r="Y234" i="1"/>
  <c r="P234" i="1"/>
  <c r="BO233" i="1"/>
  <c r="BM233" i="1"/>
  <c r="Z233" i="1"/>
  <c r="Y233" i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Z227" i="1"/>
  <c r="Y227" i="1"/>
  <c r="P227" i="1"/>
  <c r="BP226" i="1"/>
  <c r="BO226" i="1"/>
  <c r="BN226" i="1"/>
  <c r="BM226" i="1"/>
  <c r="Z226" i="1"/>
  <c r="Y226" i="1"/>
  <c r="P226" i="1"/>
  <c r="BO225" i="1"/>
  <c r="BM225" i="1"/>
  <c r="Z225" i="1"/>
  <c r="Y225" i="1"/>
  <c r="P225" i="1"/>
  <c r="BP224" i="1"/>
  <c r="BO224" i="1"/>
  <c r="BN224" i="1"/>
  <c r="BM224" i="1"/>
  <c r="Z224" i="1"/>
  <c r="Y224" i="1"/>
  <c r="P224" i="1"/>
  <c r="BO223" i="1"/>
  <c r="BM223" i="1"/>
  <c r="Z223" i="1"/>
  <c r="Y223" i="1"/>
  <c r="P223" i="1"/>
  <c r="X220" i="1"/>
  <c r="X219" i="1"/>
  <c r="BO218" i="1"/>
  <c r="BM218" i="1"/>
  <c r="Z218" i="1"/>
  <c r="Y218" i="1"/>
  <c r="P218" i="1"/>
  <c r="BO217" i="1"/>
  <c r="BM217" i="1"/>
  <c r="Z217" i="1"/>
  <c r="Y217" i="1"/>
  <c r="BP217" i="1" s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P210" i="1"/>
  <c r="BO209" i="1"/>
  <c r="BM209" i="1"/>
  <c r="Z209" i="1"/>
  <c r="Y209" i="1"/>
  <c r="P209" i="1"/>
  <c r="BO208" i="1"/>
  <c r="BM208" i="1"/>
  <c r="Z208" i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Y200" i="1" s="1"/>
  <c r="P196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Z184" i="1"/>
  <c r="Y184" i="1"/>
  <c r="P184" i="1"/>
  <c r="BP183" i="1"/>
  <c r="BO183" i="1"/>
  <c r="BN183" i="1"/>
  <c r="BM183" i="1"/>
  <c r="Z183" i="1"/>
  <c r="Y183" i="1"/>
  <c r="BP182" i="1"/>
  <c r="BO182" i="1"/>
  <c r="BN182" i="1"/>
  <c r="BM182" i="1"/>
  <c r="Z182" i="1"/>
  <c r="Z186" i="1" s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P171" i="1"/>
  <c r="X168" i="1"/>
  <c r="X167" i="1"/>
  <c r="BP166" i="1"/>
  <c r="BO166" i="1"/>
  <c r="BN166" i="1"/>
  <c r="BM166" i="1"/>
  <c r="Z166" i="1"/>
  <c r="Y166" i="1"/>
  <c r="P166" i="1"/>
  <c r="BO165" i="1"/>
  <c r="BM165" i="1"/>
  <c r="Z165" i="1"/>
  <c r="Y165" i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Y155" i="1"/>
  <c r="BO154" i="1"/>
  <c r="BM154" i="1"/>
  <c r="Z154" i="1"/>
  <c r="Z156" i="1" s="1"/>
  <c r="Y154" i="1"/>
  <c r="Y157" i="1" s="1"/>
  <c r="P154" i="1"/>
  <c r="X151" i="1"/>
  <c r="X150" i="1"/>
  <c r="BO149" i="1"/>
  <c r="BM149" i="1"/>
  <c r="Z149" i="1"/>
  <c r="Y149" i="1"/>
  <c r="Y151" i="1" s="1"/>
  <c r="P149" i="1"/>
  <c r="BP148" i="1"/>
  <c r="BO148" i="1"/>
  <c r="BN148" i="1"/>
  <c r="BM148" i="1"/>
  <c r="Z148" i="1"/>
  <c r="Z150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Y142" i="1"/>
  <c r="P142" i="1"/>
  <c r="X139" i="1"/>
  <c r="X138" i="1"/>
  <c r="BO137" i="1"/>
  <c r="BM137" i="1"/>
  <c r="Z137" i="1"/>
  <c r="Y137" i="1"/>
  <c r="P137" i="1"/>
  <c r="BP136" i="1"/>
  <c r="BO136" i="1"/>
  <c r="BN136" i="1"/>
  <c r="BM136" i="1"/>
  <c r="Z136" i="1"/>
  <c r="Z138" i="1" s="1"/>
  <c r="Y136" i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X129" i="1"/>
  <c r="X128" i="1"/>
  <c r="BO127" i="1"/>
  <c r="BM127" i="1"/>
  <c r="Z127" i="1"/>
  <c r="Y127" i="1"/>
  <c r="P127" i="1"/>
  <c r="BO126" i="1"/>
  <c r="BM126" i="1"/>
  <c r="Z126" i="1"/>
  <c r="Y126" i="1"/>
  <c r="P126" i="1"/>
  <c r="BO125" i="1"/>
  <c r="BM125" i="1"/>
  <c r="Z125" i="1"/>
  <c r="Y125" i="1"/>
  <c r="P125" i="1"/>
  <c r="BO124" i="1"/>
  <c r="BM124" i="1"/>
  <c r="Z124" i="1"/>
  <c r="Y124" i="1"/>
  <c r="P124" i="1"/>
  <c r="BO123" i="1"/>
  <c r="BM123" i="1"/>
  <c r="Z123" i="1"/>
  <c r="Y123" i="1"/>
  <c r="P123" i="1"/>
  <c r="BO122" i="1"/>
  <c r="BM122" i="1"/>
  <c r="Z122" i="1"/>
  <c r="Y122" i="1"/>
  <c r="X119" i="1"/>
  <c r="X118" i="1"/>
  <c r="BO117" i="1"/>
  <c r="BM117" i="1"/>
  <c r="Z117" i="1"/>
  <c r="Y117" i="1"/>
  <c r="P117" i="1"/>
  <c r="BP116" i="1"/>
  <c r="BO116" i="1"/>
  <c r="BN116" i="1"/>
  <c r="BM116" i="1"/>
  <c r="Z116" i="1"/>
  <c r="Y116" i="1"/>
  <c r="BP115" i="1"/>
  <c r="BO115" i="1"/>
  <c r="BN115" i="1"/>
  <c r="BM115" i="1"/>
  <c r="Z115" i="1"/>
  <c r="Y115" i="1"/>
  <c r="P115" i="1"/>
  <c r="BO114" i="1"/>
  <c r="BM114" i="1"/>
  <c r="Z114" i="1"/>
  <c r="Y114" i="1"/>
  <c r="Y119" i="1" s="1"/>
  <c r="P114" i="1"/>
  <c r="X111" i="1"/>
  <c r="X110" i="1"/>
  <c r="BO109" i="1"/>
  <c r="BM109" i="1"/>
  <c r="Z109" i="1"/>
  <c r="Y109" i="1"/>
  <c r="P109" i="1"/>
  <c r="BO108" i="1"/>
  <c r="BM108" i="1"/>
  <c r="Z108" i="1"/>
  <c r="Y108" i="1"/>
  <c r="P108" i="1"/>
  <c r="BO107" i="1"/>
  <c r="BM107" i="1"/>
  <c r="Z107" i="1"/>
  <c r="Y107" i="1"/>
  <c r="P107" i="1"/>
  <c r="BO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BO103" i="1"/>
  <c r="BM103" i="1"/>
  <c r="Z103" i="1"/>
  <c r="Y103" i="1"/>
  <c r="X100" i="1"/>
  <c r="X99" i="1"/>
  <c r="BO98" i="1"/>
  <c r="BM98" i="1"/>
  <c r="Z98" i="1"/>
  <c r="Y98" i="1"/>
  <c r="P98" i="1"/>
  <c r="BP97" i="1"/>
  <c r="BO97" i="1"/>
  <c r="BN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P94" i="1"/>
  <c r="BO94" i="1"/>
  <c r="BN94" i="1"/>
  <c r="BM94" i="1"/>
  <c r="Z94" i="1"/>
  <c r="Z99" i="1" s="1"/>
  <c r="Y94" i="1"/>
  <c r="P94" i="1"/>
  <c r="X91" i="1"/>
  <c r="Y90" i="1"/>
  <c r="X90" i="1"/>
  <c r="BP89" i="1"/>
  <c r="BO89" i="1"/>
  <c r="BN89" i="1"/>
  <c r="BM89" i="1"/>
  <c r="Z89" i="1"/>
  <c r="Y89" i="1"/>
  <c r="BP88" i="1"/>
  <c r="BO88" i="1"/>
  <c r="BN88" i="1"/>
  <c r="BM88" i="1"/>
  <c r="Z88" i="1"/>
  <c r="Z90" i="1" s="1"/>
  <c r="Y88" i="1"/>
  <c r="Y91" i="1" s="1"/>
  <c r="P88" i="1"/>
  <c r="X85" i="1"/>
  <c r="X84" i="1"/>
  <c r="BO83" i="1"/>
  <c r="BM83" i="1"/>
  <c r="Z83" i="1"/>
  <c r="Y83" i="1"/>
  <c r="P83" i="1"/>
  <c r="BO82" i="1"/>
  <c r="BM82" i="1"/>
  <c r="Z82" i="1"/>
  <c r="Z84" i="1" s="1"/>
  <c r="Y82" i="1"/>
  <c r="P82" i="1"/>
  <c r="X79" i="1"/>
  <c r="X78" i="1"/>
  <c r="BO77" i="1"/>
  <c r="BM77" i="1"/>
  <c r="Z77" i="1"/>
  <c r="Y77" i="1"/>
  <c r="BO76" i="1"/>
  <c r="BM76" i="1"/>
  <c r="Z76" i="1"/>
  <c r="Y76" i="1"/>
  <c r="BO75" i="1"/>
  <c r="BM75" i="1"/>
  <c r="Z75" i="1"/>
  <c r="Z78" i="1" s="1"/>
  <c r="Y75" i="1"/>
  <c r="Y79" i="1" s="1"/>
  <c r="X73" i="1"/>
  <c r="X72" i="1"/>
  <c r="BO71" i="1"/>
  <c r="BM71" i="1"/>
  <c r="Z71" i="1"/>
  <c r="Z72" i="1" s="1"/>
  <c r="Y71" i="1"/>
  <c r="P71" i="1"/>
  <c r="X69" i="1"/>
  <c r="X68" i="1"/>
  <c r="BO67" i="1"/>
  <c r="BM67" i="1"/>
  <c r="Z67" i="1"/>
  <c r="Z68" i="1" s="1"/>
  <c r="Y67" i="1"/>
  <c r="X65" i="1"/>
  <c r="X64" i="1"/>
  <c r="BO63" i="1"/>
  <c r="BM63" i="1"/>
  <c r="Z63" i="1"/>
  <c r="Y63" i="1"/>
  <c r="BO62" i="1"/>
  <c r="BM62" i="1"/>
  <c r="Z62" i="1"/>
  <c r="Z64" i="1" s="1"/>
  <c r="Y62" i="1"/>
  <c r="Y65" i="1" s="1"/>
  <c r="X60" i="1"/>
  <c r="X59" i="1"/>
  <c r="BO58" i="1"/>
  <c r="BM58" i="1"/>
  <c r="Z58" i="1"/>
  <c r="Z59" i="1" s="1"/>
  <c r="Y58" i="1"/>
  <c r="Y60" i="1" s="1"/>
  <c r="X55" i="1"/>
  <c r="X54" i="1"/>
  <c r="BO53" i="1"/>
  <c r="BM53" i="1"/>
  <c r="Z53" i="1"/>
  <c r="Y53" i="1"/>
  <c r="P53" i="1"/>
  <c r="BO52" i="1"/>
  <c r="BM52" i="1"/>
  <c r="Z52" i="1"/>
  <c r="Y52" i="1"/>
  <c r="P52" i="1"/>
  <c r="BO51" i="1"/>
  <c r="BM51" i="1"/>
  <c r="Z51" i="1"/>
  <c r="Y51" i="1"/>
  <c r="P51" i="1"/>
  <c r="BP50" i="1"/>
  <c r="BO50" i="1"/>
  <c r="BN50" i="1"/>
  <c r="BM50" i="1"/>
  <c r="Z50" i="1"/>
  <c r="Y50" i="1"/>
  <c r="P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Y55" i="1" s="1"/>
  <c r="P47" i="1"/>
  <c r="BP46" i="1"/>
  <c r="BO46" i="1"/>
  <c r="BN46" i="1"/>
  <c r="BM46" i="1"/>
  <c r="Z46" i="1"/>
  <c r="Z54" i="1" s="1"/>
  <c r="Y46" i="1"/>
  <c r="P46" i="1"/>
  <c r="X43" i="1"/>
  <c r="Y42" i="1"/>
  <c r="X42" i="1"/>
  <c r="BP41" i="1"/>
  <c r="BO41" i="1"/>
  <c r="BN41" i="1"/>
  <c r="BM41" i="1"/>
  <c r="Z41" i="1"/>
  <c r="Y41" i="1"/>
  <c r="BP40" i="1"/>
  <c r="BO40" i="1"/>
  <c r="BN40" i="1"/>
  <c r="BM40" i="1"/>
  <c r="Z40" i="1"/>
  <c r="Y40" i="1"/>
  <c r="BP39" i="1"/>
  <c r="BO39" i="1"/>
  <c r="BN39" i="1"/>
  <c r="BM39" i="1"/>
  <c r="Z39" i="1"/>
  <c r="Z42" i="1" s="1"/>
  <c r="Y39" i="1"/>
  <c r="Y43" i="1" s="1"/>
  <c r="X36" i="1"/>
  <c r="X35" i="1"/>
  <c r="BO34" i="1"/>
  <c r="BM34" i="1"/>
  <c r="Z34" i="1"/>
  <c r="Y34" i="1"/>
  <c r="BO33" i="1"/>
  <c r="BM33" i="1"/>
  <c r="Z33" i="1"/>
  <c r="Y33" i="1"/>
  <c r="BO32" i="1"/>
  <c r="BM32" i="1"/>
  <c r="Z32" i="1"/>
  <c r="Y32" i="1"/>
  <c r="BO31" i="1"/>
  <c r="BM31" i="1"/>
  <c r="Z31" i="1"/>
  <c r="Y31" i="1"/>
  <c r="BO30" i="1"/>
  <c r="BM30" i="1"/>
  <c r="Z30" i="1"/>
  <c r="Y30" i="1"/>
  <c r="BO29" i="1"/>
  <c r="BM29" i="1"/>
  <c r="Z29" i="1"/>
  <c r="Y29" i="1"/>
  <c r="BO28" i="1"/>
  <c r="BM28" i="1"/>
  <c r="Z28" i="1"/>
  <c r="Z35" i="1" s="1"/>
  <c r="Y28" i="1"/>
  <c r="X24" i="1"/>
  <c r="X23" i="1"/>
  <c r="BO22" i="1"/>
  <c r="BM22" i="1"/>
  <c r="Z22" i="1"/>
  <c r="Z23" i="1" s="1"/>
  <c r="Y22" i="1"/>
  <c r="Y24" i="1" s="1"/>
  <c r="P22" i="1"/>
  <c r="H10" i="1"/>
  <c r="F10" i="1"/>
  <c r="F9" i="1"/>
  <c r="A9" i="1"/>
  <c r="A10" i="1" s="1"/>
  <c r="D7" i="1"/>
  <c r="Q6" i="1"/>
  <c r="P2" i="1"/>
  <c r="BN22" i="1" l="1"/>
  <c r="BP22" i="1"/>
  <c r="Y23" i="1"/>
  <c r="X337" i="1"/>
  <c r="BN58" i="1"/>
  <c r="BP58" i="1"/>
  <c r="Y59" i="1"/>
  <c r="Z118" i="1"/>
  <c r="Z199" i="1"/>
  <c r="BN217" i="1"/>
  <c r="BN264" i="1"/>
  <c r="BP264" i="1"/>
  <c r="Y265" i="1"/>
  <c r="Z272" i="1"/>
  <c r="BN270" i="1"/>
  <c r="Z329" i="1"/>
  <c r="BN310" i="1"/>
  <c r="BN311" i="1"/>
  <c r="BN312" i="1"/>
  <c r="BN315" i="1"/>
  <c r="BN316" i="1"/>
  <c r="Y73" i="1"/>
  <c r="Y72" i="1"/>
  <c r="BP71" i="1"/>
  <c r="BN71" i="1"/>
  <c r="Y173" i="1"/>
  <c r="Y172" i="1"/>
  <c r="BP171" i="1"/>
  <c r="BN171" i="1"/>
  <c r="BP208" i="1"/>
  <c r="BN208" i="1"/>
  <c r="BP210" i="1"/>
  <c r="BN210" i="1"/>
  <c r="BP258" i="1"/>
  <c r="BN258" i="1"/>
  <c r="Y279" i="1"/>
  <c r="Y278" i="1"/>
  <c r="BP277" i="1"/>
  <c r="BN277" i="1"/>
  <c r="J9" i="1"/>
  <c r="X338" i="1"/>
  <c r="X340" i="1"/>
  <c r="X336" i="1"/>
  <c r="BP52" i="1"/>
  <c r="BN52" i="1"/>
  <c r="Y69" i="1"/>
  <c r="Y68" i="1"/>
  <c r="BP67" i="1"/>
  <c r="BN67" i="1"/>
  <c r="BP83" i="1"/>
  <c r="BN83" i="1"/>
  <c r="BP103" i="1"/>
  <c r="BN103" i="1"/>
  <c r="BP106" i="1"/>
  <c r="BN106" i="1"/>
  <c r="BP108" i="1"/>
  <c r="BN108" i="1"/>
  <c r="BP122" i="1"/>
  <c r="BN122" i="1"/>
  <c r="BP124" i="1"/>
  <c r="BN124" i="1"/>
  <c r="BP126" i="1"/>
  <c r="BN126" i="1"/>
  <c r="BP143" i="1"/>
  <c r="BN143" i="1"/>
  <c r="BP189" i="1"/>
  <c r="BN189" i="1"/>
  <c r="Y204" i="1"/>
  <c r="Y203" i="1"/>
  <c r="BP202" i="1"/>
  <c r="BN202" i="1"/>
  <c r="Z219" i="1"/>
  <c r="Y237" i="1"/>
  <c r="BP233" i="1"/>
  <c r="BN233" i="1"/>
  <c r="BP235" i="1"/>
  <c r="BN235" i="1"/>
  <c r="Y238" i="1"/>
  <c r="Y283" i="1"/>
  <c r="Y282" i="1"/>
  <c r="BP281" i="1"/>
  <c r="BN281" i="1"/>
  <c r="BP302" i="1"/>
  <c r="BN302" i="1"/>
  <c r="BP304" i="1"/>
  <c r="BN304" i="1"/>
  <c r="Y335" i="1"/>
  <c r="Y334" i="1"/>
  <c r="BP333" i="1"/>
  <c r="BN333" i="1"/>
  <c r="Y99" i="1"/>
  <c r="Y100" i="1"/>
  <c r="Z110" i="1"/>
  <c r="Y111" i="1"/>
  <c r="Z128" i="1"/>
  <c r="Y129" i="1"/>
  <c r="Y138" i="1"/>
  <c r="Y139" i="1"/>
  <c r="Z167" i="1"/>
  <c r="Z191" i="1"/>
  <c r="Y192" i="1"/>
  <c r="Z212" i="1"/>
  <c r="Y213" i="1"/>
  <c r="Z305" i="1"/>
  <c r="Y35" i="1"/>
  <c r="BP28" i="1"/>
  <c r="BN28" i="1"/>
  <c r="BP29" i="1"/>
  <c r="BN29" i="1"/>
  <c r="BP30" i="1"/>
  <c r="BN30" i="1"/>
  <c r="BP31" i="1"/>
  <c r="BN31" i="1"/>
  <c r="BP32" i="1"/>
  <c r="BN32" i="1"/>
  <c r="BP33" i="1"/>
  <c r="BN33" i="1"/>
  <c r="BP34" i="1"/>
  <c r="BN34" i="1"/>
  <c r="Y54" i="1"/>
  <c r="Y64" i="1"/>
  <c r="BP62" i="1"/>
  <c r="BN62" i="1"/>
  <c r="BP63" i="1"/>
  <c r="BN63" i="1"/>
  <c r="Y85" i="1"/>
  <c r="BP82" i="1"/>
  <c r="BN82" i="1"/>
  <c r="Y84" i="1"/>
  <c r="BP95" i="1"/>
  <c r="BN95" i="1"/>
  <c r="BP96" i="1"/>
  <c r="BN96" i="1"/>
  <c r="BP98" i="1"/>
  <c r="BN98" i="1"/>
  <c r="Y110" i="1"/>
  <c r="Y118" i="1"/>
  <c r="BP114" i="1"/>
  <c r="BN114" i="1"/>
  <c r="BP117" i="1"/>
  <c r="BN117" i="1"/>
  <c r="Y128" i="1"/>
  <c r="BP137" i="1"/>
  <c r="BN137" i="1"/>
  <c r="Z144" i="1"/>
  <c r="Y150" i="1"/>
  <c r="Y156" i="1"/>
  <c r="BP154" i="1"/>
  <c r="BN154" i="1"/>
  <c r="BP155" i="1"/>
  <c r="BN155" i="1"/>
  <c r="Y168" i="1"/>
  <c r="BP165" i="1"/>
  <c r="BN165" i="1"/>
  <c r="Y167" i="1"/>
  <c r="Y178" i="1"/>
  <c r="BP177" i="1"/>
  <c r="BN177" i="1"/>
  <c r="Y187" i="1"/>
  <c r="Y191" i="1"/>
  <c r="Y199" i="1"/>
  <c r="BP196" i="1"/>
  <c r="BN196" i="1"/>
  <c r="BP198" i="1"/>
  <c r="BN198" i="1"/>
  <c r="Y212" i="1"/>
  <c r="Y219" i="1"/>
  <c r="BP216" i="1"/>
  <c r="BN216" i="1"/>
  <c r="BP218" i="1"/>
  <c r="BN218" i="1"/>
  <c r="Z229" i="1"/>
  <c r="Y248" i="1"/>
  <c r="BP245" i="1"/>
  <c r="BN245" i="1"/>
  <c r="Y249" i="1"/>
  <c r="BP246" i="1"/>
  <c r="BN246" i="1"/>
  <c r="BP247" i="1"/>
  <c r="BN247" i="1"/>
  <c r="BP303" i="1"/>
  <c r="BN303" i="1"/>
  <c r="Y305" i="1"/>
  <c r="Y329" i="1"/>
  <c r="BP308" i="1"/>
  <c r="BN308" i="1"/>
  <c r="Y330" i="1"/>
  <c r="BP309" i="1"/>
  <c r="BN309" i="1"/>
  <c r="BP313" i="1"/>
  <c r="BN313" i="1"/>
  <c r="BP314" i="1"/>
  <c r="BN314" i="1"/>
  <c r="Y36" i="1"/>
  <c r="BP47" i="1"/>
  <c r="BN47" i="1"/>
  <c r="BP49" i="1"/>
  <c r="BN49" i="1"/>
  <c r="BP51" i="1"/>
  <c r="BN51" i="1"/>
  <c r="BP53" i="1"/>
  <c r="BN53" i="1"/>
  <c r="Y78" i="1"/>
  <c r="BP75" i="1"/>
  <c r="BN75" i="1"/>
  <c r="BP76" i="1"/>
  <c r="BN76" i="1"/>
  <c r="BP77" i="1"/>
  <c r="BN77" i="1"/>
  <c r="BP104" i="1"/>
  <c r="BN104" i="1"/>
  <c r="BP105" i="1"/>
  <c r="BN105" i="1"/>
  <c r="BP107" i="1"/>
  <c r="BN107" i="1"/>
  <c r="BP109" i="1"/>
  <c r="BN109" i="1"/>
  <c r="BP123" i="1"/>
  <c r="BN123" i="1"/>
  <c r="BP125" i="1"/>
  <c r="BN125" i="1"/>
  <c r="BP127" i="1"/>
  <c r="BN127" i="1"/>
  <c r="Y145" i="1"/>
  <c r="BP142" i="1"/>
  <c r="BN142" i="1"/>
  <c r="Y144" i="1"/>
  <c r="BP149" i="1"/>
  <c r="BN149" i="1"/>
  <c r="Y161" i="1"/>
  <c r="BP160" i="1"/>
  <c r="BN160" i="1"/>
  <c r="BP184" i="1"/>
  <c r="BN184" i="1"/>
  <c r="Y186" i="1"/>
  <c r="BP190" i="1"/>
  <c r="BN190" i="1"/>
  <c r="BP209" i="1"/>
  <c r="BN209" i="1"/>
  <c r="BP211" i="1"/>
  <c r="BN211" i="1"/>
  <c r="Y220" i="1"/>
  <c r="Y230" i="1"/>
  <c r="BP223" i="1"/>
  <c r="BN223" i="1"/>
  <c r="BP225" i="1"/>
  <c r="BN225" i="1"/>
  <c r="BP227" i="1"/>
  <c r="BN227" i="1"/>
  <c r="Y229" i="1"/>
  <c r="BP234" i="1"/>
  <c r="BN234" i="1"/>
  <c r="BP236" i="1"/>
  <c r="BN236" i="1"/>
  <c r="Y260" i="1"/>
  <c r="BP257" i="1"/>
  <c r="BN257" i="1"/>
  <c r="Y259" i="1"/>
  <c r="BP271" i="1"/>
  <c r="BN271" i="1"/>
  <c r="Y273" i="1"/>
  <c r="Y294" i="1"/>
  <c r="BP293" i="1"/>
  <c r="BN293" i="1"/>
  <c r="Y295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H9" i="1"/>
  <c r="Y253" i="1"/>
  <c r="BP252" i="1"/>
  <c r="BN252" i="1"/>
  <c r="Z259" i="1"/>
  <c r="Y27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Y306" i="1"/>
  <c r="X339" i="1" l="1"/>
  <c r="Y336" i="1"/>
  <c r="Y337" i="1"/>
  <c r="Y340" i="1"/>
  <c r="Z341" i="1"/>
  <c r="Y338" i="1"/>
  <c r="Y339" i="1" s="1"/>
  <c r="C349" i="1" l="1"/>
  <c r="A349" i="1"/>
  <c r="B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<sst xmlns="http://schemas.openxmlformats.org/spreadsheetml/2006/main" count="1707" uniqueCount="558">
  <si>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</si>
  <si>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</si>
  <si>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</si>
  <si>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</si>
  <si>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</si>
  <si>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</si>
  <si>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</si>
  <si>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</si>
  <si>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</si>
  <si>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</si>
  <si>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</si>
  <si>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</si>
  <si>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</si>
  <si>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</si>
  <si>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</si>
  <si>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</si>
  <si>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</si>
  <si>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</si>
  <si>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</si>
  <si>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</si>
  <si>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</si>
  <si>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</si>
  <si>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</si>
  <si>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</si>
  <si>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</si>
  <si>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</si>
  <si>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</si>
  <si>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</si>
  <si>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</si>
  <si>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</si>
  <si>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</si>
  <si>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</si>
  <si>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</si>
  <si>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</si>
  <si>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</si>
  <si>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</si>
  <si>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</si>
  <si>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</si>
  <si>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</si>
  <si>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</si>
  <si>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</si>
  <si>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</si>
  <si>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</si>
  <si>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</si>
  <si>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</si>
  <si>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</si>
  <si>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</si>
  <si>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</si>
  <si>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</si>
  <si>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</si>
  <si>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</si>
  <si>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</si>
  <si>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</si>
  <si>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</si>
  <si>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</si>
  <si>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</si>
  <si>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</si>
  <si>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</si>
  <si>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</si>
  <si>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</si>
  <si>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</si>
  <si>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</si>
  <si>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</si>
  <si>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</si>
  <si>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</si>
  <si>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</si>
  <si>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</si>
  <si>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</si>
  <si>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</si>
  <si>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</si>
  <si>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</si>
  <si>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</si>
  <si>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</si>
  <si>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</si>
  <si>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</si>
  <si>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</si>
  <si>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</si>
  <si>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</si>
  <si>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</si>
  <si>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</si>
  <si>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</si>
  <si>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</si>
  <si>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</si>
  <si>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</si>
  <si>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</si>
  <si>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</si>
  <si>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</si>
  <si>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</si>
  <si>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</si>
  <si>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</si>
  <si>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</si>
  <si>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</si>
  <si>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</si>
  <si>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</si>
  <si>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</si>
  <si>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</si>
  <si>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</si>
  <si>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</si>
  <si>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</si>
  <si>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</si>
  <si>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</si>
  <si>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</si>
  <si>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</si>
  <si>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</si>
  <si>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</si>
  <si>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</si>
  <si>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</si>
  <si>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</si>
  <si>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</si>
  <si>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</si>
  <si>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</si>
  <si>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</si>
  <si>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</si>
  <si>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</si>
  <si>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</si>
  <si>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</si>
  <si>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</si>
  <si>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</si>
  <si>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</si>
  <si>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</si>
  <si>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</si>
  <si>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</si>
  <si>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</si>
  <si>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</si>
  <si>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</si>
  <si>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</si>
  <si>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</si>
  <si>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</si>
  <si>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</si>
  <si>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</si>
  <si>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</si>
  <si>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</si>
  <si>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</si>
  <si>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</si>
  <si>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</si>
  <si>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</si>
  <si>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</si>
  <si>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</si>
  <si>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</si>
  <si>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</si>
  <si>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</si>
  <si>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</si>
  <si>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</si>
  <si>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</si>
  <si>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</si>
  <si>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</si>
  <si>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</si>
  <si>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</si>
  <si>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</si>
  <si>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</si>
  <si>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</si>
  <si>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</si>
  <si>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</si>
  <si>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</si>
  <si>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</si>
  <si>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</si>
  <si>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</si>
  <si>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</si>
  <si>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</si>
  <si>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</si>
  <si>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</si>
  <si>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</si>
  <si>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</si>
  <si>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</si>
  <si>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</si>
  <si>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</si>
  <si>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</si>
  <si>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</si>
  <si>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</si>
  <si>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</si>
  <si>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</si>
  <si>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</si>
  <si>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</si>
  <si>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</si>
  <si>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</si>
  <si>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</si>
  <si>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</si>
  <si>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</si>
  <si>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</si>
  <si>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</si>
  <si>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</si>
  <si>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</si>
  <si>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</si>
  <si>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</si>
  <si>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</si>
  <si>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</si>
  <si>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</si>
  <si>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</si>
  <si>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</si>
  <si>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</si>
  <si>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</si>
  <si>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</si>
  <si>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</si>
  <si>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</si>
  <si>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</si>
  <si>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</si>
  <si>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</si>
  <si>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</si>
  <si>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</si>
  <si>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</si>
  <si>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</si>
  <si>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</si>
  <si>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</si>
  <si>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</si>
  <si>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</si>
  <si>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</si>
  <si>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</si>
  <si>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</si>
  <si>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</si>
  <si>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</si>
  <si>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</si>
  <si>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</si>
  <si>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</si>
  <si>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</si>
  <si>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</si>
  <si>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</si>
  <si>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</si>
  <si>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</si>
  <si>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</si>
  <si>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</si>
  <si>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</si>
  <si>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</si>
  <si>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</si>
  <si>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</si>
  <si>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</si>
  <si>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</si>
  <si>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</si>
  <si>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</si>
  <si>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</si>
  <si>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</si>
  <si>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</si>
  <si>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</si>
  <si>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</si>
  <si>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</si>
  <si>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</si>
  <si>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</si>
  <si>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</si>
  <si>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</si>
  <si>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</si>
  <si>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</si>
  <si>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</si>
  <si>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</si>
  <si>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</si>
  <si>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</si>
  <si>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</si>
  <si>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</si>
  <si>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</si>
  <si>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</si>
  <si>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</si>
  <si>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</si>
  <si>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</si>
  <si>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</si>
  <si>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</si>
  <si>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</si>
  <si>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</si>
  <si>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</si>
  <si>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</si>
  <si>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</si>
  <si>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</si>
  <si>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</si>
  <si>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</si>
  <si>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</si>
  <si>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</si>
  <si>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</si>
  <si>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</si>
  <si>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</si>
  <si>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</si>
  <si>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</si>
  <si>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</si>
  <si>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</si>
  <si>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</si>
  <si>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</si>
  <si>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</si>
  <si>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</si>
  <si>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</si>
  <si>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</si>
  <si>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</si>
  <si>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</si>
  <si>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</si>
  <si>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</si>
  <si>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</si>
  <si>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</si>
  <si>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</si>
  <si>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</si>
  <si>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</si>
  <si>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</si>
  <si>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</si>
  <si>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</si>
  <si>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</si>
  <si>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</si>
  <si>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</si>
  <si>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</si>
  <si>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</si>
  <si>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</si>
  <si>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</si>
  <si>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</si>
  <si>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</si>
  <si>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</si>
  <si>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</si>
  <si>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</si>
  <si>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</si>
  <si>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</si>
  <si>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</si>
  <si>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</si>
  <si>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</si>
  <si>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</si>
  <si>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</si>
  <si>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</si>
  <si>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</si>
  <si>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</si>
  <si>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</si>
  <si>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</si>
  <si>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</si>
  <si>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</si>
  <si>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</si>
  <si>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</si>
  <si>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</si>
  <si>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</si>
  <si>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</si>
  <si>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</si>
  <si>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</si>
  <si>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</si>
  <si>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</si>
  <si>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</si>
  <si>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</si>
  <si>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</si>
  <si>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</si>
  <si>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</si>
  <si>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</si>
  <si>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</si>
  <si>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</si>
  <si>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</si>
  <si>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</si>
  <si>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</si>
  <si>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</si>
  <si>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</si>
  <si>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</si>
  <si>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</si>
  <si>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</si>
  <si>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</si>
  <si>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</si>
  <si>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</si>
  <si>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</si>
  <si>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</si>
  <si>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</si>
  <si>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</si>
  <si>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</si>
  <si>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</si>
  <si>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</si>
  <si>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</si>
  <si>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</si>
  <si>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</si>
  <si>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</si>
  <si>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</si>
  <si>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</si>
  <si>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</si>
  <si>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</si>
  <si>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</si>
  <si>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</si>
  <si>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</si>
  <si>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</si>
  <si>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</si>
  <si>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</si>
  <si>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</si>
  <si>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</si>
  <si>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</si>
  <si>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</si>
  <si>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</si>
  <si>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</si>
  <si>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</si>
  <si>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</si>
  <si>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</si>
  <si>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</si>
  <si>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</si>
  <si>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</si>
  <si>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</si>
  <si>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</si>
  <si>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</si>
  <si>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</si>
  <si>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</si>
  <si>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</si>
  <si>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</si>
  <si>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</si>
  <si>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</si>
  <si>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</si>
  <si>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</si>
  <si>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</si>
  <si>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</si>
  <si>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</si>
  <si>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</si>
  <si>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</si>
  <si>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</si>
  <si>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</si>
  <si>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</si>
  <si>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</si>
  <si>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</si>
  <si>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</si>
  <si>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</si>
  <si>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</si>
  <si>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</si>
  <si>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</si>
  <si>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</si>
  <si>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</si>
  <si>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</si>
  <si>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</si>
  <si>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</si>
  <si>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</si>
  <si>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</si>
  <si>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</si>
  <si>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</si>
  <si>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</si>
  <si>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</si>
  <si>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</si>
  <si>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</si>
  <si>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</si>
  <si>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</si>
  <si>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</si>
  <si>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</si>
  <si>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</si>
  <si>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</si>
  <si>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</si>
  <si>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</si>
  <si>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</si>
  <si>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</si>
  <si>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</si>
  <si>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</si>
  <si>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</si>
  <si>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</si>
  <si>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</si>
  <si>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</si>
  <si>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</si>
  <si>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</si>
  <si>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</si>
  <si>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</si>
  <si>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</si>
  <si>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</si>
  <si>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</si>
  <si>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</si>
  <si>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</si>
  <si>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</si>
  <si>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</si>
  <si>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</si>
  <si>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</si>
  <si>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</si>
  <si>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</si>
  <si>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</si>
  <si>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</si>
  <si>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</si>
  <si>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</si>
  <si>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</si>
  <si>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</si>
  <si>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</si>
  <si>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</si>
  <si>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</si>
  <si>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</si>
  <si>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</si>
  <si>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</si>
  <si>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</si>
  <si>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</si>
  <si>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</si>
  <si>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</si>
  <si>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</si>
  <si>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</si>
  <si>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</si>
  <si>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</si>
  <si>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</si>
  <si>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</si>
  <si>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</si>
  <si>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</si>
  <si>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</si>
  <si>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</si>
  <si>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</si>
  <si>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</si>
  <si>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</si>
  <si>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</si>
  <si>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</si>
  <si>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</si>
  <si>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</si>
  <si>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</si>
  <si>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</si>
  <si>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</si>
  <si>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</si>
  <si>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</si>
  <si>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</si>
  <si>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</si>
  <si>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</si>
  <si>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</si>
  <si>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</si>
  <si>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</si>
  <si>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</si>
  <si>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</si>
  <si>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</si>
  <si>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</si>
  <si>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</si>
  <si>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</si>
  <si>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</si>
  <si>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</si>
  <si>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</si>
  <si>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</si>
  <si>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</si>
  <si>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</si>
  <si>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</si>
  <si>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</si>
  <si>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</si>
  <si>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</si>
  <si>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</si>
  <si>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</si>
  <si>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</si>
  <si>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</si>
  <si>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</si>
  <si>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</si>
  <si>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</si>
  <si>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</si>
  <si>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</si>
  <si>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</si>
  <si>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</si>
  <si>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</si>
  <si>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</si>
  <si>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</si>
  <si>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</si>
  <si>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</si>
  <si>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</si>
  <si>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</si>
  <si>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</si>
  <si>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</si>
  <si>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</si>
  <si>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</si>
  <si>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</si>
  <si>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</si>
  <si>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</si>
  <si>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</si>
  <si>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</si>
  <si>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</si>
  <si>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</si>
  <si>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</si>
  <si>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</si>
  <si>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</si>
  <si>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</si>
  <si>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</si>
  <si>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</si>
  <si>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</si>
  <si>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</si>
  <si>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</si>
  <si>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</si>
  <si>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</si>
  <si>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</si>
  <si>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</si>
  <si>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</si>
  <si>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</si>
  <si>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</si>
  <si>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</si>
  <si>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</si>
  <si>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</si>
  <si>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</si>
  <si>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</si>
  <si>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</si>
  <si>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</si>
  <si>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Мелитополь,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</si>
</sst>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45768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Понедельник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0.45833333333333331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112</v>
      </c>
      <c r="Y30" s="355">
        <f t="shared" si="0"/>
        <v>112</v>
      </c>
      <c r="Z30" s="36">
        <f t="shared" si="1"/>
        <v>1.05392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215.24160000000001</v>
      </c>
      <c r="BN30" s="67">
        <f t="shared" si="3"/>
        <v>215.24160000000001</v>
      </c>
      <c r="BO30" s="67">
        <f t="shared" si="4"/>
        <v>0.8</v>
      </c>
      <c r="BP30" s="67">
        <f t="shared" si="5"/>
        <v>0.8</v>
      </c>
    </row>
    <row r="31" spans="1:68" ht="27" hidden="1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hidden="1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hidden="1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112</v>
      </c>
      <c r="Y35" s="356">
        <f>IFERROR(SUM(Y28:Y34),"0")</f>
        <v>112</v>
      </c>
      <c r="Z35" s="356">
        <f>IFERROR(IF(Z28="",0,Z28),"0")+IFERROR(IF(Z29="",0,Z29),"0")+IFERROR(IF(Z30="",0,Z30),"0")+IFERROR(IF(Z31="",0,Z31),"0")+IFERROR(IF(Z32="",0,Z32),"0")+IFERROR(IF(Z33="",0,Z33),"0")+IFERROR(IF(Z34="",0,Z34),"0")</f>
        <v>1.05392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168</v>
      </c>
      <c r="Y36" s="356">
        <f>IFERROR(SUMPRODUCT(Y28:Y34*H28:H34),"0")</f>
        <v>168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hidden="1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36</v>
      </c>
      <c r="Y41" s="355">
        <f>IFERROR(IF(X41="","",X41),"")</f>
        <v>36</v>
      </c>
      <c r="Z41" s="36">
        <f>IFERROR(IF(X41="","",X41*0.0155),"")</f>
        <v>0.55800000000000005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211.32</v>
      </c>
      <c r="BN41" s="67">
        <f>IFERROR(Y41*I41,"0")</f>
        <v>211.32</v>
      </c>
      <c r="BO41" s="67">
        <f>IFERROR(X41/J41,"0")</f>
        <v>0.42857142857142855</v>
      </c>
      <c r="BP41" s="67">
        <f>IFERROR(Y41/J41,"0")</f>
        <v>0.42857142857142855</v>
      </c>
    </row>
    <row r="42" spans="1:68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36</v>
      </c>
      <c r="Y42" s="356">
        <f>IFERROR(SUM(Y39:Y41),"0")</f>
        <v>36</v>
      </c>
      <c r="Z42" s="356">
        <f>IFERROR(IF(Z39="",0,Z39),"0")+IFERROR(IF(Z40="",0,Z40),"0")+IFERROR(IF(Z41="",0,Z41),"0")</f>
        <v>0.55800000000000005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201.6</v>
      </c>
      <c r="Y43" s="356">
        <f>IFERROR(SUMPRODUCT(Y39:Y41*H39:H41),"0")</f>
        <v>201.6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36</v>
      </c>
      <c r="Y48" s="355">
        <f t="shared" si="6"/>
        <v>36</v>
      </c>
      <c r="Z48" s="36">
        <f t="shared" si="7"/>
        <v>0.55800000000000005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262.8</v>
      </c>
      <c r="BN48" s="67">
        <f t="shared" si="9"/>
        <v>262.8</v>
      </c>
      <c r="BO48" s="67">
        <f t="shared" si="10"/>
        <v>0.42857142857142855</v>
      </c>
      <c r="BP48" s="67">
        <f t="shared" si="11"/>
        <v>0.42857142857142855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24</v>
      </c>
      <c r="Y49" s="355">
        <f t="shared" si="6"/>
        <v>24</v>
      </c>
      <c r="Z49" s="36">
        <f t="shared" si="7"/>
        <v>0.372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161.2704</v>
      </c>
      <c r="BN49" s="67">
        <f t="shared" si="9"/>
        <v>161.2704</v>
      </c>
      <c r="BO49" s="67">
        <f t="shared" si="10"/>
        <v>0.2857142857142857</v>
      </c>
      <c r="BP49" s="67">
        <f t="shared" si="11"/>
        <v>0.2857142857142857</v>
      </c>
    </row>
    <row r="50" spans="1:68" ht="27" hidden="1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12</v>
      </c>
      <c r="Y53" s="355">
        <f t="shared" si="6"/>
        <v>12</v>
      </c>
      <c r="Z53" s="36">
        <f t="shared" si="7"/>
        <v>0.186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87.6</v>
      </c>
      <c r="BN53" s="67">
        <f t="shared" si="9"/>
        <v>87.6</v>
      </c>
      <c r="BO53" s="67">
        <f t="shared" si="10"/>
        <v>0.14285714285714285</v>
      </c>
      <c r="BP53" s="67">
        <f t="shared" si="11"/>
        <v>0.14285714285714285</v>
      </c>
    </row>
    <row r="54" spans="1:68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72</v>
      </c>
      <c r="Y54" s="356">
        <f>IFERROR(SUM(Y46:Y53),"0")</f>
        <v>72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1.1160000000000001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489.6</v>
      </c>
      <c r="Y55" s="356">
        <f>IFERROR(SUMPRODUCT(Y46:Y53*H46:H53),"0")</f>
        <v>489.6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120</v>
      </c>
      <c r="Y83" s="355">
        <f>IFERROR(IF(X83="","",X83),"")</f>
        <v>120</v>
      </c>
      <c r="Z83" s="36">
        <f>IFERROR(IF(X83="","",X83*0.00866),"")</f>
        <v>1.0391999999999999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625.58399999999995</v>
      </c>
      <c r="BN83" s="67">
        <f>IFERROR(Y83*I83,"0")</f>
        <v>625.58399999999995</v>
      </c>
      <c r="BO83" s="67">
        <f>IFERROR(X83/J83,"0")</f>
        <v>0.83333333333333337</v>
      </c>
      <c r="BP83" s="67">
        <f>IFERROR(Y83/J83,"0")</f>
        <v>0.83333333333333337</v>
      </c>
    </row>
    <row r="84" spans="1:68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120</v>
      </c>
      <c r="Y84" s="356">
        <f>IFERROR(SUM(Y82:Y83),"0")</f>
        <v>120</v>
      </c>
      <c r="Z84" s="356">
        <f>IFERROR(IF(Z82="",0,Z82),"0")+IFERROR(IF(Z83="",0,Z83),"0")</f>
        <v>1.0391999999999999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600</v>
      </c>
      <c r="Y85" s="356">
        <f>IFERROR(SUMPRODUCT(Y82:Y83*H82:H83),"0")</f>
        <v>600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14</v>
      </c>
      <c r="Y89" s="355">
        <f>IFERROR(IF(X89="","",X89),"")</f>
        <v>14</v>
      </c>
      <c r="Z89" s="36">
        <f>IFERROR(IF(X89="","",X89*0.01788),"")</f>
        <v>0.25031999999999999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14</v>
      </c>
      <c r="Y90" s="356">
        <f>IFERROR(SUM(Y88:Y89),"0")</f>
        <v>14</v>
      </c>
      <c r="Z90" s="356">
        <f>IFERROR(IF(Z88="",0,Z88),"0")+IFERROR(IF(Z89="",0,Z89),"0")</f>
        <v>0.25031999999999999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50.4</v>
      </c>
      <c r="Y91" s="356">
        <f>IFERROR(SUMPRODUCT(Y88:Y89*H88:H89),"0")</f>
        <v>50.4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hidden="1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126</v>
      </c>
      <c r="Y96" s="355">
        <f>IFERROR(IF(X96="","",X96),"")</f>
        <v>126</v>
      </c>
      <c r="Z96" s="36">
        <f>IFERROR(IF(X96="","",X96*0.01788),"")</f>
        <v>2.2528800000000002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542.25360000000001</v>
      </c>
      <c r="BN96" s="67">
        <f>IFERROR(Y96*I96,"0")</f>
        <v>542.25360000000001</v>
      </c>
      <c r="BO96" s="67">
        <f>IFERROR(X96/J96,"0")</f>
        <v>1.8</v>
      </c>
      <c r="BP96" s="67">
        <f>IFERROR(Y96/J96,"0")</f>
        <v>1.8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56</v>
      </c>
      <c r="Y98" s="355">
        <f>IFERROR(IF(X98="","",X98),"")</f>
        <v>56</v>
      </c>
      <c r="Z98" s="36">
        <f>IFERROR(IF(X98="","",X98*0.01788),"")</f>
        <v>1.0012799999999999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241.00160000000002</v>
      </c>
      <c r="BN98" s="67">
        <f>IFERROR(Y98*I98,"0")</f>
        <v>241.00160000000002</v>
      </c>
      <c r="BO98" s="67">
        <f>IFERROR(X98/J98,"0")</f>
        <v>0.8</v>
      </c>
      <c r="BP98" s="67">
        <f>IFERROR(Y98/J98,"0")</f>
        <v>0.8</v>
      </c>
    </row>
    <row r="99" spans="1:68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182</v>
      </c>
      <c r="Y99" s="356">
        <f>IFERROR(SUM(Y94:Y98),"0")</f>
        <v>182</v>
      </c>
      <c r="Z99" s="356">
        <f>IFERROR(IF(Z94="",0,Z94),"0")+IFERROR(IF(Z95="",0,Z95),"0")+IFERROR(IF(Z96="",0,Z96),"0")+IFERROR(IF(Z97="",0,Z97),"0")+IFERROR(IF(Z98="",0,Z98),"0")</f>
        <v>3.2541600000000002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655.20000000000005</v>
      </c>
      <c r="Y100" s="356">
        <f>IFERROR(SUMPRODUCT(Y94:Y98*H94:H98),"0")</f>
        <v>655.20000000000005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hidden="1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0</v>
      </c>
      <c r="Y103" s="355">
        <f t="shared" ref="Y103:Y109" si="12">IFERROR(IF(X103="","",X103),"")</f>
        <v>0</v>
      </c>
      <c r="Z103" s="36">
        <f t="shared" ref="Z103:Z109" si="13">IFERROR(IF(X103="","",X103*0.01788),"")</f>
        <v>0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0</v>
      </c>
      <c r="BN103" s="67">
        <f t="shared" ref="BN103:BN109" si="15">IFERROR(Y103*I103,"0")</f>
        <v>0</v>
      </c>
      <c r="BO103" s="67">
        <f t="shared" ref="BO103:BO109" si="16">IFERROR(X103/J103,"0")</f>
        <v>0</v>
      </c>
      <c r="BP103" s="67">
        <f t="shared" ref="BP103:BP109" si="17">IFERROR(Y103/J103,"0")</f>
        <v>0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56</v>
      </c>
      <c r="Y104" s="355">
        <f t="shared" si="12"/>
        <v>56</v>
      </c>
      <c r="Z104" s="36">
        <f t="shared" si="13"/>
        <v>1.0012799999999999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241.00160000000002</v>
      </c>
      <c r="BN104" s="67">
        <f t="shared" si="15"/>
        <v>241.00160000000002</v>
      </c>
      <c r="BO104" s="67">
        <f t="shared" si="16"/>
        <v>0.8</v>
      </c>
      <c r="BP104" s="67">
        <f t="shared" si="17"/>
        <v>0.8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14</v>
      </c>
      <c r="Y105" s="355">
        <f t="shared" si="12"/>
        <v>14</v>
      </c>
      <c r="Z105" s="36">
        <f t="shared" si="13"/>
        <v>0.25031999999999999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60.250400000000006</v>
      </c>
      <c r="BN105" s="67">
        <f t="shared" si="15"/>
        <v>60.250400000000006</v>
      </c>
      <c r="BO105" s="67">
        <f t="shared" si="16"/>
        <v>0.2</v>
      </c>
      <c r="BP105" s="67">
        <f t="shared" si="17"/>
        <v>0.2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84</v>
      </c>
      <c r="Y107" s="355">
        <f t="shared" si="12"/>
        <v>84</v>
      </c>
      <c r="Z107" s="36">
        <f t="shared" si="13"/>
        <v>1.5019199999999999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361.50240000000002</v>
      </c>
      <c r="BN107" s="67">
        <f t="shared" si="15"/>
        <v>361.50240000000002</v>
      </c>
      <c r="BO107" s="67">
        <f t="shared" si="16"/>
        <v>1.2</v>
      </c>
      <c r="BP107" s="67">
        <f t="shared" si="17"/>
        <v>1.2</v>
      </c>
    </row>
    <row r="108" spans="1:68" ht="27" hidden="1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154</v>
      </c>
      <c r="Y110" s="356">
        <f>IFERROR(SUM(Y103:Y109),"0")</f>
        <v>154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2.75352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554.40000000000009</v>
      </c>
      <c r="Y111" s="356">
        <f>IFERROR(SUMPRODUCT(Y103:Y109*H103:H109),"0")</f>
        <v>554.40000000000009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60</v>
      </c>
      <c r="Y117" s="355">
        <f>IFERROR(IF(X117="","",X117),"")</f>
        <v>60</v>
      </c>
      <c r="Z117" s="36">
        <f>IFERROR(IF(X117="","",X117*0.0155),"")</f>
        <v>0.92999999999999994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207.84</v>
      </c>
      <c r="BN117" s="67">
        <f>IFERROR(Y117*I117,"0")</f>
        <v>207.84</v>
      </c>
      <c r="BO117" s="67">
        <f>IFERROR(X117/J117,"0")</f>
        <v>0.7142857142857143</v>
      </c>
      <c r="BP117" s="67">
        <f>IFERROR(Y117/J117,"0")</f>
        <v>0.7142857142857143</v>
      </c>
    </row>
    <row r="118" spans="1:68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60</v>
      </c>
      <c r="Y118" s="356">
        <f>IFERROR(SUM(Y114:Y117),"0")</f>
        <v>60</v>
      </c>
      <c r="Z118" s="356">
        <f>IFERROR(IF(Z114="",0,Z114),"0")+IFERROR(IF(Z115="",0,Z115),"0")+IFERROR(IF(Z116="",0,Z116),"0")+IFERROR(IF(Z117="",0,Z117),"0")</f>
        <v>0.92999999999999994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184.8</v>
      </c>
      <c r="Y119" s="356">
        <f>IFERROR(SUMPRODUCT(Y114:Y117*H114:H117),"0")</f>
        <v>184.8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12</v>
      </c>
      <c r="Y122" s="355">
        <f t="shared" ref="Y122:Y127" si="18">IFERROR(IF(X122="","",X122),"")</f>
        <v>12</v>
      </c>
      <c r="Z122" s="36">
        <f t="shared" ref="Z122:Z127" si="19">IFERROR(IF(X122="","",X122*0.0155),"")</f>
        <v>0.186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87.36</v>
      </c>
      <c r="BN122" s="67">
        <f t="shared" ref="BN122:BN127" si="21">IFERROR(Y122*I122,"0")</f>
        <v>87.36</v>
      </c>
      <c r="BO122" s="67">
        <f t="shared" ref="BO122:BO127" si="22">IFERROR(X122/J122,"0")</f>
        <v>0.14285714285714285</v>
      </c>
      <c r="BP122" s="67">
        <f t="shared" ref="BP122:BP127" si="23">IFERROR(Y122/J122,"0")</f>
        <v>0.14285714285714285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24</v>
      </c>
      <c r="Y123" s="355">
        <f t="shared" si="18"/>
        <v>24</v>
      </c>
      <c r="Z123" s="36">
        <f t="shared" si="19"/>
        <v>0.372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161.2704</v>
      </c>
      <c r="BN123" s="67">
        <f t="shared" si="21"/>
        <v>161.2704</v>
      </c>
      <c r="BO123" s="67">
        <f t="shared" si="22"/>
        <v>0.2857142857142857</v>
      </c>
      <c r="BP123" s="67">
        <f t="shared" si="23"/>
        <v>0.2857142857142857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72</v>
      </c>
      <c r="Y124" s="355">
        <f t="shared" si="18"/>
        <v>72</v>
      </c>
      <c r="Z124" s="36">
        <f t="shared" si="19"/>
        <v>1.1160000000000001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525.6</v>
      </c>
      <c r="BN124" s="67">
        <f t="shared" si="21"/>
        <v>525.6</v>
      </c>
      <c r="BO124" s="67">
        <f t="shared" si="22"/>
        <v>0.8571428571428571</v>
      </c>
      <c r="BP124" s="67">
        <f t="shared" si="23"/>
        <v>0.8571428571428571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24</v>
      </c>
      <c r="Y126" s="355">
        <f t="shared" si="18"/>
        <v>24</v>
      </c>
      <c r="Z126" s="36">
        <f t="shared" si="19"/>
        <v>0.372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161.2704</v>
      </c>
      <c r="BN126" s="67">
        <f t="shared" si="21"/>
        <v>161.2704</v>
      </c>
      <c r="BO126" s="67">
        <f t="shared" si="22"/>
        <v>0.2857142857142857</v>
      </c>
      <c r="BP126" s="67">
        <f t="shared" si="23"/>
        <v>0.2857142857142857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144</v>
      </c>
      <c r="Y127" s="355">
        <f t="shared" si="18"/>
        <v>144</v>
      </c>
      <c r="Z127" s="36">
        <f t="shared" si="19"/>
        <v>2.2320000000000002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1051.2</v>
      </c>
      <c r="BN127" s="67">
        <f t="shared" si="21"/>
        <v>1051.2</v>
      </c>
      <c r="BO127" s="67">
        <f t="shared" si="22"/>
        <v>1.7142857142857142</v>
      </c>
      <c r="BP127" s="67">
        <f t="shared" si="23"/>
        <v>1.7142857142857142</v>
      </c>
    </row>
    <row r="128" spans="1:68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276</v>
      </c>
      <c r="Y128" s="356">
        <f>IFERROR(SUM(Y122:Y127),"0")</f>
        <v>276</v>
      </c>
      <c r="Z128" s="356">
        <f>IFERROR(IF(Z122="",0,Z122),"0")+IFERROR(IF(Z123="",0,Z123),"0")+IFERROR(IF(Z124="",0,Z124),"0")+IFERROR(IF(Z125="",0,Z125),"0")+IFERROR(IF(Z126="",0,Z126),"0")+IFERROR(IF(Z127="",0,Z127),"0")</f>
        <v>4.2780000000000005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1903.2</v>
      </c>
      <c r="Y129" s="356">
        <f>IFERROR(SUMPRODUCT(Y122:Y127*H122:H127),"0")</f>
        <v>1903.2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14</v>
      </c>
      <c r="Y131" s="355">
        <f>IFERROR(IF(X131="","",X131),"")</f>
        <v>14</v>
      </c>
      <c r="Z131" s="36">
        <f>IFERROR(IF(X131="","",X131*0.01788),"")</f>
        <v>0.25031999999999999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46.810400000000001</v>
      </c>
      <c r="BN131" s="67">
        <f>IFERROR(Y131*I131,"0")</f>
        <v>46.810400000000001</v>
      </c>
      <c r="BO131" s="67">
        <f>IFERROR(X131/J131,"0")</f>
        <v>0.2</v>
      </c>
      <c r="BP131" s="67">
        <f>IFERROR(Y131/J131,"0")</f>
        <v>0.2</v>
      </c>
    </row>
    <row r="132" spans="1:68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14</v>
      </c>
      <c r="Y132" s="356">
        <f>IFERROR(SUM(Y131:Y131),"0")</f>
        <v>14</v>
      </c>
      <c r="Z132" s="356">
        <f>IFERROR(IF(Z131="",0,Z131),"0")</f>
        <v>0.25031999999999999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36.96</v>
      </c>
      <c r="Y133" s="356">
        <f>IFERROR(SUMPRODUCT(Y131:Y131*H131:H131),"0")</f>
        <v>36.96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154</v>
      </c>
      <c r="Y136" s="355">
        <f>IFERROR(IF(X136="","",X136),"")</f>
        <v>154</v>
      </c>
      <c r="Z136" s="36">
        <f>IFERROR(IF(X136="","",X136*0.01788),"")</f>
        <v>2.75352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570.35439999999994</v>
      </c>
      <c r="BN136" s="67">
        <f>IFERROR(Y136*I136,"0")</f>
        <v>570.35439999999994</v>
      </c>
      <c r="BO136" s="67">
        <f>IFERROR(X136/J136,"0")</f>
        <v>2.2000000000000002</v>
      </c>
      <c r="BP136" s="67">
        <f>IFERROR(Y136/J136,"0")</f>
        <v>2.2000000000000002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98</v>
      </c>
      <c r="Y137" s="355">
        <f>IFERROR(IF(X137="","",X137),"")</f>
        <v>98</v>
      </c>
      <c r="Z137" s="36">
        <f>IFERROR(IF(X137="","",X137*0.01788),"")</f>
        <v>1.75224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362.95279999999997</v>
      </c>
      <c r="BN137" s="67">
        <f>IFERROR(Y137*I137,"0")</f>
        <v>362.95279999999997</v>
      </c>
      <c r="BO137" s="67">
        <f>IFERROR(X137/J137,"0")</f>
        <v>1.4</v>
      </c>
      <c r="BP137" s="67">
        <f>IFERROR(Y137/J137,"0")</f>
        <v>1.4</v>
      </c>
    </row>
    <row r="138" spans="1:68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252</v>
      </c>
      <c r="Y138" s="356">
        <f>IFERROR(SUM(Y136:Y137),"0")</f>
        <v>252</v>
      </c>
      <c r="Z138" s="356">
        <f>IFERROR(IF(Z136="",0,Z136),"0")+IFERROR(IF(Z137="",0,Z137),"0")</f>
        <v>4.5057600000000004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756</v>
      </c>
      <c r="Y139" s="356">
        <f>IFERROR(SUMPRODUCT(Y136:Y137*H136:H137),"0")</f>
        <v>756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84</v>
      </c>
      <c r="Y143" s="355">
        <f>IFERROR(IF(X143="","",X143),"")</f>
        <v>84</v>
      </c>
      <c r="Z143" s="36">
        <f>IFERROR(IF(X143="","",X143*0.01788),"")</f>
        <v>1.5019199999999999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311.10239999999999</v>
      </c>
      <c r="BN143" s="67">
        <f>IFERROR(Y143*I143,"0")</f>
        <v>311.10239999999999</v>
      </c>
      <c r="BO143" s="67">
        <f>IFERROR(X143/J143,"0")</f>
        <v>1.2</v>
      </c>
      <c r="BP143" s="67">
        <f>IFERROR(Y143/J143,"0")</f>
        <v>1.2</v>
      </c>
    </row>
    <row r="144" spans="1:68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98</v>
      </c>
      <c r="Y144" s="356">
        <f>IFERROR(SUM(Y142:Y143),"0")</f>
        <v>98</v>
      </c>
      <c r="Z144" s="356">
        <f>IFERROR(IF(Z142="",0,Z142),"0")+IFERROR(IF(Z143="",0,Z143),"0")</f>
        <v>1.75224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294</v>
      </c>
      <c r="Y145" s="356">
        <f>IFERROR(SUMPRODUCT(Y142:Y143*H142:H143),"0")</f>
        <v>294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42</v>
      </c>
      <c r="Y148" s="355">
        <f>IFERROR(IF(X148="","",X148),"")</f>
        <v>42</v>
      </c>
      <c r="Z148" s="36">
        <f>IFERROR(IF(X148="","",X148*0.01788),"")</f>
        <v>0.75095999999999996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137.76</v>
      </c>
      <c r="BN148" s="67">
        <f>IFERROR(Y148*I148,"0")</f>
        <v>137.76</v>
      </c>
      <c r="BO148" s="67">
        <f>IFERROR(X148/J148,"0")</f>
        <v>0.6</v>
      </c>
      <c r="BP148" s="67">
        <f>IFERROR(Y148/J148,"0")</f>
        <v>0.6</v>
      </c>
    </row>
    <row r="149" spans="1:68" ht="27" hidden="1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42</v>
      </c>
      <c r="Y150" s="356">
        <f>IFERROR(SUM(Y148:Y149),"0")</f>
        <v>42</v>
      </c>
      <c r="Z150" s="356">
        <f>IFERROR(IF(Z148="",0,Z148),"0")+IFERROR(IF(Z149="",0,Z149),"0")</f>
        <v>0.75095999999999996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126</v>
      </c>
      <c r="Y151" s="356">
        <f>IFERROR(SUMPRODUCT(Y148:Y149*H148:H149),"0")</f>
        <v>126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hidden="1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hidden="1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hidden="1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hidden="1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0</v>
      </c>
      <c r="Y171" s="355">
        <f>IFERROR(IF(X171="","",X171),"")</f>
        <v>0</v>
      </c>
      <c r="Z171" s="36">
        <f>IFERROR(IF(X171="","",X171*0.00941),"")</f>
        <v>0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0</v>
      </c>
      <c r="Y172" s="356">
        <f>IFERROR(SUM(Y171:Y171),"0")</f>
        <v>0</v>
      </c>
      <c r="Z172" s="356">
        <f>IFERROR(IF(Z171="",0,Z171),"0")</f>
        <v>0</v>
      </c>
      <c r="AA172" s="357"/>
      <c r="AB172" s="357"/>
      <c r="AC172" s="357"/>
    </row>
    <row r="173" spans="1:68" hidden="1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0</v>
      </c>
      <c r="Y173" s="356">
        <f>IFERROR(SUMPRODUCT(Y171:Y171*H171:H171),"0")</f>
        <v>0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132</v>
      </c>
      <c r="Y184" s="355">
        <f>IFERROR(IF(X184="","",X184),"")</f>
        <v>132</v>
      </c>
      <c r="Z184" s="36">
        <f>IFERROR(IF(X184="","",X184*0.00866),"")</f>
        <v>1.1431199999999999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688.14239999999995</v>
      </c>
      <c r="BN184" s="67">
        <f>IFERROR(Y184*I184,"0")</f>
        <v>688.14239999999995</v>
      </c>
      <c r="BO184" s="67">
        <f>IFERROR(X184/J184,"0")</f>
        <v>0.91666666666666663</v>
      </c>
      <c r="BP184" s="67">
        <f>IFERROR(Y184/J184,"0")</f>
        <v>0.91666666666666663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132</v>
      </c>
      <c r="Y186" s="356">
        <f>IFERROR(SUM(Y182:Y185),"0")</f>
        <v>132</v>
      </c>
      <c r="Z186" s="356">
        <f>IFERROR(IF(Z182="",0,Z182),"0")+IFERROR(IF(Z183="",0,Z183),"0")+IFERROR(IF(Z184="",0,Z184),"0")+IFERROR(IF(Z185="",0,Z185),"0")</f>
        <v>1.1431199999999999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660</v>
      </c>
      <c r="Y187" s="356">
        <f>IFERROR(SUMPRODUCT(Y182:Y185*H182:H185),"0")</f>
        <v>660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12</v>
      </c>
      <c r="Y190" s="355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63.036000000000001</v>
      </c>
      <c r="BN190" s="67">
        <f>IFERROR(Y190*I190,"0")</f>
        <v>63.036000000000001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12</v>
      </c>
      <c r="Y191" s="356">
        <f>IFERROR(SUM(Y189:Y190),"0")</f>
        <v>12</v>
      </c>
      <c r="Z191" s="356">
        <f>IFERROR(IF(Z189="",0,Z189),"0")+IFERROR(IF(Z190="",0,Z190),"0")</f>
        <v>0.10391999999999998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60</v>
      </c>
      <c r="Y192" s="356">
        <f>IFERROR(SUMPRODUCT(Y189:Y190*H189:H190),"0")</f>
        <v>60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70</v>
      </c>
      <c r="Y196" s="355">
        <f>IFERROR(IF(X196="","",X196),"")</f>
        <v>70</v>
      </c>
      <c r="Z196" s="36">
        <f>IFERROR(IF(X196="","",X196*0.01788),"")</f>
        <v>1.2516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237.16</v>
      </c>
      <c r="BN196" s="67">
        <f>IFERROR(Y196*I196,"0")</f>
        <v>237.16</v>
      </c>
      <c r="BO196" s="67">
        <f>IFERROR(X196/J196,"0")</f>
        <v>1</v>
      </c>
      <c r="BP196" s="67">
        <f>IFERROR(Y196/J196,"0")</f>
        <v>1</v>
      </c>
    </row>
    <row r="197" spans="1:68" ht="27" hidden="1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0</v>
      </c>
      <c r="Y197" s="355">
        <f>IFERROR(IF(X197="","",X197),"")</f>
        <v>0</v>
      </c>
      <c r="Z197" s="36">
        <f>IFERROR(IF(X197="","",X197*0.01788),"")</f>
        <v>0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98</v>
      </c>
      <c r="Y199" s="356">
        <f>IFERROR(SUM(Y196:Y198),"0")</f>
        <v>98</v>
      </c>
      <c r="Z199" s="356">
        <f>IFERROR(IF(Z196="",0,Z196),"0")+IFERROR(IF(Z197="",0,Z197),"0")+IFERROR(IF(Z198="",0,Z198),"0")</f>
        <v>1.75224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294</v>
      </c>
      <c r="Y200" s="356">
        <f>IFERROR(SUMPRODUCT(Y196:Y198*H196:H198),"0")</f>
        <v>294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12</v>
      </c>
      <c r="Y216" s="355">
        <f>IFERROR(IF(X216="","",X216),"")</f>
        <v>12</v>
      </c>
      <c r="Z216" s="36">
        <f>IFERROR(IF(X216="","",X216*0.0155),"")</f>
        <v>0.186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70.44</v>
      </c>
      <c r="BN216" s="67">
        <f>IFERROR(Y216*I216,"0")</f>
        <v>70.44</v>
      </c>
      <c r="BO216" s="67">
        <f>IFERROR(X216/J216,"0")</f>
        <v>0.14285714285714285</v>
      </c>
      <c r="BP216" s="67">
        <f>IFERROR(Y216/J216,"0")</f>
        <v>0.14285714285714285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12</v>
      </c>
      <c r="Y219" s="356">
        <f>IFERROR(SUM(Y216:Y218),"0")</f>
        <v>12</v>
      </c>
      <c r="Z219" s="356">
        <f>IFERROR(IF(Z216="",0,Z216),"0")+IFERROR(IF(Z217="",0,Z217),"0")+IFERROR(IF(Z218="",0,Z218),"0")</f>
        <v>0.186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67.199999999999989</v>
      </c>
      <c r="Y220" s="356">
        <f>IFERROR(SUMPRODUCT(Y216:Y218*H216:H218),"0")</f>
        <v>67.199999999999989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hidden="1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hidden="1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hidden="1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36</v>
      </c>
      <c r="Y234" s="355">
        <f>IFERROR(IF(X234="","",X234),"")</f>
        <v>36</v>
      </c>
      <c r="Z234" s="36">
        <f>IFERROR(IF(X234="","",X234*0.0155),"")</f>
        <v>0.55800000000000005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268.92</v>
      </c>
      <c r="BN234" s="67">
        <f>IFERROR(Y234*I234,"0")</f>
        <v>268.92</v>
      </c>
      <c r="BO234" s="67">
        <f>IFERROR(X234/J234,"0")</f>
        <v>0.42857142857142855</v>
      </c>
      <c r="BP234" s="67">
        <f>IFERROR(Y234/J234,"0")</f>
        <v>0.42857142857142855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24</v>
      </c>
      <c r="Y236" s="355">
        <f>IFERROR(IF(X236="","",X236),"")</f>
        <v>24</v>
      </c>
      <c r="Z236" s="36">
        <f>IFERROR(IF(X236="","",X236*0.0155),"")</f>
        <v>0.372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179.28</v>
      </c>
      <c r="BN236" s="67">
        <f>IFERROR(Y236*I236,"0")</f>
        <v>179.28</v>
      </c>
      <c r="BO236" s="67">
        <f>IFERROR(X236/J236,"0")</f>
        <v>0.2857142857142857</v>
      </c>
      <c r="BP236" s="67">
        <f>IFERROR(Y236/J236,"0")</f>
        <v>0.2857142857142857</v>
      </c>
    </row>
    <row r="237" spans="1:68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60</v>
      </c>
      <c r="Y237" s="356">
        <f>IFERROR(SUM(Y233:Y236),"0")</f>
        <v>60</v>
      </c>
      <c r="Z237" s="356">
        <f>IFERROR(IF(Z233="",0,Z233),"0")+IFERROR(IF(Z234="",0,Z234),"0")+IFERROR(IF(Z235="",0,Z235),"0")+IFERROR(IF(Z236="",0,Z236),"0")</f>
        <v>0.93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432</v>
      </c>
      <c r="Y238" s="356">
        <f>IFERROR(SUMPRODUCT(Y233:Y236*H233:H236),"0")</f>
        <v>432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72</v>
      </c>
      <c r="Y270" s="355">
        <f>IFERROR(IF(X270="","",X270),"")</f>
        <v>72</v>
      </c>
      <c r="Z270" s="36">
        <f>IFERROR(IF(X270="","",X270*0.0155),"")</f>
        <v>1.1160000000000001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378.86399999999998</v>
      </c>
      <c r="BN270" s="67">
        <f>IFERROR(Y270*I270,"0")</f>
        <v>378.86399999999998</v>
      </c>
      <c r="BO270" s="67">
        <f>IFERROR(X270/J270,"0")</f>
        <v>0.8571428571428571</v>
      </c>
      <c r="BP270" s="67">
        <f>IFERROR(Y270/J270,"0")</f>
        <v>0.8571428571428571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72</v>
      </c>
      <c r="Y272" s="356">
        <f>IFERROR(SUM(Y270:Y271),"0")</f>
        <v>72</v>
      </c>
      <c r="Z272" s="356">
        <f>IFERROR(IF(Z270="",0,Z270),"0")+IFERROR(IF(Z271="",0,Z271),"0")</f>
        <v>1.1160000000000001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360</v>
      </c>
      <c r="Y273" s="356">
        <f>IFERROR(SUMPRODUCT(Y270:Y271*H270:H271),"0")</f>
        <v>360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24</v>
      </c>
      <c r="Y288" s="355">
        <f>IFERROR(IF(X288="","",X288),"")</f>
        <v>24</v>
      </c>
      <c r="Z288" s="36">
        <f>IFERROR(IF(X288="","",X288*0.0155),"")</f>
        <v>0.372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174.72</v>
      </c>
      <c r="BN288" s="67">
        <f>IFERROR(Y288*I288,"0")</f>
        <v>174.72</v>
      </c>
      <c r="BO288" s="67">
        <f>IFERROR(X288/J288,"0")</f>
        <v>0.2857142857142857</v>
      </c>
      <c r="BP288" s="67">
        <f>IFERROR(Y288/J288,"0")</f>
        <v>0.2857142857142857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24</v>
      </c>
      <c r="Y290" s="356">
        <f>IFERROR(SUM(Y287:Y289),"0")</f>
        <v>24</v>
      </c>
      <c r="Z290" s="356">
        <f>IFERROR(IF(Z287="",0,Z287),"0")+IFERROR(IF(Z288="",0,Z288),"0")+IFERROR(IF(Z289="",0,Z289),"0")</f>
        <v>0.372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168</v>
      </c>
      <c r="Y291" s="356">
        <f>IFERROR(SUMPRODUCT(Y287:Y289*H287:H289),"0")</f>
        <v>168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162</v>
      </c>
      <c r="Y293" s="355">
        <f>IFERROR(IF(X293="","",X293),"")</f>
        <v>162</v>
      </c>
      <c r="Z293" s="36">
        <f>IFERROR(IF(X293="","",X293*0.00502),"")</f>
        <v>0.81324000000000007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310.23</v>
      </c>
      <c r="BN293" s="67">
        <f>IFERROR(Y293*I293,"0")</f>
        <v>310.23</v>
      </c>
      <c r="BO293" s="67">
        <f>IFERROR(X293/J293,"0")</f>
        <v>0.69230769230769229</v>
      </c>
      <c r="BP293" s="67">
        <f>IFERROR(Y293/J293,"0")</f>
        <v>0.69230769230769229</v>
      </c>
    </row>
    <row r="294" spans="1:68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162</v>
      </c>
      <c r="Y294" s="356">
        <f>IFERROR(SUM(Y293:Y293),"0")</f>
        <v>162</v>
      </c>
      <c r="Z294" s="356">
        <f>IFERROR(IF(Z293="",0,Z293),"0")</f>
        <v>0.81324000000000007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291.60000000000002</v>
      </c>
      <c r="Y295" s="356">
        <f>IFERROR(SUMPRODUCT(Y293:Y293*H293:H293),"0")</f>
        <v>291.60000000000002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120</v>
      </c>
      <c r="Y297" s="355">
        <f>IFERROR(IF(X297="","",X297),"")</f>
        <v>120</v>
      </c>
      <c r="Z297" s="36">
        <f>IFERROR(IF(X297="","",X297*0.0155),"")</f>
        <v>1.8599999999999999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751.19999999999993</v>
      </c>
      <c r="BN297" s="67">
        <f>IFERROR(Y297*I297,"0")</f>
        <v>751.19999999999993</v>
      </c>
      <c r="BO297" s="67">
        <f>IFERROR(X297/J297,"0")</f>
        <v>1.4285714285714286</v>
      </c>
      <c r="BP297" s="67">
        <f>IFERROR(Y297/J297,"0")</f>
        <v>1.4285714285714286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120</v>
      </c>
      <c r="Y299" s="356">
        <f>IFERROR(SUM(Y297:Y298),"0")</f>
        <v>120</v>
      </c>
      <c r="Z299" s="356">
        <f>IFERROR(IF(Z297="",0,Z297),"0")+IFERROR(IF(Z298="",0,Z298),"0")</f>
        <v>1.8599999999999999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720</v>
      </c>
      <c r="Y300" s="356">
        <f>IFERROR(SUMPRODUCT(Y297:Y298*H297:H298),"0")</f>
        <v>720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70</v>
      </c>
      <c r="Y302" s="355">
        <f>IFERROR(IF(X302="","",X302),"")</f>
        <v>70</v>
      </c>
      <c r="Z302" s="36">
        <f>IFERROR(IF(X302="","",X302*0.00936),"")</f>
        <v>0.6552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202.34200000000001</v>
      </c>
      <c r="BN302" s="67">
        <f>IFERROR(Y302*I302,"0")</f>
        <v>202.34200000000001</v>
      </c>
      <c r="BO302" s="67">
        <f>IFERROR(X302/J302,"0")</f>
        <v>0.55555555555555558</v>
      </c>
      <c r="BP302" s="67">
        <f>IFERROR(Y302/J302,"0")</f>
        <v>0.55555555555555558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84</v>
      </c>
      <c r="Y303" s="355">
        <f>IFERROR(IF(X303="","",X303),"")</f>
        <v>84</v>
      </c>
      <c r="Z303" s="36">
        <f>IFERROR(IF(X303="","",X303*0.0155),"")</f>
        <v>1.302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439.74</v>
      </c>
      <c r="BN303" s="67">
        <f>IFERROR(Y303*I303,"0")</f>
        <v>439.74</v>
      </c>
      <c r="BO303" s="67">
        <f>IFERROR(X303/J303,"0")</f>
        <v>1</v>
      </c>
      <c r="BP303" s="67">
        <f>IFERROR(Y303/J303,"0")</f>
        <v>1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154</v>
      </c>
      <c r="Y305" s="356">
        <f>IFERROR(SUM(Y302:Y304),"0")</f>
        <v>154</v>
      </c>
      <c r="Z305" s="356">
        <f>IFERROR(IF(Z302="",0,Z302),"0")+IFERROR(IF(Z303="",0,Z303),"0")+IFERROR(IF(Z304="",0,Z304),"0")</f>
        <v>1.9572000000000001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609</v>
      </c>
      <c r="Y306" s="356">
        <f>IFERROR(SUMPRODUCT(Y302:Y304*H302:H304),"0")</f>
        <v>609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hidden="1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12</v>
      </c>
      <c r="Y310" s="355">
        <f t="shared" si="30"/>
        <v>12</v>
      </c>
      <c r="Z310" s="36">
        <f>IFERROR(IF(X310="","",X310*0.0155),"")</f>
        <v>0.186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68.820000000000007</v>
      </c>
      <c r="BN310" s="67">
        <f t="shared" si="32"/>
        <v>68.820000000000007</v>
      </c>
      <c r="BO310" s="67">
        <f t="shared" si="33"/>
        <v>0.14285714285714285</v>
      </c>
      <c r="BP310" s="67">
        <f t="shared" si="34"/>
        <v>0.14285714285714285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hidden="1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hidden="1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12</v>
      </c>
      <c r="Y329" s="356">
        <f>IFERROR(SUM(Y308:Y328),"0")</f>
        <v>12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0.186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66</v>
      </c>
      <c r="Y330" s="356">
        <f>IFERROR(SUMPRODUCT(Y308:Y328*H308:H328),"0")</f>
        <v>66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9747.9600000000009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9747.9600000000009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10683.571199999998</v>
      </c>
      <c r="Y337" s="356">
        <f>IFERROR(SUM(BN22:BN333),"0")</f>
        <v>10683.571199999998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26</v>
      </c>
      <c r="Y338" s="38">
        <f>ROUNDUP(SUM(BP22:BP333),0)</f>
        <v>26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11333.571199999998</v>
      </c>
      <c r="Y339" s="356">
        <f>GrossWeightTotalR+PalletQtyTotalR*25</f>
        <v>11333.571199999998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2290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2290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32.912120000000002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168</v>
      </c>
      <c r="D346" s="46">
        <f>IFERROR(X39*H39,"0")+IFERROR(X40*H40,"0")+IFERROR(X41*H41,"0")</f>
        <v>201.6</v>
      </c>
      <c r="E346" s="46">
        <f>IFERROR(X46*H46,"0")+IFERROR(X47*H47,"0")+IFERROR(X48*H48,"0")+IFERROR(X49*H49,"0")+IFERROR(X50*H50,"0")+IFERROR(X51*H51,"0")+IFERROR(X52*H52,"0")+IFERROR(X53*H53,"0")</f>
        <v>489.6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600</v>
      </c>
      <c r="H346" s="46">
        <f>IFERROR(X88*H88,"0")+IFERROR(X89*H89,"0")</f>
        <v>50.4</v>
      </c>
      <c r="I346" s="46">
        <f>IFERROR(X94*H94,"0")+IFERROR(X95*H95,"0")+IFERROR(X96*H96,"0")+IFERROR(X97*H97,"0")+IFERROR(X98*H98,"0")</f>
        <v>655.20000000000005</v>
      </c>
      <c r="J346" s="46">
        <f>IFERROR(X103*H103,"0")+IFERROR(X104*H104,"0")+IFERROR(X105*H105,"0")+IFERROR(X106*H106,"0")+IFERROR(X107*H107,"0")+IFERROR(X108*H108,"0")+IFERROR(X109*H109,"0")</f>
        <v>554.40000000000009</v>
      </c>
      <c r="K346" s="46">
        <f>IFERROR(X114*H114,"0")+IFERROR(X115*H115,"0")+IFERROR(X116*H116,"0")+IFERROR(X117*H117,"0")</f>
        <v>184.8</v>
      </c>
      <c r="L346" s="46">
        <f>IFERROR(X122*H122,"0")+IFERROR(X123*H123,"0")+IFERROR(X124*H124,"0")+IFERROR(X125*H125,"0")+IFERROR(X126*H126,"0")+IFERROR(X127*H127,"0")+IFERROR(X131*H131,"0")</f>
        <v>1940.16</v>
      </c>
      <c r="M346" s="46">
        <f>IFERROR(X136*H136,"0")+IFERROR(X137*H137,"0")</f>
        <v>756</v>
      </c>
      <c r="N346" s="352"/>
      <c r="O346" s="46">
        <f>IFERROR(X142*H142,"0")+IFERROR(X143*H143,"0")</f>
        <v>294</v>
      </c>
      <c r="P346" s="46">
        <f>IFERROR(X148*H148,"0")+IFERROR(X149*H149,"0")</f>
        <v>126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0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720</v>
      </c>
      <c r="W346" s="46">
        <f>IFERROR(X196*H196,"0")+IFERROR(X197*H197,"0")+IFERROR(X198*H198,"0")+IFERROR(X202*H202,"0")</f>
        <v>294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67.199999999999989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432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360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1854.6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4941.6000000000004</v>
      </c>
      <c r="B349" s="60">
        <f>SUMPRODUCT(--(BB:BB="ПГП"),--(W:W="кор"),H:H,Y:Y)+SUMPRODUCT(--(BB:BB="ПГП"),--(W:W="кг"),Y:Y)</f>
        <v>4806.3600000000006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903,20"/>
        <filter val="10 683,57"/>
        <filter val="11 333,57"/>
        <filter val="112,00"/>
        <filter val="12,00"/>
        <filter val="120,00"/>
        <filter val="126,00"/>
        <filter val="132,00"/>
        <filter val="14,00"/>
        <filter val="144,00"/>
        <filter val="154,00"/>
        <filter val="162,00"/>
        <filter val="168,00"/>
        <filter val="182,00"/>
        <filter val="184,80"/>
        <filter val="2 290,00"/>
        <filter val="201,60"/>
        <filter val="24,00"/>
        <filter val="252,00"/>
        <filter val="26"/>
        <filter val="276,00"/>
        <filter val="28,00"/>
        <filter val="291,60"/>
        <filter val="294,00"/>
        <filter val="36,00"/>
        <filter val="36,96"/>
        <filter val="360,00"/>
        <filter val="42,00"/>
        <filter val="432,00"/>
        <filter val="489,60"/>
        <filter val="50,40"/>
        <filter val="554,40"/>
        <filter val="56,00"/>
        <filter val="60,00"/>
        <filter val="600,00"/>
        <filter val="609,00"/>
        <filter val="655,20"/>
        <filter val="66,00"/>
        <filter val="660,00"/>
        <filter val="67,20"/>
        <filter val="70,00"/>
        <filter val="72,00"/>
        <filter val="720,00"/>
        <filter val="756,00"/>
        <filter val="84,00"/>
        <filter val="9 747,96"/>
        <filter val="98,00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