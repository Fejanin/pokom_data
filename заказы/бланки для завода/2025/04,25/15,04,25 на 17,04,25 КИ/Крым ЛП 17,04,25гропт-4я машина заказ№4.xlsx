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149B9BB-F151-484D-9965-598A2984752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BO514" i="1"/>
  <c r="BM514" i="1"/>
  <c r="Y514" i="1"/>
  <c r="P514" i="1"/>
  <c r="BO513" i="1"/>
  <c r="BM513" i="1"/>
  <c r="Y513" i="1"/>
  <c r="BO512" i="1"/>
  <c r="BM512" i="1"/>
  <c r="Y512" i="1"/>
  <c r="P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Y413" i="1" s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Y371" i="1" s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O308" i="1"/>
  <c r="BM308" i="1"/>
  <c r="Y308" i="1"/>
  <c r="Y311" i="1" s="1"/>
  <c r="P308" i="1"/>
  <c r="X306" i="1"/>
  <c r="X305" i="1"/>
  <c r="BO304" i="1"/>
  <c r="BM304" i="1"/>
  <c r="Y304" i="1"/>
  <c r="S601" i="1" s="1"/>
  <c r="P304" i="1"/>
  <c r="X301" i="1"/>
  <c r="X300" i="1"/>
  <c r="BO299" i="1"/>
  <c r="BM299" i="1"/>
  <c r="Y299" i="1"/>
  <c r="Y300" i="1" s="1"/>
  <c r="P299" i="1"/>
  <c r="X296" i="1"/>
  <c r="X295" i="1"/>
  <c r="BO294" i="1"/>
  <c r="BM294" i="1"/>
  <c r="Y294" i="1"/>
  <c r="Y295" i="1" s="1"/>
  <c r="P294" i="1"/>
  <c r="X292" i="1"/>
  <c r="X291" i="1"/>
  <c r="BO290" i="1"/>
  <c r="BM290" i="1"/>
  <c r="Y290" i="1"/>
  <c r="Y291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O278" i="1"/>
  <c r="BM278" i="1"/>
  <c r="Y278" i="1"/>
  <c r="P278" i="1"/>
  <c r="BO277" i="1"/>
  <c r="BM277" i="1"/>
  <c r="Y277" i="1"/>
  <c r="P277" i="1"/>
  <c r="X274" i="1"/>
  <c r="X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M601" i="1" s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Y247" i="1" s="1"/>
  <c r="X244" i="1"/>
  <c r="X243" i="1"/>
  <c r="BO242" i="1"/>
  <c r="BM242" i="1"/>
  <c r="Y242" i="1"/>
  <c r="P242" i="1"/>
  <c r="BO241" i="1"/>
  <c r="BM241" i="1"/>
  <c r="Y241" i="1"/>
  <c r="Y244" i="1" s="1"/>
  <c r="X239" i="1"/>
  <c r="X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BP225" i="1" s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BP197" i="1" s="1"/>
  <c r="P197" i="1"/>
  <c r="BP196" i="1"/>
  <c r="BO196" i="1"/>
  <c r="BN196" i="1"/>
  <c r="BM196" i="1"/>
  <c r="Z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Y187" i="1" s="1"/>
  <c r="X184" i="1"/>
  <c r="X183" i="1"/>
  <c r="BO182" i="1"/>
  <c r="BM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Y165" i="1" s="1"/>
  <c r="P164" i="1"/>
  <c r="X162" i="1"/>
  <c r="X161" i="1"/>
  <c r="BO160" i="1"/>
  <c r="BM160" i="1"/>
  <c r="Y160" i="1"/>
  <c r="BP160" i="1" s="1"/>
  <c r="P160" i="1"/>
  <c r="BO159" i="1"/>
  <c r="BM159" i="1"/>
  <c r="Y159" i="1"/>
  <c r="P159" i="1"/>
  <c r="BO158" i="1"/>
  <c r="BM158" i="1"/>
  <c r="Y158" i="1"/>
  <c r="BP158" i="1" s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50" i="1" s="1"/>
  <c r="P147" i="1"/>
  <c r="X145" i="1"/>
  <c r="X144" i="1"/>
  <c r="BO143" i="1"/>
  <c r="BM143" i="1"/>
  <c r="Y143" i="1"/>
  <c r="BP143" i="1" s="1"/>
  <c r="P143" i="1"/>
  <c r="BO142" i="1"/>
  <c r="BM142" i="1"/>
  <c r="Y142" i="1"/>
  <c r="P142" i="1"/>
  <c r="X140" i="1"/>
  <c r="X139" i="1"/>
  <c r="BO138" i="1"/>
  <c r="BM138" i="1"/>
  <c r="Y138" i="1"/>
  <c r="P138" i="1"/>
  <c r="BO137" i="1"/>
  <c r="BM137" i="1"/>
  <c r="Y137" i="1"/>
  <c r="P137" i="1"/>
  <c r="X134" i="1"/>
  <c r="X133" i="1"/>
  <c r="BO132" i="1"/>
  <c r="BM132" i="1"/>
  <c r="Y132" i="1"/>
  <c r="BP132" i="1" s="1"/>
  <c r="P132" i="1"/>
  <c r="BO131" i="1"/>
  <c r="BM131" i="1"/>
  <c r="Y131" i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O125" i="1"/>
  <c r="BM125" i="1"/>
  <c r="Y125" i="1"/>
  <c r="BO124" i="1"/>
  <c r="BM124" i="1"/>
  <c r="Y124" i="1"/>
  <c r="P124" i="1"/>
  <c r="BO123" i="1"/>
  <c r="BM123" i="1"/>
  <c r="Y123" i="1"/>
  <c r="BP123" i="1" s="1"/>
  <c r="BO122" i="1"/>
  <c r="BM122" i="1"/>
  <c r="Y122" i="1"/>
  <c r="BP122" i="1" s="1"/>
  <c r="P122" i="1"/>
  <c r="BO121" i="1"/>
  <c r="BM121" i="1"/>
  <c r="Y121" i="1"/>
  <c r="P121" i="1"/>
  <c r="BO120" i="1"/>
  <c r="BM120" i="1"/>
  <c r="Y120" i="1"/>
  <c r="BP120" i="1" s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Y116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O93" i="1"/>
  <c r="BM93" i="1"/>
  <c r="Y93" i="1"/>
  <c r="Y103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O87" i="1"/>
  <c r="BM87" i="1"/>
  <c r="Y87" i="1"/>
  <c r="BP87" i="1" s="1"/>
  <c r="P87" i="1"/>
  <c r="X84" i="1"/>
  <c r="X83" i="1"/>
  <c r="BO82" i="1"/>
  <c r="BM82" i="1"/>
  <c r="Y82" i="1"/>
  <c r="P82" i="1"/>
  <c r="BO81" i="1"/>
  <c r="BM81" i="1"/>
  <c r="Y81" i="1"/>
  <c r="BP81" i="1" s="1"/>
  <c r="P81" i="1"/>
  <c r="BO80" i="1"/>
  <c r="BM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8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O58" i="1"/>
  <c r="BM58" i="1"/>
  <c r="Y58" i="1"/>
  <c r="P58" i="1"/>
  <c r="X56" i="1"/>
  <c r="X55" i="1"/>
  <c r="BO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Y33" i="1" s="1"/>
  <c r="P31" i="1"/>
  <c r="X29" i="1"/>
  <c r="X28" i="1"/>
  <c r="X595" i="1" s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82" i="1" l="1"/>
  <c r="BN82" i="1"/>
  <c r="Z82" i="1"/>
  <c r="BP138" i="1"/>
  <c r="BN138" i="1"/>
  <c r="Z138" i="1"/>
  <c r="BP204" i="1"/>
  <c r="BN204" i="1"/>
  <c r="Z204" i="1"/>
  <c r="BP224" i="1"/>
  <c r="BN224" i="1"/>
  <c r="Z224" i="1"/>
  <c r="BP242" i="1"/>
  <c r="BN242" i="1"/>
  <c r="Z242" i="1"/>
  <c r="BN314" i="1"/>
  <c r="Z314" i="1"/>
  <c r="Z315" i="1" s="1"/>
  <c r="BP321" i="1"/>
  <c r="BN321" i="1"/>
  <c r="Z321" i="1"/>
  <c r="BP345" i="1"/>
  <c r="BN345" i="1"/>
  <c r="Z345" i="1"/>
  <c r="BP384" i="1"/>
  <c r="BN384" i="1"/>
  <c r="Z384" i="1"/>
  <c r="Y503" i="1"/>
  <c r="Y502" i="1"/>
  <c r="BP498" i="1"/>
  <c r="BN498" i="1"/>
  <c r="Z498" i="1"/>
  <c r="BP500" i="1"/>
  <c r="BN500" i="1"/>
  <c r="Z500" i="1"/>
  <c r="BP514" i="1"/>
  <c r="BN514" i="1"/>
  <c r="Z514" i="1"/>
  <c r="Z22" i="1"/>
  <c r="BN22" i="1"/>
  <c r="Y29" i="1"/>
  <c r="Z44" i="1"/>
  <c r="Z45" i="1" s="1"/>
  <c r="BN44" i="1"/>
  <c r="BP44" i="1"/>
  <c r="Y45" i="1"/>
  <c r="Z49" i="1"/>
  <c r="BN49" i="1"/>
  <c r="BP54" i="1"/>
  <c r="BN54" i="1"/>
  <c r="BP72" i="1"/>
  <c r="BN72" i="1"/>
  <c r="Z72" i="1"/>
  <c r="BP99" i="1"/>
  <c r="BN99" i="1"/>
  <c r="Z99" i="1"/>
  <c r="BP101" i="1"/>
  <c r="BN101" i="1"/>
  <c r="Z101" i="1"/>
  <c r="BP159" i="1"/>
  <c r="BN159" i="1"/>
  <c r="Z159" i="1"/>
  <c r="BP214" i="1"/>
  <c r="BN214" i="1"/>
  <c r="Z214" i="1"/>
  <c r="BP237" i="1"/>
  <c r="BN237" i="1"/>
  <c r="Z237" i="1"/>
  <c r="BP271" i="1"/>
  <c r="BN271" i="1"/>
  <c r="Z271" i="1"/>
  <c r="BP335" i="1"/>
  <c r="BN335" i="1"/>
  <c r="Z335" i="1"/>
  <c r="BP376" i="1"/>
  <c r="BN376" i="1"/>
  <c r="Z376" i="1"/>
  <c r="BP404" i="1"/>
  <c r="BN404" i="1"/>
  <c r="Z404" i="1"/>
  <c r="BP499" i="1"/>
  <c r="BN499" i="1"/>
  <c r="Z499" i="1"/>
  <c r="BP501" i="1"/>
  <c r="BN501" i="1"/>
  <c r="Z501" i="1"/>
  <c r="BP511" i="1"/>
  <c r="BN511" i="1"/>
  <c r="Z511" i="1"/>
  <c r="BP515" i="1"/>
  <c r="BN515" i="1"/>
  <c r="Z515" i="1"/>
  <c r="Y62" i="1"/>
  <c r="I601" i="1"/>
  <c r="Y184" i="1"/>
  <c r="J601" i="1"/>
  <c r="K601" i="1"/>
  <c r="P601" i="1"/>
  <c r="X592" i="1"/>
  <c r="Z26" i="1"/>
  <c r="BN26" i="1"/>
  <c r="C601" i="1"/>
  <c r="Z40" i="1"/>
  <c r="BN40" i="1"/>
  <c r="Z51" i="1"/>
  <c r="BN51" i="1"/>
  <c r="Z58" i="1"/>
  <c r="BN58" i="1"/>
  <c r="BP58" i="1"/>
  <c r="Z66" i="1"/>
  <c r="BN66" i="1"/>
  <c r="Y78" i="1"/>
  <c r="Z74" i="1"/>
  <c r="BN74" i="1"/>
  <c r="Z80" i="1"/>
  <c r="BN80" i="1"/>
  <c r="BP80" i="1"/>
  <c r="Z87" i="1"/>
  <c r="BN87" i="1"/>
  <c r="Z93" i="1"/>
  <c r="BN93" i="1"/>
  <c r="BP93" i="1"/>
  <c r="BP114" i="1"/>
  <c r="BN114" i="1"/>
  <c r="Z114" i="1"/>
  <c r="BP124" i="1"/>
  <c r="BN124" i="1"/>
  <c r="Z124" i="1"/>
  <c r="Y133" i="1"/>
  <c r="BP131" i="1"/>
  <c r="BN131" i="1"/>
  <c r="Z131" i="1"/>
  <c r="Y154" i="1"/>
  <c r="BP153" i="1"/>
  <c r="BN153" i="1"/>
  <c r="Z153" i="1"/>
  <c r="Z154" i="1" s="1"/>
  <c r="Y161" i="1"/>
  <c r="BP157" i="1"/>
  <c r="BN157" i="1"/>
  <c r="Z157" i="1"/>
  <c r="BP182" i="1"/>
  <c r="BN182" i="1"/>
  <c r="Z182" i="1"/>
  <c r="Y210" i="1"/>
  <c r="BP202" i="1"/>
  <c r="BN202" i="1"/>
  <c r="Z202" i="1"/>
  <c r="Y222" i="1"/>
  <c r="BP212" i="1"/>
  <c r="BN212" i="1"/>
  <c r="Z212" i="1"/>
  <c r="BP220" i="1"/>
  <c r="BN220" i="1"/>
  <c r="Z220" i="1"/>
  <c r="BP235" i="1"/>
  <c r="BN235" i="1"/>
  <c r="Z235" i="1"/>
  <c r="BP259" i="1"/>
  <c r="BN259" i="1"/>
  <c r="Z259" i="1"/>
  <c r="BP309" i="1"/>
  <c r="BN309" i="1"/>
  <c r="Z309" i="1"/>
  <c r="BP106" i="1"/>
  <c r="BN106" i="1"/>
  <c r="Z106" i="1"/>
  <c r="BP121" i="1"/>
  <c r="BN121" i="1"/>
  <c r="Z121" i="1"/>
  <c r="BP125" i="1"/>
  <c r="BN125" i="1"/>
  <c r="Z125" i="1"/>
  <c r="Y144" i="1"/>
  <c r="BP142" i="1"/>
  <c r="BN142" i="1"/>
  <c r="Z142" i="1"/>
  <c r="BP175" i="1"/>
  <c r="BN175" i="1"/>
  <c r="Z175" i="1"/>
  <c r="BP192" i="1"/>
  <c r="BN192" i="1"/>
  <c r="Z192" i="1"/>
  <c r="BP206" i="1"/>
  <c r="BN206" i="1"/>
  <c r="Z206" i="1"/>
  <c r="BP216" i="1"/>
  <c r="BN216" i="1"/>
  <c r="Z216" i="1"/>
  <c r="BP231" i="1"/>
  <c r="BN231" i="1"/>
  <c r="Z231" i="1"/>
  <c r="Y252" i="1"/>
  <c r="Y251" i="1"/>
  <c r="BP250" i="1"/>
  <c r="BN250" i="1"/>
  <c r="Z250" i="1"/>
  <c r="Z251" i="1" s="1"/>
  <c r="BP255" i="1"/>
  <c r="BN255" i="1"/>
  <c r="Z255" i="1"/>
  <c r="BP278" i="1"/>
  <c r="BN278" i="1"/>
  <c r="Z278" i="1"/>
  <c r="BP323" i="1"/>
  <c r="BN323" i="1"/>
  <c r="Z323" i="1"/>
  <c r="BP337" i="1"/>
  <c r="BN337" i="1"/>
  <c r="Z337" i="1"/>
  <c r="BP351" i="1"/>
  <c r="BN351" i="1"/>
  <c r="Z351" i="1"/>
  <c r="BP378" i="1"/>
  <c r="BN378" i="1"/>
  <c r="Z378" i="1"/>
  <c r="BP388" i="1"/>
  <c r="BN388" i="1"/>
  <c r="Z388" i="1"/>
  <c r="BP394" i="1"/>
  <c r="BN394" i="1"/>
  <c r="Z394" i="1"/>
  <c r="Y129" i="1"/>
  <c r="G601" i="1"/>
  <c r="Y198" i="1"/>
  <c r="Y226" i="1"/>
  <c r="O601" i="1"/>
  <c r="T601" i="1"/>
  <c r="Y315" i="1"/>
  <c r="BP314" i="1"/>
  <c r="BP319" i="1"/>
  <c r="BN319" i="1"/>
  <c r="Z319" i="1"/>
  <c r="BP331" i="1"/>
  <c r="BN331" i="1"/>
  <c r="Z331" i="1"/>
  <c r="BP343" i="1"/>
  <c r="BN343" i="1"/>
  <c r="Z343" i="1"/>
  <c r="BP368" i="1"/>
  <c r="BN368" i="1"/>
  <c r="Z368" i="1"/>
  <c r="BP382" i="1"/>
  <c r="BN382" i="1"/>
  <c r="Z382" i="1"/>
  <c r="Y396" i="1"/>
  <c r="Y395" i="1"/>
  <c r="BP393" i="1"/>
  <c r="BN393" i="1"/>
  <c r="Z393" i="1"/>
  <c r="Z395" i="1" s="1"/>
  <c r="Y421" i="1"/>
  <c r="BP416" i="1"/>
  <c r="BN416" i="1"/>
  <c r="Z416" i="1"/>
  <c r="Y443" i="1"/>
  <c r="BP437" i="1"/>
  <c r="BN437" i="1"/>
  <c r="Z437" i="1"/>
  <c r="AA601" i="1"/>
  <c r="Y466" i="1"/>
  <c r="BP464" i="1"/>
  <c r="BN464" i="1"/>
  <c r="Z464" i="1"/>
  <c r="BP484" i="1"/>
  <c r="BN484" i="1"/>
  <c r="Z484" i="1"/>
  <c r="BP494" i="1"/>
  <c r="BN494" i="1"/>
  <c r="Z494" i="1"/>
  <c r="BP406" i="1"/>
  <c r="BN406" i="1"/>
  <c r="Z406" i="1"/>
  <c r="BP417" i="1"/>
  <c r="BN417" i="1"/>
  <c r="Z417" i="1"/>
  <c r="BP440" i="1"/>
  <c r="BN440" i="1"/>
  <c r="Z440" i="1"/>
  <c r="BP465" i="1"/>
  <c r="BN465" i="1"/>
  <c r="Z465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BP485" i="1"/>
  <c r="BN485" i="1"/>
  <c r="Z485" i="1"/>
  <c r="BP521" i="1"/>
  <c r="BN521" i="1"/>
  <c r="Z521" i="1"/>
  <c r="Y346" i="1"/>
  <c r="H9" i="1"/>
  <c r="A10" i="1"/>
  <c r="B601" i="1"/>
  <c r="X593" i="1"/>
  <c r="X594" i="1" s="1"/>
  <c r="Z23" i="1"/>
  <c r="BN23" i="1"/>
  <c r="BP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Y32" i="1"/>
  <c r="Z37" i="1"/>
  <c r="BN37" i="1"/>
  <c r="BP37" i="1"/>
  <c r="Z39" i="1"/>
  <c r="BN39" i="1"/>
  <c r="Y42" i="1"/>
  <c r="D601" i="1"/>
  <c r="Z50" i="1"/>
  <c r="BN50" i="1"/>
  <c r="Z52" i="1"/>
  <c r="BN52" i="1"/>
  <c r="Y55" i="1"/>
  <c r="Y63" i="1"/>
  <c r="Y69" i="1"/>
  <c r="Y77" i="1"/>
  <c r="Y83" i="1"/>
  <c r="Y90" i="1"/>
  <c r="Y102" i="1"/>
  <c r="Y111" i="1"/>
  <c r="Y117" i="1"/>
  <c r="Y128" i="1"/>
  <c r="Y134" i="1"/>
  <c r="Y139" i="1"/>
  <c r="Y145" i="1"/>
  <c r="Y149" i="1"/>
  <c r="Y162" i="1"/>
  <c r="Y166" i="1"/>
  <c r="Y172" i="1"/>
  <c r="Y183" i="1"/>
  <c r="Y188" i="1"/>
  <c r="Y193" i="1"/>
  <c r="Y199" i="1"/>
  <c r="Y209" i="1"/>
  <c r="Y221" i="1"/>
  <c r="Y227" i="1"/>
  <c r="Y238" i="1"/>
  <c r="Y243" i="1"/>
  <c r="Y248" i="1"/>
  <c r="Y262" i="1"/>
  <c r="Y267" i="1"/>
  <c r="Y274" i="1"/>
  <c r="Y283" i="1"/>
  <c r="Y288" i="1"/>
  <c r="Y292" i="1"/>
  <c r="Y296" i="1"/>
  <c r="Y301" i="1"/>
  <c r="Y306" i="1"/>
  <c r="Y310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R601" i="1"/>
  <c r="F9" i="1"/>
  <c r="J9" i="1"/>
  <c r="Y41" i="1"/>
  <c r="Z53" i="1"/>
  <c r="BN53" i="1"/>
  <c r="Y56" i="1"/>
  <c r="Z59" i="1"/>
  <c r="BN59" i="1"/>
  <c r="Z61" i="1"/>
  <c r="BN61" i="1"/>
  <c r="Z65" i="1"/>
  <c r="BN65" i="1"/>
  <c r="BP65" i="1"/>
  <c r="Z67" i="1"/>
  <c r="BN67" i="1"/>
  <c r="Z71" i="1"/>
  <c r="BN71" i="1"/>
  <c r="BP71" i="1"/>
  <c r="Z73" i="1"/>
  <c r="BN73" i="1"/>
  <c r="Z75" i="1"/>
  <c r="BN75" i="1"/>
  <c r="Z81" i="1"/>
  <c r="Z83" i="1" s="1"/>
  <c r="BN81" i="1"/>
  <c r="E601" i="1"/>
  <c r="Z88" i="1"/>
  <c r="BN88" i="1"/>
  <c r="Y91" i="1"/>
  <c r="Z94" i="1"/>
  <c r="BN94" i="1"/>
  <c r="Z95" i="1"/>
  <c r="BN95" i="1"/>
  <c r="Z96" i="1"/>
  <c r="BN96" i="1"/>
  <c r="Z97" i="1"/>
  <c r="BN97" i="1"/>
  <c r="Z98" i="1"/>
  <c r="BN98" i="1"/>
  <c r="Z100" i="1"/>
  <c r="BN100" i="1"/>
  <c r="F601" i="1"/>
  <c r="Z107" i="1"/>
  <c r="BN107" i="1"/>
  <c r="Z109" i="1"/>
  <c r="BN109" i="1"/>
  <c r="Y110" i="1"/>
  <c r="Z113" i="1"/>
  <c r="BN113" i="1"/>
  <c r="BP113" i="1"/>
  <c r="Z115" i="1"/>
  <c r="BN115" i="1"/>
  <c r="Z119" i="1"/>
  <c r="BN119" i="1"/>
  <c r="BP119" i="1"/>
  <c r="Z120" i="1"/>
  <c r="BN120" i="1"/>
  <c r="Z122" i="1"/>
  <c r="BN122" i="1"/>
  <c r="Z123" i="1"/>
  <c r="BN123" i="1"/>
  <c r="Z126" i="1"/>
  <c r="BN126" i="1"/>
  <c r="Z132" i="1"/>
  <c r="Z133" i="1" s="1"/>
  <c r="BN132" i="1"/>
  <c r="Z137" i="1"/>
  <c r="Z139" i="1" s="1"/>
  <c r="BN137" i="1"/>
  <c r="BP137" i="1"/>
  <c r="Y140" i="1"/>
  <c r="Z143" i="1"/>
  <c r="Z144" i="1" s="1"/>
  <c r="BN143" i="1"/>
  <c r="Z147" i="1"/>
  <c r="Z149" i="1" s="1"/>
  <c r="BN147" i="1"/>
  <c r="BP147" i="1"/>
  <c r="H601" i="1"/>
  <c r="Y155" i="1"/>
  <c r="Z158" i="1"/>
  <c r="BN158" i="1"/>
  <c r="Z160" i="1"/>
  <c r="BN160" i="1"/>
  <c r="Z164" i="1"/>
  <c r="Z165" i="1" s="1"/>
  <c r="BN164" i="1"/>
  <c r="BP164" i="1"/>
  <c r="Z170" i="1"/>
  <c r="Z171" i="1" s="1"/>
  <c r="BN170" i="1"/>
  <c r="BP170" i="1"/>
  <c r="Y171" i="1"/>
  <c r="Z174" i="1"/>
  <c r="BN174" i="1"/>
  <c r="BP174" i="1"/>
  <c r="Z176" i="1"/>
  <c r="BN176" i="1"/>
  <c r="Z178" i="1"/>
  <c r="BN178" i="1"/>
  <c r="Z179" i="1"/>
  <c r="BN179" i="1"/>
  <c r="Z181" i="1"/>
  <c r="BN181" i="1"/>
  <c r="Z186" i="1"/>
  <c r="Z187" i="1" s="1"/>
  <c r="BN186" i="1"/>
  <c r="BP186" i="1"/>
  <c r="Z191" i="1"/>
  <c r="Z193" i="1" s="1"/>
  <c r="BN191" i="1"/>
  <c r="BP191" i="1"/>
  <c r="Y194" i="1"/>
  <c r="Z197" i="1"/>
  <c r="Z198" i="1" s="1"/>
  <c r="BN197" i="1"/>
  <c r="Z201" i="1"/>
  <c r="Z209" i="1" s="1"/>
  <c r="BN201" i="1"/>
  <c r="BP201" i="1"/>
  <c r="Z203" i="1"/>
  <c r="BN203" i="1"/>
  <c r="Z205" i="1"/>
  <c r="BN205" i="1"/>
  <c r="Z207" i="1"/>
  <c r="BN207" i="1"/>
  <c r="Z213" i="1"/>
  <c r="BN213" i="1"/>
  <c r="Z215" i="1"/>
  <c r="BN215" i="1"/>
  <c r="Z217" i="1"/>
  <c r="BN217" i="1"/>
  <c r="Z219" i="1"/>
  <c r="BN219" i="1"/>
  <c r="Z225" i="1"/>
  <c r="BN225" i="1"/>
  <c r="Z230" i="1"/>
  <c r="BN230" i="1"/>
  <c r="BP230" i="1"/>
  <c r="Z232" i="1"/>
  <c r="BN232" i="1"/>
  <c r="Z234" i="1"/>
  <c r="BN234" i="1"/>
  <c r="Z236" i="1"/>
  <c r="BN236" i="1"/>
  <c r="Y239" i="1"/>
  <c r="Z241" i="1"/>
  <c r="Z243" i="1" s="1"/>
  <c r="BN241" i="1"/>
  <c r="BP241" i="1"/>
  <c r="Z246" i="1"/>
  <c r="Z247" i="1" s="1"/>
  <c r="BN246" i="1"/>
  <c r="BP246" i="1"/>
  <c r="L601" i="1"/>
  <c r="Z256" i="1"/>
  <c r="BN256" i="1"/>
  <c r="Z258" i="1"/>
  <c r="BN258" i="1"/>
  <c r="Z260" i="1"/>
  <c r="BN260" i="1"/>
  <c r="Y261" i="1"/>
  <c r="Z265" i="1"/>
  <c r="Z266" i="1" s="1"/>
  <c r="BN265" i="1"/>
  <c r="BP265" i="1"/>
  <c r="Y266" i="1"/>
  <c r="Z270" i="1"/>
  <c r="BN270" i="1"/>
  <c r="BP270" i="1"/>
  <c r="Z272" i="1"/>
  <c r="BN272" i="1"/>
  <c r="Y273" i="1"/>
  <c r="Z277" i="1"/>
  <c r="BN277" i="1"/>
  <c r="BP277" i="1"/>
  <c r="Z279" i="1"/>
  <c r="BN279" i="1"/>
  <c r="Z281" i="1"/>
  <c r="BN281" i="1"/>
  <c r="Y282" i="1"/>
  <c r="Z286" i="1"/>
  <c r="Z287" i="1" s="1"/>
  <c r="BN286" i="1"/>
  <c r="BP286" i="1"/>
  <c r="Y287" i="1"/>
  <c r="Z290" i="1"/>
  <c r="Z291" i="1" s="1"/>
  <c r="BN290" i="1"/>
  <c r="BP290" i="1"/>
  <c r="Z294" i="1"/>
  <c r="Z295" i="1" s="1"/>
  <c r="BN294" i="1"/>
  <c r="BP294" i="1"/>
  <c r="Z299" i="1"/>
  <c r="Z300" i="1" s="1"/>
  <c r="BN299" i="1"/>
  <c r="BP299" i="1"/>
  <c r="Z304" i="1"/>
  <c r="Z305" i="1" s="1"/>
  <c r="BN304" i="1"/>
  <c r="BP304" i="1"/>
  <c r="Y305" i="1"/>
  <c r="Z308" i="1"/>
  <c r="Z310" i="1" s="1"/>
  <c r="BN308" i="1"/>
  <c r="BP308" i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Z346" i="1" s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Z370" i="1" s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BP420" i="1"/>
  <c r="BN420" i="1"/>
  <c r="Z420" i="1"/>
  <c r="Y422" i="1"/>
  <c r="Y601" i="1"/>
  <c r="Y442" i="1"/>
  <c r="BP430" i="1"/>
  <c r="BN430" i="1"/>
  <c r="Z430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Z460" i="1" s="1"/>
  <c r="Y460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2" i="1"/>
  <c r="BN512" i="1"/>
  <c r="Z512" i="1"/>
  <c r="BP516" i="1"/>
  <c r="BN516" i="1"/>
  <c r="Z516" i="1"/>
  <c r="Z601" i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3" i="1"/>
  <c r="BN513" i="1"/>
  <c r="Z513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Z523" i="1" s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340" i="1" l="1"/>
  <c r="Z332" i="1"/>
  <c r="Z226" i="1"/>
  <c r="Z90" i="1"/>
  <c r="Z28" i="1"/>
  <c r="Z502" i="1"/>
  <c r="Z528" i="1"/>
  <c r="Z495" i="1"/>
  <c r="Z261" i="1"/>
  <c r="Z183" i="1"/>
  <c r="Z116" i="1"/>
  <c r="Z102" i="1"/>
  <c r="Y593" i="1"/>
  <c r="Z68" i="1"/>
  <c r="Z62" i="1"/>
  <c r="Y592" i="1"/>
  <c r="Y594" i="1" s="1"/>
  <c r="Z41" i="1"/>
  <c r="Z325" i="1"/>
  <c r="Z221" i="1"/>
  <c r="Z161" i="1"/>
  <c r="Z110" i="1"/>
  <c r="Z55" i="1"/>
  <c r="Y591" i="1"/>
  <c r="Z466" i="1"/>
  <c r="Z547" i="1"/>
  <c r="Z517" i="1"/>
  <c r="Z408" i="1"/>
  <c r="Z282" i="1"/>
  <c r="Z273" i="1"/>
  <c r="Z238" i="1"/>
  <c r="Z128" i="1"/>
  <c r="Z77" i="1"/>
  <c r="Z421" i="1"/>
  <c r="Z565" i="1"/>
  <c r="Z442" i="1"/>
  <c r="Z385" i="1"/>
  <c r="Z359" i="1"/>
  <c r="Z353" i="1"/>
  <c r="Y595" i="1"/>
  <c r="Z596" i="1" l="1"/>
</calcChain>
</file>

<file path=xl/sharedStrings.xml><?xml version="1.0" encoding="utf-8"?>
<sst xmlns="http://schemas.openxmlformats.org/spreadsheetml/2006/main" count="2733" uniqueCount="968">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</sst>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967</v>
      </c>
      <c r="I5" s="947"/>
      <c r="J5" s="947"/>
      <c r="K5" s="947"/>
      <c r="L5" s="947"/>
      <c r="M5" s="750"/>
      <c r="N5" s="58"/>
      <c r="P5" s="24" t="s">
        <v>10</v>
      </c>
      <c r="Q5" s="1026">
        <v>45764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Четверг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1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 t="s">
        <v>19</v>
      </c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20</v>
      </c>
      <c r="Q8" s="789">
        <v>0.54166666666666663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21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22</v>
      </c>
      <c r="Q10" s="865"/>
      <c r="R10" s="866"/>
      <c r="U10" s="24" t="s">
        <v>23</v>
      </c>
      <c r="V10" s="686" t="s">
        <v>24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3"/>
      <c r="R11" s="774"/>
      <c r="U11" s="24" t="s">
        <v>27</v>
      </c>
      <c r="V11" s="970" t="s">
        <v>28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29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30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31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32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33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34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35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36</v>
      </c>
      <c r="B17" s="713" t="s">
        <v>37</v>
      </c>
      <c r="C17" s="825" t="s">
        <v>38</v>
      </c>
      <c r="D17" s="713" t="s">
        <v>39</v>
      </c>
      <c r="E17" s="783"/>
      <c r="F17" s="713" t="s">
        <v>40</v>
      </c>
      <c r="G17" s="713" t="s">
        <v>41</v>
      </c>
      <c r="H17" s="713" t="s">
        <v>42</v>
      </c>
      <c r="I17" s="713" t="s">
        <v>43</v>
      </c>
      <c r="J17" s="713" t="s">
        <v>44</v>
      </c>
      <c r="K17" s="713" t="s">
        <v>45</v>
      </c>
      <c r="L17" s="713" t="s">
        <v>46</v>
      </c>
      <c r="M17" s="713" t="s">
        <v>47</v>
      </c>
      <c r="N17" s="713" t="s">
        <v>48</v>
      </c>
      <c r="O17" s="713" t="s">
        <v>49</v>
      </c>
      <c r="P17" s="713" t="s">
        <v>50</v>
      </c>
      <c r="Q17" s="782"/>
      <c r="R17" s="782"/>
      <c r="S17" s="782"/>
      <c r="T17" s="783"/>
      <c r="U17" s="1039" t="s">
        <v>51</v>
      </c>
      <c r="V17" s="820"/>
      <c r="W17" s="713" t="s">
        <v>52</v>
      </c>
      <c r="X17" s="713" t="s">
        <v>53</v>
      </c>
      <c r="Y17" s="1040" t="s">
        <v>54</v>
      </c>
      <c r="Z17" s="928" t="s">
        <v>55</v>
      </c>
      <c r="AA17" s="918" t="s">
        <v>56</v>
      </c>
      <c r="AB17" s="918" t="s">
        <v>57</v>
      </c>
      <c r="AC17" s="918" t="s">
        <v>58</v>
      </c>
      <c r="AD17" s="918" t="s">
        <v>59</v>
      </c>
      <c r="AE17" s="1003"/>
      <c r="AF17" s="1004"/>
      <c r="AG17" s="66"/>
      <c r="BD17" s="65" t="s">
        <v>60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61</v>
      </c>
      <c r="V18" s="67" t="s">
        <v>62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63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63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64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69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69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913" t="s">
        <v>76</v>
      </c>
      <c r="Q24" s="668"/>
      <c r="R24" s="668"/>
      <c r="S24" s="668"/>
      <c r="T24" s="669"/>
      <c r="U24" s="34"/>
      <c r="V24" s="34"/>
      <c r="W24" s="35" t="s">
        <v>69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5" t="s">
        <v>80</v>
      </c>
      <c r="Q25" s="668"/>
      <c r="R25" s="668"/>
      <c r="S25" s="668"/>
      <c r="T25" s="669"/>
      <c r="U25" s="34"/>
      <c r="V25" s="34"/>
      <c r="W25" s="35" t="s">
        <v>69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69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69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88</v>
      </c>
      <c r="Q28" s="683"/>
      <c r="R28" s="683"/>
      <c r="S28" s="683"/>
      <c r="T28" s="683"/>
      <c r="U28" s="683"/>
      <c r="V28" s="684"/>
      <c r="W28" s="37" t="s">
        <v>89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88</v>
      </c>
      <c r="Q29" s="683"/>
      <c r="R29" s="683"/>
      <c r="S29" s="683"/>
      <c r="T29" s="683"/>
      <c r="U29" s="683"/>
      <c r="V29" s="684"/>
      <c r="W29" s="37" t="s">
        <v>69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9" t="s">
        <v>90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69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88</v>
      </c>
      <c r="Q32" s="683"/>
      <c r="R32" s="683"/>
      <c r="S32" s="683"/>
      <c r="T32" s="683"/>
      <c r="U32" s="683"/>
      <c r="V32" s="684"/>
      <c r="W32" s="37" t="s">
        <v>89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88</v>
      </c>
      <c r="Q33" s="683"/>
      <c r="R33" s="683"/>
      <c r="S33" s="683"/>
      <c r="T33" s="683"/>
      <c r="U33" s="683"/>
      <c r="V33" s="684"/>
      <c r="W33" s="37" t="s">
        <v>69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677" t="s">
        <v>96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97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98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69</v>
      </c>
      <c r="X37" s="663">
        <v>30</v>
      </c>
      <c r="Y37" s="664">
        <f>IFERROR(IF(X37="",0,CEILING((X37/$H37),1)*$H37),"")</f>
        <v>32.400000000000006</v>
      </c>
      <c r="Z37" s="36">
        <f>IFERROR(IF(Y37=0,"",ROUNDUP(Y37/H37,0)*0.01898),"")</f>
        <v>5.6940000000000004E-2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31.208333333333329</v>
      </c>
      <c r="BN37" s="64">
        <f>IFERROR(Y37*I37/H37,"0")</f>
        <v>33.705000000000005</v>
      </c>
      <c r="BO37" s="64">
        <f>IFERROR(1/J37*(X37/H37),"0")</f>
        <v>4.3402777777777776E-2</v>
      </c>
      <c r="BP37" s="64">
        <f>IFERROR(1/J37*(Y37/H37),"0")</f>
        <v>4.6875000000000007E-2</v>
      </c>
    </row>
    <row r="38" spans="1:68" ht="27" hidden="1" customHeight="1" x14ac:dyDescent="0.25">
      <c r="A38" s="54" t="s">
        <v>104</v>
      </c>
      <c r="B38" s="54" t="s">
        <v>105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69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69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69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88</v>
      </c>
      <c r="Q41" s="683"/>
      <c r="R41" s="683"/>
      <c r="S41" s="683"/>
      <c r="T41" s="683"/>
      <c r="U41" s="683"/>
      <c r="V41" s="684"/>
      <c r="W41" s="37" t="s">
        <v>89</v>
      </c>
      <c r="X41" s="665">
        <f>IFERROR(X37/H37,"0")+IFERROR(X38/H38,"0")+IFERROR(X39/H39,"0")+IFERROR(X40/H40,"0")</f>
        <v>2.7777777777777777</v>
      </c>
      <c r="Y41" s="665">
        <f>IFERROR(Y37/H37,"0")+IFERROR(Y38/H38,"0")+IFERROR(Y39/H39,"0")+IFERROR(Y40/H40,"0")</f>
        <v>3.0000000000000004</v>
      </c>
      <c r="Z41" s="665">
        <f>IFERROR(IF(Z37="",0,Z37),"0")+IFERROR(IF(Z38="",0,Z38),"0")+IFERROR(IF(Z39="",0,Z39),"0")+IFERROR(IF(Z40="",0,Z40),"0")</f>
        <v>5.6940000000000004E-2</v>
      </c>
      <c r="AA41" s="666"/>
      <c r="AB41" s="666"/>
      <c r="AC41" s="666"/>
    </row>
    <row r="42" spans="1:68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88</v>
      </c>
      <c r="Q42" s="683"/>
      <c r="R42" s="683"/>
      <c r="S42" s="683"/>
      <c r="T42" s="683"/>
      <c r="U42" s="683"/>
      <c r="V42" s="684"/>
      <c r="W42" s="37" t="s">
        <v>69</v>
      </c>
      <c r="X42" s="665">
        <f>IFERROR(SUM(X37:X40),"0")</f>
        <v>30</v>
      </c>
      <c r="Y42" s="665">
        <f>IFERROR(SUM(Y37:Y40),"0")</f>
        <v>32.400000000000006</v>
      </c>
      <c r="Z42" s="37"/>
      <c r="AA42" s="666"/>
      <c r="AB42" s="666"/>
      <c r="AC42" s="666"/>
    </row>
    <row r="43" spans="1:68" ht="14.25" hidden="1" customHeight="1" x14ac:dyDescent="0.25">
      <c r="A43" s="679" t="s">
        <v>64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69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88</v>
      </c>
      <c r="Q45" s="683"/>
      <c r="R45" s="683"/>
      <c r="S45" s="683"/>
      <c r="T45" s="683"/>
      <c r="U45" s="683"/>
      <c r="V45" s="684"/>
      <c r="W45" s="37" t="s">
        <v>89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88</v>
      </c>
      <c r="Q46" s="683"/>
      <c r="R46" s="683"/>
      <c r="S46" s="683"/>
      <c r="T46" s="683"/>
      <c r="U46" s="683"/>
      <c r="V46" s="684"/>
      <c r="W46" s="37" t="s">
        <v>69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118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98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69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69</v>
      </c>
      <c r="X50" s="663">
        <v>200</v>
      </c>
      <c r="Y50" s="664">
        <f t="shared" si="6"/>
        <v>205.20000000000002</v>
      </c>
      <c r="Z50" s="36">
        <f>IFERROR(IF(Y50=0,"",ROUNDUP(Y50/H50,0)*0.01898),"")</f>
        <v>0.36062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208.05555555555554</v>
      </c>
      <c r="BN50" s="64">
        <f t="shared" si="8"/>
        <v>213.46499999999997</v>
      </c>
      <c r="BO50" s="64">
        <f t="shared" si="9"/>
        <v>0.28935185185185186</v>
      </c>
      <c r="BP50" s="64">
        <f t="shared" si="10"/>
        <v>0.296875</v>
      </c>
    </row>
    <row r="51" spans="1:68" ht="27" hidden="1" customHeight="1" x14ac:dyDescent="0.25">
      <c r="A51" s="54" t="s">
        <v>127</v>
      </c>
      <c r="B51" s="54" t="s">
        <v>128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69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130</v>
      </c>
      <c r="B52" s="54" t="s">
        <v>131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69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132</v>
      </c>
      <c r="B53" s="54" t="s">
        <v>133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69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69</v>
      </c>
      <c r="X54" s="663">
        <v>13.5</v>
      </c>
      <c r="Y54" s="664">
        <f t="shared" si="6"/>
        <v>13.5</v>
      </c>
      <c r="Z54" s="36">
        <f>IFERROR(IF(Y54=0,"",ROUNDUP(Y54/H54,0)*0.00902),"")</f>
        <v>2.7060000000000001E-2</v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14.13</v>
      </c>
      <c r="BN54" s="64">
        <f t="shared" si="8"/>
        <v>14.13</v>
      </c>
      <c r="BO54" s="64">
        <f t="shared" si="9"/>
        <v>2.2727272727272728E-2</v>
      </c>
      <c r="BP54" s="64">
        <f t="shared" si="10"/>
        <v>2.2727272727272728E-2</v>
      </c>
    </row>
    <row r="55" spans="1:68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88</v>
      </c>
      <c r="Q55" s="683"/>
      <c r="R55" s="683"/>
      <c r="S55" s="683"/>
      <c r="T55" s="683"/>
      <c r="U55" s="683"/>
      <c r="V55" s="684"/>
      <c r="W55" s="37" t="s">
        <v>89</v>
      </c>
      <c r="X55" s="665">
        <f>IFERROR(X49/H49,"0")+IFERROR(X50/H50,"0")+IFERROR(X51/H51,"0")+IFERROR(X52/H52,"0")+IFERROR(X53/H53,"0")+IFERROR(X54/H54,"0")</f>
        <v>21.518518518518519</v>
      </c>
      <c r="Y55" s="665">
        <f>IFERROR(Y49/H49,"0")+IFERROR(Y50/H50,"0")+IFERROR(Y51/H51,"0")+IFERROR(Y52/H52,"0")+IFERROR(Y53/H53,"0")+IFERROR(Y54/H54,"0")</f>
        <v>22</v>
      </c>
      <c r="Z55" s="665">
        <f>IFERROR(IF(Z49="",0,Z49),"0")+IFERROR(IF(Z50="",0,Z50),"0")+IFERROR(IF(Z51="",0,Z51),"0")+IFERROR(IF(Z52="",0,Z52),"0")+IFERROR(IF(Z53="",0,Z53),"0")+IFERROR(IF(Z54="",0,Z54),"0")</f>
        <v>0.38768000000000002</v>
      </c>
      <c r="AA55" s="666"/>
      <c r="AB55" s="666"/>
      <c r="AC55" s="666"/>
    </row>
    <row r="56" spans="1:68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88</v>
      </c>
      <c r="Q56" s="683"/>
      <c r="R56" s="683"/>
      <c r="S56" s="683"/>
      <c r="T56" s="683"/>
      <c r="U56" s="683"/>
      <c r="V56" s="684"/>
      <c r="W56" s="37" t="s">
        <v>69</v>
      </c>
      <c r="X56" s="665">
        <f>IFERROR(SUM(X49:X54),"0")</f>
        <v>213.5</v>
      </c>
      <c r="Y56" s="665">
        <f>IFERROR(SUM(Y49:Y54),"0")</f>
        <v>218.70000000000002</v>
      </c>
      <c r="Z56" s="37"/>
      <c r="AA56" s="666"/>
      <c r="AB56" s="666"/>
      <c r="AC56" s="666"/>
    </row>
    <row r="57" spans="1:68" ht="14.25" hidden="1" customHeight="1" x14ac:dyDescent="0.25">
      <c r="A57" s="679" t="s">
        <v>138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69</v>
      </c>
      <c r="X58" s="663">
        <v>20</v>
      </c>
      <c r="Y58" s="664">
        <f>IFERROR(IF(X58="",0,CEILING((X58/$H58),1)*$H58),"")</f>
        <v>21.6</v>
      </c>
      <c r="Z58" s="36">
        <f>IFERROR(IF(Y58=0,"",ROUNDUP(Y58/H58,0)*0.01898),"")</f>
        <v>3.7960000000000001E-2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20.805555555555554</v>
      </c>
      <c r="BN58" s="64">
        <f>IFERROR(Y58*I58/H58,"0")</f>
        <v>22.47</v>
      </c>
      <c r="BO58" s="64">
        <f>IFERROR(1/J58*(X58/H58),"0")</f>
        <v>2.8935185185185182E-2</v>
      </c>
      <c r="BP58" s="64">
        <f>IFERROR(1/J58*(Y58/H58),"0")</f>
        <v>3.125E-2</v>
      </c>
    </row>
    <row r="59" spans="1:68" ht="27" hidden="1" customHeight="1" x14ac:dyDescent="0.25">
      <c r="A59" s="54" t="s">
        <v>142</v>
      </c>
      <c r="B59" s="54" t="s">
        <v>143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69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145</v>
      </c>
      <c r="B60" s="54" t="s">
        <v>146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69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147</v>
      </c>
      <c r="B61" s="54" t="s">
        <v>148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69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88</v>
      </c>
      <c r="Q62" s="683"/>
      <c r="R62" s="683"/>
      <c r="S62" s="683"/>
      <c r="T62" s="683"/>
      <c r="U62" s="683"/>
      <c r="V62" s="684"/>
      <c r="W62" s="37" t="s">
        <v>89</v>
      </c>
      <c r="X62" s="665">
        <f>IFERROR(X58/H58,"0")+IFERROR(X59/H59,"0")+IFERROR(X60/H60,"0")+IFERROR(X61/H61,"0")</f>
        <v>1.8518518518518516</v>
      </c>
      <c r="Y62" s="665">
        <f>IFERROR(Y58/H58,"0")+IFERROR(Y59/H59,"0")+IFERROR(Y60/H60,"0")+IFERROR(Y61/H61,"0")</f>
        <v>2</v>
      </c>
      <c r="Z62" s="665">
        <f>IFERROR(IF(Z58="",0,Z58),"0")+IFERROR(IF(Z59="",0,Z59),"0")+IFERROR(IF(Z60="",0,Z60),"0")+IFERROR(IF(Z61="",0,Z61),"0")</f>
        <v>3.7960000000000001E-2</v>
      </c>
      <c r="AA62" s="666"/>
      <c r="AB62" s="666"/>
      <c r="AC62" s="666"/>
    </row>
    <row r="63" spans="1:68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88</v>
      </c>
      <c r="Q63" s="683"/>
      <c r="R63" s="683"/>
      <c r="S63" s="683"/>
      <c r="T63" s="683"/>
      <c r="U63" s="683"/>
      <c r="V63" s="684"/>
      <c r="W63" s="37" t="s">
        <v>69</v>
      </c>
      <c r="X63" s="665">
        <f>IFERROR(SUM(X58:X61),"0")</f>
        <v>20</v>
      </c>
      <c r="Y63" s="665">
        <f>IFERROR(SUM(Y58:Y61),"0")</f>
        <v>21.6</v>
      </c>
      <c r="Z63" s="37"/>
      <c r="AA63" s="666"/>
      <c r="AB63" s="666"/>
      <c r="AC63" s="666"/>
    </row>
    <row r="64" spans="1:68" ht="14.25" hidden="1" customHeight="1" x14ac:dyDescent="0.25">
      <c r="A64" s="679" t="s">
        <v>149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150</v>
      </c>
      <c r="B65" s="54" t="s">
        <v>151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69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154</v>
      </c>
      <c r="B66" s="54" t="s">
        <v>155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69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157</v>
      </c>
      <c r="B67" s="54" t="s">
        <v>158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69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88</v>
      </c>
      <c r="Q68" s="683"/>
      <c r="R68" s="683"/>
      <c r="S68" s="683"/>
      <c r="T68" s="683"/>
      <c r="U68" s="683"/>
      <c r="V68" s="684"/>
      <c r="W68" s="37" t="s">
        <v>89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88</v>
      </c>
      <c r="Q69" s="683"/>
      <c r="R69" s="683"/>
      <c r="S69" s="683"/>
      <c r="T69" s="683"/>
      <c r="U69" s="683"/>
      <c r="V69" s="684"/>
      <c r="W69" s="37" t="s">
        <v>69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9" t="s">
        <v>64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160</v>
      </c>
      <c r="B71" s="54" t="s">
        <v>161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69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163</v>
      </c>
      <c r="B72" s="54" t="s">
        <v>164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69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166</v>
      </c>
      <c r="B73" s="54" t="s">
        <v>167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69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169</v>
      </c>
      <c r="B74" s="54" t="s">
        <v>170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69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171</v>
      </c>
      <c r="B75" s="54" t="s">
        <v>172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69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173</v>
      </c>
      <c r="B76" s="54" t="s">
        <v>174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69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88</v>
      </c>
      <c r="Q77" s="683"/>
      <c r="R77" s="683"/>
      <c r="S77" s="683"/>
      <c r="T77" s="683"/>
      <c r="U77" s="683"/>
      <c r="V77" s="684"/>
      <c r="W77" s="37" t="s">
        <v>89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88</v>
      </c>
      <c r="Q78" s="683"/>
      <c r="R78" s="683"/>
      <c r="S78" s="683"/>
      <c r="T78" s="683"/>
      <c r="U78" s="683"/>
      <c r="V78" s="684"/>
      <c r="W78" s="37" t="s">
        <v>69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79" t="s">
        <v>175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hidden="1" customHeight="1" x14ac:dyDescent="0.25">
      <c r="A80" s="54" t="s">
        <v>176</v>
      </c>
      <c r="B80" s="54" t="s">
        <v>177</v>
      </c>
      <c r="C80" s="31">
        <v>4301060366</v>
      </c>
      <c r="D80" s="675">
        <v>4680115881532</v>
      </c>
      <c r="E80" s="676"/>
      <c r="F80" s="662">
        <v>1.3</v>
      </c>
      <c r="G80" s="32">
        <v>6</v>
      </c>
      <c r="H80" s="662">
        <v>7.8</v>
      </c>
      <c r="I80" s="662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8"/>
      <c r="R80" s="668"/>
      <c r="S80" s="668"/>
      <c r="T80" s="669"/>
      <c r="U80" s="34"/>
      <c r="V80" s="34"/>
      <c r="W80" s="35" t="s">
        <v>69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176</v>
      </c>
      <c r="B81" s="54" t="s">
        <v>179</v>
      </c>
      <c r="C81" s="31">
        <v>4301060371</v>
      </c>
      <c r="D81" s="675">
        <v>4680115881532</v>
      </c>
      <c r="E81" s="676"/>
      <c r="F81" s="662">
        <v>1.4</v>
      </c>
      <c r="G81" s="32">
        <v>6</v>
      </c>
      <c r="H81" s="662">
        <v>8.4</v>
      </c>
      <c r="I81" s="662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2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68"/>
      <c r="R81" s="668"/>
      <c r="S81" s="668"/>
      <c r="T81" s="669"/>
      <c r="U81" s="34"/>
      <c r="V81" s="34"/>
      <c r="W81" s="35" t="s">
        <v>69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180</v>
      </c>
      <c r="B82" s="54" t="s">
        <v>181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69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88</v>
      </c>
      <c r="Q83" s="683"/>
      <c r="R83" s="683"/>
      <c r="S83" s="683"/>
      <c r="T83" s="683"/>
      <c r="U83" s="683"/>
      <c r="V83" s="684"/>
      <c r="W83" s="37" t="s">
        <v>89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hidden="1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88</v>
      </c>
      <c r="Q84" s="683"/>
      <c r="R84" s="683"/>
      <c r="S84" s="683"/>
      <c r="T84" s="683"/>
      <c r="U84" s="683"/>
      <c r="V84" s="684"/>
      <c r="W84" s="37" t="s">
        <v>69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hidden="1" customHeight="1" x14ac:dyDescent="0.25">
      <c r="A85" s="716" t="s">
        <v>183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98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hidden="1" customHeight="1" x14ac:dyDescent="0.25">
      <c r="A87" s="54" t="s">
        <v>184</v>
      </c>
      <c r="B87" s="54" t="s">
        <v>185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69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187</v>
      </c>
      <c r="B88" s="54" t="s">
        <v>188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69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189</v>
      </c>
      <c r="B89" s="54" t="s">
        <v>190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69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88</v>
      </c>
      <c r="Q90" s="683"/>
      <c r="R90" s="683"/>
      <c r="S90" s="683"/>
      <c r="T90" s="683"/>
      <c r="U90" s="683"/>
      <c r="V90" s="684"/>
      <c r="W90" s="37" t="s">
        <v>89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hidden="1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88</v>
      </c>
      <c r="Q91" s="683"/>
      <c r="R91" s="683"/>
      <c r="S91" s="683"/>
      <c r="T91" s="683"/>
      <c r="U91" s="683"/>
      <c r="V91" s="684"/>
      <c r="W91" s="37" t="s">
        <v>69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hidden="1" customHeight="1" x14ac:dyDescent="0.25">
      <c r="A92" s="679" t="s">
        <v>64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27" hidden="1" customHeight="1" x14ac:dyDescent="0.25">
      <c r="A93" s="54" t="s">
        <v>192</v>
      </c>
      <c r="B93" s="54" t="s">
        <v>193</v>
      </c>
      <c r="C93" s="31">
        <v>4301051546</v>
      </c>
      <c r="D93" s="675">
        <v>4607091386967</v>
      </c>
      <c r="E93" s="676"/>
      <c r="F93" s="662">
        <v>1.4</v>
      </c>
      <c r="G93" s="32">
        <v>6</v>
      </c>
      <c r="H93" s="662">
        <v>8.4</v>
      </c>
      <c r="I93" s="662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102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68"/>
      <c r="R93" s="668"/>
      <c r="S93" s="668"/>
      <c r="T93" s="669"/>
      <c r="U93" s="34"/>
      <c r="V93" s="34"/>
      <c r="W93" s="35" t="s">
        <v>69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192</v>
      </c>
      <c r="B94" s="54" t="s">
        <v>195</v>
      </c>
      <c r="C94" s="31">
        <v>4301051437</v>
      </c>
      <c r="D94" s="675">
        <v>4607091386967</v>
      </c>
      <c r="E94" s="676"/>
      <c r="F94" s="662">
        <v>1.35</v>
      </c>
      <c r="G94" s="32">
        <v>6</v>
      </c>
      <c r="H94" s="662">
        <v>8.1</v>
      </c>
      <c r="I94" s="662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4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68"/>
      <c r="R94" s="668"/>
      <c r="S94" s="668"/>
      <c r="T94" s="669"/>
      <c r="U94" s="34"/>
      <c r="V94" s="34"/>
      <c r="W94" s="35" t="s">
        <v>69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192</v>
      </c>
      <c r="B95" s="54" t="s">
        <v>196</v>
      </c>
      <c r="C95" s="31">
        <v>4301051712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19" t="s">
        <v>197</v>
      </c>
      <c r="Q95" s="668"/>
      <c r="R95" s="668"/>
      <c r="S95" s="668"/>
      <c r="T95" s="669"/>
      <c r="U95" s="34"/>
      <c r="V95" s="34"/>
      <c r="W95" s="35" t="s">
        <v>69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199</v>
      </c>
      <c r="B96" s="54" t="s">
        <v>200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849" t="s">
        <v>201</v>
      </c>
      <c r="Q96" s="668"/>
      <c r="R96" s="668"/>
      <c r="S96" s="668"/>
      <c r="T96" s="669"/>
      <c r="U96" s="34"/>
      <c r="V96" s="34"/>
      <c r="W96" s="35" t="s">
        <v>69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hidden="1" customHeight="1" x14ac:dyDescent="0.25">
      <c r="A97" s="54" t="s">
        <v>203</v>
      </c>
      <c r="B97" s="54" t="s">
        <v>204</v>
      </c>
      <c r="C97" s="31">
        <v>4301052039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67" t="s">
        <v>205</v>
      </c>
      <c r="Q97" s="668"/>
      <c r="R97" s="668"/>
      <c r="S97" s="668"/>
      <c r="T97" s="669"/>
      <c r="U97" s="34"/>
      <c r="V97" s="34"/>
      <c r="W97" s="35" t="s">
        <v>69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194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hidden="1" customHeight="1" x14ac:dyDescent="0.25">
      <c r="A98" s="54" t="s">
        <v>203</v>
      </c>
      <c r="B98" s="54" t="s">
        <v>206</v>
      </c>
      <c r="C98" s="31">
        <v>4301051718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67</v>
      </c>
      <c r="L98" s="32"/>
      <c r="M98" s="33" t="s">
        <v>134</v>
      </c>
      <c r="N98" s="33"/>
      <c r="O98" s="32">
        <v>45</v>
      </c>
      <c r="P98" s="948" t="s">
        <v>207</v>
      </c>
      <c r="Q98" s="668"/>
      <c r="R98" s="668"/>
      <c r="S98" s="668"/>
      <c r="T98" s="669"/>
      <c r="U98" s="34"/>
      <c r="V98" s="34"/>
      <c r="W98" s="35" t="s">
        <v>69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198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208</v>
      </c>
      <c r="B99" s="54" t="s">
        <v>209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69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211</v>
      </c>
      <c r="B100" s="54" t="s">
        <v>212</v>
      </c>
      <c r="C100" s="31">
        <v>4301051439</v>
      </c>
      <c r="D100" s="675">
        <v>4680115880214</v>
      </c>
      <c r="E100" s="676"/>
      <c r="F100" s="662">
        <v>0.45</v>
      </c>
      <c r="G100" s="32">
        <v>6</v>
      </c>
      <c r="H100" s="662">
        <v>2.7</v>
      </c>
      <c r="I100" s="662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0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68"/>
      <c r="R100" s="668"/>
      <c r="S100" s="668"/>
      <c r="T100" s="669"/>
      <c r="U100" s="34"/>
      <c r="V100" s="34"/>
      <c r="W100" s="35" t="s">
        <v>69</v>
      </c>
      <c r="X100" s="663">
        <v>0</v>
      </c>
      <c r="Y100" s="664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211</v>
      </c>
      <c r="B101" s="54" t="s">
        <v>213</v>
      </c>
      <c r="C101" s="31">
        <v>4301051687</v>
      </c>
      <c r="D101" s="675">
        <v>4680115880214</v>
      </c>
      <c r="E101" s="676"/>
      <c r="F101" s="662">
        <v>0.45</v>
      </c>
      <c r="G101" s="32">
        <v>4</v>
      </c>
      <c r="H101" s="662">
        <v>1.8</v>
      </c>
      <c r="I101" s="662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7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68"/>
      <c r="R101" s="668"/>
      <c r="S101" s="668"/>
      <c r="T101" s="669"/>
      <c r="U101" s="34"/>
      <c r="V101" s="34"/>
      <c r="W101" s="35" t="s">
        <v>69</v>
      </c>
      <c r="X101" s="663">
        <v>0</v>
      </c>
      <c r="Y101" s="664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88</v>
      </c>
      <c r="Q102" s="683"/>
      <c r="R102" s="683"/>
      <c r="S102" s="683"/>
      <c r="T102" s="683"/>
      <c r="U102" s="683"/>
      <c r="V102" s="684"/>
      <c r="W102" s="37" t="s">
        <v>89</v>
      </c>
      <c r="X102" s="665">
        <f>IFERROR(X93/H93,"0")+IFERROR(X94/H94,"0")+IFERROR(X95/H95,"0")+IFERROR(X96/H96,"0")+IFERROR(X97/H97,"0")+IFERROR(X98/H98,"0")+IFERROR(X99/H99,"0")+IFERROR(X100/H100,"0")+IFERROR(X101/H101,"0")</f>
        <v>0</v>
      </c>
      <c r="Y102" s="665">
        <f>IFERROR(Y93/H93,"0")+IFERROR(Y94/H94,"0")+IFERROR(Y95/H95,"0")+IFERROR(Y96/H96,"0")+IFERROR(Y97/H97,"0")+IFERROR(Y98/H98,"0")+IFERROR(Y99/H99,"0")+IFERROR(Y100/H100,"0")+IFERROR(Y101/H101,"0")</f>
        <v>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6"/>
      <c r="AB102" s="666"/>
      <c r="AC102" s="666"/>
    </row>
    <row r="103" spans="1:68" hidden="1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88</v>
      </c>
      <c r="Q103" s="683"/>
      <c r="R103" s="683"/>
      <c r="S103" s="683"/>
      <c r="T103" s="683"/>
      <c r="U103" s="683"/>
      <c r="V103" s="684"/>
      <c r="W103" s="37" t="s">
        <v>69</v>
      </c>
      <c r="X103" s="665">
        <f>IFERROR(SUM(X93:X101),"0")</f>
        <v>0</v>
      </c>
      <c r="Y103" s="665">
        <f>IFERROR(SUM(Y93:Y101),"0")</f>
        <v>0</v>
      </c>
      <c r="Z103" s="37"/>
      <c r="AA103" s="666"/>
      <c r="AB103" s="666"/>
      <c r="AC103" s="666"/>
    </row>
    <row r="104" spans="1:68" ht="16.5" hidden="1" customHeight="1" x14ac:dyDescent="0.25">
      <c r="A104" s="716" t="s">
        <v>214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98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hidden="1" customHeight="1" x14ac:dyDescent="0.25">
      <c r="A106" s="54" t="s">
        <v>215</v>
      </c>
      <c r="B106" s="54" t="s">
        <v>216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69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218</v>
      </c>
      <c r="B107" s="54" t="s">
        <v>219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69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220</v>
      </c>
      <c r="B108" s="54" t="s">
        <v>221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69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222</v>
      </c>
      <c r="B109" s="54" t="s">
        <v>223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69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88</v>
      </c>
      <c r="Q110" s="683"/>
      <c r="R110" s="683"/>
      <c r="S110" s="683"/>
      <c r="T110" s="683"/>
      <c r="U110" s="683"/>
      <c r="V110" s="684"/>
      <c r="W110" s="37" t="s">
        <v>89</v>
      </c>
      <c r="X110" s="665">
        <f>IFERROR(X106/H106,"0")+IFERROR(X107/H107,"0")+IFERROR(X108/H108,"0")+IFERROR(X109/H109,"0")</f>
        <v>0</v>
      </c>
      <c r="Y110" s="665">
        <f>IFERROR(Y106/H106,"0")+IFERROR(Y107/H107,"0")+IFERROR(Y108/H108,"0")+IFERROR(Y109/H109,"0")</f>
        <v>0</v>
      </c>
      <c r="Z110" s="665">
        <f>IFERROR(IF(Z106="",0,Z106),"0")+IFERROR(IF(Z107="",0,Z107),"0")+IFERROR(IF(Z108="",0,Z108),"0")+IFERROR(IF(Z109="",0,Z109),"0")</f>
        <v>0</v>
      </c>
      <c r="AA110" s="666"/>
      <c r="AB110" s="666"/>
      <c r="AC110" s="666"/>
    </row>
    <row r="111" spans="1:68" hidden="1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88</v>
      </c>
      <c r="Q111" s="683"/>
      <c r="R111" s="683"/>
      <c r="S111" s="683"/>
      <c r="T111" s="683"/>
      <c r="U111" s="683"/>
      <c r="V111" s="684"/>
      <c r="W111" s="37" t="s">
        <v>69</v>
      </c>
      <c r="X111" s="665">
        <f>IFERROR(SUM(X106:X109),"0")</f>
        <v>0</v>
      </c>
      <c r="Y111" s="665">
        <f>IFERROR(SUM(Y106:Y109),"0")</f>
        <v>0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138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hidden="1" customHeight="1" x14ac:dyDescent="0.25">
      <c r="A113" s="54" t="s">
        <v>224</v>
      </c>
      <c r="B113" s="54" t="s">
        <v>225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69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227</v>
      </c>
      <c r="B114" s="54" t="s">
        <v>228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69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229</v>
      </c>
      <c r="B115" s="54" t="s">
        <v>230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69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88</v>
      </c>
      <c r="Q116" s="683"/>
      <c r="R116" s="683"/>
      <c r="S116" s="683"/>
      <c r="T116" s="683"/>
      <c r="U116" s="683"/>
      <c r="V116" s="684"/>
      <c r="W116" s="37" t="s">
        <v>89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88</v>
      </c>
      <c r="Q117" s="683"/>
      <c r="R117" s="683"/>
      <c r="S117" s="683"/>
      <c r="T117" s="683"/>
      <c r="U117" s="683"/>
      <c r="V117" s="684"/>
      <c r="W117" s="37" t="s">
        <v>69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79" t="s">
        <v>64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37.5" hidden="1" customHeight="1" x14ac:dyDescent="0.25">
      <c r="A119" s="54" t="s">
        <v>231</v>
      </c>
      <c r="B119" s="54" t="s">
        <v>232</v>
      </c>
      <c r="C119" s="31">
        <v>4301051360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791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68"/>
      <c r="R119" s="668"/>
      <c r="S119" s="668"/>
      <c r="T119" s="669"/>
      <c r="U119" s="34"/>
      <c r="V119" s="34"/>
      <c r="W119" s="35" t="s">
        <v>69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hidden="1" customHeight="1" x14ac:dyDescent="0.25">
      <c r="A120" s="54" t="s">
        <v>231</v>
      </c>
      <c r="B120" s="54" t="s">
        <v>234</v>
      </c>
      <c r="C120" s="31">
        <v>4301051724</v>
      </c>
      <c r="D120" s="675">
        <v>4607091385168</v>
      </c>
      <c r="E120" s="676"/>
      <c r="F120" s="662">
        <v>1.35</v>
      </c>
      <c r="G120" s="32">
        <v>6</v>
      </c>
      <c r="H120" s="662">
        <v>8.1</v>
      </c>
      <c r="I120" s="662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45" t="s">
        <v>235</v>
      </c>
      <c r="Q120" s="668"/>
      <c r="R120" s="668"/>
      <c r="S120" s="668"/>
      <c r="T120" s="669"/>
      <c r="U120" s="34"/>
      <c r="V120" s="34"/>
      <c r="W120" s="35" t="s">
        <v>69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231</v>
      </c>
      <c r="B121" s="54" t="s">
        <v>237</v>
      </c>
      <c r="C121" s="31">
        <v>4301051625</v>
      </c>
      <c r="D121" s="675">
        <v>4607091385168</v>
      </c>
      <c r="E121" s="676"/>
      <c r="F121" s="662">
        <v>1.4</v>
      </c>
      <c r="G121" s="32">
        <v>6</v>
      </c>
      <c r="H121" s="662">
        <v>8.4</v>
      </c>
      <c r="I121" s="662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16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68"/>
      <c r="R121" s="668"/>
      <c r="S121" s="668"/>
      <c r="T121" s="669"/>
      <c r="U121" s="34"/>
      <c r="V121" s="34"/>
      <c r="W121" s="35" t="s">
        <v>69</v>
      </c>
      <c r="X121" s="663">
        <v>15</v>
      </c>
      <c r="Y121" s="664">
        <f t="shared" si="21"/>
        <v>16.8</v>
      </c>
      <c r="Z121" s="36">
        <f>IFERROR(IF(Y121=0,"",ROUNDUP(Y121/H121,0)*0.01898),"")</f>
        <v>3.7960000000000001E-2</v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15.916071428571428</v>
      </c>
      <c r="BN121" s="64">
        <f t="shared" si="23"/>
        <v>17.826000000000001</v>
      </c>
      <c r="BO121" s="64">
        <f t="shared" si="24"/>
        <v>2.7901785714285712E-2</v>
      </c>
      <c r="BP121" s="64">
        <f t="shared" si="25"/>
        <v>3.125E-2</v>
      </c>
    </row>
    <row r="122" spans="1:68" ht="37.5" hidden="1" customHeight="1" x14ac:dyDescent="0.25">
      <c r="A122" s="54" t="s">
        <v>239</v>
      </c>
      <c r="B122" s="54" t="s">
        <v>240</v>
      </c>
      <c r="C122" s="31">
        <v>4301051362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5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68"/>
      <c r="R122" s="668"/>
      <c r="S122" s="668"/>
      <c r="T122" s="669"/>
      <c r="U122" s="34"/>
      <c r="V122" s="34"/>
      <c r="W122" s="35" t="s">
        <v>69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239</v>
      </c>
      <c r="B123" s="54" t="s">
        <v>241</v>
      </c>
      <c r="C123" s="31">
        <v>4301051730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21" t="s">
        <v>242</v>
      </c>
      <c r="Q123" s="668"/>
      <c r="R123" s="668"/>
      <c r="S123" s="668"/>
      <c r="T123" s="669"/>
      <c r="U123" s="34"/>
      <c r="V123" s="34"/>
      <c r="W123" s="35" t="s">
        <v>69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hidden="1" customHeight="1" x14ac:dyDescent="0.25">
      <c r="A124" s="54" t="s">
        <v>243</v>
      </c>
      <c r="B124" s="54" t="s">
        <v>244</v>
      </c>
      <c r="C124" s="31">
        <v>4301051358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1042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68"/>
      <c r="R124" s="668"/>
      <c r="S124" s="668"/>
      <c r="T124" s="669"/>
      <c r="U124" s="34"/>
      <c r="V124" s="34"/>
      <c r="W124" s="35" t="s">
        <v>69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27" hidden="1" customHeight="1" x14ac:dyDescent="0.25">
      <c r="A125" s="54" t="s">
        <v>243</v>
      </c>
      <c r="B125" s="54" t="s">
        <v>245</v>
      </c>
      <c r="C125" s="31">
        <v>4301051721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8" t="s">
        <v>246</v>
      </c>
      <c r="Q125" s="668"/>
      <c r="R125" s="668"/>
      <c r="S125" s="668"/>
      <c r="T125" s="669"/>
      <c r="U125" s="34"/>
      <c r="V125" s="34"/>
      <c r="W125" s="35" t="s">
        <v>69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247</v>
      </c>
      <c r="B126" s="54" t="s">
        <v>248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69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250</v>
      </c>
      <c r="B127" s="54" t="s">
        <v>251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69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88</v>
      </c>
      <c r="Q128" s="683"/>
      <c r="R128" s="683"/>
      <c r="S128" s="683"/>
      <c r="T128" s="683"/>
      <c r="U128" s="683"/>
      <c r="V128" s="684"/>
      <c r="W128" s="37" t="s">
        <v>89</v>
      </c>
      <c r="X128" s="665">
        <f>IFERROR(X119/H119,"0")+IFERROR(X120/H120,"0")+IFERROR(X121/H121,"0")+IFERROR(X122/H122,"0")+IFERROR(X123/H123,"0")+IFERROR(X124/H124,"0")+IFERROR(X125/H125,"0")+IFERROR(X126/H126,"0")+IFERROR(X127/H127,"0")</f>
        <v>1.7857142857142856</v>
      </c>
      <c r="Y128" s="665">
        <f>IFERROR(Y119/H119,"0")+IFERROR(Y120/H120,"0")+IFERROR(Y121/H121,"0")+IFERROR(Y122/H122,"0")+IFERROR(Y123/H123,"0")+IFERROR(Y124/H124,"0")+IFERROR(Y125/H125,"0")+IFERROR(Y126/H126,"0")+IFERROR(Y127/H127,"0")</f>
        <v>2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3.7960000000000001E-2</v>
      </c>
      <c r="AA128" s="666"/>
      <c r="AB128" s="666"/>
      <c r="AC128" s="666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88</v>
      </c>
      <c r="Q129" s="683"/>
      <c r="R129" s="683"/>
      <c r="S129" s="683"/>
      <c r="T129" s="683"/>
      <c r="U129" s="683"/>
      <c r="V129" s="684"/>
      <c r="W129" s="37" t="s">
        <v>69</v>
      </c>
      <c r="X129" s="665">
        <f>IFERROR(SUM(X119:X127),"0")</f>
        <v>15</v>
      </c>
      <c r="Y129" s="665">
        <f>IFERROR(SUM(Y119:Y127),"0")</f>
        <v>16.8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175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253</v>
      </c>
      <c r="B131" s="54" t="s">
        <v>254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69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256</v>
      </c>
      <c r="B132" s="54" t="s">
        <v>257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69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88</v>
      </c>
      <c r="Q133" s="683"/>
      <c r="R133" s="683"/>
      <c r="S133" s="683"/>
      <c r="T133" s="683"/>
      <c r="U133" s="683"/>
      <c r="V133" s="684"/>
      <c r="W133" s="37" t="s">
        <v>89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88</v>
      </c>
      <c r="Q134" s="683"/>
      <c r="R134" s="683"/>
      <c r="S134" s="683"/>
      <c r="T134" s="683"/>
      <c r="U134" s="683"/>
      <c r="V134" s="684"/>
      <c r="W134" s="37" t="s">
        <v>69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16" t="s">
        <v>259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98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260</v>
      </c>
      <c r="B137" s="54" t="s">
        <v>261</v>
      </c>
      <c r="C137" s="31">
        <v>4301011564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8"/>
      <c r="R137" s="668"/>
      <c r="S137" s="668"/>
      <c r="T137" s="669"/>
      <c r="U137" s="34"/>
      <c r="V137" s="34"/>
      <c r="W137" s="35" t="s">
        <v>69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260</v>
      </c>
      <c r="B138" s="54" t="s">
        <v>263</v>
      </c>
      <c r="C138" s="31">
        <v>4301011562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8"/>
      <c r="R138" s="668"/>
      <c r="S138" s="668"/>
      <c r="T138" s="669"/>
      <c r="U138" s="34"/>
      <c r="V138" s="34"/>
      <c r="W138" s="35" t="s">
        <v>69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88</v>
      </c>
      <c r="Q139" s="683"/>
      <c r="R139" s="683"/>
      <c r="S139" s="683"/>
      <c r="T139" s="683"/>
      <c r="U139" s="683"/>
      <c r="V139" s="684"/>
      <c r="W139" s="37" t="s">
        <v>89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88</v>
      </c>
      <c r="Q140" s="683"/>
      <c r="R140" s="683"/>
      <c r="S140" s="683"/>
      <c r="T140" s="683"/>
      <c r="U140" s="683"/>
      <c r="V140" s="684"/>
      <c r="W140" s="37" t="s">
        <v>69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149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hidden="1" customHeight="1" x14ac:dyDescent="0.25">
      <c r="A142" s="54" t="s">
        <v>264</v>
      </c>
      <c r="B142" s="54" t="s">
        <v>265</v>
      </c>
      <c r="C142" s="31">
        <v>4301031234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69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264</v>
      </c>
      <c r="B143" s="54" t="s">
        <v>267</v>
      </c>
      <c r="C143" s="31">
        <v>4301031235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69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88</v>
      </c>
      <c r="Q144" s="683"/>
      <c r="R144" s="683"/>
      <c r="S144" s="683"/>
      <c r="T144" s="683"/>
      <c r="U144" s="683"/>
      <c r="V144" s="684"/>
      <c r="W144" s="37" t="s">
        <v>89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88</v>
      </c>
      <c r="Q145" s="683"/>
      <c r="R145" s="683"/>
      <c r="S145" s="683"/>
      <c r="T145" s="683"/>
      <c r="U145" s="683"/>
      <c r="V145" s="684"/>
      <c r="W145" s="37" t="s">
        <v>69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9" t="s">
        <v>64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268</v>
      </c>
      <c r="B147" s="54" t="s">
        <v>269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69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268</v>
      </c>
      <c r="B148" s="54" t="s">
        <v>270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69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88</v>
      </c>
      <c r="Q149" s="683"/>
      <c r="R149" s="683"/>
      <c r="S149" s="683"/>
      <c r="T149" s="683"/>
      <c r="U149" s="683"/>
      <c r="V149" s="684"/>
      <c r="W149" s="37" t="s">
        <v>89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88</v>
      </c>
      <c r="Q150" s="683"/>
      <c r="R150" s="683"/>
      <c r="S150" s="683"/>
      <c r="T150" s="683"/>
      <c r="U150" s="683"/>
      <c r="V150" s="684"/>
      <c r="W150" s="37" t="s">
        <v>69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16" t="s">
        <v>96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98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hidden="1" customHeight="1" x14ac:dyDescent="0.25">
      <c r="A153" s="54" t="s">
        <v>271</v>
      </c>
      <c r="B153" s="54" t="s">
        <v>272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69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88</v>
      </c>
      <c r="Q154" s="683"/>
      <c r="R154" s="683"/>
      <c r="S154" s="683"/>
      <c r="T154" s="683"/>
      <c r="U154" s="683"/>
      <c r="V154" s="684"/>
      <c r="W154" s="37" t="s">
        <v>89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88</v>
      </c>
      <c r="Q155" s="683"/>
      <c r="R155" s="683"/>
      <c r="S155" s="683"/>
      <c r="T155" s="683"/>
      <c r="U155" s="683"/>
      <c r="V155" s="684"/>
      <c r="W155" s="37" t="s">
        <v>69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149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274</v>
      </c>
      <c r="B157" s="54" t="s">
        <v>275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69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277</v>
      </c>
      <c r="B158" s="54" t="s">
        <v>278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69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280</v>
      </c>
      <c r="B159" s="54" t="s">
        <v>281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69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283</v>
      </c>
      <c r="B160" s="54" t="s">
        <v>284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69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88</v>
      </c>
      <c r="Q161" s="683"/>
      <c r="R161" s="683"/>
      <c r="S161" s="683"/>
      <c r="T161" s="683"/>
      <c r="U161" s="683"/>
      <c r="V161" s="684"/>
      <c r="W161" s="37" t="s">
        <v>89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88</v>
      </c>
      <c r="Q162" s="683"/>
      <c r="R162" s="683"/>
      <c r="S162" s="683"/>
      <c r="T162" s="683"/>
      <c r="U162" s="683"/>
      <c r="V162" s="684"/>
      <c r="W162" s="37" t="s">
        <v>69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64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285</v>
      </c>
      <c r="B164" s="54" t="s">
        <v>286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69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88</v>
      </c>
      <c r="Q165" s="683"/>
      <c r="R165" s="683"/>
      <c r="S165" s="683"/>
      <c r="T165" s="683"/>
      <c r="U165" s="683"/>
      <c r="V165" s="684"/>
      <c r="W165" s="37" t="s">
        <v>89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88</v>
      </c>
      <c r="Q166" s="683"/>
      <c r="R166" s="683"/>
      <c r="S166" s="683"/>
      <c r="T166" s="683"/>
      <c r="U166" s="683"/>
      <c r="V166" s="684"/>
      <c r="W166" s="37" t="s">
        <v>69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288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289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138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hidden="1" customHeight="1" x14ac:dyDescent="0.25">
      <c r="A170" s="54" t="s">
        <v>290</v>
      </c>
      <c r="B170" s="54" t="s">
        <v>291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69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88</v>
      </c>
      <c r="Q171" s="683"/>
      <c r="R171" s="683"/>
      <c r="S171" s="683"/>
      <c r="T171" s="683"/>
      <c r="U171" s="683"/>
      <c r="V171" s="684"/>
      <c r="W171" s="37" t="s">
        <v>89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88</v>
      </c>
      <c r="Q172" s="683"/>
      <c r="R172" s="683"/>
      <c r="S172" s="683"/>
      <c r="T172" s="683"/>
      <c r="U172" s="683"/>
      <c r="V172" s="684"/>
      <c r="W172" s="37" t="s">
        <v>69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149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hidden="1" customHeight="1" x14ac:dyDescent="0.25">
      <c r="A174" s="54" t="s">
        <v>293</v>
      </c>
      <c r="B174" s="54" t="s">
        <v>294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69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296</v>
      </c>
      <c r="B175" s="54" t="s">
        <v>297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69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299</v>
      </c>
      <c r="B176" s="54" t="s">
        <v>300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69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69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69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306</v>
      </c>
      <c r="B179" s="54" t="s">
        <v>307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90" t="s">
        <v>308</v>
      </c>
      <c r="Q179" s="668"/>
      <c r="R179" s="668"/>
      <c r="S179" s="668"/>
      <c r="T179" s="669"/>
      <c r="U179" s="34"/>
      <c r="V179" s="34"/>
      <c r="W179" s="35" t="s">
        <v>69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310</v>
      </c>
      <c r="B180" s="54" t="s">
        <v>311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69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312</v>
      </c>
      <c r="B181" s="54" t="s">
        <v>313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69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69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hidden="1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88</v>
      </c>
      <c r="Q183" s="683"/>
      <c r="R183" s="683"/>
      <c r="S183" s="683"/>
      <c r="T183" s="683"/>
      <c r="U183" s="683"/>
      <c r="V183" s="684"/>
      <c r="W183" s="37" t="s">
        <v>89</v>
      </c>
      <c r="X183" s="665">
        <f>IFERROR(X174/H174,"0")+IFERROR(X175/H175,"0")+IFERROR(X176/H176,"0")+IFERROR(X177/H177,"0")+IFERROR(X178/H178,"0")+IFERROR(X179/H179,"0")+IFERROR(X180/H180,"0")+IFERROR(X181/H181,"0")+IFERROR(X182/H182,"0")</f>
        <v>0</v>
      </c>
      <c r="Y183" s="665">
        <f>IFERROR(Y174/H174,"0")+IFERROR(Y175/H175,"0")+IFERROR(Y176/H176,"0")+IFERROR(Y177/H177,"0")+IFERROR(Y178/H178,"0")+IFERROR(Y179/H179,"0")+IFERROR(Y180/H180,"0")+IFERROR(Y181/H181,"0")+IFERROR(Y182/H182,"0")</f>
        <v>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6"/>
      <c r="AB183" s="666"/>
      <c r="AC183" s="666"/>
    </row>
    <row r="184" spans="1:68" hidden="1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88</v>
      </c>
      <c r="Q184" s="683"/>
      <c r="R184" s="683"/>
      <c r="S184" s="683"/>
      <c r="T184" s="683"/>
      <c r="U184" s="683"/>
      <c r="V184" s="684"/>
      <c r="W184" s="37" t="s">
        <v>69</v>
      </c>
      <c r="X184" s="665">
        <f>IFERROR(SUM(X174:X182),"0")</f>
        <v>0</v>
      </c>
      <c r="Y184" s="665">
        <f>IFERROR(SUM(Y174:Y182),"0")</f>
        <v>0</v>
      </c>
      <c r="Z184" s="37"/>
      <c r="AA184" s="666"/>
      <c r="AB184" s="666"/>
      <c r="AC184" s="666"/>
    </row>
    <row r="185" spans="1:68" ht="14.25" hidden="1" customHeight="1" x14ac:dyDescent="0.25">
      <c r="A185" s="679" t="s">
        <v>90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hidden="1" customHeight="1" x14ac:dyDescent="0.25">
      <c r="A186" s="54" t="s">
        <v>317</v>
      </c>
      <c r="B186" s="54" t="s">
        <v>318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11" t="s">
        <v>321</v>
      </c>
      <c r="Q186" s="668"/>
      <c r="R186" s="668"/>
      <c r="S186" s="668"/>
      <c r="T186" s="669"/>
      <c r="U186" s="34"/>
      <c r="V186" s="34"/>
      <c r="W186" s="35" t="s">
        <v>69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322</v>
      </c>
      <c r="AC186" s="241" t="s">
        <v>323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88</v>
      </c>
      <c r="Q187" s="683"/>
      <c r="R187" s="683"/>
      <c r="S187" s="683"/>
      <c r="T187" s="683"/>
      <c r="U187" s="683"/>
      <c r="V187" s="684"/>
      <c r="W187" s="37" t="s">
        <v>89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88</v>
      </c>
      <c r="Q188" s="683"/>
      <c r="R188" s="683"/>
      <c r="S188" s="683"/>
      <c r="T188" s="683"/>
      <c r="U188" s="683"/>
      <c r="V188" s="684"/>
      <c r="W188" s="37" t="s">
        <v>69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16" t="s">
        <v>324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98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325</v>
      </c>
      <c r="B191" s="54" t="s">
        <v>326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69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327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328</v>
      </c>
      <c r="B192" s="54" t="s">
        <v>329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69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327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88</v>
      </c>
      <c r="Q193" s="683"/>
      <c r="R193" s="683"/>
      <c r="S193" s="683"/>
      <c r="T193" s="683"/>
      <c r="U193" s="683"/>
      <c r="V193" s="684"/>
      <c r="W193" s="37" t="s">
        <v>89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88</v>
      </c>
      <c r="Q194" s="683"/>
      <c r="R194" s="683"/>
      <c r="S194" s="683"/>
      <c r="T194" s="683"/>
      <c r="U194" s="683"/>
      <c r="V194" s="684"/>
      <c r="W194" s="37" t="s">
        <v>69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138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330</v>
      </c>
      <c r="B196" s="54" t="s">
        <v>331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69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332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333</v>
      </c>
      <c r="B197" s="54" t="s">
        <v>334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69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332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88</v>
      </c>
      <c r="Q198" s="683"/>
      <c r="R198" s="683"/>
      <c r="S198" s="683"/>
      <c r="T198" s="683"/>
      <c r="U198" s="683"/>
      <c r="V198" s="684"/>
      <c r="W198" s="37" t="s">
        <v>89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88</v>
      </c>
      <c r="Q199" s="683"/>
      <c r="R199" s="683"/>
      <c r="S199" s="683"/>
      <c r="T199" s="683"/>
      <c r="U199" s="683"/>
      <c r="V199" s="684"/>
      <c r="W199" s="37" t="s">
        <v>69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149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hidden="1" customHeight="1" x14ac:dyDescent="0.25">
      <c r="A201" s="54" t="s">
        <v>335</v>
      </c>
      <c r="B201" s="54" t="s">
        <v>336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69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337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hidden="1" customHeight="1" x14ac:dyDescent="0.25">
      <c r="A202" s="54" t="s">
        <v>338</v>
      </c>
      <c r="B202" s="54" t="s">
        <v>339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69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340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341</v>
      </c>
      <c r="B203" s="54" t="s">
        <v>342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69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343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344</v>
      </c>
      <c r="B204" s="54" t="s">
        <v>345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69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346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347</v>
      </c>
      <c r="B205" s="54" t="s">
        <v>348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69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337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349</v>
      </c>
      <c r="B206" s="54" t="s">
        <v>350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69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340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351</v>
      </c>
      <c r="B207" s="54" t="s">
        <v>352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69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343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353</v>
      </c>
      <c r="B208" s="54" t="s">
        <v>354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69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346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hidden="1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88</v>
      </c>
      <c r="Q209" s="683"/>
      <c r="R209" s="683"/>
      <c r="S209" s="683"/>
      <c r="T209" s="683"/>
      <c r="U209" s="683"/>
      <c r="V209" s="684"/>
      <c r="W209" s="37" t="s">
        <v>89</v>
      </c>
      <c r="X209" s="665">
        <f>IFERROR(X201/H201,"0")+IFERROR(X202/H202,"0")+IFERROR(X203/H203,"0")+IFERROR(X204/H204,"0")+IFERROR(X205/H205,"0")+IFERROR(X206/H206,"0")+IFERROR(X207/H207,"0")+IFERROR(X208/H208,"0")</f>
        <v>0</v>
      </c>
      <c r="Y209" s="665">
        <f>IFERROR(Y201/H201,"0")+IFERROR(Y202/H202,"0")+IFERROR(Y203/H203,"0")+IFERROR(Y204/H204,"0")+IFERROR(Y205/H205,"0")+IFERROR(Y206/H206,"0")+IFERROR(Y207/H207,"0")+IFERROR(Y208/H208,"0")</f>
        <v>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6"/>
      <c r="AB209" s="666"/>
      <c r="AC209" s="666"/>
    </row>
    <row r="210" spans="1:68" hidden="1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88</v>
      </c>
      <c r="Q210" s="683"/>
      <c r="R210" s="683"/>
      <c r="S210" s="683"/>
      <c r="T210" s="683"/>
      <c r="U210" s="683"/>
      <c r="V210" s="684"/>
      <c r="W210" s="37" t="s">
        <v>69</v>
      </c>
      <c r="X210" s="665">
        <f>IFERROR(SUM(X201:X208),"0")</f>
        <v>0</v>
      </c>
      <c r="Y210" s="665">
        <f>IFERROR(SUM(Y201:Y208),"0")</f>
        <v>0</v>
      </c>
      <c r="Z210" s="37"/>
      <c r="AA210" s="666"/>
      <c r="AB210" s="666"/>
      <c r="AC210" s="666"/>
    </row>
    <row r="211" spans="1:68" ht="14.25" hidden="1" customHeight="1" x14ac:dyDescent="0.25">
      <c r="A211" s="679" t="s">
        <v>64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hidden="1" customHeight="1" x14ac:dyDescent="0.25">
      <c r="A212" s="54" t="s">
        <v>355</v>
      </c>
      <c r="B212" s="54" t="s">
        <v>356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69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357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358</v>
      </c>
      <c r="B213" s="54" t="s">
        <v>359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69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360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361</v>
      </c>
      <c r="B214" s="54" t="s">
        <v>362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69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363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hidden="1" customHeight="1" x14ac:dyDescent="0.25">
      <c r="A215" s="54" t="s">
        <v>364</v>
      </c>
      <c r="B215" s="54" t="s">
        <v>365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69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357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hidden="1" customHeight="1" x14ac:dyDescent="0.25">
      <c r="A216" s="54" t="s">
        <v>366</v>
      </c>
      <c r="B216" s="54" t="s">
        <v>367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69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368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hidden="1" customHeight="1" x14ac:dyDescent="0.25">
      <c r="A217" s="54" t="s">
        <v>369</v>
      </c>
      <c r="B217" s="54" t="s">
        <v>370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69</v>
      </c>
      <c r="X217" s="663">
        <v>0</v>
      </c>
      <c r="Y217" s="664">
        <f t="shared" si="37"/>
        <v>0</v>
      </c>
      <c r="Z217" s="36" t="str">
        <f t="shared" si="42"/>
        <v/>
      </c>
      <c r="AA217" s="56"/>
      <c r="AB217" s="57"/>
      <c r="AC217" s="277" t="s">
        <v>363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hidden="1" customHeight="1" x14ac:dyDescent="0.25">
      <c r="A218" s="54" t="s">
        <v>371</v>
      </c>
      <c r="B218" s="54" t="s">
        <v>372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69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363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hidden="1" customHeight="1" x14ac:dyDescent="0.25">
      <c r="A219" s="54" t="s">
        <v>373</v>
      </c>
      <c r="B219" s="54" t="s">
        <v>374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69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375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hidden="1" customHeight="1" x14ac:dyDescent="0.25">
      <c r="A220" s="54" t="s">
        <v>376</v>
      </c>
      <c r="B220" s="54" t="s">
        <v>377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69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378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hidden="1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88</v>
      </c>
      <c r="Q221" s="683"/>
      <c r="R221" s="683"/>
      <c r="S221" s="683"/>
      <c r="T221" s="683"/>
      <c r="U221" s="683"/>
      <c r="V221" s="684"/>
      <c r="W221" s="37" t="s">
        <v>89</v>
      </c>
      <c r="X221" s="665">
        <f>IFERROR(X212/H212,"0")+IFERROR(X213/H213,"0")+IFERROR(X214/H214,"0")+IFERROR(X215/H215,"0")+IFERROR(X216/H216,"0")+IFERROR(X217/H217,"0")+IFERROR(X218/H218,"0")+IFERROR(X219/H219,"0")+IFERROR(X220/H220,"0")</f>
        <v>0</v>
      </c>
      <c r="Y221" s="665">
        <f>IFERROR(Y212/H212,"0")+IFERROR(Y213/H213,"0")+IFERROR(Y214/H214,"0")+IFERROR(Y215/H215,"0")+IFERROR(Y216/H216,"0")+IFERROR(Y217/H217,"0")+IFERROR(Y218/H218,"0")+IFERROR(Y219/H219,"0")+IFERROR(Y220/H220,"0")</f>
        <v>0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6"/>
      <c r="AB221" s="666"/>
      <c r="AC221" s="666"/>
    </row>
    <row r="222" spans="1:68" hidden="1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88</v>
      </c>
      <c r="Q222" s="683"/>
      <c r="R222" s="683"/>
      <c r="S222" s="683"/>
      <c r="T222" s="683"/>
      <c r="U222" s="683"/>
      <c r="V222" s="684"/>
      <c r="W222" s="37" t="s">
        <v>69</v>
      </c>
      <c r="X222" s="665">
        <f>IFERROR(SUM(X212:X220),"0")</f>
        <v>0</v>
      </c>
      <c r="Y222" s="665">
        <f>IFERROR(SUM(Y212:Y220),"0")</f>
        <v>0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175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hidden="1" customHeight="1" x14ac:dyDescent="0.25">
      <c r="A224" s="54" t="s">
        <v>379</v>
      </c>
      <c r="B224" s="54" t="s">
        <v>380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69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381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382</v>
      </c>
      <c r="B225" s="54" t="s">
        <v>383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69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384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88</v>
      </c>
      <c r="Q226" s="683"/>
      <c r="R226" s="683"/>
      <c r="S226" s="683"/>
      <c r="T226" s="683"/>
      <c r="U226" s="683"/>
      <c r="V226" s="684"/>
      <c r="W226" s="37" t="s">
        <v>89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hidden="1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88</v>
      </c>
      <c r="Q227" s="683"/>
      <c r="R227" s="683"/>
      <c r="S227" s="683"/>
      <c r="T227" s="683"/>
      <c r="U227" s="683"/>
      <c r="V227" s="684"/>
      <c r="W227" s="37" t="s">
        <v>69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hidden="1" customHeight="1" x14ac:dyDescent="0.25">
      <c r="A228" s="716" t="s">
        <v>385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98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hidden="1" customHeight="1" x14ac:dyDescent="0.25">
      <c r="A230" s="54" t="s">
        <v>386</v>
      </c>
      <c r="B230" s="54" t="s">
        <v>387</v>
      </c>
      <c r="C230" s="31">
        <v>4301011826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69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388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386</v>
      </c>
      <c r="B231" s="54" t="s">
        <v>389</v>
      </c>
      <c r="C231" s="31">
        <v>4301011942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101</v>
      </c>
      <c r="L231" s="32"/>
      <c r="M231" s="33" t="s">
        <v>390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69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391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392</v>
      </c>
      <c r="B232" s="54" t="s">
        <v>393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69</v>
      </c>
      <c r="X232" s="663">
        <v>20</v>
      </c>
      <c r="Y232" s="664">
        <f t="shared" si="43"/>
        <v>23.2</v>
      </c>
      <c r="Z232" s="36">
        <f>IFERROR(IF(Y232=0,"",ROUNDUP(Y232/H232,0)*0.01898),"")</f>
        <v>3.7960000000000001E-2</v>
      </c>
      <c r="AA232" s="56"/>
      <c r="AB232" s="57"/>
      <c r="AC232" s="293" t="s">
        <v>394</v>
      </c>
      <c r="AG232" s="64"/>
      <c r="AJ232" s="68"/>
      <c r="AK232" s="68">
        <v>0</v>
      </c>
      <c r="BB232" s="294" t="s">
        <v>1</v>
      </c>
      <c r="BM232" s="64">
        <f t="shared" si="44"/>
        <v>20.75</v>
      </c>
      <c r="BN232" s="64">
        <f t="shared" si="45"/>
        <v>24.07</v>
      </c>
      <c r="BO232" s="64">
        <f t="shared" si="46"/>
        <v>2.6939655172413795E-2</v>
      </c>
      <c r="BP232" s="64">
        <f t="shared" si="47"/>
        <v>3.125E-2</v>
      </c>
    </row>
    <row r="233" spans="1:68" ht="27" hidden="1" customHeight="1" x14ac:dyDescent="0.25">
      <c r="A233" s="54" t="s">
        <v>395</v>
      </c>
      <c r="B233" s="54" t="s">
        <v>396</v>
      </c>
      <c r="C233" s="31">
        <v>4301011721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69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397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395</v>
      </c>
      <c r="B234" s="54" t="s">
        <v>398</v>
      </c>
      <c r="C234" s="31">
        <v>4301011941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101</v>
      </c>
      <c r="L234" s="32"/>
      <c r="M234" s="33" t="s">
        <v>390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69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391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399</v>
      </c>
      <c r="B235" s="54" t="s">
        <v>400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69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388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401</v>
      </c>
      <c r="B236" s="54" t="s">
        <v>402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69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394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403</v>
      </c>
      <c r="B237" s="54" t="s">
        <v>404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69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397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88</v>
      </c>
      <c r="Q238" s="683"/>
      <c r="R238" s="683"/>
      <c r="S238" s="683"/>
      <c r="T238" s="683"/>
      <c r="U238" s="683"/>
      <c r="V238" s="684"/>
      <c r="W238" s="37" t="s">
        <v>89</v>
      </c>
      <c r="X238" s="665">
        <f>IFERROR(X230/H230,"0")+IFERROR(X231/H231,"0")+IFERROR(X232/H232,"0")+IFERROR(X233/H233,"0")+IFERROR(X234/H234,"0")+IFERROR(X235/H235,"0")+IFERROR(X236/H236,"0")+IFERROR(X237/H237,"0")</f>
        <v>1.7241379310344829</v>
      </c>
      <c r="Y238" s="665">
        <f>IFERROR(Y230/H230,"0")+IFERROR(Y231/H231,"0")+IFERROR(Y232/H232,"0")+IFERROR(Y233/H233,"0")+IFERROR(Y234/H234,"0")+IFERROR(Y235/H235,"0")+IFERROR(Y236/H236,"0")+IFERROR(Y237/H237,"0")</f>
        <v>2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3.7960000000000001E-2</v>
      </c>
      <c r="AA238" s="666"/>
      <c r="AB238" s="666"/>
      <c r="AC238" s="666"/>
    </row>
    <row r="239" spans="1:68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88</v>
      </c>
      <c r="Q239" s="683"/>
      <c r="R239" s="683"/>
      <c r="S239" s="683"/>
      <c r="T239" s="683"/>
      <c r="U239" s="683"/>
      <c r="V239" s="684"/>
      <c r="W239" s="37" t="s">
        <v>69</v>
      </c>
      <c r="X239" s="665">
        <f>IFERROR(SUM(X230:X237),"0")</f>
        <v>20</v>
      </c>
      <c r="Y239" s="665">
        <f>IFERROR(SUM(Y230:Y237),"0")</f>
        <v>23.2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138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405</v>
      </c>
      <c r="B241" s="54" t="s">
        <v>406</v>
      </c>
      <c r="C241" s="31">
        <v>4301020377</v>
      </c>
      <c r="D241" s="675">
        <v>4680115885981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5" t="s">
        <v>407</v>
      </c>
      <c r="Q241" s="668"/>
      <c r="R241" s="668"/>
      <c r="S241" s="668"/>
      <c r="T241" s="669"/>
      <c r="U241" s="34"/>
      <c r="V241" s="34"/>
      <c r="W241" s="35" t="s">
        <v>69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408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405</v>
      </c>
      <c r="B242" s="54" t="s">
        <v>409</v>
      </c>
      <c r="C242" s="31">
        <v>4301020340</v>
      </c>
      <c r="D242" s="675">
        <v>4680115885721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68"/>
      <c r="R242" s="668"/>
      <c r="S242" s="668"/>
      <c r="T242" s="669"/>
      <c r="U242" s="34"/>
      <c r="V242" s="34"/>
      <c r="W242" s="35" t="s">
        <v>69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408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88</v>
      </c>
      <c r="Q243" s="683"/>
      <c r="R243" s="683"/>
      <c r="S243" s="683"/>
      <c r="T243" s="683"/>
      <c r="U243" s="683"/>
      <c r="V243" s="684"/>
      <c r="W243" s="37" t="s">
        <v>89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88</v>
      </c>
      <c r="Q244" s="683"/>
      <c r="R244" s="683"/>
      <c r="S244" s="683"/>
      <c r="T244" s="683"/>
      <c r="U244" s="683"/>
      <c r="V244" s="684"/>
      <c r="W244" s="37" t="s">
        <v>69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410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hidden="1" customHeight="1" x14ac:dyDescent="0.25">
      <c r="A246" s="54" t="s">
        <v>411</v>
      </c>
      <c r="B246" s="54" t="s">
        <v>412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792" t="s">
        <v>413</v>
      </c>
      <c r="Q246" s="668"/>
      <c r="R246" s="668"/>
      <c r="S246" s="668"/>
      <c r="T246" s="669"/>
      <c r="U246" s="34"/>
      <c r="V246" s="34"/>
      <c r="W246" s="35" t="s">
        <v>69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322</v>
      </c>
      <c r="AC246" s="309" t="s">
        <v>414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88</v>
      </c>
      <c r="Q247" s="683"/>
      <c r="R247" s="683"/>
      <c r="S247" s="683"/>
      <c r="T247" s="683"/>
      <c r="U247" s="683"/>
      <c r="V247" s="684"/>
      <c r="W247" s="37" t="s">
        <v>89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88</v>
      </c>
      <c r="Q248" s="683"/>
      <c r="R248" s="683"/>
      <c r="S248" s="683"/>
      <c r="T248" s="683"/>
      <c r="U248" s="683"/>
      <c r="V248" s="684"/>
      <c r="W248" s="37" t="s">
        <v>69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415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hidden="1" customHeight="1" x14ac:dyDescent="0.25">
      <c r="A250" s="54" t="s">
        <v>416</v>
      </c>
      <c r="B250" s="54" t="s">
        <v>417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87" t="s">
        <v>418</v>
      </c>
      <c r="Q250" s="668"/>
      <c r="R250" s="668"/>
      <c r="S250" s="668"/>
      <c r="T250" s="669"/>
      <c r="U250" s="34"/>
      <c r="V250" s="34"/>
      <c r="W250" s="35" t="s">
        <v>69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322</v>
      </c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88</v>
      </c>
      <c r="Q251" s="683"/>
      <c r="R251" s="683"/>
      <c r="S251" s="683"/>
      <c r="T251" s="683"/>
      <c r="U251" s="683"/>
      <c r="V251" s="684"/>
      <c r="W251" s="37" t="s">
        <v>89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88</v>
      </c>
      <c r="Q252" s="683"/>
      <c r="R252" s="683"/>
      <c r="S252" s="683"/>
      <c r="T252" s="683"/>
      <c r="U252" s="683"/>
      <c r="V252" s="684"/>
      <c r="W252" s="37" t="s">
        <v>69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16" t="s">
        <v>420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98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hidden="1" customHeight="1" x14ac:dyDescent="0.25">
      <c r="A255" s="54" t="s">
        <v>421</v>
      </c>
      <c r="B255" s="54" t="s">
        <v>422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69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423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424</v>
      </c>
      <c r="B256" s="54" t="s">
        <v>425</v>
      </c>
      <c r="C256" s="31">
        <v>4301011850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69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426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424</v>
      </c>
      <c r="B257" s="54" t="s">
        <v>427</v>
      </c>
      <c r="C257" s="31">
        <v>4301011910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101</v>
      </c>
      <c r="L257" s="32"/>
      <c r="M257" s="33" t="s">
        <v>390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69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428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429</v>
      </c>
      <c r="B258" s="54" t="s">
        <v>430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69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431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432</v>
      </c>
      <c r="B259" s="54" t="s">
        <v>433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69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434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435</v>
      </c>
      <c r="B260" s="54" t="s">
        <v>436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69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437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88</v>
      </c>
      <c r="Q261" s="683"/>
      <c r="R261" s="683"/>
      <c r="S261" s="683"/>
      <c r="T261" s="683"/>
      <c r="U261" s="683"/>
      <c r="V261" s="684"/>
      <c r="W261" s="37" t="s">
        <v>89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88</v>
      </c>
      <c r="Q262" s="683"/>
      <c r="R262" s="683"/>
      <c r="S262" s="683"/>
      <c r="T262" s="683"/>
      <c r="U262" s="683"/>
      <c r="V262" s="684"/>
      <c r="W262" s="37" t="s">
        <v>69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438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98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439</v>
      </c>
      <c r="B265" s="54" t="s">
        <v>440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69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441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88</v>
      </c>
      <c r="Q266" s="683"/>
      <c r="R266" s="683"/>
      <c r="S266" s="683"/>
      <c r="T266" s="683"/>
      <c r="U266" s="683"/>
      <c r="V266" s="684"/>
      <c r="W266" s="37" t="s">
        <v>89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88</v>
      </c>
      <c r="Q267" s="683"/>
      <c r="R267" s="683"/>
      <c r="S267" s="683"/>
      <c r="T267" s="683"/>
      <c r="U267" s="683"/>
      <c r="V267" s="684"/>
      <c r="W267" s="37" t="s">
        <v>69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442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98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443</v>
      </c>
      <c r="B270" s="54" t="s">
        <v>444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69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445</v>
      </c>
      <c r="B271" s="54" t="s">
        <v>446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69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447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448</v>
      </c>
      <c r="B272" s="54" t="s">
        <v>449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69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450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88</v>
      </c>
      <c r="Q273" s="683"/>
      <c r="R273" s="683"/>
      <c r="S273" s="683"/>
      <c r="T273" s="683"/>
      <c r="U273" s="683"/>
      <c r="V273" s="684"/>
      <c r="W273" s="37" t="s">
        <v>89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88</v>
      </c>
      <c r="Q274" s="683"/>
      <c r="R274" s="683"/>
      <c r="S274" s="683"/>
      <c r="T274" s="683"/>
      <c r="U274" s="683"/>
      <c r="V274" s="684"/>
      <c r="W274" s="37" t="s">
        <v>69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451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64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452</v>
      </c>
      <c r="B277" s="54" t="s">
        <v>453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69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454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455</v>
      </c>
      <c r="B278" s="54" t="s">
        <v>456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69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457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458</v>
      </c>
      <c r="B279" s="54" t="s">
        <v>459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69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454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460</v>
      </c>
      <c r="B280" s="54" t="s">
        <v>461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69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462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463</v>
      </c>
      <c r="B281" s="54" t="s">
        <v>464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69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457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88</v>
      </c>
      <c r="Q282" s="683"/>
      <c r="R282" s="683"/>
      <c r="S282" s="683"/>
      <c r="T282" s="683"/>
      <c r="U282" s="683"/>
      <c r="V282" s="684"/>
      <c r="W282" s="37" t="s">
        <v>89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hidden="1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88</v>
      </c>
      <c r="Q283" s="683"/>
      <c r="R283" s="683"/>
      <c r="S283" s="683"/>
      <c r="T283" s="683"/>
      <c r="U283" s="683"/>
      <c r="V283" s="684"/>
      <c r="W283" s="37" t="s">
        <v>69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hidden="1" customHeight="1" x14ac:dyDescent="0.25">
      <c r="A284" s="716" t="s">
        <v>465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98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466</v>
      </c>
      <c r="B286" s="54" t="s">
        <v>467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69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468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88</v>
      </c>
      <c r="Q287" s="683"/>
      <c r="R287" s="683"/>
      <c r="S287" s="683"/>
      <c r="T287" s="683"/>
      <c r="U287" s="683"/>
      <c r="V287" s="684"/>
      <c r="W287" s="37" t="s">
        <v>89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88</v>
      </c>
      <c r="Q288" s="683"/>
      <c r="R288" s="683"/>
      <c r="S288" s="683"/>
      <c r="T288" s="683"/>
      <c r="U288" s="683"/>
      <c r="V288" s="684"/>
      <c r="W288" s="37" t="s">
        <v>69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149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469</v>
      </c>
      <c r="B290" s="54" t="s">
        <v>470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69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471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88</v>
      </c>
      <c r="Q291" s="683"/>
      <c r="R291" s="683"/>
      <c r="S291" s="683"/>
      <c r="T291" s="683"/>
      <c r="U291" s="683"/>
      <c r="V291" s="684"/>
      <c r="W291" s="37" t="s">
        <v>89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88</v>
      </c>
      <c r="Q292" s="683"/>
      <c r="R292" s="683"/>
      <c r="S292" s="683"/>
      <c r="T292" s="683"/>
      <c r="U292" s="683"/>
      <c r="V292" s="684"/>
      <c r="W292" s="37" t="s">
        <v>69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64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customHeight="1" x14ac:dyDescent="0.25">
      <c r="A294" s="54" t="s">
        <v>472</v>
      </c>
      <c r="B294" s="54" t="s">
        <v>473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69</v>
      </c>
      <c r="X294" s="663">
        <v>7.1999999999999993</v>
      </c>
      <c r="Y294" s="664">
        <f>IFERROR(IF(X294="",0,CEILING((X294/$H294),1)*$H294),"")</f>
        <v>7.2</v>
      </c>
      <c r="Z294" s="36">
        <f>IFERROR(IF(Y294=0,"",ROUNDUP(Y294/H294,0)*0.00902),"")</f>
        <v>1.804E-2</v>
      </c>
      <c r="AA294" s="56"/>
      <c r="AB294" s="57"/>
      <c r="AC294" s="347" t="s">
        <v>474</v>
      </c>
      <c r="AG294" s="64"/>
      <c r="AJ294" s="68"/>
      <c r="AK294" s="68">
        <v>0</v>
      </c>
      <c r="BB294" s="348" t="s">
        <v>1</v>
      </c>
      <c r="BM294" s="64">
        <f>IFERROR(X294*I294/H294,"0")</f>
        <v>7.6199999999999992</v>
      </c>
      <c r="BN294" s="64">
        <f>IFERROR(Y294*I294/H294,"0")</f>
        <v>7.62</v>
      </c>
      <c r="BO294" s="64">
        <f>IFERROR(1/J294*(X294/H294),"0")</f>
        <v>1.515151515151515E-2</v>
      </c>
      <c r="BP294" s="64">
        <f>IFERROR(1/J294*(Y294/H294),"0")</f>
        <v>1.5151515151515152E-2</v>
      </c>
    </row>
    <row r="295" spans="1:68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88</v>
      </c>
      <c r="Q295" s="683"/>
      <c r="R295" s="683"/>
      <c r="S295" s="683"/>
      <c r="T295" s="683"/>
      <c r="U295" s="683"/>
      <c r="V295" s="684"/>
      <c r="W295" s="37" t="s">
        <v>89</v>
      </c>
      <c r="X295" s="665">
        <f>IFERROR(X294/H294,"0")</f>
        <v>1.9999999999999998</v>
      </c>
      <c r="Y295" s="665">
        <f>IFERROR(Y294/H294,"0")</f>
        <v>2</v>
      </c>
      <c r="Z295" s="665">
        <f>IFERROR(IF(Z294="",0,Z294),"0")</f>
        <v>1.804E-2</v>
      </c>
      <c r="AA295" s="666"/>
      <c r="AB295" s="666"/>
      <c r="AC295" s="666"/>
    </row>
    <row r="296" spans="1:68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88</v>
      </c>
      <c r="Q296" s="683"/>
      <c r="R296" s="683"/>
      <c r="S296" s="683"/>
      <c r="T296" s="683"/>
      <c r="U296" s="683"/>
      <c r="V296" s="684"/>
      <c r="W296" s="37" t="s">
        <v>69</v>
      </c>
      <c r="X296" s="665">
        <f>IFERROR(SUM(X294:X294),"0")</f>
        <v>7.1999999999999993</v>
      </c>
      <c r="Y296" s="665">
        <f>IFERROR(SUM(Y294:Y294),"0")</f>
        <v>7.2</v>
      </c>
      <c r="Z296" s="37"/>
      <c r="AA296" s="666"/>
      <c r="AB296" s="666"/>
      <c r="AC296" s="666"/>
    </row>
    <row r="297" spans="1:68" ht="16.5" hidden="1" customHeight="1" x14ac:dyDescent="0.25">
      <c r="A297" s="716" t="s">
        <v>475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64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476</v>
      </c>
      <c r="B299" s="54" t="s">
        <v>477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69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478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88</v>
      </c>
      <c r="Q300" s="683"/>
      <c r="R300" s="683"/>
      <c r="S300" s="683"/>
      <c r="T300" s="683"/>
      <c r="U300" s="683"/>
      <c r="V300" s="684"/>
      <c r="W300" s="37" t="s">
        <v>89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88</v>
      </c>
      <c r="Q301" s="683"/>
      <c r="R301" s="683"/>
      <c r="S301" s="683"/>
      <c r="T301" s="683"/>
      <c r="U301" s="683"/>
      <c r="V301" s="684"/>
      <c r="W301" s="37" t="s">
        <v>69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479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98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480</v>
      </c>
      <c r="B304" s="54" t="s">
        <v>481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69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441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88</v>
      </c>
      <c r="Q305" s="683"/>
      <c r="R305" s="683"/>
      <c r="S305" s="683"/>
      <c r="T305" s="683"/>
      <c r="U305" s="683"/>
      <c r="V305" s="684"/>
      <c r="W305" s="37" t="s">
        <v>89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88</v>
      </c>
      <c r="Q306" s="683"/>
      <c r="R306" s="683"/>
      <c r="S306" s="683"/>
      <c r="T306" s="683"/>
      <c r="U306" s="683"/>
      <c r="V306" s="684"/>
      <c r="W306" s="37" t="s">
        <v>69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149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hidden="1" customHeight="1" x14ac:dyDescent="0.25">
      <c r="A308" s="54" t="s">
        <v>482</v>
      </c>
      <c r="B308" s="54" t="s">
        <v>483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69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484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485</v>
      </c>
      <c r="B309" s="54" t="s">
        <v>486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69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484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88</v>
      </c>
      <c r="Q310" s="683"/>
      <c r="R310" s="683"/>
      <c r="S310" s="683"/>
      <c r="T310" s="683"/>
      <c r="U310" s="683"/>
      <c r="V310" s="684"/>
      <c r="W310" s="37" t="s">
        <v>89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88</v>
      </c>
      <c r="Q311" s="683"/>
      <c r="R311" s="683"/>
      <c r="S311" s="683"/>
      <c r="T311" s="683"/>
      <c r="U311" s="683"/>
      <c r="V311" s="684"/>
      <c r="W311" s="37" t="s">
        <v>69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716" t="s">
        <v>487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98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488</v>
      </c>
      <c r="B314" s="54" t="s">
        <v>489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69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490</v>
      </c>
      <c r="AB314" s="57"/>
      <c r="AC314" s="357" t="s">
        <v>491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88</v>
      </c>
      <c r="Q315" s="683"/>
      <c r="R315" s="683"/>
      <c r="S315" s="683"/>
      <c r="T315" s="683"/>
      <c r="U315" s="683"/>
      <c r="V315" s="684"/>
      <c r="W315" s="37" t="s">
        <v>89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88</v>
      </c>
      <c r="Q316" s="683"/>
      <c r="R316" s="683"/>
      <c r="S316" s="683"/>
      <c r="T316" s="683"/>
      <c r="U316" s="683"/>
      <c r="V316" s="684"/>
      <c r="W316" s="37" t="s">
        <v>69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492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98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hidden="1" customHeight="1" x14ac:dyDescent="0.25">
      <c r="A319" s="54" t="s">
        <v>493</v>
      </c>
      <c r="B319" s="54" t="s">
        <v>494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69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495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496</v>
      </c>
      <c r="B320" s="54" t="s">
        <v>497</v>
      </c>
      <c r="C320" s="31">
        <v>4301012016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69</v>
      </c>
      <c r="X320" s="663">
        <v>200</v>
      </c>
      <c r="Y320" s="664">
        <f t="shared" si="53"/>
        <v>205.20000000000002</v>
      </c>
      <c r="Z320" s="36">
        <f>IFERROR(IF(Y320=0,"",ROUNDUP(Y320/H320,0)*0.01898),"")</f>
        <v>0.36062</v>
      </c>
      <c r="AA320" s="56"/>
      <c r="AB320" s="57"/>
      <c r="AC320" s="361" t="s">
        <v>498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208.05555555555554</v>
      </c>
      <c r="BN320" s="64">
        <f t="shared" si="55"/>
        <v>213.46499999999997</v>
      </c>
      <c r="BO320" s="64">
        <f t="shared" si="56"/>
        <v>0.28935185185185186</v>
      </c>
      <c r="BP320" s="64">
        <f t="shared" si="57"/>
        <v>0.296875</v>
      </c>
    </row>
    <row r="321" spans="1:68" ht="27" hidden="1" customHeight="1" x14ac:dyDescent="0.25">
      <c r="A321" s="54" t="s">
        <v>496</v>
      </c>
      <c r="B321" s="54" t="s">
        <v>499</v>
      </c>
      <c r="C321" s="31">
        <v>4301011911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101</v>
      </c>
      <c r="L321" s="32"/>
      <c r="M321" s="33" t="s">
        <v>390</v>
      </c>
      <c r="N321" s="33"/>
      <c r="O321" s="32">
        <v>55</v>
      </c>
      <c r="P321" s="96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69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500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501</v>
      </c>
      <c r="B322" s="54" t="s">
        <v>502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69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503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504</v>
      </c>
      <c r="B323" s="54" t="s">
        <v>505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69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506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507</v>
      </c>
      <c r="B324" s="54" t="s">
        <v>508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69</v>
      </c>
      <c r="X324" s="663">
        <v>4</v>
      </c>
      <c r="Y324" s="664">
        <f t="shared" si="53"/>
        <v>4</v>
      </c>
      <c r="Z324" s="36">
        <f>IFERROR(IF(Y324=0,"",ROUNDUP(Y324/H324,0)*0.00902),"")</f>
        <v>9.0200000000000002E-3</v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54"/>
        <v>4.21</v>
      </c>
      <c r="BN324" s="64">
        <f t="shared" si="55"/>
        <v>4.21</v>
      </c>
      <c r="BO324" s="64">
        <f t="shared" si="56"/>
        <v>7.575757575757576E-3</v>
      </c>
      <c r="BP324" s="64">
        <f t="shared" si="57"/>
        <v>7.575757575757576E-3</v>
      </c>
    </row>
    <row r="325" spans="1:68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88</v>
      </c>
      <c r="Q325" s="683"/>
      <c r="R325" s="683"/>
      <c r="S325" s="683"/>
      <c r="T325" s="683"/>
      <c r="U325" s="683"/>
      <c r="V325" s="684"/>
      <c r="W325" s="37" t="s">
        <v>89</v>
      </c>
      <c r="X325" s="665">
        <f>IFERROR(X319/H319,"0")+IFERROR(X320/H320,"0")+IFERROR(X321/H321,"0")+IFERROR(X322/H322,"0")+IFERROR(X323/H323,"0")+IFERROR(X324/H324,"0")</f>
        <v>19.518518518518519</v>
      </c>
      <c r="Y325" s="665">
        <f>IFERROR(Y319/H319,"0")+IFERROR(Y320/H320,"0")+IFERROR(Y321/H321,"0")+IFERROR(Y322/H322,"0")+IFERROR(Y323/H323,"0")+IFERROR(Y324/H324,"0")</f>
        <v>20</v>
      </c>
      <c r="Z325" s="665">
        <f>IFERROR(IF(Z319="",0,Z319),"0")+IFERROR(IF(Z320="",0,Z320),"0")+IFERROR(IF(Z321="",0,Z321),"0")+IFERROR(IF(Z322="",0,Z322),"0")+IFERROR(IF(Z323="",0,Z323),"0")+IFERROR(IF(Z324="",0,Z324),"0")</f>
        <v>0.36963999999999997</v>
      </c>
      <c r="AA325" s="666"/>
      <c r="AB325" s="666"/>
      <c r="AC325" s="666"/>
    </row>
    <row r="326" spans="1:68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88</v>
      </c>
      <c r="Q326" s="683"/>
      <c r="R326" s="683"/>
      <c r="S326" s="683"/>
      <c r="T326" s="683"/>
      <c r="U326" s="683"/>
      <c r="V326" s="684"/>
      <c r="W326" s="37" t="s">
        <v>69</v>
      </c>
      <c r="X326" s="665">
        <f>IFERROR(SUM(X319:X324),"0")</f>
        <v>204</v>
      </c>
      <c r="Y326" s="665">
        <f>IFERROR(SUM(Y319:Y324),"0")</f>
        <v>209.20000000000002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149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customHeight="1" x14ac:dyDescent="0.25">
      <c r="A328" s="54" t="s">
        <v>509</v>
      </c>
      <c r="B328" s="54" t="s">
        <v>510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69</v>
      </c>
      <c r="X328" s="663">
        <v>50</v>
      </c>
      <c r="Y328" s="664">
        <f>IFERROR(IF(X328="",0,CEILING((X328/$H328),1)*$H328),"")</f>
        <v>50.400000000000006</v>
      </c>
      <c r="Z328" s="36">
        <f>IFERROR(IF(Y328=0,"",ROUNDUP(Y328/H328,0)*0.00902),"")</f>
        <v>0.10824</v>
      </c>
      <c r="AA328" s="56"/>
      <c r="AB328" s="57"/>
      <c r="AC328" s="371" t="s">
        <v>511</v>
      </c>
      <c r="AG328" s="64"/>
      <c r="AJ328" s="68"/>
      <c r="AK328" s="68">
        <v>0</v>
      </c>
      <c r="BB328" s="372" t="s">
        <v>1</v>
      </c>
      <c r="BM328" s="64">
        <f>IFERROR(X328*I328/H328,"0")</f>
        <v>53.214285714285715</v>
      </c>
      <c r="BN328" s="64">
        <f>IFERROR(Y328*I328/H328,"0")</f>
        <v>53.64</v>
      </c>
      <c r="BO328" s="64">
        <f>IFERROR(1/J328*(X328/H328),"0")</f>
        <v>9.0187590187590191E-2</v>
      </c>
      <c r="BP328" s="64">
        <f>IFERROR(1/J328*(Y328/H328),"0")</f>
        <v>9.0909090909090912E-2</v>
      </c>
    </row>
    <row r="329" spans="1:68" ht="27" customHeight="1" x14ac:dyDescent="0.25">
      <c r="A329" s="54" t="s">
        <v>512</v>
      </c>
      <c r="B329" s="54" t="s">
        <v>513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69</v>
      </c>
      <c r="X329" s="663">
        <v>15</v>
      </c>
      <c r="Y329" s="664">
        <f>IFERROR(IF(X329="",0,CEILING((X329/$H329),1)*$H329),"")</f>
        <v>16.8</v>
      </c>
      <c r="Z329" s="36">
        <f>IFERROR(IF(Y329=0,"",ROUNDUP(Y329/H329,0)*0.00902),"")</f>
        <v>3.6080000000000001E-2</v>
      </c>
      <c r="AA329" s="56"/>
      <c r="AB329" s="57"/>
      <c r="AC329" s="373" t="s">
        <v>514</v>
      </c>
      <c r="AG329" s="64"/>
      <c r="AJ329" s="68"/>
      <c r="AK329" s="68">
        <v>0</v>
      </c>
      <c r="BB329" s="374" t="s">
        <v>1</v>
      </c>
      <c r="BM329" s="64">
        <f>IFERROR(X329*I329/H329,"0")</f>
        <v>15.964285714285714</v>
      </c>
      <c r="BN329" s="64">
        <f>IFERROR(Y329*I329/H329,"0")</f>
        <v>17.88</v>
      </c>
      <c r="BO329" s="64">
        <f>IFERROR(1/J329*(X329/H329),"0")</f>
        <v>2.7056277056277056E-2</v>
      </c>
      <c r="BP329" s="64">
        <f>IFERROR(1/J329*(Y329/H329),"0")</f>
        <v>3.0303030303030304E-2</v>
      </c>
    </row>
    <row r="330" spans="1:68" ht="27" hidden="1" customHeight="1" x14ac:dyDescent="0.25">
      <c r="A330" s="54" t="s">
        <v>515</v>
      </c>
      <c r="B330" s="54" t="s">
        <v>516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69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517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518</v>
      </c>
      <c r="B331" s="54" t="s">
        <v>519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69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514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88</v>
      </c>
      <c r="Q332" s="683"/>
      <c r="R332" s="683"/>
      <c r="S332" s="683"/>
      <c r="T332" s="683"/>
      <c r="U332" s="683"/>
      <c r="V332" s="684"/>
      <c r="W332" s="37" t="s">
        <v>89</v>
      </c>
      <c r="X332" s="665">
        <f>IFERROR(X328/H328,"0")+IFERROR(X329/H329,"0")+IFERROR(X330/H330,"0")+IFERROR(X331/H331,"0")</f>
        <v>15.476190476190476</v>
      </c>
      <c r="Y332" s="665">
        <f>IFERROR(Y328/H328,"0")+IFERROR(Y329/H329,"0")+IFERROR(Y330/H330,"0")+IFERROR(Y331/H331,"0")</f>
        <v>16</v>
      </c>
      <c r="Z332" s="665">
        <f>IFERROR(IF(Z328="",0,Z328),"0")+IFERROR(IF(Z329="",0,Z329),"0")+IFERROR(IF(Z330="",0,Z330),"0")+IFERROR(IF(Z331="",0,Z331),"0")</f>
        <v>0.14432</v>
      </c>
      <c r="AA332" s="666"/>
      <c r="AB332" s="666"/>
      <c r="AC332" s="666"/>
    </row>
    <row r="333" spans="1:68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88</v>
      </c>
      <c r="Q333" s="683"/>
      <c r="R333" s="683"/>
      <c r="S333" s="683"/>
      <c r="T333" s="683"/>
      <c r="U333" s="683"/>
      <c r="V333" s="684"/>
      <c r="W333" s="37" t="s">
        <v>69</v>
      </c>
      <c r="X333" s="665">
        <f>IFERROR(SUM(X328:X331),"0")</f>
        <v>65</v>
      </c>
      <c r="Y333" s="665">
        <f>IFERROR(SUM(Y328:Y331),"0")</f>
        <v>67.2</v>
      </c>
      <c r="Z333" s="37"/>
      <c r="AA333" s="666"/>
      <c r="AB333" s="666"/>
      <c r="AC333" s="666"/>
    </row>
    <row r="334" spans="1:68" ht="14.25" hidden="1" customHeight="1" x14ac:dyDescent="0.25">
      <c r="A334" s="679" t="s">
        <v>64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customHeight="1" x14ac:dyDescent="0.25">
      <c r="A335" s="54" t="s">
        <v>520</v>
      </c>
      <c r="B335" s="54" t="s">
        <v>521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69</v>
      </c>
      <c r="X335" s="663">
        <v>250</v>
      </c>
      <c r="Y335" s="664">
        <f>IFERROR(IF(X335="",0,CEILING((X335/$H335),1)*$H335),"")</f>
        <v>257.39999999999998</v>
      </c>
      <c r="Z335" s="36">
        <f>IFERROR(IF(Y335=0,"",ROUNDUP(Y335/H335,0)*0.01898),"")</f>
        <v>0.62634000000000001</v>
      </c>
      <c r="AA335" s="56"/>
      <c r="AB335" s="57"/>
      <c r="AC335" s="379" t="s">
        <v>522</v>
      </c>
      <c r="AG335" s="64"/>
      <c r="AJ335" s="68"/>
      <c r="AK335" s="68">
        <v>0</v>
      </c>
      <c r="BB335" s="380" t="s">
        <v>1</v>
      </c>
      <c r="BM335" s="64">
        <f>IFERROR(X335*I335/H335,"0")</f>
        <v>266.44230769230768</v>
      </c>
      <c r="BN335" s="64">
        <f>IFERROR(Y335*I335/H335,"0")</f>
        <v>274.32900000000001</v>
      </c>
      <c r="BO335" s="64">
        <f>IFERROR(1/J335*(X335/H335),"0")</f>
        <v>0.50080128205128205</v>
      </c>
      <c r="BP335" s="64">
        <f>IFERROR(1/J335*(Y335/H335),"0")</f>
        <v>0.515625</v>
      </c>
    </row>
    <row r="336" spans="1:68" ht="27" hidden="1" customHeight="1" x14ac:dyDescent="0.25">
      <c r="A336" s="54" t="s">
        <v>523</v>
      </c>
      <c r="B336" s="54" t="s">
        <v>524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69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525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526</v>
      </c>
      <c r="B337" s="54" t="s">
        <v>527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69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528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529</v>
      </c>
      <c r="B338" s="54" t="s">
        <v>530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69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531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532</v>
      </c>
      <c r="B339" s="54" t="s">
        <v>533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69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534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88</v>
      </c>
      <c r="Q340" s="683"/>
      <c r="R340" s="683"/>
      <c r="S340" s="683"/>
      <c r="T340" s="683"/>
      <c r="U340" s="683"/>
      <c r="V340" s="684"/>
      <c r="W340" s="37" t="s">
        <v>89</v>
      </c>
      <c r="X340" s="665">
        <f>IFERROR(X335/H335,"0")+IFERROR(X336/H336,"0")+IFERROR(X337/H337,"0")+IFERROR(X338/H338,"0")+IFERROR(X339/H339,"0")</f>
        <v>32.051282051282051</v>
      </c>
      <c r="Y340" s="665">
        <f>IFERROR(Y335/H335,"0")+IFERROR(Y336/H336,"0")+IFERROR(Y337/H337,"0")+IFERROR(Y338/H338,"0")+IFERROR(Y339/H339,"0")</f>
        <v>33</v>
      </c>
      <c r="Z340" s="665">
        <f>IFERROR(IF(Z335="",0,Z335),"0")+IFERROR(IF(Z336="",0,Z336),"0")+IFERROR(IF(Z337="",0,Z337),"0")+IFERROR(IF(Z338="",0,Z338),"0")+IFERROR(IF(Z339="",0,Z339),"0")</f>
        <v>0.62634000000000001</v>
      </c>
      <c r="AA340" s="666"/>
      <c r="AB340" s="666"/>
      <c r="AC340" s="666"/>
    </row>
    <row r="341" spans="1:68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88</v>
      </c>
      <c r="Q341" s="683"/>
      <c r="R341" s="683"/>
      <c r="S341" s="683"/>
      <c r="T341" s="683"/>
      <c r="U341" s="683"/>
      <c r="V341" s="684"/>
      <c r="W341" s="37" t="s">
        <v>69</v>
      </c>
      <c r="X341" s="665">
        <f>IFERROR(SUM(X335:X339),"0")</f>
        <v>250</v>
      </c>
      <c r="Y341" s="665">
        <f>IFERROR(SUM(Y335:Y339),"0")</f>
        <v>257.39999999999998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175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hidden="1" customHeight="1" x14ac:dyDescent="0.25">
      <c r="A343" s="54" t="s">
        <v>535</v>
      </c>
      <c r="B343" s="54" t="s">
        <v>536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69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537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538</v>
      </c>
      <c r="B344" s="54" t="s">
        <v>539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69</v>
      </c>
      <c r="X344" s="663">
        <v>100</v>
      </c>
      <c r="Y344" s="664">
        <f>IFERROR(IF(X344="",0,CEILING((X344/$H344),1)*$H344),"")</f>
        <v>101.39999999999999</v>
      </c>
      <c r="Z344" s="36">
        <f>IFERROR(IF(Y344=0,"",ROUNDUP(Y344/H344,0)*0.01898),"")</f>
        <v>0.24674000000000001</v>
      </c>
      <c r="AA344" s="56"/>
      <c r="AB344" s="57"/>
      <c r="AC344" s="391" t="s">
        <v>540</v>
      </c>
      <c r="AG344" s="64"/>
      <c r="AJ344" s="68"/>
      <c r="AK344" s="68">
        <v>0</v>
      </c>
      <c r="BB344" s="392" t="s">
        <v>1</v>
      </c>
      <c r="BM344" s="64">
        <f>IFERROR(X344*I344/H344,"0")</f>
        <v>106.65384615384617</v>
      </c>
      <c r="BN344" s="64">
        <f>IFERROR(Y344*I344/H344,"0")</f>
        <v>108.14700000000001</v>
      </c>
      <c r="BO344" s="64">
        <f>IFERROR(1/J344*(X344/H344),"0")</f>
        <v>0.20032051282051283</v>
      </c>
      <c r="BP344" s="64">
        <f>IFERROR(1/J344*(Y344/H344),"0")</f>
        <v>0.203125</v>
      </c>
    </row>
    <row r="345" spans="1:68" ht="16.5" hidden="1" customHeight="1" x14ac:dyDescent="0.25">
      <c r="A345" s="54" t="s">
        <v>541</v>
      </c>
      <c r="B345" s="54" t="s">
        <v>542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69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543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88</v>
      </c>
      <c r="Q346" s="683"/>
      <c r="R346" s="683"/>
      <c r="S346" s="683"/>
      <c r="T346" s="683"/>
      <c r="U346" s="683"/>
      <c r="V346" s="684"/>
      <c r="W346" s="37" t="s">
        <v>89</v>
      </c>
      <c r="X346" s="665">
        <f>IFERROR(X343/H343,"0")+IFERROR(X344/H344,"0")+IFERROR(X345/H345,"0")</f>
        <v>12.820512820512821</v>
      </c>
      <c r="Y346" s="665">
        <f>IFERROR(Y343/H343,"0")+IFERROR(Y344/H344,"0")+IFERROR(Y345/H345,"0")</f>
        <v>13</v>
      </c>
      <c r="Z346" s="665">
        <f>IFERROR(IF(Z343="",0,Z343),"0")+IFERROR(IF(Z344="",0,Z344),"0")+IFERROR(IF(Z345="",0,Z345),"0")</f>
        <v>0.24674000000000001</v>
      </c>
      <c r="AA346" s="666"/>
      <c r="AB346" s="666"/>
      <c r="AC346" s="666"/>
    </row>
    <row r="347" spans="1:68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88</v>
      </c>
      <c r="Q347" s="683"/>
      <c r="R347" s="683"/>
      <c r="S347" s="683"/>
      <c r="T347" s="683"/>
      <c r="U347" s="683"/>
      <c r="V347" s="684"/>
      <c r="W347" s="37" t="s">
        <v>69</v>
      </c>
      <c r="X347" s="665">
        <f>IFERROR(SUM(X343:X345),"0")</f>
        <v>100</v>
      </c>
      <c r="Y347" s="665">
        <f>IFERROR(SUM(Y343:Y345),"0")</f>
        <v>101.39999999999999</v>
      </c>
      <c r="Z347" s="37"/>
      <c r="AA347" s="666"/>
      <c r="AB347" s="666"/>
      <c r="AC347" s="666"/>
    </row>
    <row r="348" spans="1:68" ht="14.25" hidden="1" customHeight="1" x14ac:dyDescent="0.25">
      <c r="A348" s="679" t="s">
        <v>90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544</v>
      </c>
      <c r="B349" s="54" t="s">
        <v>545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1002" t="s">
        <v>546</v>
      </c>
      <c r="Q349" s="668"/>
      <c r="R349" s="668"/>
      <c r="S349" s="668"/>
      <c r="T349" s="669"/>
      <c r="U349" s="34"/>
      <c r="V349" s="34"/>
      <c r="W349" s="35" t="s">
        <v>69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547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548</v>
      </c>
      <c r="B350" s="54" t="s">
        <v>549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802" t="s">
        <v>550</v>
      </c>
      <c r="Q350" s="668"/>
      <c r="R350" s="668"/>
      <c r="S350" s="668"/>
      <c r="T350" s="669"/>
      <c r="U350" s="34"/>
      <c r="V350" s="34"/>
      <c r="W350" s="35" t="s">
        <v>69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551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552</v>
      </c>
      <c r="B351" s="54" t="s">
        <v>553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69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554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555</v>
      </c>
      <c r="B352" s="54" t="s">
        <v>556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69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551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88</v>
      </c>
      <c r="Q353" s="683"/>
      <c r="R353" s="683"/>
      <c r="S353" s="683"/>
      <c r="T353" s="683"/>
      <c r="U353" s="683"/>
      <c r="V353" s="684"/>
      <c r="W353" s="37" t="s">
        <v>89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hidden="1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88</v>
      </c>
      <c r="Q354" s="683"/>
      <c r="R354" s="683"/>
      <c r="S354" s="683"/>
      <c r="T354" s="683"/>
      <c r="U354" s="683"/>
      <c r="V354" s="684"/>
      <c r="W354" s="37" t="s">
        <v>69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557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hidden="1" customHeight="1" x14ac:dyDescent="0.25">
      <c r="A356" s="54" t="s">
        <v>558</v>
      </c>
      <c r="B356" s="54" t="s">
        <v>559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67</v>
      </c>
      <c r="L356" s="32"/>
      <c r="M356" s="33" t="s">
        <v>560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69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561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562</v>
      </c>
      <c r="B357" s="54" t="s">
        <v>563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67</v>
      </c>
      <c r="L357" s="32"/>
      <c r="M357" s="33" t="s">
        <v>560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69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561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564</v>
      </c>
      <c r="B358" s="54" t="s">
        <v>565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67</v>
      </c>
      <c r="L358" s="32"/>
      <c r="M358" s="33" t="s">
        <v>560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69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561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88</v>
      </c>
      <c r="Q359" s="683"/>
      <c r="R359" s="683"/>
      <c r="S359" s="683"/>
      <c r="T359" s="683"/>
      <c r="U359" s="683"/>
      <c r="V359" s="684"/>
      <c r="W359" s="37" t="s">
        <v>89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88</v>
      </c>
      <c r="Q360" s="683"/>
      <c r="R360" s="683"/>
      <c r="S360" s="683"/>
      <c r="T360" s="683"/>
      <c r="U360" s="683"/>
      <c r="V360" s="684"/>
      <c r="W360" s="37" t="s">
        <v>69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566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149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hidden="1" customHeight="1" x14ac:dyDescent="0.25">
      <c r="A363" s="54" t="s">
        <v>567</v>
      </c>
      <c r="B363" s="54" t="s">
        <v>568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69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569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88</v>
      </c>
      <c r="Q364" s="683"/>
      <c r="R364" s="683"/>
      <c r="S364" s="683"/>
      <c r="T364" s="683"/>
      <c r="U364" s="683"/>
      <c r="V364" s="684"/>
      <c r="W364" s="37" t="s">
        <v>89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hidden="1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88</v>
      </c>
      <c r="Q365" s="683"/>
      <c r="R365" s="683"/>
      <c r="S365" s="683"/>
      <c r="T365" s="683"/>
      <c r="U365" s="683"/>
      <c r="V365" s="684"/>
      <c r="W365" s="37" t="s">
        <v>69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hidden="1" customHeight="1" x14ac:dyDescent="0.25">
      <c r="A366" s="679" t="s">
        <v>64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customHeight="1" x14ac:dyDescent="0.25">
      <c r="A367" s="54" t="s">
        <v>570</v>
      </c>
      <c r="B367" s="54" t="s">
        <v>571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69</v>
      </c>
      <c r="X367" s="663">
        <v>10</v>
      </c>
      <c r="Y367" s="664">
        <f>IFERROR(IF(X367="",0,CEILING((X367/$H367),1)*$H367),"")</f>
        <v>16.2</v>
      </c>
      <c r="Z367" s="36">
        <f>IFERROR(IF(Y367=0,"",ROUNDUP(Y367/H367,0)*0.01898),"")</f>
        <v>3.7960000000000001E-2</v>
      </c>
      <c r="AA367" s="56"/>
      <c r="AB367" s="57"/>
      <c r="AC367" s="411" t="s">
        <v>572</v>
      </c>
      <c r="AG367" s="64"/>
      <c r="AJ367" s="68"/>
      <c r="AK367" s="68">
        <v>0</v>
      </c>
      <c r="BB367" s="412" t="s">
        <v>1</v>
      </c>
      <c r="BM367" s="64">
        <f>IFERROR(X367*I367/H367,"0")</f>
        <v>10.640740740740741</v>
      </c>
      <c r="BN367" s="64">
        <f>IFERROR(Y367*I367/H367,"0")</f>
        <v>17.238</v>
      </c>
      <c r="BO367" s="64">
        <f>IFERROR(1/J367*(X367/H367),"0")</f>
        <v>1.9290123456790126E-2</v>
      </c>
      <c r="BP367" s="64">
        <f>IFERROR(1/J367*(Y367/H367),"0")</f>
        <v>3.125E-2</v>
      </c>
    </row>
    <row r="368" spans="1:68" ht="27" hidden="1" customHeight="1" x14ac:dyDescent="0.25">
      <c r="A368" s="54" t="s">
        <v>573</v>
      </c>
      <c r="B368" s="54" t="s">
        <v>574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69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575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576</v>
      </c>
      <c r="B369" s="54" t="s">
        <v>577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69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578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88</v>
      </c>
      <c r="Q370" s="683"/>
      <c r="R370" s="683"/>
      <c r="S370" s="683"/>
      <c r="T370" s="683"/>
      <c r="U370" s="683"/>
      <c r="V370" s="684"/>
      <c r="W370" s="37" t="s">
        <v>89</v>
      </c>
      <c r="X370" s="665">
        <f>IFERROR(X367/H367,"0")+IFERROR(X368/H368,"0")+IFERROR(X369/H369,"0")</f>
        <v>1.2345679012345681</v>
      </c>
      <c r="Y370" s="665">
        <f>IFERROR(Y367/H367,"0")+IFERROR(Y368/H368,"0")+IFERROR(Y369/H369,"0")</f>
        <v>2</v>
      </c>
      <c r="Z370" s="665">
        <f>IFERROR(IF(Z367="",0,Z367),"0")+IFERROR(IF(Z368="",0,Z368),"0")+IFERROR(IF(Z369="",0,Z369),"0")</f>
        <v>3.7960000000000001E-2</v>
      </c>
      <c r="AA370" s="666"/>
      <c r="AB370" s="666"/>
      <c r="AC370" s="666"/>
    </row>
    <row r="371" spans="1:68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88</v>
      </c>
      <c r="Q371" s="683"/>
      <c r="R371" s="683"/>
      <c r="S371" s="683"/>
      <c r="T371" s="683"/>
      <c r="U371" s="683"/>
      <c r="V371" s="684"/>
      <c r="W371" s="37" t="s">
        <v>69</v>
      </c>
      <c r="X371" s="665">
        <f>IFERROR(SUM(X367:X369),"0")</f>
        <v>10</v>
      </c>
      <c r="Y371" s="665">
        <f>IFERROR(SUM(Y367:Y369),"0")</f>
        <v>16.2</v>
      </c>
      <c r="Z371" s="37"/>
      <c r="AA371" s="666"/>
      <c r="AB371" s="666"/>
      <c r="AC371" s="666"/>
    </row>
    <row r="372" spans="1:68" ht="27.75" hidden="1" customHeight="1" x14ac:dyDescent="0.2">
      <c r="A372" s="677" t="s">
        <v>579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580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98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37.5" hidden="1" customHeight="1" x14ac:dyDescent="0.25">
      <c r="A375" s="54" t="s">
        <v>581</v>
      </c>
      <c r="B375" s="54" t="s">
        <v>582</v>
      </c>
      <c r="C375" s="31">
        <v>4301011869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68"/>
      <c r="R375" s="668"/>
      <c r="S375" s="668"/>
      <c r="T375" s="669"/>
      <c r="U375" s="34"/>
      <c r="V375" s="34"/>
      <c r="W375" s="35" t="s">
        <v>69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583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hidden="1" customHeight="1" x14ac:dyDescent="0.25">
      <c r="A376" s="54" t="s">
        <v>581</v>
      </c>
      <c r="B376" s="54" t="s">
        <v>584</v>
      </c>
      <c r="C376" s="31">
        <v>4301011946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101</v>
      </c>
      <c r="L376" s="32"/>
      <c r="M376" s="33" t="s">
        <v>390</v>
      </c>
      <c r="N376" s="33"/>
      <c r="O376" s="32">
        <v>60</v>
      </c>
      <c r="P376" s="77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68"/>
      <c r="R376" s="668"/>
      <c r="S376" s="668"/>
      <c r="T376" s="669"/>
      <c r="U376" s="34"/>
      <c r="V376" s="34"/>
      <c r="W376" s="35" t="s">
        <v>69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585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586</v>
      </c>
      <c r="B377" s="54" t="s">
        <v>587</v>
      </c>
      <c r="C377" s="31">
        <v>4301011870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69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588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586</v>
      </c>
      <c r="B378" s="54" t="s">
        <v>589</v>
      </c>
      <c r="C378" s="31">
        <v>4301011947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101</v>
      </c>
      <c r="L378" s="32"/>
      <c r="M378" s="33" t="s">
        <v>390</v>
      </c>
      <c r="N378" s="33"/>
      <c r="O378" s="32">
        <v>60</v>
      </c>
      <c r="P378" s="80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69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585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590</v>
      </c>
      <c r="B379" s="54" t="s">
        <v>591</v>
      </c>
      <c r="C379" s="31">
        <v>4301011832</v>
      </c>
      <c r="D379" s="675">
        <v>4607091383997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03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68"/>
      <c r="R379" s="668"/>
      <c r="S379" s="668"/>
      <c r="T379" s="669"/>
      <c r="U379" s="34"/>
      <c r="V379" s="34"/>
      <c r="W379" s="35" t="s">
        <v>69</v>
      </c>
      <c r="X379" s="663">
        <v>15</v>
      </c>
      <c r="Y379" s="664">
        <f t="shared" si="58"/>
        <v>15</v>
      </c>
      <c r="Z379" s="36">
        <f>IFERROR(IF(Y379=0,"",ROUNDUP(Y379/H379,0)*0.02175),"")</f>
        <v>2.1749999999999999E-2</v>
      </c>
      <c r="AA379" s="56"/>
      <c r="AB379" s="57"/>
      <c r="AC379" s="425" t="s">
        <v>592</v>
      </c>
      <c r="AG379" s="64"/>
      <c r="AJ379" s="68"/>
      <c r="AK379" s="68">
        <v>0</v>
      </c>
      <c r="BB379" s="426" t="s">
        <v>1</v>
      </c>
      <c r="BM379" s="64">
        <f t="shared" si="59"/>
        <v>15.48</v>
      </c>
      <c r="BN379" s="64">
        <f t="shared" si="60"/>
        <v>15.48</v>
      </c>
      <c r="BO379" s="64">
        <f t="shared" si="61"/>
        <v>2.0833333333333332E-2</v>
      </c>
      <c r="BP379" s="64">
        <f t="shared" si="62"/>
        <v>2.0833333333333332E-2</v>
      </c>
    </row>
    <row r="380" spans="1:68" ht="37.5" hidden="1" customHeight="1" x14ac:dyDescent="0.25">
      <c r="A380" s="54" t="s">
        <v>593</v>
      </c>
      <c r="B380" s="54" t="s">
        <v>594</v>
      </c>
      <c r="C380" s="31">
        <v>4301011867</v>
      </c>
      <c r="D380" s="675">
        <v>4680115884830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8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68"/>
      <c r="R380" s="668"/>
      <c r="S380" s="668"/>
      <c r="T380" s="669"/>
      <c r="U380" s="34"/>
      <c r="V380" s="34"/>
      <c r="W380" s="35" t="s">
        <v>69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595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593</v>
      </c>
      <c r="B381" s="54" t="s">
        <v>596</v>
      </c>
      <c r="C381" s="31">
        <v>4301011943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101</v>
      </c>
      <c r="L381" s="32"/>
      <c r="M381" s="33" t="s">
        <v>390</v>
      </c>
      <c r="N381" s="33"/>
      <c r="O381" s="32">
        <v>60</v>
      </c>
      <c r="P381" s="68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69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585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597</v>
      </c>
      <c r="B382" s="54" t="s">
        <v>598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69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600</v>
      </c>
      <c r="B383" s="54" t="s">
        <v>601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69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588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602</v>
      </c>
      <c r="B384" s="54" t="s">
        <v>603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69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595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88</v>
      </c>
      <c r="Q385" s="683"/>
      <c r="R385" s="683"/>
      <c r="S385" s="683"/>
      <c r="T385" s="683"/>
      <c r="U385" s="683"/>
      <c r="V385" s="684"/>
      <c r="W385" s="37" t="s">
        <v>89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1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1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2.1749999999999999E-2</v>
      </c>
      <c r="AA385" s="666"/>
      <c r="AB385" s="666"/>
      <c r="AC385" s="666"/>
    </row>
    <row r="386" spans="1:68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88</v>
      </c>
      <c r="Q386" s="683"/>
      <c r="R386" s="683"/>
      <c r="S386" s="683"/>
      <c r="T386" s="683"/>
      <c r="U386" s="683"/>
      <c r="V386" s="684"/>
      <c r="W386" s="37" t="s">
        <v>69</v>
      </c>
      <c r="X386" s="665">
        <f>IFERROR(SUM(X375:X384),"0")</f>
        <v>15</v>
      </c>
      <c r="Y386" s="665">
        <f>IFERROR(SUM(Y375:Y384),"0")</f>
        <v>15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138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customHeight="1" x14ac:dyDescent="0.25">
      <c r="A388" s="54" t="s">
        <v>604</v>
      </c>
      <c r="B388" s="54" t="s">
        <v>605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69</v>
      </c>
      <c r="X388" s="663">
        <v>170</v>
      </c>
      <c r="Y388" s="664">
        <f>IFERROR(IF(X388="",0,CEILING((X388/$H388),1)*$H388),"")</f>
        <v>180</v>
      </c>
      <c r="Z388" s="36">
        <f>IFERROR(IF(Y388=0,"",ROUNDUP(Y388/H388,0)*0.02175),"")</f>
        <v>0.26100000000000001</v>
      </c>
      <c r="AA388" s="56"/>
      <c r="AB388" s="57"/>
      <c r="AC388" s="437" t="s">
        <v>606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175.44</v>
      </c>
      <c r="BN388" s="64">
        <f>IFERROR(Y388*I388/H388,"0")</f>
        <v>185.76000000000002</v>
      </c>
      <c r="BO388" s="64">
        <f>IFERROR(1/J388*(X388/H388),"0")</f>
        <v>0.2361111111111111</v>
      </c>
      <c r="BP388" s="64">
        <f>IFERROR(1/J388*(Y388/H388),"0")</f>
        <v>0.25</v>
      </c>
    </row>
    <row r="389" spans="1:68" ht="27" hidden="1" customHeight="1" x14ac:dyDescent="0.25">
      <c r="A389" s="54" t="s">
        <v>607</v>
      </c>
      <c r="B389" s="54" t="s">
        <v>608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69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606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88</v>
      </c>
      <c r="Q390" s="683"/>
      <c r="R390" s="683"/>
      <c r="S390" s="683"/>
      <c r="T390" s="683"/>
      <c r="U390" s="683"/>
      <c r="V390" s="684"/>
      <c r="W390" s="37" t="s">
        <v>89</v>
      </c>
      <c r="X390" s="665">
        <f>IFERROR(X388/H388,"0")+IFERROR(X389/H389,"0")</f>
        <v>11.333333333333334</v>
      </c>
      <c r="Y390" s="665">
        <f>IFERROR(Y388/H388,"0")+IFERROR(Y389/H389,"0")</f>
        <v>12</v>
      </c>
      <c r="Z390" s="665">
        <f>IFERROR(IF(Z388="",0,Z388),"0")+IFERROR(IF(Z389="",0,Z389),"0")</f>
        <v>0.26100000000000001</v>
      </c>
      <c r="AA390" s="666"/>
      <c r="AB390" s="666"/>
      <c r="AC390" s="666"/>
    </row>
    <row r="391" spans="1:68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88</v>
      </c>
      <c r="Q391" s="683"/>
      <c r="R391" s="683"/>
      <c r="S391" s="683"/>
      <c r="T391" s="683"/>
      <c r="U391" s="683"/>
      <c r="V391" s="684"/>
      <c r="W391" s="37" t="s">
        <v>69</v>
      </c>
      <c r="X391" s="665">
        <f>IFERROR(SUM(X388:X389),"0")</f>
        <v>170</v>
      </c>
      <c r="Y391" s="665">
        <f>IFERROR(SUM(Y388:Y389),"0")</f>
        <v>180</v>
      </c>
      <c r="Z391" s="37"/>
      <c r="AA391" s="666"/>
      <c r="AB391" s="666"/>
      <c r="AC391" s="666"/>
    </row>
    <row r="392" spans="1:68" ht="14.25" hidden="1" customHeight="1" x14ac:dyDescent="0.25">
      <c r="A392" s="679" t="s">
        <v>64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609</v>
      </c>
      <c r="B393" s="54" t="s">
        <v>610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880" t="s">
        <v>611</v>
      </c>
      <c r="Q393" s="668"/>
      <c r="R393" s="668"/>
      <c r="S393" s="668"/>
      <c r="T393" s="669"/>
      <c r="U393" s="34"/>
      <c r="V393" s="34"/>
      <c r="W393" s="35" t="s">
        <v>69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612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613</v>
      </c>
      <c r="B394" s="54" t="s">
        <v>614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6" t="s">
        <v>615</v>
      </c>
      <c r="Q394" s="668"/>
      <c r="R394" s="668"/>
      <c r="S394" s="668"/>
      <c r="T394" s="669"/>
      <c r="U394" s="34"/>
      <c r="V394" s="34"/>
      <c r="W394" s="35" t="s">
        <v>69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616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88</v>
      </c>
      <c r="Q395" s="683"/>
      <c r="R395" s="683"/>
      <c r="S395" s="683"/>
      <c r="T395" s="683"/>
      <c r="U395" s="683"/>
      <c r="V395" s="684"/>
      <c r="W395" s="37" t="s">
        <v>89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hidden="1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88</v>
      </c>
      <c r="Q396" s="683"/>
      <c r="R396" s="683"/>
      <c r="S396" s="683"/>
      <c r="T396" s="683"/>
      <c r="U396" s="683"/>
      <c r="V396" s="684"/>
      <c r="W396" s="37" t="s">
        <v>69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175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hidden="1" customHeight="1" x14ac:dyDescent="0.25">
      <c r="A398" s="54" t="s">
        <v>617</v>
      </c>
      <c r="B398" s="54" t="s">
        <v>618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4" t="s">
        <v>619</v>
      </c>
      <c r="Q398" s="668"/>
      <c r="R398" s="668"/>
      <c r="S398" s="668"/>
      <c r="T398" s="669"/>
      <c r="U398" s="34"/>
      <c r="V398" s="34"/>
      <c r="W398" s="35" t="s">
        <v>69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620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88</v>
      </c>
      <c r="Q399" s="683"/>
      <c r="R399" s="683"/>
      <c r="S399" s="683"/>
      <c r="T399" s="683"/>
      <c r="U399" s="683"/>
      <c r="V399" s="684"/>
      <c r="W399" s="37" t="s">
        <v>89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hidden="1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88</v>
      </c>
      <c r="Q400" s="683"/>
      <c r="R400" s="683"/>
      <c r="S400" s="683"/>
      <c r="T400" s="683"/>
      <c r="U400" s="683"/>
      <c r="V400" s="684"/>
      <c r="W400" s="37" t="s">
        <v>69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hidden="1" customHeight="1" x14ac:dyDescent="0.25">
      <c r="A401" s="716" t="s">
        <v>621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98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622</v>
      </c>
      <c r="B403" s="54" t="s">
        <v>623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69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624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622</v>
      </c>
      <c r="B404" s="54" t="s">
        <v>625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69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626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627</v>
      </c>
      <c r="B405" s="54" t="s">
        <v>628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69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629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630</v>
      </c>
      <c r="B406" s="54" t="s">
        <v>631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69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629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632</v>
      </c>
      <c r="B407" s="54" t="s">
        <v>633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69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629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88</v>
      </c>
      <c r="Q408" s="683"/>
      <c r="R408" s="683"/>
      <c r="S408" s="683"/>
      <c r="T408" s="683"/>
      <c r="U408" s="683"/>
      <c r="V408" s="684"/>
      <c r="W408" s="37" t="s">
        <v>89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88</v>
      </c>
      <c r="Q409" s="683"/>
      <c r="R409" s="683"/>
      <c r="S409" s="683"/>
      <c r="T409" s="683"/>
      <c r="U409" s="683"/>
      <c r="V409" s="684"/>
      <c r="W409" s="37" t="s">
        <v>69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149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hidden="1" customHeight="1" x14ac:dyDescent="0.25">
      <c r="A411" s="54" t="s">
        <v>634</v>
      </c>
      <c r="B411" s="54" t="s">
        <v>635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69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636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637</v>
      </c>
      <c r="B412" s="54" t="s">
        <v>638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69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636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88</v>
      </c>
      <c r="Q413" s="683"/>
      <c r="R413" s="683"/>
      <c r="S413" s="683"/>
      <c r="T413" s="683"/>
      <c r="U413" s="683"/>
      <c r="V413" s="684"/>
      <c r="W413" s="37" t="s">
        <v>89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88</v>
      </c>
      <c r="Q414" s="683"/>
      <c r="R414" s="683"/>
      <c r="S414" s="683"/>
      <c r="T414" s="683"/>
      <c r="U414" s="683"/>
      <c r="V414" s="684"/>
      <c r="W414" s="37" t="s">
        <v>69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64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hidden="1" customHeight="1" x14ac:dyDescent="0.25">
      <c r="A416" s="54" t="s">
        <v>639</v>
      </c>
      <c r="B416" s="54" t="s">
        <v>640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69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641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642</v>
      </c>
      <c r="B417" s="54" t="s">
        <v>643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93" t="s">
        <v>644</v>
      </c>
      <c r="Q417" s="668"/>
      <c r="R417" s="668"/>
      <c r="S417" s="668"/>
      <c r="T417" s="669"/>
      <c r="U417" s="34"/>
      <c r="V417" s="34"/>
      <c r="W417" s="35" t="s">
        <v>69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645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646</v>
      </c>
      <c r="B418" s="54" t="s">
        <v>647</v>
      </c>
      <c r="C418" s="31">
        <v>4301051297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68"/>
      <c r="R418" s="668"/>
      <c r="S418" s="668"/>
      <c r="T418" s="669"/>
      <c r="U418" s="34"/>
      <c r="V418" s="34"/>
      <c r="W418" s="35" t="s">
        <v>69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648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646</v>
      </c>
      <c r="B419" s="54" t="s">
        <v>649</v>
      </c>
      <c r="C419" s="31">
        <v>4301051660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68"/>
      <c r="R419" s="668"/>
      <c r="S419" s="668"/>
      <c r="T419" s="669"/>
      <c r="U419" s="34"/>
      <c r="V419" s="34"/>
      <c r="W419" s="35" t="s">
        <v>69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641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650</v>
      </c>
      <c r="B420" s="54" t="s">
        <v>651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69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88</v>
      </c>
      <c r="Q421" s="683"/>
      <c r="R421" s="683"/>
      <c r="S421" s="683"/>
      <c r="T421" s="683"/>
      <c r="U421" s="683"/>
      <c r="V421" s="684"/>
      <c r="W421" s="37" t="s">
        <v>89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hidden="1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88</v>
      </c>
      <c r="Q422" s="683"/>
      <c r="R422" s="683"/>
      <c r="S422" s="683"/>
      <c r="T422" s="683"/>
      <c r="U422" s="683"/>
      <c r="V422" s="684"/>
      <c r="W422" s="37" t="s">
        <v>69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175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653</v>
      </c>
      <c r="B424" s="54" t="s">
        <v>654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52" t="s">
        <v>655</v>
      </c>
      <c r="Q424" s="668"/>
      <c r="R424" s="668"/>
      <c r="S424" s="668"/>
      <c r="T424" s="669"/>
      <c r="U424" s="34"/>
      <c r="V424" s="34"/>
      <c r="W424" s="35" t="s">
        <v>69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656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88</v>
      </c>
      <c r="Q425" s="683"/>
      <c r="R425" s="683"/>
      <c r="S425" s="683"/>
      <c r="T425" s="683"/>
      <c r="U425" s="683"/>
      <c r="V425" s="684"/>
      <c r="W425" s="37" t="s">
        <v>89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88</v>
      </c>
      <c r="Q426" s="683"/>
      <c r="R426" s="683"/>
      <c r="S426" s="683"/>
      <c r="T426" s="683"/>
      <c r="U426" s="683"/>
      <c r="V426" s="684"/>
      <c r="W426" s="37" t="s">
        <v>69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657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658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149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hidden="1" customHeight="1" x14ac:dyDescent="0.25">
      <c r="A430" s="54" t="s">
        <v>659</v>
      </c>
      <c r="B430" s="54" t="s">
        <v>660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9" t="s">
        <v>661</v>
      </c>
      <c r="Q430" s="668"/>
      <c r="R430" s="668"/>
      <c r="S430" s="668"/>
      <c r="T430" s="669"/>
      <c r="U430" s="34"/>
      <c r="V430" s="34"/>
      <c r="W430" s="35" t="s">
        <v>69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662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4301031406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24" t="s">
        <v>665</v>
      </c>
      <c r="Q431" s="668"/>
      <c r="R431" s="668"/>
      <c r="S431" s="668"/>
      <c r="T431" s="669"/>
      <c r="U431" s="34"/>
      <c r="V431" s="34"/>
      <c r="W431" s="35" t="s">
        <v>69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666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663</v>
      </c>
      <c r="B432" s="54" t="s">
        <v>667</v>
      </c>
      <c r="C432" s="31">
        <v>4301031382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10" t="s">
        <v>665</v>
      </c>
      <c r="Q432" s="668"/>
      <c r="R432" s="668"/>
      <c r="S432" s="668"/>
      <c r="T432" s="669"/>
      <c r="U432" s="34"/>
      <c r="V432" s="34"/>
      <c r="W432" s="35" t="s">
        <v>69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666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668</v>
      </c>
      <c r="B433" s="54" t="s">
        <v>669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23" t="s">
        <v>670</v>
      </c>
      <c r="Q433" s="668"/>
      <c r="R433" s="668"/>
      <c r="S433" s="668"/>
      <c r="T433" s="669"/>
      <c r="U433" s="34"/>
      <c r="V433" s="34"/>
      <c r="W433" s="35" t="s">
        <v>69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671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672</v>
      </c>
      <c r="B434" s="54" t="s">
        <v>673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69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662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672</v>
      </c>
      <c r="B435" s="54" t="s">
        <v>674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8" t="s">
        <v>675</v>
      </c>
      <c r="Q435" s="668"/>
      <c r="R435" s="668"/>
      <c r="S435" s="668"/>
      <c r="T435" s="669"/>
      <c r="U435" s="34"/>
      <c r="V435" s="34"/>
      <c r="W435" s="35" t="s">
        <v>69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662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676</v>
      </c>
      <c r="B436" s="54" t="s">
        <v>677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69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662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678</v>
      </c>
      <c r="B437" s="54" t="s">
        <v>679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69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680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681</v>
      </c>
      <c r="B438" s="54" t="s">
        <v>682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69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681</v>
      </c>
      <c r="B439" s="54" t="s">
        <v>684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22" t="s">
        <v>685</v>
      </c>
      <c r="Q439" s="668"/>
      <c r="R439" s="668"/>
      <c r="S439" s="668"/>
      <c r="T439" s="669"/>
      <c r="U439" s="34"/>
      <c r="V439" s="34"/>
      <c r="W439" s="35" t="s">
        <v>69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686</v>
      </c>
      <c r="B440" s="54" t="s">
        <v>687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69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689</v>
      </c>
      <c r="B441" s="54" t="s">
        <v>690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69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88</v>
      </c>
      <c r="Q442" s="683"/>
      <c r="R442" s="683"/>
      <c r="S442" s="683"/>
      <c r="T442" s="683"/>
      <c r="U442" s="683"/>
      <c r="V442" s="684"/>
      <c r="W442" s="37" t="s">
        <v>89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hidden="1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88</v>
      </c>
      <c r="Q443" s="683"/>
      <c r="R443" s="683"/>
      <c r="S443" s="683"/>
      <c r="T443" s="683"/>
      <c r="U443" s="683"/>
      <c r="V443" s="684"/>
      <c r="W443" s="37" t="s">
        <v>69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hidden="1" customHeight="1" x14ac:dyDescent="0.25">
      <c r="A444" s="679" t="s">
        <v>64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691</v>
      </c>
      <c r="B445" s="54" t="s">
        <v>692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69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693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694</v>
      </c>
      <c r="B446" s="54" t="s">
        <v>695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69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696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88</v>
      </c>
      <c r="Q447" s="683"/>
      <c r="R447" s="683"/>
      <c r="S447" s="683"/>
      <c r="T447" s="683"/>
      <c r="U447" s="683"/>
      <c r="V447" s="684"/>
      <c r="W447" s="37" t="s">
        <v>89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88</v>
      </c>
      <c r="Q448" s="683"/>
      <c r="R448" s="683"/>
      <c r="S448" s="683"/>
      <c r="T448" s="683"/>
      <c r="U448" s="683"/>
      <c r="V448" s="684"/>
      <c r="W448" s="37" t="s">
        <v>69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697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138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698</v>
      </c>
      <c r="B451" s="54" t="s">
        <v>699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69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700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701</v>
      </c>
      <c r="B452" s="54" t="s">
        <v>702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69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703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88</v>
      </c>
      <c r="Q453" s="683"/>
      <c r="R453" s="683"/>
      <c r="S453" s="683"/>
      <c r="T453" s="683"/>
      <c r="U453" s="683"/>
      <c r="V453" s="684"/>
      <c r="W453" s="37" t="s">
        <v>89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88</v>
      </c>
      <c r="Q454" s="683"/>
      <c r="R454" s="683"/>
      <c r="S454" s="683"/>
      <c r="T454" s="683"/>
      <c r="U454" s="683"/>
      <c r="V454" s="684"/>
      <c r="W454" s="37" t="s">
        <v>69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149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hidden="1" customHeight="1" x14ac:dyDescent="0.25">
      <c r="A456" s="54" t="s">
        <v>704</v>
      </c>
      <c r="B456" s="54" t="s">
        <v>705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63" t="s">
        <v>706</v>
      </c>
      <c r="Q456" s="668"/>
      <c r="R456" s="668"/>
      <c r="S456" s="668"/>
      <c r="T456" s="669"/>
      <c r="U456" s="34"/>
      <c r="V456" s="34"/>
      <c r="W456" s="35" t="s">
        <v>69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707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708</v>
      </c>
      <c r="B457" s="54" t="s">
        <v>709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69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710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711</v>
      </c>
      <c r="B458" s="54" t="s">
        <v>712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32" t="s">
        <v>713</v>
      </c>
      <c r="Q458" s="668"/>
      <c r="R458" s="668"/>
      <c r="S458" s="668"/>
      <c r="T458" s="669"/>
      <c r="U458" s="34"/>
      <c r="V458" s="34"/>
      <c r="W458" s="35" t="s">
        <v>69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714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715</v>
      </c>
      <c r="B459" s="54" t="s">
        <v>716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69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714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88</v>
      </c>
      <c r="Q460" s="683"/>
      <c r="R460" s="683"/>
      <c r="S460" s="683"/>
      <c r="T460" s="683"/>
      <c r="U460" s="683"/>
      <c r="V460" s="684"/>
      <c r="W460" s="37" t="s">
        <v>89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hidden="1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88</v>
      </c>
      <c r="Q461" s="683"/>
      <c r="R461" s="683"/>
      <c r="S461" s="683"/>
      <c r="T461" s="683"/>
      <c r="U461" s="683"/>
      <c r="V461" s="684"/>
      <c r="W461" s="37" t="s">
        <v>69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hidden="1" customHeight="1" x14ac:dyDescent="0.25">
      <c r="A462" s="716" t="s">
        <v>717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149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hidden="1" customHeight="1" x14ac:dyDescent="0.25">
      <c r="A464" s="54" t="s">
        <v>718</v>
      </c>
      <c r="B464" s="54" t="s">
        <v>719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69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720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6" t="s">
        <v>723</v>
      </c>
      <c r="Q465" s="668"/>
      <c r="R465" s="668"/>
      <c r="S465" s="668"/>
      <c r="T465" s="669"/>
      <c r="U465" s="34"/>
      <c r="V465" s="34"/>
      <c r="W465" s="35" t="s">
        <v>69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724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88</v>
      </c>
      <c r="Q466" s="683"/>
      <c r="R466" s="683"/>
      <c r="S466" s="683"/>
      <c r="T466" s="683"/>
      <c r="U466" s="683"/>
      <c r="V466" s="684"/>
      <c r="W466" s="37" t="s">
        <v>89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88</v>
      </c>
      <c r="Q467" s="683"/>
      <c r="R467" s="683"/>
      <c r="S467" s="683"/>
      <c r="T467" s="683"/>
      <c r="U467" s="683"/>
      <c r="V467" s="684"/>
      <c r="W467" s="37" t="s">
        <v>69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716" t="s">
        <v>725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149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726</v>
      </c>
      <c r="B470" s="54" t="s">
        <v>727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69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728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88</v>
      </c>
      <c r="Q471" s="683"/>
      <c r="R471" s="683"/>
      <c r="S471" s="683"/>
      <c r="T471" s="683"/>
      <c r="U471" s="683"/>
      <c r="V471" s="684"/>
      <c r="W471" s="37" t="s">
        <v>89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88</v>
      </c>
      <c r="Q472" s="683"/>
      <c r="R472" s="683"/>
      <c r="S472" s="683"/>
      <c r="T472" s="683"/>
      <c r="U472" s="683"/>
      <c r="V472" s="684"/>
      <c r="W472" s="37" t="s">
        <v>69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175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729</v>
      </c>
      <c r="B474" s="54" t="s">
        <v>730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69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731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88</v>
      </c>
      <c r="Q475" s="683"/>
      <c r="R475" s="683"/>
      <c r="S475" s="683"/>
      <c r="T475" s="683"/>
      <c r="U475" s="683"/>
      <c r="V475" s="684"/>
      <c r="W475" s="37" t="s">
        <v>89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88</v>
      </c>
      <c r="Q476" s="683"/>
      <c r="R476" s="683"/>
      <c r="S476" s="683"/>
      <c r="T476" s="683"/>
      <c r="U476" s="683"/>
      <c r="V476" s="684"/>
      <c r="W476" s="37" t="s">
        <v>69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732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732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98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hidden="1" customHeight="1" x14ac:dyDescent="0.25">
      <c r="A480" s="54" t="s">
        <v>733</v>
      </c>
      <c r="B480" s="54" t="s">
        <v>734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69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735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hidden="1" customHeight="1" x14ac:dyDescent="0.25">
      <c r="A481" s="54" t="s">
        <v>736</v>
      </c>
      <c r="B481" s="54" t="s">
        <v>737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69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738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hidden="1" customHeight="1" x14ac:dyDescent="0.25">
      <c r="A482" s="54" t="s">
        <v>739</v>
      </c>
      <c r="B482" s="54" t="s">
        <v>740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69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741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69</v>
      </c>
      <c r="X483" s="663">
        <v>0</v>
      </c>
      <c r="Y483" s="664">
        <f t="shared" si="69"/>
        <v>0</v>
      </c>
      <c r="Z483" s="36" t="str">
        <f>IFERROR(IF(Y483=0,"",ROUNDUP(Y483/H483,0)*0.01196),"")</f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0"/>
        <v>0</v>
      </c>
      <c r="BN483" s="64">
        <f t="shared" si="71"/>
        <v>0</v>
      </c>
      <c r="BO483" s="64">
        <f t="shared" si="72"/>
        <v>0</v>
      </c>
      <c r="BP483" s="64">
        <f t="shared" si="73"/>
        <v>0</v>
      </c>
    </row>
    <row r="484" spans="1:68" ht="16.5" hidden="1" customHeight="1" x14ac:dyDescent="0.25">
      <c r="A484" s="54" t="s">
        <v>745</v>
      </c>
      <c r="B484" s="54" t="s">
        <v>746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101</v>
      </c>
      <c r="L484" s="32"/>
      <c r="M484" s="33" t="s">
        <v>108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69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748</v>
      </c>
      <c r="B485" s="54" t="s">
        <v>749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67</v>
      </c>
      <c r="L485" s="32"/>
      <c r="M485" s="33" t="s">
        <v>108</v>
      </c>
      <c r="N485" s="33"/>
      <c r="O485" s="32">
        <v>60</v>
      </c>
      <c r="P485" s="920" t="s">
        <v>750</v>
      </c>
      <c r="Q485" s="668"/>
      <c r="R485" s="668"/>
      <c r="S485" s="668"/>
      <c r="T485" s="669"/>
      <c r="U485" s="34"/>
      <c r="V485" s="34"/>
      <c r="W485" s="35" t="s">
        <v>69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735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751</v>
      </c>
      <c r="B486" s="54" t="s">
        <v>752</v>
      </c>
      <c r="C486" s="31">
        <v>4301011778</v>
      </c>
      <c r="D486" s="675">
        <v>4680115880603</v>
      </c>
      <c r="E486" s="676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106</v>
      </c>
      <c r="L486" s="32"/>
      <c r="M486" s="33" t="s">
        <v>102</v>
      </c>
      <c r="N486" s="33"/>
      <c r="O486" s="32">
        <v>60</v>
      </c>
      <c r="P486" s="101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68"/>
      <c r="R486" s="668"/>
      <c r="S486" s="668"/>
      <c r="T486" s="669"/>
      <c r="U486" s="34"/>
      <c r="V486" s="34"/>
      <c r="W486" s="35" t="s">
        <v>69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735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751</v>
      </c>
      <c r="B487" s="54" t="s">
        <v>753</v>
      </c>
      <c r="C487" s="31">
        <v>4301012035</v>
      </c>
      <c r="D487" s="675">
        <v>4680115880603</v>
      </c>
      <c r="E487" s="676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68"/>
      <c r="R487" s="668"/>
      <c r="S487" s="668"/>
      <c r="T487" s="669"/>
      <c r="U487" s="34"/>
      <c r="V487" s="34"/>
      <c r="W487" s="35" t="s">
        <v>69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735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754</v>
      </c>
      <c r="B488" s="54" t="s">
        <v>755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106</v>
      </c>
      <c r="L488" s="32"/>
      <c r="M488" s="33" t="s">
        <v>102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69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738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756</v>
      </c>
      <c r="B489" s="54" t="s">
        <v>757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106</v>
      </c>
      <c r="L489" s="32"/>
      <c r="M489" s="33" t="s">
        <v>102</v>
      </c>
      <c r="N489" s="33"/>
      <c r="O489" s="32">
        <v>60</v>
      </c>
      <c r="P489" s="856" t="s">
        <v>758</v>
      </c>
      <c r="Q489" s="668"/>
      <c r="R489" s="668"/>
      <c r="S489" s="668"/>
      <c r="T489" s="669"/>
      <c r="U489" s="34"/>
      <c r="V489" s="34"/>
      <c r="W489" s="35" t="s">
        <v>69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741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759</v>
      </c>
      <c r="B490" s="54" t="s">
        <v>760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6" t="s">
        <v>761</v>
      </c>
      <c r="Q490" s="668"/>
      <c r="R490" s="668"/>
      <c r="S490" s="668"/>
      <c r="T490" s="669"/>
      <c r="U490" s="34"/>
      <c r="V490" s="34"/>
      <c r="W490" s="35" t="s">
        <v>69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762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763</v>
      </c>
      <c r="B491" s="54" t="s">
        <v>764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67</v>
      </c>
      <c r="L491" s="32"/>
      <c r="M491" s="33" t="s">
        <v>102</v>
      </c>
      <c r="N491" s="33"/>
      <c r="O491" s="32">
        <v>60</v>
      </c>
      <c r="P491" s="848" t="s">
        <v>765</v>
      </c>
      <c r="Q491" s="668"/>
      <c r="R491" s="668"/>
      <c r="S491" s="668"/>
      <c r="T491" s="669"/>
      <c r="U491" s="34"/>
      <c r="V491" s="34"/>
      <c r="W491" s="35" t="s">
        <v>69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766</v>
      </c>
      <c r="B492" s="54" t="s">
        <v>767</v>
      </c>
      <c r="C492" s="31">
        <v>4301011784</v>
      </c>
      <c r="D492" s="675">
        <v>4607091389982</v>
      </c>
      <c r="E492" s="676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106</v>
      </c>
      <c r="L492" s="32"/>
      <c r="M492" s="33" t="s">
        <v>102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69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744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766</v>
      </c>
      <c r="B493" s="54" t="s">
        <v>768</v>
      </c>
      <c r="C493" s="31">
        <v>4301012034</v>
      </c>
      <c r="D493" s="675">
        <v>4607091389982</v>
      </c>
      <c r="E493" s="676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106</v>
      </c>
      <c r="L493" s="32"/>
      <c r="M493" s="33" t="s">
        <v>102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69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744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769</v>
      </c>
      <c r="B494" s="54" t="s">
        <v>770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69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idden="1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88</v>
      </c>
      <c r="Q495" s="683"/>
      <c r="R495" s="683"/>
      <c r="S495" s="683"/>
      <c r="T495" s="683"/>
      <c r="U495" s="683"/>
      <c r="V495" s="684"/>
      <c r="W495" s="37" t="s">
        <v>89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0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0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66"/>
      <c r="AB495" s="666"/>
      <c r="AC495" s="666"/>
    </row>
    <row r="496" spans="1:68" hidden="1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88</v>
      </c>
      <c r="Q496" s="683"/>
      <c r="R496" s="683"/>
      <c r="S496" s="683"/>
      <c r="T496" s="683"/>
      <c r="U496" s="683"/>
      <c r="V496" s="684"/>
      <c r="W496" s="37" t="s">
        <v>69</v>
      </c>
      <c r="X496" s="665">
        <f>IFERROR(SUM(X480:X494),"0")</f>
        <v>0</v>
      </c>
      <c r="Y496" s="665">
        <f>IFERROR(SUM(Y480:Y494),"0")</f>
        <v>0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138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hidden="1" customHeight="1" x14ac:dyDescent="0.25">
      <c r="A498" s="54" t="s">
        <v>771</v>
      </c>
      <c r="B498" s="54" t="s">
        <v>772</v>
      </c>
      <c r="C498" s="31">
        <v>4301020222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101</v>
      </c>
      <c r="L498" s="32"/>
      <c r="M498" s="33" t="s">
        <v>102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68"/>
      <c r="R498" s="668"/>
      <c r="S498" s="668"/>
      <c r="T498" s="669"/>
      <c r="U498" s="34"/>
      <c r="V498" s="34"/>
      <c r="W498" s="35" t="s">
        <v>69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773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hidden="1" customHeight="1" x14ac:dyDescent="0.25">
      <c r="A499" s="54" t="s">
        <v>771</v>
      </c>
      <c r="B499" s="54" t="s">
        <v>774</v>
      </c>
      <c r="C499" s="31">
        <v>4301020334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101</v>
      </c>
      <c r="L499" s="32"/>
      <c r="M499" s="33" t="s">
        <v>108</v>
      </c>
      <c r="N499" s="33"/>
      <c r="O499" s="32">
        <v>70</v>
      </c>
      <c r="P499" s="1032" t="s">
        <v>775</v>
      </c>
      <c r="Q499" s="668"/>
      <c r="R499" s="668"/>
      <c r="S499" s="668"/>
      <c r="T499" s="669"/>
      <c r="U499" s="34"/>
      <c r="V499" s="34"/>
      <c r="W499" s="35" t="s">
        <v>69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777</v>
      </c>
      <c r="B500" s="54" t="s">
        <v>778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67</v>
      </c>
      <c r="L500" s="32"/>
      <c r="M500" s="33" t="s">
        <v>108</v>
      </c>
      <c r="N500" s="33"/>
      <c r="O500" s="32">
        <v>70</v>
      </c>
      <c r="P500" s="915" t="s">
        <v>779</v>
      </c>
      <c r="Q500" s="668"/>
      <c r="R500" s="668"/>
      <c r="S500" s="668"/>
      <c r="T500" s="669"/>
      <c r="U500" s="34"/>
      <c r="V500" s="34"/>
      <c r="W500" s="35" t="s">
        <v>69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776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780</v>
      </c>
      <c r="B501" s="54" t="s">
        <v>781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70</v>
      </c>
      <c r="P501" s="830" t="s">
        <v>782</v>
      </c>
      <c r="Q501" s="668"/>
      <c r="R501" s="668"/>
      <c r="S501" s="668"/>
      <c r="T501" s="669"/>
      <c r="U501" s="34"/>
      <c r="V501" s="34"/>
      <c r="W501" s="35" t="s">
        <v>69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776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idden="1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88</v>
      </c>
      <c r="Q502" s="683"/>
      <c r="R502" s="683"/>
      <c r="S502" s="683"/>
      <c r="T502" s="683"/>
      <c r="U502" s="683"/>
      <c r="V502" s="684"/>
      <c r="W502" s="37" t="s">
        <v>89</v>
      </c>
      <c r="X502" s="665">
        <f>IFERROR(X498/H498,"0")+IFERROR(X499/H499,"0")+IFERROR(X500/H500,"0")+IFERROR(X501/H501,"0")</f>
        <v>0</v>
      </c>
      <c r="Y502" s="665">
        <f>IFERROR(Y498/H498,"0")+IFERROR(Y499/H499,"0")+IFERROR(Y500/H500,"0")+IFERROR(Y501/H501,"0")</f>
        <v>0</v>
      </c>
      <c r="Z502" s="665">
        <f>IFERROR(IF(Z498="",0,Z498),"0")+IFERROR(IF(Z499="",0,Z499),"0")+IFERROR(IF(Z500="",0,Z500),"0")+IFERROR(IF(Z501="",0,Z501),"0")</f>
        <v>0</v>
      </c>
      <c r="AA502" s="666"/>
      <c r="AB502" s="666"/>
      <c r="AC502" s="666"/>
    </row>
    <row r="503" spans="1:68" hidden="1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88</v>
      </c>
      <c r="Q503" s="683"/>
      <c r="R503" s="683"/>
      <c r="S503" s="683"/>
      <c r="T503" s="683"/>
      <c r="U503" s="683"/>
      <c r="V503" s="684"/>
      <c r="W503" s="37" t="s">
        <v>69</v>
      </c>
      <c r="X503" s="665">
        <f>IFERROR(SUM(X498:X501),"0")</f>
        <v>0</v>
      </c>
      <c r="Y503" s="665">
        <f>IFERROR(SUM(Y498:Y501),"0")</f>
        <v>0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149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hidden="1" customHeight="1" x14ac:dyDescent="0.25">
      <c r="A505" s="54" t="s">
        <v>783</v>
      </c>
      <c r="B505" s="54" t="s">
        <v>784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70</v>
      </c>
      <c r="P505" s="1047" t="s">
        <v>785</v>
      </c>
      <c r="Q505" s="668"/>
      <c r="R505" s="668"/>
      <c r="S505" s="668"/>
      <c r="T505" s="669"/>
      <c r="U505" s="34"/>
      <c r="V505" s="34"/>
      <c r="W505" s="35" t="s">
        <v>69</v>
      </c>
      <c r="X505" s="663">
        <v>0</v>
      </c>
      <c r="Y505" s="664">
        <f t="shared" ref="Y505:Y516" si="74"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786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0</v>
      </c>
      <c r="BN505" s="64">
        <f t="shared" ref="BN505:BN516" si="76">IFERROR(Y505*I505/H505,"0")</f>
        <v>0</v>
      </c>
      <c r="BO505" s="64">
        <f t="shared" ref="BO505:BO516" si="77">IFERROR(1/J505*(X505/H505),"0")</f>
        <v>0</v>
      </c>
      <c r="BP505" s="64">
        <f t="shared" ref="BP505:BP516" si="78">IFERROR(1/J505*(Y505/H505),"0")</f>
        <v>0</v>
      </c>
    </row>
    <row r="506" spans="1:68" ht="27" hidden="1" customHeight="1" x14ac:dyDescent="0.25">
      <c r="A506" s="54" t="s">
        <v>787</v>
      </c>
      <c r="B506" s="54" t="s">
        <v>788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101</v>
      </c>
      <c r="L506" s="32"/>
      <c r="M506" s="33" t="s">
        <v>68</v>
      </c>
      <c r="N506" s="33"/>
      <c r="O506" s="32">
        <v>70</v>
      </c>
      <c r="P506" s="901" t="s">
        <v>789</v>
      </c>
      <c r="Q506" s="668"/>
      <c r="R506" s="668"/>
      <c r="S506" s="668"/>
      <c r="T506" s="669"/>
      <c r="U506" s="34"/>
      <c r="V506" s="34"/>
      <c r="W506" s="35" t="s">
        <v>69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customHeight="1" x14ac:dyDescent="0.25">
      <c r="A507" s="54" t="s">
        <v>791</v>
      </c>
      <c r="B507" s="54" t="s">
        <v>792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8" t="s">
        <v>793</v>
      </c>
      <c r="Q507" s="668"/>
      <c r="R507" s="668"/>
      <c r="S507" s="668"/>
      <c r="T507" s="669"/>
      <c r="U507" s="34"/>
      <c r="V507" s="34"/>
      <c r="W507" s="35" t="s">
        <v>69</v>
      </c>
      <c r="X507" s="663">
        <v>20</v>
      </c>
      <c r="Y507" s="664">
        <f t="shared" si="74"/>
        <v>21.12</v>
      </c>
      <c r="Z507" s="36">
        <f>IFERROR(IF(Y507=0,"",ROUNDUP(Y507/H507,0)*0.01196),"")</f>
        <v>4.7840000000000001E-2</v>
      </c>
      <c r="AA507" s="56"/>
      <c r="AB507" s="57"/>
      <c r="AC507" s="563" t="s">
        <v>794</v>
      </c>
      <c r="AG507" s="64"/>
      <c r="AJ507" s="68"/>
      <c r="AK507" s="68">
        <v>0</v>
      </c>
      <c r="BB507" s="564" t="s">
        <v>1</v>
      </c>
      <c r="BM507" s="64">
        <f t="shared" si="75"/>
        <v>21.363636363636363</v>
      </c>
      <c r="BN507" s="64">
        <f t="shared" si="76"/>
        <v>22.56</v>
      </c>
      <c r="BO507" s="64">
        <f t="shared" si="77"/>
        <v>3.6421911421911424E-2</v>
      </c>
      <c r="BP507" s="64">
        <f t="shared" si="78"/>
        <v>3.8461538461538464E-2</v>
      </c>
    </row>
    <row r="508" spans="1:68" ht="27" hidden="1" customHeight="1" x14ac:dyDescent="0.25">
      <c r="A508" s="54" t="s">
        <v>795</v>
      </c>
      <c r="B508" s="54" t="s">
        <v>796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67</v>
      </c>
      <c r="L508" s="32"/>
      <c r="M508" s="33" t="s">
        <v>102</v>
      </c>
      <c r="N508" s="33"/>
      <c r="O508" s="32">
        <v>70</v>
      </c>
      <c r="P508" s="762" t="s">
        <v>797</v>
      </c>
      <c r="Q508" s="668"/>
      <c r="R508" s="668"/>
      <c r="S508" s="668"/>
      <c r="T508" s="669"/>
      <c r="U508" s="34"/>
      <c r="V508" s="34"/>
      <c r="W508" s="35" t="s">
        <v>69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786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798</v>
      </c>
      <c r="B509" s="54" t="s">
        <v>799</v>
      </c>
      <c r="C509" s="31">
        <v>4301031419</v>
      </c>
      <c r="D509" s="675">
        <v>4680115882072</v>
      </c>
      <c r="E509" s="676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106</v>
      </c>
      <c r="L509" s="32"/>
      <c r="M509" s="33" t="s">
        <v>102</v>
      </c>
      <c r="N509" s="33"/>
      <c r="O509" s="32">
        <v>70</v>
      </c>
      <c r="P509" s="1010" t="s">
        <v>800</v>
      </c>
      <c r="Q509" s="668"/>
      <c r="R509" s="668"/>
      <c r="S509" s="668"/>
      <c r="T509" s="669"/>
      <c r="U509" s="34"/>
      <c r="V509" s="34"/>
      <c r="W509" s="35" t="s">
        <v>69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786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798</v>
      </c>
      <c r="B510" s="54" t="s">
        <v>801</v>
      </c>
      <c r="C510" s="31">
        <v>4301031351</v>
      </c>
      <c r="D510" s="675">
        <v>4680115882072</v>
      </c>
      <c r="E510" s="676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946" t="s">
        <v>802</v>
      </c>
      <c r="Q510" s="668"/>
      <c r="R510" s="668"/>
      <c r="S510" s="668"/>
      <c r="T510" s="669"/>
      <c r="U510" s="34"/>
      <c r="V510" s="34"/>
      <c r="W510" s="35" t="s">
        <v>69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786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798</v>
      </c>
      <c r="B511" s="54" t="s">
        <v>803</v>
      </c>
      <c r="C511" s="31">
        <v>4301031383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7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68"/>
      <c r="R511" s="668"/>
      <c r="S511" s="668"/>
      <c r="T511" s="669"/>
      <c r="U511" s="34"/>
      <c r="V511" s="34"/>
      <c r="W511" s="35" t="s">
        <v>69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805</v>
      </c>
      <c r="B512" s="54" t="s">
        <v>806</v>
      </c>
      <c r="C512" s="31">
        <v>4301031251</v>
      </c>
      <c r="D512" s="675">
        <v>4680115882102</v>
      </c>
      <c r="E512" s="676"/>
      <c r="F512" s="662">
        <v>0.6</v>
      </c>
      <c r="G512" s="32">
        <v>6</v>
      </c>
      <c r="H512" s="662">
        <v>3.6</v>
      </c>
      <c r="I512" s="662">
        <v>3.81</v>
      </c>
      <c r="J512" s="32">
        <v>132</v>
      </c>
      <c r="K512" s="32" t="s">
        <v>106</v>
      </c>
      <c r="L512" s="32"/>
      <c r="M512" s="33" t="s">
        <v>68</v>
      </c>
      <c r="N512" s="33"/>
      <c r="O512" s="32">
        <v>60</v>
      </c>
      <c r="P512" s="92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68"/>
      <c r="R512" s="668"/>
      <c r="S512" s="668"/>
      <c r="T512" s="669"/>
      <c r="U512" s="34"/>
      <c r="V512" s="34"/>
      <c r="W512" s="35" t="s">
        <v>69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807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805</v>
      </c>
      <c r="B513" s="54" t="s">
        <v>808</v>
      </c>
      <c r="C513" s="31">
        <v>4301031418</v>
      </c>
      <c r="D513" s="675">
        <v>4680115882102</v>
      </c>
      <c r="E513" s="676"/>
      <c r="F513" s="662">
        <v>0.6</v>
      </c>
      <c r="G513" s="32">
        <v>8</v>
      </c>
      <c r="H513" s="662">
        <v>4.8</v>
      </c>
      <c r="I513" s="662">
        <v>6.69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70</v>
      </c>
      <c r="P513" s="834" t="s">
        <v>809</v>
      </c>
      <c r="Q513" s="668"/>
      <c r="R513" s="668"/>
      <c r="S513" s="668"/>
      <c r="T513" s="669"/>
      <c r="U513" s="34"/>
      <c r="V513" s="34"/>
      <c r="W513" s="35" t="s">
        <v>69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790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810</v>
      </c>
      <c r="B514" s="54" t="s">
        <v>811</v>
      </c>
      <c r="C514" s="31">
        <v>4301031253</v>
      </c>
      <c r="D514" s="675">
        <v>4680115882096</v>
      </c>
      <c r="E514" s="676"/>
      <c r="F514" s="662">
        <v>0.6</v>
      </c>
      <c r="G514" s="32">
        <v>6</v>
      </c>
      <c r="H514" s="662">
        <v>3.6</v>
      </c>
      <c r="I514" s="662">
        <v>3.81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60</v>
      </c>
      <c r="P514" s="85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4" s="668"/>
      <c r="R514" s="668"/>
      <c r="S514" s="668"/>
      <c r="T514" s="669"/>
      <c r="U514" s="34"/>
      <c r="V514" s="34"/>
      <c r="W514" s="35" t="s">
        <v>69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812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810</v>
      </c>
      <c r="B515" s="54" t="s">
        <v>813</v>
      </c>
      <c r="C515" s="31">
        <v>4301031417</v>
      </c>
      <c r="D515" s="675">
        <v>4680115882096</v>
      </c>
      <c r="E515" s="676"/>
      <c r="F515" s="662">
        <v>0.6</v>
      </c>
      <c r="G515" s="32">
        <v>8</v>
      </c>
      <c r="H515" s="662">
        <v>4.8</v>
      </c>
      <c r="I515" s="662">
        <v>6.69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70</v>
      </c>
      <c r="P515" s="1019" t="s">
        <v>814</v>
      </c>
      <c r="Q515" s="668"/>
      <c r="R515" s="668"/>
      <c r="S515" s="668"/>
      <c r="T515" s="669"/>
      <c r="U515" s="34"/>
      <c r="V515" s="34"/>
      <c r="W515" s="35" t="s">
        <v>69</v>
      </c>
      <c r="X515" s="663">
        <v>0</v>
      </c>
      <c r="Y515" s="664">
        <f t="shared" si="74"/>
        <v>0</v>
      </c>
      <c r="Z515" s="36" t="str">
        <f>IFERROR(IF(Y515=0,"",ROUNDUP(Y515/H515,0)*0.00902),"")</f>
        <v/>
      </c>
      <c r="AA515" s="56"/>
      <c r="AB515" s="57"/>
      <c r="AC515" s="579" t="s">
        <v>794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810</v>
      </c>
      <c r="B516" s="54" t="s">
        <v>815</v>
      </c>
      <c r="C516" s="31">
        <v>4301031384</v>
      </c>
      <c r="D516" s="675">
        <v>4680115882096</v>
      </c>
      <c r="E516" s="676"/>
      <c r="F516" s="662">
        <v>0.6</v>
      </c>
      <c r="G516" s="32">
        <v>8</v>
      </c>
      <c r="H516" s="662">
        <v>4.8</v>
      </c>
      <c r="I516" s="662">
        <v>6.69</v>
      </c>
      <c r="J516" s="32">
        <v>120</v>
      </c>
      <c r="K516" s="32" t="s">
        <v>106</v>
      </c>
      <c r="L516" s="32"/>
      <c r="M516" s="33" t="s">
        <v>68</v>
      </c>
      <c r="N516" s="33"/>
      <c r="O516" s="32">
        <v>60</v>
      </c>
      <c r="P516" s="837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68"/>
      <c r="R516" s="668"/>
      <c r="S516" s="668"/>
      <c r="T516" s="669"/>
      <c r="U516" s="34"/>
      <c r="V516" s="34"/>
      <c r="W516" s="35" t="s">
        <v>69</v>
      </c>
      <c r="X516" s="663">
        <v>0</v>
      </c>
      <c r="Y516" s="664">
        <f t="shared" si="74"/>
        <v>0</v>
      </c>
      <c r="Z516" s="36" t="str">
        <f>IFERROR(IF(Y516=0,"",ROUNDUP(Y516/H516,0)*0.00937),"")</f>
        <v/>
      </c>
      <c r="AA516" s="56"/>
      <c r="AB516" s="57"/>
      <c r="AC516" s="581" t="s">
        <v>794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88</v>
      </c>
      <c r="Q517" s="683"/>
      <c r="R517" s="683"/>
      <c r="S517" s="683"/>
      <c r="T517" s="683"/>
      <c r="U517" s="683"/>
      <c r="V517" s="684"/>
      <c r="W517" s="37" t="s">
        <v>89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3.7878787878787876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4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4.7840000000000001E-2</v>
      </c>
      <c r="AA517" s="666"/>
      <c r="AB517" s="666"/>
      <c r="AC517" s="666"/>
    </row>
    <row r="518" spans="1:68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88</v>
      </c>
      <c r="Q518" s="683"/>
      <c r="R518" s="683"/>
      <c r="S518" s="683"/>
      <c r="T518" s="683"/>
      <c r="U518" s="683"/>
      <c r="V518" s="684"/>
      <c r="W518" s="37" t="s">
        <v>69</v>
      </c>
      <c r="X518" s="665">
        <f>IFERROR(SUM(X505:X516),"0")</f>
        <v>20</v>
      </c>
      <c r="Y518" s="665">
        <f>IFERROR(SUM(Y505:Y516),"0")</f>
        <v>21.12</v>
      </c>
      <c r="Z518" s="37"/>
      <c r="AA518" s="666"/>
      <c r="AB518" s="666"/>
      <c r="AC518" s="666"/>
    </row>
    <row r="519" spans="1:68" ht="14.25" hidden="1" customHeight="1" x14ac:dyDescent="0.25">
      <c r="A519" s="679" t="s">
        <v>64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816</v>
      </c>
      <c r="B520" s="54" t="s">
        <v>817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101</v>
      </c>
      <c r="L520" s="32"/>
      <c r="M520" s="33" t="s">
        <v>108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69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818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819</v>
      </c>
      <c r="B521" s="54" t="s">
        <v>820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101</v>
      </c>
      <c r="L521" s="32"/>
      <c r="M521" s="33" t="s">
        <v>68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69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821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822</v>
      </c>
      <c r="B522" s="54" t="s">
        <v>823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67</v>
      </c>
      <c r="L522" s="32"/>
      <c r="M522" s="33" t="s">
        <v>108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69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824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88</v>
      </c>
      <c r="Q523" s="683"/>
      <c r="R523" s="683"/>
      <c r="S523" s="683"/>
      <c r="T523" s="683"/>
      <c r="U523" s="683"/>
      <c r="V523" s="684"/>
      <c r="W523" s="37" t="s">
        <v>89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88</v>
      </c>
      <c r="Q524" s="683"/>
      <c r="R524" s="683"/>
      <c r="S524" s="683"/>
      <c r="T524" s="683"/>
      <c r="U524" s="683"/>
      <c r="V524" s="684"/>
      <c r="W524" s="37" t="s">
        <v>69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175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825</v>
      </c>
      <c r="B526" s="54" t="s">
        <v>826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101</v>
      </c>
      <c r="L526" s="32"/>
      <c r="M526" s="33" t="s">
        <v>68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69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827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828</v>
      </c>
      <c r="B527" s="54" t="s">
        <v>829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35</v>
      </c>
      <c r="P527" s="720" t="s">
        <v>830</v>
      </c>
      <c r="Q527" s="668"/>
      <c r="R527" s="668"/>
      <c r="S527" s="668"/>
      <c r="T527" s="669"/>
      <c r="U527" s="34"/>
      <c r="V527" s="34"/>
      <c r="W527" s="35" t="s">
        <v>69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827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88</v>
      </c>
      <c r="Q528" s="683"/>
      <c r="R528" s="683"/>
      <c r="S528" s="683"/>
      <c r="T528" s="683"/>
      <c r="U528" s="683"/>
      <c r="V528" s="684"/>
      <c r="W528" s="37" t="s">
        <v>89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88</v>
      </c>
      <c r="Q529" s="683"/>
      <c r="R529" s="683"/>
      <c r="S529" s="683"/>
      <c r="T529" s="683"/>
      <c r="U529" s="683"/>
      <c r="V529" s="684"/>
      <c r="W529" s="37" t="s">
        <v>69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831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831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98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832</v>
      </c>
      <c r="B533" s="54" t="s">
        <v>833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101</v>
      </c>
      <c r="L533" s="32"/>
      <c r="M533" s="33" t="s">
        <v>108</v>
      </c>
      <c r="N533" s="33"/>
      <c r="O533" s="32">
        <v>55</v>
      </c>
      <c r="P533" s="902" t="s">
        <v>834</v>
      </c>
      <c r="Q533" s="668"/>
      <c r="R533" s="668"/>
      <c r="S533" s="668"/>
      <c r="T533" s="669"/>
      <c r="U533" s="34"/>
      <c r="V533" s="34"/>
      <c r="W533" s="35" t="s">
        <v>69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835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836</v>
      </c>
      <c r="B534" s="54" t="s">
        <v>837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101</v>
      </c>
      <c r="L534" s="32"/>
      <c r="M534" s="33" t="s">
        <v>102</v>
      </c>
      <c r="N534" s="33"/>
      <c r="O534" s="32">
        <v>50</v>
      </c>
      <c r="P534" s="1049" t="s">
        <v>838</v>
      </c>
      <c r="Q534" s="668"/>
      <c r="R534" s="668"/>
      <c r="S534" s="668"/>
      <c r="T534" s="669"/>
      <c r="U534" s="34"/>
      <c r="V534" s="34"/>
      <c r="W534" s="35" t="s">
        <v>69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839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840</v>
      </c>
      <c r="B535" s="54" t="s">
        <v>841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6" t="s">
        <v>842</v>
      </c>
      <c r="Q535" s="668"/>
      <c r="R535" s="668"/>
      <c r="S535" s="668"/>
      <c r="T535" s="669"/>
      <c r="U535" s="34"/>
      <c r="V535" s="34"/>
      <c r="W535" s="35" t="s">
        <v>69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843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844</v>
      </c>
      <c r="B536" s="54" t="s">
        <v>845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55</v>
      </c>
      <c r="P536" s="910" t="s">
        <v>846</v>
      </c>
      <c r="Q536" s="668"/>
      <c r="R536" s="668"/>
      <c r="S536" s="668"/>
      <c r="T536" s="669"/>
      <c r="U536" s="34"/>
      <c r="V536" s="34"/>
      <c r="W536" s="35" t="s">
        <v>69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847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848</v>
      </c>
      <c r="B537" s="54" t="s">
        <v>849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106</v>
      </c>
      <c r="L537" s="32"/>
      <c r="M537" s="33" t="s">
        <v>102</v>
      </c>
      <c r="N537" s="33"/>
      <c r="O537" s="32">
        <v>50</v>
      </c>
      <c r="P537" s="761" t="s">
        <v>850</v>
      </c>
      <c r="Q537" s="668"/>
      <c r="R537" s="668"/>
      <c r="S537" s="668"/>
      <c r="T537" s="669"/>
      <c r="U537" s="34"/>
      <c r="V537" s="34"/>
      <c r="W537" s="35" t="s">
        <v>69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843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851</v>
      </c>
      <c r="B538" s="54" t="s">
        <v>852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55</v>
      </c>
      <c r="P538" s="892" t="s">
        <v>853</v>
      </c>
      <c r="Q538" s="668"/>
      <c r="R538" s="668"/>
      <c r="S538" s="668"/>
      <c r="T538" s="669"/>
      <c r="U538" s="34"/>
      <c r="V538" s="34"/>
      <c r="W538" s="35" t="s">
        <v>69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847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88</v>
      </c>
      <c r="Q539" s="683"/>
      <c r="R539" s="683"/>
      <c r="S539" s="683"/>
      <c r="T539" s="683"/>
      <c r="U539" s="683"/>
      <c r="V539" s="684"/>
      <c r="W539" s="37" t="s">
        <v>89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88</v>
      </c>
      <c r="Q540" s="683"/>
      <c r="R540" s="683"/>
      <c r="S540" s="683"/>
      <c r="T540" s="683"/>
      <c r="U540" s="683"/>
      <c r="V540" s="684"/>
      <c r="W540" s="37" t="s">
        <v>69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138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854</v>
      </c>
      <c r="B542" s="54" t="s">
        <v>855</v>
      </c>
      <c r="C542" s="31">
        <v>4301020269</v>
      </c>
      <c r="D542" s="675">
        <v>4640242180519</v>
      </c>
      <c r="E542" s="676"/>
      <c r="F542" s="662">
        <v>1.35</v>
      </c>
      <c r="G542" s="32">
        <v>8</v>
      </c>
      <c r="H542" s="662">
        <v>10.8</v>
      </c>
      <c r="I542" s="662">
        <v>11.234999999999999</v>
      </c>
      <c r="J542" s="32">
        <v>64</v>
      </c>
      <c r="K542" s="32" t="s">
        <v>101</v>
      </c>
      <c r="L542" s="32"/>
      <c r="M542" s="33" t="s">
        <v>108</v>
      </c>
      <c r="N542" s="33"/>
      <c r="O542" s="32">
        <v>50</v>
      </c>
      <c r="P542" s="758" t="s">
        <v>856</v>
      </c>
      <c r="Q542" s="668"/>
      <c r="R542" s="668"/>
      <c r="S542" s="668"/>
      <c r="T542" s="669"/>
      <c r="U542" s="34"/>
      <c r="V542" s="34"/>
      <c r="W542" s="35" t="s">
        <v>69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857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854</v>
      </c>
      <c r="B543" s="54" t="s">
        <v>858</v>
      </c>
      <c r="C543" s="31">
        <v>4301020400</v>
      </c>
      <c r="D543" s="675">
        <v>4640242180519</v>
      </c>
      <c r="E543" s="676"/>
      <c r="F543" s="662">
        <v>1.5</v>
      </c>
      <c r="G543" s="32">
        <v>8</v>
      </c>
      <c r="H543" s="662">
        <v>12</v>
      </c>
      <c r="I543" s="662">
        <v>12.435</v>
      </c>
      <c r="J543" s="32">
        <v>64</v>
      </c>
      <c r="K543" s="32" t="s">
        <v>101</v>
      </c>
      <c r="L543" s="32"/>
      <c r="M543" s="33" t="s">
        <v>102</v>
      </c>
      <c r="N543" s="33"/>
      <c r="O543" s="32">
        <v>50</v>
      </c>
      <c r="P543" s="846" t="s">
        <v>859</v>
      </c>
      <c r="Q543" s="668"/>
      <c r="R543" s="668"/>
      <c r="S543" s="668"/>
      <c r="T543" s="669"/>
      <c r="U543" s="34"/>
      <c r="V543" s="34"/>
      <c r="W543" s="35" t="s">
        <v>69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860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861</v>
      </c>
      <c r="B544" s="54" t="s">
        <v>862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3" t="s">
        <v>863</v>
      </c>
      <c r="Q544" s="668"/>
      <c r="R544" s="668"/>
      <c r="S544" s="668"/>
      <c r="T544" s="669"/>
      <c r="U544" s="34"/>
      <c r="V544" s="34"/>
      <c r="W544" s="35" t="s">
        <v>69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864</v>
      </c>
      <c r="B545" s="54" t="s">
        <v>865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1" t="s">
        <v>866</v>
      </c>
      <c r="Q545" s="668"/>
      <c r="R545" s="668"/>
      <c r="S545" s="668"/>
      <c r="T545" s="669"/>
      <c r="U545" s="34"/>
      <c r="V545" s="34"/>
      <c r="W545" s="35" t="s">
        <v>69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868</v>
      </c>
      <c r="B546" s="54" t="s">
        <v>869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106</v>
      </c>
      <c r="L546" s="32"/>
      <c r="M546" s="33" t="s">
        <v>102</v>
      </c>
      <c r="N546" s="33"/>
      <c r="O546" s="32">
        <v>50</v>
      </c>
      <c r="P546" s="801" t="s">
        <v>870</v>
      </c>
      <c r="Q546" s="668"/>
      <c r="R546" s="668"/>
      <c r="S546" s="668"/>
      <c r="T546" s="669"/>
      <c r="U546" s="34"/>
      <c r="V546" s="34"/>
      <c r="W546" s="35" t="s">
        <v>69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867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88</v>
      </c>
      <c r="Q547" s="683"/>
      <c r="R547" s="683"/>
      <c r="S547" s="683"/>
      <c r="T547" s="683"/>
      <c r="U547" s="683"/>
      <c r="V547" s="684"/>
      <c r="W547" s="37" t="s">
        <v>89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88</v>
      </c>
      <c r="Q548" s="683"/>
      <c r="R548" s="683"/>
      <c r="S548" s="683"/>
      <c r="T548" s="683"/>
      <c r="U548" s="683"/>
      <c r="V548" s="684"/>
      <c r="W548" s="37" t="s">
        <v>69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149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hidden="1" customHeight="1" x14ac:dyDescent="0.25">
      <c r="A550" s="54" t="s">
        <v>871</v>
      </c>
      <c r="B550" s="54" t="s">
        <v>872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106</v>
      </c>
      <c r="L550" s="32"/>
      <c r="M550" s="33" t="s">
        <v>68</v>
      </c>
      <c r="N550" s="33"/>
      <c r="O550" s="32">
        <v>40</v>
      </c>
      <c r="P550" s="738" t="s">
        <v>873</v>
      </c>
      <c r="Q550" s="668"/>
      <c r="R550" s="668"/>
      <c r="S550" s="668"/>
      <c r="T550" s="669"/>
      <c r="U550" s="34"/>
      <c r="V550" s="34"/>
      <c r="W550" s="35" t="s">
        <v>69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874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875</v>
      </c>
      <c r="B551" s="54" t="s">
        <v>876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60" t="s">
        <v>877</v>
      </c>
      <c r="Q551" s="668"/>
      <c r="R551" s="668"/>
      <c r="S551" s="668"/>
      <c r="T551" s="669"/>
      <c r="U551" s="34"/>
      <c r="V551" s="34"/>
      <c r="W551" s="35" t="s">
        <v>69</v>
      </c>
      <c r="X551" s="663">
        <v>10</v>
      </c>
      <c r="Y551" s="664">
        <f t="shared" si="84"/>
        <v>12.600000000000001</v>
      </c>
      <c r="Z551" s="36">
        <f>IFERROR(IF(Y551=0,"",ROUNDUP(Y551/H551,0)*0.00902),"")</f>
        <v>2.7060000000000001E-2</v>
      </c>
      <c r="AA551" s="56"/>
      <c r="AB551" s="57"/>
      <c r="AC551" s="617" t="s">
        <v>878</v>
      </c>
      <c r="AG551" s="64"/>
      <c r="AJ551" s="68"/>
      <c r="AK551" s="68">
        <v>0</v>
      </c>
      <c r="BB551" s="618" t="s">
        <v>1</v>
      </c>
      <c r="BM551" s="64">
        <f t="shared" si="85"/>
        <v>10.642857142857141</v>
      </c>
      <c r="BN551" s="64">
        <f t="shared" si="86"/>
        <v>13.41</v>
      </c>
      <c r="BO551" s="64">
        <f t="shared" si="87"/>
        <v>1.8037518037518036E-2</v>
      </c>
      <c r="BP551" s="64">
        <f t="shared" si="88"/>
        <v>2.2727272727272728E-2</v>
      </c>
    </row>
    <row r="552" spans="1:68" ht="27" hidden="1" customHeight="1" x14ac:dyDescent="0.25">
      <c r="A552" s="54" t="s">
        <v>879</v>
      </c>
      <c r="B552" s="54" t="s">
        <v>880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45</v>
      </c>
      <c r="P552" s="688" t="s">
        <v>881</v>
      </c>
      <c r="Q552" s="668"/>
      <c r="R552" s="668"/>
      <c r="S552" s="668"/>
      <c r="T552" s="669"/>
      <c r="U552" s="34"/>
      <c r="V552" s="34"/>
      <c r="W552" s="35" t="s">
        <v>69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882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883</v>
      </c>
      <c r="B553" s="54" t="s">
        <v>884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1" t="s">
        <v>885</v>
      </c>
      <c r="Q553" s="668"/>
      <c r="R553" s="668"/>
      <c r="S553" s="668"/>
      <c r="T553" s="669"/>
      <c r="U553" s="34"/>
      <c r="V553" s="34"/>
      <c r="W553" s="35" t="s">
        <v>69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886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887</v>
      </c>
      <c r="B554" s="54" t="s">
        <v>888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5" t="s">
        <v>889</v>
      </c>
      <c r="Q554" s="668"/>
      <c r="R554" s="668"/>
      <c r="S554" s="668"/>
      <c r="T554" s="669"/>
      <c r="U554" s="34"/>
      <c r="V554" s="34"/>
      <c r="W554" s="35" t="s">
        <v>69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890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891</v>
      </c>
      <c r="B555" s="54" t="s">
        <v>892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152</v>
      </c>
      <c r="L555" s="32"/>
      <c r="M555" s="33" t="s">
        <v>68</v>
      </c>
      <c r="N555" s="33"/>
      <c r="O555" s="32">
        <v>40</v>
      </c>
      <c r="P555" s="965" t="s">
        <v>893</v>
      </c>
      <c r="Q555" s="668"/>
      <c r="R555" s="668"/>
      <c r="S555" s="668"/>
      <c r="T555" s="669"/>
      <c r="U555" s="34"/>
      <c r="V555" s="34"/>
      <c r="W555" s="35" t="s">
        <v>69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874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894</v>
      </c>
      <c r="B556" s="54" t="s">
        <v>895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814" t="s">
        <v>896</v>
      </c>
      <c r="Q556" s="668"/>
      <c r="R556" s="668"/>
      <c r="S556" s="668"/>
      <c r="T556" s="669"/>
      <c r="U556" s="34"/>
      <c r="V556" s="34"/>
      <c r="W556" s="35" t="s">
        <v>69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878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88</v>
      </c>
      <c r="Q557" s="683"/>
      <c r="R557" s="683"/>
      <c r="S557" s="683"/>
      <c r="T557" s="683"/>
      <c r="U557" s="683"/>
      <c r="V557" s="684"/>
      <c r="W557" s="37" t="s">
        <v>89</v>
      </c>
      <c r="X557" s="665">
        <f>IFERROR(X550/H550,"0")+IFERROR(X551/H551,"0")+IFERROR(X552/H552,"0")+IFERROR(X553/H553,"0")+IFERROR(X554/H554,"0")+IFERROR(X555/H555,"0")+IFERROR(X556/H556,"0")</f>
        <v>2.3809523809523809</v>
      </c>
      <c r="Y557" s="665">
        <f>IFERROR(Y550/H550,"0")+IFERROR(Y551/H551,"0")+IFERROR(Y552/H552,"0")+IFERROR(Y553/H553,"0")+IFERROR(Y554/H554,"0")+IFERROR(Y555/H555,"0")+IFERROR(Y556/H556,"0")</f>
        <v>3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2.7060000000000001E-2</v>
      </c>
      <c r="AA557" s="666"/>
      <c r="AB557" s="666"/>
      <c r="AC557" s="666"/>
    </row>
    <row r="558" spans="1:68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88</v>
      </c>
      <c r="Q558" s="683"/>
      <c r="R558" s="683"/>
      <c r="S558" s="683"/>
      <c r="T558" s="683"/>
      <c r="U558" s="683"/>
      <c r="V558" s="684"/>
      <c r="W558" s="37" t="s">
        <v>69</v>
      </c>
      <c r="X558" s="665">
        <f>IFERROR(SUM(X550:X556),"0")</f>
        <v>10</v>
      </c>
      <c r="Y558" s="665">
        <f>IFERROR(SUM(Y550:Y556),"0")</f>
        <v>12.600000000000001</v>
      </c>
      <c r="Z558" s="37"/>
      <c r="AA558" s="666"/>
      <c r="AB558" s="666"/>
      <c r="AC558" s="666"/>
    </row>
    <row r="559" spans="1:68" ht="14.25" hidden="1" customHeight="1" x14ac:dyDescent="0.25">
      <c r="A559" s="679" t="s">
        <v>64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hidden="1" customHeight="1" x14ac:dyDescent="0.25">
      <c r="A560" s="54" t="s">
        <v>897</v>
      </c>
      <c r="B560" s="54" t="s">
        <v>898</v>
      </c>
      <c r="C560" s="31">
        <v>4301052046</v>
      </c>
      <c r="D560" s="675">
        <v>4640242180533</v>
      </c>
      <c r="E560" s="676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101</v>
      </c>
      <c r="L560" s="32"/>
      <c r="M560" s="33" t="s">
        <v>134</v>
      </c>
      <c r="N560" s="33"/>
      <c r="O560" s="32">
        <v>45</v>
      </c>
      <c r="P560" s="972" t="s">
        <v>899</v>
      </c>
      <c r="Q560" s="668"/>
      <c r="R560" s="668"/>
      <c r="S560" s="668"/>
      <c r="T560" s="669"/>
      <c r="U560" s="34"/>
      <c r="V560" s="34"/>
      <c r="W560" s="35" t="s">
        <v>69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900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897</v>
      </c>
      <c r="B561" s="54" t="s">
        <v>901</v>
      </c>
      <c r="C561" s="31">
        <v>4301051887</v>
      </c>
      <c r="D561" s="675">
        <v>4640242180533</v>
      </c>
      <c r="E561" s="676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09" t="s">
        <v>899</v>
      </c>
      <c r="Q561" s="668"/>
      <c r="R561" s="668"/>
      <c r="S561" s="668"/>
      <c r="T561" s="669"/>
      <c r="U561" s="34"/>
      <c r="V561" s="34"/>
      <c r="W561" s="35" t="s">
        <v>69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900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902</v>
      </c>
      <c r="B562" s="54" t="s">
        <v>903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95" t="s">
        <v>904</v>
      </c>
      <c r="Q562" s="668"/>
      <c r="R562" s="668"/>
      <c r="S562" s="668"/>
      <c r="T562" s="669"/>
      <c r="U562" s="34"/>
      <c r="V562" s="34"/>
      <c r="W562" s="35" t="s">
        <v>69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905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906</v>
      </c>
      <c r="B563" s="54" t="s">
        <v>907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67</v>
      </c>
      <c r="L563" s="32"/>
      <c r="M563" s="33" t="s">
        <v>134</v>
      </c>
      <c r="N563" s="33"/>
      <c r="O563" s="32">
        <v>45</v>
      </c>
      <c r="P563" s="733" t="s">
        <v>908</v>
      </c>
      <c r="Q563" s="668"/>
      <c r="R563" s="668"/>
      <c r="S563" s="668"/>
      <c r="T563" s="669"/>
      <c r="U563" s="34"/>
      <c r="V563" s="34"/>
      <c r="W563" s="35" t="s">
        <v>69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900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909</v>
      </c>
      <c r="B564" s="54" t="s">
        <v>910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879" t="s">
        <v>911</v>
      </c>
      <c r="Q564" s="668"/>
      <c r="R564" s="668"/>
      <c r="S564" s="668"/>
      <c r="T564" s="669"/>
      <c r="U564" s="34"/>
      <c r="V564" s="34"/>
      <c r="W564" s="35" t="s">
        <v>69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905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88</v>
      </c>
      <c r="Q565" s="683"/>
      <c r="R565" s="683"/>
      <c r="S565" s="683"/>
      <c r="T565" s="683"/>
      <c r="U565" s="683"/>
      <c r="V565" s="684"/>
      <c r="W565" s="37" t="s">
        <v>89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88</v>
      </c>
      <c r="Q566" s="683"/>
      <c r="R566" s="683"/>
      <c r="S566" s="683"/>
      <c r="T566" s="683"/>
      <c r="U566" s="683"/>
      <c r="V566" s="684"/>
      <c r="W566" s="37" t="s">
        <v>69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175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912</v>
      </c>
      <c r="B568" s="54" t="s">
        <v>913</v>
      </c>
      <c r="C568" s="31">
        <v>4301060496</v>
      </c>
      <c r="D568" s="675">
        <v>4640242180120</v>
      </c>
      <c r="E568" s="676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101</v>
      </c>
      <c r="L568" s="32"/>
      <c r="M568" s="33" t="s">
        <v>134</v>
      </c>
      <c r="N568" s="33"/>
      <c r="O568" s="32">
        <v>40</v>
      </c>
      <c r="P568" s="1027" t="s">
        <v>914</v>
      </c>
      <c r="Q568" s="668"/>
      <c r="R568" s="668"/>
      <c r="S568" s="668"/>
      <c r="T568" s="669"/>
      <c r="U568" s="34"/>
      <c r="V568" s="34"/>
      <c r="W568" s="35" t="s">
        <v>69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912</v>
      </c>
      <c r="B569" s="54" t="s">
        <v>916</v>
      </c>
      <c r="C569" s="31">
        <v>4301060485</v>
      </c>
      <c r="D569" s="675">
        <v>4640242180120</v>
      </c>
      <c r="E569" s="676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101</v>
      </c>
      <c r="L569" s="32"/>
      <c r="M569" s="33" t="s">
        <v>108</v>
      </c>
      <c r="N569" s="33"/>
      <c r="O569" s="32">
        <v>40</v>
      </c>
      <c r="P569" s="953" t="s">
        <v>917</v>
      </c>
      <c r="Q569" s="668"/>
      <c r="R569" s="668"/>
      <c r="S569" s="668"/>
      <c r="T569" s="669"/>
      <c r="U569" s="34"/>
      <c r="V569" s="34"/>
      <c r="W569" s="35" t="s">
        <v>69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918</v>
      </c>
      <c r="B570" s="54" t="s">
        <v>919</v>
      </c>
      <c r="C570" s="31">
        <v>4301060498</v>
      </c>
      <c r="D570" s="675">
        <v>4640242180137</v>
      </c>
      <c r="E570" s="676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101</v>
      </c>
      <c r="L570" s="32"/>
      <c r="M570" s="33" t="s">
        <v>134</v>
      </c>
      <c r="N570" s="33"/>
      <c r="O570" s="32">
        <v>40</v>
      </c>
      <c r="P570" s="727" t="s">
        <v>920</v>
      </c>
      <c r="Q570" s="668"/>
      <c r="R570" s="668"/>
      <c r="S570" s="668"/>
      <c r="T570" s="669"/>
      <c r="U570" s="34"/>
      <c r="V570" s="34"/>
      <c r="W570" s="35" t="s">
        <v>69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921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918</v>
      </c>
      <c r="B571" s="54" t="s">
        <v>922</v>
      </c>
      <c r="C571" s="31">
        <v>4301060486</v>
      </c>
      <c r="D571" s="675">
        <v>4640242180137</v>
      </c>
      <c r="E571" s="676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101</v>
      </c>
      <c r="L571" s="32"/>
      <c r="M571" s="33" t="s">
        <v>108</v>
      </c>
      <c r="N571" s="33"/>
      <c r="O571" s="32">
        <v>40</v>
      </c>
      <c r="P571" s="759" t="s">
        <v>923</v>
      </c>
      <c r="Q571" s="668"/>
      <c r="R571" s="668"/>
      <c r="S571" s="668"/>
      <c r="T571" s="669"/>
      <c r="U571" s="34"/>
      <c r="V571" s="34"/>
      <c r="W571" s="35" t="s">
        <v>69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921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88</v>
      </c>
      <c r="Q572" s="683"/>
      <c r="R572" s="683"/>
      <c r="S572" s="683"/>
      <c r="T572" s="683"/>
      <c r="U572" s="683"/>
      <c r="V572" s="684"/>
      <c r="W572" s="37" t="s">
        <v>89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88</v>
      </c>
      <c r="Q573" s="683"/>
      <c r="R573" s="683"/>
      <c r="S573" s="683"/>
      <c r="T573" s="683"/>
      <c r="U573" s="683"/>
      <c r="V573" s="684"/>
      <c r="W573" s="37" t="s">
        <v>69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16" t="s">
        <v>924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98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925</v>
      </c>
      <c r="B576" s="54" t="s">
        <v>926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101</v>
      </c>
      <c r="L576" s="32"/>
      <c r="M576" s="33" t="s">
        <v>102</v>
      </c>
      <c r="N576" s="33"/>
      <c r="O576" s="32">
        <v>55</v>
      </c>
      <c r="P576" s="985" t="s">
        <v>927</v>
      </c>
      <c r="Q576" s="668"/>
      <c r="R576" s="668"/>
      <c r="S576" s="668"/>
      <c r="T576" s="669"/>
      <c r="U576" s="34"/>
      <c r="V576" s="34"/>
      <c r="W576" s="35" t="s">
        <v>69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928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88</v>
      </c>
      <c r="Q577" s="683"/>
      <c r="R577" s="683"/>
      <c r="S577" s="683"/>
      <c r="T577" s="683"/>
      <c r="U577" s="683"/>
      <c r="V577" s="684"/>
      <c r="W577" s="37" t="s">
        <v>89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88</v>
      </c>
      <c r="Q578" s="683"/>
      <c r="R578" s="683"/>
      <c r="S578" s="683"/>
      <c r="T578" s="683"/>
      <c r="U578" s="683"/>
      <c r="V578" s="684"/>
      <c r="W578" s="37" t="s">
        <v>69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138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929</v>
      </c>
      <c r="B580" s="54" t="s">
        <v>930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101</v>
      </c>
      <c r="L580" s="32"/>
      <c r="M580" s="33" t="s">
        <v>102</v>
      </c>
      <c r="N580" s="33"/>
      <c r="O580" s="32">
        <v>50</v>
      </c>
      <c r="P580" s="963" t="s">
        <v>931</v>
      </c>
      <c r="Q580" s="668"/>
      <c r="R580" s="668"/>
      <c r="S580" s="668"/>
      <c r="T580" s="669"/>
      <c r="U580" s="34"/>
      <c r="V580" s="34"/>
      <c r="W580" s="35" t="s">
        <v>69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932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88</v>
      </c>
      <c r="Q581" s="683"/>
      <c r="R581" s="683"/>
      <c r="S581" s="683"/>
      <c r="T581" s="683"/>
      <c r="U581" s="683"/>
      <c r="V581" s="684"/>
      <c r="W581" s="37" t="s">
        <v>89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88</v>
      </c>
      <c r="Q582" s="683"/>
      <c r="R582" s="683"/>
      <c r="S582" s="683"/>
      <c r="T582" s="683"/>
      <c r="U582" s="683"/>
      <c r="V582" s="684"/>
      <c r="W582" s="37" t="s">
        <v>69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149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933</v>
      </c>
      <c r="B584" s="54" t="s">
        <v>934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106</v>
      </c>
      <c r="L584" s="32"/>
      <c r="M584" s="33" t="s">
        <v>68</v>
      </c>
      <c r="N584" s="33"/>
      <c r="O584" s="32">
        <v>40</v>
      </c>
      <c r="P584" s="813" t="s">
        <v>935</v>
      </c>
      <c r="Q584" s="668"/>
      <c r="R584" s="668"/>
      <c r="S584" s="668"/>
      <c r="T584" s="669"/>
      <c r="U584" s="34"/>
      <c r="V584" s="34"/>
      <c r="W584" s="35" t="s">
        <v>69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936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88</v>
      </c>
      <c r="Q585" s="683"/>
      <c r="R585" s="683"/>
      <c r="S585" s="683"/>
      <c r="T585" s="683"/>
      <c r="U585" s="683"/>
      <c r="V585" s="684"/>
      <c r="W585" s="37" t="s">
        <v>89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88</v>
      </c>
      <c r="Q586" s="683"/>
      <c r="R586" s="683"/>
      <c r="S586" s="683"/>
      <c r="T586" s="683"/>
      <c r="U586" s="683"/>
      <c r="V586" s="684"/>
      <c r="W586" s="37" t="s">
        <v>69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64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937</v>
      </c>
      <c r="B588" s="54" t="s">
        <v>938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101</v>
      </c>
      <c r="L588" s="32"/>
      <c r="M588" s="33" t="s">
        <v>134</v>
      </c>
      <c r="N588" s="33"/>
      <c r="O588" s="32">
        <v>45</v>
      </c>
      <c r="P588" s="992" t="s">
        <v>939</v>
      </c>
      <c r="Q588" s="668"/>
      <c r="R588" s="668"/>
      <c r="S588" s="668"/>
      <c r="T588" s="669"/>
      <c r="U588" s="34"/>
      <c r="V588" s="34"/>
      <c r="W588" s="35" t="s">
        <v>69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940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88</v>
      </c>
      <c r="Q589" s="683"/>
      <c r="R589" s="683"/>
      <c r="S589" s="683"/>
      <c r="T589" s="683"/>
      <c r="U589" s="683"/>
      <c r="V589" s="684"/>
      <c r="W589" s="37" t="s">
        <v>89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88</v>
      </c>
      <c r="Q590" s="683"/>
      <c r="R590" s="683"/>
      <c r="S590" s="683"/>
      <c r="T590" s="683"/>
      <c r="U590" s="683"/>
      <c r="V590" s="684"/>
      <c r="W590" s="37" t="s">
        <v>69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941</v>
      </c>
      <c r="Q591" s="819"/>
      <c r="R591" s="819"/>
      <c r="S591" s="819"/>
      <c r="T591" s="819"/>
      <c r="U591" s="819"/>
      <c r="V591" s="820"/>
      <c r="W591" s="37" t="s">
        <v>69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1149.7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1200.02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942</v>
      </c>
      <c r="Q592" s="819"/>
      <c r="R592" s="819"/>
      <c r="S592" s="819"/>
      <c r="T592" s="819"/>
      <c r="U592" s="819"/>
      <c r="V592" s="820"/>
      <c r="W592" s="37" t="s">
        <v>69</v>
      </c>
      <c r="X592" s="665">
        <f>IFERROR(SUM(BM22:BM588),"0")</f>
        <v>1206.5930309505309</v>
      </c>
      <c r="Y592" s="665">
        <f>IFERROR(SUM(BN22:BN588),"0")</f>
        <v>1259.405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943</v>
      </c>
      <c r="Q593" s="819"/>
      <c r="R593" s="819"/>
      <c r="S593" s="819"/>
      <c r="T593" s="819"/>
      <c r="U593" s="819"/>
      <c r="V593" s="820"/>
      <c r="W593" s="37" t="s">
        <v>944</v>
      </c>
      <c r="X593" s="38">
        <f>ROUNDUP(SUM(BO22:BO588),0)</f>
        <v>2</v>
      </c>
      <c r="Y593" s="38">
        <f>ROUNDUP(SUM(BP22:BP588),0)</f>
        <v>2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945</v>
      </c>
      <c r="Q594" s="819"/>
      <c r="R594" s="819"/>
      <c r="S594" s="819"/>
      <c r="T594" s="819"/>
      <c r="U594" s="819"/>
      <c r="V594" s="820"/>
      <c r="W594" s="37" t="s">
        <v>69</v>
      </c>
      <c r="X594" s="665">
        <f>GrossWeightTotal+PalletQtyTotal*25</f>
        <v>1256.5930309505309</v>
      </c>
      <c r="Y594" s="665">
        <f>GrossWeightTotalR+PalletQtyTotalR*25</f>
        <v>1309.405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946</v>
      </c>
      <c r="Q595" s="819"/>
      <c r="R595" s="819"/>
      <c r="S595" s="819"/>
      <c r="T595" s="819"/>
      <c r="U595" s="819"/>
      <c r="V595" s="820"/>
      <c r="W595" s="37" t="s">
        <v>944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131.26123663479984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137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947</v>
      </c>
      <c r="Q596" s="819"/>
      <c r="R596" s="819"/>
      <c r="S596" s="819"/>
      <c r="T596" s="819"/>
      <c r="U596" s="819"/>
      <c r="V596" s="820"/>
      <c r="W596" s="39" t="s">
        <v>948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2.3591899999999999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949</v>
      </c>
      <c r="B598" s="660" t="s">
        <v>63</v>
      </c>
      <c r="C598" s="693" t="s">
        <v>96</v>
      </c>
      <c r="D598" s="812"/>
      <c r="E598" s="812"/>
      <c r="F598" s="812"/>
      <c r="G598" s="812"/>
      <c r="H598" s="803"/>
      <c r="I598" s="693" t="s">
        <v>288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579</v>
      </c>
      <c r="X598" s="803"/>
      <c r="Y598" s="693" t="s">
        <v>657</v>
      </c>
      <c r="Z598" s="812"/>
      <c r="AA598" s="812"/>
      <c r="AB598" s="803"/>
      <c r="AC598" s="660" t="s">
        <v>732</v>
      </c>
      <c r="AD598" s="693" t="s">
        <v>831</v>
      </c>
      <c r="AE598" s="803"/>
      <c r="AF598" s="661"/>
    </row>
    <row r="599" spans="1:32" ht="14.25" customHeight="1" thickTop="1" x14ac:dyDescent="0.2">
      <c r="A599" s="831" t="s">
        <v>950</v>
      </c>
      <c r="B599" s="693" t="s">
        <v>63</v>
      </c>
      <c r="C599" s="693" t="s">
        <v>97</v>
      </c>
      <c r="D599" s="693" t="s">
        <v>118</v>
      </c>
      <c r="E599" s="693" t="s">
        <v>183</v>
      </c>
      <c r="F599" s="693" t="s">
        <v>214</v>
      </c>
      <c r="G599" s="693" t="s">
        <v>259</v>
      </c>
      <c r="H599" s="693" t="s">
        <v>96</v>
      </c>
      <c r="I599" s="693" t="s">
        <v>289</v>
      </c>
      <c r="J599" s="693" t="s">
        <v>324</v>
      </c>
      <c r="K599" s="693" t="s">
        <v>385</v>
      </c>
      <c r="L599" s="693" t="s">
        <v>420</v>
      </c>
      <c r="M599" s="693" t="s">
        <v>438</v>
      </c>
      <c r="N599" s="661"/>
      <c r="O599" s="693" t="s">
        <v>442</v>
      </c>
      <c r="P599" s="693" t="s">
        <v>451</v>
      </c>
      <c r="Q599" s="693" t="s">
        <v>465</v>
      </c>
      <c r="R599" s="693" t="s">
        <v>475</v>
      </c>
      <c r="S599" s="693" t="s">
        <v>479</v>
      </c>
      <c r="T599" s="693" t="s">
        <v>487</v>
      </c>
      <c r="U599" s="693" t="s">
        <v>492</v>
      </c>
      <c r="V599" s="693" t="s">
        <v>566</v>
      </c>
      <c r="W599" s="693" t="s">
        <v>580</v>
      </c>
      <c r="X599" s="693" t="s">
        <v>621</v>
      </c>
      <c r="Y599" s="693" t="s">
        <v>658</v>
      </c>
      <c r="Z599" s="693" t="s">
        <v>697</v>
      </c>
      <c r="AA599" s="693" t="s">
        <v>717</v>
      </c>
      <c r="AB599" s="693" t="s">
        <v>725</v>
      </c>
      <c r="AC599" s="693" t="s">
        <v>732</v>
      </c>
      <c r="AD599" s="693" t="s">
        <v>831</v>
      </c>
      <c r="AE599" s="693" t="s">
        <v>924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951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32.400000000000006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240.3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16.8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23.2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7.2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635.19999999999993</v>
      </c>
      <c r="V601" s="46">
        <f>IFERROR(Y363*1,"0")+IFERROR(Y367*1,"0")+IFERROR(Y368*1,"0")+IFERROR(Y369*1,"0")</f>
        <v>16.2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195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21.12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12.600000000000001</v>
      </c>
      <c r="AE601" s="46">
        <f>IFERROR(Y576*1,"0")+IFERROR(Y580*1,"0")+IFERROR(Y584*1,"0")+IFERROR(Y588*1,"0")</f>
        <v>0</v>
      </c>
      <c r="AF601" s="661"/>
    </row>
  </sheetData>
  <sheetProtection algorithmName="SHA-512" hashValue="dYXKM2rE1+s4plCGP+Lr65M2KWHBtYjDNYLLiLZ7+P0Wcqv+1rXnik2i91r5RfJP32ABAejDOMDDSqFxpIIceQ==" saltValue="aGsHjlAcmtEzFibM0rBzsg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49,70"/>
        <filter val="1 206,59"/>
        <filter val="1 256,59"/>
        <filter val="1,00"/>
        <filter val="1,23"/>
        <filter val="1,72"/>
        <filter val="1,79"/>
        <filter val="1,85"/>
        <filter val="10,00"/>
        <filter val="100,00"/>
        <filter val="11,33"/>
        <filter val="12,82"/>
        <filter val="13,50"/>
        <filter val="131,26"/>
        <filter val="15,00"/>
        <filter val="15,48"/>
        <filter val="170,00"/>
        <filter val="19,52"/>
        <filter val="2"/>
        <filter val="2,00"/>
        <filter val="2,38"/>
        <filter val="2,78"/>
        <filter val="20,00"/>
        <filter val="200,00"/>
        <filter val="204,00"/>
        <filter val="21,52"/>
        <filter val="213,50"/>
        <filter val="250,00"/>
        <filter val="3,79"/>
        <filter val="30,00"/>
        <filter val="32,05"/>
        <filter val="4,00"/>
        <filter val="50,00"/>
        <filter val="65,00"/>
        <filter val="7,20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52"/>
    </row>
    <row r="3" spans="2:8" x14ac:dyDescent="0.2">
      <c r="B3" s="47" t="s">
        <v>953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954</v>
      </c>
      <c r="D6" s="47" t="s">
        <v>955</v>
      </c>
      <c r="E6" s="47"/>
    </row>
    <row r="8" spans="2:8" x14ac:dyDescent="0.2">
      <c r="B8" s="47" t="s">
        <v>19</v>
      </c>
      <c r="C8" s="47" t="s">
        <v>954</v>
      </c>
      <c r="D8" s="47"/>
      <c r="E8" s="47"/>
    </row>
    <row r="10" spans="2:8" x14ac:dyDescent="0.2">
      <c r="B10" s="47" t="s">
        <v>956</v>
      </c>
      <c r="C10" s="47"/>
      <c r="D10" s="47"/>
      <c r="E10" s="47"/>
    </row>
    <row r="11" spans="2:8" x14ac:dyDescent="0.2">
      <c r="B11" s="47" t="s">
        <v>957</v>
      </c>
      <c r="C11" s="47"/>
      <c r="D11" s="47"/>
      <c r="E11" s="47"/>
    </row>
    <row r="12" spans="2:8" x14ac:dyDescent="0.2">
      <c r="B12" s="47" t="s">
        <v>958</v>
      </c>
      <c r="C12" s="47"/>
      <c r="D12" s="47"/>
      <c r="E12" s="47"/>
    </row>
    <row r="13" spans="2:8" x14ac:dyDescent="0.2">
      <c r="B13" s="47" t="s">
        <v>959</v>
      </c>
      <c r="C13" s="47"/>
      <c r="D13" s="47"/>
      <c r="E13" s="47"/>
    </row>
    <row r="14" spans="2:8" x14ac:dyDescent="0.2">
      <c r="B14" s="47" t="s">
        <v>960</v>
      </c>
      <c r="C14" s="47"/>
      <c r="D14" s="47"/>
      <c r="E14" s="47"/>
    </row>
    <row r="15" spans="2:8" x14ac:dyDescent="0.2">
      <c r="B15" s="47" t="s">
        <v>961</v>
      </c>
      <c r="C15" s="47"/>
      <c r="D15" s="47"/>
      <c r="E15" s="47"/>
    </row>
    <row r="16" spans="2:8" x14ac:dyDescent="0.2">
      <c r="B16" s="47" t="s">
        <v>962</v>
      </c>
      <c r="C16" s="47"/>
      <c r="D16" s="47"/>
      <c r="E16" s="47"/>
    </row>
    <row r="17" spans="2:5" x14ac:dyDescent="0.2">
      <c r="B17" s="47" t="s">
        <v>963</v>
      </c>
      <c r="C17" s="47"/>
      <c r="D17" s="47"/>
      <c r="E17" s="47"/>
    </row>
    <row r="18" spans="2:5" x14ac:dyDescent="0.2">
      <c r="B18" s="47" t="s">
        <v>964</v>
      </c>
      <c r="C18" s="47"/>
      <c r="D18" s="47"/>
      <c r="E18" s="47"/>
    </row>
    <row r="19" spans="2:5" x14ac:dyDescent="0.2">
      <c r="B19" s="47" t="s">
        <v>965</v>
      </c>
      <c r="C19" s="47"/>
      <c r="D19" s="47"/>
      <c r="E19" s="47"/>
    </row>
    <row r="20" spans="2:5" x14ac:dyDescent="0.2">
      <c r="B20" s="47" t="s">
        <v>966</v>
      </c>
      <c r="C20" s="47"/>
      <c r="D20" s="47"/>
      <c r="E20" s="47"/>
    </row>
  </sheetData>
  <sheetProtection algorithmName="SHA-512" hashValue="rCdgzSwFrXaKcbbPtxiozhWC92Cz1EaCXAd3Q5AisYWLUADoh/LwxoYGDxUUqQKS9CHuLl7REF3BskOMqWZBBA==" saltValue="a6u8ZtTT32Prl9x6/5BaO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2025-04-15T11:28:33Z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