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E0EF42-64CA-462A-A492-753BE5A5A5A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51" i="1" l="1"/>
  <c r="BN51" i="1"/>
  <c r="Z115" i="1"/>
  <c r="BN115" i="1"/>
  <c r="Y128" i="1"/>
  <c r="Z122" i="1"/>
  <c r="BN122" i="1"/>
  <c r="Z123" i="1"/>
  <c r="BN123" i="1"/>
  <c r="Z137" i="1"/>
  <c r="BN137" i="1"/>
  <c r="Z232" i="1"/>
  <c r="BN232" i="1"/>
  <c r="Z258" i="1"/>
  <c r="BN258" i="1"/>
  <c r="Z339" i="1"/>
  <c r="BN339" i="1"/>
  <c r="J9" i="1"/>
  <c r="F9" i="1"/>
  <c r="F10" i="1"/>
  <c r="X592" i="1"/>
  <c r="Z26" i="1"/>
  <c r="BN26" i="1"/>
  <c r="Z65" i="1"/>
  <c r="BN65" i="1"/>
  <c r="Z100" i="1"/>
  <c r="BN100" i="1"/>
  <c r="F601" i="1"/>
  <c r="Z160" i="1"/>
  <c r="BN160" i="1"/>
  <c r="Z215" i="1"/>
  <c r="BN215" i="1"/>
  <c r="Z277" i="1"/>
  <c r="BN277" i="1"/>
  <c r="Z329" i="1"/>
  <c r="BN329" i="1"/>
  <c r="Z357" i="1"/>
  <c r="BN357" i="1"/>
  <c r="BP147" i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4" i="1"/>
  <c r="BN514" i="1"/>
  <c r="Z514" i="1"/>
  <c r="Z40" i="1"/>
  <c r="BN40" i="1"/>
  <c r="Z59" i="1"/>
  <c r="BN59" i="1"/>
  <c r="Z71" i="1"/>
  <c r="BN71" i="1"/>
  <c r="Z88" i="1"/>
  <c r="BN88" i="1"/>
  <c r="Y102" i="1"/>
  <c r="Z109" i="1"/>
  <c r="BN109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Z22" i="1"/>
  <c r="BN22" i="1"/>
  <c r="X595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1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Z119" i="1"/>
  <c r="BN119" i="1"/>
  <c r="BP119" i="1"/>
  <c r="Z120" i="1"/>
  <c r="BN120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1" i="1"/>
  <c r="BN121" i="1"/>
  <c r="Z124" i="1"/>
  <c r="BN124" i="1"/>
  <c r="Z125" i="1"/>
  <c r="BN125" i="1"/>
  <c r="Z127" i="1"/>
  <c r="BN127" i="1"/>
  <c r="Z131" i="1"/>
  <c r="BN131" i="1"/>
  <c r="BP131" i="1"/>
  <c r="G601" i="1"/>
  <c r="Z138" i="1"/>
  <c r="BN138" i="1"/>
  <c r="Y139" i="1"/>
  <c r="Z142" i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09" i="1"/>
  <c r="BN309" i="1"/>
  <c r="Z30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359" i="1" l="1"/>
  <c r="Z243" i="1"/>
  <c r="Z226" i="1"/>
  <c r="Z193" i="1"/>
  <c r="Z139" i="1"/>
  <c r="Z133" i="1"/>
  <c r="Z116" i="1"/>
  <c r="Z68" i="1"/>
  <c r="Z282" i="1"/>
  <c r="Z421" i="1"/>
  <c r="Z340" i="1"/>
  <c r="Z346" i="1"/>
  <c r="Z325" i="1"/>
  <c r="Z110" i="1"/>
  <c r="Z83" i="1"/>
  <c r="Z408" i="1"/>
  <c r="Z273" i="1"/>
  <c r="Z466" i="1"/>
  <c r="Z395" i="1"/>
  <c r="Z502" i="1"/>
  <c r="Z495" i="1"/>
  <c r="Z128" i="1"/>
  <c r="Z77" i="1"/>
  <c r="Z55" i="1"/>
  <c r="Y592" i="1"/>
  <c r="Y593" i="1"/>
  <c r="Z28" i="1"/>
  <c r="Z209" i="1"/>
  <c r="Z460" i="1"/>
  <c r="Z310" i="1"/>
  <c r="Z198" i="1"/>
  <c r="Z144" i="1"/>
  <c r="Z390" i="1"/>
  <c r="Z238" i="1"/>
  <c r="Z183" i="1"/>
  <c r="Z547" i="1"/>
  <c r="Z332" i="1"/>
  <c r="Z565" i="1"/>
  <c r="Z523" i="1"/>
  <c r="Z528" i="1"/>
  <c r="Z385" i="1"/>
  <c r="Z353" i="1"/>
  <c r="Z261" i="1"/>
  <c r="Z221" i="1"/>
  <c r="Z102" i="1"/>
  <c r="Z90" i="1"/>
  <c r="Z62" i="1"/>
  <c r="Z41" i="1"/>
  <c r="Z161" i="1"/>
  <c r="Z517" i="1"/>
  <c r="Z442" i="1"/>
  <c r="Y595" i="1"/>
  <c r="Z370" i="1"/>
  <c r="Y591" i="1"/>
  <c r="Z596" i="1" l="1"/>
  <c r="Y594" i="1"/>
</calcChain>
</file>

<file path=xl/sharedStrings.xml><?xml version="1.0" encoding="utf-8"?>
<sst xmlns="http://schemas.openxmlformats.org/spreadsheetml/2006/main" count="2733" uniqueCount="968">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</sst>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35" sqref="AA335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45764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Четверг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2200</v>
      </c>
      <c r="Y335" s="664">
        <f>IFERROR(IF(X335="",0,CEILING((X335/$H335),1)*$H335),"")</f>
        <v>2207.4</v>
      </c>
      <c r="Z335" s="36">
        <f>IFERROR(IF(Y335=0,"",ROUNDUP(Y335/H335,0)*0.01898),"")</f>
        <v>5.37134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2344.6923076923081</v>
      </c>
      <c r="BN335" s="64">
        <f>IFERROR(Y335*I335/H335,"0")</f>
        <v>2352.5790000000002</v>
      </c>
      <c r="BO335" s="64">
        <f>IFERROR(1/J335*(X335/H335),"0")</f>
        <v>4.4070512820512819</v>
      </c>
      <c r="BP335" s="64">
        <f>IFERROR(1/J335*(Y335/H335),"0")</f>
        <v>4.421875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282.05128205128204</v>
      </c>
      <c r="Y340" s="665">
        <f>IFERROR(Y335/H335,"0")+IFERROR(Y336/H336,"0")+IFERROR(Y337/H337,"0")+IFERROR(Y338/H338,"0")+IFERROR(Y339/H339,"0")</f>
        <v>283</v>
      </c>
      <c r="Z340" s="665">
        <f>IFERROR(IF(Z335="",0,Z335),"0")+IFERROR(IF(Z336="",0,Z336),"0")+IFERROR(IF(Z337="",0,Z337),"0")+IFERROR(IF(Z338="",0,Z338),"0")+IFERROR(IF(Z339="",0,Z339),"0")</f>
        <v>5.37134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2200</v>
      </c>
      <c r="Y341" s="665">
        <f>IFERROR(SUM(Y335:Y339),"0")</f>
        <v>2207.4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720</v>
      </c>
      <c r="Y376" s="664">
        <f t="shared" si="58"/>
        <v>720</v>
      </c>
      <c r="Z376" s="36">
        <f>IFERROR(IF(Y376=0,"",ROUNDUP(Y376/H376,0)*0.02039),"")</f>
        <v>0.97871999999999992</v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743.04000000000008</v>
      </c>
      <c r="BN376" s="64">
        <f t="shared" si="60"/>
        <v>743.04000000000008</v>
      </c>
      <c r="BO376" s="64">
        <f t="shared" si="61"/>
        <v>1</v>
      </c>
      <c r="BP376" s="64">
        <f t="shared" si="62"/>
        <v>1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720</v>
      </c>
      <c r="Y379" s="664">
        <f t="shared" si="58"/>
        <v>720</v>
      </c>
      <c r="Z379" s="36">
        <f>IFERROR(IF(Y379=0,"",ROUNDUP(Y379/H379,0)*0.02175),"")</f>
        <v>1.044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743.04000000000008</v>
      </c>
      <c r="BN379" s="64">
        <f t="shared" si="60"/>
        <v>743.04000000000008</v>
      </c>
      <c r="BO379" s="64">
        <f t="shared" si="61"/>
        <v>1</v>
      </c>
      <c r="BP379" s="64">
        <f t="shared" si="62"/>
        <v>1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96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96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2.0227200000000001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1440</v>
      </c>
      <c r="Y386" s="665">
        <f>IFERROR(SUM(Y375:Y384),"0")</f>
        <v>1440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3120</v>
      </c>
      <c r="Y388" s="664">
        <f>IFERROR(IF(X388="",0,CEILING((X388/$H388),1)*$H388),"")</f>
        <v>3120</v>
      </c>
      <c r="Z388" s="36">
        <f>IFERROR(IF(Y388=0,"",ROUNDUP(Y388/H388,0)*0.02175),"")</f>
        <v>4.524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3219.8399999999997</v>
      </c>
      <c r="BN388" s="64">
        <f>IFERROR(Y388*I388/H388,"0")</f>
        <v>3219.8399999999997</v>
      </c>
      <c r="BO388" s="64">
        <f>IFERROR(1/J388*(X388/H388),"0")</f>
        <v>4.333333333333333</v>
      </c>
      <c r="BP388" s="64">
        <f>IFERROR(1/J388*(Y388/H388),"0")</f>
        <v>4.333333333333333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208</v>
      </c>
      <c r="Y390" s="665">
        <f>IFERROR(Y388/H388,"0")+IFERROR(Y389/H389,"0")</f>
        <v>208</v>
      </c>
      <c r="Z390" s="665">
        <f>IFERROR(IF(Z388="",0,Z388),"0")+IFERROR(IF(Z389="",0,Z389),"0")</f>
        <v>4.524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3120</v>
      </c>
      <c r="Y391" s="665">
        <f>IFERROR(SUM(Y388:Y389),"0")</f>
        <v>3120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idden="1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hidden="1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550</v>
      </c>
      <c r="Y498" s="664">
        <f>IFERROR(IF(X498="",0,CEILING((X498/$H498),1)*$H498),"")</f>
        <v>554.4</v>
      </c>
      <c r="Z498" s="36">
        <f>IFERROR(IF(Y498=0,"",ROUNDUP(Y498/H498,0)*0.01196),"")</f>
        <v>1.2558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587.5</v>
      </c>
      <c r="BN498" s="64">
        <f>IFERROR(Y498*I498/H498,"0")</f>
        <v>592.19999999999993</v>
      </c>
      <c r="BO498" s="64">
        <f>IFERROR(1/J498*(X498/H498),"0")</f>
        <v>1.0016025641025641</v>
      </c>
      <c r="BP498" s="64">
        <f>IFERROR(1/J498*(Y498/H498),"0")</f>
        <v>1.0096153846153846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104.16666666666666</v>
      </c>
      <c r="Y502" s="665">
        <f>IFERROR(Y498/H498,"0")+IFERROR(Y499/H499,"0")+IFERROR(Y500/H500,"0")+IFERROR(Y501/H501,"0")</f>
        <v>104.99999999999999</v>
      </c>
      <c r="Z502" s="665">
        <f>IFERROR(IF(Z498="",0,Z498),"0")+IFERROR(IF(Z499="",0,Z499),"0")+IFERROR(IF(Z500="",0,Z500),"0")+IFERROR(IF(Z501="",0,Z501),"0")</f>
        <v>1.2558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550</v>
      </c>
      <c r="Y503" s="665">
        <f>IFERROR(SUM(Y498:Y501),"0")</f>
        <v>554.4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600</v>
      </c>
      <c r="Y551" s="664">
        <f t="shared" si="84"/>
        <v>600.6</v>
      </c>
      <c r="Z551" s="36">
        <f>IFERROR(IF(Y551=0,"",ROUNDUP(Y551/H551,0)*0.00902),"")</f>
        <v>1.28986</v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638.57142857142856</v>
      </c>
      <c r="BN551" s="64">
        <f t="shared" si="86"/>
        <v>639.20999999999992</v>
      </c>
      <c r="BO551" s="64">
        <f t="shared" si="87"/>
        <v>1.0822510822510822</v>
      </c>
      <c r="BP551" s="64">
        <f t="shared" si="88"/>
        <v>1.0833333333333333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142.85714285714286</v>
      </c>
      <c r="Y557" s="665">
        <f>IFERROR(Y550/H550,"0")+IFERROR(Y551/H551,"0")+IFERROR(Y552/H552,"0")+IFERROR(Y553/H553,"0")+IFERROR(Y554/H554,"0")+IFERROR(Y555/H555,"0")+IFERROR(Y556/H556,"0")</f>
        <v>143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1.28986</v>
      </c>
      <c r="AA557" s="666"/>
      <c r="AB557" s="666"/>
      <c r="AC557" s="666"/>
    </row>
    <row r="558" spans="1:68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600</v>
      </c>
      <c r="Y558" s="665">
        <f>IFERROR(SUM(Y550:Y556),"0")</f>
        <v>600.6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7910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7922.4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8276.6837362637361</v>
      </c>
      <c r="Y592" s="665">
        <f>IFERROR(SUM(BN22:BN588),"0")</f>
        <v>8289.9089999999997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8601.6837362637361</v>
      </c>
      <c r="Y594" s="665">
        <f>GrossWeightTotalR+PalletQtyTotalR*25</f>
        <v>8614.9089999999997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833.07509157509151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835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14.463720000000002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2207.4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4560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554.4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600.6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4,17"/>
        <filter val="13"/>
        <filter val="142,86"/>
        <filter val="2 200,00"/>
        <filter val="208,00"/>
        <filter val="282,05"/>
        <filter val="3 120,00"/>
        <filter val="550,00"/>
        <filter val="600,00"/>
        <filter val="7 910,00"/>
        <filter val="720,00"/>
        <filter val="8 276,68"/>
        <filter val="8 601,68"/>
        <filter val="833,08"/>
        <filter val="96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