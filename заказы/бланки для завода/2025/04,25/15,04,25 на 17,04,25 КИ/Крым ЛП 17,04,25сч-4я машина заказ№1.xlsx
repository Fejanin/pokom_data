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C1C630-C436-4ED0-AC2D-5B1A399AB4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L601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Y244" i="1" s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81" i="1" l="1"/>
  <c r="BN81" i="1"/>
  <c r="BP107" i="1"/>
  <c r="BN107" i="1"/>
  <c r="Z107" i="1"/>
  <c r="BP120" i="1"/>
  <c r="BN120" i="1"/>
  <c r="Z120" i="1"/>
  <c r="Y166" i="1"/>
  <c r="Y165" i="1"/>
  <c r="BP164" i="1"/>
  <c r="BN164" i="1"/>
  <c r="Z164" i="1"/>
  <c r="Z165" i="1" s="1"/>
  <c r="Y171" i="1"/>
  <c r="BP170" i="1"/>
  <c r="BN170" i="1"/>
  <c r="Z170" i="1"/>
  <c r="Z171" i="1" s="1"/>
  <c r="BP174" i="1"/>
  <c r="BN174" i="1"/>
  <c r="Z174" i="1"/>
  <c r="BP217" i="1"/>
  <c r="BN217" i="1"/>
  <c r="Z217" i="1"/>
  <c r="BP258" i="1"/>
  <c r="BN258" i="1"/>
  <c r="Z258" i="1"/>
  <c r="BN314" i="1"/>
  <c r="Z314" i="1"/>
  <c r="Z315" i="1" s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4" i="1"/>
  <c r="BN514" i="1"/>
  <c r="Z514" i="1"/>
  <c r="X595" i="1"/>
  <c r="Z38" i="1"/>
  <c r="BN38" i="1"/>
  <c r="Z53" i="1"/>
  <c r="BN53" i="1"/>
  <c r="Z67" i="1"/>
  <c r="BN67" i="1"/>
  <c r="Y77" i="1"/>
  <c r="Z81" i="1"/>
  <c r="BP119" i="1"/>
  <c r="BN119" i="1"/>
  <c r="Z119" i="1"/>
  <c r="BP143" i="1"/>
  <c r="BN143" i="1"/>
  <c r="Z143" i="1"/>
  <c r="BP205" i="1"/>
  <c r="BN205" i="1"/>
  <c r="Z205" i="1"/>
  <c r="BP232" i="1"/>
  <c r="BN232" i="1"/>
  <c r="Z232" i="1"/>
  <c r="BP277" i="1"/>
  <c r="BN277" i="1"/>
  <c r="Z277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E601" i="1"/>
  <c r="Y129" i="1"/>
  <c r="Y282" i="1"/>
  <c r="BP126" i="1"/>
  <c r="BN126" i="1"/>
  <c r="BP137" i="1"/>
  <c r="BN137" i="1"/>
  <c r="Z137" i="1"/>
  <c r="BP160" i="1"/>
  <c r="BN160" i="1"/>
  <c r="Z160" i="1"/>
  <c r="BP181" i="1"/>
  <c r="BN181" i="1"/>
  <c r="Z181" i="1"/>
  <c r="BP203" i="1"/>
  <c r="BN203" i="1"/>
  <c r="Z203" i="1"/>
  <c r="BP215" i="1"/>
  <c r="BN215" i="1"/>
  <c r="Z215" i="1"/>
  <c r="BP230" i="1"/>
  <c r="BN230" i="1"/>
  <c r="Z230" i="1"/>
  <c r="BP256" i="1"/>
  <c r="BN256" i="1"/>
  <c r="Z256" i="1"/>
  <c r="BP272" i="1"/>
  <c r="BN272" i="1"/>
  <c r="Z272" i="1"/>
  <c r="Q601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1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Z26" i="1"/>
  <c r="BN26" i="1"/>
  <c r="C601" i="1"/>
  <c r="Z40" i="1"/>
  <c r="BN40" i="1"/>
  <c r="Z51" i="1"/>
  <c r="BN51" i="1"/>
  <c r="Z59" i="1"/>
  <c r="BN59" i="1"/>
  <c r="Z65" i="1"/>
  <c r="BN65" i="1"/>
  <c r="BP65" i="1"/>
  <c r="Y68" i="1"/>
  <c r="Z71" i="1"/>
  <c r="BN71" i="1"/>
  <c r="BP71" i="1"/>
  <c r="Y78" i="1"/>
  <c r="Z75" i="1"/>
  <c r="BN75" i="1"/>
  <c r="Y84" i="1"/>
  <c r="Z88" i="1"/>
  <c r="BN88" i="1"/>
  <c r="Y103" i="1"/>
  <c r="Z100" i="1"/>
  <c r="BN100" i="1"/>
  <c r="F601" i="1"/>
  <c r="Z109" i="1"/>
  <c r="BN109" i="1"/>
  <c r="Y117" i="1"/>
  <c r="Z115" i="1"/>
  <c r="BN115" i="1"/>
  <c r="Y128" i="1"/>
  <c r="Z122" i="1"/>
  <c r="BN122" i="1"/>
  <c r="Z123" i="1"/>
  <c r="BN123" i="1"/>
  <c r="Z126" i="1"/>
  <c r="BP147" i="1"/>
  <c r="BN147" i="1"/>
  <c r="Z147" i="1"/>
  <c r="Y184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140" i="1"/>
  <c r="Y239" i="1"/>
  <c r="Y243" i="1"/>
  <c r="T601" i="1"/>
  <c r="Y315" i="1"/>
  <c r="BP314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Y443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Y346" i="1"/>
  <c r="H9" i="1"/>
  <c r="A10" i="1"/>
  <c r="B601" i="1"/>
  <c r="X592" i="1"/>
  <c r="X593" i="1"/>
  <c r="Z23" i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Z41" i="1" s="1"/>
  <c r="BN37" i="1"/>
  <c r="BP37" i="1"/>
  <c r="Z39" i="1"/>
  <c r="BN39" i="1"/>
  <c r="Y42" i="1"/>
  <c r="D601" i="1"/>
  <c r="Z50" i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Z116" i="1" s="1"/>
  <c r="BN114" i="1"/>
  <c r="BP114" i="1"/>
  <c r="Z121" i="1"/>
  <c r="Z128" i="1" s="1"/>
  <c r="BN121" i="1"/>
  <c r="BP121" i="1"/>
  <c r="Z124" i="1"/>
  <c r="BN124" i="1"/>
  <c r="Z125" i="1"/>
  <c r="BN125" i="1"/>
  <c r="Z127" i="1"/>
  <c r="BN127" i="1"/>
  <c r="Z131" i="1"/>
  <c r="Z133" i="1" s="1"/>
  <c r="BN131" i="1"/>
  <c r="BP131" i="1"/>
  <c r="Y134" i="1"/>
  <c r="G601" i="1"/>
  <c r="Z138" i="1"/>
  <c r="Z139" i="1" s="1"/>
  <c r="BN138" i="1"/>
  <c r="BP138" i="1"/>
  <c r="Y139" i="1"/>
  <c r="Z142" i="1"/>
  <c r="Z144" i="1" s="1"/>
  <c r="BN142" i="1"/>
  <c r="BP142" i="1"/>
  <c r="Y149" i="1"/>
  <c r="BP159" i="1"/>
  <c r="BN159" i="1"/>
  <c r="Z159" i="1"/>
  <c r="I601" i="1"/>
  <c r="Y183" i="1"/>
  <c r="BP177" i="1"/>
  <c r="BN177" i="1"/>
  <c r="Z177" i="1"/>
  <c r="BP182" i="1"/>
  <c r="BN182" i="1"/>
  <c r="Z182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22" i="1"/>
  <c r="Y221" i="1"/>
  <c r="BP212" i="1"/>
  <c r="BN212" i="1"/>
  <c r="Z212" i="1"/>
  <c r="BP216" i="1"/>
  <c r="BN216" i="1"/>
  <c r="Z216" i="1"/>
  <c r="F9" i="1"/>
  <c r="J9" i="1"/>
  <c r="Y41" i="1"/>
  <c r="Y91" i="1"/>
  <c r="Y11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Y172" i="1"/>
  <c r="J601" i="1"/>
  <c r="Y193" i="1"/>
  <c r="Z218" i="1"/>
  <c r="BN218" i="1"/>
  <c r="Z220" i="1"/>
  <c r="BN220" i="1"/>
  <c r="Z224" i="1"/>
  <c r="Z226" i="1" s="1"/>
  <c r="BN224" i="1"/>
  <c r="BP224" i="1"/>
  <c r="Y227" i="1"/>
  <c r="K601" i="1"/>
  <c r="Z231" i="1"/>
  <c r="Z238" i="1" s="1"/>
  <c r="BN231" i="1"/>
  <c r="BP231" i="1"/>
  <c r="Z233" i="1"/>
  <c r="BN233" i="1"/>
  <c r="Z235" i="1"/>
  <c r="BN235" i="1"/>
  <c r="Z237" i="1"/>
  <c r="BN237" i="1"/>
  <c r="Y238" i="1"/>
  <c r="Z242" i="1"/>
  <c r="Z243" i="1" s="1"/>
  <c r="BN242" i="1"/>
  <c r="BP242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1" i="1"/>
  <c r="Z271" i="1"/>
  <c r="BN271" i="1"/>
  <c r="BP271" i="1"/>
  <c r="Y274" i="1"/>
  <c r="P601" i="1"/>
  <c r="Z278" i="1"/>
  <c r="Z282" i="1" s="1"/>
  <c r="BN278" i="1"/>
  <c r="BP278" i="1"/>
  <c r="Z280" i="1"/>
  <c r="BN280" i="1"/>
  <c r="Y283" i="1"/>
  <c r="Y288" i="1"/>
  <c r="Y301" i="1"/>
  <c r="S601" i="1"/>
  <c r="Y306" i="1"/>
  <c r="Y311" i="1"/>
  <c r="Z309" i="1"/>
  <c r="Z310" i="1" s="1"/>
  <c r="BN309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261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02" i="1" l="1"/>
  <c r="Z346" i="1"/>
  <c r="Z273" i="1"/>
  <c r="Z209" i="1"/>
  <c r="Z183" i="1"/>
  <c r="Z161" i="1"/>
  <c r="Z68" i="1"/>
  <c r="Z353" i="1"/>
  <c r="Y593" i="1"/>
  <c r="Y591" i="1"/>
  <c r="Y592" i="1"/>
  <c r="Z495" i="1"/>
  <c r="Z408" i="1"/>
  <c r="Z55" i="1"/>
  <c r="Z28" i="1"/>
  <c r="Z466" i="1"/>
  <c r="Y594" i="1"/>
  <c r="Z547" i="1"/>
  <c r="Z517" i="1"/>
  <c r="Z385" i="1"/>
  <c r="Z359" i="1"/>
  <c r="Z221" i="1"/>
  <c r="Y595" i="1"/>
  <c r="Z565" i="1"/>
  <c r="Z523" i="1"/>
  <c r="Z528" i="1"/>
  <c r="Z442" i="1"/>
  <c r="Z421" i="1"/>
  <c r="Z261" i="1"/>
  <c r="Z110" i="1"/>
  <c r="Z102" i="1"/>
  <c r="Z90" i="1"/>
  <c r="Z83" i="1"/>
  <c r="Z62" i="1"/>
  <c r="X594" i="1"/>
  <c r="Z596" i="1" l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<sst xmlns="http://schemas.openxmlformats.org/spreadsheetml/2006/main" count="2733" uniqueCount="968">
  <si>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</si>
  <si>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</si>
  <si>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</si>
  <si>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</si>
  <si>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</si>
  <si>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</si>
  <si>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</si>
  <si>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</si>
  <si>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</si>
  <si>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</si>
  <si>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</si>
  <si>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</si>
  <si>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</si>
  <si>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</si>
  <si>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</si>
  <si>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</si>
  <si>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</si>
  <si>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</si>
  <si>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</si>
  <si>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</si>
  <si>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</si>
  <si>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</si>
  <si>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</si>
  <si>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</si>
  <si>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</si>
  <si>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</si>
  <si>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</si>
  <si>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</si>
  <si>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</si>
  <si>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</si>
  <si>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</si>
  <si>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</si>
  <si>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</si>
  <si>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</si>
  <si>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</si>
  <si>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</si>
  <si>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</si>
  <si>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</si>
  <si>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</si>
  <si>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</si>
  <si>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</si>
  <si>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</si>
  <si>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</si>
  <si>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</si>
  <si>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</si>
  <si>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</si>
  <si>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</si>
  <si>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</si>
  <si>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</si>
  <si>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</si>
  <si>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</si>
  <si>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</si>
  <si>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</si>
  <si>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</si>
  <si>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</si>
  <si>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</si>
  <si>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</si>
  <si>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</si>
  <si>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</si>
  <si>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</si>
  <si>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</si>
  <si>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</si>
  <si>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</si>
  <si>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</si>
  <si>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</si>
  <si>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</si>
  <si>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</si>
  <si>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</si>
  <si>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</si>
  <si>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</si>
  <si>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</si>
  <si>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</si>
  <si>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</si>
  <si>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</si>
  <si>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</si>
  <si>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</si>
  <si>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</si>
  <si>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</si>
  <si>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</si>
  <si>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</si>
  <si>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</si>
  <si>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</si>
  <si>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</si>
  <si>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</si>
  <si>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</si>
  <si>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</si>
  <si>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</si>
  <si>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</si>
  <si>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</si>
  <si>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</si>
  <si>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</si>
  <si>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</si>
  <si>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</si>
  <si>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</si>
  <si>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</si>
  <si>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</si>
  <si>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</si>
  <si>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</si>
  <si>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</si>
  <si>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</si>
  <si>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</si>
  <si>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</si>
  <si>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</si>
  <si>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</si>
  <si>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</si>
  <si>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</si>
  <si>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</si>
  <si>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</si>
  <si>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</si>
  <si>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</si>
  <si>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</si>
  <si>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</si>
  <si>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</si>
  <si>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</si>
  <si>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</si>
  <si>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</si>
  <si>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</si>
  <si>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</si>
  <si>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</si>
  <si>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</si>
  <si>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</si>
  <si>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</si>
  <si>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</si>
  <si>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</si>
  <si>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</si>
  <si>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</si>
  <si>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</si>
  <si>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</si>
  <si>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</si>
  <si>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</si>
  <si>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</si>
  <si>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</si>
  <si>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</si>
  <si>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</si>
  <si>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</si>
  <si>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</si>
  <si>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</si>
  <si>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</si>
  <si>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</si>
  <si>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</si>
  <si>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</si>
  <si>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</si>
  <si>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</si>
  <si>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</si>
  <si>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</si>
  <si>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</si>
  <si>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</si>
  <si>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</si>
  <si>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</si>
  <si>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</si>
  <si>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</si>
  <si>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</si>
  <si>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</si>
  <si>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</si>
  <si>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</si>
  <si>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</si>
  <si>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</si>
  <si>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</si>
  <si>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</si>
  <si>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</si>
  <si>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</si>
  <si>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</si>
  <si>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</si>
  <si>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</si>
  <si>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</si>
  <si>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</si>
  <si>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</si>
  <si>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</si>
  <si>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</si>
  <si>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</si>
  <si>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</si>
  <si>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</si>
  <si>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</si>
  <si>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</si>
  <si>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</si>
  <si>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</si>
  <si>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</si>
  <si>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</si>
  <si>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</si>
  <si>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</si>
  <si>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</si>
  <si>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</si>
  <si>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</si>
  <si>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</si>
  <si>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</si>
  <si>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</si>
  <si>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</si>
  <si>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</si>
  <si>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</si>
  <si>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</si>
  <si>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</si>
  <si>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</si>
  <si>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</si>
  <si>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</si>
  <si>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</si>
  <si>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</si>
  <si>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</si>
  <si>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</si>
  <si>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</si>
  <si>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</si>
  <si>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</si>
  <si>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</si>
  <si>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</si>
  <si>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</si>
  <si>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</si>
  <si>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</si>
  <si>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</si>
  <si>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</si>
  <si>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</si>
  <si>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</si>
  <si>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</si>
  <si>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</si>
  <si>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</si>
  <si>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</si>
  <si>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</si>
  <si>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</si>
  <si>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</si>
  <si>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</si>
  <si>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</si>
  <si>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</si>
  <si>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</si>
  <si>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</si>
  <si>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</si>
  <si>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</si>
  <si>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</si>
  <si>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</si>
  <si>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</si>
  <si>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</si>
  <si>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</si>
  <si>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</si>
  <si>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</si>
  <si>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</si>
  <si>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</si>
  <si>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</si>
  <si>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</si>
  <si>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</si>
  <si>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</si>
  <si>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</si>
  <si>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</si>
  <si>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</si>
  <si>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</si>
  <si>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</si>
  <si>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</si>
  <si>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</si>
  <si>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</si>
  <si>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</si>
  <si>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</si>
  <si>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</si>
  <si>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</si>
  <si>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</si>
  <si>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</si>
  <si>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</si>
  <si>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</si>
  <si>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</si>
  <si>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</si>
  <si>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</si>
  <si>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</si>
  <si>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</si>
  <si>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</si>
  <si>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</si>
  <si>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</si>
  <si>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</si>
  <si>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</si>
  <si>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</si>
  <si>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</si>
  <si>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</si>
  <si>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</si>
  <si>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</si>
  <si>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</si>
  <si>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</si>
  <si>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</si>
  <si>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</si>
  <si>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</si>
  <si>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</si>
  <si>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</si>
  <si>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</si>
  <si>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</si>
  <si>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</si>
  <si>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</si>
  <si>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</si>
  <si>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</si>
  <si>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</si>
  <si>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</si>
  <si>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</si>
  <si>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</si>
  <si>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</si>
  <si>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</si>
  <si>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</si>
  <si>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</si>
  <si>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</si>
  <si>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</si>
  <si>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</si>
  <si>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</si>
  <si>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</si>
  <si>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</si>
  <si>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</si>
  <si>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</si>
  <si>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</si>
  <si>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</si>
  <si>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</si>
  <si>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</si>
  <si>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</si>
  <si>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</si>
  <si>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</si>
  <si>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</si>
  <si>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</si>
  <si>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</si>
  <si>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</si>
  <si>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</si>
  <si>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</si>
  <si>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</si>
  <si>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</si>
  <si>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</si>
  <si>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</si>
  <si>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</si>
  <si>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</si>
  <si>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</si>
  <si>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</si>
  <si>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</si>
  <si>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</si>
  <si>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</si>
  <si>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</si>
  <si>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</si>
  <si>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</si>
  <si>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</si>
  <si>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</si>
  <si>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</si>
  <si>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</si>
  <si>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</si>
  <si>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</si>
  <si>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</si>
  <si>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</si>
  <si>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</si>
  <si>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</si>
  <si>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</si>
  <si>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</si>
  <si>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</si>
  <si>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</si>
  <si>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</si>
  <si>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</si>
  <si>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</si>
  <si>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</si>
  <si>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</si>
  <si>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</si>
  <si>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</si>
  <si>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</si>
  <si>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</si>
  <si>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</si>
  <si>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</si>
  <si>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</si>
  <si>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</si>
  <si>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</si>
  <si>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</si>
  <si>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</si>
  <si>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</si>
  <si>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</si>
  <si>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</si>
  <si>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</si>
  <si>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</si>
  <si>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</si>
  <si>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</si>
  <si>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</si>
  <si>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</si>
  <si>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</si>
  <si>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</si>
  <si>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</si>
  <si>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</si>
  <si>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</si>
  <si>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</si>
  <si>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</si>
  <si>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</si>
  <si>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</si>
  <si>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</si>
  <si>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</si>
  <si>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</si>
  <si>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</si>
  <si>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</si>
  <si>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</si>
  <si>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</si>
  <si>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</si>
  <si>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</si>
  <si>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</si>
  <si>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</si>
  <si>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</si>
  <si>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</si>
  <si>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</si>
  <si>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</si>
  <si>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</si>
  <si>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</si>
  <si>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</si>
  <si>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</si>
  <si>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</si>
  <si>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</si>
  <si>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</si>
  <si>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</si>
  <si>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</si>
  <si>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</si>
  <si>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</si>
  <si>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</si>
  <si>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</si>
  <si>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</si>
  <si>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</si>
  <si>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</si>
  <si>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</si>
  <si>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</si>
  <si>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</si>
  <si>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</si>
  <si>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</si>
  <si>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</si>
  <si>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</si>
  <si>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</si>
  <si>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</si>
  <si>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</si>
  <si>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</si>
  <si>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</si>
  <si>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</si>
  <si>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</si>
  <si>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</si>
  <si>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</si>
  <si>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</si>
  <si>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</si>
  <si>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</si>
  <si>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</si>
  <si>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</si>
  <si>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</si>
  <si>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</si>
  <si>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</si>
  <si>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</si>
  <si>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</si>
  <si>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</si>
  <si>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</si>
  <si>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</si>
  <si>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</si>
  <si>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</si>
  <si>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</si>
  <si>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</si>
  <si>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</si>
  <si>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</si>
  <si>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</si>
  <si>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</si>
  <si>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</si>
  <si>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</si>
  <si>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</si>
  <si>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</si>
  <si>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</si>
  <si>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</si>
  <si>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</si>
  <si>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</si>
  <si>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</si>
  <si>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</si>
  <si>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</si>
  <si>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</si>
  <si>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</si>
  <si>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</si>
  <si>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</si>
  <si>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</si>
  <si>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</si>
  <si>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</si>
  <si>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</si>
  <si>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</si>
  <si>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</si>
  <si>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</si>
  <si>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</si>
  <si>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</si>
  <si>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</si>
  <si>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</si>
  <si>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</si>
  <si>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</si>
  <si>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</si>
  <si>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</si>
  <si>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</si>
  <si>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</si>
  <si>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</si>
  <si>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</si>
  <si>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</si>
  <si>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</si>
  <si>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</si>
  <si>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</si>
  <si>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</si>
  <si>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</si>
  <si>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</si>
  <si>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</si>
  <si>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</si>
  <si>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</si>
  <si>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</si>
  <si>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</si>
  <si>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</si>
  <si>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</si>
  <si>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</si>
  <si>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</si>
  <si>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</si>
  <si>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</si>
  <si>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</si>
  <si>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</si>
  <si>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</si>
  <si>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</si>
  <si>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</si>
  <si>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</si>
  <si>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</si>
  <si>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</si>
  <si>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</si>
  <si>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</si>
  <si>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</si>
  <si>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</si>
  <si>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</si>
  <si>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</si>
  <si>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</si>
  <si>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</si>
  <si>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</si>
  <si>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</si>
  <si>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</si>
  <si>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</si>
  <si>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</si>
  <si>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</si>
  <si>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</si>
  <si>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</si>
  <si>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</si>
  <si>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</si>
  <si>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</si>
  <si>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</si>
  <si>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</si>
  <si>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</si>
  <si>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</si>
  <si>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</si>
  <si>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</si>
  <si>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</si>
  <si>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</si>
  <si>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</si>
  <si>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</si>
  <si>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</si>
  <si>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</si>
  <si>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</si>
  <si>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</si>
  <si>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</si>
  <si>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</si>
  <si>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</si>
  <si>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</si>
  <si>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</si>
  <si>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</si>
  <si>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</si>
  <si>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</si>
  <si>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</si>
  <si>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</si>
  <si>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</si>
  <si>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</si>
  <si>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</si>
  <si>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</si>
  <si>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</si>
  <si>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</si>
  <si>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</si>
  <si>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</si>
  <si>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</si>
  <si>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</si>
  <si>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</si>
  <si>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</si>
  <si>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</si>
  <si>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</si>
  <si>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</si>
  <si>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</si>
  <si>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</si>
  <si>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</si>
  <si>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</si>
  <si>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</si>
  <si>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</si>
  <si>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</si>
  <si>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</si>
  <si>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</si>
  <si>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</si>
  <si>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</si>
  <si>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</si>
  <si>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</si>
  <si>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</si>
  <si>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</si>
  <si>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</si>
  <si>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</si>
  <si>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</si>
  <si>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</si>
  <si>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</si>
  <si>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</si>
  <si>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</si>
  <si>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</si>
  <si>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</si>
  <si>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</si>
  <si>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</si>
  <si>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</si>
  <si>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</si>
  <si>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</si>
  <si>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</si>
  <si>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</si>
  <si>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</si>
  <si>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</si>
  <si>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</si>
  <si>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</si>
  <si>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</si>
  <si>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</si>
  <si>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</si>
  <si>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</si>
  <si>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</si>
  <si>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</si>
  <si>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</si>
  <si>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</si>
  <si>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</si>
  <si>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</si>
  <si>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</si>
  <si>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</si>
  <si>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</si>
  <si>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</si>
  <si>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</si>
  <si>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</si>
  <si>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</si>
  <si>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</si>
  <si>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</si>
  <si>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</si>
  <si>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</si>
  <si>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</si>
  <si>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</si>
  <si>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</si>
  <si>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</si>
  <si>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</si>
  <si>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</si>
  <si>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</si>
  <si>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</si>
  <si>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</si>
  <si>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</si>
  <si>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</si>
  <si>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</si>
  <si>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</si>
  <si>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</si>
  <si>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</si>
  <si>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</si>
  <si>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</si>
  <si>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</si>
  <si>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</si>
  <si>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</si>
  <si>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</si>
  <si>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</si>
  <si>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</si>
  <si>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</si>
  <si>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</si>
  <si>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</si>
  <si>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</si>
  <si>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</si>
  <si>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</si>
  <si>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</si>
  <si>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</si>
  <si>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</si>
  <si>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</si>
  <si>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</si>
  <si>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</si>
  <si>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</si>
  <si>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</si>
  <si>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</si>
  <si>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</si>
  <si>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</si>
  <si>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</si>
  <si>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</si>
  <si>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</si>
  <si>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</si>
  <si>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</si>
  <si>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</si>
  <si>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</si>
  <si>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</si>
  <si>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</si>
  <si>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</si>
  <si>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</si>
  <si>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</si>
  <si>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</si>
  <si>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</si>
  <si>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</si>
  <si>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</si>
  <si>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</si>
  <si>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</si>
  <si>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</si>
  <si>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</si>
  <si>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</si>
  <si>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</si>
  <si>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</si>
  <si>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</si>
  <si>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</si>
  <si>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</si>
  <si>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</si>
  <si>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</si>
  <si>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</si>
  <si>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</si>
  <si>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</si>
  <si>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</si>
  <si>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</si>
  <si>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</si>
  <si>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</si>
  <si>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</si>
  <si>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</si>
  <si>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</si>
  <si>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</si>
  <si>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</si>
  <si>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</si>
  <si>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</si>
  <si>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</si>
  <si>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</si>
  <si>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</si>
  <si>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</si>
  <si>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</si>
  <si>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</si>
  <si>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</si>
  <si>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</si>
  <si>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</si>
  <si>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</si>
  <si>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</si>
  <si>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</si>
  <si>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</si>
  <si>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</si>
  <si>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</si>
  <si>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</si>
  <si>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</si>
  <si>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</si>
  <si>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</si>
  <si>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</si>
  <si>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</si>
  <si>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</si>
  <si>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</si>
  <si>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</si>
  <si>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</si>
  <si>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</si>
  <si>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</si>
  <si>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</si>
  <si>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</si>
  <si>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</si>
  <si>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</si>
  <si>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</si>
  <si>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</si>
  <si>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</si>
  <si>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</si>
  <si>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</si>
  <si>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</si>
  <si>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</si>
  <si>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</si>
  <si>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</si>
  <si>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</si>
  <si>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</si>
  <si>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</si>
  <si>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</si>
  <si>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</si>
  <si>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</si>
  <si>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</si>
  <si>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</si>
  <si>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</si>
  <si>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</si>
  <si>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</si>
  <si>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</si>
  <si>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</si>
  <si>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</si>
  <si>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</si>
  <si>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</si>
  <si>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</si>
  <si>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</si>
  <si>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</si>
  <si>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</si>
  <si>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</si>
  <si>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</si>
  <si>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</si>
  <si>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</si>
  <si>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</si>
  <si>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</si>
  <si>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</si>
  <si>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</si>
  <si>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</si>
  <si>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</si>
  <si>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</si>
  <si>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</si>
  <si>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</si>
  <si>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</si>
  <si>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</si>
  <si>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</si>
  <si>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</si>
  <si>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</si>
  <si>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</si>
  <si>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</si>
  <si>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</si>
  <si>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</si>
  <si>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</si>
  <si>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</si>
  <si>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</si>
  <si>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</si>
  <si>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</si>
  <si>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</si>
  <si>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</si>
  <si>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</si>
  <si>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</si>
  <si>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</si>
  <si>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</si>
  <si>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</si>
  <si>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</si>
  <si>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</si>
  <si>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</si>
  <si>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</si>
  <si>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</si>
  <si>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</si>
  <si>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</si>
  <si>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</si>
  <si>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</si>
  <si>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</si>
  <si>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</si>
  <si>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</si>
  <si>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</si>
  <si>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</si>
  <si>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</si>
  <si>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</si>
  <si>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</si>
  <si>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</si>
  <si>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</si>
  <si>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</si>
  <si>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</si>
  <si>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</si>
  <si>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</si>
  <si>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</si>
  <si>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</si>
  <si>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</si>
  <si>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</si>
  <si>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</si>
  <si>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</si>
  <si>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</si>
  <si>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</si>
  <si>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</si>
  <si>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</si>
  <si>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</si>
  <si>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</si>
  <si>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</si>
  <si>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</si>
  <si>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</si>
  <si>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</si>
  <si>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</si>
  <si>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</si>
  <si>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</si>
  <si>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</si>
  <si>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</si>
  <si>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</si>
  <si>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</si>
  <si>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</si>
  <si>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</si>
  <si>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</si>
  <si>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</si>
  <si>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</si>
  <si>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</si>
  <si>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</si>
  <si>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</si>
  <si>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</si>
  <si>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</si>
  <si>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</si>
  <si>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</si>
  <si>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</si>
  <si>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</si>
  <si>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</si>
  <si>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</si>
  <si>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</si>
  <si>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</si>
  <si>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</si>
  <si>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</si>
  <si>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</si>
  <si>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</si>
  <si>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</si>
  <si>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</si>
  <si>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</si>
  <si>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</si>
  <si>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</si>
  <si>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</si>
  <si>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</si>
  <si>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</si>
  <si>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</si>
  <si>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</si>
  <si>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</si>
  <si>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</si>
  <si>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</si>
  <si>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</si>
  <si>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</si>
  <si>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</si>
  <si>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</si>
  <si>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</si>
  <si>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</si>
  <si>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</si>
  <si>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</si>
  <si>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</si>
  <si>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</si>
  <si>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</si>
  <si>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</si>
  <si>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</si>
  <si>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</si>
  <si>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</si>
  <si>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</si>
  <si>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</si>
  <si>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</si>
  <si>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</si>
  <si>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</si>
  <si>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</si>
  <si>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</si>
  <si>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</si>
  <si>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</si>
  <si>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</si>
  <si>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</si>
  <si>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</si>
  <si>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</si>
  <si>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</si>
  <si>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</si>
  <si>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</si>
  <si>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</si>
  <si>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</si>
  <si>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</si>
  <si>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</si>
  <si>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</si>
  <si>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</si>
  <si>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</si>
  <si>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</si>
  <si>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</si>
  <si>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</si>
  <si>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</si>
  <si>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</si>
  <si>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</si>
  <si>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</si>
  <si>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</si>
  <si>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</si>
  <si>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</si>
  <si>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</si>
  <si>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</si>
  <si>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</si>
  <si>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</si>
  <si>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</si>
  <si>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</si>
  <si>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</si>
  <si>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</si>
  <si>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</si>
  <si>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</si>
  <si>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</si>
  <si>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</si>
  <si>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</si>
  <si>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</si>
  <si>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</si>
  <si>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</si>
  <si>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</si>
  <si>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</si>
  <si>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</si>
  <si>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</si>
  <si>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</si>
  <si>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</si>
  <si>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</si>
  <si>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</si>
  <si>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</si>
  <si>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</si>
  <si>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</si>
  <si>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</si>
  <si>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</si>
  <si>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</si>
  <si>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</si>
  <si>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</si>
  <si>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</si>
  <si>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</si>
  <si>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</si>
  <si>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</si>
  <si>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</si>
  <si>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</si>
  <si>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</si>
  <si>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</si>
  <si>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</si>
  <si>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</si>
  <si>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</si>
  <si>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</si>
  <si>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</si>
  <si>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</si>
  <si>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</si>
  <si>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</si>
  <si>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Сочи,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</si>
</sst>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34</v>
      </c>
      <c r="Y37" s="664">
        <f>IFERROR(IF(X37="",0,CEILING((X37/$H37),1)*$H37),"")</f>
        <v>43.2</v>
      </c>
      <c r="Z37" s="36">
        <f>IFERROR(IF(Y37=0,"",ROUNDUP(Y37/H37,0)*0.01898),"")</f>
        <v>7.5920000000000001E-2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35.36944444444444</v>
      </c>
      <c r="BN37" s="64">
        <f>IFERROR(Y37*I37/H37,"0")</f>
        <v>44.94</v>
      </c>
      <c r="BO37" s="64">
        <f>IFERROR(1/J37*(X37/H37),"0")</f>
        <v>4.9189814814814811E-2</v>
      </c>
      <c r="BP37" s="64">
        <f>IFERROR(1/J37*(Y37/H37),"0")</f>
        <v>6.25E-2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68</v>
      </c>
      <c r="Y38" s="664">
        <f>IFERROR(IF(X38="",0,CEILING((X38/$H38),1)*$H38),"")</f>
        <v>68</v>
      </c>
      <c r="Z38" s="36">
        <f>IFERROR(IF(Y38=0,"",ROUNDUP(Y38/H38,0)*0.00902),"")</f>
        <v>0.15334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71.569999999999993</v>
      </c>
      <c r="BN38" s="64">
        <f>IFERROR(Y38*I38/H38,"0")</f>
        <v>71.569999999999993</v>
      </c>
      <c r="BO38" s="64">
        <f>IFERROR(1/J38*(X38/H38),"0")</f>
        <v>0.12878787878787878</v>
      </c>
      <c r="BP38" s="64">
        <f>IFERROR(1/J38*(Y38/H38),"0")</f>
        <v>0.12878787878787878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20.148148148148149</v>
      </c>
      <c r="Y41" s="665">
        <f>IFERROR(Y37/H37,"0")+IFERROR(Y38/H38,"0")+IFERROR(Y39/H39,"0")+IFERROR(Y40/H40,"0")</f>
        <v>21</v>
      </c>
      <c r="Z41" s="665">
        <f>IFERROR(IF(Z37="",0,Z37),"0")+IFERROR(IF(Z38="",0,Z38),"0")+IFERROR(IF(Z39="",0,Z39),"0")+IFERROR(IF(Z40="",0,Z40),"0")</f>
        <v>0.22926000000000002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102</v>
      </c>
      <c r="Y42" s="665">
        <f>IFERROR(SUM(Y37:Y40),"0")</f>
        <v>111.2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23</v>
      </c>
      <c r="Y50" s="664">
        <f t="shared" si="6"/>
        <v>32.400000000000006</v>
      </c>
      <c r="Z50" s="36">
        <f>IFERROR(IF(Y50=0,"",ROUNDUP(Y50/H50,0)*0.01898),"")</f>
        <v>5.6940000000000004E-2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23.926388888888884</v>
      </c>
      <c r="BN50" s="64">
        <f t="shared" si="8"/>
        <v>33.705000000000005</v>
      </c>
      <c r="BO50" s="64">
        <f t="shared" si="9"/>
        <v>3.3275462962962958E-2</v>
      </c>
      <c r="BP50" s="64">
        <f t="shared" si="10"/>
        <v>4.6875000000000007E-2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107</v>
      </c>
      <c r="Y54" s="664">
        <f t="shared" si="6"/>
        <v>108</v>
      </c>
      <c r="Z54" s="36">
        <f>IFERROR(IF(Y54=0,"",ROUNDUP(Y54/H54,0)*0.00902),"")</f>
        <v>0.21648000000000001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111.99333333333333</v>
      </c>
      <c r="BN54" s="64">
        <f t="shared" si="8"/>
        <v>113.04</v>
      </c>
      <c r="BO54" s="64">
        <f t="shared" si="9"/>
        <v>0.18013468013468015</v>
      </c>
      <c r="BP54" s="64">
        <f t="shared" si="10"/>
        <v>0.18181818181818182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25.907407407407408</v>
      </c>
      <c r="Y55" s="665">
        <f>IFERROR(Y49/H49,"0")+IFERROR(Y50/H50,"0")+IFERROR(Y51/H51,"0")+IFERROR(Y52/H52,"0")+IFERROR(Y53/H53,"0")+IFERROR(Y54/H54,"0")</f>
        <v>27</v>
      </c>
      <c r="Z55" s="665">
        <f>IFERROR(IF(Z49="",0,Z49),"0")+IFERROR(IF(Z50="",0,Z50),"0")+IFERROR(IF(Z51="",0,Z51),"0")+IFERROR(IF(Z52="",0,Z52),"0")+IFERROR(IF(Z53="",0,Z53),"0")+IFERROR(IF(Z54="",0,Z54),"0")</f>
        <v>0.27342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130</v>
      </c>
      <c r="Y56" s="665">
        <f>IFERROR(SUM(Y49:Y54),"0")</f>
        <v>140.4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70</v>
      </c>
      <c r="Y58" s="664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6.481481481481481</v>
      </c>
      <c r="Y62" s="665">
        <f>IFERROR(Y58/H58,"0")+IFERROR(Y59/H59,"0")+IFERROR(Y60/H60,"0")+IFERROR(Y61/H61,"0")</f>
        <v>7</v>
      </c>
      <c r="Z62" s="665">
        <f>IFERROR(IF(Z58="",0,Z58),"0")+IFERROR(IF(Z59="",0,Z59),"0")+IFERROR(IF(Z60="",0,Z60),"0")+IFERROR(IF(Z61="",0,Z61),"0")</f>
        <v>0.13286000000000001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70</v>
      </c>
      <c r="Y63" s="665">
        <f>IFERROR(SUM(Y58:Y61),"0")</f>
        <v>75.600000000000009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63</v>
      </c>
      <c r="Y89" s="664">
        <f>IFERROR(IF(X89="",0,CEILING((X89/$H89),1)*$H89),"")</f>
        <v>63</v>
      </c>
      <c r="Z89" s="36">
        <f>IFERROR(IF(Y89=0,"",ROUNDUP(Y89/H89,0)*0.00902),"")</f>
        <v>0.12628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65.94</v>
      </c>
      <c r="BN89" s="64">
        <f>IFERROR(Y89*I89/H89,"0")</f>
        <v>65.94</v>
      </c>
      <c r="BO89" s="64">
        <f>IFERROR(1/J89*(X89/H89),"0")</f>
        <v>0.10606060606060606</v>
      </c>
      <c r="BP89" s="64">
        <f>IFERROR(1/J89*(Y89/H89),"0")</f>
        <v>0.10606060606060606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14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0.12628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63</v>
      </c>
      <c r="Y91" s="665">
        <f>IFERROR(SUM(Y87:Y89),"0")</f>
        <v>63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47</v>
      </c>
      <c r="Y93" s="664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49.903928571428573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8.7425595238095233E-2</v>
      </c>
      <c r="BP93" s="64">
        <f t="shared" ref="BP93:BP101" si="20">IFERROR(1/J93*(Y93/H93),"0")</f>
        <v>9.375E-2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5.5952380952380949</v>
      </c>
      <c r="Y102" s="665">
        <f>IFERROR(Y93/H93,"0")+IFERROR(Y94/H94,"0")+IFERROR(Y95/H95,"0")+IFERROR(Y96/H96,"0")+IFERROR(Y97/H97,"0")+IFERROR(Y98/H98,"0")+IFERROR(Y99/H99,"0")+IFERROR(Y100/H100,"0")+IFERROR(Y101/H101,"0")</f>
        <v>6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0.11388000000000001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47</v>
      </c>
      <c r="Y103" s="665">
        <f>IFERROR(SUM(Y93:Y101),"0")</f>
        <v>50.400000000000006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38</v>
      </c>
      <c r="Y108" s="664">
        <f>IFERROR(IF(X108="",0,CEILING((X108/$H108),1)*$H108),"")</f>
        <v>40.5</v>
      </c>
      <c r="Z108" s="36">
        <f>IFERROR(IF(Y108=0,"",ROUNDUP(Y108/H108,0)*0.00902),"")</f>
        <v>8.1180000000000002E-2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39.773333333333333</v>
      </c>
      <c r="BN108" s="64">
        <f>IFERROR(Y108*I108/H108,"0")</f>
        <v>42.39</v>
      </c>
      <c r="BO108" s="64">
        <f>IFERROR(1/J108*(X108/H108),"0")</f>
        <v>6.3973063973063973E-2</v>
      </c>
      <c r="BP108" s="64">
        <f>IFERROR(1/J108*(Y108/H108),"0")</f>
        <v>6.8181818181818177E-2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8.4444444444444446</v>
      </c>
      <c r="Y110" s="665">
        <f>IFERROR(Y106/H106,"0")+IFERROR(Y107/H107,"0")+IFERROR(Y108/H108,"0")+IFERROR(Y109/H109,"0")</f>
        <v>9</v>
      </c>
      <c r="Z110" s="665">
        <f>IFERROR(IF(Z106="",0,Z106),"0")+IFERROR(IF(Z107="",0,Z107),"0")+IFERROR(IF(Z108="",0,Z108),"0")+IFERROR(IF(Z109="",0,Z109),"0")</f>
        <v>8.1180000000000002E-2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38</v>
      </c>
      <c r="Y111" s="665">
        <f>IFERROR(SUM(Y106:Y109),"0")</f>
        <v>40.5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5</v>
      </c>
      <c r="Y114" s="664">
        <f>IFERROR(IF(X114="",0,CEILING((X114/$H114),1)*$H114),"")</f>
        <v>7.1999999999999993</v>
      </c>
      <c r="Z114" s="36">
        <f>IFERROR(IF(Y114=0,"",ROUNDUP(Y114/H114,0)*0.00502),"")</f>
        <v>1.506E-2</v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5.2083333333333339</v>
      </c>
      <c r="BN114" s="64">
        <f>IFERROR(Y114*I114/H114,"0")</f>
        <v>7.5</v>
      </c>
      <c r="BO114" s="64">
        <f>IFERROR(1/J114*(X114/H114),"0")</f>
        <v>8.903133903133905E-3</v>
      </c>
      <c r="BP114" s="64">
        <f>IFERROR(1/J114*(Y114/H114),"0")</f>
        <v>1.2820512820512822E-2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2.0833333333333335</v>
      </c>
      <c r="Y116" s="665">
        <f>IFERROR(Y113/H113,"0")+IFERROR(Y114/H114,"0")+IFERROR(Y115/H115,"0")</f>
        <v>3</v>
      </c>
      <c r="Z116" s="665">
        <f>IFERROR(IF(Z113="",0,Z113),"0")+IFERROR(IF(Z114="",0,Z114),"0")+IFERROR(IF(Z115="",0,Z115),"0")</f>
        <v>1.506E-2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5</v>
      </c>
      <c r="Y117" s="665">
        <f>IFERROR(SUM(Y113:Y115),"0")</f>
        <v>7.1999999999999993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33</v>
      </c>
      <c r="Y124" s="664">
        <f t="shared" si="21"/>
        <v>35.1</v>
      </c>
      <c r="Z124" s="36">
        <f t="shared" si="26"/>
        <v>8.4629999999999997E-2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36.08</v>
      </c>
      <c r="BN124" s="64">
        <f t="shared" si="23"/>
        <v>38.375999999999998</v>
      </c>
      <c r="BO124" s="64">
        <f t="shared" si="24"/>
        <v>6.7155067155067152E-2</v>
      </c>
      <c r="BP124" s="64">
        <f t="shared" si="25"/>
        <v>7.1428571428571438E-2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12.222222222222221</v>
      </c>
      <c r="Y128" s="665">
        <f>IFERROR(Y119/H119,"0")+IFERROR(Y120/H120,"0")+IFERROR(Y121/H121,"0")+IFERROR(Y122/H122,"0")+IFERROR(Y123/H123,"0")+IFERROR(Y124/H124,"0")+IFERROR(Y125/H125,"0")+IFERROR(Y126/H126,"0")+IFERROR(Y127/H127,"0")</f>
        <v>13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8.4629999999999997E-2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33</v>
      </c>
      <c r="Y129" s="665">
        <f>IFERROR(SUM(Y119:Y127),"0")</f>
        <v>35.1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12</v>
      </c>
      <c r="Y138" s="664">
        <f>IFERROR(IF(X138="",0,CEILING((X138/$H138),1)*$H138),"")</f>
        <v>12.8</v>
      </c>
      <c r="Z138" s="36">
        <f>IFERROR(IF(Y138=0,"",ROUNDUP(Y138/H138,0)*0.00651),"")</f>
        <v>2.6040000000000001E-2</v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12.675000000000001</v>
      </c>
      <c r="BN138" s="64">
        <f>IFERROR(Y138*I138/H138,"0")</f>
        <v>13.52</v>
      </c>
      <c r="BO138" s="64">
        <f>IFERROR(1/J138*(X138/H138),"0")</f>
        <v>2.0604395604395608E-2</v>
      </c>
      <c r="BP138" s="64">
        <f>IFERROR(1/J138*(Y138/H138),"0")</f>
        <v>2.197802197802198E-2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3.75</v>
      </c>
      <c r="Y139" s="665">
        <f>IFERROR(Y137/H137,"0")+IFERROR(Y138/H138,"0")</f>
        <v>4</v>
      </c>
      <c r="Z139" s="665">
        <f>IFERROR(IF(Z137="",0,Z137),"0")+IFERROR(IF(Z138="",0,Z138),"0")</f>
        <v>2.6040000000000001E-2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12</v>
      </c>
      <c r="Y140" s="665">
        <f>IFERROR(SUM(Y137:Y138),"0")</f>
        <v>12.8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38</v>
      </c>
      <c r="Y153" s="664">
        <f>IFERROR(IF(X153="",0,CEILING((X153/$H153),1)*$H153),"")</f>
        <v>40</v>
      </c>
      <c r="Z153" s="36">
        <f>IFERROR(IF(Y153=0,"",ROUNDUP(Y153/H153,0)*0.00902),"")</f>
        <v>9.0200000000000002E-2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39.994999999999997</v>
      </c>
      <c r="BN153" s="64">
        <f>IFERROR(Y153*I153/H153,"0")</f>
        <v>42.1</v>
      </c>
      <c r="BO153" s="64">
        <f>IFERROR(1/J153*(X153/H153),"0")</f>
        <v>7.1969696969696975E-2</v>
      </c>
      <c r="BP153" s="64">
        <f>IFERROR(1/J153*(Y153/H153),"0")</f>
        <v>7.575757575757576E-2</v>
      </c>
    </row>
    <row r="154" spans="1:68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9.5</v>
      </c>
      <c r="Y154" s="665">
        <f>IFERROR(Y153/H153,"0")</f>
        <v>10</v>
      </c>
      <c r="Z154" s="665">
        <f>IFERROR(IF(Z153="",0,Z153),"0")</f>
        <v>9.0200000000000002E-2</v>
      </c>
      <c r="AA154" s="666"/>
      <c r="AB154" s="666"/>
      <c r="AC154" s="666"/>
    </row>
    <row r="155" spans="1:68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38</v>
      </c>
      <c r="Y155" s="665">
        <f>IFERROR(SUM(Y153:Y153),"0")</f>
        <v>40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48</v>
      </c>
      <c r="Y180" s="664">
        <f t="shared" si="27"/>
        <v>48.300000000000004</v>
      </c>
      <c r="Z180" s="36">
        <f>IFERROR(IF(Y180=0,"",ROUNDUP(Y180/H180,0)*0.00502),"")</f>
        <v>0.11546000000000001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50.285714285714285</v>
      </c>
      <c r="BN180" s="64">
        <f t="shared" si="29"/>
        <v>50.600000000000009</v>
      </c>
      <c r="BO180" s="64">
        <f t="shared" si="30"/>
        <v>9.7680097680097694E-2</v>
      </c>
      <c r="BP180" s="64">
        <f t="shared" si="31"/>
        <v>9.8290598290598302E-2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22.857142857142858</v>
      </c>
      <c r="Y183" s="665">
        <f>IFERROR(Y174/H174,"0")+IFERROR(Y175/H175,"0")+IFERROR(Y176/H176,"0")+IFERROR(Y177/H177,"0")+IFERROR(Y178/H178,"0")+IFERROR(Y179/H179,"0")+IFERROR(Y180/H180,"0")+IFERROR(Y181/H181,"0")+IFERROR(Y182/H182,"0")</f>
        <v>23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0.11546000000000001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48</v>
      </c>
      <c r="Y184" s="665">
        <f>IFERROR(SUM(Y174:Y182),"0")</f>
        <v>48.300000000000004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4</v>
      </c>
      <c r="Y186" s="66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3.1746031746031744</v>
      </c>
      <c r="Y187" s="665">
        <f>IFERROR(Y186/H186,"0")</f>
        <v>4</v>
      </c>
      <c r="Z187" s="665">
        <f>IFERROR(IF(Z186="",0,Z186),"0")</f>
        <v>2.3599999999999999E-2</v>
      </c>
      <c r="AA187" s="666"/>
      <c r="AB187" s="666"/>
      <c r="AC187" s="666"/>
    </row>
    <row r="188" spans="1:68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4</v>
      </c>
      <c r="Y188" s="665">
        <f>IFERROR(SUM(Y186:Y186),"0")</f>
        <v>5.04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16</v>
      </c>
      <c r="Y205" s="664">
        <f t="shared" si="32"/>
        <v>16.2</v>
      </c>
      <c r="Z205" s="36">
        <f>IFERROR(IF(Y205=0,"",ROUNDUP(Y205/H205,0)*0.00502),"")</f>
        <v>4.5179999999999998E-2</v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17.155555555555555</v>
      </c>
      <c r="BN205" s="64">
        <f t="shared" si="34"/>
        <v>17.369999999999997</v>
      </c>
      <c r="BO205" s="64">
        <f t="shared" si="35"/>
        <v>3.7986704653371325E-2</v>
      </c>
      <c r="BP205" s="64">
        <f t="shared" si="36"/>
        <v>3.8461538461538464E-2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11</v>
      </c>
      <c r="Y206" s="664">
        <f t="shared" si="32"/>
        <v>12.6</v>
      </c>
      <c r="Z206" s="36">
        <f>IFERROR(IF(Y206=0,"",ROUNDUP(Y206/H206,0)*0.00502),"")</f>
        <v>3.5140000000000005E-2</v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11.611111111111111</v>
      </c>
      <c r="BN206" s="64">
        <f t="shared" si="34"/>
        <v>13.299999999999999</v>
      </c>
      <c r="BO206" s="64">
        <f t="shared" si="35"/>
        <v>2.6115859449192782E-2</v>
      </c>
      <c r="BP206" s="64">
        <f t="shared" si="36"/>
        <v>2.9914529914529919E-2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15</v>
      </c>
      <c r="Y209" s="665">
        <f>IFERROR(Y201/H201,"0")+IFERROR(Y202/H202,"0")+IFERROR(Y203/H203,"0")+IFERROR(Y204/H204,"0")+IFERROR(Y205/H205,"0")+IFERROR(Y206/H206,"0")+IFERROR(Y207/H207,"0")+IFERROR(Y208/H208,"0")</f>
        <v>16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8.0320000000000003E-2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27</v>
      </c>
      <c r="Y210" s="665">
        <f>IFERROR(SUM(Y201:Y208),"0")</f>
        <v>28.799999999999997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54</v>
      </c>
      <c r="Y217" s="664">
        <f t="shared" si="37"/>
        <v>55.199999999999996</v>
      </c>
      <c r="Z217" s="36">
        <f t="shared" si="42"/>
        <v>0.14973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59.67</v>
      </c>
      <c r="BN217" s="64">
        <f t="shared" si="39"/>
        <v>60.996000000000002</v>
      </c>
      <c r="BO217" s="64">
        <f t="shared" si="40"/>
        <v>0.12362637362637363</v>
      </c>
      <c r="BP217" s="64">
        <f t="shared" si="41"/>
        <v>0.1263736263736264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28</v>
      </c>
      <c r="Y218" s="664">
        <f t="shared" si="37"/>
        <v>28.799999999999997</v>
      </c>
      <c r="Z218" s="36">
        <f t="shared" si="42"/>
        <v>7.8119999999999995E-2</v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30.94</v>
      </c>
      <c r="BN218" s="64">
        <f t="shared" si="39"/>
        <v>31.824000000000002</v>
      </c>
      <c r="BO218" s="64">
        <f t="shared" si="40"/>
        <v>6.4102564102564111E-2</v>
      </c>
      <c r="BP218" s="64">
        <f t="shared" si="41"/>
        <v>6.5934065934065936E-2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34.166666666666671</v>
      </c>
      <c r="Y221" s="665">
        <f>IFERROR(Y212/H212,"0")+IFERROR(Y213/H213,"0")+IFERROR(Y214/H214,"0")+IFERROR(Y215/H215,"0")+IFERROR(Y216/H216,"0")+IFERROR(Y217/H217,"0")+IFERROR(Y218/H218,"0")+IFERROR(Y219/H219,"0")+IFERROR(Y220/H220,"0")</f>
        <v>35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0.22785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82</v>
      </c>
      <c r="Y222" s="665">
        <f>IFERROR(SUM(Y212:Y220),"0")</f>
        <v>84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9</v>
      </c>
      <c r="Y225" s="664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9.9450000000000021</v>
      </c>
      <c r="BN225" s="64">
        <f>IFERROR(Y225*I225/H225,"0")</f>
        <v>10.608000000000001</v>
      </c>
      <c r="BO225" s="64">
        <f>IFERROR(1/J225*(X225/H225),"0")</f>
        <v>2.0604395604395608E-2</v>
      </c>
      <c r="BP225" s="64">
        <f>IFERROR(1/J225*(Y225/H225),"0")</f>
        <v>2.197802197802198E-2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3.75</v>
      </c>
      <c r="Y226" s="665">
        <f>IFERROR(Y224/H224,"0")+IFERROR(Y225/H225,"0")</f>
        <v>4</v>
      </c>
      <c r="Z226" s="665">
        <f>IFERROR(IF(Z224="",0,Z224),"0")+IFERROR(IF(Z225="",0,Z225),"0")</f>
        <v>2.6040000000000001E-2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9</v>
      </c>
      <c r="Y227" s="665">
        <f>IFERROR(SUM(Y224:Y225),"0")</f>
        <v>9.6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6</v>
      </c>
      <c r="Y246" s="664">
        <f>IFERROR(IF(X246="",0,CEILING((X246/$H246),1)*$H246),"")</f>
        <v>6.48</v>
      </c>
      <c r="Z246" s="36">
        <f>IFERROR(IF(Y246=0,"",ROUNDUP(Y246/H246,0)*0.0059),"")</f>
        <v>1.77E-2</v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6.5277777777777777</v>
      </c>
      <c r="BN246" s="64">
        <f>IFERROR(Y246*I246/H246,"0")</f>
        <v>7.05</v>
      </c>
      <c r="BO246" s="64">
        <f>IFERROR(1/J246*(X246/H246),"0")</f>
        <v>1.2860082304526748E-2</v>
      </c>
      <c r="BP246" s="64">
        <f>IFERROR(1/J246*(Y246/H246),"0")</f>
        <v>1.3888888888888888E-2</v>
      </c>
    </row>
    <row r="247" spans="1:68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2.7777777777777777</v>
      </c>
      <c r="Y247" s="665">
        <f>IFERROR(Y246/H246,"0")</f>
        <v>3</v>
      </c>
      <c r="Z247" s="665">
        <f>IFERROR(IF(Z246="",0,Z246),"0")</f>
        <v>1.77E-2</v>
      </c>
      <c r="AA247" s="666"/>
      <c r="AB247" s="666"/>
      <c r="AC247" s="666"/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6</v>
      </c>
      <c r="Y248" s="665">
        <f>IFERROR(SUM(Y246:Y246),"0")</f>
        <v>6.48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6</v>
      </c>
      <c r="Y250" s="664">
        <f>IFERROR(IF(X250="",0,CEILING((X250/$H250),1)*$H250),"")</f>
        <v>6.48</v>
      </c>
      <c r="Z250" s="36">
        <f>IFERROR(IF(Y250=0,"",ROUNDUP(Y250/H250,0)*0.0059),"")</f>
        <v>1.77E-2</v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6.5277777777777777</v>
      </c>
      <c r="BN250" s="64">
        <f>IFERROR(Y250*I250/H250,"0")</f>
        <v>7.05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2.7777777777777777</v>
      </c>
      <c r="Y251" s="665">
        <f>IFERROR(Y250/H250,"0")</f>
        <v>3</v>
      </c>
      <c r="Z251" s="665">
        <f>IFERROR(IF(Z250="",0,Z250),"0")</f>
        <v>1.77E-2</v>
      </c>
      <c r="AA251" s="666"/>
      <c r="AB251" s="666"/>
      <c r="AC251" s="666"/>
    </row>
    <row r="252" spans="1:68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6</v>
      </c>
      <c r="Y252" s="665">
        <f>IFERROR(SUM(Y250:Y250),"0")</f>
        <v>6.48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6</v>
      </c>
      <c r="Y308" s="664">
        <f>IFERROR(IF(X308="",0,CEILING((X308/$H308),1)*$H308),"")</f>
        <v>6.3000000000000007</v>
      </c>
      <c r="Z308" s="36">
        <f>IFERROR(IF(Y308=0,"",ROUNDUP(Y308/H308,0)*0.00502),"")</f>
        <v>1.506E-2</v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6.2857142857142856</v>
      </c>
      <c r="BN308" s="64">
        <f>IFERROR(Y308*I308/H308,"0")</f>
        <v>6.6000000000000014</v>
      </c>
      <c r="BO308" s="64">
        <f>IFERROR(1/J308*(X308/H308),"0")</f>
        <v>1.2210012210012212E-2</v>
      </c>
      <c r="BP308" s="64">
        <f>IFERROR(1/J308*(Y308/H308),"0")</f>
        <v>1.2820512820512822E-2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2.8571428571428572</v>
      </c>
      <c r="Y310" s="665">
        <f>IFERROR(Y308/H308,"0")+IFERROR(Y309/H309,"0")</f>
        <v>3</v>
      </c>
      <c r="Z310" s="665">
        <f>IFERROR(IF(Z308="",0,Z308),"0")+IFERROR(IF(Z309="",0,Z309),"0")</f>
        <v>1.506E-2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6</v>
      </c>
      <c r="Y311" s="665">
        <f>IFERROR(SUM(Y308:Y309),"0")</f>
        <v>6.3000000000000007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120</v>
      </c>
      <c r="Y329" s="664">
        <f>IFERROR(IF(X329="",0,CEILING((X329/$H329),1)*$H329),"")</f>
        <v>121.80000000000001</v>
      </c>
      <c r="Z329" s="36">
        <f>IFERROR(IF(Y329=0,"",ROUNDUP(Y329/H329,0)*0.00902),"")</f>
        <v>0.26158000000000003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127.71428571428571</v>
      </c>
      <c r="BN329" s="64">
        <f>IFERROR(Y329*I329/H329,"0")</f>
        <v>129.63</v>
      </c>
      <c r="BO329" s="64">
        <f>IFERROR(1/J329*(X329/H329),"0")</f>
        <v>0.21645021645021645</v>
      </c>
      <c r="BP329" s="64">
        <f>IFERROR(1/J329*(Y329/H329),"0")</f>
        <v>0.2196969696969697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28.571428571428569</v>
      </c>
      <c r="Y332" s="665">
        <f>IFERROR(Y328/H328,"0")+IFERROR(Y329/H329,"0")+IFERROR(Y330/H330,"0")+IFERROR(Y331/H331,"0")</f>
        <v>29</v>
      </c>
      <c r="Z332" s="665">
        <f>IFERROR(IF(Z328="",0,Z328),"0")+IFERROR(IF(Z329="",0,Z329),"0")+IFERROR(IF(Z330="",0,Z330),"0")+IFERROR(IF(Z331="",0,Z331),"0")</f>
        <v>0.26158000000000003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120</v>
      </c>
      <c r="Y333" s="665">
        <f>IFERROR(SUM(Y328:Y331),"0")</f>
        <v>121.80000000000001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210</v>
      </c>
      <c r="Y335" s="664">
        <f>IFERROR(IF(X335="",0,CEILING((X335/$H335),1)*$H335),"")</f>
        <v>210.6</v>
      </c>
      <c r="Z335" s="36">
        <f>IFERROR(IF(Y335=0,"",ROUNDUP(Y335/H335,0)*0.01898),"")</f>
        <v>0.51246000000000003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223.81153846153848</v>
      </c>
      <c r="BN335" s="64">
        <f>IFERROR(Y335*I335/H335,"0")</f>
        <v>224.45100000000002</v>
      </c>
      <c r="BO335" s="64">
        <f>IFERROR(1/J335*(X335/H335),"0")</f>
        <v>0.42067307692307693</v>
      </c>
      <c r="BP335" s="64">
        <f>IFERROR(1/J335*(Y335/H335),"0")</f>
        <v>0.421875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26.923076923076923</v>
      </c>
      <c r="Y340" s="665">
        <f>IFERROR(Y335/H335,"0")+IFERROR(Y336/H336,"0")+IFERROR(Y337/H337,"0")+IFERROR(Y338/H338,"0")+IFERROR(Y339/H339,"0")</f>
        <v>27</v>
      </c>
      <c r="Z340" s="665">
        <f>IFERROR(IF(Z335="",0,Z335),"0")+IFERROR(IF(Z336="",0,Z336),"0")+IFERROR(IF(Z337="",0,Z337),"0")+IFERROR(IF(Z338="",0,Z338),"0")+IFERROR(IF(Z339="",0,Z339),"0")</f>
        <v>0.51246000000000003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210</v>
      </c>
      <c r="Y341" s="665">
        <f>IFERROR(SUM(Y335:Y339),"0")</f>
        <v>210.6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12</v>
      </c>
      <c r="Y363" s="664">
        <f>IFERROR(IF(X363="",0,CEILING((X363/$H363),1)*$H363),"")</f>
        <v>12.6</v>
      </c>
      <c r="Z363" s="36">
        <f>IFERROR(IF(Y363=0,"",ROUNDUP(Y363/H363,0)*0.00651),"")</f>
        <v>4.5569999999999999E-2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13.52</v>
      </c>
      <c r="BN363" s="64">
        <f>IFERROR(Y363*I363/H363,"0")</f>
        <v>14.196</v>
      </c>
      <c r="BO363" s="64">
        <f>IFERROR(1/J363*(X363/H363),"0")</f>
        <v>3.6630036630036632E-2</v>
      </c>
      <c r="BP363" s="64">
        <f>IFERROR(1/J363*(Y363/H363),"0")</f>
        <v>3.8461538461538464E-2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6.6666666666666661</v>
      </c>
      <c r="Y364" s="665">
        <f>IFERROR(Y363/H363,"0")</f>
        <v>7</v>
      </c>
      <c r="Z364" s="665">
        <f>IFERROR(IF(Z363="",0,Z363),"0")</f>
        <v>4.5569999999999999E-2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12</v>
      </c>
      <c r="Y365" s="665">
        <f>IFERROR(SUM(Y363:Y363),"0")</f>
        <v>12.6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82</v>
      </c>
      <c r="Y368" s="664">
        <f>IFERROR(IF(X368="",0,CEILING((X368/$H368),1)*$H368),"")</f>
        <v>84</v>
      </c>
      <c r="Z368" s="36">
        <f>IFERROR(IF(Y368=0,"",ROUNDUP(Y368/H368,0)*0.00651),"")</f>
        <v>0.26040000000000002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91.839999999999989</v>
      </c>
      <c r="BN368" s="64">
        <f>IFERROR(Y368*I368/H368,"0")</f>
        <v>94.079999999999984</v>
      </c>
      <c r="BO368" s="64">
        <f>IFERROR(1/J368*(X368/H368),"0")</f>
        <v>0.21454735740450026</v>
      </c>
      <c r="BP368" s="64">
        <f>IFERROR(1/J368*(Y368/H368),"0")</f>
        <v>0.2197802197802198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2</v>
      </c>
      <c r="Y369" s="664">
        <f>IFERROR(IF(X369="",0,CEILING((X369/$H369),1)*$H369),"")</f>
        <v>2.1</v>
      </c>
      <c r="Z369" s="36">
        <f>IFERROR(IF(Y369=0,"",ROUNDUP(Y369/H369,0)*0.00651),"")</f>
        <v>6.5100000000000002E-3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2.2285714285714282</v>
      </c>
      <c r="BN369" s="64">
        <f>IFERROR(Y369*I369/H369,"0")</f>
        <v>2.34</v>
      </c>
      <c r="BO369" s="64">
        <f>IFERROR(1/J369*(X369/H369),"0")</f>
        <v>5.2328623757195184E-3</v>
      </c>
      <c r="BP369" s="64">
        <f>IFERROR(1/J369*(Y369/H369),"0")</f>
        <v>5.4945054945054949E-3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39.999999999999993</v>
      </c>
      <c r="Y370" s="665">
        <f>IFERROR(Y367/H367,"0")+IFERROR(Y368/H368,"0")+IFERROR(Y369/H369,"0")</f>
        <v>41</v>
      </c>
      <c r="Z370" s="665">
        <f>IFERROR(IF(Z367="",0,Z367),"0")+IFERROR(IF(Z368="",0,Z368),"0")+IFERROR(IF(Z369="",0,Z369),"0")</f>
        <v>0.26691000000000004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84</v>
      </c>
      <c r="Y371" s="665">
        <f>IFERROR(SUM(Y367:Y369),"0")</f>
        <v>86.1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30</v>
      </c>
      <c r="Y377" s="664">
        <f t="shared" si="58"/>
        <v>30</v>
      </c>
      <c r="Z377" s="36">
        <f>IFERROR(IF(Y377=0,"",ROUNDUP(Y377/H377,0)*0.02175),"")</f>
        <v>4.3499999999999997E-2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30.96</v>
      </c>
      <c r="BN377" s="64">
        <f t="shared" si="60"/>
        <v>30.96</v>
      </c>
      <c r="BO377" s="64">
        <f t="shared" si="61"/>
        <v>4.1666666666666664E-2</v>
      </c>
      <c r="BP377" s="64">
        <f t="shared" si="62"/>
        <v>4.1666666666666664E-2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4.3499999999999997E-2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30</v>
      </c>
      <c r="Y386" s="665">
        <f>IFERROR(SUM(Y375:Y384),"0")</f>
        <v>30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279</v>
      </c>
      <c r="Y388" s="664">
        <f>IFERROR(IF(X388="",0,CEILING((X388/$H388),1)*$H388),"")</f>
        <v>285</v>
      </c>
      <c r="Z388" s="36">
        <f>IFERROR(IF(Y388=0,"",ROUNDUP(Y388/H388,0)*0.02175),"")</f>
        <v>0.41324999999999995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287.928</v>
      </c>
      <c r="BN388" s="64">
        <f>IFERROR(Y388*I388/H388,"0")</f>
        <v>294.12</v>
      </c>
      <c r="BO388" s="64">
        <f>IFERROR(1/J388*(X388/H388),"0")</f>
        <v>0.38750000000000001</v>
      </c>
      <c r="BP388" s="64">
        <f>IFERROR(1/J388*(Y388/H388),"0")</f>
        <v>0.39583333333333331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18.600000000000001</v>
      </c>
      <c r="Y390" s="665">
        <f>IFERROR(Y388/H388,"0")+IFERROR(Y389/H389,"0")</f>
        <v>19</v>
      </c>
      <c r="Z390" s="665">
        <f>IFERROR(IF(Z388="",0,Z388),"0")+IFERROR(IF(Z389="",0,Z389),"0")</f>
        <v>0.41324999999999995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279</v>
      </c>
      <c r="Y391" s="665">
        <f>IFERROR(SUM(Y388:Y389),"0")</f>
        <v>285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0.95238095238095233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5.0200000000000002E-3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2</v>
      </c>
      <c r="Y443" s="665">
        <f>IFERROR(SUM(Y430:Y441),"0")</f>
        <v>2.1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9</v>
      </c>
      <c r="Y486" s="664">
        <f t="shared" si="69"/>
        <v>10.8</v>
      </c>
      <c r="Z486" s="36">
        <f>IFERROR(IF(Y486=0,"",ROUNDUP(Y486/H486,0)*0.00902),"")</f>
        <v>2.7060000000000001E-2</v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9.5250000000000004</v>
      </c>
      <c r="BN486" s="64">
        <f t="shared" si="71"/>
        <v>11.430000000000001</v>
      </c>
      <c r="BO486" s="64">
        <f t="shared" si="72"/>
        <v>1.893939393939394E-2</v>
      </c>
      <c r="BP486" s="64">
        <f t="shared" si="73"/>
        <v>2.2727272727272728E-2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2.5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2.7060000000000001E-2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9</v>
      </c>
      <c r="Y496" s="665">
        <f>IFERROR(SUM(Y480:Y494),"0")</f>
        <v>10.8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1472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1530.1999999999994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1558.457236874237</v>
      </c>
      <c r="Y592" s="665">
        <f>IFERROR(SUM(BN22:BN588),"0")</f>
        <v>1619.8749999999998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1633.457236874237</v>
      </c>
      <c r="Y594" s="665">
        <f>GrossWeightTotalR+PalletQtyTotalR*25</f>
        <v>1694.8749999999998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321.70693935693942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334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3.2718900000000009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111.2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216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113.4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82.800000000000011</v>
      </c>
      <c r="G601" s="46">
        <f>IFERROR(Y137*1,"0")+IFERROR(Y138*1,"0")+IFERROR(Y142*1,"0")+IFERROR(Y143*1,"0")+IFERROR(Y147*1,"0")+IFERROR(Y148*1,"0")</f>
        <v>12.8</v>
      </c>
      <c r="H601" s="46">
        <f>IFERROR(Y153*1,"0")+IFERROR(Y157*1,"0")+IFERROR(Y158*1,"0")+IFERROR(Y159*1,"0")+IFERROR(Y160*1,"0")+IFERROR(Y164*1,"0")</f>
        <v>40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53.34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122.39999999999999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12.96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6.3000000000000007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332.4</v>
      </c>
      <c r="V601" s="46">
        <f>IFERROR(Y363*1,"0")+IFERROR(Y367*1,"0")+IFERROR(Y368*1,"0")+IFERROR(Y369*1,"0")</f>
        <v>98.699999999999989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315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2.1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10.8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472,00"/>
        <filter val="1 558,46"/>
        <filter val="1 633,46"/>
        <filter val="102,00"/>
        <filter val="107,00"/>
        <filter val="11,00"/>
        <filter val="12,00"/>
        <filter val="12,22"/>
        <filter val="120,00"/>
        <filter val="130,00"/>
        <filter val="14,00"/>
        <filter val="15,00"/>
        <filter val="16,00"/>
        <filter val="18,60"/>
        <filter val="2,00"/>
        <filter val="2,08"/>
        <filter val="2,50"/>
        <filter val="2,78"/>
        <filter val="2,86"/>
        <filter val="20,15"/>
        <filter val="210,00"/>
        <filter val="22,86"/>
        <filter val="23,00"/>
        <filter val="25,91"/>
        <filter val="26,92"/>
        <filter val="27,00"/>
        <filter val="279,00"/>
        <filter val="28,00"/>
        <filter val="28,57"/>
        <filter val="3"/>
        <filter val="3,17"/>
        <filter val="3,75"/>
        <filter val="30,00"/>
        <filter val="321,71"/>
        <filter val="33,00"/>
        <filter val="34,00"/>
        <filter val="34,17"/>
        <filter val="38,00"/>
        <filter val="4,00"/>
        <filter val="40,00"/>
        <filter val="47,00"/>
        <filter val="48,00"/>
        <filter val="5,00"/>
        <filter val="5,60"/>
        <filter val="54,00"/>
        <filter val="6,00"/>
        <filter val="6,48"/>
        <filter val="6,67"/>
        <filter val="63,00"/>
        <filter val="68,00"/>
        <filter val="70,00"/>
        <filter val="8,44"/>
        <filter val="82,00"/>
        <filter val="84,00"/>
        <filter val="9,00"/>
        <filter val="9,5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