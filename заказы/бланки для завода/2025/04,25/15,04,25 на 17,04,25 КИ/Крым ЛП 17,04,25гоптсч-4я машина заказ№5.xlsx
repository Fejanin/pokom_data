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62F54F-A791-4C7D-A432-9959D4CB961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0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O125" i="1"/>
  <c r="BM125" i="1"/>
  <c r="Y125" i="1"/>
  <c r="BO124" i="1"/>
  <c r="BM124" i="1"/>
  <c r="Y124" i="1"/>
  <c r="P124" i="1"/>
  <c r="BO123" i="1"/>
  <c r="BM123" i="1"/>
  <c r="Y123" i="1"/>
  <c r="BO122" i="1"/>
  <c r="BM122" i="1"/>
  <c r="Y122" i="1"/>
  <c r="P122" i="1"/>
  <c r="BO121" i="1"/>
  <c r="BM121" i="1"/>
  <c r="Y121" i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591" i="1" s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38" i="1" l="1"/>
  <c r="BN138" i="1"/>
  <c r="Z138" i="1"/>
  <c r="BP182" i="1"/>
  <c r="BN182" i="1"/>
  <c r="Z182" i="1"/>
  <c r="BP206" i="1"/>
  <c r="BN206" i="1"/>
  <c r="Z206" i="1"/>
  <c r="BP231" i="1"/>
  <c r="BN231" i="1"/>
  <c r="Z231" i="1"/>
  <c r="BP321" i="1"/>
  <c r="BN321" i="1"/>
  <c r="Z321" i="1"/>
  <c r="BP345" i="1"/>
  <c r="BN345" i="1"/>
  <c r="Z345" i="1"/>
  <c r="BP383" i="1"/>
  <c r="BN383" i="1"/>
  <c r="Z383" i="1"/>
  <c r="BP430" i="1"/>
  <c r="BN430" i="1"/>
  <c r="Z430" i="1"/>
  <c r="BP432" i="1"/>
  <c r="BN432" i="1"/>
  <c r="Z432" i="1"/>
  <c r="BP436" i="1"/>
  <c r="BN436" i="1"/>
  <c r="Z436" i="1"/>
  <c r="BP483" i="1"/>
  <c r="BN483" i="1"/>
  <c r="Z483" i="1"/>
  <c r="BP493" i="1"/>
  <c r="BN493" i="1"/>
  <c r="Z493" i="1"/>
  <c r="BP513" i="1"/>
  <c r="BN513" i="1"/>
  <c r="Z513" i="1"/>
  <c r="Z40" i="1"/>
  <c r="BN40" i="1"/>
  <c r="Z59" i="1"/>
  <c r="BN59" i="1"/>
  <c r="Z74" i="1"/>
  <c r="BN74" i="1"/>
  <c r="Z89" i="1"/>
  <c r="BN89" i="1"/>
  <c r="Y103" i="1"/>
  <c r="Z106" i="1"/>
  <c r="BN106" i="1"/>
  <c r="BP121" i="1"/>
  <c r="BN121" i="1"/>
  <c r="Z121" i="1"/>
  <c r="BP175" i="1"/>
  <c r="BN175" i="1"/>
  <c r="Z175" i="1"/>
  <c r="BP192" i="1"/>
  <c r="BN192" i="1"/>
  <c r="Z192" i="1"/>
  <c r="BP216" i="1"/>
  <c r="BN216" i="1"/>
  <c r="Z216" i="1"/>
  <c r="BP271" i="1"/>
  <c r="BN271" i="1"/>
  <c r="Z271" i="1"/>
  <c r="BP335" i="1"/>
  <c r="BN335" i="1"/>
  <c r="Z335" i="1"/>
  <c r="BP369" i="1"/>
  <c r="BN369" i="1"/>
  <c r="Z369" i="1"/>
  <c r="BP375" i="1"/>
  <c r="BN375" i="1"/>
  <c r="Z375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6" i="1"/>
  <c r="BN486" i="1"/>
  <c r="Z486" i="1"/>
  <c r="BP512" i="1"/>
  <c r="BN512" i="1"/>
  <c r="Z512" i="1"/>
  <c r="BP516" i="1"/>
  <c r="BN516" i="1"/>
  <c r="Z516" i="1"/>
  <c r="J9" i="1"/>
  <c r="F9" i="1"/>
  <c r="F10" i="1"/>
  <c r="Z22" i="1"/>
  <c r="BN22" i="1"/>
  <c r="X595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Z72" i="1"/>
  <c r="BN72" i="1"/>
  <c r="Z76" i="1"/>
  <c r="BN76" i="1"/>
  <c r="Y84" i="1"/>
  <c r="Z82" i="1"/>
  <c r="BN82" i="1"/>
  <c r="Y83" i="1"/>
  <c r="Z87" i="1"/>
  <c r="BN87" i="1"/>
  <c r="Z93" i="1"/>
  <c r="BN93" i="1"/>
  <c r="BP93" i="1"/>
  <c r="Z101" i="1"/>
  <c r="BN101" i="1"/>
  <c r="Z108" i="1"/>
  <c r="BN108" i="1"/>
  <c r="BP124" i="1"/>
  <c r="BN124" i="1"/>
  <c r="Z124" i="1"/>
  <c r="BP131" i="1"/>
  <c r="BN131" i="1"/>
  <c r="Z131" i="1"/>
  <c r="BP159" i="1"/>
  <c r="BN159" i="1"/>
  <c r="Z159" i="1"/>
  <c r="BP180" i="1"/>
  <c r="BN180" i="1"/>
  <c r="Z180" i="1"/>
  <c r="BP204" i="1"/>
  <c r="BN204" i="1"/>
  <c r="Z204" i="1"/>
  <c r="BP214" i="1"/>
  <c r="BN214" i="1"/>
  <c r="Z214" i="1"/>
  <c r="Y226" i="1"/>
  <c r="BP224" i="1"/>
  <c r="BN224" i="1"/>
  <c r="Z224" i="1"/>
  <c r="BP237" i="1"/>
  <c r="BN237" i="1"/>
  <c r="Z237" i="1"/>
  <c r="BP259" i="1"/>
  <c r="BN259" i="1"/>
  <c r="Z259" i="1"/>
  <c r="BP309" i="1"/>
  <c r="BN309" i="1"/>
  <c r="Z309" i="1"/>
  <c r="T601" i="1"/>
  <c r="Y315" i="1"/>
  <c r="BP314" i="1"/>
  <c r="BN314" i="1"/>
  <c r="Z314" i="1"/>
  <c r="Z315" i="1" s="1"/>
  <c r="BP319" i="1"/>
  <c r="BN319" i="1"/>
  <c r="Z319" i="1"/>
  <c r="BP331" i="1"/>
  <c r="BN331" i="1"/>
  <c r="Z331" i="1"/>
  <c r="BP125" i="1"/>
  <c r="BN125" i="1"/>
  <c r="Z125" i="1"/>
  <c r="Y144" i="1"/>
  <c r="BP142" i="1"/>
  <c r="BN142" i="1"/>
  <c r="Z142" i="1"/>
  <c r="BP177" i="1"/>
  <c r="BN177" i="1"/>
  <c r="Z177" i="1"/>
  <c r="Y198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42" i="1"/>
  <c r="BN242" i="1"/>
  <c r="Z242" i="1"/>
  <c r="Y252" i="1"/>
  <c r="Y251" i="1"/>
  <c r="BP250" i="1"/>
  <c r="BN250" i="1"/>
  <c r="Z250" i="1"/>
  <c r="Z251" i="1" s="1"/>
  <c r="BP255" i="1"/>
  <c r="BN255" i="1"/>
  <c r="Z255" i="1"/>
  <c r="BP278" i="1"/>
  <c r="BN278" i="1"/>
  <c r="Z278" i="1"/>
  <c r="BP323" i="1"/>
  <c r="BN323" i="1"/>
  <c r="Z323" i="1"/>
  <c r="BP337" i="1"/>
  <c r="BN337" i="1"/>
  <c r="Z337" i="1"/>
  <c r="BP351" i="1"/>
  <c r="BN351" i="1"/>
  <c r="Z351" i="1"/>
  <c r="BP377" i="1"/>
  <c r="BN377" i="1"/>
  <c r="Z377" i="1"/>
  <c r="BP389" i="1"/>
  <c r="BN389" i="1"/>
  <c r="Z389" i="1"/>
  <c r="BP407" i="1"/>
  <c r="BN407" i="1"/>
  <c r="Z407" i="1"/>
  <c r="BP438" i="1"/>
  <c r="BN438" i="1"/>
  <c r="Z438" i="1"/>
  <c r="Y447" i="1"/>
  <c r="BP445" i="1"/>
  <c r="BN445" i="1"/>
  <c r="Z445" i="1"/>
  <c r="BP458" i="1"/>
  <c r="BN458" i="1"/>
  <c r="Z458" i="1"/>
  <c r="BP488" i="1"/>
  <c r="BN488" i="1"/>
  <c r="Z488" i="1"/>
  <c r="BP490" i="1"/>
  <c r="BN490" i="1"/>
  <c r="Z490" i="1"/>
  <c r="BP505" i="1"/>
  <c r="BN505" i="1"/>
  <c r="Z505" i="1"/>
  <c r="BP507" i="1"/>
  <c r="BN507" i="1"/>
  <c r="Z507" i="1"/>
  <c r="BP509" i="1"/>
  <c r="BN509" i="1"/>
  <c r="Z509" i="1"/>
  <c r="BP521" i="1"/>
  <c r="BN521" i="1"/>
  <c r="Z521" i="1"/>
  <c r="Y222" i="1"/>
  <c r="BP343" i="1"/>
  <c r="BN343" i="1"/>
  <c r="Z343" i="1"/>
  <c r="Y371" i="1"/>
  <c r="BP367" i="1"/>
  <c r="BN367" i="1"/>
  <c r="Z367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Y29" i="1"/>
  <c r="Y33" i="1"/>
  <c r="Y41" i="1"/>
  <c r="Y56" i="1"/>
  <c r="Y62" i="1"/>
  <c r="BP67" i="1"/>
  <c r="BN67" i="1"/>
  <c r="Z67" i="1"/>
  <c r="Z68" i="1" s="1"/>
  <c r="Y69" i="1"/>
  <c r="Y78" i="1"/>
  <c r="BP71" i="1"/>
  <c r="BN71" i="1"/>
  <c r="Z71" i="1"/>
  <c r="BP75" i="1"/>
  <c r="BN75" i="1"/>
  <c r="Z75" i="1"/>
  <c r="BP88" i="1"/>
  <c r="BN88" i="1"/>
  <c r="Z88" i="1"/>
  <c r="Z90" i="1" s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BP120" i="1"/>
  <c r="BN120" i="1"/>
  <c r="Z120" i="1"/>
  <c r="BP123" i="1"/>
  <c r="BN123" i="1"/>
  <c r="Z123" i="1"/>
  <c r="Y128" i="1"/>
  <c r="BP132" i="1"/>
  <c r="BN132" i="1"/>
  <c r="Z132" i="1"/>
  <c r="Z133" i="1" s="1"/>
  <c r="Y134" i="1"/>
  <c r="Y140" i="1"/>
  <c r="BP137" i="1"/>
  <c r="BN137" i="1"/>
  <c r="Z137" i="1"/>
  <c r="Z139" i="1" s="1"/>
  <c r="BP158" i="1"/>
  <c r="BN158" i="1"/>
  <c r="Z158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BP203" i="1"/>
  <c r="BN203" i="1"/>
  <c r="Z203" i="1"/>
  <c r="BP207" i="1"/>
  <c r="BN207" i="1"/>
  <c r="Z207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BP350" i="1"/>
  <c r="BN350" i="1"/>
  <c r="Z350" i="1"/>
  <c r="BP358" i="1"/>
  <c r="BN358" i="1"/>
  <c r="Z358" i="1"/>
  <c r="Y360" i="1"/>
  <c r="V601" i="1"/>
  <c r="Y365" i="1"/>
  <c r="Y364" i="1"/>
  <c r="BP363" i="1"/>
  <c r="BN363" i="1"/>
  <c r="Z363" i="1"/>
  <c r="Z364" i="1" s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35" i="1"/>
  <c r="BN435" i="1"/>
  <c r="Z435" i="1"/>
  <c r="BP440" i="1"/>
  <c r="BN440" i="1"/>
  <c r="Z440" i="1"/>
  <c r="P601" i="1"/>
  <c r="H9" i="1"/>
  <c r="B601" i="1"/>
  <c r="X592" i="1"/>
  <c r="X593" i="1"/>
  <c r="Z23" i="1"/>
  <c r="BN23" i="1"/>
  <c r="Z24" i="1"/>
  <c r="BN24" i="1"/>
  <c r="Z25" i="1"/>
  <c r="BN25" i="1"/>
  <c r="Z27" i="1"/>
  <c r="BN27" i="1"/>
  <c r="Y28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Y68" i="1"/>
  <c r="BP65" i="1"/>
  <c r="BP73" i="1"/>
  <c r="BN73" i="1"/>
  <c r="Z73" i="1"/>
  <c r="Y77" i="1"/>
  <c r="BP81" i="1"/>
  <c r="BN81" i="1"/>
  <c r="Z81" i="1"/>
  <c r="Z83" i="1" s="1"/>
  <c r="Y90" i="1"/>
  <c r="BP94" i="1"/>
  <c r="BN94" i="1"/>
  <c r="Z94" i="1"/>
  <c r="BP96" i="1"/>
  <c r="BN96" i="1"/>
  <c r="Z96" i="1"/>
  <c r="BP98" i="1"/>
  <c r="BN98" i="1"/>
  <c r="Z98" i="1"/>
  <c r="Y102" i="1"/>
  <c r="BP107" i="1"/>
  <c r="BN107" i="1"/>
  <c r="Z107" i="1"/>
  <c r="Z110" i="1" s="1"/>
  <c r="BP115" i="1"/>
  <c r="BN115" i="1"/>
  <c r="Z115" i="1"/>
  <c r="Y117" i="1"/>
  <c r="Y129" i="1"/>
  <c r="BP119" i="1"/>
  <c r="BN119" i="1"/>
  <c r="Z119" i="1"/>
  <c r="BP122" i="1"/>
  <c r="BN122" i="1"/>
  <c r="Z122" i="1"/>
  <c r="BP126" i="1"/>
  <c r="BN126" i="1"/>
  <c r="Z126" i="1"/>
  <c r="Y133" i="1"/>
  <c r="Y139" i="1"/>
  <c r="BP143" i="1"/>
  <c r="BN143" i="1"/>
  <c r="Z143" i="1"/>
  <c r="Y145" i="1"/>
  <c r="Y150" i="1"/>
  <c r="BP147" i="1"/>
  <c r="BN147" i="1"/>
  <c r="Z147" i="1"/>
  <c r="Z149" i="1" s="1"/>
  <c r="Y161" i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Y193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Z221" i="1" s="1"/>
  <c r="BP217" i="1"/>
  <c r="BN217" i="1"/>
  <c r="Z217" i="1"/>
  <c r="Y221" i="1"/>
  <c r="BP225" i="1"/>
  <c r="BN225" i="1"/>
  <c r="Z225" i="1"/>
  <c r="Z226" i="1" s="1"/>
  <c r="Y227" i="1"/>
  <c r="K601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Y282" i="1"/>
  <c r="BP277" i="1"/>
  <c r="BN277" i="1"/>
  <c r="Z277" i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Y341" i="1"/>
  <c r="BP338" i="1"/>
  <c r="BN338" i="1"/>
  <c r="Z338" i="1"/>
  <c r="Y347" i="1"/>
  <c r="Y346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94" i="1"/>
  <c r="BN394" i="1"/>
  <c r="Z394" i="1"/>
  <c r="Y396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Y421" i="1"/>
  <c r="BP419" i="1"/>
  <c r="BN419" i="1"/>
  <c r="Z419" i="1"/>
  <c r="Y460" i="1"/>
  <c r="BP456" i="1"/>
  <c r="BN456" i="1"/>
  <c r="Z456" i="1"/>
  <c r="Y461" i="1"/>
  <c r="BP465" i="1"/>
  <c r="BN465" i="1"/>
  <c r="Z465" i="1"/>
  <c r="Y467" i="1"/>
  <c r="Y471" i="1"/>
  <c r="BP470" i="1"/>
  <c r="BN470" i="1"/>
  <c r="Z470" i="1"/>
  <c r="Z471" i="1" s="1"/>
  <c r="AB601" i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Y503" i="1"/>
  <c r="BP500" i="1"/>
  <c r="BN500" i="1"/>
  <c r="Z500" i="1"/>
  <c r="BP514" i="1"/>
  <c r="BN514" i="1"/>
  <c r="Z514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G601" i="1"/>
  <c r="X601" i="1"/>
  <c r="E601" i="1"/>
  <c r="Y91" i="1"/>
  <c r="F601" i="1"/>
  <c r="Y110" i="1"/>
  <c r="H601" i="1"/>
  <c r="Y155" i="1"/>
  <c r="L601" i="1"/>
  <c r="Y261" i="1"/>
  <c r="Y316" i="1"/>
  <c r="U601" i="1"/>
  <c r="Y325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Y409" i="1"/>
  <c r="BP406" i="1"/>
  <c r="BN406" i="1"/>
  <c r="Z406" i="1"/>
  <c r="Y413" i="1"/>
  <c r="BP417" i="1"/>
  <c r="BN417" i="1"/>
  <c r="Z417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AA601" i="1"/>
  <c r="Y466" i="1"/>
  <c r="BP464" i="1"/>
  <c r="BN464" i="1"/>
  <c r="Z464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517" i="1" l="1"/>
  <c r="Z466" i="1"/>
  <c r="Z442" i="1"/>
  <c r="Z144" i="1"/>
  <c r="Z346" i="1"/>
  <c r="Z353" i="1"/>
  <c r="Z282" i="1"/>
  <c r="Z55" i="1"/>
  <c r="Y593" i="1"/>
  <c r="Y592" i="1"/>
  <c r="Y594" i="1" s="1"/>
  <c r="Z340" i="1"/>
  <c r="Z325" i="1"/>
  <c r="Z161" i="1"/>
  <c r="Z408" i="1"/>
  <c r="Z209" i="1"/>
  <c r="Z102" i="1"/>
  <c r="Z62" i="1"/>
  <c r="Z28" i="1"/>
  <c r="Z385" i="1"/>
  <c r="Z261" i="1"/>
  <c r="Z523" i="1"/>
  <c r="Z502" i="1"/>
  <c r="Z495" i="1"/>
  <c r="Z41" i="1"/>
  <c r="Y595" i="1"/>
  <c r="X594" i="1"/>
  <c r="Z565" i="1"/>
  <c r="Z547" i="1"/>
  <c r="Z460" i="1"/>
  <c r="Z421" i="1"/>
  <c r="Z238" i="1"/>
  <c r="Z183" i="1"/>
  <c r="Z128" i="1"/>
  <c r="Z332" i="1"/>
  <c r="Z273" i="1"/>
  <c r="Z116" i="1"/>
  <c r="Z77" i="1"/>
  <c r="Y591" i="1"/>
  <c r="Z596" i="1" l="1"/>
</calcChain>
</file>

<file path=xl/sharedStrings.xml><?xml version="1.0" encoding="utf-8"?>
<sst xmlns="http://schemas.openxmlformats.org/spreadsheetml/2006/main" count="2733" uniqueCount="968">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</sst>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159" sqref="AA159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45764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Четверг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0.54166666666666663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138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149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175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183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19" t="s">
        <v>197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201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205</v>
      </c>
      <c r="Q97" s="668"/>
      <c r="R97" s="668"/>
      <c r="S97" s="668"/>
      <c r="T97" s="669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8" t="s">
        <v>207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214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138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231</v>
      </c>
      <c r="B121" s="54" t="s">
        <v>237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21" t="s">
        <v>242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8" t="s">
        <v>246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175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259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260</v>
      </c>
      <c r="B137" s="54" t="s">
        <v>261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149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264</v>
      </c>
      <c r="B142" s="54" t="s">
        <v>265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149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50</v>
      </c>
      <c r="Y159" s="664">
        <f>IFERROR(IF(X159="",0,CEILING((X159/$H159),1)*$H159),"")</f>
        <v>54</v>
      </c>
      <c r="Z159" s="36">
        <f>IFERROR(IF(Y159=0,"",ROUNDUP(Y159/H159,0)*0.01898),"")</f>
        <v>0.11388000000000001</v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53.250000000000007</v>
      </c>
      <c r="BN159" s="64">
        <f>IFERROR(Y159*I159/H159,"0")</f>
        <v>57.510000000000005</v>
      </c>
      <c r="BO159" s="64">
        <f>IFERROR(1/J159*(X159/H159),"0")</f>
        <v>8.6805555555555552E-2</v>
      </c>
      <c r="BP159" s="64">
        <f>IFERROR(1/J159*(Y159/H159),"0")</f>
        <v>9.375E-2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5.5555555555555554</v>
      </c>
      <c r="Y161" s="665">
        <f>IFERROR(Y157/H157,"0")+IFERROR(Y158/H158,"0")+IFERROR(Y159/H159,"0")+IFERROR(Y160/H160,"0")</f>
        <v>6</v>
      </c>
      <c r="Z161" s="665">
        <f>IFERROR(IF(Z157="",0,Z157),"0")+IFERROR(IF(Z158="",0,Z158),"0")+IFERROR(IF(Z159="",0,Z159),"0")+IFERROR(IF(Z160="",0,Z160),"0")</f>
        <v>0.11388000000000001</v>
      </c>
      <c r="AA161" s="666"/>
      <c r="AB161" s="666"/>
      <c r="AC161" s="666"/>
    </row>
    <row r="162" spans="1:68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50</v>
      </c>
      <c r="Y162" s="665">
        <f>IFERROR(SUM(Y157:Y160),"0")</f>
        <v>54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289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138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149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">
        <v>308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1" t="s">
        <v>321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324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325</v>
      </c>
      <c r="B191" s="54" t="s">
        <v>326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328</v>
      </c>
      <c r="B192" s="54" t="s">
        <v>329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138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330</v>
      </c>
      <c r="B196" s="54" t="s">
        <v>331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333</v>
      </c>
      <c r="B197" s="54" t="s">
        <v>334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149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335</v>
      </c>
      <c r="B201" s="54" t="s">
        <v>336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338</v>
      </c>
      <c r="B202" s="54" t="s">
        <v>339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349</v>
      </c>
      <c r="B206" s="54" t="s">
        <v>350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353</v>
      </c>
      <c r="B208" s="54" t="s">
        <v>354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355</v>
      </c>
      <c r="B212" s="54" t="s">
        <v>356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358</v>
      </c>
      <c r="B213" s="54" t="s">
        <v>359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361</v>
      </c>
      <c r="B214" s="54" t="s">
        <v>362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364</v>
      </c>
      <c r="B215" s="54" t="s">
        <v>365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366</v>
      </c>
      <c r="B216" s="54" t="s">
        <v>367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369</v>
      </c>
      <c r="B217" s="54" t="s">
        <v>370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175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379</v>
      </c>
      <c r="B224" s="54" t="s">
        <v>380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382</v>
      </c>
      <c r="B225" s="54" t="s">
        <v>383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385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386</v>
      </c>
      <c r="B230" s="54" t="s">
        <v>387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386</v>
      </c>
      <c r="B231" s="54" t="s">
        <v>389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395</v>
      </c>
      <c r="B234" s="54" t="s">
        <v>398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401</v>
      </c>
      <c r="B236" s="54" t="s">
        <v>402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403</v>
      </c>
      <c r="B237" s="54" t="s">
        <v>404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138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405</v>
      </c>
      <c r="B241" s="54" t="s">
        <v>406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5" t="s">
        <v>407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405</v>
      </c>
      <c r="B242" s="54" t="s">
        <v>409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410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411</v>
      </c>
      <c r="B246" s="54" t="s">
        <v>412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792" t="s">
        <v>413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415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416</v>
      </c>
      <c r="B250" s="54" t="s">
        <v>417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7" t="s">
        <v>418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420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421</v>
      </c>
      <c r="B255" s="54" t="s">
        <v>422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424</v>
      </c>
      <c r="B256" s="54" t="s">
        <v>425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424</v>
      </c>
      <c r="B257" s="54" t="s">
        <v>427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429</v>
      </c>
      <c r="B258" s="54" t="s">
        <v>430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432</v>
      </c>
      <c r="B259" s="54" t="s">
        <v>433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435</v>
      </c>
      <c r="B260" s="54" t="s">
        <v>436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438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439</v>
      </c>
      <c r="B265" s="54" t="s">
        <v>440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442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443</v>
      </c>
      <c r="B270" s="54" t="s">
        <v>444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445</v>
      </c>
      <c r="B271" s="54" t="s">
        <v>446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448</v>
      </c>
      <c r="B272" s="54" t="s">
        <v>449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451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452</v>
      </c>
      <c r="B277" s="54" t="s">
        <v>453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455</v>
      </c>
      <c r="B278" s="54" t="s">
        <v>456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458</v>
      </c>
      <c r="B279" s="54" t="s">
        <v>459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460</v>
      </c>
      <c r="B280" s="54" t="s">
        <v>461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465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466</v>
      </c>
      <c r="B286" s="54" t="s">
        <v>467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149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469</v>
      </c>
      <c r="B290" s="54" t="s">
        <v>470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472</v>
      </c>
      <c r="B294" s="54" t="s">
        <v>473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475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476</v>
      </c>
      <c r="B299" s="54" t="s">
        <v>477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479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480</v>
      </c>
      <c r="B304" s="54" t="s">
        <v>481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149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482</v>
      </c>
      <c r="B308" s="54" t="s">
        <v>483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485</v>
      </c>
      <c r="B309" s="54" t="s">
        <v>486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487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488</v>
      </c>
      <c r="B314" s="54" t="s">
        <v>489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492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493</v>
      </c>
      <c r="B319" s="54" t="s">
        <v>494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496</v>
      </c>
      <c r="B320" s="54" t="s">
        <v>497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496</v>
      </c>
      <c r="B321" s="54" t="s">
        <v>499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149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2500</v>
      </c>
      <c r="Y335" s="664">
        <f>IFERROR(IF(X335="",0,CEILING((X335/$H335),1)*$H335),"")</f>
        <v>2503.7999999999997</v>
      </c>
      <c r="Z335" s="36">
        <f>IFERROR(IF(Y335=0,"",ROUNDUP(Y335/H335,0)*0.01898),"")</f>
        <v>6.0925799999999999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2664.4230769230771</v>
      </c>
      <c r="BN335" s="64">
        <f>IFERROR(Y335*I335/H335,"0")</f>
        <v>2668.473</v>
      </c>
      <c r="BO335" s="64">
        <f>IFERROR(1/J335*(X335/H335),"0")</f>
        <v>5.0080128205128203</v>
      </c>
      <c r="BP335" s="64">
        <f>IFERROR(1/J335*(Y335/H335),"0")</f>
        <v>5.015625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320.5128205128205</v>
      </c>
      <c r="Y340" s="665">
        <f>IFERROR(Y335/H335,"0")+IFERROR(Y336/H336,"0")+IFERROR(Y337/H337,"0")+IFERROR(Y338/H338,"0")+IFERROR(Y339/H339,"0")</f>
        <v>321</v>
      </c>
      <c r="Z340" s="665">
        <f>IFERROR(IF(Z335="",0,Z335),"0")+IFERROR(IF(Z336="",0,Z336),"0")+IFERROR(IF(Z337="",0,Z337),"0")+IFERROR(IF(Z338="",0,Z338),"0")+IFERROR(IF(Z339="",0,Z339),"0")</f>
        <v>6.0925799999999999</v>
      </c>
      <c r="AA340" s="666"/>
      <c r="AB340" s="666"/>
      <c r="AC340" s="666"/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2500</v>
      </c>
      <c r="Y341" s="665">
        <f>IFERROR(SUM(Y335:Y339),"0")</f>
        <v>2503.7999999999997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175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149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hidden="1" customHeight="1" x14ac:dyDescent="0.25">
      <c r="A375" s="54" t="s">
        <v>581</v>
      </c>
      <c r="B375" s="54" t="s">
        <v>582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581</v>
      </c>
      <c r="B376" s="54" t="s">
        <v>584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586</v>
      </c>
      <c r="B378" s="54" t="s">
        <v>589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4301011832</v>
      </c>
      <c r="D379" s="675">
        <v>4607091383997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hidden="1" customHeight="1" x14ac:dyDescent="0.25">
      <c r="A380" s="54" t="s">
        <v>593</v>
      </c>
      <c r="B380" s="54" t="s">
        <v>594</v>
      </c>
      <c r="C380" s="31">
        <v>4301011867</v>
      </c>
      <c r="D380" s="675">
        <v>4680115884830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593</v>
      </c>
      <c r="B381" s="54" t="s">
        <v>596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hidden="1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6"/>
      <c r="AB385" s="666"/>
      <c r="AC385" s="666"/>
    </row>
    <row r="386" spans="1:68" hidden="1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0</v>
      </c>
      <c r="Y386" s="665">
        <f>IFERROR(SUM(Y375:Y384),"0")</f>
        <v>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hidden="1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hidden="1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175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149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175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149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138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149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149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149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175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751</v>
      </c>
      <c r="B487" s="54" t="s">
        <v>753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768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idden="1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hidden="1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138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771</v>
      </c>
      <c r="B499" s="54" t="s">
        <v>774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32" t="s">
        <v>775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149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46" t="s">
        <v>802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4301031253</v>
      </c>
      <c r="D514" s="675">
        <v>4680115882096</v>
      </c>
      <c r="E514" s="676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813</v>
      </c>
      <c r="C515" s="31">
        <v>4301031417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9" t="s">
        <v>814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815</v>
      </c>
      <c r="C516" s="31">
        <v>4301031384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3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175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138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149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175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138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149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2550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2557.7999999999997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2717.6730769230771</v>
      </c>
      <c r="Y592" s="665">
        <f>IFERROR(SUM(BN22:BN588),"0")</f>
        <v>2725.9830000000002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6</v>
      </c>
      <c r="Y593" s="38">
        <f>ROUNDUP(SUM(BP22:BP588),0)</f>
        <v>6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2867.6730769230771</v>
      </c>
      <c r="Y594" s="665">
        <f>GrossWeightTotalR+PalletQtyTotalR*25</f>
        <v>2875.9830000000002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326.06837606837604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327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6.2064599999999999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288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183</v>
      </c>
      <c r="F599" s="693" t="s">
        <v>214</v>
      </c>
      <c r="G599" s="693" t="s">
        <v>259</v>
      </c>
      <c r="H599" s="693" t="s">
        <v>96</v>
      </c>
      <c r="I599" s="693" t="s">
        <v>289</v>
      </c>
      <c r="J599" s="693" t="s">
        <v>324</v>
      </c>
      <c r="K599" s="693" t="s">
        <v>385</v>
      </c>
      <c r="L599" s="693" t="s">
        <v>420</v>
      </c>
      <c r="M599" s="693" t="s">
        <v>438</v>
      </c>
      <c r="N599" s="661"/>
      <c r="O599" s="693" t="s">
        <v>442</v>
      </c>
      <c r="P599" s="693" t="s">
        <v>451</v>
      </c>
      <c r="Q599" s="693" t="s">
        <v>465</v>
      </c>
      <c r="R599" s="693" t="s">
        <v>475</v>
      </c>
      <c r="S599" s="693" t="s">
        <v>479</v>
      </c>
      <c r="T599" s="693" t="s">
        <v>487</v>
      </c>
      <c r="U599" s="693" t="s">
        <v>492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54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2503.7999999999997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500,00"/>
        <filter val="2 550,00"/>
        <filter val="2 717,67"/>
        <filter val="2 867,67"/>
        <filter val="320,51"/>
        <filter val="326,07"/>
        <filter val="5,56"/>
        <filter val="50,00"/>
        <filter val="6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2025-04-15T11:27:08Z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