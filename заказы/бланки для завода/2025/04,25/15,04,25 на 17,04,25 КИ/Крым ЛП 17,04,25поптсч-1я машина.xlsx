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C3CECD-2196-4FD1-B7F8-8AB1994C11E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X586" i="2"/>
  <c r="X585" i="2"/>
  <c r="BO584" i="2"/>
  <c r="BM584" i="2"/>
  <c r="Y584" i="2"/>
  <c r="Y585" i="2" s="1"/>
  <c r="X582" i="2"/>
  <c r="Y581" i="2"/>
  <c r="X581" i="2"/>
  <c r="BP580" i="2"/>
  <c r="BO580" i="2"/>
  <c r="BN580" i="2"/>
  <c r="BM580" i="2"/>
  <c r="Z580" i="2"/>
  <c r="Z581" i="2" s="1"/>
  <c r="Y580" i="2"/>
  <c r="Y582" i="2" s="1"/>
  <c r="X578" i="2"/>
  <c r="X577" i="2"/>
  <c r="BO576" i="2"/>
  <c r="BM576" i="2"/>
  <c r="Y576" i="2"/>
  <c r="AE601" i="2" s="1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P563" i="2"/>
  <c r="BO563" i="2"/>
  <c r="BM563" i="2"/>
  <c r="Y563" i="2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N534" i="2" s="1"/>
  <c r="BO533" i="2"/>
  <c r="BM533" i="2"/>
  <c r="Y533" i="2"/>
  <c r="BP533" i="2" s="1"/>
  <c r="X529" i="2"/>
  <c r="X528" i="2"/>
  <c r="BO527" i="2"/>
  <c r="BM527" i="2"/>
  <c r="Y527" i="2"/>
  <c r="BP527" i="2" s="1"/>
  <c r="BO526" i="2"/>
  <c r="BM526" i="2"/>
  <c r="Y526" i="2"/>
  <c r="Y529" i="2" s="1"/>
  <c r="P526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N516" i="2" s="1"/>
  <c r="P516" i="2"/>
  <c r="BO515" i="2"/>
  <c r="BM515" i="2"/>
  <c r="Y515" i="2"/>
  <c r="BP515" i="2" s="1"/>
  <c r="BO514" i="2"/>
  <c r="BM514" i="2"/>
  <c r="Y514" i="2"/>
  <c r="P514" i="2"/>
  <c r="BO513" i="2"/>
  <c r="BM513" i="2"/>
  <c r="Y513" i="2"/>
  <c r="BP513" i="2" s="1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O486" i="2"/>
  <c r="BM486" i="2"/>
  <c r="Y486" i="2"/>
  <c r="BP486" i="2" s="1"/>
  <c r="P486" i="2"/>
  <c r="BO485" i="2"/>
  <c r="BM485" i="2"/>
  <c r="Y485" i="2"/>
  <c r="BP485" i="2" s="1"/>
  <c r="BO484" i="2"/>
  <c r="BM484" i="2"/>
  <c r="Y484" i="2"/>
  <c r="BN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Y464" i="2"/>
  <c r="Z464" i="2" s="1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O457" i="2"/>
  <c r="BM457" i="2"/>
  <c r="Y457" i="2"/>
  <c r="BN457" i="2" s="1"/>
  <c r="P457" i="2"/>
  <c r="BO456" i="2"/>
  <c r="BM456" i="2"/>
  <c r="Y456" i="2"/>
  <c r="X454" i="2"/>
  <c r="X453" i="2"/>
  <c r="BO452" i="2"/>
  <c r="BM452" i="2"/>
  <c r="Y452" i="2"/>
  <c r="BP452" i="2" s="1"/>
  <c r="P452" i="2"/>
  <c r="BO451" i="2"/>
  <c r="BM451" i="2"/>
  <c r="Y451" i="2"/>
  <c r="Y453" i="2" s="1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BP432" i="2" s="1"/>
  <c r="BO431" i="2"/>
  <c r="BM431" i="2"/>
  <c r="Y431" i="2"/>
  <c r="BP431" i="2" s="1"/>
  <c r="BO430" i="2"/>
  <c r="BM430" i="2"/>
  <c r="Y430" i="2"/>
  <c r="BN430" i="2" s="1"/>
  <c r="X426" i="2"/>
  <c r="X425" i="2"/>
  <c r="BO424" i="2"/>
  <c r="BM424" i="2"/>
  <c r="Y424" i="2"/>
  <c r="Y425" i="2" s="1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BN393" i="2" s="1"/>
  <c r="X391" i="2"/>
  <c r="X390" i="2"/>
  <c r="BO389" i="2"/>
  <c r="BM389" i="2"/>
  <c r="Y389" i="2"/>
  <c r="Z389" i="2" s="1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O375" i="2"/>
  <c r="BM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L601" i="2" s="1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Z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X187" i="2"/>
  <c r="BO186" i="2"/>
  <c r="BM186" i="2"/>
  <c r="Y186" i="2"/>
  <c r="Y188" i="2" s="1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X111" i="2"/>
  <c r="X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N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O25" i="2"/>
  <c r="BM25" i="2"/>
  <c r="Y25" i="2"/>
  <c r="BP25" i="2" s="1"/>
  <c r="BO24" i="2"/>
  <c r="BM24" i="2"/>
  <c r="Y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D7" i="2"/>
  <c r="Q6" i="2"/>
  <c r="P2" i="2"/>
  <c r="Y426" i="2" l="1"/>
  <c r="Z44" i="2"/>
  <c r="Z45" i="2" s="1"/>
  <c r="BN44" i="2"/>
  <c r="BP44" i="2"/>
  <c r="Y45" i="2"/>
  <c r="Z108" i="2"/>
  <c r="BN108" i="2"/>
  <c r="Z164" i="2"/>
  <c r="Z165" i="2" s="1"/>
  <c r="Z234" i="2"/>
  <c r="Z308" i="2"/>
  <c r="Z424" i="2"/>
  <c r="Z425" i="2" s="1"/>
  <c r="Z441" i="2"/>
  <c r="BN441" i="2"/>
  <c r="Z457" i="2"/>
  <c r="BN25" i="2"/>
  <c r="BN212" i="2"/>
  <c r="BN433" i="2"/>
  <c r="BN452" i="2"/>
  <c r="Y475" i="2"/>
  <c r="BP510" i="2"/>
  <c r="BP65" i="2"/>
  <c r="BN89" i="2"/>
  <c r="BN181" i="2"/>
  <c r="BN186" i="2"/>
  <c r="BP375" i="2"/>
  <c r="BN58" i="2"/>
  <c r="Z65" i="2"/>
  <c r="BP67" i="2"/>
  <c r="BN75" i="2"/>
  <c r="Z157" i="2"/>
  <c r="BP170" i="2"/>
  <c r="Y187" i="2"/>
  <c r="BP232" i="2"/>
  <c r="Z375" i="2"/>
  <c r="BP424" i="2"/>
  <c r="BP457" i="2"/>
  <c r="Z486" i="2"/>
  <c r="BN486" i="2"/>
  <c r="Z492" i="2"/>
  <c r="BN492" i="2"/>
  <c r="Z510" i="2"/>
  <c r="Z512" i="2"/>
  <c r="Z513" i="2"/>
  <c r="BN513" i="2"/>
  <c r="Z601" i="2"/>
  <c r="BN345" i="2"/>
  <c r="Z94" i="2"/>
  <c r="Z393" i="2"/>
  <c r="BP393" i="2"/>
  <c r="BP507" i="2"/>
  <c r="Z507" i="2"/>
  <c r="X591" i="2"/>
  <c r="Z379" i="2"/>
  <c r="BN411" i="2"/>
  <c r="BN521" i="2"/>
  <c r="BP571" i="2"/>
  <c r="Z22" i="2"/>
  <c r="BP22" i="2"/>
  <c r="Z50" i="2"/>
  <c r="BP50" i="2"/>
  <c r="Z61" i="2"/>
  <c r="Z202" i="2"/>
  <c r="BP202" i="2"/>
  <c r="Z219" i="2"/>
  <c r="BP219" i="2"/>
  <c r="Z259" i="2"/>
  <c r="BP259" i="2"/>
  <c r="Z404" i="2"/>
  <c r="BP404" i="2"/>
  <c r="Y443" i="2"/>
  <c r="Z484" i="2"/>
  <c r="BP484" i="2"/>
  <c r="Y517" i="2"/>
  <c r="Z516" i="2"/>
  <c r="BP516" i="2"/>
  <c r="BN533" i="2"/>
  <c r="Z534" i="2"/>
  <c r="BP534" i="2"/>
  <c r="Z25" i="2"/>
  <c r="Z58" i="2"/>
  <c r="BN65" i="2"/>
  <c r="Z75" i="2"/>
  <c r="Z89" i="2"/>
  <c r="BN157" i="2"/>
  <c r="Z181" i="2"/>
  <c r="Z186" i="2"/>
  <c r="Z187" i="2" s="1"/>
  <c r="BP186" i="2"/>
  <c r="Z212" i="2"/>
  <c r="Z277" i="2"/>
  <c r="Z345" i="2"/>
  <c r="Z411" i="2"/>
  <c r="Z420" i="2"/>
  <c r="BN424" i="2"/>
  <c r="Z430" i="2"/>
  <c r="BP430" i="2"/>
  <c r="Z433" i="2"/>
  <c r="Z452" i="2"/>
  <c r="Y454" i="2"/>
  <c r="BP474" i="2"/>
  <c r="Y476" i="2"/>
  <c r="Z521" i="2"/>
  <c r="Y586" i="2"/>
  <c r="Y116" i="2"/>
  <c r="Y395" i="2"/>
  <c r="Y503" i="2"/>
  <c r="Z533" i="2"/>
  <c r="BP555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Z90" i="2" s="1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Z161" i="2" s="1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149" i="2" s="1"/>
  <c r="Z51" i="2"/>
  <c r="Y91" i="2"/>
  <c r="BP87" i="2"/>
  <c r="E601" i="2"/>
  <c r="Y90" i="2"/>
  <c r="BN87" i="2"/>
  <c r="Z106" i="2"/>
  <c r="BN304" i="2"/>
  <c r="Z550" i="2"/>
  <c r="BP231" i="2"/>
  <c r="BN231" i="2"/>
  <c r="Y238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Z421" i="2" s="1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Z565" i="2" s="1"/>
  <c r="Y565" i="2"/>
  <c r="BN576" i="2"/>
  <c r="W601" i="2"/>
  <c r="Z255" i="2"/>
  <c r="BN280" i="2"/>
  <c r="Z319" i="2"/>
  <c r="Z329" i="2"/>
  <c r="Z332" i="2" s="1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Z273" i="2" s="1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23" i="2" s="1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Z193" i="2" s="1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77" i="2" s="1"/>
  <c r="Z82" i="2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Z116" i="2" s="1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83" i="2" l="1"/>
  <c r="Z62" i="2"/>
  <c r="Z110" i="2"/>
  <c r="Z395" i="2"/>
  <c r="Z183" i="2"/>
  <c r="Z359" i="2"/>
  <c r="Z340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<sst xmlns="http://schemas.openxmlformats.org/spreadsheetml/2006/main" count="4527" uniqueCount="969">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</sst>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72" sqref="AA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18" t="s">
        <v>26</v>
      </c>
      <c r="E1" s="1018"/>
      <c r="F1" s="1018"/>
      <c r="G1" s="14" t="s">
        <v>66</v>
      </c>
      <c r="H1" s="1018" t="s">
        <v>46</v>
      </c>
      <c r="I1" s="1018"/>
      <c r="J1" s="1018"/>
      <c r="K1" s="1018"/>
      <c r="L1" s="1018"/>
      <c r="M1" s="1018"/>
      <c r="N1" s="1018"/>
      <c r="O1" s="1018"/>
      <c r="P1" s="1018"/>
      <c r="Q1" s="1018"/>
      <c r="R1" s="1019" t="s">
        <v>67</v>
      </c>
      <c r="S1" s="1020"/>
      <c r="T1" s="102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1"/>
      <c r="R2" s="1021"/>
      <c r="S2" s="1021"/>
      <c r="T2" s="1021"/>
      <c r="U2" s="1021"/>
      <c r="V2" s="1021"/>
      <c r="W2" s="102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1"/>
      <c r="Q3" s="1021"/>
      <c r="R3" s="1021"/>
      <c r="S3" s="1021"/>
      <c r="T3" s="1021"/>
      <c r="U3" s="1021"/>
      <c r="V3" s="1021"/>
      <c r="W3" s="102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2" t="s">
        <v>8</v>
      </c>
      <c r="B5" s="1022"/>
      <c r="C5" s="1022"/>
      <c r="D5" s="1023"/>
      <c r="E5" s="1023"/>
      <c r="F5" s="1024" t="s">
        <v>14</v>
      </c>
      <c r="G5" s="1024"/>
      <c r="H5" s="1023" t="s">
        <v>968</v>
      </c>
      <c r="I5" s="1023"/>
      <c r="J5" s="1023"/>
      <c r="K5" s="1023"/>
      <c r="L5" s="1023"/>
      <c r="M5" s="1023"/>
      <c r="N5" s="69"/>
      <c r="P5" s="26" t="s">
        <v>4</v>
      </c>
      <c r="Q5" s="1025">
        <v>45764</v>
      </c>
      <c r="R5" s="1025"/>
      <c r="T5" s="1026" t="s">
        <v>3</v>
      </c>
      <c r="U5" s="1027"/>
      <c r="V5" s="1028" t="s">
        <v>954</v>
      </c>
      <c r="W5" s="1029"/>
      <c r="AB5" s="57"/>
      <c r="AC5" s="57"/>
      <c r="AD5" s="57"/>
      <c r="AE5" s="57"/>
    </row>
    <row r="6" spans="1:32" s="17" customFormat="1" ht="24" customHeight="1" x14ac:dyDescent="0.2">
      <c r="A6" s="1022" t="s">
        <v>1</v>
      </c>
      <c r="B6" s="1022"/>
      <c r="C6" s="1022"/>
      <c r="D6" s="1030" t="s">
        <v>75</v>
      </c>
      <c r="E6" s="1030"/>
      <c r="F6" s="1030"/>
      <c r="G6" s="1030"/>
      <c r="H6" s="1030"/>
      <c r="I6" s="1030"/>
      <c r="J6" s="1030"/>
      <c r="K6" s="1030"/>
      <c r="L6" s="1030"/>
      <c r="M6" s="1030"/>
      <c r="N6" s="70"/>
      <c r="P6" s="26" t="s">
        <v>27</v>
      </c>
      <c r="Q6" s="1031" t="str">
        <f>IF(Q5=0," ",CHOOSE(WEEKDAY(Q5,2),"Понедельник","Вторник","Среда","Четверг","Пятница","Суббота","Воскресенье"))</f>
        <v>Четверг</v>
      </c>
      <c r="R6" s="1031"/>
      <c r="T6" s="1032" t="s">
        <v>5</v>
      </c>
      <c r="U6" s="1033"/>
      <c r="V6" s="1034" t="s">
        <v>69</v>
      </c>
      <c r="W6" s="103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0" t="str">
        <f>IFERROR(VLOOKUP(DeliveryAddress,Table,3,0),1)</f>
        <v>1</v>
      </c>
      <c r="E7" s="1041"/>
      <c r="F7" s="1041"/>
      <c r="G7" s="1041"/>
      <c r="H7" s="1041"/>
      <c r="I7" s="1041"/>
      <c r="J7" s="1041"/>
      <c r="K7" s="1041"/>
      <c r="L7" s="1041"/>
      <c r="M7" s="1042"/>
      <c r="N7" s="71"/>
      <c r="P7" s="26"/>
      <c r="Q7" s="46"/>
      <c r="R7" s="46"/>
      <c r="T7" s="1032"/>
      <c r="U7" s="1033"/>
      <c r="V7" s="1036"/>
      <c r="W7" s="1037"/>
      <c r="AB7" s="57"/>
      <c r="AC7" s="57"/>
      <c r="AD7" s="57"/>
      <c r="AE7" s="57"/>
    </row>
    <row r="8" spans="1:32" s="17" customFormat="1" ht="25.5" customHeight="1" x14ac:dyDescent="0.2">
      <c r="A8" s="1043" t="s">
        <v>57</v>
      </c>
      <c r="B8" s="1043"/>
      <c r="C8" s="1043"/>
      <c r="D8" s="1044" t="s">
        <v>76</v>
      </c>
      <c r="E8" s="1044"/>
      <c r="F8" s="1044"/>
      <c r="G8" s="1044"/>
      <c r="H8" s="1044"/>
      <c r="I8" s="1044"/>
      <c r="J8" s="1044"/>
      <c r="K8" s="1044"/>
      <c r="L8" s="1044"/>
      <c r="M8" s="1044"/>
      <c r="N8" s="72"/>
      <c r="P8" s="26" t="s">
        <v>11</v>
      </c>
      <c r="Q8" s="1003">
        <v>0.41666666666666669</v>
      </c>
      <c r="R8" s="1003"/>
      <c r="T8" s="1032"/>
      <c r="U8" s="1033"/>
      <c r="V8" s="1036"/>
      <c r="W8" s="1037"/>
      <c r="AB8" s="57"/>
      <c r="AC8" s="57"/>
      <c r="AD8" s="57"/>
      <c r="AE8" s="57"/>
    </row>
    <row r="9" spans="1:32" s="17" customFormat="1" ht="39.950000000000003" customHeight="1" x14ac:dyDescent="0.2">
      <c r="A9" s="9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3"/>
      <c r="C9" s="993"/>
      <c r="D9" s="994" t="s">
        <v>45</v>
      </c>
      <c r="E9" s="995"/>
      <c r="F9" s="9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3"/>
      <c r="H9" s="1045" t="str">
        <f>IF(AND($A$9="Тип доверенности/получателя при получении в адресе перегруза:",$D$9="Разовая доверенность"),"Введите ФИО","")</f>
        <v/>
      </c>
      <c r="I9" s="1045"/>
      <c r="J9" s="10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5"/>
      <c r="L9" s="1045"/>
      <c r="M9" s="1045"/>
      <c r="N9" s="67"/>
      <c r="P9" s="29" t="s">
        <v>15</v>
      </c>
      <c r="Q9" s="1046"/>
      <c r="R9" s="1046"/>
      <c r="T9" s="1032"/>
      <c r="U9" s="1033"/>
      <c r="V9" s="1038"/>
      <c r="W9" s="103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3"/>
      <c r="C10" s="993"/>
      <c r="D10" s="994"/>
      <c r="E10" s="995"/>
      <c r="F10" s="9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3"/>
      <c r="H10" s="996" t="str">
        <f>IFERROR(VLOOKUP($D$10,Proxy,2,FALSE),"")</f>
        <v/>
      </c>
      <c r="I10" s="996"/>
      <c r="J10" s="996"/>
      <c r="K10" s="996"/>
      <c r="L10" s="996"/>
      <c r="M10" s="996"/>
      <c r="N10" s="68"/>
      <c r="P10" s="29" t="s">
        <v>32</v>
      </c>
      <c r="Q10" s="997"/>
      <c r="R10" s="997"/>
      <c r="U10" s="26" t="s">
        <v>12</v>
      </c>
      <c r="V10" s="998" t="s">
        <v>70</v>
      </c>
      <c r="W10" s="99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0"/>
      <c r="R11" s="1000"/>
      <c r="U11" s="26" t="s">
        <v>28</v>
      </c>
      <c r="V11" s="1001" t="s">
        <v>54</v>
      </c>
      <c r="W11" s="100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2" t="s">
        <v>71</v>
      </c>
      <c r="B12" s="1002"/>
      <c r="C12" s="1002"/>
      <c r="D12" s="1002"/>
      <c r="E12" s="1002"/>
      <c r="F12" s="1002"/>
      <c r="G12" s="1002"/>
      <c r="H12" s="1002"/>
      <c r="I12" s="1002"/>
      <c r="J12" s="1002"/>
      <c r="K12" s="1002"/>
      <c r="L12" s="1002"/>
      <c r="M12" s="1002"/>
      <c r="N12" s="73"/>
      <c r="P12" s="26" t="s">
        <v>30</v>
      </c>
      <c r="Q12" s="1003"/>
      <c r="R12" s="1003"/>
      <c r="S12" s="27"/>
      <c r="T12"/>
      <c r="U12" s="26" t="s">
        <v>45</v>
      </c>
      <c r="V12" s="1004"/>
      <c r="W12" s="1004"/>
      <c r="X12"/>
      <c r="AB12" s="57"/>
      <c r="AC12" s="57"/>
      <c r="AD12" s="57"/>
      <c r="AE12" s="57"/>
    </row>
    <row r="13" spans="1:32" s="17" customFormat="1" ht="23.25" customHeight="1" x14ac:dyDescent="0.2">
      <c r="A13" s="1002" t="s">
        <v>72</v>
      </c>
      <c r="B13" s="1002"/>
      <c r="C13" s="1002"/>
      <c r="D13" s="1002"/>
      <c r="E13" s="1002"/>
      <c r="F13" s="1002"/>
      <c r="G13" s="1002"/>
      <c r="H13" s="1002"/>
      <c r="I13" s="1002"/>
      <c r="J13" s="1002"/>
      <c r="K13" s="1002"/>
      <c r="L13" s="1002"/>
      <c r="M13" s="1002"/>
      <c r="N13" s="73"/>
      <c r="O13" s="29"/>
      <c r="P13" s="29" t="s">
        <v>31</v>
      </c>
      <c r="Q13" s="1001"/>
      <c r="R13" s="100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2" t="s">
        <v>73</v>
      </c>
      <c r="B14" s="1002"/>
      <c r="C14" s="1002"/>
      <c r="D14" s="1002"/>
      <c r="E14" s="1002"/>
      <c r="F14" s="1002"/>
      <c r="G14" s="1002"/>
      <c r="H14" s="1002"/>
      <c r="I14" s="1002"/>
      <c r="J14" s="1002"/>
      <c r="K14" s="1002"/>
      <c r="L14" s="1002"/>
      <c r="M14" s="100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5" t="s">
        <v>74</v>
      </c>
      <c r="B15" s="1005"/>
      <c r="C15" s="1005"/>
      <c r="D15" s="1005"/>
      <c r="E15" s="1005"/>
      <c r="F15" s="1005"/>
      <c r="G15" s="1005"/>
      <c r="H15" s="1005"/>
      <c r="I15" s="1005"/>
      <c r="J15" s="1005"/>
      <c r="K15" s="1005"/>
      <c r="L15" s="1005"/>
      <c r="M15" s="1005"/>
      <c r="N15" s="74"/>
      <c r="O15"/>
      <c r="P15" s="1006" t="s">
        <v>60</v>
      </c>
      <c r="Q15" s="1006"/>
      <c r="R15" s="1006"/>
      <c r="S15" s="1006"/>
      <c r="T15" s="100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07"/>
      <c r="Q16" s="1007"/>
      <c r="R16" s="1007"/>
      <c r="S16" s="1007"/>
      <c r="T16" s="10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6" t="s">
        <v>58</v>
      </c>
      <c r="B17" s="976" t="s">
        <v>48</v>
      </c>
      <c r="C17" s="1010" t="s">
        <v>47</v>
      </c>
      <c r="D17" s="1012" t="s">
        <v>49</v>
      </c>
      <c r="E17" s="1013"/>
      <c r="F17" s="976" t="s">
        <v>21</v>
      </c>
      <c r="G17" s="976" t="s">
        <v>24</v>
      </c>
      <c r="H17" s="976" t="s">
        <v>22</v>
      </c>
      <c r="I17" s="976" t="s">
        <v>23</v>
      </c>
      <c r="J17" s="976" t="s">
        <v>16</v>
      </c>
      <c r="K17" s="976" t="s">
        <v>65</v>
      </c>
      <c r="L17" s="976" t="s">
        <v>63</v>
      </c>
      <c r="M17" s="976" t="s">
        <v>2</v>
      </c>
      <c r="N17" s="976" t="s">
        <v>62</v>
      </c>
      <c r="O17" s="976" t="s">
        <v>25</v>
      </c>
      <c r="P17" s="1012" t="s">
        <v>17</v>
      </c>
      <c r="Q17" s="1016"/>
      <c r="R17" s="1016"/>
      <c r="S17" s="1016"/>
      <c r="T17" s="1013"/>
      <c r="U17" s="1008" t="s">
        <v>55</v>
      </c>
      <c r="V17" s="1009"/>
      <c r="W17" s="976" t="s">
        <v>6</v>
      </c>
      <c r="X17" s="976" t="s">
        <v>41</v>
      </c>
      <c r="Y17" s="978" t="s">
        <v>53</v>
      </c>
      <c r="Z17" s="980" t="s">
        <v>18</v>
      </c>
      <c r="AA17" s="982" t="s">
        <v>59</v>
      </c>
      <c r="AB17" s="982" t="s">
        <v>19</v>
      </c>
      <c r="AC17" s="982" t="s">
        <v>64</v>
      </c>
      <c r="AD17" s="984" t="s">
        <v>56</v>
      </c>
      <c r="AE17" s="985"/>
      <c r="AF17" s="986"/>
      <c r="AG17" s="77"/>
      <c r="BD17" s="76" t="s">
        <v>61</v>
      </c>
    </row>
    <row r="18" spans="1:68" ht="14.25" customHeight="1" x14ac:dyDescent="0.2">
      <c r="A18" s="977"/>
      <c r="B18" s="977"/>
      <c r="C18" s="1011"/>
      <c r="D18" s="1014"/>
      <c r="E18" s="1015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1014"/>
      <c r="Q18" s="1017"/>
      <c r="R18" s="1017"/>
      <c r="S18" s="1017"/>
      <c r="T18" s="1015"/>
      <c r="U18" s="78" t="s">
        <v>44</v>
      </c>
      <c r="V18" s="78" t="s">
        <v>43</v>
      </c>
      <c r="W18" s="977"/>
      <c r="X18" s="977"/>
      <c r="Y18" s="979"/>
      <c r="Z18" s="981"/>
      <c r="AA18" s="983"/>
      <c r="AB18" s="983"/>
      <c r="AC18" s="983"/>
      <c r="AD18" s="987"/>
      <c r="AE18" s="988"/>
      <c r="AF18" s="989"/>
      <c r="AG18" s="77"/>
      <c r="BD18" s="76"/>
    </row>
    <row r="19" spans="1:68" ht="27.75" hidden="1" customHeight="1" x14ac:dyDescent="0.2">
      <c r="A19" s="716" t="s">
        <v>77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2"/>
      <c r="AB19" s="52"/>
      <c r="AC19" s="52"/>
    </row>
    <row r="20" spans="1:68" ht="16.5" hidden="1" customHeight="1" x14ac:dyDescent="0.25">
      <c r="A20" s="692" t="s">
        <v>77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92"/>
      <c r="X20" s="692"/>
      <c r="Y20" s="692"/>
      <c r="Z20" s="692"/>
      <c r="AA20" s="62"/>
      <c r="AB20" s="62"/>
      <c r="AC20" s="62"/>
    </row>
    <row r="21" spans="1:68" ht="14.25" hidden="1" customHeight="1" x14ac:dyDescent="0.25">
      <c r="A21" s="670" t="s">
        <v>78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671">
        <v>4680115885912</v>
      </c>
      <c r="E22" s="67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671">
        <v>4607091388237</v>
      </c>
      <c r="E23" s="67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671">
        <v>4680115886230</v>
      </c>
      <c r="E24" s="67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2" t="s">
        <v>89</v>
      </c>
      <c r="Q24" s="673"/>
      <c r="R24" s="673"/>
      <c r="S24" s="673"/>
      <c r="T24" s="67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671">
        <v>4680115886247</v>
      </c>
      <c r="E25" s="67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2" t="s">
        <v>93</v>
      </c>
      <c r="Q25" s="673"/>
      <c r="R25" s="673"/>
      <c r="S25" s="673"/>
      <c r="T25" s="67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671">
        <v>4680115885905</v>
      </c>
      <c r="E26" s="67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671">
        <v>4607091388244</v>
      </c>
      <c r="E27" s="67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678"/>
      <c r="B28" s="678"/>
      <c r="C28" s="678"/>
      <c r="D28" s="678"/>
      <c r="E28" s="678"/>
      <c r="F28" s="678"/>
      <c r="G28" s="678"/>
      <c r="H28" s="678"/>
      <c r="I28" s="678"/>
      <c r="J28" s="678"/>
      <c r="K28" s="678"/>
      <c r="L28" s="678"/>
      <c r="M28" s="678"/>
      <c r="N28" s="678"/>
      <c r="O28" s="679"/>
      <c r="P28" s="675" t="s">
        <v>40</v>
      </c>
      <c r="Q28" s="676"/>
      <c r="R28" s="676"/>
      <c r="S28" s="676"/>
      <c r="T28" s="676"/>
      <c r="U28" s="676"/>
      <c r="V28" s="67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678"/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9"/>
      <c r="P29" s="675" t="s">
        <v>40</v>
      </c>
      <c r="Q29" s="676"/>
      <c r="R29" s="676"/>
      <c r="S29" s="676"/>
      <c r="T29" s="676"/>
      <c r="U29" s="676"/>
      <c r="V29" s="67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670" t="s">
        <v>101</v>
      </c>
      <c r="B30" s="670"/>
      <c r="C30" s="670"/>
      <c r="D30" s="670"/>
      <c r="E30" s="670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671">
        <v>4607091388503</v>
      </c>
      <c r="E31" s="67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16" t="s">
        <v>107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2"/>
      <c r="AB34" s="52"/>
      <c r="AC34" s="52"/>
    </row>
    <row r="35" spans="1:68" ht="16.5" hidden="1" customHeight="1" x14ac:dyDescent="0.25">
      <c r="A35" s="692" t="s">
        <v>108</v>
      </c>
      <c r="B35" s="692"/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  <c r="O35" s="692"/>
      <c r="P35" s="692"/>
      <c r="Q35" s="692"/>
      <c r="R35" s="692"/>
      <c r="S35" s="692"/>
      <c r="T35" s="692"/>
      <c r="U35" s="692"/>
      <c r="V35" s="692"/>
      <c r="W35" s="692"/>
      <c r="X35" s="692"/>
      <c r="Y35" s="692"/>
      <c r="Z35" s="692"/>
      <c r="AA35" s="62"/>
      <c r="AB35" s="62"/>
      <c r="AC35" s="62"/>
    </row>
    <row r="36" spans="1:68" ht="14.25" hidden="1" customHeight="1" x14ac:dyDescent="0.25">
      <c r="A36" s="670" t="s">
        <v>109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3"/>
      <c r="AB36" s="63"/>
      <c r="AC36" s="63"/>
    </row>
    <row r="37" spans="1:68" ht="16.5" hidden="1" customHeight="1" x14ac:dyDescent="0.25">
      <c r="A37" s="60" t="s">
        <v>110</v>
      </c>
      <c r="B37" s="60" t="s">
        <v>111</v>
      </c>
      <c r="C37" s="34">
        <v>4301011380</v>
      </c>
      <c r="D37" s="671">
        <v>4607091385670</v>
      </c>
      <c r="E37" s="67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671">
        <v>4607091385687</v>
      </c>
      <c r="E38" s="67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671">
        <v>4680115882539</v>
      </c>
      <c r="E39" s="67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671">
        <v>4680115883949</v>
      </c>
      <c r="E40" s="67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78"/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9"/>
      <c r="P41" s="675" t="s">
        <v>40</v>
      </c>
      <c r="Q41" s="676"/>
      <c r="R41" s="676"/>
      <c r="S41" s="676"/>
      <c r="T41" s="676"/>
      <c r="U41" s="676"/>
      <c r="V41" s="677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78"/>
      <c r="B42" s="678"/>
      <c r="C42" s="678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79"/>
      <c r="P42" s="675" t="s">
        <v>40</v>
      </c>
      <c r="Q42" s="676"/>
      <c r="R42" s="676"/>
      <c r="S42" s="676"/>
      <c r="T42" s="676"/>
      <c r="U42" s="676"/>
      <c r="V42" s="677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hidden="1" customHeight="1" x14ac:dyDescent="0.25">
      <c r="A43" s="670" t="s">
        <v>78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671">
        <v>4680115884915</v>
      </c>
      <c r="E44" s="67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678"/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9"/>
      <c r="P45" s="675" t="s">
        <v>40</v>
      </c>
      <c r="Q45" s="676"/>
      <c r="R45" s="676"/>
      <c r="S45" s="676"/>
      <c r="T45" s="676"/>
      <c r="U45" s="676"/>
      <c r="V45" s="67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692" t="s">
        <v>129</v>
      </c>
      <c r="B47" s="692"/>
      <c r="C47" s="692"/>
      <c r="D47" s="692"/>
      <c r="E47" s="692"/>
      <c r="F47" s="692"/>
      <c r="G47" s="692"/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  <c r="U47" s="692"/>
      <c r="V47" s="692"/>
      <c r="W47" s="692"/>
      <c r="X47" s="692"/>
      <c r="Y47" s="692"/>
      <c r="Z47" s="692"/>
      <c r="AA47" s="62"/>
      <c r="AB47" s="62"/>
      <c r="AC47" s="62"/>
    </row>
    <row r="48" spans="1:68" ht="14.25" hidden="1" customHeight="1" x14ac:dyDescent="0.25">
      <c r="A48" s="670" t="s">
        <v>109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671">
        <v>4680115885882</v>
      </c>
      <c r="E49" s="67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4301011816</v>
      </c>
      <c r="D50" s="671">
        <v>4680115881426</v>
      </c>
      <c r="E50" s="67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671">
        <v>4680115880283</v>
      </c>
      <c r="E51" s="67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671">
        <v>4680115881525</v>
      </c>
      <c r="E52" s="67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671">
        <v>4680115885899</v>
      </c>
      <c r="E53" s="67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hidden="1" customHeight="1" x14ac:dyDescent="0.25">
      <c r="A54" s="60" t="s">
        <v>147</v>
      </c>
      <c r="B54" s="60" t="s">
        <v>148</v>
      </c>
      <c r="C54" s="34">
        <v>4301011801</v>
      </c>
      <c r="D54" s="671">
        <v>4680115881419</v>
      </c>
      <c r="E54" s="67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hidden="1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hidden="1" customHeight="1" x14ac:dyDescent="0.25">
      <c r="A57" s="670" t="s">
        <v>149</v>
      </c>
      <c r="B57" s="670"/>
      <c r="C57" s="670"/>
      <c r="D57" s="670"/>
      <c r="E57" s="670"/>
      <c r="F57" s="670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70"/>
      <c r="AA57" s="63"/>
      <c r="AB57" s="63"/>
      <c r="AC57" s="63"/>
    </row>
    <row r="58" spans="1:68" ht="16.5" hidden="1" customHeight="1" x14ac:dyDescent="0.25">
      <c r="A58" s="60" t="s">
        <v>150</v>
      </c>
      <c r="B58" s="60" t="s">
        <v>151</v>
      </c>
      <c r="C58" s="34">
        <v>4301020298</v>
      </c>
      <c r="D58" s="671">
        <v>4680115881440</v>
      </c>
      <c r="E58" s="67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671">
        <v>4680115882751</v>
      </c>
      <c r="E59" s="67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671">
        <v>4680115885950</v>
      </c>
      <c r="E60" s="67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hidden="1" customHeight="1" x14ac:dyDescent="0.25">
      <c r="A61" s="60" t="s">
        <v>158</v>
      </c>
      <c r="B61" s="60" t="s">
        <v>159</v>
      </c>
      <c r="C61" s="34">
        <v>4301020296</v>
      </c>
      <c r="D61" s="671">
        <v>4680115881433</v>
      </c>
      <c r="E61" s="67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idden="1" x14ac:dyDescent="0.2">
      <c r="A62" s="678"/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9"/>
      <c r="P62" s="675" t="s">
        <v>40</v>
      </c>
      <c r="Q62" s="676"/>
      <c r="R62" s="676"/>
      <c r="S62" s="676"/>
      <c r="T62" s="676"/>
      <c r="U62" s="676"/>
      <c r="V62" s="677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78"/>
      <c r="B63" s="678"/>
      <c r="C63" s="678"/>
      <c r="D63" s="678"/>
      <c r="E63" s="678"/>
      <c r="F63" s="678"/>
      <c r="G63" s="678"/>
      <c r="H63" s="678"/>
      <c r="I63" s="678"/>
      <c r="J63" s="678"/>
      <c r="K63" s="678"/>
      <c r="L63" s="678"/>
      <c r="M63" s="678"/>
      <c r="N63" s="678"/>
      <c r="O63" s="679"/>
      <c r="P63" s="675" t="s">
        <v>40</v>
      </c>
      <c r="Q63" s="676"/>
      <c r="R63" s="676"/>
      <c r="S63" s="676"/>
      <c r="T63" s="676"/>
      <c r="U63" s="676"/>
      <c r="V63" s="677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hidden="1" customHeight="1" x14ac:dyDescent="0.25">
      <c r="A64" s="670" t="s">
        <v>160</v>
      </c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671">
        <v>4680115885073</v>
      </c>
      <c r="E65" s="67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671">
        <v>4680115885059</v>
      </c>
      <c r="E66" s="67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671">
        <v>4680115885097</v>
      </c>
      <c r="E67" s="67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4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78"/>
      <c r="B69" s="678"/>
      <c r="C69" s="678"/>
      <c r="D69" s="678"/>
      <c r="E69" s="678"/>
      <c r="F69" s="678"/>
      <c r="G69" s="678"/>
      <c r="H69" s="678"/>
      <c r="I69" s="678"/>
      <c r="J69" s="678"/>
      <c r="K69" s="678"/>
      <c r="L69" s="678"/>
      <c r="M69" s="678"/>
      <c r="N69" s="678"/>
      <c r="O69" s="679"/>
      <c r="P69" s="675" t="s">
        <v>40</v>
      </c>
      <c r="Q69" s="676"/>
      <c r="R69" s="676"/>
      <c r="S69" s="676"/>
      <c r="T69" s="676"/>
      <c r="U69" s="676"/>
      <c r="V69" s="67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670" t="s">
        <v>78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671">
        <v>4680115881891</v>
      </c>
      <c r="E71" s="67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4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1">
        <v>4680115885769</v>
      </c>
      <c r="E72" s="67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7" t="s">
        <v>45</v>
      </c>
      <c r="V72" s="37" t="s">
        <v>45</v>
      </c>
      <c r="W72" s="38" t="s">
        <v>0</v>
      </c>
      <c r="X72" s="56">
        <v>20</v>
      </c>
      <c r="Y72" s="53">
        <f t="shared" si="11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21.035714285714288</v>
      </c>
      <c r="BN72" s="75">
        <f t="shared" si="13"/>
        <v>26.505000000000006</v>
      </c>
      <c r="BO72" s="75">
        <f t="shared" si="14"/>
        <v>3.7202380952380952E-2</v>
      </c>
      <c r="BP72" s="75">
        <f t="shared" si="15"/>
        <v>4.6875E-2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1">
        <v>4680115884410</v>
      </c>
      <c r="E73" s="67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7" t="s">
        <v>45</v>
      </c>
      <c r="V73" s="37" t="s">
        <v>45</v>
      </c>
      <c r="W73" s="38" t="s">
        <v>0</v>
      </c>
      <c r="X73" s="56">
        <v>57</v>
      </c>
      <c r="Y73" s="53">
        <f t="shared" si="11"/>
        <v>58.800000000000004</v>
      </c>
      <c r="Z73" s="39">
        <f>IFERROR(IF(Y73=0,"",ROUNDUP(Y73/H73,0)*0.01898),"")</f>
        <v>0.13286000000000001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60.440357142857138</v>
      </c>
      <c r="BN73" s="75">
        <f t="shared" si="13"/>
        <v>62.349000000000004</v>
      </c>
      <c r="BO73" s="75">
        <f t="shared" si="14"/>
        <v>0.10602678571428571</v>
      </c>
      <c r="BP73" s="75">
        <f t="shared" si="15"/>
        <v>0.109375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671">
        <v>4680115884311</v>
      </c>
      <c r="E74" s="67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671">
        <v>4680115885929</v>
      </c>
      <c r="E75" s="67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671">
        <v>4680115884403</v>
      </c>
      <c r="E76" s="67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8"/>
      <c r="B77" s="678"/>
      <c r="C77" s="678"/>
      <c r="D77" s="678"/>
      <c r="E77" s="678"/>
      <c r="F77" s="678"/>
      <c r="G77" s="678"/>
      <c r="H77" s="678"/>
      <c r="I77" s="678"/>
      <c r="J77" s="678"/>
      <c r="K77" s="678"/>
      <c r="L77" s="678"/>
      <c r="M77" s="678"/>
      <c r="N77" s="678"/>
      <c r="O77" s="679"/>
      <c r="P77" s="675" t="s">
        <v>40</v>
      </c>
      <c r="Q77" s="676"/>
      <c r="R77" s="676"/>
      <c r="S77" s="676"/>
      <c r="T77" s="676"/>
      <c r="U77" s="676"/>
      <c r="V77" s="677"/>
      <c r="W77" s="40" t="s">
        <v>39</v>
      </c>
      <c r="X77" s="41">
        <f>IFERROR(X71/H71,"0")+IFERROR(X72/H72,"0")+IFERROR(X73/H73,"0")+IFERROR(X74/H74,"0")+IFERROR(X75/H75,"0")+IFERROR(X76/H76,"0")</f>
        <v>9.1666666666666661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0.18980000000000002</v>
      </c>
      <c r="AA77" s="64"/>
      <c r="AB77" s="64"/>
      <c r="AC77" s="64"/>
    </row>
    <row r="78" spans="1:68" x14ac:dyDescent="0.2">
      <c r="A78" s="678"/>
      <c r="B78" s="678"/>
      <c r="C78" s="678"/>
      <c r="D78" s="678"/>
      <c r="E78" s="678"/>
      <c r="F78" s="678"/>
      <c r="G78" s="678"/>
      <c r="H78" s="678"/>
      <c r="I78" s="678"/>
      <c r="J78" s="678"/>
      <c r="K78" s="678"/>
      <c r="L78" s="678"/>
      <c r="M78" s="678"/>
      <c r="N78" s="678"/>
      <c r="O78" s="679"/>
      <c r="P78" s="675" t="s">
        <v>40</v>
      </c>
      <c r="Q78" s="676"/>
      <c r="R78" s="676"/>
      <c r="S78" s="676"/>
      <c r="T78" s="676"/>
      <c r="U78" s="676"/>
      <c r="V78" s="677"/>
      <c r="W78" s="40" t="s">
        <v>0</v>
      </c>
      <c r="X78" s="41">
        <f>IFERROR(SUM(X71:X76),"0")</f>
        <v>77</v>
      </c>
      <c r="Y78" s="41">
        <f>IFERROR(SUM(Y71:Y76),"0")</f>
        <v>84</v>
      </c>
      <c r="Z78" s="40"/>
      <c r="AA78" s="64"/>
      <c r="AB78" s="64"/>
      <c r="AC78" s="64"/>
    </row>
    <row r="79" spans="1:68" ht="14.25" hidden="1" customHeight="1" x14ac:dyDescent="0.25">
      <c r="A79" s="670" t="s">
        <v>186</v>
      </c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/>
      <c r="V79" s="670"/>
      <c r="W79" s="670"/>
      <c r="X79" s="670"/>
      <c r="Y79" s="670"/>
      <c r="Z79" s="67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71">
        <v>4680115881532</v>
      </c>
      <c r="E80" s="67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3"/>
      <c r="R80" s="673"/>
      <c r="S80" s="673"/>
      <c r="T80" s="674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4301060371</v>
      </c>
      <c r="D81" s="671">
        <v>4680115881532</v>
      </c>
      <c r="E81" s="67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3"/>
      <c r="R81" s="673"/>
      <c r="S81" s="673"/>
      <c r="T81" s="67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671">
        <v>4680115881464</v>
      </c>
      <c r="E82" s="67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8"/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9"/>
      <c r="P83" s="675" t="s">
        <v>40</v>
      </c>
      <c r="Q83" s="676"/>
      <c r="R83" s="676"/>
      <c r="S83" s="676"/>
      <c r="T83" s="676"/>
      <c r="U83" s="676"/>
      <c r="V83" s="677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hidden="1" customHeight="1" x14ac:dyDescent="0.25">
      <c r="A85" s="692" t="s">
        <v>194</v>
      </c>
      <c r="B85" s="692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2"/>
      <c r="AB85" s="62"/>
      <c r="AC85" s="62"/>
    </row>
    <row r="86" spans="1:68" ht="14.25" hidden="1" customHeight="1" x14ac:dyDescent="0.25">
      <c r="A86" s="670" t="s">
        <v>109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3"/>
      <c r="AB86" s="63"/>
      <c r="AC86" s="63"/>
    </row>
    <row r="87" spans="1:68" ht="27" hidden="1" customHeight="1" x14ac:dyDescent="0.25">
      <c r="A87" s="60" t="s">
        <v>195</v>
      </c>
      <c r="B87" s="60" t="s">
        <v>196</v>
      </c>
      <c r="C87" s="34">
        <v>4301011468</v>
      </c>
      <c r="D87" s="671">
        <v>4680115881327</v>
      </c>
      <c r="E87" s="67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671">
        <v>4680115881518</v>
      </c>
      <c r="E88" s="67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200</v>
      </c>
      <c r="B89" s="60" t="s">
        <v>201</v>
      </c>
      <c r="C89" s="34">
        <v>4301011443</v>
      </c>
      <c r="D89" s="671">
        <v>4680115881303</v>
      </c>
      <c r="E89" s="67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78"/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9"/>
      <c r="P90" s="675" t="s">
        <v>40</v>
      </c>
      <c r="Q90" s="676"/>
      <c r="R90" s="676"/>
      <c r="S90" s="676"/>
      <c r="T90" s="676"/>
      <c r="U90" s="676"/>
      <c r="V90" s="677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78"/>
      <c r="B91" s="678"/>
      <c r="C91" s="678"/>
      <c r="D91" s="678"/>
      <c r="E91" s="678"/>
      <c r="F91" s="678"/>
      <c r="G91" s="678"/>
      <c r="H91" s="678"/>
      <c r="I91" s="678"/>
      <c r="J91" s="678"/>
      <c r="K91" s="678"/>
      <c r="L91" s="678"/>
      <c r="M91" s="678"/>
      <c r="N91" s="678"/>
      <c r="O91" s="679"/>
      <c r="P91" s="675" t="s">
        <v>40</v>
      </c>
      <c r="Q91" s="676"/>
      <c r="R91" s="676"/>
      <c r="S91" s="676"/>
      <c r="T91" s="676"/>
      <c r="U91" s="676"/>
      <c r="V91" s="677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hidden="1" customHeight="1" x14ac:dyDescent="0.25">
      <c r="A92" s="670" t="s">
        <v>78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1">
        <v>4607091386967</v>
      </c>
      <c r="E93" s="67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3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3"/>
      <c r="R93" s="673"/>
      <c r="S93" s="673"/>
      <c r="T93" s="674"/>
      <c r="U93" s="37" t="s">
        <v>45</v>
      </c>
      <c r="V93" s="37" t="s">
        <v>45</v>
      </c>
      <c r="W93" s="38" t="s">
        <v>0</v>
      </c>
      <c r="X93" s="56">
        <v>230</v>
      </c>
      <c r="Y93" s="53">
        <f t="shared" ref="Y93:Y101" si="16">IFERROR(IF(X93="",0,CEILING((X93/$H93),1)*$H93),"")</f>
        <v>235.20000000000002</v>
      </c>
      <c r="Z93" s="39">
        <f>IFERROR(IF(Y93=0,"",ROUNDUP(Y93/H93,0)*0.01898),"")</f>
        <v>0.53144000000000002</v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244.21071428571426</v>
      </c>
      <c r="BN93" s="75">
        <f t="shared" ref="BN93:BN101" si="18">IFERROR(Y93*I93/H93,"0")</f>
        <v>249.73200000000003</v>
      </c>
      <c r="BO93" s="75">
        <f t="shared" ref="BO93:BO101" si="19">IFERROR(1/J93*(X93/H93),"0")</f>
        <v>0.42782738095238093</v>
      </c>
      <c r="BP93" s="75">
        <f t="shared" ref="BP93:BP101" si="20">IFERROR(1/J93*(Y93/H93),"0")</f>
        <v>0.4375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671">
        <v>4607091386967</v>
      </c>
      <c r="E94" s="67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3"/>
      <c r="R94" s="673"/>
      <c r="S94" s="673"/>
      <c r="T94" s="67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671">
        <v>4607091386967</v>
      </c>
      <c r="E95" s="67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1" t="s">
        <v>208</v>
      </c>
      <c r="Q95" s="673"/>
      <c r="R95" s="673"/>
      <c r="S95" s="673"/>
      <c r="T95" s="67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671">
        <v>4680115884953</v>
      </c>
      <c r="E96" s="67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2" t="s">
        <v>212</v>
      </c>
      <c r="Q96" s="673"/>
      <c r="R96" s="673"/>
      <c r="S96" s="673"/>
      <c r="T96" s="67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hidden="1" customHeight="1" x14ac:dyDescent="0.25">
      <c r="A97" s="60" t="s">
        <v>214</v>
      </c>
      <c r="B97" s="60" t="s">
        <v>215</v>
      </c>
      <c r="C97" s="34">
        <v>4301052039</v>
      </c>
      <c r="D97" s="671">
        <v>4607091385731</v>
      </c>
      <c r="E97" s="67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3" t="s">
        <v>216</v>
      </c>
      <c r="Q97" s="673"/>
      <c r="R97" s="673"/>
      <c r="S97" s="673"/>
      <c r="T97" s="67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hidden="1" customHeight="1" x14ac:dyDescent="0.25">
      <c r="A98" s="60" t="s">
        <v>214</v>
      </c>
      <c r="B98" s="60" t="s">
        <v>217</v>
      </c>
      <c r="C98" s="34">
        <v>4301051718</v>
      </c>
      <c r="D98" s="671">
        <v>4607091385731</v>
      </c>
      <c r="E98" s="67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1" t="s">
        <v>218</v>
      </c>
      <c r="Q98" s="673"/>
      <c r="R98" s="673"/>
      <c r="S98" s="673"/>
      <c r="T98" s="67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671">
        <v>4680115880894</v>
      </c>
      <c r="E99" s="67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1">
        <v>4680115880214</v>
      </c>
      <c r="E100" s="67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3"/>
      <c r="R100" s="673"/>
      <c r="S100" s="673"/>
      <c r="T100" s="674"/>
      <c r="U100" s="37" t="s">
        <v>45</v>
      </c>
      <c r="V100" s="37" t="s">
        <v>45</v>
      </c>
      <c r="W100" s="38" t="s">
        <v>0</v>
      </c>
      <c r="X100" s="56">
        <v>6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6.64</v>
      </c>
      <c r="BN100" s="75">
        <f t="shared" si="18"/>
        <v>8.9640000000000004</v>
      </c>
      <c r="BO100" s="75">
        <f t="shared" si="19"/>
        <v>1.6835016835016831E-2</v>
      </c>
      <c r="BP100" s="75">
        <f t="shared" si="20"/>
        <v>2.2727272727272731E-2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671">
        <v>4680115880214</v>
      </c>
      <c r="E101" s="67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3"/>
      <c r="R101" s="673"/>
      <c r="S101" s="673"/>
      <c r="T101" s="67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8"/>
      <c r="B102" s="678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9"/>
      <c r="P102" s="675" t="s">
        <v>40</v>
      </c>
      <c r="Q102" s="676"/>
      <c r="R102" s="676"/>
      <c r="S102" s="676"/>
      <c r="T102" s="676"/>
      <c r="U102" s="676"/>
      <c r="V102" s="67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29.603174603174601</v>
      </c>
      <c r="Y102" s="41">
        <f>IFERROR(Y93/H93,"0")+IFERROR(Y94/H94,"0")+IFERROR(Y95/H95,"0")+IFERROR(Y96/H96,"0")+IFERROR(Y97/H97,"0")+IFERROR(Y98/H98,"0")+IFERROR(Y99/H99,"0")+IFERROR(Y100/H100,"0")+IFERROR(Y101/H101,"0")</f>
        <v>31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0.5585</v>
      </c>
      <c r="AA102" s="64"/>
      <c r="AB102" s="64"/>
      <c r="AC102" s="64"/>
    </row>
    <row r="103" spans="1:68" x14ac:dyDescent="0.2">
      <c r="A103" s="678"/>
      <c r="B103" s="678"/>
      <c r="C103" s="678"/>
      <c r="D103" s="678"/>
      <c r="E103" s="678"/>
      <c r="F103" s="678"/>
      <c r="G103" s="678"/>
      <c r="H103" s="678"/>
      <c r="I103" s="678"/>
      <c r="J103" s="678"/>
      <c r="K103" s="678"/>
      <c r="L103" s="678"/>
      <c r="M103" s="678"/>
      <c r="N103" s="678"/>
      <c r="O103" s="679"/>
      <c r="P103" s="675" t="s">
        <v>40</v>
      </c>
      <c r="Q103" s="676"/>
      <c r="R103" s="676"/>
      <c r="S103" s="676"/>
      <c r="T103" s="676"/>
      <c r="U103" s="676"/>
      <c r="V103" s="677"/>
      <c r="W103" s="40" t="s">
        <v>0</v>
      </c>
      <c r="X103" s="41">
        <f>IFERROR(SUM(X93:X101),"0")</f>
        <v>236</v>
      </c>
      <c r="Y103" s="41">
        <f>IFERROR(SUM(Y93:Y101),"0")</f>
        <v>243.3</v>
      </c>
      <c r="Z103" s="40"/>
      <c r="AA103" s="64"/>
      <c r="AB103" s="64"/>
      <c r="AC103" s="64"/>
    </row>
    <row r="104" spans="1:68" ht="16.5" hidden="1" customHeight="1" x14ac:dyDescent="0.25">
      <c r="A104" s="692" t="s">
        <v>225</v>
      </c>
      <c r="B104" s="692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2"/>
      <c r="AB104" s="62"/>
      <c r="AC104" s="62"/>
    </row>
    <row r="105" spans="1:68" ht="14.25" hidden="1" customHeight="1" x14ac:dyDescent="0.25">
      <c r="A105" s="670" t="s">
        <v>109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1">
        <v>4680115882133</v>
      </c>
      <c r="E106" s="67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671">
        <v>4680115880269</v>
      </c>
      <c r="E107" s="67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671">
        <v>4680115880429</v>
      </c>
      <c r="E108" s="67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671">
        <v>4680115881457</v>
      </c>
      <c r="E109" s="67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678"/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9"/>
      <c r="P111" s="675" t="s">
        <v>40</v>
      </c>
      <c r="Q111" s="676"/>
      <c r="R111" s="676"/>
      <c r="S111" s="676"/>
      <c r="T111" s="676"/>
      <c r="U111" s="676"/>
      <c r="V111" s="677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hidden="1" customHeight="1" x14ac:dyDescent="0.25">
      <c r="A112" s="670" t="s">
        <v>149</v>
      </c>
      <c r="B112" s="670"/>
      <c r="C112" s="670"/>
      <c r="D112" s="670"/>
      <c r="E112" s="670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671">
        <v>4680115881488</v>
      </c>
      <c r="E113" s="67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671">
        <v>4680115882775</v>
      </c>
      <c r="E114" s="67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671">
        <v>4680115880658</v>
      </c>
      <c r="E115" s="67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78"/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9"/>
      <c r="P116" s="675" t="s">
        <v>40</v>
      </c>
      <c r="Q116" s="676"/>
      <c r="R116" s="676"/>
      <c r="S116" s="676"/>
      <c r="T116" s="676"/>
      <c r="U116" s="676"/>
      <c r="V116" s="67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78"/>
      <c r="B117" s="678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  <c r="N117" s="678"/>
      <c r="O117" s="679"/>
      <c r="P117" s="675" t="s">
        <v>40</v>
      </c>
      <c r="Q117" s="676"/>
      <c r="R117" s="676"/>
      <c r="S117" s="676"/>
      <c r="T117" s="676"/>
      <c r="U117" s="676"/>
      <c r="V117" s="67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70" t="s">
        <v>78</v>
      </c>
      <c r="B118" s="670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0"/>
      <c r="S118" s="670"/>
      <c r="T118" s="670"/>
      <c r="U118" s="670"/>
      <c r="V118" s="670"/>
      <c r="W118" s="670"/>
      <c r="X118" s="670"/>
      <c r="Y118" s="670"/>
      <c r="Z118" s="670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671">
        <v>4607091385168</v>
      </c>
      <c r="E119" s="67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1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3"/>
      <c r="R119" s="673"/>
      <c r="S119" s="673"/>
      <c r="T119" s="674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hidden="1" customHeight="1" x14ac:dyDescent="0.25">
      <c r="A120" s="60" t="s">
        <v>242</v>
      </c>
      <c r="B120" s="60" t="s">
        <v>245</v>
      </c>
      <c r="C120" s="34">
        <v>4301051724</v>
      </c>
      <c r="D120" s="671">
        <v>4607091385168</v>
      </c>
      <c r="E120" s="671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19" t="s">
        <v>246</v>
      </c>
      <c r="Q120" s="673"/>
      <c r="R120" s="673"/>
      <c r="S120" s="673"/>
      <c r="T120" s="67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hidden="1" customHeight="1" x14ac:dyDescent="0.25">
      <c r="A121" s="60" t="s">
        <v>242</v>
      </c>
      <c r="B121" s="60" t="s">
        <v>248</v>
      </c>
      <c r="C121" s="34">
        <v>4301051625</v>
      </c>
      <c r="D121" s="671">
        <v>4607091385168</v>
      </c>
      <c r="E121" s="671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3"/>
      <c r="R121" s="673"/>
      <c r="S121" s="673"/>
      <c r="T121" s="67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hidden="1" customHeight="1" x14ac:dyDescent="0.25">
      <c r="A122" s="60" t="s">
        <v>250</v>
      </c>
      <c r="B122" s="60" t="s">
        <v>251</v>
      </c>
      <c r="C122" s="34">
        <v>4301051362</v>
      </c>
      <c r="D122" s="671">
        <v>4607091383256</v>
      </c>
      <c r="E122" s="67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3"/>
      <c r="R122" s="673"/>
      <c r="S122" s="673"/>
      <c r="T122" s="67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250</v>
      </c>
      <c r="B123" s="60" t="s">
        <v>252</v>
      </c>
      <c r="C123" s="34">
        <v>4301051730</v>
      </c>
      <c r="D123" s="671">
        <v>4607091383256</v>
      </c>
      <c r="E123" s="671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2" t="s">
        <v>253</v>
      </c>
      <c r="Q123" s="673"/>
      <c r="R123" s="673"/>
      <c r="S123" s="673"/>
      <c r="T123" s="67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hidden="1" customHeight="1" x14ac:dyDescent="0.25">
      <c r="A124" s="60" t="s">
        <v>254</v>
      </c>
      <c r="B124" s="60" t="s">
        <v>255</v>
      </c>
      <c r="C124" s="34">
        <v>4301051358</v>
      </c>
      <c r="D124" s="671">
        <v>4607091385748</v>
      </c>
      <c r="E124" s="671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3"/>
      <c r="R124" s="673"/>
      <c r="S124" s="673"/>
      <c r="T124" s="67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hidden="1" customHeight="1" x14ac:dyDescent="0.25">
      <c r="A125" s="60" t="s">
        <v>254</v>
      </c>
      <c r="B125" s="60" t="s">
        <v>256</v>
      </c>
      <c r="C125" s="34">
        <v>4301051721</v>
      </c>
      <c r="D125" s="671">
        <v>4607091385748</v>
      </c>
      <c r="E125" s="67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4" t="s">
        <v>257</v>
      </c>
      <c r="Q125" s="673"/>
      <c r="R125" s="673"/>
      <c r="S125" s="673"/>
      <c r="T125" s="67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4301051740</v>
      </c>
      <c r="D126" s="671">
        <v>4680115884533</v>
      </c>
      <c r="E126" s="671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hidden="1" customHeight="1" x14ac:dyDescent="0.25">
      <c r="A127" s="60" t="s">
        <v>261</v>
      </c>
      <c r="B127" s="60" t="s">
        <v>262</v>
      </c>
      <c r="C127" s="34">
        <v>4301051480</v>
      </c>
      <c r="D127" s="671">
        <v>4680115882645</v>
      </c>
      <c r="E127" s="671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4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hidden="1" x14ac:dyDescent="0.2">
      <c r="A128" s="678"/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9"/>
      <c r="P128" s="675" t="s">
        <v>40</v>
      </c>
      <c r="Q128" s="676"/>
      <c r="R128" s="676"/>
      <c r="S128" s="676"/>
      <c r="T128" s="676"/>
      <c r="U128" s="676"/>
      <c r="V128" s="677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hidden="1" x14ac:dyDescent="0.2">
      <c r="A129" s="678"/>
      <c r="B129" s="678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  <c r="N129" s="678"/>
      <c r="O129" s="679"/>
      <c r="P129" s="675" t="s">
        <v>40</v>
      </c>
      <c r="Q129" s="676"/>
      <c r="R129" s="676"/>
      <c r="S129" s="676"/>
      <c r="T129" s="676"/>
      <c r="U129" s="676"/>
      <c r="V129" s="677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hidden="1" customHeight="1" x14ac:dyDescent="0.25">
      <c r="A130" s="670" t="s">
        <v>186</v>
      </c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0"/>
      <c r="S130" s="670"/>
      <c r="T130" s="670"/>
      <c r="U130" s="670"/>
      <c r="V130" s="670"/>
      <c r="W130" s="670"/>
      <c r="X130" s="670"/>
      <c r="Y130" s="670"/>
      <c r="Z130" s="670"/>
      <c r="AA130" s="63"/>
      <c r="AB130" s="63"/>
      <c r="AC130" s="63"/>
    </row>
    <row r="131" spans="1:68" ht="37.5" hidden="1" customHeight="1" x14ac:dyDescent="0.25">
      <c r="A131" s="60" t="s">
        <v>264</v>
      </c>
      <c r="B131" s="60" t="s">
        <v>265</v>
      </c>
      <c r="C131" s="34">
        <v>4301060356</v>
      </c>
      <c r="D131" s="671">
        <v>4680115882652</v>
      </c>
      <c r="E131" s="671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267</v>
      </c>
      <c r="B132" s="60" t="s">
        <v>268</v>
      </c>
      <c r="C132" s="34">
        <v>4301060317</v>
      </c>
      <c r="D132" s="671">
        <v>4680115880238</v>
      </c>
      <c r="E132" s="67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78"/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9"/>
      <c r="P133" s="675" t="s">
        <v>40</v>
      </c>
      <c r="Q133" s="676"/>
      <c r="R133" s="676"/>
      <c r="S133" s="676"/>
      <c r="T133" s="676"/>
      <c r="U133" s="676"/>
      <c r="V133" s="67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78"/>
      <c r="B134" s="678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  <c r="N134" s="678"/>
      <c r="O134" s="679"/>
      <c r="P134" s="675" t="s">
        <v>40</v>
      </c>
      <c r="Q134" s="676"/>
      <c r="R134" s="676"/>
      <c r="S134" s="676"/>
      <c r="T134" s="676"/>
      <c r="U134" s="676"/>
      <c r="V134" s="67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hidden="1" customHeight="1" x14ac:dyDescent="0.25">
      <c r="A135" s="692" t="s">
        <v>270</v>
      </c>
      <c r="B135" s="692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2"/>
      <c r="AB135" s="62"/>
      <c r="AC135" s="62"/>
    </row>
    <row r="136" spans="1:68" ht="14.25" hidden="1" customHeight="1" x14ac:dyDescent="0.25">
      <c r="A136" s="670" t="s">
        <v>109</v>
      </c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671">
        <v>4680115882577</v>
      </c>
      <c r="E137" s="671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3"/>
      <c r="R137" s="673"/>
      <c r="S137" s="673"/>
      <c r="T137" s="674"/>
      <c r="U137" s="37" t="s">
        <v>45</v>
      </c>
      <c r="V137" s="37" t="s">
        <v>45</v>
      </c>
      <c r="W137" s="38" t="s">
        <v>0</v>
      </c>
      <c r="X137" s="56">
        <v>136</v>
      </c>
      <c r="Y137" s="53">
        <f>IFERROR(IF(X137="",0,CEILING((X137/$H137),1)*$H137),"")</f>
        <v>137.6</v>
      </c>
      <c r="Z137" s="39">
        <f>IFERROR(IF(Y137=0,"",ROUNDUP(Y137/H137,0)*0.00651),"")</f>
        <v>0.27993000000000001</v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143.65</v>
      </c>
      <c r="BN137" s="75">
        <f>IFERROR(Y137*I137/H137,"0")</f>
        <v>145.33999999999997</v>
      </c>
      <c r="BO137" s="75">
        <f>IFERROR(1/J137*(X137/H137),"0")</f>
        <v>0.23351648351648355</v>
      </c>
      <c r="BP137" s="75">
        <f>IFERROR(1/J137*(Y137/H137),"0")</f>
        <v>0.23626373626373623</v>
      </c>
    </row>
    <row r="138" spans="1:68" ht="27" hidden="1" customHeight="1" x14ac:dyDescent="0.25">
      <c r="A138" s="60" t="s">
        <v>271</v>
      </c>
      <c r="B138" s="60" t="s">
        <v>274</v>
      </c>
      <c r="C138" s="34">
        <v>4301011562</v>
      </c>
      <c r="D138" s="671">
        <v>4680115882577</v>
      </c>
      <c r="E138" s="67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3"/>
      <c r="R138" s="673"/>
      <c r="S138" s="673"/>
      <c r="T138" s="674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39</v>
      </c>
      <c r="X139" s="41">
        <f>IFERROR(X137/H137,"0")+IFERROR(X138/H138,"0")</f>
        <v>42.5</v>
      </c>
      <c r="Y139" s="41">
        <f>IFERROR(Y137/H137,"0")+IFERROR(Y138/H138,"0")</f>
        <v>42.999999999999993</v>
      </c>
      <c r="Z139" s="41">
        <f>IFERROR(IF(Z137="",0,Z137),"0")+IFERROR(IF(Z138="",0,Z138),"0")</f>
        <v>0.27993000000000001</v>
      </c>
      <c r="AA139" s="64"/>
      <c r="AB139" s="64"/>
      <c r="AC139" s="64"/>
    </row>
    <row r="140" spans="1:68" x14ac:dyDescent="0.2">
      <c r="A140" s="678"/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9"/>
      <c r="P140" s="675" t="s">
        <v>40</v>
      </c>
      <c r="Q140" s="676"/>
      <c r="R140" s="676"/>
      <c r="S140" s="676"/>
      <c r="T140" s="676"/>
      <c r="U140" s="676"/>
      <c r="V140" s="677"/>
      <c r="W140" s="40" t="s">
        <v>0</v>
      </c>
      <c r="X140" s="41">
        <f>IFERROR(SUM(X137:X138),"0")</f>
        <v>136</v>
      </c>
      <c r="Y140" s="41">
        <f>IFERROR(SUM(Y137:Y138),"0")</f>
        <v>137.6</v>
      </c>
      <c r="Z140" s="40"/>
      <c r="AA140" s="64"/>
      <c r="AB140" s="64"/>
      <c r="AC140" s="64"/>
    </row>
    <row r="141" spans="1:68" ht="14.25" hidden="1" customHeight="1" x14ac:dyDescent="0.25">
      <c r="A141" s="670" t="s">
        <v>160</v>
      </c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671">
        <v>4680115883444</v>
      </c>
      <c r="E142" s="671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7" t="s">
        <v>45</v>
      </c>
      <c r="V142" s="37" t="s">
        <v>45</v>
      </c>
      <c r="W142" s="38" t="s">
        <v>0</v>
      </c>
      <c r="X142" s="56">
        <v>63</v>
      </c>
      <c r="Y142" s="53">
        <f>IFERROR(IF(X142="",0,CEILING((X142/$H142),1)*$H142),"")</f>
        <v>64.399999999999991</v>
      </c>
      <c r="Z142" s="39">
        <f>IFERROR(IF(Y142=0,"",ROUNDUP(Y142/H142,0)*0.00651),"")</f>
        <v>0.14973</v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69.03</v>
      </c>
      <c r="BN142" s="75">
        <f>IFERROR(Y142*I142/H142,"0")</f>
        <v>70.563999999999993</v>
      </c>
      <c r="BO142" s="75">
        <f>IFERROR(1/J142*(X142/H142),"0")</f>
        <v>0.12362637362637363</v>
      </c>
      <c r="BP142" s="75">
        <f>IFERROR(1/J142*(Y142/H142),"0")</f>
        <v>0.1263736263736264</v>
      </c>
    </row>
    <row r="143" spans="1:68" ht="27" hidden="1" customHeight="1" x14ac:dyDescent="0.25">
      <c r="A143" s="60" t="s">
        <v>275</v>
      </c>
      <c r="B143" s="60" t="s">
        <v>278</v>
      </c>
      <c r="C143" s="34">
        <v>4301031235</v>
      </c>
      <c r="D143" s="671">
        <v>4680115883444</v>
      </c>
      <c r="E143" s="67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22.5</v>
      </c>
      <c r="Y144" s="41">
        <f>IFERROR(Y142/H142,"0")+IFERROR(Y143/H143,"0")</f>
        <v>23</v>
      </c>
      <c r="Z144" s="41">
        <f>IFERROR(IF(Z142="",0,Z142),"0")+IFERROR(IF(Z143="",0,Z143),"0")</f>
        <v>0.14973</v>
      </c>
      <c r="AA144" s="64"/>
      <c r="AB144" s="64"/>
      <c r="AC144" s="64"/>
    </row>
    <row r="145" spans="1:68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63</v>
      </c>
      <c r="Y145" s="41">
        <f>IFERROR(SUM(Y142:Y143),"0")</f>
        <v>64.399999999999991</v>
      </c>
      <c r="Z145" s="40"/>
      <c r="AA145" s="64"/>
      <c r="AB145" s="64"/>
      <c r="AC145" s="64"/>
    </row>
    <row r="146" spans="1:68" ht="14.25" hidden="1" customHeight="1" x14ac:dyDescent="0.25">
      <c r="A146" s="670" t="s">
        <v>78</v>
      </c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0"/>
      <c r="S146" s="670"/>
      <c r="T146" s="670"/>
      <c r="U146" s="670"/>
      <c r="V146" s="670"/>
      <c r="W146" s="670"/>
      <c r="X146" s="670"/>
      <c r="Y146" s="670"/>
      <c r="Z146" s="670"/>
      <c r="AA146" s="63"/>
      <c r="AB146" s="63"/>
      <c r="AC146" s="63"/>
    </row>
    <row r="147" spans="1:68" ht="16.5" hidden="1" customHeight="1" x14ac:dyDescent="0.25">
      <c r="A147" s="60" t="s">
        <v>279</v>
      </c>
      <c r="B147" s="60" t="s">
        <v>280</v>
      </c>
      <c r="C147" s="34">
        <v>4301051477</v>
      </c>
      <c r="D147" s="671">
        <v>4680115882584</v>
      </c>
      <c r="E147" s="671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279</v>
      </c>
      <c r="B148" s="60" t="s">
        <v>281</v>
      </c>
      <c r="C148" s="34">
        <v>4301051476</v>
      </c>
      <c r="D148" s="671">
        <v>4680115882584</v>
      </c>
      <c r="E148" s="67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idden="1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hidden="1" x14ac:dyDescent="0.2">
      <c r="A150" s="678"/>
      <c r="B150" s="678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  <c r="N150" s="678"/>
      <c r="O150" s="679"/>
      <c r="P150" s="675" t="s">
        <v>40</v>
      </c>
      <c r="Q150" s="676"/>
      <c r="R150" s="676"/>
      <c r="S150" s="676"/>
      <c r="T150" s="676"/>
      <c r="U150" s="676"/>
      <c r="V150" s="677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hidden="1" customHeight="1" x14ac:dyDescent="0.25">
      <c r="A151" s="692" t="s">
        <v>107</v>
      </c>
      <c r="B151" s="692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2"/>
      <c r="AB151" s="62"/>
      <c r="AC151" s="62"/>
    </row>
    <row r="152" spans="1:68" ht="14.25" hidden="1" customHeight="1" x14ac:dyDescent="0.25">
      <c r="A152" s="670" t="s">
        <v>109</v>
      </c>
      <c r="B152" s="670"/>
      <c r="C152" s="670"/>
      <c r="D152" s="670"/>
      <c r="E152" s="670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  <c r="AA152" s="63"/>
      <c r="AB152" s="63"/>
      <c r="AC152" s="63"/>
    </row>
    <row r="153" spans="1:68" ht="27" hidden="1" customHeight="1" x14ac:dyDescent="0.25">
      <c r="A153" s="60" t="s">
        <v>282</v>
      </c>
      <c r="B153" s="60" t="s">
        <v>283</v>
      </c>
      <c r="C153" s="34">
        <v>4301011705</v>
      </c>
      <c r="D153" s="671">
        <v>4607091384604</v>
      </c>
      <c r="E153" s="671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78"/>
      <c r="B154" s="678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  <c r="N154" s="678"/>
      <c r="O154" s="679"/>
      <c r="P154" s="675" t="s">
        <v>40</v>
      </c>
      <c r="Q154" s="676"/>
      <c r="R154" s="676"/>
      <c r="S154" s="676"/>
      <c r="T154" s="676"/>
      <c r="U154" s="676"/>
      <c r="V154" s="677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678"/>
      <c r="B155" s="678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  <c r="N155" s="678"/>
      <c r="O155" s="679"/>
      <c r="P155" s="675" t="s">
        <v>40</v>
      </c>
      <c r="Q155" s="676"/>
      <c r="R155" s="676"/>
      <c r="S155" s="676"/>
      <c r="T155" s="676"/>
      <c r="U155" s="676"/>
      <c r="V155" s="677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70" t="s">
        <v>160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3"/>
      <c r="AB156" s="63"/>
      <c r="AC156" s="63"/>
    </row>
    <row r="157" spans="1:68" ht="16.5" hidden="1" customHeight="1" x14ac:dyDescent="0.25">
      <c r="A157" s="60" t="s">
        <v>285</v>
      </c>
      <c r="B157" s="60" t="s">
        <v>286</v>
      </c>
      <c r="C157" s="34">
        <v>4301030895</v>
      </c>
      <c r="D157" s="671">
        <v>4607091387667</v>
      </c>
      <c r="E157" s="67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288</v>
      </c>
      <c r="B158" s="60" t="s">
        <v>289</v>
      </c>
      <c r="C158" s="34">
        <v>4301030961</v>
      </c>
      <c r="D158" s="671">
        <v>4607091387636</v>
      </c>
      <c r="E158" s="671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hidden="1" customHeight="1" x14ac:dyDescent="0.25">
      <c r="A159" s="60" t="s">
        <v>291</v>
      </c>
      <c r="B159" s="60" t="s">
        <v>292</v>
      </c>
      <c r="C159" s="34">
        <v>4301030963</v>
      </c>
      <c r="D159" s="671">
        <v>4607091382426</v>
      </c>
      <c r="E159" s="671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0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294</v>
      </c>
      <c r="B160" s="60" t="s">
        <v>295</v>
      </c>
      <c r="C160" s="34">
        <v>4301030962</v>
      </c>
      <c r="D160" s="671">
        <v>4607091386547</v>
      </c>
      <c r="E160" s="671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idden="1" x14ac:dyDescent="0.2">
      <c r="A161" s="678"/>
      <c r="B161" s="678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  <c r="N161" s="678"/>
      <c r="O161" s="679"/>
      <c r="P161" s="675" t="s">
        <v>40</v>
      </c>
      <c r="Q161" s="676"/>
      <c r="R161" s="676"/>
      <c r="S161" s="676"/>
      <c r="T161" s="676"/>
      <c r="U161" s="676"/>
      <c r="V161" s="677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70" t="s">
        <v>78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3"/>
      <c r="AB163" s="63"/>
      <c r="AC163" s="63"/>
    </row>
    <row r="164" spans="1:68" ht="16.5" hidden="1" customHeight="1" x14ac:dyDescent="0.25">
      <c r="A164" s="60" t="s">
        <v>296</v>
      </c>
      <c r="B164" s="60" t="s">
        <v>297</v>
      </c>
      <c r="C164" s="34">
        <v>4301051653</v>
      </c>
      <c r="D164" s="671">
        <v>4607091386264</v>
      </c>
      <c r="E164" s="671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78"/>
      <c r="B165" s="678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  <c r="N165" s="678"/>
      <c r="O165" s="679"/>
      <c r="P165" s="675" t="s">
        <v>40</v>
      </c>
      <c r="Q165" s="676"/>
      <c r="R165" s="676"/>
      <c r="S165" s="676"/>
      <c r="T165" s="676"/>
      <c r="U165" s="676"/>
      <c r="V165" s="67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78"/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9"/>
      <c r="P166" s="675" t="s">
        <v>40</v>
      </c>
      <c r="Q166" s="676"/>
      <c r="R166" s="676"/>
      <c r="S166" s="676"/>
      <c r="T166" s="676"/>
      <c r="U166" s="676"/>
      <c r="V166" s="67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16" t="s">
        <v>299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2"/>
      <c r="AB167" s="52"/>
      <c r="AC167" s="52"/>
    </row>
    <row r="168" spans="1:68" ht="16.5" hidden="1" customHeight="1" x14ac:dyDescent="0.25">
      <c r="A168" s="692" t="s">
        <v>300</v>
      </c>
      <c r="B168" s="692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2"/>
      <c r="AB168" s="62"/>
      <c r="AC168" s="62"/>
    </row>
    <row r="169" spans="1:68" ht="14.25" hidden="1" customHeight="1" x14ac:dyDescent="0.25">
      <c r="A169" s="670" t="s">
        <v>149</v>
      </c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0"/>
      <c r="S169" s="670"/>
      <c r="T169" s="670"/>
      <c r="U169" s="670"/>
      <c r="V169" s="670"/>
      <c r="W169" s="670"/>
      <c r="X169" s="670"/>
      <c r="Y169" s="670"/>
      <c r="Z169" s="670"/>
      <c r="AA169" s="63"/>
      <c r="AB169" s="63"/>
      <c r="AC169" s="63"/>
    </row>
    <row r="170" spans="1:68" ht="27" hidden="1" customHeight="1" x14ac:dyDescent="0.25">
      <c r="A170" s="60" t="s">
        <v>301</v>
      </c>
      <c r="B170" s="60" t="s">
        <v>302</v>
      </c>
      <c r="C170" s="34">
        <v>4301020323</v>
      </c>
      <c r="D170" s="671">
        <v>4680115886223</v>
      </c>
      <c r="E170" s="671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78"/>
      <c r="B171" s="678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  <c r="N171" s="678"/>
      <c r="O171" s="679"/>
      <c r="P171" s="675" t="s">
        <v>40</v>
      </c>
      <c r="Q171" s="676"/>
      <c r="R171" s="676"/>
      <c r="S171" s="676"/>
      <c r="T171" s="676"/>
      <c r="U171" s="676"/>
      <c r="V171" s="677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678"/>
      <c r="B172" s="678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  <c r="N172" s="678"/>
      <c r="O172" s="679"/>
      <c r="P172" s="675" t="s">
        <v>40</v>
      </c>
      <c r="Q172" s="676"/>
      <c r="R172" s="676"/>
      <c r="S172" s="676"/>
      <c r="T172" s="676"/>
      <c r="U172" s="676"/>
      <c r="V172" s="677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70" t="s">
        <v>160</v>
      </c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0"/>
      <c r="S173" s="670"/>
      <c r="T173" s="670"/>
      <c r="U173" s="670"/>
      <c r="V173" s="670"/>
      <c r="W173" s="670"/>
      <c r="X173" s="670"/>
      <c r="Y173" s="670"/>
      <c r="Z173" s="670"/>
      <c r="AA173" s="63"/>
      <c r="AB173" s="63"/>
      <c r="AC173" s="63"/>
    </row>
    <row r="174" spans="1:68" ht="27" hidden="1" customHeight="1" x14ac:dyDescent="0.25">
      <c r="A174" s="60" t="s">
        <v>304</v>
      </c>
      <c r="B174" s="60" t="s">
        <v>305</v>
      </c>
      <c r="C174" s="34">
        <v>4301031191</v>
      </c>
      <c r="D174" s="671">
        <v>4680115880993</v>
      </c>
      <c r="E174" s="671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4301031204</v>
      </c>
      <c r="D175" s="671">
        <v>4680115881761</v>
      </c>
      <c r="E175" s="671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1">
        <v>4680115881563</v>
      </c>
      <c r="E176" s="671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7" t="s">
        <v>45</v>
      </c>
      <c r="V176" s="37" t="s">
        <v>45</v>
      </c>
      <c r="W176" s="38" t="s">
        <v>0</v>
      </c>
      <c r="X176" s="56">
        <v>100</v>
      </c>
      <c r="Y176" s="53">
        <f t="shared" si="27"/>
        <v>100.80000000000001</v>
      </c>
      <c r="Z176" s="39">
        <f>IFERROR(IF(Y176=0,"",ROUNDUP(Y176/H176,0)*0.00902),"")</f>
        <v>0.21648000000000001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105</v>
      </c>
      <c r="BN176" s="75">
        <f t="shared" si="29"/>
        <v>105.84000000000002</v>
      </c>
      <c r="BO176" s="75">
        <f t="shared" si="30"/>
        <v>0.18037518037518038</v>
      </c>
      <c r="BP176" s="75">
        <f t="shared" si="31"/>
        <v>0.18181818181818182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4301031199</v>
      </c>
      <c r="D177" s="671">
        <v>4680115880986</v>
      </c>
      <c r="E177" s="671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hidden="1" customHeight="1" x14ac:dyDescent="0.25">
      <c r="A178" s="60" t="s">
        <v>315</v>
      </c>
      <c r="B178" s="60" t="s">
        <v>316</v>
      </c>
      <c r="C178" s="34">
        <v>4301031205</v>
      </c>
      <c r="D178" s="671">
        <v>4680115881785</v>
      </c>
      <c r="E178" s="671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4301031399</v>
      </c>
      <c r="D179" s="671">
        <v>4680115886537</v>
      </c>
      <c r="E179" s="671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99" t="s">
        <v>319</v>
      </c>
      <c r="Q179" s="673"/>
      <c r="R179" s="673"/>
      <c r="S179" s="673"/>
      <c r="T179" s="67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hidden="1" customHeight="1" x14ac:dyDescent="0.25">
      <c r="A180" s="60" t="s">
        <v>321</v>
      </c>
      <c r="B180" s="60" t="s">
        <v>322</v>
      </c>
      <c r="C180" s="34">
        <v>4301031202</v>
      </c>
      <c r="D180" s="671">
        <v>4680115881679</v>
      </c>
      <c r="E180" s="671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hidden="1" customHeight="1" x14ac:dyDescent="0.25">
      <c r="A181" s="60" t="s">
        <v>323</v>
      </c>
      <c r="B181" s="60" t="s">
        <v>324</v>
      </c>
      <c r="C181" s="34">
        <v>4301031158</v>
      </c>
      <c r="D181" s="671">
        <v>4680115880191</v>
      </c>
      <c r="E181" s="671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4301031245</v>
      </c>
      <c r="D182" s="671">
        <v>4680115883963</v>
      </c>
      <c r="E182" s="671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78"/>
      <c r="B183" s="678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  <c r="N183" s="678"/>
      <c r="O183" s="679"/>
      <c r="P183" s="675" t="s">
        <v>40</v>
      </c>
      <c r="Q183" s="676"/>
      <c r="R183" s="676"/>
      <c r="S183" s="676"/>
      <c r="T183" s="676"/>
      <c r="U183" s="676"/>
      <c r="V183" s="677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41">
        <f>IFERROR(Y174/H174,"0")+IFERROR(Y175/H175,"0")+IFERROR(Y176/H176,"0")+IFERROR(Y177/H177,"0")+IFERROR(Y178/H178,"0")+IFERROR(Y179/H179,"0")+IFERROR(Y180/H180,"0")+IFERROR(Y181/H181,"0")+IFERROR(Y182/H182,"0")</f>
        <v>24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4"/>
      <c r="AB183" s="64"/>
      <c r="AC183" s="64"/>
    </row>
    <row r="184" spans="1:68" x14ac:dyDescent="0.2">
      <c r="A184" s="678"/>
      <c r="B184" s="678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  <c r="N184" s="678"/>
      <c r="O184" s="679"/>
      <c r="P184" s="675" t="s">
        <v>40</v>
      </c>
      <c r="Q184" s="676"/>
      <c r="R184" s="676"/>
      <c r="S184" s="676"/>
      <c r="T184" s="676"/>
      <c r="U184" s="676"/>
      <c r="V184" s="677"/>
      <c r="W184" s="40" t="s">
        <v>0</v>
      </c>
      <c r="X184" s="41">
        <f>IFERROR(SUM(X174:X182),"0")</f>
        <v>100</v>
      </c>
      <c r="Y184" s="41">
        <f>IFERROR(SUM(Y174:Y182),"0")</f>
        <v>100.80000000000001</v>
      </c>
      <c r="Z184" s="40"/>
      <c r="AA184" s="64"/>
      <c r="AB184" s="64"/>
      <c r="AC184" s="64"/>
    </row>
    <row r="185" spans="1:68" ht="14.25" hidden="1" customHeight="1" x14ac:dyDescent="0.25">
      <c r="A185" s="670" t="s">
        <v>101</v>
      </c>
      <c r="B185" s="670"/>
      <c r="C185" s="670"/>
      <c r="D185" s="670"/>
      <c r="E185" s="670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  <c r="AA185" s="63"/>
      <c r="AB185" s="63"/>
      <c r="AC185" s="63"/>
    </row>
    <row r="186" spans="1:68" ht="27" hidden="1" customHeight="1" x14ac:dyDescent="0.25">
      <c r="A186" s="60" t="s">
        <v>328</v>
      </c>
      <c r="B186" s="60" t="s">
        <v>329</v>
      </c>
      <c r="C186" s="34">
        <v>4301032053</v>
      </c>
      <c r="D186" s="671">
        <v>4680115886780</v>
      </c>
      <c r="E186" s="671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91" t="s">
        <v>330</v>
      </c>
      <c r="Q186" s="673"/>
      <c r="R186" s="673"/>
      <c r="S186" s="673"/>
      <c r="T186" s="674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8"/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9"/>
      <c r="P187" s="675" t="s">
        <v>40</v>
      </c>
      <c r="Q187" s="676"/>
      <c r="R187" s="676"/>
      <c r="S187" s="676"/>
      <c r="T187" s="676"/>
      <c r="U187" s="676"/>
      <c r="V187" s="677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678"/>
      <c r="B188" s="678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  <c r="N188" s="678"/>
      <c r="O188" s="679"/>
      <c r="P188" s="675" t="s">
        <v>40</v>
      </c>
      <c r="Q188" s="676"/>
      <c r="R188" s="676"/>
      <c r="S188" s="676"/>
      <c r="T188" s="676"/>
      <c r="U188" s="676"/>
      <c r="V188" s="677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692" t="s">
        <v>335</v>
      </c>
      <c r="B189" s="692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2"/>
      <c r="AB189" s="62"/>
      <c r="AC189" s="62"/>
    </row>
    <row r="190" spans="1:68" ht="14.25" hidden="1" customHeight="1" x14ac:dyDescent="0.25">
      <c r="A190" s="670" t="s">
        <v>109</v>
      </c>
      <c r="B190" s="670"/>
      <c r="C190" s="670"/>
      <c r="D190" s="670"/>
      <c r="E190" s="670"/>
      <c r="F190" s="670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670"/>
      <c r="T190" s="670"/>
      <c r="U190" s="670"/>
      <c r="V190" s="670"/>
      <c r="W190" s="670"/>
      <c r="X190" s="670"/>
      <c r="Y190" s="670"/>
      <c r="Z190" s="670"/>
      <c r="AA190" s="63"/>
      <c r="AB190" s="63"/>
      <c r="AC190" s="63"/>
    </row>
    <row r="191" spans="1:68" ht="16.5" hidden="1" customHeight="1" x14ac:dyDescent="0.25">
      <c r="A191" s="60" t="s">
        <v>336</v>
      </c>
      <c r="B191" s="60" t="s">
        <v>337</v>
      </c>
      <c r="C191" s="34">
        <v>4301011450</v>
      </c>
      <c r="D191" s="671">
        <v>4680115881402</v>
      </c>
      <c r="E191" s="671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671">
        <v>4680115881396</v>
      </c>
      <c r="E192" s="671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7" t="s">
        <v>45</v>
      </c>
      <c r="V192" s="37" t="s">
        <v>45</v>
      </c>
      <c r="W192" s="38" t="s">
        <v>0</v>
      </c>
      <c r="X192" s="56">
        <v>31</v>
      </c>
      <c r="Y192" s="53">
        <f>IFERROR(IF(X192="",0,CEILING((X192/$H192),1)*$H192),"")</f>
        <v>32.400000000000006</v>
      </c>
      <c r="Z192" s="39">
        <f>IFERROR(IF(Y192=0,"",ROUNDUP(Y192/H192,0)*0.00651),"")</f>
        <v>7.8119999999999995E-2</v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33.066666666666663</v>
      </c>
      <c r="BN192" s="75">
        <f>IFERROR(Y192*I192/H192,"0")</f>
        <v>34.56</v>
      </c>
      <c r="BO192" s="75">
        <f>IFERROR(1/J192*(X192/H192),"0")</f>
        <v>6.3085063085063092E-2</v>
      </c>
      <c r="BP192" s="75">
        <f>IFERROR(1/J192*(Y192/H192),"0")</f>
        <v>6.593406593406595E-2</v>
      </c>
    </row>
    <row r="193" spans="1:68" x14ac:dyDescent="0.2">
      <c r="A193" s="678"/>
      <c r="B193" s="678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  <c r="N193" s="678"/>
      <c r="O193" s="679"/>
      <c r="P193" s="675" t="s">
        <v>40</v>
      </c>
      <c r="Q193" s="676"/>
      <c r="R193" s="676"/>
      <c r="S193" s="676"/>
      <c r="T193" s="676"/>
      <c r="U193" s="676"/>
      <c r="V193" s="677"/>
      <c r="W193" s="40" t="s">
        <v>39</v>
      </c>
      <c r="X193" s="41">
        <f>IFERROR(X191/H191,"0")+IFERROR(X192/H192,"0")</f>
        <v>11.481481481481481</v>
      </c>
      <c r="Y193" s="41">
        <f>IFERROR(Y191/H191,"0")+IFERROR(Y192/H192,"0")</f>
        <v>12.000000000000002</v>
      </c>
      <c r="Z193" s="41">
        <f>IFERROR(IF(Z191="",0,Z191),"0")+IFERROR(IF(Z192="",0,Z192),"0")</f>
        <v>7.8119999999999995E-2</v>
      </c>
      <c r="AA193" s="64"/>
      <c r="AB193" s="64"/>
      <c r="AC193" s="64"/>
    </row>
    <row r="194" spans="1:68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0</v>
      </c>
      <c r="X194" s="41">
        <f>IFERROR(SUM(X191:X192),"0")</f>
        <v>31</v>
      </c>
      <c r="Y194" s="41">
        <f>IFERROR(SUM(Y191:Y192),"0")</f>
        <v>32.400000000000006</v>
      </c>
      <c r="Z194" s="40"/>
      <c r="AA194" s="64"/>
      <c r="AB194" s="64"/>
      <c r="AC194" s="64"/>
    </row>
    <row r="195" spans="1:68" ht="14.25" hidden="1" customHeight="1" x14ac:dyDescent="0.25">
      <c r="A195" s="670" t="s">
        <v>149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3"/>
      <c r="AB195" s="63"/>
      <c r="AC195" s="63"/>
    </row>
    <row r="196" spans="1:68" ht="16.5" hidden="1" customHeight="1" x14ac:dyDescent="0.25">
      <c r="A196" s="60" t="s">
        <v>341</v>
      </c>
      <c r="B196" s="60" t="s">
        <v>342</v>
      </c>
      <c r="C196" s="34">
        <v>4301020262</v>
      </c>
      <c r="D196" s="671">
        <v>4680115882935</v>
      </c>
      <c r="E196" s="671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hidden="1" customHeight="1" x14ac:dyDescent="0.25">
      <c r="A197" s="60" t="s">
        <v>344</v>
      </c>
      <c r="B197" s="60" t="s">
        <v>345</v>
      </c>
      <c r="C197" s="34">
        <v>4301020220</v>
      </c>
      <c r="D197" s="671">
        <v>4680115880764</v>
      </c>
      <c r="E197" s="671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78"/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9"/>
      <c r="P198" s="675" t="s">
        <v>40</v>
      </c>
      <c r="Q198" s="676"/>
      <c r="R198" s="676"/>
      <c r="S198" s="676"/>
      <c r="T198" s="676"/>
      <c r="U198" s="676"/>
      <c r="V198" s="67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78"/>
      <c r="B199" s="678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  <c r="N199" s="678"/>
      <c r="O199" s="679"/>
      <c r="P199" s="675" t="s">
        <v>40</v>
      </c>
      <c r="Q199" s="676"/>
      <c r="R199" s="676"/>
      <c r="S199" s="676"/>
      <c r="T199" s="676"/>
      <c r="U199" s="676"/>
      <c r="V199" s="67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70" t="s">
        <v>160</v>
      </c>
      <c r="B200" s="670"/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671">
        <v>4680115882683</v>
      </c>
      <c r="E201" s="671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7" t="s">
        <v>45</v>
      </c>
      <c r="V201" s="37" t="s">
        <v>45</v>
      </c>
      <c r="W201" s="38" t="s">
        <v>0</v>
      </c>
      <c r="X201" s="56">
        <v>730</v>
      </c>
      <c r="Y201" s="53">
        <f t="shared" ref="Y201:Y208" si="32">IFERROR(IF(X201="",0,CEILING((X201/$H201),1)*$H201),"")</f>
        <v>734.40000000000009</v>
      </c>
      <c r="Z201" s="39">
        <f>IFERROR(IF(Y201=0,"",ROUNDUP(Y201/H201,0)*0.00902),"")</f>
        <v>1.22672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758.38888888888891</v>
      </c>
      <c r="BN201" s="75">
        <f t="shared" ref="BN201:BN208" si="34">IFERROR(Y201*I201/H201,"0")</f>
        <v>762.96</v>
      </c>
      <c r="BO201" s="75">
        <f t="shared" ref="BO201:BO208" si="35">IFERROR(1/J201*(X201/H201),"0")</f>
        <v>1.0241301907968576</v>
      </c>
      <c r="BP201" s="75">
        <f t="shared" ref="BP201:BP208" si="36">IFERROR(1/J201*(Y201/H201),"0")</f>
        <v>1.0303030303030303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671">
        <v>4680115882690</v>
      </c>
      <c r="E202" s="671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7" t="s">
        <v>45</v>
      </c>
      <c r="V202" s="37" t="s">
        <v>45</v>
      </c>
      <c r="W202" s="38" t="s">
        <v>0</v>
      </c>
      <c r="X202" s="56">
        <v>550</v>
      </c>
      <c r="Y202" s="53">
        <f t="shared" si="32"/>
        <v>550.80000000000007</v>
      </c>
      <c r="Z202" s="39">
        <f>IFERROR(IF(Y202=0,"",ROUNDUP(Y202/H202,0)*0.00902),"")</f>
        <v>0.92003999999999997</v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571.3888888888888</v>
      </c>
      <c r="BN202" s="75">
        <f t="shared" si="34"/>
        <v>572.22000000000014</v>
      </c>
      <c r="BO202" s="75">
        <f t="shared" si="35"/>
        <v>0.77160493827160492</v>
      </c>
      <c r="BP202" s="75">
        <f t="shared" si="36"/>
        <v>0.77272727272727271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671">
        <v>4680115882669</v>
      </c>
      <c r="E203" s="671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8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7" t="s">
        <v>45</v>
      </c>
      <c r="V203" s="37" t="s">
        <v>45</v>
      </c>
      <c r="W203" s="38" t="s">
        <v>0</v>
      </c>
      <c r="X203" s="56">
        <v>730</v>
      </c>
      <c r="Y203" s="53">
        <f t="shared" si="32"/>
        <v>734.40000000000009</v>
      </c>
      <c r="Z203" s="39">
        <f>IFERROR(IF(Y203=0,"",ROUNDUP(Y203/H203,0)*0.00902),"")</f>
        <v>1.22672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758.38888888888891</v>
      </c>
      <c r="BN203" s="75">
        <f t="shared" si="34"/>
        <v>762.96</v>
      </c>
      <c r="BO203" s="75">
        <f t="shared" si="35"/>
        <v>1.0241301907968576</v>
      </c>
      <c r="BP203" s="75">
        <f t="shared" si="36"/>
        <v>1.0303030303030303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671">
        <v>4680115882676</v>
      </c>
      <c r="E204" s="67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7" t="s">
        <v>45</v>
      </c>
      <c r="V204" s="37" t="s">
        <v>45</v>
      </c>
      <c r="W204" s="38" t="s">
        <v>0</v>
      </c>
      <c r="X204" s="56">
        <v>800</v>
      </c>
      <c r="Y204" s="53">
        <f t="shared" si="32"/>
        <v>804.6</v>
      </c>
      <c r="Z204" s="39">
        <f>IFERROR(IF(Y204=0,"",ROUNDUP(Y204/H204,0)*0.00902),"")</f>
        <v>1.34398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831.11111111111109</v>
      </c>
      <c r="BN204" s="75">
        <f t="shared" si="34"/>
        <v>835.89</v>
      </c>
      <c r="BO204" s="75">
        <f t="shared" si="35"/>
        <v>1.122334455667789</v>
      </c>
      <c r="BP204" s="75">
        <f t="shared" si="36"/>
        <v>1.1287878787878789</v>
      </c>
    </row>
    <row r="205" spans="1:68" ht="27" hidden="1" customHeight="1" x14ac:dyDescent="0.25">
      <c r="A205" s="60" t="s">
        <v>358</v>
      </c>
      <c r="B205" s="60" t="s">
        <v>359</v>
      </c>
      <c r="C205" s="34">
        <v>4301031223</v>
      </c>
      <c r="D205" s="671">
        <v>4680115884014</v>
      </c>
      <c r="E205" s="671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7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hidden="1" customHeight="1" x14ac:dyDescent="0.25">
      <c r="A206" s="60" t="s">
        <v>360</v>
      </c>
      <c r="B206" s="60" t="s">
        <v>361</v>
      </c>
      <c r="C206" s="34">
        <v>4301031222</v>
      </c>
      <c r="D206" s="671">
        <v>4680115884007</v>
      </c>
      <c r="E206" s="671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hidden="1" customHeight="1" x14ac:dyDescent="0.25">
      <c r="A207" s="60" t="s">
        <v>362</v>
      </c>
      <c r="B207" s="60" t="s">
        <v>363</v>
      </c>
      <c r="C207" s="34">
        <v>4301031229</v>
      </c>
      <c r="D207" s="671">
        <v>4680115884038</v>
      </c>
      <c r="E207" s="671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hidden="1" customHeight="1" x14ac:dyDescent="0.25">
      <c r="A208" s="60" t="s">
        <v>364</v>
      </c>
      <c r="B208" s="60" t="s">
        <v>365</v>
      </c>
      <c r="C208" s="34">
        <v>4301031225</v>
      </c>
      <c r="D208" s="671">
        <v>4680115884021</v>
      </c>
      <c r="E208" s="67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78"/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9"/>
      <c r="P209" s="675" t="s">
        <v>40</v>
      </c>
      <c r="Q209" s="676"/>
      <c r="R209" s="676"/>
      <c r="S209" s="676"/>
      <c r="T209" s="676"/>
      <c r="U209" s="676"/>
      <c r="V209" s="677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520.37037037037044</v>
      </c>
      <c r="Y209" s="41">
        <f>IFERROR(Y201/H201,"0")+IFERROR(Y202/H202,"0")+IFERROR(Y203/H203,"0")+IFERROR(Y204/H204,"0")+IFERROR(Y205/H205,"0")+IFERROR(Y206/H206,"0")+IFERROR(Y207/H207,"0")+IFERROR(Y208/H208,"0")</f>
        <v>523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4.71746</v>
      </c>
      <c r="AA209" s="64"/>
      <c r="AB209" s="64"/>
      <c r="AC209" s="64"/>
    </row>
    <row r="210" spans="1:68" x14ac:dyDescent="0.2">
      <c r="A210" s="678"/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9"/>
      <c r="P210" s="675" t="s">
        <v>40</v>
      </c>
      <c r="Q210" s="676"/>
      <c r="R210" s="676"/>
      <c r="S210" s="676"/>
      <c r="T210" s="676"/>
      <c r="U210" s="676"/>
      <c r="V210" s="677"/>
      <c r="W210" s="40" t="s">
        <v>0</v>
      </c>
      <c r="X210" s="41">
        <f>IFERROR(SUM(X201:X208),"0")</f>
        <v>2810</v>
      </c>
      <c r="Y210" s="41">
        <f>IFERROR(SUM(Y201:Y208),"0")</f>
        <v>2824.2000000000003</v>
      </c>
      <c r="Z210" s="40"/>
      <c r="AA210" s="64"/>
      <c r="AB210" s="64"/>
      <c r="AC210" s="64"/>
    </row>
    <row r="211" spans="1:68" ht="14.25" hidden="1" customHeight="1" x14ac:dyDescent="0.25">
      <c r="A211" s="670" t="s">
        <v>78</v>
      </c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670"/>
      <c r="T211" s="670"/>
      <c r="U211" s="670"/>
      <c r="V211" s="670"/>
      <c r="W211" s="670"/>
      <c r="X211" s="670"/>
      <c r="Y211" s="670"/>
      <c r="Z211" s="670"/>
      <c r="AA211" s="63"/>
      <c r="AB211" s="63"/>
      <c r="AC211" s="63"/>
    </row>
    <row r="212" spans="1:68" ht="27" hidden="1" customHeight="1" x14ac:dyDescent="0.25">
      <c r="A212" s="60" t="s">
        <v>366</v>
      </c>
      <c r="B212" s="60" t="s">
        <v>367</v>
      </c>
      <c r="C212" s="34">
        <v>4301051408</v>
      </c>
      <c r="D212" s="671">
        <v>4680115881594</v>
      </c>
      <c r="E212" s="671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hidden="1" customHeight="1" x14ac:dyDescent="0.25">
      <c r="A213" s="60" t="s">
        <v>369</v>
      </c>
      <c r="B213" s="60" t="s">
        <v>370</v>
      </c>
      <c r="C213" s="34">
        <v>4301051411</v>
      </c>
      <c r="D213" s="671">
        <v>4680115881617</v>
      </c>
      <c r="E213" s="671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671">
        <v>4680115880573</v>
      </c>
      <c r="E214" s="671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hidden="1" customHeight="1" x14ac:dyDescent="0.25">
      <c r="A215" s="60" t="s">
        <v>375</v>
      </c>
      <c r="B215" s="60" t="s">
        <v>376</v>
      </c>
      <c r="C215" s="34">
        <v>4301051407</v>
      </c>
      <c r="D215" s="671">
        <v>4680115882195</v>
      </c>
      <c r="E215" s="671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hidden="1" customHeight="1" x14ac:dyDescent="0.25">
      <c r="A216" s="60" t="s">
        <v>377</v>
      </c>
      <c r="B216" s="60" t="s">
        <v>378</v>
      </c>
      <c r="C216" s="34">
        <v>4301051752</v>
      </c>
      <c r="D216" s="671">
        <v>4680115882607</v>
      </c>
      <c r="E216" s="671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671">
        <v>4680115880092</v>
      </c>
      <c r="E217" s="671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7" t="s">
        <v>45</v>
      </c>
      <c r="V217" s="37" t="s">
        <v>45</v>
      </c>
      <c r="W217" s="38" t="s">
        <v>0</v>
      </c>
      <c r="X217" s="56">
        <v>72</v>
      </c>
      <c r="Y217" s="53">
        <f t="shared" si="37"/>
        <v>72</v>
      </c>
      <c r="Z217" s="39">
        <f t="shared" si="42"/>
        <v>0.1953</v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79.560000000000016</v>
      </c>
      <c r="BN217" s="75">
        <f t="shared" si="39"/>
        <v>79.560000000000016</v>
      </c>
      <c r="BO217" s="75">
        <f t="shared" si="40"/>
        <v>0.16483516483516486</v>
      </c>
      <c r="BP217" s="75">
        <f t="shared" si="41"/>
        <v>0.16483516483516486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671">
        <v>4680115880221</v>
      </c>
      <c r="E218" s="671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7" t="s">
        <v>45</v>
      </c>
      <c r="V218" s="37" t="s">
        <v>45</v>
      </c>
      <c r="W218" s="38" t="s">
        <v>0</v>
      </c>
      <c r="X218" s="56">
        <v>20</v>
      </c>
      <c r="Y218" s="53">
        <f t="shared" si="37"/>
        <v>21.599999999999998</v>
      </c>
      <c r="Z218" s="39">
        <f t="shared" si="42"/>
        <v>5.8590000000000003E-2</v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22.100000000000005</v>
      </c>
      <c r="BN218" s="75">
        <f t="shared" si="39"/>
        <v>23.868000000000002</v>
      </c>
      <c r="BO218" s="75">
        <f t="shared" si="40"/>
        <v>4.5787545787545791E-2</v>
      </c>
      <c r="BP218" s="75">
        <f t="shared" si="41"/>
        <v>4.9450549450549455E-2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671">
        <v>4680115880504</v>
      </c>
      <c r="E219" s="67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7" t="s">
        <v>45</v>
      </c>
      <c r="V219" s="37" t="s">
        <v>45</v>
      </c>
      <c r="W219" s="38" t="s">
        <v>0</v>
      </c>
      <c r="X219" s="56">
        <v>140</v>
      </c>
      <c r="Y219" s="53">
        <f t="shared" si="37"/>
        <v>141.6</v>
      </c>
      <c r="Z219" s="39">
        <f t="shared" si="42"/>
        <v>0.38408999999999999</v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154.70000000000002</v>
      </c>
      <c r="BN219" s="75">
        <f t="shared" si="39"/>
        <v>156.46800000000002</v>
      </c>
      <c r="BO219" s="75">
        <f t="shared" si="40"/>
        <v>0.32051282051282054</v>
      </c>
      <c r="BP219" s="75">
        <f t="shared" si="41"/>
        <v>0.32417582417582419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671">
        <v>4680115882164</v>
      </c>
      <c r="E220" s="671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7" t="s">
        <v>45</v>
      </c>
      <c r="V220" s="37" t="s">
        <v>45</v>
      </c>
      <c r="W220" s="38" t="s">
        <v>0</v>
      </c>
      <c r="X220" s="56">
        <v>80</v>
      </c>
      <c r="Y220" s="53">
        <f t="shared" si="37"/>
        <v>81.599999999999994</v>
      </c>
      <c r="Z220" s="39">
        <f t="shared" si="42"/>
        <v>0.22134000000000001</v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88.6</v>
      </c>
      <c r="BN220" s="75">
        <f t="shared" si="39"/>
        <v>90.371999999999986</v>
      </c>
      <c r="BO220" s="75">
        <f t="shared" si="40"/>
        <v>0.18315018315018317</v>
      </c>
      <c r="BP220" s="75">
        <f t="shared" si="41"/>
        <v>0.18681318681318682</v>
      </c>
    </row>
    <row r="221" spans="1:68" x14ac:dyDescent="0.2">
      <c r="A221" s="678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9"/>
      <c r="P221" s="675" t="s">
        <v>40</v>
      </c>
      <c r="Q221" s="676"/>
      <c r="R221" s="676"/>
      <c r="S221" s="676"/>
      <c r="T221" s="676"/>
      <c r="U221" s="676"/>
      <c r="V221" s="677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175.97701149425288</v>
      </c>
      <c r="Y221" s="41">
        <f>IFERROR(Y212/H212,"0")+IFERROR(Y213/H213,"0")+IFERROR(Y214/H214,"0")+IFERROR(Y215/H215,"0")+IFERROR(Y216/H216,"0")+IFERROR(Y217/H217,"0")+IFERROR(Y218/H218,"0")+IFERROR(Y219/H219,"0")+IFERROR(Y220/H220,"0")</f>
        <v>178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1.7323999999999999</v>
      </c>
      <c r="AA221" s="64"/>
      <c r="AB221" s="64"/>
      <c r="AC221" s="64"/>
    </row>
    <row r="222" spans="1:68" x14ac:dyDescent="0.2">
      <c r="A222" s="678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9"/>
      <c r="P222" s="675" t="s">
        <v>40</v>
      </c>
      <c r="Q222" s="676"/>
      <c r="R222" s="676"/>
      <c r="S222" s="676"/>
      <c r="T222" s="676"/>
      <c r="U222" s="676"/>
      <c r="V222" s="677"/>
      <c r="W222" s="40" t="s">
        <v>0</v>
      </c>
      <c r="X222" s="41">
        <f>IFERROR(SUM(X212:X220),"0")</f>
        <v>712</v>
      </c>
      <c r="Y222" s="41">
        <f>IFERROR(SUM(Y212:Y220),"0")</f>
        <v>717</v>
      </c>
      <c r="Z222" s="40"/>
      <c r="AA222" s="64"/>
      <c r="AB222" s="64"/>
      <c r="AC222" s="64"/>
    </row>
    <row r="223" spans="1:68" ht="14.25" hidden="1" customHeight="1" x14ac:dyDescent="0.25">
      <c r="A223" s="670" t="s">
        <v>186</v>
      </c>
      <c r="B223" s="670"/>
      <c r="C223" s="670"/>
      <c r="D223" s="670"/>
      <c r="E223" s="670"/>
      <c r="F223" s="670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0"/>
      <c r="S223" s="670"/>
      <c r="T223" s="670"/>
      <c r="U223" s="670"/>
      <c r="V223" s="670"/>
      <c r="W223" s="670"/>
      <c r="X223" s="670"/>
      <c r="Y223" s="670"/>
      <c r="Z223" s="670"/>
      <c r="AA223" s="63"/>
      <c r="AB223" s="63"/>
      <c r="AC223" s="63"/>
    </row>
    <row r="224" spans="1:68" ht="27" hidden="1" customHeight="1" x14ac:dyDescent="0.25">
      <c r="A224" s="60" t="s">
        <v>390</v>
      </c>
      <c r="B224" s="60" t="s">
        <v>391</v>
      </c>
      <c r="C224" s="34">
        <v>4301060463</v>
      </c>
      <c r="D224" s="671">
        <v>4680115880818</v>
      </c>
      <c r="E224" s="671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671">
        <v>4680115880801</v>
      </c>
      <c r="E225" s="671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7" t="s">
        <v>45</v>
      </c>
      <c r="V225" s="37" t="s">
        <v>45</v>
      </c>
      <c r="W225" s="38" t="s">
        <v>0</v>
      </c>
      <c r="X225" s="56">
        <v>40</v>
      </c>
      <c r="Y225" s="53">
        <f>IFERROR(IF(X225="",0,CEILING((X225/$H225),1)*$H225),"")</f>
        <v>40.799999999999997</v>
      </c>
      <c r="Z225" s="39">
        <f>IFERROR(IF(Y225=0,"",ROUNDUP(Y225/H225,0)*0.00651),"")</f>
        <v>0.11067</v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44.20000000000001</v>
      </c>
      <c r="BN225" s="75">
        <f>IFERROR(Y225*I225/H225,"0")</f>
        <v>45.084000000000003</v>
      </c>
      <c r="BO225" s="75">
        <f>IFERROR(1/J225*(X225/H225),"0")</f>
        <v>9.1575091575091583E-2</v>
      </c>
      <c r="BP225" s="75">
        <f>IFERROR(1/J225*(Y225/H225),"0")</f>
        <v>9.3406593406593408E-2</v>
      </c>
    </row>
    <row r="226" spans="1:68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678"/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9"/>
      <c r="P227" s="675" t="s">
        <v>40</v>
      </c>
      <c r="Q227" s="676"/>
      <c r="R227" s="676"/>
      <c r="S227" s="676"/>
      <c r="T227" s="676"/>
      <c r="U227" s="676"/>
      <c r="V227" s="677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hidden="1" customHeight="1" x14ac:dyDescent="0.25">
      <c r="A228" s="692" t="s">
        <v>396</v>
      </c>
      <c r="B228" s="692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2"/>
      <c r="AB228" s="62"/>
      <c r="AC228" s="62"/>
    </row>
    <row r="229" spans="1:68" ht="14.25" hidden="1" customHeight="1" x14ac:dyDescent="0.25">
      <c r="A229" s="670" t="s">
        <v>109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3"/>
      <c r="AB229" s="63"/>
      <c r="AC229" s="63"/>
    </row>
    <row r="230" spans="1:68" ht="27" hidden="1" customHeight="1" x14ac:dyDescent="0.25">
      <c r="A230" s="60" t="s">
        <v>397</v>
      </c>
      <c r="B230" s="60" t="s">
        <v>398</v>
      </c>
      <c r="C230" s="34">
        <v>4301011826</v>
      </c>
      <c r="D230" s="671">
        <v>4680115884137</v>
      </c>
      <c r="E230" s="671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hidden="1" customHeight="1" x14ac:dyDescent="0.25">
      <c r="A231" s="60" t="s">
        <v>397</v>
      </c>
      <c r="B231" s="60" t="s">
        <v>400</v>
      </c>
      <c r="C231" s="34">
        <v>4301011942</v>
      </c>
      <c r="D231" s="671">
        <v>4680115884137</v>
      </c>
      <c r="E231" s="671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4301011724</v>
      </c>
      <c r="D232" s="671">
        <v>4680115884236</v>
      </c>
      <c r="E232" s="671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hidden="1" customHeight="1" x14ac:dyDescent="0.25">
      <c r="A233" s="60" t="s">
        <v>406</v>
      </c>
      <c r="B233" s="60" t="s">
        <v>407</v>
      </c>
      <c r="C233" s="34">
        <v>4301011721</v>
      </c>
      <c r="D233" s="671">
        <v>4680115884175</v>
      </c>
      <c r="E233" s="671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hidden="1" customHeight="1" x14ac:dyDescent="0.25">
      <c r="A234" s="60" t="s">
        <v>406</v>
      </c>
      <c r="B234" s="60" t="s">
        <v>409</v>
      </c>
      <c r="C234" s="34">
        <v>4301011941</v>
      </c>
      <c r="D234" s="671">
        <v>4680115884175</v>
      </c>
      <c r="E234" s="671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5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4301011824</v>
      </c>
      <c r="D235" s="671">
        <v>4680115884144</v>
      </c>
      <c r="E235" s="671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hidden="1" customHeight="1" x14ac:dyDescent="0.25">
      <c r="A236" s="60" t="s">
        <v>412</v>
      </c>
      <c r="B236" s="60" t="s">
        <v>413</v>
      </c>
      <c r="C236" s="34">
        <v>4301011726</v>
      </c>
      <c r="D236" s="671">
        <v>4680115884182</v>
      </c>
      <c r="E236" s="671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hidden="1" customHeight="1" x14ac:dyDescent="0.25">
      <c r="A237" s="60" t="s">
        <v>414</v>
      </c>
      <c r="B237" s="60" t="s">
        <v>415</v>
      </c>
      <c r="C237" s="34">
        <v>4301011722</v>
      </c>
      <c r="D237" s="671">
        <v>4680115884205</v>
      </c>
      <c r="E237" s="671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hidden="1" x14ac:dyDescent="0.2">
      <c r="A238" s="678"/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9"/>
      <c r="P238" s="675" t="s">
        <v>40</v>
      </c>
      <c r="Q238" s="676"/>
      <c r="R238" s="676"/>
      <c r="S238" s="676"/>
      <c r="T238" s="676"/>
      <c r="U238" s="676"/>
      <c r="V238" s="677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678"/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9"/>
      <c r="P239" s="675" t="s">
        <v>40</v>
      </c>
      <c r="Q239" s="676"/>
      <c r="R239" s="676"/>
      <c r="S239" s="676"/>
      <c r="T239" s="676"/>
      <c r="U239" s="676"/>
      <c r="V239" s="677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670" t="s">
        <v>149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3"/>
      <c r="AB240" s="63"/>
      <c r="AC240" s="63"/>
    </row>
    <row r="241" spans="1:68" ht="27" hidden="1" customHeight="1" x14ac:dyDescent="0.25">
      <c r="A241" s="60" t="s">
        <v>416</v>
      </c>
      <c r="B241" s="60" t="s">
        <v>417</v>
      </c>
      <c r="C241" s="34">
        <v>4301020377</v>
      </c>
      <c r="D241" s="671">
        <v>4680115885981</v>
      </c>
      <c r="E241" s="671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3" t="s">
        <v>418</v>
      </c>
      <c r="Q241" s="673"/>
      <c r="R241" s="673"/>
      <c r="S241" s="673"/>
      <c r="T241" s="674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416</v>
      </c>
      <c r="B242" s="60" t="s">
        <v>420</v>
      </c>
      <c r="C242" s="34">
        <v>4301020340</v>
      </c>
      <c r="D242" s="671">
        <v>4680115885721</v>
      </c>
      <c r="E242" s="671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8"/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9"/>
      <c r="P243" s="675" t="s">
        <v>40</v>
      </c>
      <c r="Q243" s="676"/>
      <c r="R243" s="676"/>
      <c r="S243" s="676"/>
      <c r="T243" s="676"/>
      <c r="U243" s="676"/>
      <c r="V243" s="677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8"/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9"/>
      <c r="P244" s="675" t="s">
        <v>40</v>
      </c>
      <c r="Q244" s="676"/>
      <c r="R244" s="676"/>
      <c r="S244" s="676"/>
      <c r="T244" s="676"/>
      <c r="U244" s="676"/>
      <c r="V244" s="677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70" t="s">
        <v>421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3"/>
      <c r="AB245" s="63"/>
      <c r="AC245" s="63"/>
    </row>
    <row r="246" spans="1:68" ht="27" hidden="1" customHeight="1" x14ac:dyDescent="0.25">
      <c r="A246" s="60" t="s">
        <v>422</v>
      </c>
      <c r="B246" s="60" t="s">
        <v>423</v>
      </c>
      <c r="C246" s="34">
        <v>4301040361</v>
      </c>
      <c r="D246" s="671">
        <v>4680115886803</v>
      </c>
      <c r="E246" s="671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55" t="s">
        <v>424</v>
      </c>
      <c r="Q246" s="673"/>
      <c r="R246" s="673"/>
      <c r="S246" s="673"/>
      <c r="T246" s="674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78"/>
      <c r="B247" s="678"/>
      <c r="C247" s="678"/>
      <c r="D247" s="678"/>
      <c r="E247" s="678"/>
      <c r="F247" s="678"/>
      <c r="G247" s="678"/>
      <c r="H247" s="678"/>
      <c r="I247" s="678"/>
      <c r="J247" s="678"/>
      <c r="K247" s="678"/>
      <c r="L247" s="678"/>
      <c r="M247" s="678"/>
      <c r="N247" s="678"/>
      <c r="O247" s="679"/>
      <c r="P247" s="675" t="s">
        <v>40</v>
      </c>
      <c r="Q247" s="676"/>
      <c r="R247" s="676"/>
      <c r="S247" s="676"/>
      <c r="T247" s="676"/>
      <c r="U247" s="676"/>
      <c r="V247" s="677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678"/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9"/>
      <c r="P248" s="675" t="s">
        <v>40</v>
      </c>
      <c r="Q248" s="676"/>
      <c r="R248" s="676"/>
      <c r="S248" s="676"/>
      <c r="T248" s="676"/>
      <c r="U248" s="676"/>
      <c r="V248" s="677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0" t="s">
        <v>426</v>
      </c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0"/>
      <c r="S249" s="670"/>
      <c r="T249" s="670"/>
      <c r="U249" s="670"/>
      <c r="V249" s="670"/>
      <c r="W249" s="670"/>
      <c r="X249" s="670"/>
      <c r="Y249" s="670"/>
      <c r="Z249" s="670"/>
      <c r="AA249" s="63"/>
      <c r="AB249" s="63"/>
      <c r="AC249" s="63"/>
    </row>
    <row r="250" spans="1:68" ht="27" hidden="1" customHeight="1" x14ac:dyDescent="0.25">
      <c r="A250" s="60" t="s">
        <v>427</v>
      </c>
      <c r="B250" s="60" t="s">
        <v>428</v>
      </c>
      <c r="C250" s="34">
        <v>4301041003</v>
      </c>
      <c r="D250" s="671">
        <v>4680115886681</v>
      </c>
      <c r="E250" s="671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56" t="s">
        <v>429</v>
      </c>
      <c r="Q250" s="673"/>
      <c r="R250" s="673"/>
      <c r="S250" s="673"/>
      <c r="T250" s="674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92" t="s">
        <v>431</v>
      </c>
      <c r="B253" s="692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2"/>
      <c r="AB253" s="62"/>
      <c r="AC253" s="62"/>
    </row>
    <row r="254" spans="1:68" ht="14.25" hidden="1" customHeight="1" x14ac:dyDescent="0.25">
      <c r="A254" s="670" t="s">
        <v>109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3"/>
      <c r="AB254" s="63"/>
      <c r="AC254" s="63"/>
    </row>
    <row r="255" spans="1:68" ht="27" hidden="1" customHeight="1" x14ac:dyDescent="0.25">
      <c r="A255" s="60" t="s">
        <v>432</v>
      </c>
      <c r="B255" s="60" t="s">
        <v>433</v>
      </c>
      <c r="C255" s="34">
        <v>4301011855</v>
      </c>
      <c r="D255" s="671">
        <v>4680115885837</v>
      </c>
      <c r="E255" s="671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hidden="1" customHeight="1" x14ac:dyDescent="0.25">
      <c r="A256" s="60" t="s">
        <v>435</v>
      </c>
      <c r="B256" s="60" t="s">
        <v>436</v>
      </c>
      <c r="C256" s="34">
        <v>4301011850</v>
      </c>
      <c r="D256" s="671">
        <v>4680115885806</v>
      </c>
      <c r="E256" s="671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hidden="1" customHeight="1" x14ac:dyDescent="0.25">
      <c r="A257" s="60" t="s">
        <v>435</v>
      </c>
      <c r="B257" s="60" t="s">
        <v>438</v>
      </c>
      <c r="C257" s="34">
        <v>4301011910</v>
      </c>
      <c r="D257" s="671">
        <v>4680115885806</v>
      </c>
      <c r="E257" s="671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5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hidden="1" customHeight="1" x14ac:dyDescent="0.25">
      <c r="A258" s="60" t="s">
        <v>440</v>
      </c>
      <c r="B258" s="60" t="s">
        <v>441</v>
      </c>
      <c r="C258" s="34">
        <v>4301011853</v>
      </c>
      <c r="D258" s="671">
        <v>4680115885851</v>
      </c>
      <c r="E258" s="671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hidden="1" customHeight="1" x14ac:dyDescent="0.25">
      <c r="A259" s="60" t="s">
        <v>443</v>
      </c>
      <c r="B259" s="60" t="s">
        <v>444</v>
      </c>
      <c r="C259" s="34">
        <v>4301011852</v>
      </c>
      <c r="D259" s="671">
        <v>4680115885844</v>
      </c>
      <c r="E259" s="671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hidden="1" customHeight="1" x14ac:dyDescent="0.25">
      <c r="A260" s="60" t="s">
        <v>446</v>
      </c>
      <c r="B260" s="60" t="s">
        <v>447</v>
      </c>
      <c r="C260" s="34">
        <v>4301011851</v>
      </c>
      <c r="D260" s="671">
        <v>4680115885820</v>
      </c>
      <c r="E260" s="671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hidden="1" x14ac:dyDescent="0.2">
      <c r="A261" s="678"/>
      <c r="B261" s="678"/>
      <c r="C261" s="678"/>
      <c r="D261" s="678"/>
      <c r="E261" s="678"/>
      <c r="F261" s="678"/>
      <c r="G261" s="678"/>
      <c r="H261" s="678"/>
      <c r="I261" s="678"/>
      <c r="J261" s="678"/>
      <c r="K261" s="678"/>
      <c r="L261" s="678"/>
      <c r="M261" s="678"/>
      <c r="N261" s="678"/>
      <c r="O261" s="679"/>
      <c r="P261" s="675" t="s">
        <v>40</v>
      </c>
      <c r="Q261" s="676"/>
      <c r="R261" s="676"/>
      <c r="S261" s="676"/>
      <c r="T261" s="676"/>
      <c r="U261" s="676"/>
      <c r="V261" s="677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678"/>
      <c r="B262" s="678"/>
      <c r="C262" s="678"/>
      <c r="D262" s="678"/>
      <c r="E262" s="678"/>
      <c r="F262" s="678"/>
      <c r="G262" s="678"/>
      <c r="H262" s="678"/>
      <c r="I262" s="678"/>
      <c r="J262" s="678"/>
      <c r="K262" s="678"/>
      <c r="L262" s="678"/>
      <c r="M262" s="678"/>
      <c r="N262" s="678"/>
      <c r="O262" s="679"/>
      <c r="P262" s="675" t="s">
        <v>40</v>
      </c>
      <c r="Q262" s="676"/>
      <c r="R262" s="676"/>
      <c r="S262" s="676"/>
      <c r="T262" s="676"/>
      <c r="U262" s="676"/>
      <c r="V262" s="677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hidden="1" customHeight="1" x14ac:dyDescent="0.25">
      <c r="A263" s="692" t="s">
        <v>449</v>
      </c>
      <c r="B263" s="692"/>
      <c r="C263" s="692"/>
      <c r="D263" s="692"/>
      <c r="E263" s="692"/>
      <c r="F263" s="692"/>
      <c r="G263" s="692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  <c r="U263" s="692"/>
      <c r="V263" s="692"/>
      <c r="W263" s="692"/>
      <c r="X263" s="692"/>
      <c r="Y263" s="692"/>
      <c r="Z263" s="692"/>
      <c r="AA263" s="62"/>
      <c r="AB263" s="62"/>
      <c r="AC263" s="62"/>
    </row>
    <row r="264" spans="1:68" ht="14.25" hidden="1" customHeight="1" x14ac:dyDescent="0.25">
      <c r="A264" s="670" t="s">
        <v>109</v>
      </c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0"/>
      <c r="S264" s="670"/>
      <c r="T264" s="670"/>
      <c r="U264" s="670"/>
      <c r="V264" s="670"/>
      <c r="W264" s="670"/>
      <c r="X264" s="670"/>
      <c r="Y264" s="670"/>
      <c r="Z264" s="670"/>
      <c r="AA264" s="63"/>
      <c r="AB264" s="63"/>
      <c r="AC264" s="63"/>
    </row>
    <row r="265" spans="1:68" ht="37.5" hidden="1" customHeight="1" x14ac:dyDescent="0.25">
      <c r="A265" s="60" t="s">
        <v>450</v>
      </c>
      <c r="B265" s="60" t="s">
        <v>451</v>
      </c>
      <c r="C265" s="34">
        <v>4301011876</v>
      </c>
      <c r="D265" s="671">
        <v>4680115885707</v>
      </c>
      <c r="E265" s="671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692" t="s">
        <v>453</v>
      </c>
      <c r="B268" s="692"/>
      <c r="C268" s="692"/>
      <c r="D268" s="692"/>
      <c r="E268" s="692"/>
      <c r="F268" s="692"/>
      <c r="G268" s="692"/>
      <c r="H268" s="692"/>
      <c r="I268" s="692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  <c r="U268" s="692"/>
      <c r="V268" s="692"/>
      <c r="W268" s="692"/>
      <c r="X268" s="692"/>
      <c r="Y268" s="692"/>
      <c r="Z268" s="692"/>
      <c r="AA268" s="62"/>
      <c r="AB268" s="62"/>
      <c r="AC268" s="62"/>
    </row>
    <row r="269" spans="1:68" ht="14.25" hidden="1" customHeight="1" x14ac:dyDescent="0.25">
      <c r="A269" s="670" t="s">
        <v>109</v>
      </c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0"/>
      <c r="S269" s="670"/>
      <c r="T269" s="670"/>
      <c r="U269" s="670"/>
      <c r="V269" s="670"/>
      <c r="W269" s="670"/>
      <c r="X269" s="670"/>
      <c r="Y269" s="670"/>
      <c r="Z269" s="670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4301011223</v>
      </c>
      <c r="D270" s="671">
        <v>4607091383423</v>
      </c>
      <c r="E270" s="671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456</v>
      </c>
      <c r="B271" s="60" t="s">
        <v>457</v>
      </c>
      <c r="C271" s="34">
        <v>4301012099</v>
      </c>
      <c r="D271" s="671">
        <v>4680115885691</v>
      </c>
      <c r="E271" s="671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4301012098</v>
      </c>
      <c r="D272" s="671">
        <v>4680115885660</v>
      </c>
      <c r="E272" s="671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78"/>
      <c r="B273" s="678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  <c r="N273" s="678"/>
      <c r="O273" s="679"/>
      <c r="P273" s="675" t="s">
        <v>40</v>
      </c>
      <c r="Q273" s="676"/>
      <c r="R273" s="676"/>
      <c r="S273" s="676"/>
      <c r="T273" s="676"/>
      <c r="U273" s="676"/>
      <c r="V273" s="677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678"/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9"/>
      <c r="P274" s="675" t="s">
        <v>40</v>
      </c>
      <c r="Q274" s="676"/>
      <c r="R274" s="676"/>
      <c r="S274" s="676"/>
      <c r="T274" s="676"/>
      <c r="U274" s="676"/>
      <c r="V274" s="677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692" t="s">
        <v>462</v>
      </c>
      <c r="B275" s="692"/>
      <c r="C275" s="692"/>
      <c r="D275" s="692"/>
      <c r="E275" s="692"/>
      <c r="F275" s="692"/>
      <c r="G275" s="692"/>
      <c r="H275" s="692"/>
      <c r="I275" s="692"/>
      <c r="J275" s="692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  <c r="U275" s="692"/>
      <c r="V275" s="692"/>
      <c r="W275" s="692"/>
      <c r="X275" s="692"/>
      <c r="Y275" s="692"/>
      <c r="Z275" s="692"/>
      <c r="AA275" s="62"/>
      <c r="AB275" s="62"/>
      <c r="AC275" s="62"/>
    </row>
    <row r="276" spans="1:68" ht="14.25" hidden="1" customHeight="1" x14ac:dyDescent="0.25">
      <c r="A276" s="670" t="s">
        <v>78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3"/>
      <c r="AB276" s="63"/>
      <c r="AC276" s="63"/>
    </row>
    <row r="277" spans="1:68" ht="37.5" hidden="1" customHeight="1" x14ac:dyDescent="0.25">
      <c r="A277" s="60" t="s">
        <v>463</v>
      </c>
      <c r="B277" s="60" t="s">
        <v>464</v>
      </c>
      <c r="C277" s="34">
        <v>4301051940</v>
      </c>
      <c r="D277" s="671">
        <v>4680115881037</v>
      </c>
      <c r="E277" s="671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4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hidden="1" customHeight="1" x14ac:dyDescent="0.25">
      <c r="A278" s="60" t="s">
        <v>466</v>
      </c>
      <c r="B278" s="60" t="s">
        <v>467</v>
      </c>
      <c r="C278" s="34">
        <v>4301051893</v>
      </c>
      <c r="D278" s="671">
        <v>4680115886186</v>
      </c>
      <c r="E278" s="67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469</v>
      </c>
      <c r="B279" s="60" t="s">
        <v>470</v>
      </c>
      <c r="C279" s="34">
        <v>4301051795</v>
      </c>
      <c r="D279" s="671">
        <v>4680115881228</v>
      </c>
      <c r="E279" s="67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471</v>
      </c>
      <c r="B280" s="60" t="s">
        <v>472</v>
      </c>
      <c r="C280" s="34">
        <v>4301051388</v>
      </c>
      <c r="D280" s="671">
        <v>4680115881211</v>
      </c>
      <c r="E280" s="67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474</v>
      </c>
      <c r="B281" s="60" t="s">
        <v>475</v>
      </c>
      <c r="C281" s="34">
        <v>4301051386</v>
      </c>
      <c r="D281" s="671">
        <v>4680115881020</v>
      </c>
      <c r="E281" s="671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hidden="1" customHeight="1" x14ac:dyDescent="0.25">
      <c r="A284" s="692" t="s">
        <v>476</v>
      </c>
      <c r="B284" s="692"/>
      <c r="C284" s="692"/>
      <c r="D284" s="692"/>
      <c r="E284" s="692"/>
      <c r="F284" s="692"/>
      <c r="G284" s="692"/>
      <c r="H284" s="692"/>
      <c r="I284" s="692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  <c r="U284" s="692"/>
      <c r="V284" s="692"/>
      <c r="W284" s="692"/>
      <c r="X284" s="692"/>
      <c r="Y284" s="692"/>
      <c r="Z284" s="692"/>
      <c r="AA284" s="62"/>
      <c r="AB284" s="62"/>
      <c r="AC284" s="62"/>
    </row>
    <row r="285" spans="1:68" ht="14.25" hidden="1" customHeight="1" x14ac:dyDescent="0.25">
      <c r="A285" s="670" t="s">
        <v>109</v>
      </c>
      <c r="B285" s="670"/>
      <c r="C285" s="670"/>
      <c r="D285" s="670"/>
      <c r="E285" s="670"/>
      <c r="F285" s="670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0"/>
      <c r="S285" s="670"/>
      <c r="T285" s="670"/>
      <c r="U285" s="670"/>
      <c r="V285" s="670"/>
      <c r="W285" s="670"/>
      <c r="X285" s="670"/>
      <c r="Y285" s="670"/>
      <c r="Z285" s="670"/>
      <c r="AA285" s="63"/>
      <c r="AB285" s="63"/>
      <c r="AC285" s="63"/>
    </row>
    <row r="286" spans="1:68" ht="27" hidden="1" customHeight="1" x14ac:dyDescent="0.25">
      <c r="A286" s="60" t="s">
        <v>477</v>
      </c>
      <c r="B286" s="60" t="s">
        <v>478</v>
      </c>
      <c r="C286" s="34">
        <v>4301011306</v>
      </c>
      <c r="D286" s="671">
        <v>4607091389296</v>
      </c>
      <c r="E286" s="671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678"/>
      <c r="B288" s="678"/>
      <c r="C288" s="678"/>
      <c r="D288" s="678"/>
      <c r="E288" s="678"/>
      <c r="F288" s="678"/>
      <c r="G288" s="678"/>
      <c r="H288" s="678"/>
      <c r="I288" s="678"/>
      <c r="J288" s="678"/>
      <c r="K288" s="678"/>
      <c r="L288" s="678"/>
      <c r="M288" s="678"/>
      <c r="N288" s="678"/>
      <c r="O288" s="679"/>
      <c r="P288" s="675" t="s">
        <v>40</v>
      </c>
      <c r="Q288" s="676"/>
      <c r="R288" s="676"/>
      <c r="S288" s="676"/>
      <c r="T288" s="676"/>
      <c r="U288" s="676"/>
      <c r="V288" s="677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670" t="s">
        <v>160</v>
      </c>
      <c r="B289" s="670"/>
      <c r="C289" s="670"/>
      <c r="D289" s="670"/>
      <c r="E289" s="670"/>
      <c r="F289" s="670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0"/>
      <c r="S289" s="670"/>
      <c r="T289" s="670"/>
      <c r="U289" s="670"/>
      <c r="V289" s="670"/>
      <c r="W289" s="670"/>
      <c r="X289" s="670"/>
      <c r="Y289" s="670"/>
      <c r="Z289" s="670"/>
      <c r="AA289" s="63"/>
      <c r="AB289" s="63"/>
      <c r="AC289" s="63"/>
    </row>
    <row r="290" spans="1:68" ht="27" hidden="1" customHeight="1" x14ac:dyDescent="0.25">
      <c r="A290" s="60" t="s">
        <v>480</v>
      </c>
      <c r="B290" s="60" t="s">
        <v>481</v>
      </c>
      <c r="C290" s="34">
        <v>4301031307</v>
      </c>
      <c r="D290" s="671">
        <v>4680115880344</v>
      </c>
      <c r="E290" s="671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678"/>
      <c r="B292" s="678"/>
      <c r="C292" s="678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9"/>
      <c r="P292" s="675" t="s">
        <v>40</v>
      </c>
      <c r="Q292" s="676"/>
      <c r="R292" s="676"/>
      <c r="S292" s="676"/>
      <c r="T292" s="676"/>
      <c r="U292" s="676"/>
      <c r="V292" s="677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670" t="s">
        <v>78</v>
      </c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0"/>
      <c r="S293" s="670"/>
      <c r="T293" s="670"/>
      <c r="U293" s="670"/>
      <c r="V293" s="670"/>
      <c r="W293" s="670"/>
      <c r="X293" s="670"/>
      <c r="Y293" s="670"/>
      <c r="Z293" s="670"/>
      <c r="AA293" s="63"/>
      <c r="AB293" s="63"/>
      <c r="AC293" s="63"/>
    </row>
    <row r="294" spans="1:68" ht="27" hidden="1" customHeight="1" x14ac:dyDescent="0.25">
      <c r="A294" s="60" t="s">
        <v>483</v>
      </c>
      <c r="B294" s="60" t="s">
        <v>484</v>
      </c>
      <c r="C294" s="34">
        <v>4301051782</v>
      </c>
      <c r="D294" s="671">
        <v>4680115884618</v>
      </c>
      <c r="E294" s="671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3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78"/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9"/>
      <c r="P295" s="675" t="s">
        <v>40</v>
      </c>
      <c r="Q295" s="676"/>
      <c r="R295" s="676"/>
      <c r="S295" s="676"/>
      <c r="T295" s="676"/>
      <c r="U295" s="676"/>
      <c r="V295" s="67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92" t="s">
        <v>486</v>
      </c>
      <c r="B297" s="692"/>
      <c r="C297" s="692"/>
      <c r="D297" s="692"/>
      <c r="E297" s="692"/>
      <c r="F297" s="692"/>
      <c r="G297" s="692"/>
      <c r="H297" s="692"/>
      <c r="I297" s="692"/>
      <c r="J297" s="692"/>
      <c r="K297" s="692"/>
      <c r="L297" s="692"/>
      <c r="M297" s="692"/>
      <c r="N297" s="692"/>
      <c r="O297" s="692"/>
      <c r="P297" s="692"/>
      <c r="Q297" s="692"/>
      <c r="R297" s="692"/>
      <c r="S297" s="692"/>
      <c r="T297" s="692"/>
      <c r="U297" s="692"/>
      <c r="V297" s="692"/>
      <c r="W297" s="692"/>
      <c r="X297" s="692"/>
      <c r="Y297" s="692"/>
      <c r="Z297" s="692"/>
      <c r="AA297" s="62"/>
      <c r="AB297" s="62"/>
      <c r="AC297" s="62"/>
    </row>
    <row r="298" spans="1:68" ht="14.25" hidden="1" customHeight="1" x14ac:dyDescent="0.25">
      <c r="A298" s="670" t="s">
        <v>78</v>
      </c>
      <c r="B298" s="670"/>
      <c r="C298" s="670"/>
      <c r="D298" s="670"/>
      <c r="E298" s="670"/>
      <c r="F298" s="670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0"/>
      <c r="S298" s="670"/>
      <c r="T298" s="670"/>
      <c r="U298" s="670"/>
      <c r="V298" s="670"/>
      <c r="W298" s="670"/>
      <c r="X298" s="670"/>
      <c r="Y298" s="670"/>
      <c r="Z298" s="670"/>
      <c r="AA298" s="63"/>
      <c r="AB298" s="63"/>
      <c r="AC298" s="63"/>
    </row>
    <row r="299" spans="1:68" ht="27" hidden="1" customHeight="1" x14ac:dyDescent="0.25">
      <c r="A299" s="60" t="s">
        <v>487</v>
      </c>
      <c r="B299" s="60" t="s">
        <v>488</v>
      </c>
      <c r="C299" s="34">
        <v>4301051277</v>
      </c>
      <c r="D299" s="671">
        <v>4680115880511</v>
      </c>
      <c r="E299" s="671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78"/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9"/>
      <c r="P300" s="675" t="s">
        <v>40</v>
      </c>
      <c r="Q300" s="676"/>
      <c r="R300" s="676"/>
      <c r="S300" s="676"/>
      <c r="T300" s="676"/>
      <c r="U300" s="676"/>
      <c r="V300" s="677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678"/>
      <c r="B301" s="678"/>
      <c r="C301" s="678"/>
      <c r="D301" s="678"/>
      <c r="E301" s="678"/>
      <c r="F301" s="678"/>
      <c r="G301" s="678"/>
      <c r="H301" s="678"/>
      <c r="I301" s="678"/>
      <c r="J301" s="678"/>
      <c r="K301" s="678"/>
      <c r="L301" s="678"/>
      <c r="M301" s="678"/>
      <c r="N301" s="678"/>
      <c r="O301" s="679"/>
      <c r="P301" s="675" t="s">
        <v>40</v>
      </c>
      <c r="Q301" s="676"/>
      <c r="R301" s="676"/>
      <c r="S301" s="676"/>
      <c r="T301" s="676"/>
      <c r="U301" s="676"/>
      <c r="V301" s="677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92" t="s">
        <v>490</v>
      </c>
      <c r="B302" s="692"/>
      <c r="C302" s="692"/>
      <c r="D302" s="692"/>
      <c r="E302" s="692"/>
      <c r="F302" s="692"/>
      <c r="G302" s="692"/>
      <c r="H302" s="692"/>
      <c r="I302" s="692"/>
      <c r="J302" s="692"/>
      <c r="K302" s="692"/>
      <c r="L302" s="692"/>
      <c r="M302" s="692"/>
      <c r="N302" s="692"/>
      <c r="O302" s="692"/>
      <c r="P302" s="692"/>
      <c r="Q302" s="692"/>
      <c r="R302" s="692"/>
      <c r="S302" s="692"/>
      <c r="T302" s="692"/>
      <c r="U302" s="692"/>
      <c r="V302" s="692"/>
      <c r="W302" s="692"/>
      <c r="X302" s="692"/>
      <c r="Y302" s="692"/>
      <c r="Z302" s="692"/>
      <c r="AA302" s="62"/>
      <c r="AB302" s="62"/>
      <c r="AC302" s="62"/>
    </row>
    <row r="303" spans="1:68" ht="14.25" hidden="1" customHeight="1" x14ac:dyDescent="0.25">
      <c r="A303" s="670" t="s">
        <v>109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3"/>
      <c r="AB303" s="63"/>
      <c r="AC303" s="63"/>
    </row>
    <row r="304" spans="1:68" ht="27" hidden="1" customHeight="1" x14ac:dyDescent="0.25">
      <c r="A304" s="60" t="s">
        <v>491</v>
      </c>
      <c r="B304" s="60" t="s">
        <v>492</v>
      </c>
      <c r="C304" s="34">
        <v>4301011594</v>
      </c>
      <c r="D304" s="671">
        <v>4680115883413</v>
      </c>
      <c r="E304" s="671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5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70" t="s">
        <v>160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3"/>
      <c r="AB307" s="63"/>
      <c r="AC307" s="63"/>
    </row>
    <row r="308" spans="1:68" ht="27" hidden="1" customHeight="1" x14ac:dyDescent="0.25">
      <c r="A308" s="60" t="s">
        <v>493</v>
      </c>
      <c r="B308" s="60" t="s">
        <v>494</v>
      </c>
      <c r="C308" s="34">
        <v>4301031305</v>
      </c>
      <c r="D308" s="671">
        <v>4607091389845</v>
      </c>
      <c r="E308" s="671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496</v>
      </c>
      <c r="B309" s="60" t="s">
        <v>497</v>
      </c>
      <c r="C309" s="34">
        <v>4301031306</v>
      </c>
      <c r="D309" s="671">
        <v>4680115882881</v>
      </c>
      <c r="E309" s="671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3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78"/>
      <c r="B310" s="678"/>
      <c r="C310" s="678"/>
      <c r="D310" s="678"/>
      <c r="E310" s="678"/>
      <c r="F310" s="678"/>
      <c r="G310" s="678"/>
      <c r="H310" s="678"/>
      <c r="I310" s="678"/>
      <c r="J310" s="678"/>
      <c r="K310" s="678"/>
      <c r="L310" s="678"/>
      <c r="M310" s="678"/>
      <c r="N310" s="678"/>
      <c r="O310" s="679"/>
      <c r="P310" s="675" t="s">
        <v>40</v>
      </c>
      <c r="Q310" s="676"/>
      <c r="R310" s="676"/>
      <c r="S310" s="676"/>
      <c r="T310" s="676"/>
      <c r="U310" s="676"/>
      <c r="V310" s="677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678"/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9"/>
      <c r="P311" s="675" t="s">
        <v>40</v>
      </c>
      <c r="Q311" s="676"/>
      <c r="R311" s="676"/>
      <c r="S311" s="676"/>
      <c r="T311" s="676"/>
      <c r="U311" s="676"/>
      <c r="V311" s="677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692" t="s">
        <v>498</v>
      </c>
      <c r="B312" s="692"/>
      <c r="C312" s="692"/>
      <c r="D312" s="692"/>
      <c r="E312" s="692"/>
      <c r="F312" s="692"/>
      <c r="G312" s="692"/>
      <c r="H312" s="692"/>
      <c r="I312" s="692"/>
      <c r="J312" s="692"/>
      <c r="K312" s="692"/>
      <c r="L312" s="692"/>
      <c r="M312" s="692"/>
      <c r="N312" s="692"/>
      <c r="O312" s="692"/>
      <c r="P312" s="692"/>
      <c r="Q312" s="692"/>
      <c r="R312" s="692"/>
      <c r="S312" s="692"/>
      <c r="T312" s="692"/>
      <c r="U312" s="692"/>
      <c r="V312" s="692"/>
      <c r="W312" s="692"/>
      <c r="X312" s="692"/>
      <c r="Y312" s="692"/>
      <c r="Z312" s="692"/>
      <c r="AA312" s="62"/>
      <c r="AB312" s="62"/>
      <c r="AC312" s="62"/>
    </row>
    <row r="313" spans="1:68" ht="14.25" hidden="1" customHeight="1" x14ac:dyDescent="0.25">
      <c r="A313" s="670" t="s">
        <v>109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3"/>
      <c r="AB313" s="63"/>
      <c r="AC313" s="63"/>
    </row>
    <row r="314" spans="1:68" ht="27" hidden="1" customHeight="1" x14ac:dyDescent="0.25">
      <c r="A314" s="60" t="s">
        <v>499</v>
      </c>
      <c r="B314" s="60" t="s">
        <v>500</v>
      </c>
      <c r="C314" s="34">
        <v>4301011662</v>
      </c>
      <c r="D314" s="671">
        <v>4680115883703</v>
      </c>
      <c r="E314" s="671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2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78"/>
      <c r="B315" s="678"/>
      <c r="C315" s="678"/>
      <c r="D315" s="678"/>
      <c r="E315" s="678"/>
      <c r="F315" s="678"/>
      <c r="G315" s="678"/>
      <c r="H315" s="678"/>
      <c r="I315" s="678"/>
      <c r="J315" s="678"/>
      <c r="K315" s="678"/>
      <c r="L315" s="678"/>
      <c r="M315" s="678"/>
      <c r="N315" s="678"/>
      <c r="O315" s="679"/>
      <c r="P315" s="675" t="s">
        <v>40</v>
      </c>
      <c r="Q315" s="676"/>
      <c r="R315" s="676"/>
      <c r="S315" s="676"/>
      <c r="T315" s="676"/>
      <c r="U315" s="676"/>
      <c r="V315" s="67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78"/>
      <c r="B316" s="678"/>
      <c r="C316" s="678"/>
      <c r="D316" s="678"/>
      <c r="E316" s="678"/>
      <c r="F316" s="678"/>
      <c r="G316" s="678"/>
      <c r="H316" s="678"/>
      <c r="I316" s="678"/>
      <c r="J316" s="678"/>
      <c r="K316" s="678"/>
      <c r="L316" s="678"/>
      <c r="M316" s="678"/>
      <c r="N316" s="678"/>
      <c r="O316" s="679"/>
      <c r="P316" s="675" t="s">
        <v>40</v>
      </c>
      <c r="Q316" s="676"/>
      <c r="R316" s="676"/>
      <c r="S316" s="676"/>
      <c r="T316" s="676"/>
      <c r="U316" s="676"/>
      <c r="V316" s="67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692" t="s">
        <v>503</v>
      </c>
      <c r="B317" s="692"/>
      <c r="C317" s="692"/>
      <c r="D317" s="692"/>
      <c r="E317" s="692"/>
      <c r="F317" s="692"/>
      <c r="G317" s="692"/>
      <c r="H317" s="692"/>
      <c r="I317" s="692"/>
      <c r="J317" s="692"/>
      <c r="K317" s="692"/>
      <c r="L317" s="692"/>
      <c r="M317" s="692"/>
      <c r="N317" s="692"/>
      <c r="O317" s="692"/>
      <c r="P317" s="692"/>
      <c r="Q317" s="692"/>
      <c r="R317" s="692"/>
      <c r="S317" s="692"/>
      <c r="T317" s="692"/>
      <c r="U317" s="692"/>
      <c r="V317" s="692"/>
      <c r="W317" s="692"/>
      <c r="X317" s="692"/>
      <c r="Y317" s="692"/>
      <c r="Z317" s="692"/>
      <c r="AA317" s="62"/>
      <c r="AB317" s="62"/>
      <c r="AC317" s="62"/>
    </row>
    <row r="318" spans="1:68" ht="14.25" hidden="1" customHeight="1" x14ac:dyDescent="0.25">
      <c r="A318" s="670" t="s">
        <v>109</v>
      </c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0"/>
      <c r="S318" s="670"/>
      <c r="T318" s="670"/>
      <c r="U318" s="670"/>
      <c r="V318" s="670"/>
      <c r="W318" s="670"/>
      <c r="X318" s="670"/>
      <c r="Y318" s="670"/>
      <c r="Z318" s="670"/>
      <c r="AA318" s="63"/>
      <c r="AB318" s="63"/>
      <c r="AC318" s="63"/>
    </row>
    <row r="319" spans="1:68" ht="27" hidden="1" customHeight="1" x14ac:dyDescent="0.25">
      <c r="A319" s="60" t="s">
        <v>504</v>
      </c>
      <c r="B319" s="60" t="s">
        <v>505</v>
      </c>
      <c r="C319" s="34">
        <v>4301012024</v>
      </c>
      <c r="D319" s="671">
        <v>4680115885615</v>
      </c>
      <c r="E319" s="671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hidden="1" customHeight="1" x14ac:dyDescent="0.25">
      <c r="A320" s="60" t="s">
        <v>507</v>
      </c>
      <c r="B320" s="60" t="s">
        <v>508</v>
      </c>
      <c r="C320" s="34">
        <v>4301012016</v>
      </c>
      <c r="D320" s="671">
        <v>4680115885554</v>
      </c>
      <c r="E320" s="671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hidden="1" customHeight="1" x14ac:dyDescent="0.25">
      <c r="A321" s="60" t="s">
        <v>507</v>
      </c>
      <c r="B321" s="60" t="s">
        <v>510</v>
      </c>
      <c r="C321" s="34">
        <v>4301011911</v>
      </c>
      <c r="D321" s="671">
        <v>4680115885554</v>
      </c>
      <c r="E321" s="671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hidden="1" customHeight="1" x14ac:dyDescent="0.25">
      <c r="A322" s="60" t="s">
        <v>512</v>
      </c>
      <c r="B322" s="60" t="s">
        <v>513</v>
      </c>
      <c r="C322" s="34">
        <v>4301011858</v>
      </c>
      <c r="D322" s="671">
        <v>4680115885646</v>
      </c>
      <c r="E322" s="67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hidden="1" customHeight="1" x14ac:dyDescent="0.25">
      <c r="A323" s="60" t="s">
        <v>515</v>
      </c>
      <c r="B323" s="60" t="s">
        <v>516</v>
      </c>
      <c r="C323" s="34">
        <v>4301011857</v>
      </c>
      <c r="D323" s="671">
        <v>4680115885622</v>
      </c>
      <c r="E323" s="671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518</v>
      </c>
      <c r="B324" s="60" t="s">
        <v>519</v>
      </c>
      <c r="C324" s="34">
        <v>4301011859</v>
      </c>
      <c r="D324" s="671">
        <v>4680115885608</v>
      </c>
      <c r="E324" s="671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idden="1" x14ac:dyDescent="0.2">
      <c r="A325" s="678"/>
      <c r="B325" s="678"/>
      <c r="C325" s="678"/>
      <c r="D325" s="678"/>
      <c r="E325" s="678"/>
      <c r="F325" s="678"/>
      <c r="G325" s="678"/>
      <c r="H325" s="678"/>
      <c r="I325" s="678"/>
      <c r="J325" s="678"/>
      <c r="K325" s="678"/>
      <c r="L325" s="678"/>
      <c r="M325" s="678"/>
      <c r="N325" s="678"/>
      <c r="O325" s="679"/>
      <c r="P325" s="675" t="s">
        <v>40</v>
      </c>
      <c r="Q325" s="676"/>
      <c r="R325" s="676"/>
      <c r="S325" s="676"/>
      <c r="T325" s="676"/>
      <c r="U325" s="676"/>
      <c r="V325" s="677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670" t="s">
        <v>160</v>
      </c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0"/>
      <c r="S327" s="670"/>
      <c r="T327" s="670"/>
      <c r="U327" s="670"/>
      <c r="V327" s="670"/>
      <c r="W327" s="670"/>
      <c r="X327" s="670"/>
      <c r="Y327" s="670"/>
      <c r="Z327" s="670"/>
      <c r="AA327" s="63"/>
      <c r="AB327" s="63"/>
      <c r="AC327" s="63"/>
    </row>
    <row r="328" spans="1:68" ht="27" hidden="1" customHeight="1" x14ac:dyDescent="0.25">
      <c r="A328" s="60" t="s">
        <v>520</v>
      </c>
      <c r="B328" s="60" t="s">
        <v>521</v>
      </c>
      <c r="C328" s="34">
        <v>4301030878</v>
      </c>
      <c r="D328" s="671">
        <v>4607091387193</v>
      </c>
      <c r="E328" s="671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671">
        <v>4607091387230</v>
      </c>
      <c r="E329" s="671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hidden="1" customHeight="1" x14ac:dyDescent="0.25">
      <c r="A330" s="60" t="s">
        <v>526</v>
      </c>
      <c r="B330" s="60" t="s">
        <v>527</v>
      </c>
      <c r="C330" s="34">
        <v>4301031154</v>
      </c>
      <c r="D330" s="671">
        <v>4607091387292</v>
      </c>
      <c r="E330" s="671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529</v>
      </c>
      <c r="B331" s="60" t="s">
        <v>530</v>
      </c>
      <c r="C331" s="34">
        <v>4301031152</v>
      </c>
      <c r="D331" s="671">
        <v>4607091387285</v>
      </c>
      <c r="E331" s="671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78"/>
      <c r="B332" s="678"/>
      <c r="C332" s="678"/>
      <c r="D332" s="678"/>
      <c r="E332" s="678"/>
      <c r="F332" s="678"/>
      <c r="G332" s="678"/>
      <c r="H332" s="678"/>
      <c r="I332" s="678"/>
      <c r="J332" s="678"/>
      <c r="K332" s="678"/>
      <c r="L332" s="678"/>
      <c r="M332" s="678"/>
      <c r="N332" s="678"/>
      <c r="O332" s="679"/>
      <c r="P332" s="675" t="s">
        <v>40</v>
      </c>
      <c r="Q332" s="676"/>
      <c r="R332" s="676"/>
      <c r="S332" s="676"/>
      <c r="T332" s="676"/>
      <c r="U332" s="676"/>
      <c r="V332" s="677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hidden="1" customHeight="1" x14ac:dyDescent="0.25">
      <c r="A334" s="670" t="s">
        <v>78</v>
      </c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0"/>
      <c r="S334" s="670"/>
      <c r="T334" s="670"/>
      <c r="U334" s="670"/>
      <c r="V334" s="670"/>
      <c r="W334" s="670"/>
      <c r="X334" s="670"/>
      <c r="Y334" s="670"/>
      <c r="Z334" s="670"/>
      <c r="AA334" s="63"/>
      <c r="AB334" s="63"/>
      <c r="AC334" s="63"/>
    </row>
    <row r="335" spans="1:68" ht="27" hidden="1" customHeight="1" x14ac:dyDescent="0.25">
      <c r="A335" s="60" t="s">
        <v>531</v>
      </c>
      <c r="B335" s="60" t="s">
        <v>532</v>
      </c>
      <c r="C335" s="34">
        <v>4301051100</v>
      </c>
      <c r="D335" s="671">
        <v>4607091387766</v>
      </c>
      <c r="E335" s="671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534</v>
      </c>
      <c r="B336" s="60" t="s">
        <v>535</v>
      </c>
      <c r="C336" s="34">
        <v>4301051818</v>
      </c>
      <c r="D336" s="671">
        <v>4607091387957</v>
      </c>
      <c r="E336" s="671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537</v>
      </c>
      <c r="B337" s="60" t="s">
        <v>538</v>
      </c>
      <c r="C337" s="34">
        <v>4301051819</v>
      </c>
      <c r="D337" s="671">
        <v>4607091387964</v>
      </c>
      <c r="E337" s="671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540</v>
      </c>
      <c r="B338" s="60" t="s">
        <v>541</v>
      </c>
      <c r="C338" s="34">
        <v>4301051734</v>
      </c>
      <c r="D338" s="671">
        <v>4680115884588</v>
      </c>
      <c r="E338" s="671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543</v>
      </c>
      <c r="B339" s="60" t="s">
        <v>544</v>
      </c>
      <c r="C339" s="34">
        <v>4301051578</v>
      </c>
      <c r="D339" s="671">
        <v>4607091387513</v>
      </c>
      <c r="E339" s="671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idden="1" x14ac:dyDescent="0.2">
      <c r="A340" s="678"/>
      <c r="B340" s="678"/>
      <c r="C340" s="678"/>
      <c r="D340" s="678"/>
      <c r="E340" s="678"/>
      <c r="F340" s="678"/>
      <c r="G340" s="678"/>
      <c r="H340" s="678"/>
      <c r="I340" s="678"/>
      <c r="J340" s="678"/>
      <c r="K340" s="678"/>
      <c r="L340" s="678"/>
      <c r="M340" s="678"/>
      <c r="N340" s="678"/>
      <c r="O340" s="679"/>
      <c r="P340" s="675" t="s">
        <v>40</v>
      </c>
      <c r="Q340" s="676"/>
      <c r="R340" s="676"/>
      <c r="S340" s="676"/>
      <c r="T340" s="676"/>
      <c r="U340" s="676"/>
      <c r="V340" s="677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hidden="1" x14ac:dyDescent="0.2">
      <c r="A341" s="678"/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9"/>
      <c r="P341" s="675" t="s">
        <v>40</v>
      </c>
      <c r="Q341" s="676"/>
      <c r="R341" s="676"/>
      <c r="S341" s="676"/>
      <c r="T341" s="676"/>
      <c r="U341" s="676"/>
      <c r="V341" s="677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hidden="1" customHeight="1" x14ac:dyDescent="0.25">
      <c r="A342" s="670" t="s">
        <v>186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671">
        <v>4607091380880</v>
      </c>
      <c r="E343" s="671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7" t="s">
        <v>45</v>
      </c>
      <c r="V343" s="37" t="s">
        <v>45</v>
      </c>
      <c r="W343" s="38" t="s">
        <v>0</v>
      </c>
      <c r="X343" s="56">
        <v>80</v>
      </c>
      <c r="Y343" s="53">
        <f>IFERROR(IF(X343="",0,CEILING((X343/$H343),1)*$H343),"")</f>
        <v>84</v>
      </c>
      <c r="Z343" s="39">
        <f>IFERROR(IF(Y343=0,"",ROUNDUP(Y343/H343,0)*0.01898),"")</f>
        <v>0.1898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84.942857142857136</v>
      </c>
      <c r="BN343" s="75">
        <f>IFERROR(Y343*I343/H343,"0")</f>
        <v>89.19</v>
      </c>
      <c r="BO343" s="75">
        <f>IFERROR(1/J343*(X343/H343),"0")</f>
        <v>0.14880952380952381</v>
      </c>
      <c r="BP343" s="75">
        <f>IFERROR(1/J343*(Y343/H343),"0")</f>
        <v>0.15625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671">
        <v>4607091384482</v>
      </c>
      <c r="E344" s="67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671">
        <v>4607091380897</v>
      </c>
      <c r="E345" s="671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7" t="s">
        <v>45</v>
      </c>
      <c r="V345" s="37" t="s">
        <v>45</v>
      </c>
      <c r="W345" s="38" t="s">
        <v>0</v>
      </c>
      <c r="X345" s="56">
        <v>70</v>
      </c>
      <c r="Y345" s="53">
        <f>IFERROR(IF(X345="",0,CEILING((X345/$H345),1)*$H345),"")</f>
        <v>75.600000000000009</v>
      </c>
      <c r="Z345" s="39">
        <f>IFERROR(IF(Y345=0,"",ROUNDUP(Y345/H345,0)*0.01898),"")</f>
        <v>0.17082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74.325000000000003</v>
      </c>
      <c r="BN345" s="75">
        <f>IFERROR(Y345*I345/H345,"0")</f>
        <v>80.271000000000001</v>
      </c>
      <c r="BO345" s="75">
        <f>IFERROR(1/J345*(X345/H345),"0")</f>
        <v>0.13020833333333331</v>
      </c>
      <c r="BP345" s="75">
        <f>IFERROR(1/J345*(Y345/H345),"0")</f>
        <v>0.140625</v>
      </c>
    </row>
    <row r="346" spans="1:68" x14ac:dyDescent="0.2">
      <c r="A346" s="678"/>
      <c r="B346" s="678"/>
      <c r="C346" s="678"/>
      <c r="D346" s="678"/>
      <c r="E346" s="678"/>
      <c r="F346" s="678"/>
      <c r="G346" s="678"/>
      <c r="H346" s="678"/>
      <c r="I346" s="678"/>
      <c r="J346" s="678"/>
      <c r="K346" s="678"/>
      <c r="L346" s="678"/>
      <c r="M346" s="678"/>
      <c r="N346" s="678"/>
      <c r="O346" s="679"/>
      <c r="P346" s="675" t="s">
        <v>40</v>
      </c>
      <c r="Q346" s="676"/>
      <c r="R346" s="676"/>
      <c r="S346" s="676"/>
      <c r="T346" s="676"/>
      <c r="U346" s="676"/>
      <c r="V346" s="677"/>
      <c r="W346" s="40" t="s">
        <v>39</v>
      </c>
      <c r="X346" s="41">
        <f>IFERROR(X343/H343,"0")+IFERROR(X344/H344,"0")+IFERROR(X345/H345,"0")</f>
        <v>31.95970695970696</v>
      </c>
      <c r="Y346" s="41">
        <f>IFERROR(Y343/H343,"0")+IFERROR(Y344/H344,"0")+IFERROR(Y345/H345,"0")</f>
        <v>34</v>
      </c>
      <c r="Z346" s="41">
        <f>IFERROR(IF(Z343="",0,Z343),"0")+IFERROR(IF(Z344="",0,Z344),"0")+IFERROR(IF(Z345="",0,Z345),"0")</f>
        <v>0.64532</v>
      </c>
      <c r="AA346" s="64"/>
      <c r="AB346" s="64"/>
      <c r="AC346" s="64"/>
    </row>
    <row r="347" spans="1:68" x14ac:dyDescent="0.2">
      <c r="A347" s="678"/>
      <c r="B347" s="678"/>
      <c r="C347" s="678"/>
      <c r="D347" s="678"/>
      <c r="E347" s="678"/>
      <c r="F347" s="678"/>
      <c r="G347" s="678"/>
      <c r="H347" s="678"/>
      <c r="I347" s="678"/>
      <c r="J347" s="678"/>
      <c r="K347" s="678"/>
      <c r="L347" s="678"/>
      <c r="M347" s="678"/>
      <c r="N347" s="678"/>
      <c r="O347" s="679"/>
      <c r="P347" s="675" t="s">
        <v>40</v>
      </c>
      <c r="Q347" s="676"/>
      <c r="R347" s="676"/>
      <c r="S347" s="676"/>
      <c r="T347" s="676"/>
      <c r="U347" s="676"/>
      <c r="V347" s="677"/>
      <c r="W347" s="40" t="s">
        <v>0</v>
      </c>
      <c r="X347" s="41">
        <f>IFERROR(SUM(X343:X345),"0")</f>
        <v>260</v>
      </c>
      <c r="Y347" s="41">
        <f>IFERROR(SUM(Y343:Y345),"0")</f>
        <v>276.60000000000002</v>
      </c>
      <c r="Z347" s="40"/>
      <c r="AA347" s="64"/>
      <c r="AB347" s="64"/>
      <c r="AC347" s="64"/>
    </row>
    <row r="348" spans="1:68" ht="14.25" hidden="1" customHeight="1" x14ac:dyDescent="0.25">
      <c r="A348" s="670" t="s">
        <v>101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3"/>
      <c r="AB348" s="63"/>
      <c r="AC348" s="63"/>
    </row>
    <row r="349" spans="1:68" ht="27" hidden="1" customHeight="1" x14ac:dyDescent="0.25">
      <c r="A349" s="60" t="s">
        <v>555</v>
      </c>
      <c r="B349" s="60" t="s">
        <v>556</v>
      </c>
      <c r="C349" s="34">
        <v>4301032055</v>
      </c>
      <c r="D349" s="671">
        <v>4680115886476</v>
      </c>
      <c r="E349" s="671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4" t="s">
        <v>557</v>
      </c>
      <c r="Q349" s="673"/>
      <c r="R349" s="673"/>
      <c r="S349" s="673"/>
      <c r="T349" s="674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559</v>
      </c>
      <c r="B350" s="60" t="s">
        <v>560</v>
      </c>
      <c r="C350" s="34">
        <v>4301030232</v>
      </c>
      <c r="D350" s="671">
        <v>4607091388374</v>
      </c>
      <c r="E350" s="671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5" t="s">
        <v>561</v>
      </c>
      <c r="Q350" s="673"/>
      <c r="R350" s="673"/>
      <c r="S350" s="673"/>
      <c r="T350" s="674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563</v>
      </c>
      <c r="B351" s="60" t="s">
        <v>564</v>
      </c>
      <c r="C351" s="34">
        <v>4301032015</v>
      </c>
      <c r="D351" s="671">
        <v>4607091383102</v>
      </c>
      <c r="E351" s="671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566</v>
      </c>
      <c r="B352" s="60" t="s">
        <v>567</v>
      </c>
      <c r="C352" s="34">
        <v>4301030233</v>
      </c>
      <c r="D352" s="671">
        <v>4607091388404</v>
      </c>
      <c r="E352" s="671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70" t="s">
        <v>568</v>
      </c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0"/>
      <c r="S355" s="670"/>
      <c r="T355" s="670"/>
      <c r="U355" s="670"/>
      <c r="V355" s="670"/>
      <c r="W355" s="670"/>
      <c r="X355" s="670"/>
      <c r="Y355" s="670"/>
      <c r="Z355" s="670"/>
      <c r="AA355" s="63"/>
      <c r="AB355" s="63"/>
      <c r="AC355" s="63"/>
    </row>
    <row r="356" spans="1:68" ht="16.5" hidden="1" customHeight="1" x14ac:dyDescent="0.25">
      <c r="A356" s="60" t="s">
        <v>569</v>
      </c>
      <c r="B356" s="60" t="s">
        <v>570</v>
      </c>
      <c r="C356" s="34">
        <v>4301180007</v>
      </c>
      <c r="D356" s="671">
        <v>4680115881808</v>
      </c>
      <c r="E356" s="671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573</v>
      </c>
      <c r="B357" s="60" t="s">
        <v>574</v>
      </c>
      <c r="C357" s="34">
        <v>4301180006</v>
      </c>
      <c r="D357" s="671">
        <v>4680115881822</v>
      </c>
      <c r="E357" s="671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8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575</v>
      </c>
      <c r="B358" s="60" t="s">
        <v>576</v>
      </c>
      <c r="C358" s="34">
        <v>4301180001</v>
      </c>
      <c r="D358" s="671">
        <v>4680115880016</v>
      </c>
      <c r="E358" s="671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8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78"/>
      <c r="B359" s="678"/>
      <c r="C359" s="678"/>
      <c r="D359" s="678"/>
      <c r="E359" s="678"/>
      <c r="F359" s="678"/>
      <c r="G359" s="678"/>
      <c r="H359" s="678"/>
      <c r="I359" s="678"/>
      <c r="J359" s="678"/>
      <c r="K359" s="678"/>
      <c r="L359" s="678"/>
      <c r="M359" s="678"/>
      <c r="N359" s="678"/>
      <c r="O359" s="679"/>
      <c r="P359" s="675" t="s">
        <v>40</v>
      </c>
      <c r="Q359" s="676"/>
      <c r="R359" s="676"/>
      <c r="S359" s="676"/>
      <c r="T359" s="676"/>
      <c r="U359" s="676"/>
      <c r="V359" s="67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92" t="s">
        <v>577</v>
      </c>
      <c r="B361" s="692"/>
      <c r="C361" s="692"/>
      <c r="D361" s="692"/>
      <c r="E361" s="692"/>
      <c r="F361" s="692"/>
      <c r="G361" s="692"/>
      <c r="H361" s="692"/>
      <c r="I361" s="692"/>
      <c r="J361" s="692"/>
      <c r="K361" s="692"/>
      <c r="L361" s="692"/>
      <c r="M361" s="692"/>
      <c r="N361" s="692"/>
      <c r="O361" s="692"/>
      <c r="P361" s="692"/>
      <c r="Q361" s="692"/>
      <c r="R361" s="692"/>
      <c r="S361" s="692"/>
      <c r="T361" s="692"/>
      <c r="U361" s="692"/>
      <c r="V361" s="692"/>
      <c r="W361" s="692"/>
      <c r="X361" s="692"/>
      <c r="Y361" s="692"/>
      <c r="Z361" s="692"/>
      <c r="AA361" s="62"/>
      <c r="AB361" s="62"/>
      <c r="AC361" s="62"/>
    </row>
    <row r="362" spans="1:68" ht="14.25" hidden="1" customHeight="1" x14ac:dyDescent="0.25">
      <c r="A362" s="670" t="s">
        <v>160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3"/>
      <c r="AB362" s="63"/>
      <c r="AC362" s="63"/>
    </row>
    <row r="363" spans="1:68" ht="27" hidden="1" customHeight="1" x14ac:dyDescent="0.25">
      <c r="A363" s="60" t="s">
        <v>578</v>
      </c>
      <c r="B363" s="60" t="s">
        <v>579</v>
      </c>
      <c r="C363" s="34">
        <v>4301031066</v>
      </c>
      <c r="D363" s="671">
        <v>4607091383836</v>
      </c>
      <c r="E363" s="671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1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678"/>
      <c r="B364" s="678"/>
      <c r="C364" s="678"/>
      <c r="D364" s="678"/>
      <c r="E364" s="678"/>
      <c r="F364" s="678"/>
      <c r="G364" s="678"/>
      <c r="H364" s="678"/>
      <c r="I364" s="678"/>
      <c r="J364" s="678"/>
      <c r="K364" s="678"/>
      <c r="L364" s="678"/>
      <c r="M364" s="678"/>
      <c r="N364" s="678"/>
      <c r="O364" s="679"/>
      <c r="P364" s="675" t="s">
        <v>40</v>
      </c>
      <c r="Q364" s="676"/>
      <c r="R364" s="676"/>
      <c r="S364" s="676"/>
      <c r="T364" s="676"/>
      <c r="U364" s="676"/>
      <c r="V364" s="677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678"/>
      <c r="B365" s="678"/>
      <c r="C365" s="678"/>
      <c r="D365" s="678"/>
      <c r="E365" s="678"/>
      <c r="F365" s="678"/>
      <c r="G365" s="678"/>
      <c r="H365" s="678"/>
      <c r="I365" s="678"/>
      <c r="J365" s="678"/>
      <c r="K365" s="678"/>
      <c r="L365" s="678"/>
      <c r="M365" s="678"/>
      <c r="N365" s="678"/>
      <c r="O365" s="679"/>
      <c r="P365" s="675" t="s">
        <v>40</v>
      </c>
      <c r="Q365" s="676"/>
      <c r="R365" s="676"/>
      <c r="S365" s="676"/>
      <c r="T365" s="676"/>
      <c r="U365" s="676"/>
      <c r="V365" s="677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670" t="s">
        <v>78</v>
      </c>
      <c r="B366" s="670"/>
      <c r="C366" s="670"/>
      <c r="D366" s="670"/>
      <c r="E366" s="670"/>
      <c r="F366" s="670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0"/>
      <c r="S366" s="670"/>
      <c r="T366" s="670"/>
      <c r="U366" s="670"/>
      <c r="V366" s="670"/>
      <c r="W366" s="670"/>
      <c r="X366" s="670"/>
      <c r="Y366" s="670"/>
      <c r="Z366" s="670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671">
        <v>4607091387919</v>
      </c>
      <c r="E367" s="671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7" t="s">
        <v>45</v>
      </c>
      <c r="V367" s="37" t="s">
        <v>45</v>
      </c>
      <c r="W367" s="38" t="s">
        <v>0</v>
      </c>
      <c r="X367" s="56">
        <v>60</v>
      </c>
      <c r="Y367" s="53">
        <f>IFERROR(IF(X367="",0,CEILING((X367/$H367),1)*$H367),"")</f>
        <v>64.8</v>
      </c>
      <c r="Z367" s="39">
        <f>IFERROR(IF(Y367=0,"",ROUNDUP(Y367/H367,0)*0.01898),"")</f>
        <v>0.15184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63.844444444444449</v>
      </c>
      <c r="BN367" s="75">
        <f>IFERROR(Y367*I367/H367,"0")</f>
        <v>68.951999999999998</v>
      </c>
      <c r="BO367" s="75">
        <f>IFERROR(1/J367*(X367/H367),"0")</f>
        <v>0.11574074074074074</v>
      </c>
      <c r="BP367" s="75">
        <f>IFERROR(1/J367*(Y367/H367),"0")</f>
        <v>0.125</v>
      </c>
    </row>
    <row r="368" spans="1:68" ht="27" hidden="1" customHeight="1" x14ac:dyDescent="0.25">
      <c r="A368" s="60" t="s">
        <v>584</v>
      </c>
      <c r="B368" s="60" t="s">
        <v>585</v>
      </c>
      <c r="C368" s="34">
        <v>4301051461</v>
      </c>
      <c r="D368" s="671">
        <v>4680115883604</v>
      </c>
      <c r="E368" s="671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587</v>
      </c>
      <c r="B369" s="60" t="s">
        <v>588</v>
      </c>
      <c r="C369" s="34">
        <v>4301051864</v>
      </c>
      <c r="D369" s="671">
        <v>4680115883567</v>
      </c>
      <c r="E369" s="671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78"/>
      <c r="B370" s="678"/>
      <c r="C370" s="678"/>
      <c r="D370" s="678"/>
      <c r="E370" s="678"/>
      <c r="F370" s="678"/>
      <c r="G370" s="678"/>
      <c r="H370" s="678"/>
      <c r="I370" s="678"/>
      <c r="J370" s="678"/>
      <c r="K370" s="678"/>
      <c r="L370" s="678"/>
      <c r="M370" s="678"/>
      <c r="N370" s="678"/>
      <c r="O370" s="679"/>
      <c r="P370" s="675" t="s">
        <v>40</v>
      </c>
      <c r="Q370" s="676"/>
      <c r="R370" s="676"/>
      <c r="S370" s="676"/>
      <c r="T370" s="676"/>
      <c r="U370" s="676"/>
      <c r="V370" s="677"/>
      <c r="W370" s="40" t="s">
        <v>39</v>
      </c>
      <c r="X370" s="41">
        <f>IFERROR(X367/H367,"0")+IFERROR(X368/H368,"0")+IFERROR(X369/H369,"0")</f>
        <v>7.4074074074074074</v>
      </c>
      <c r="Y370" s="41">
        <f>IFERROR(Y367/H367,"0")+IFERROR(Y368/H368,"0")+IFERROR(Y369/H369,"0")</f>
        <v>8</v>
      </c>
      <c r="Z370" s="41">
        <f>IFERROR(IF(Z367="",0,Z367),"0")+IFERROR(IF(Z368="",0,Z368),"0")+IFERROR(IF(Z369="",0,Z369),"0")</f>
        <v>0.15184</v>
      </c>
      <c r="AA370" s="64"/>
      <c r="AB370" s="64"/>
      <c r="AC370" s="64"/>
    </row>
    <row r="371" spans="1:68" x14ac:dyDescent="0.2">
      <c r="A371" s="678"/>
      <c r="B371" s="678"/>
      <c r="C371" s="678"/>
      <c r="D371" s="678"/>
      <c r="E371" s="678"/>
      <c r="F371" s="678"/>
      <c r="G371" s="678"/>
      <c r="H371" s="678"/>
      <c r="I371" s="678"/>
      <c r="J371" s="678"/>
      <c r="K371" s="678"/>
      <c r="L371" s="678"/>
      <c r="M371" s="678"/>
      <c r="N371" s="678"/>
      <c r="O371" s="679"/>
      <c r="P371" s="675" t="s">
        <v>40</v>
      </c>
      <c r="Q371" s="676"/>
      <c r="R371" s="676"/>
      <c r="S371" s="676"/>
      <c r="T371" s="676"/>
      <c r="U371" s="676"/>
      <c r="V371" s="677"/>
      <c r="W371" s="40" t="s">
        <v>0</v>
      </c>
      <c r="X371" s="41">
        <f>IFERROR(SUM(X367:X369),"0")</f>
        <v>60</v>
      </c>
      <c r="Y371" s="41">
        <f>IFERROR(SUM(Y367:Y369),"0")</f>
        <v>64.8</v>
      </c>
      <c r="Z371" s="40"/>
      <c r="AA371" s="64"/>
      <c r="AB371" s="64"/>
      <c r="AC371" s="64"/>
    </row>
    <row r="372" spans="1:68" ht="27.75" hidden="1" customHeight="1" x14ac:dyDescent="0.2">
      <c r="A372" s="716" t="s">
        <v>590</v>
      </c>
      <c r="B372" s="716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  <c r="AA372" s="52"/>
      <c r="AB372" s="52"/>
      <c r="AC372" s="52"/>
    </row>
    <row r="373" spans="1:68" ht="16.5" hidden="1" customHeight="1" x14ac:dyDescent="0.25">
      <c r="A373" s="692" t="s">
        <v>591</v>
      </c>
      <c r="B373" s="692"/>
      <c r="C373" s="692"/>
      <c r="D373" s="692"/>
      <c r="E373" s="692"/>
      <c r="F373" s="692"/>
      <c r="G373" s="692"/>
      <c r="H373" s="692"/>
      <c r="I373" s="692"/>
      <c r="J373" s="692"/>
      <c r="K373" s="692"/>
      <c r="L373" s="692"/>
      <c r="M373" s="692"/>
      <c r="N373" s="692"/>
      <c r="O373" s="692"/>
      <c r="P373" s="692"/>
      <c r="Q373" s="692"/>
      <c r="R373" s="692"/>
      <c r="S373" s="692"/>
      <c r="T373" s="692"/>
      <c r="U373" s="692"/>
      <c r="V373" s="692"/>
      <c r="W373" s="692"/>
      <c r="X373" s="692"/>
      <c r="Y373" s="692"/>
      <c r="Z373" s="692"/>
      <c r="AA373" s="62"/>
      <c r="AB373" s="62"/>
      <c r="AC373" s="62"/>
    </row>
    <row r="374" spans="1:68" ht="14.25" hidden="1" customHeight="1" x14ac:dyDescent="0.25">
      <c r="A374" s="670" t="s">
        <v>109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3"/>
      <c r="AB374" s="63"/>
      <c r="AC374" s="63"/>
    </row>
    <row r="375" spans="1:68" ht="37.5" hidden="1" customHeight="1" x14ac:dyDescent="0.25">
      <c r="A375" s="60" t="s">
        <v>592</v>
      </c>
      <c r="B375" s="60" t="s">
        <v>593</v>
      </c>
      <c r="C375" s="34">
        <v>4301011869</v>
      </c>
      <c r="D375" s="671">
        <v>4680115884847</v>
      </c>
      <c r="E375" s="671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671">
        <v>4680115884847</v>
      </c>
      <c r="E376" s="671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7" t="s">
        <v>45</v>
      </c>
      <c r="V376" s="37" t="s">
        <v>45</v>
      </c>
      <c r="W376" s="38" t="s">
        <v>0</v>
      </c>
      <c r="X376" s="56">
        <v>2880</v>
      </c>
      <c r="Y376" s="53">
        <f t="shared" si="58"/>
        <v>2880</v>
      </c>
      <c r="Z376" s="39">
        <f>IFERROR(IF(Y376=0,"",ROUNDUP(Y376/H376,0)*0.02039),"")</f>
        <v>3.9148799999999997</v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2972.1600000000003</v>
      </c>
      <c r="BN376" s="75">
        <f t="shared" si="60"/>
        <v>2972.1600000000003</v>
      </c>
      <c r="BO376" s="75">
        <f t="shared" si="61"/>
        <v>4</v>
      </c>
      <c r="BP376" s="75">
        <f t="shared" si="62"/>
        <v>4</v>
      </c>
    </row>
    <row r="377" spans="1:68" ht="27" hidden="1" customHeight="1" x14ac:dyDescent="0.25">
      <c r="A377" s="60" t="s">
        <v>597</v>
      </c>
      <c r="B377" s="60" t="s">
        <v>598</v>
      </c>
      <c r="C377" s="34">
        <v>4301011870</v>
      </c>
      <c r="D377" s="671">
        <v>4680115884854</v>
      </c>
      <c r="E377" s="671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671">
        <v>4680115884854</v>
      </c>
      <c r="E378" s="671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7" t="s">
        <v>45</v>
      </c>
      <c r="V378" s="37" t="s">
        <v>45</v>
      </c>
      <c r="W378" s="38" t="s">
        <v>0</v>
      </c>
      <c r="X378" s="56">
        <v>1440</v>
      </c>
      <c r="Y378" s="53">
        <f t="shared" si="58"/>
        <v>1440</v>
      </c>
      <c r="Z378" s="39">
        <f>IFERROR(IF(Y378=0,"",ROUNDUP(Y378/H378,0)*0.02039),"")</f>
        <v>1.9574399999999998</v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1486.0800000000002</v>
      </c>
      <c r="BN378" s="75">
        <f t="shared" si="60"/>
        <v>1486.0800000000002</v>
      </c>
      <c r="BO378" s="75">
        <f t="shared" si="61"/>
        <v>2</v>
      </c>
      <c r="BP378" s="75">
        <f t="shared" si="62"/>
        <v>2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671">
        <v>4607091383997</v>
      </c>
      <c r="E379" s="671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79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3"/>
      <c r="R379" s="673"/>
      <c r="S379" s="673"/>
      <c r="T379" s="674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hidden="1" customHeight="1" x14ac:dyDescent="0.25">
      <c r="A380" s="60" t="s">
        <v>604</v>
      </c>
      <c r="B380" s="60" t="s">
        <v>605</v>
      </c>
      <c r="C380" s="34">
        <v>4301011867</v>
      </c>
      <c r="D380" s="671">
        <v>4680115884830</v>
      </c>
      <c r="E380" s="671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3"/>
      <c r="R380" s="673"/>
      <c r="S380" s="673"/>
      <c r="T380" s="674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hidden="1" customHeight="1" x14ac:dyDescent="0.25">
      <c r="A381" s="60" t="s">
        <v>604</v>
      </c>
      <c r="B381" s="60" t="s">
        <v>607</v>
      </c>
      <c r="C381" s="34">
        <v>4301011943</v>
      </c>
      <c r="D381" s="671">
        <v>4680115884830</v>
      </c>
      <c r="E381" s="671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79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hidden="1" customHeight="1" x14ac:dyDescent="0.25">
      <c r="A382" s="60" t="s">
        <v>608</v>
      </c>
      <c r="B382" s="60" t="s">
        <v>609</v>
      </c>
      <c r="C382" s="34">
        <v>4301011433</v>
      </c>
      <c r="D382" s="671">
        <v>4680115882638</v>
      </c>
      <c r="E382" s="671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671">
        <v>4680115884922</v>
      </c>
      <c r="E383" s="671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7" t="s">
        <v>45</v>
      </c>
      <c r="V383" s="37" t="s">
        <v>45</v>
      </c>
      <c r="W383" s="38" t="s">
        <v>0</v>
      </c>
      <c r="X383" s="56">
        <v>40</v>
      </c>
      <c r="Y383" s="53">
        <f t="shared" si="58"/>
        <v>40</v>
      </c>
      <c r="Z383" s="39">
        <f>IFERROR(IF(Y383=0,"",ROUNDUP(Y383/H383,0)*0.00902),"")</f>
        <v>7.2160000000000002E-2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41.68</v>
      </c>
      <c r="BN383" s="75">
        <f t="shared" si="60"/>
        <v>41.68</v>
      </c>
      <c r="BO383" s="75">
        <f t="shared" si="61"/>
        <v>6.0606060606060608E-2</v>
      </c>
      <c r="BP383" s="75">
        <f t="shared" si="62"/>
        <v>6.0606060606060608E-2</v>
      </c>
    </row>
    <row r="384" spans="1:68" ht="37.5" hidden="1" customHeight="1" x14ac:dyDescent="0.25">
      <c r="A384" s="60" t="s">
        <v>613</v>
      </c>
      <c r="B384" s="60" t="s">
        <v>614</v>
      </c>
      <c r="C384" s="34">
        <v>4301011868</v>
      </c>
      <c r="D384" s="671">
        <v>4680115884861</v>
      </c>
      <c r="E384" s="671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78"/>
      <c r="B385" s="678"/>
      <c r="C385" s="678"/>
      <c r="D385" s="678"/>
      <c r="E385" s="678"/>
      <c r="F385" s="678"/>
      <c r="G385" s="678"/>
      <c r="H385" s="678"/>
      <c r="I385" s="678"/>
      <c r="J385" s="678"/>
      <c r="K385" s="678"/>
      <c r="L385" s="678"/>
      <c r="M385" s="678"/>
      <c r="N385" s="678"/>
      <c r="O385" s="679"/>
      <c r="P385" s="675" t="s">
        <v>40</v>
      </c>
      <c r="Q385" s="676"/>
      <c r="R385" s="676"/>
      <c r="S385" s="676"/>
      <c r="T385" s="676"/>
      <c r="U385" s="676"/>
      <c r="V385" s="677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562.66666666666674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563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11.751729999999998</v>
      </c>
      <c r="AA385" s="64"/>
      <c r="AB385" s="64"/>
      <c r="AC385" s="64"/>
    </row>
    <row r="386" spans="1:68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0</v>
      </c>
      <c r="X386" s="41">
        <f>IFERROR(SUM(X375:X384),"0")</f>
        <v>8360</v>
      </c>
      <c r="Y386" s="41">
        <f>IFERROR(SUM(Y375:Y384),"0")</f>
        <v>8365</v>
      </c>
      <c r="Z386" s="40"/>
      <c r="AA386" s="64"/>
      <c r="AB386" s="64"/>
      <c r="AC386" s="64"/>
    </row>
    <row r="387" spans="1:68" ht="14.25" hidden="1" customHeight="1" x14ac:dyDescent="0.25">
      <c r="A387" s="670" t="s">
        <v>149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671">
        <v>4607091383980</v>
      </c>
      <c r="E388" s="67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7" t="s">
        <v>45</v>
      </c>
      <c r="V388" s="37" t="s">
        <v>45</v>
      </c>
      <c r="W388" s="38" t="s">
        <v>0</v>
      </c>
      <c r="X388" s="56">
        <v>1440</v>
      </c>
      <c r="Y388" s="53">
        <f>IFERROR(IF(X388="",0,CEILING((X388/$H388),1)*$H388),"")</f>
        <v>1440</v>
      </c>
      <c r="Z388" s="39">
        <f>IFERROR(IF(Y388=0,"",ROUNDUP(Y388/H388,0)*0.02175),"")</f>
        <v>2.0880000000000001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1486.0800000000002</v>
      </c>
      <c r="BN388" s="75">
        <f>IFERROR(Y388*I388/H388,"0")</f>
        <v>1486.0800000000002</v>
      </c>
      <c r="BO388" s="75">
        <f>IFERROR(1/J388*(X388/H388),"0")</f>
        <v>2</v>
      </c>
      <c r="BP388" s="75">
        <f>IFERROR(1/J388*(Y388/H388),"0")</f>
        <v>2</v>
      </c>
    </row>
    <row r="389" spans="1:68" ht="27" hidden="1" customHeight="1" x14ac:dyDescent="0.25">
      <c r="A389" s="60" t="s">
        <v>618</v>
      </c>
      <c r="B389" s="60" t="s">
        <v>619</v>
      </c>
      <c r="C389" s="34">
        <v>4301020179</v>
      </c>
      <c r="D389" s="671">
        <v>4607091384178</v>
      </c>
      <c r="E389" s="671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78"/>
      <c r="B390" s="678"/>
      <c r="C390" s="678"/>
      <c r="D390" s="678"/>
      <c r="E390" s="678"/>
      <c r="F390" s="678"/>
      <c r="G390" s="678"/>
      <c r="H390" s="678"/>
      <c r="I390" s="678"/>
      <c r="J390" s="678"/>
      <c r="K390" s="678"/>
      <c r="L390" s="678"/>
      <c r="M390" s="678"/>
      <c r="N390" s="678"/>
      <c r="O390" s="679"/>
      <c r="P390" s="675" t="s">
        <v>40</v>
      </c>
      <c r="Q390" s="676"/>
      <c r="R390" s="676"/>
      <c r="S390" s="676"/>
      <c r="T390" s="676"/>
      <c r="U390" s="676"/>
      <c r="V390" s="677"/>
      <c r="W390" s="40" t="s">
        <v>39</v>
      </c>
      <c r="X390" s="41">
        <f>IFERROR(X388/H388,"0")+IFERROR(X389/H389,"0")</f>
        <v>96</v>
      </c>
      <c r="Y390" s="41">
        <f>IFERROR(Y388/H388,"0")+IFERROR(Y389/H389,"0")</f>
        <v>96</v>
      </c>
      <c r="Z390" s="41">
        <f>IFERROR(IF(Z388="",0,Z388),"0")+IFERROR(IF(Z389="",0,Z389),"0")</f>
        <v>2.0880000000000001</v>
      </c>
      <c r="AA390" s="64"/>
      <c r="AB390" s="64"/>
      <c r="AC390" s="64"/>
    </row>
    <row r="391" spans="1:68" x14ac:dyDescent="0.2">
      <c r="A391" s="678"/>
      <c r="B391" s="678"/>
      <c r="C391" s="678"/>
      <c r="D391" s="678"/>
      <c r="E391" s="678"/>
      <c r="F391" s="678"/>
      <c r="G391" s="678"/>
      <c r="H391" s="678"/>
      <c r="I391" s="678"/>
      <c r="J391" s="678"/>
      <c r="K391" s="678"/>
      <c r="L391" s="678"/>
      <c r="M391" s="678"/>
      <c r="N391" s="678"/>
      <c r="O391" s="679"/>
      <c r="P391" s="675" t="s">
        <v>40</v>
      </c>
      <c r="Q391" s="676"/>
      <c r="R391" s="676"/>
      <c r="S391" s="676"/>
      <c r="T391" s="676"/>
      <c r="U391" s="676"/>
      <c r="V391" s="677"/>
      <c r="W391" s="40" t="s">
        <v>0</v>
      </c>
      <c r="X391" s="41">
        <f>IFERROR(SUM(X388:X389),"0")</f>
        <v>1440</v>
      </c>
      <c r="Y391" s="41">
        <f>IFERROR(SUM(Y388:Y389),"0")</f>
        <v>1440</v>
      </c>
      <c r="Z391" s="40"/>
      <c r="AA391" s="64"/>
      <c r="AB391" s="64"/>
      <c r="AC391" s="64"/>
    </row>
    <row r="392" spans="1:68" ht="14.25" hidden="1" customHeight="1" x14ac:dyDescent="0.25">
      <c r="A392" s="670" t="s">
        <v>78</v>
      </c>
      <c r="B392" s="670"/>
      <c r="C392" s="670"/>
      <c r="D392" s="670"/>
      <c r="E392" s="670"/>
      <c r="F392" s="670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0"/>
      <c r="S392" s="670"/>
      <c r="T392" s="670"/>
      <c r="U392" s="670"/>
      <c r="V392" s="670"/>
      <c r="W392" s="670"/>
      <c r="X392" s="670"/>
      <c r="Y392" s="670"/>
      <c r="Z392" s="670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671">
        <v>4607091383928</v>
      </c>
      <c r="E393" s="671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3" t="s">
        <v>622</v>
      </c>
      <c r="Q393" s="673"/>
      <c r="R393" s="673"/>
      <c r="S393" s="673"/>
      <c r="T393" s="674"/>
      <c r="U393" s="37" t="s">
        <v>45</v>
      </c>
      <c r="V393" s="37" t="s">
        <v>45</v>
      </c>
      <c r="W393" s="38" t="s">
        <v>0</v>
      </c>
      <c r="X393" s="56">
        <v>900</v>
      </c>
      <c r="Y393" s="53">
        <f>IFERROR(IF(X393="",0,CEILING((X393/$H393),1)*$H393),"")</f>
        <v>900</v>
      </c>
      <c r="Z393" s="39">
        <f>IFERROR(IF(Y393=0,"",ROUNDUP(Y393/H393,0)*0.01898),"")</f>
        <v>1.8980000000000001</v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952.5</v>
      </c>
      <c r="BN393" s="75">
        <f>IFERROR(Y393*I393/H393,"0")</f>
        <v>952.5</v>
      </c>
      <c r="BO393" s="75">
        <f>IFERROR(1/J393*(X393/H393),"0")</f>
        <v>1.5625</v>
      </c>
      <c r="BP393" s="75">
        <f>IFERROR(1/J393*(Y393/H393),"0")</f>
        <v>1.5625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671">
        <v>4607091384260</v>
      </c>
      <c r="E394" s="671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4" t="s">
        <v>626</v>
      </c>
      <c r="Q394" s="673"/>
      <c r="R394" s="673"/>
      <c r="S394" s="673"/>
      <c r="T394" s="674"/>
      <c r="U394" s="37" t="s">
        <v>45</v>
      </c>
      <c r="V394" s="37" t="s">
        <v>45</v>
      </c>
      <c r="W394" s="38" t="s">
        <v>0</v>
      </c>
      <c r="X394" s="56">
        <v>400</v>
      </c>
      <c r="Y394" s="53">
        <f>IFERROR(IF(X394="",0,CEILING((X394/$H394),1)*$H394),"")</f>
        <v>405</v>
      </c>
      <c r="Z394" s="39">
        <f>IFERROR(IF(Y394=0,"",ROUNDUP(Y394/H394,0)*0.01898),"")</f>
        <v>0.85409999999999997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423.06666666666666</v>
      </c>
      <c r="BN394" s="75">
        <f>IFERROR(Y394*I394/H394,"0")</f>
        <v>428.35500000000002</v>
      </c>
      <c r="BO394" s="75">
        <f>IFERROR(1/J394*(X394/H394),"0")</f>
        <v>0.69444444444444442</v>
      </c>
      <c r="BP394" s="75">
        <f>IFERROR(1/J394*(Y394/H394),"0")</f>
        <v>0.703125</v>
      </c>
    </row>
    <row r="395" spans="1:68" x14ac:dyDescent="0.2">
      <c r="A395" s="678"/>
      <c r="B395" s="678"/>
      <c r="C395" s="678"/>
      <c r="D395" s="678"/>
      <c r="E395" s="678"/>
      <c r="F395" s="678"/>
      <c r="G395" s="678"/>
      <c r="H395" s="678"/>
      <c r="I395" s="678"/>
      <c r="J395" s="678"/>
      <c r="K395" s="678"/>
      <c r="L395" s="678"/>
      <c r="M395" s="678"/>
      <c r="N395" s="678"/>
      <c r="O395" s="679"/>
      <c r="P395" s="675" t="s">
        <v>40</v>
      </c>
      <c r="Q395" s="676"/>
      <c r="R395" s="676"/>
      <c r="S395" s="676"/>
      <c r="T395" s="676"/>
      <c r="U395" s="676"/>
      <c r="V395" s="677"/>
      <c r="W395" s="40" t="s">
        <v>39</v>
      </c>
      <c r="X395" s="41">
        <f>IFERROR(X393/H393,"0")+IFERROR(X394/H394,"0")</f>
        <v>144.44444444444446</v>
      </c>
      <c r="Y395" s="41">
        <f>IFERROR(Y393/H393,"0")+IFERROR(Y394/H394,"0")</f>
        <v>145</v>
      </c>
      <c r="Z395" s="41">
        <f>IFERROR(IF(Z393="",0,Z393),"0")+IFERROR(IF(Z394="",0,Z394),"0")</f>
        <v>2.7521</v>
      </c>
      <c r="AA395" s="64"/>
      <c r="AB395" s="64"/>
      <c r="AC395" s="64"/>
    </row>
    <row r="396" spans="1:68" x14ac:dyDescent="0.2">
      <c r="A396" s="678"/>
      <c r="B396" s="678"/>
      <c r="C396" s="678"/>
      <c r="D396" s="678"/>
      <c r="E396" s="678"/>
      <c r="F396" s="678"/>
      <c r="G396" s="678"/>
      <c r="H396" s="678"/>
      <c r="I396" s="678"/>
      <c r="J396" s="678"/>
      <c r="K396" s="678"/>
      <c r="L396" s="678"/>
      <c r="M396" s="678"/>
      <c r="N396" s="678"/>
      <c r="O396" s="679"/>
      <c r="P396" s="675" t="s">
        <v>40</v>
      </c>
      <c r="Q396" s="676"/>
      <c r="R396" s="676"/>
      <c r="S396" s="676"/>
      <c r="T396" s="676"/>
      <c r="U396" s="676"/>
      <c r="V396" s="677"/>
      <c r="W396" s="40" t="s">
        <v>0</v>
      </c>
      <c r="X396" s="41">
        <f>IFERROR(SUM(X393:X394),"0")</f>
        <v>1300</v>
      </c>
      <c r="Y396" s="41">
        <f>IFERROR(SUM(Y393:Y394),"0")</f>
        <v>1305</v>
      </c>
      <c r="Z396" s="40"/>
      <c r="AA396" s="64"/>
      <c r="AB396" s="64"/>
      <c r="AC396" s="64"/>
    </row>
    <row r="397" spans="1:68" ht="14.25" hidden="1" customHeight="1" x14ac:dyDescent="0.25">
      <c r="A397" s="670" t="s">
        <v>186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671">
        <v>4607091384673</v>
      </c>
      <c r="E398" s="671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5" t="s">
        <v>630</v>
      </c>
      <c r="Q398" s="673"/>
      <c r="R398" s="673"/>
      <c r="S398" s="673"/>
      <c r="T398" s="674"/>
      <c r="U398" s="37" t="s">
        <v>45</v>
      </c>
      <c r="V398" s="37" t="s">
        <v>45</v>
      </c>
      <c r="W398" s="38" t="s">
        <v>0</v>
      </c>
      <c r="X398" s="56">
        <v>510</v>
      </c>
      <c r="Y398" s="53">
        <f>IFERROR(IF(X398="",0,CEILING((X398/$H398),1)*$H398),"")</f>
        <v>513</v>
      </c>
      <c r="Z398" s="39">
        <f>IFERROR(IF(Y398=0,"",ROUNDUP(Y398/H398,0)*0.01898),"")</f>
        <v>1.08186</v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539.41000000000008</v>
      </c>
      <c r="BN398" s="75">
        <f>IFERROR(Y398*I398/H398,"0")</f>
        <v>542.58300000000008</v>
      </c>
      <c r="BO398" s="75">
        <f>IFERROR(1/J398*(X398/H398),"0")</f>
        <v>0.88541666666666663</v>
      </c>
      <c r="BP398" s="75">
        <f>IFERROR(1/J398*(Y398/H398),"0")</f>
        <v>0.890625</v>
      </c>
    </row>
    <row r="399" spans="1:68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IFERROR(X398/H398,"0")</f>
        <v>56.666666666666664</v>
      </c>
      <c r="Y399" s="41">
        <f>IFERROR(Y398/H398,"0")</f>
        <v>57</v>
      </c>
      <c r="Z399" s="41">
        <f>IFERROR(IF(Z398="",0,Z398),"0")</f>
        <v>1.08186</v>
      </c>
      <c r="AA399" s="64"/>
      <c r="AB399" s="64"/>
      <c r="AC399" s="64"/>
    </row>
    <row r="400" spans="1:68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IFERROR(SUM(X398:X398),"0")</f>
        <v>510</v>
      </c>
      <c r="Y400" s="41">
        <f>IFERROR(SUM(Y398:Y398),"0")</f>
        <v>513</v>
      </c>
      <c r="Z400" s="40"/>
      <c r="AA400" s="64"/>
      <c r="AB400" s="64"/>
      <c r="AC400" s="64"/>
    </row>
    <row r="401" spans="1:68" ht="16.5" hidden="1" customHeight="1" x14ac:dyDescent="0.25">
      <c r="A401" s="692" t="s">
        <v>632</v>
      </c>
      <c r="B401" s="692"/>
      <c r="C401" s="692"/>
      <c r="D401" s="692"/>
      <c r="E401" s="692"/>
      <c r="F401" s="692"/>
      <c r="G401" s="692"/>
      <c r="H401" s="692"/>
      <c r="I401" s="692"/>
      <c r="J401" s="692"/>
      <c r="K401" s="692"/>
      <c r="L401" s="692"/>
      <c r="M401" s="692"/>
      <c r="N401" s="692"/>
      <c r="O401" s="692"/>
      <c r="P401" s="692"/>
      <c r="Q401" s="692"/>
      <c r="R401" s="692"/>
      <c r="S401" s="692"/>
      <c r="T401" s="692"/>
      <c r="U401" s="692"/>
      <c r="V401" s="692"/>
      <c r="W401" s="692"/>
      <c r="X401" s="692"/>
      <c r="Y401" s="692"/>
      <c r="Z401" s="692"/>
      <c r="AA401" s="62"/>
      <c r="AB401" s="62"/>
      <c r="AC401" s="62"/>
    </row>
    <row r="402" spans="1:68" ht="14.25" hidden="1" customHeight="1" x14ac:dyDescent="0.25">
      <c r="A402" s="670" t="s">
        <v>109</v>
      </c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0"/>
      <c r="S402" s="670"/>
      <c r="T402" s="670"/>
      <c r="U402" s="670"/>
      <c r="V402" s="670"/>
      <c r="W402" s="670"/>
      <c r="X402" s="670"/>
      <c r="Y402" s="670"/>
      <c r="Z402" s="670"/>
      <c r="AA402" s="63"/>
      <c r="AB402" s="63"/>
      <c r="AC402" s="63"/>
    </row>
    <row r="403" spans="1:68" ht="27" hidden="1" customHeight="1" x14ac:dyDescent="0.25">
      <c r="A403" s="60" t="s">
        <v>633</v>
      </c>
      <c r="B403" s="60" t="s">
        <v>634</v>
      </c>
      <c r="C403" s="34">
        <v>4301011483</v>
      </c>
      <c r="D403" s="671">
        <v>4680115881907</v>
      </c>
      <c r="E403" s="671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hidden="1" customHeight="1" x14ac:dyDescent="0.25">
      <c r="A404" s="60" t="s">
        <v>633</v>
      </c>
      <c r="B404" s="60" t="s">
        <v>636</v>
      </c>
      <c r="C404" s="34">
        <v>4301011873</v>
      </c>
      <c r="D404" s="671">
        <v>4680115881907</v>
      </c>
      <c r="E404" s="671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8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hidden="1" customHeight="1" x14ac:dyDescent="0.25">
      <c r="A405" s="60" t="s">
        <v>638</v>
      </c>
      <c r="B405" s="60" t="s">
        <v>639</v>
      </c>
      <c r="C405" s="34">
        <v>4301011874</v>
      </c>
      <c r="D405" s="671">
        <v>4680115884892</v>
      </c>
      <c r="E405" s="671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8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hidden="1" customHeight="1" x14ac:dyDescent="0.25">
      <c r="A406" s="60" t="s">
        <v>641</v>
      </c>
      <c r="B406" s="60" t="s">
        <v>642</v>
      </c>
      <c r="C406" s="34">
        <v>4301011875</v>
      </c>
      <c r="D406" s="671">
        <v>4680115884885</v>
      </c>
      <c r="E406" s="671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hidden="1" customHeight="1" x14ac:dyDescent="0.25">
      <c r="A407" s="60" t="s">
        <v>643</v>
      </c>
      <c r="B407" s="60" t="s">
        <v>644</v>
      </c>
      <c r="C407" s="34">
        <v>4301011871</v>
      </c>
      <c r="D407" s="671">
        <v>4680115884908</v>
      </c>
      <c r="E407" s="671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78"/>
      <c r="B408" s="678"/>
      <c r="C408" s="678"/>
      <c r="D408" s="678"/>
      <c r="E408" s="678"/>
      <c r="F408" s="678"/>
      <c r="G408" s="678"/>
      <c r="H408" s="678"/>
      <c r="I408" s="678"/>
      <c r="J408" s="678"/>
      <c r="K408" s="678"/>
      <c r="L408" s="678"/>
      <c r="M408" s="678"/>
      <c r="N408" s="678"/>
      <c r="O408" s="679"/>
      <c r="P408" s="675" t="s">
        <v>40</v>
      </c>
      <c r="Q408" s="676"/>
      <c r="R408" s="676"/>
      <c r="S408" s="676"/>
      <c r="T408" s="676"/>
      <c r="U408" s="676"/>
      <c r="V408" s="677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78"/>
      <c r="B409" s="678"/>
      <c r="C409" s="678"/>
      <c r="D409" s="678"/>
      <c r="E409" s="678"/>
      <c r="F409" s="678"/>
      <c r="G409" s="678"/>
      <c r="H409" s="678"/>
      <c r="I409" s="678"/>
      <c r="J409" s="678"/>
      <c r="K409" s="678"/>
      <c r="L409" s="678"/>
      <c r="M409" s="678"/>
      <c r="N409" s="678"/>
      <c r="O409" s="679"/>
      <c r="P409" s="675" t="s">
        <v>40</v>
      </c>
      <c r="Q409" s="676"/>
      <c r="R409" s="676"/>
      <c r="S409" s="676"/>
      <c r="T409" s="676"/>
      <c r="U409" s="676"/>
      <c r="V409" s="677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70" t="s">
        <v>160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671">
        <v>4607091384802</v>
      </c>
      <c r="E411" s="671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7" t="s">
        <v>45</v>
      </c>
      <c r="V411" s="37" t="s">
        <v>45</v>
      </c>
      <c r="W411" s="38" t="s">
        <v>0</v>
      </c>
      <c r="X411" s="56">
        <v>190</v>
      </c>
      <c r="Y411" s="53">
        <f>IFERROR(IF(X411="",0,CEILING((X411/$H411),1)*$H411),"")</f>
        <v>192.72</v>
      </c>
      <c r="Z411" s="39">
        <f>IFERROR(IF(Y411=0,"",ROUNDUP(Y411/H411,0)*0.00902),"")</f>
        <v>0.39688000000000001</v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201.71232876712332</v>
      </c>
      <c r="BN411" s="75">
        <f>IFERROR(Y411*I411/H411,"0")</f>
        <v>204.60000000000002</v>
      </c>
      <c r="BO411" s="75">
        <f>IFERROR(1/J411*(X411/H411),"0")</f>
        <v>0.32862875328628754</v>
      </c>
      <c r="BP411" s="75">
        <f>IFERROR(1/J411*(Y411/H411),"0")</f>
        <v>0.33333333333333337</v>
      </c>
    </row>
    <row r="412" spans="1:68" ht="27" hidden="1" customHeight="1" x14ac:dyDescent="0.25">
      <c r="A412" s="60" t="s">
        <v>648</v>
      </c>
      <c r="B412" s="60" t="s">
        <v>649</v>
      </c>
      <c r="C412" s="34">
        <v>4301031304</v>
      </c>
      <c r="D412" s="671">
        <v>4607091384826</v>
      </c>
      <c r="E412" s="671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8"/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9"/>
      <c r="P413" s="675" t="s">
        <v>40</v>
      </c>
      <c r="Q413" s="676"/>
      <c r="R413" s="676"/>
      <c r="S413" s="676"/>
      <c r="T413" s="676"/>
      <c r="U413" s="676"/>
      <c r="V413" s="677"/>
      <c r="W413" s="40" t="s">
        <v>39</v>
      </c>
      <c r="X413" s="41">
        <f>IFERROR(X411/H411,"0")+IFERROR(X412/H412,"0")</f>
        <v>43.378995433789953</v>
      </c>
      <c r="Y413" s="41">
        <f>IFERROR(Y411/H411,"0")+IFERROR(Y412/H412,"0")</f>
        <v>44</v>
      </c>
      <c r="Z413" s="41">
        <f>IFERROR(IF(Z411="",0,Z411),"0")+IFERROR(IF(Z412="",0,Z412),"0")</f>
        <v>0.39688000000000001</v>
      </c>
      <c r="AA413" s="64"/>
      <c r="AB413" s="64"/>
      <c r="AC413" s="64"/>
    </row>
    <row r="414" spans="1:68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0</v>
      </c>
      <c r="X414" s="41">
        <f>IFERROR(SUM(X411:X412),"0")</f>
        <v>190</v>
      </c>
      <c r="Y414" s="41">
        <f>IFERROR(SUM(Y411:Y412),"0")</f>
        <v>192.72</v>
      </c>
      <c r="Z414" s="40"/>
      <c r="AA414" s="64"/>
      <c r="AB414" s="64"/>
      <c r="AC414" s="64"/>
    </row>
    <row r="415" spans="1:68" ht="14.25" hidden="1" customHeight="1" x14ac:dyDescent="0.25">
      <c r="A415" s="670" t="s">
        <v>78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671">
        <v>4607091384246</v>
      </c>
      <c r="E416" s="671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7" t="s">
        <v>45</v>
      </c>
      <c r="V416" s="37" t="s">
        <v>45</v>
      </c>
      <c r="W416" s="38" t="s">
        <v>0</v>
      </c>
      <c r="X416" s="56">
        <v>60</v>
      </c>
      <c r="Y416" s="53">
        <f>IFERROR(IF(X416="",0,CEILING((X416/$H416),1)*$H416),"")</f>
        <v>63</v>
      </c>
      <c r="Z416" s="39">
        <f>IFERROR(IF(Y416=0,"",ROUNDUP(Y416/H416,0)*0.01898),"")</f>
        <v>0.13286000000000001</v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63.46</v>
      </c>
      <c r="BN416" s="75">
        <f>IFERROR(Y416*I416/H416,"0")</f>
        <v>66.632999999999996</v>
      </c>
      <c r="BO416" s="75">
        <f>IFERROR(1/J416*(X416/H416),"0")</f>
        <v>0.10416666666666667</v>
      </c>
      <c r="BP416" s="75">
        <f>IFERROR(1/J416*(Y416/H416),"0")</f>
        <v>0.109375</v>
      </c>
    </row>
    <row r="417" spans="1:68" ht="37.5" hidden="1" customHeight="1" x14ac:dyDescent="0.25">
      <c r="A417" s="60" t="s">
        <v>653</v>
      </c>
      <c r="B417" s="60" t="s">
        <v>654</v>
      </c>
      <c r="C417" s="34">
        <v>4301051901</v>
      </c>
      <c r="D417" s="671">
        <v>4680115881976</v>
      </c>
      <c r="E417" s="671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3" t="s">
        <v>655</v>
      </c>
      <c r="Q417" s="673"/>
      <c r="R417" s="673"/>
      <c r="S417" s="673"/>
      <c r="T417" s="674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657</v>
      </c>
      <c r="B418" s="60" t="s">
        <v>658</v>
      </c>
      <c r="C418" s="34">
        <v>4301051297</v>
      </c>
      <c r="D418" s="671">
        <v>4607091384253</v>
      </c>
      <c r="E418" s="671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3"/>
      <c r="R418" s="673"/>
      <c r="S418" s="673"/>
      <c r="T418" s="674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657</v>
      </c>
      <c r="B419" s="60" t="s">
        <v>660</v>
      </c>
      <c r="C419" s="34">
        <v>4301051660</v>
      </c>
      <c r="D419" s="671">
        <v>4607091384253</v>
      </c>
      <c r="E419" s="671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3"/>
      <c r="R419" s="673"/>
      <c r="S419" s="673"/>
      <c r="T419" s="674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661</v>
      </c>
      <c r="B420" s="60" t="s">
        <v>662</v>
      </c>
      <c r="C420" s="34">
        <v>4301051444</v>
      </c>
      <c r="D420" s="671">
        <v>4680115881969</v>
      </c>
      <c r="E420" s="671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7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39</v>
      </c>
      <c r="X421" s="41">
        <f>IFERROR(X416/H416,"0")+IFERROR(X417/H417,"0")+IFERROR(X418/H418,"0")+IFERROR(X419/H419,"0")+IFERROR(X420/H420,"0")</f>
        <v>6.666666666666667</v>
      </c>
      <c r="Y421" s="41">
        <f>IFERROR(Y416/H416,"0")+IFERROR(Y417/H417,"0")+IFERROR(Y418/H418,"0")+IFERROR(Y419/H419,"0")+IFERROR(Y420/H420,"0")</f>
        <v>7</v>
      </c>
      <c r="Z421" s="41">
        <f>IFERROR(IF(Z416="",0,Z416),"0")+IFERROR(IF(Z417="",0,Z417),"0")+IFERROR(IF(Z418="",0,Z418),"0")+IFERROR(IF(Z419="",0,Z419),"0")+IFERROR(IF(Z420="",0,Z420),"0")</f>
        <v>0.13286000000000001</v>
      </c>
      <c r="AA421" s="64"/>
      <c r="AB421" s="64"/>
      <c r="AC421" s="64"/>
    </row>
    <row r="422" spans="1:68" x14ac:dyDescent="0.2">
      <c r="A422" s="678"/>
      <c r="B422" s="678"/>
      <c r="C422" s="678"/>
      <c r="D422" s="678"/>
      <c r="E422" s="678"/>
      <c r="F422" s="678"/>
      <c r="G422" s="678"/>
      <c r="H422" s="678"/>
      <c r="I422" s="678"/>
      <c r="J422" s="678"/>
      <c r="K422" s="678"/>
      <c r="L422" s="678"/>
      <c r="M422" s="678"/>
      <c r="N422" s="678"/>
      <c r="O422" s="679"/>
      <c r="P422" s="675" t="s">
        <v>40</v>
      </c>
      <c r="Q422" s="676"/>
      <c r="R422" s="676"/>
      <c r="S422" s="676"/>
      <c r="T422" s="676"/>
      <c r="U422" s="676"/>
      <c r="V422" s="677"/>
      <c r="W422" s="40" t="s">
        <v>0</v>
      </c>
      <c r="X422" s="41">
        <f>IFERROR(SUM(X416:X420),"0")</f>
        <v>60</v>
      </c>
      <c r="Y422" s="41">
        <f>IFERROR(SUM(Y416:Y420),"0")</f>
        <v>63</v>
      </c>
      <c r="Z422" s="40"/>
      <c r="AA422" s="64"/>
      <c r="AB422" s="64"/>
      <c r="AC422" s="64"/>
    </row>
    <row r="423" spans="1:68" ht="14.25" hidden="1" customHeight="1" x14ac:dyDescent="0.25">
      <c r="A423" s="670" t="s">
        <v>186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3"/>
      <c r="AB423" s="63"/>
      <c r="AC423" s="63"/>
    </row>
    <row r="424" spans="1:68" ht="27" hidden="1" customHeight="1" x14ac:dyDescent="0.25">
      <c r="A424" s="60" t="s">
        <v>664</v>
      </c>
      <c r="B424" s="60" t="s">
        <v>665</v>
      </c>
      <c r="C424" s="34">
        <v>4301060441</v>
      </c>
      <c r="D424" s="671">
        <v>4607091389357</v>
      </c>
      <c r="E424" s="671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78" t="s">
        <v>666</v>
      </c>
      <c r="Q424" s="673"/>
      <c r="R424" s="673"/>
      <c r="S424" s="673"/>
      <c r="T424" s="67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678"/>
      <c r="B426" s="678"/>
      <c r="C426" s="678"/>
      <c r="D426" s="678"/>
      <c r="E426" s="678"/>
      <c r="F426" s="678"/>
      <c r="G426" s="678"/>
      <c r="H426" s="678"/>
      <c r="I426" s="678"/>
      <c r="J426" s="678"/>
      <c r="K426" s="678"/>
      <c r="L426" s="678"/>
      <c r="M426" s="678"/>
      <c r="N426" s="678"/>
      <c r="O426" s="679"/>
      <c r="P426" s="675" t="s">
        <v>40</v>
      </c>
      <c r="Q426" s="676"/>
      <c r="R426" s="676"/>
      <c r="S426" s="676"/>
      <c r="T426" s="676"/>
      <c r="U426" s="676"/>
      <c r="V426" s="677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16" t="s">
        <v>668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  <c r="AA427" s="52"/>
      <c r="AB427" s="52"/>
      <c r="AC427" s="52"/>
    </row>
    <row r="428" spans="1:68" ht="16.5" hidden="1" customHeight="1" x14ac:dyDescent="0.25">
      <c r="A428" s="692" t="s">
        <v>669</v>
      </c>
      <c r="B428" s="692"/>
      <c r="C428" s="692"/>
      <c r="D428" s="692"/>
      <c r="E428" s="692"/>
      <c r="F428" s="692"/>
      <c r="G428" s="692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  <c r="U428" s="692"/>
      <c r="V428" s="692"/>
      <c r="W428" s="692"/>
      <c r="X428" s="692"/>
      <c r="Y428" s="692"/>
      <c r="Z428" s="692"/>
      <c r="AA428" s="62"/>
      <c r="AB428" s="62"/>
      <c r="AC428" s="62"/>
    </row>
    <row r="429" spans="1:68" ht="14.25" hidden="1" customHeight="1" x14ac:dyDescent="0.25">
      <c r="A429" s="670" t="s">
        <v>160</v>
      </c>
      <c r="B429" s="670"/>
      <c r="C429" s="670"/>
      <c r="D429" s="670"/>
      <c r="E429" s="670"/>
      <c r="F429" s="670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0"/>
      <c r="S429" s="670"/>
      <c r="T429" s="670"/>
      <c r="U429" s="670"/>
      <c r="V429" s="670"/>
      <c r="W429" s="670"/>
      <c r="X429" s="670"/>
      <c r="Y429" s="670"/>
      <c r="Z429" s="670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671">
        <v>4680115886100</v>
      </c>
      <c r="E430" s="671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79" t="s">
        <v>672</v>
      </c>
      <c r="Q430" s="673"/>
      <c r="R430" s="673"/>
      <c r="S430" s="673"/>
      <c r="T430" s="674"/>
      <c r="U430" s="37" t="s">
        <v>45</v>
      </c>
      <c r="V430" s="37" t="s">
        <v>45</v>
      </c>
      <c r="W430" s="38" t="s">
        <v>0</v>
      </c>
      <c r="X430" s="56">
        <v>60</v>
      </c>
      <c r="Y430" s="53">
        <f t="shared" ref="Y430:Y441" si="63">IFERROR(IF(X430="",0,CEILING((X430/$H430),1)*$H430),"")</f>
        <v>64.800000000000011</v>
      </c>
      <c r="Z430" s="39">
        <f>IFERROR(IF(Y430=0,"",ROUNDUP(Y430/H430,0)*0.00902),"")</f>
        <v>0.10824</v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62.333333333333336</v>
      </c>
      <c r="BN430" s="75">
        <f t="shared" ref="BN430:BN441" si="65">IFERROR(Y430*I430/H430,"0")</f>
        <v>67.320000000000007</v>
      </c>
      <c r="BO430" s="75">
        <f t="shared" ref="BO430:BO441" si="66">IFERROR(1/J430*(X430/H430),"0")</f>
        <v>8.4175084175084181E-2</v>
      </c>
      <c r="BP430" s="75">
        <f t="shared" ref="BP430:BP441" si="67">IFERROR(1/J430*(Y430/H430),"0")</f>
        <v>9.0909090909090925E-2</v>
      </c>
    </row>
    <row r="431" spans="1:68" ht="27" hidden="1" customHeight="1" x14ac:dyDescent="0.25">
      <c r="A431" s="60" t="s">
        <v>674</v>
      </c>
      <c r="B431" s="60" t="s">
        <v>675</v>
      </c>
      <c r="C431" s="34">
        <v>4301031406</v>
      </c>
      <c r="D431" s="671">
        <v>4680115886117</v>
      </c>
      <c r="E431" s="671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67" t="s">
        <v>676</v>
      </c>
      <c r="Q431" s="673"/>
      <c r="R431" s="673"/>
      <c r="S431" s="673"/>
      <c r="T431" s="674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hidden="1" customHeight="1" x14ac:dyDescent="0.25">
      <c r="A432" s="60" t="s">
        <v>674</v>
      </c>
      <c r="B432" s="60" t="s">
        <v>678</v>
      </c>
      <c r="C432" s="34">
        <v>4301031382</v>
      </c>
      <c r="D432" s="671">
        <v>4680115886117</v>
      </c>
      <c r="E432" s="671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68" t="s">
        <v>676</v>
      </c>
      <c r="Q432" s="673"/>
      <c r="R432" s="673"/>
      <c r="S432" s="673"/>
      <c r="T432" s="674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671">
        <v>4680115886124</v>
      </c>
      <c r="E433" s="671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69" t="s">
        <v>681</v>
      </c>
      <c r="Q433" s="673"/>
      <c r="R433" s="673"/>
      <c r="S433" s="673"/>
      <c r="T433" s="674"/>
      <c r="U433" s="37" t="s">
        <v>45</v>
      </c>
      <c r="V433" s="37" t="s">
        <v>45</v>
      </c>
      <c r="W433" s="38" t="s">
        <v>0</v>
      </c>
      <c r="X433" s="56">
        <v>50</v>
      </c>
      <c r="Y433" s="53">
        <f t="shared" si="63"/>
        <v>54</v>
      </c>
      <c r="Z433" s="39">
        <f>IFERROR(IF(Y433=0,"",ROUNDUP(Y433/H433,0)*0.00902),"")</f>
        <v>9.0200000000000002E-2</v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51.944444444444443</v>
      </c>
      <c r="BN433" s="75">
        <f t="shared" si="65"/>
        <v>56.099999999999994</v>
      </c>
      <c r="BO433" s="75">
        <f t="shared" si="66"/>
        <v>7.0145903479236812E-2</v>
      </c>
      <c r="BP433" s="75">
        <f t="shared" si="67"/>
        <v>7.575757575757576E-2</v>
      </c>
    </row>
    <row r="434" spans="1:68" ht="27" hidden="1" customHeight="1" x14ac:dyDescent="0.25">
      <c r="A434" s="60" t="s">
        <v>683</v>
      </c>
      <c r="B434" s="60" t="s">
        <v>684</v>
      </c>
      <c r="C434" s="34">
        <v>4301031335</v>
      </c>
      <c r="D434" s="671">
        <v>4680115883147</v>
      </c>
      <c r="E434" s="671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683</v>
      </c>
      <c r="B435" s="60" t="s">
        <v>685</v>
      </c>
      <c r="C435" s="34">
        <v>4301031366</v>
      </c>
      <c r="D435" s="671">
        <v>4680115883147</v>
      </c>
      <c r="E435" s="671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1" t="s">
        <v>686</v>
      </c>
      <c r="Q435" s="673"/>
      <c r="R435" s="673"/>
      <c r="S435" s="673"/>
      <c r="T435" s="674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687</v>
      </c>
      <c r="B436" s="60" t="s">
        <v>688</v>
      </c>
      <c r="C436" s="34">
        <v>4301031362</v>
      </c>
      <c r="D436" s="671">
        <v>4607091384338</v>
      </c>
      <c r="E436" s="671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hidden="1" customHeight="1" x14ac:dyDescent="0.25">
      <c r="A437" s="60" t="s">
        <v>689</v>
      </c>
      <c r="B437" s="60" t="s">
        <v>690</v>
      </c>
      <c r="C437" s="34">
        <v>4301031361</v>
      </c>
      <c r="D437" s="671">
        <v>4607091389524</v>
      </c>
      <c r="E437" s="671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hidden="1" customHeight="1" x14ac:dyDescent="0.25">
      <c r="A438" s="60" t="s">
        <v>692</v>
      </c>
      <c r="B438" s="60" t="s">
        <v>693</v>
      </c>
      <c r="C438" s="34">
        <v>4301031337</v>
      </c>
      <c r="D438" s="671">
        <v>4680115883161</v>
      </c>
      <c r="E438" s="671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hidden="1" customHeight="1" x14ac:dyDescent="0.25">
      <c r="A439" s="60" t="s">
        <v>692</v>
      </c>
      <c r="B439" s="60" t="s">
        <v>695</v>
      </c>
      <c r="C439" s="34">
        <v>4301031364</v>
      </c>
      <c r="D439" s="671">
        <v>4680115883161</v>
      </c>
      <c r="E439" s="671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5" t="s">
        <v>696</v>
      </c>
      <c r="Q439" s="673"/>
      <c r="R439" s="673"/>
      <c r="S439" s="673"/>
      <c r="T439" s="67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hidden="1" customHeight="1" x14ac:dyDescent="0.25">
      <c r="A440" s="60" t="s">
        <v>697</v>
      </c>
      <c r="B440" s="60" t="s">
        <v>698</v>
      </c>
      <c r="C440" s="34">
        <v>4301031358</v>
      </c>
      <c r="D440" s="671">
        <v>4607091389531</v>
      </c>
      <c r="E440" s="671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hidden="1" customHeight="1" x14ac:dyDescent="0.25">
      <c r="A441" s="60" t="s">
        <v>700</v>
      </c>
      <c r="B441" s="60" t="s">
        <v>701</v>
      </c>
      <c r="C441" s="34">
        <v>4301031360</v>
      </c>
      <c r="D441" s="671">
        <v>4607091384345</v>
      </c>
      <c r="E441" s="671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20.37037037037037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22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0.19844000000000001</v>
      </c>
      <c r="AA442" s="64"/>
      <c r="AB442" s="64"/>
      <c r="AC442" s="64"/>
    </row>
    <row r="443" spans="1:68" x14ac:dyDescent="0.2">
      <c r="A443" s="678"/>
      <c r="B443" s="678"/>
      <c r="C443" s="678"/>
      <c r="D443" s="678"/>
      <c r="E443" s="678"/>
      <c r="F443" s="678"/>
      <c r="G443" s="678"/>
      <c r="H443" s="678"/>
      <c r="I443" s="678"/>
      <c r="J443" s="678"/>
      <c r="K443" s="678"/>
      <c r="L443" s="678"/>
      <c r="M443" s="678"/>
      <c r="N443" s="678"/>
      <c r="O443" s="679"/>
      <c r="P443" s="675" t="s">
        <v>40</v>
      </c>
      <c r="Q443" s="676"/>
      <c r="R443" s="676"/>
      <c r="S443" s="676"/>
      <c r="T443" s="676"/>
      <c r="U443" s="676"/>
      <c r="V443" s="677"/>
      <c r="W443" s="40" t="s">
        <v>0</v>
      </c>
      <c r="X443" s="41">
        <f>IFERROR(SUM(X430:X441),"0")</f>
        <v>110</v>
      </c>
      <c r="Y443" s="41">
        <f>IFERROR(SUM(Y430:Y441),"0")</f>
        <v>118.80000000000001</v>
      </c>
      <c r="Z443" s="40"/>
      <c r="AA443" s="64"/>
      <c r="AB443" s="64"/>
      <c r="AC443" s="64"/>
    </row>
    <row r="444" spans="1:68" ht="14.25" hidden="1" customHeight="1" x14ac:dyDescent="0.25">
      <c r="A444" s="670" t="s">
        <v>78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63"/>
      <c r="AB444" s="63"/>
      <c r="AC444" s="63"/>
    </row>
    <row r="445" spans="1:68" ht="27" hidden="1" customHeight="1" x14ac:dyDescent="0.25">
      <c r="A445" s="60" t="s">
        <v>702</v>
      </c>
      <c r="B445" s="60" t="s">
        <v>703</v>
      </c>
      <c r="C445" s="34">
        <v>4301051284</v>
      </c>
      <c r="D445" s="671">
        <v>4607091384352</v>
      </c>
      <c r="E445" s="671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hidden="1" customHeight="1" x14ac:dyDescent="0.25">
      <c r="A446" s="60" t="s">
        <v>705</v>
      </c>
      <c r="B446" s="60" t="s">
        <v>706</v>
      </c>
      <c r="C446" s="34">
        <v>4301051431</v>
      </c>
      <c r="D446" s="671">
        <v>4607091389654</v>
      </c>
      <c r="E446" s="671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78"/>
      <c r="B448" s="678"/>
      <c r="C448" s="678"/>
      <c r="D448" s="678"/>
      <c r="E448" s="678"/>
      <c r="F448" s="678"/>
      <c r="G448" s="678"/>
      <c r="H448" s="678"/>
      <c r="I448" s="678"/>
      <c r="J448" s="678"/>
      <c r="K448" s="678"/>
      <c r="L448" s="678"/>
      <c r="M448" s="678"/>
      <c r="N448" s="678"/>
      <c r="O448" s="679"/>
      <c r="P448" s="675" t="s">
        <v>40</v>
      </c>
      <c r="Q448" s="676"/>
      <c r="R448" s="676"/>
      <c r="S448" s="676"/>
      <c r="T448" s="676"/>
      <c r="U448" s="676"/>
      <c r="V448" s="67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92" t="s">
        <v>708</v>
      </c>
      <c r="B449" s="692"/>
      <c r="C449" s="692"/>
      <c r="D449" s="692"/>
      <c r="E449" s="692"/>
      <c r="F449" s="692"/>
      <c r="G449" s="692"/>
      <c r="H449" s="692"/>
      <c r="I449" s="692"/>
      <c r="J449" s="692"/>
      <c r="K449" s="692"/>
      <c r="L449" s="692"/>
      <c r="M449" s="692"/>
      <c r="N449" s="692"/>
      <c r="O449" s="692"/>
      <c r="P449" s="692"/>
      <c r="Q449" s="692"/>
      <c r="R449" s="692"/>
      <c r="S449" s="692"/>
      <c r="T449" s="692"/>
      <c r="U449" s="692"/>
      <c r="V449" s="692"/>
      <c r="W449" s="692"/>
      <c r="X449" s="692"/>
      <c r="Y449" s="692"/>
      <c r="Z449" s="692"/>
      <c r="AA449" s="62"/>
      <c r="AB449" s="62"/>
      <c r="AC449" s="62"/>
    </row>
    <row r="450" spans="1:68" ht="14.25" hidden="1" customHeight="1" x14ac:dyDescent="0.25">
      <c r="A450" s="670" t="s">
        <v>149</v>
      </c>
      <c r="B450" s="670"/>
      <c r="C450" s="670"/>
      <c r="D450" s="670"/>
      <c r="E450" s="670"/>
      <c r="F450" s="670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0"/>
      <c r="S450" s="670"/>
      <c r="T450" s="670"/>
      <c r="U450" s="670"/>
      <c r="V450" s="670"/>
      <c r="W450" s="670"/>
      <c r="X450" s="670"/>
      <c r="Y450" s="670"/>
      <c r="Z450" s="670"/>
      <c r="AA450" s="63"/>
      <c r="AB450" s="63"/>
      <c r="AC450" s="63"/>
    </row>
    <row r="451" spans="1:68" ht="27" hidden="1" customHeight="1" x14ac:dyDescent="0.25">
      <c r="A451" s="60" t="s">
        <v>709</v>
      </c>
      <c r="B451" s="60" t="s">
        <v>710</v>
      </c>
      <c r="C451" s="34">
        <v>4301020319</v>
      </c>
      <c r="D451" s="671">
        <v>4680115885240</v>
      </c>
      <c r="E451" s="671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712</v>
      </c>
      <c r="B452" s="60" t="s">
        <v>713</v>
      </c>
      <c r="C452" s="34">
        <v>4301020315</v>
      </c>
      <c r="D452" s="671">
        <v>4607091389364</v>
      </c>
      <c r="E452" s="671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78"/>
      <c r="B453" s="678"/>
      <c r="C453" s="678"/>
      <c r="D453" s="678"/>
      <c r="E453" s="678"/>
      <c r="F453" s="678"/>
      <c r="G453" s="678"/>
      <c r="H453" s="678"/>
      <c r="I453" s="678"/>
      <c r="J453" s="678"/>
      <c r="K453" s="678"/>
      <c r="L453" s="678"/>
      <c r="M453" s="678"/>
      <c r="N453" s="678"/>
      <c r="O453" s="679"/>
      <c r="P453" s="675" t="s">
        <v>40</v>
      </c>
      <c r="Q453" s="676"/>
      <c r="R453" s="676"/>
      <c r="S453" s="676"/>
      <c r="T453" s="676"/>
      <c r="U453" s="676"/>
      <c r="V453" s="67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78"/>
      <c r="B454" s="678"/>
      <c r="C454" s="678"/>
      <c r="D454" s="678"/>
      <c r="E454" s="678"/>
      <c r="F454" s="678"/>
      <c r="G454" s="678"/>
      <c r="H454" s="678"/>
      <c r="I454" s="678"/>
      <c r="J454" s="678"/>
      <c r="K454" s="678"/>
      <c r="L454" s="678"/>
      <c r="M454" s="678"/>
      <c r="N454" s="678"/>
      <c r="O454" s="679"/>
      <c r="P454" s="675" t="s">
        <v>40</v>
      </c>
      <c r="Q454" s="676"/>
      <c r="R454" s="676"/>
      <c r="S454" s="676"/>
      <c r="T454" s="676"/>
      <c r="U454" s="676"/>
      <c r="V454" s="67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70" t="s">
        <v>160</v>
      </c>
      <c r="B455" s="670"/>
      <c r="C455" s="670"/>
      <c r="D455" s="670"/>
      <c r="E455" s="670"/>
      <c r="F455" s="670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0"/>
      <c r="S455" s="670"/>
      <c r="T455" s="670"/>
      <c r="U455" s="670"/>
      <c r="V455" s="670"/>
      <c r="W455" s="670"/>
      <c r="X455" s="670"/>
      <c r="Y455" s="670"/>
      <c r="Z455" s="670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671">
        <v>4680115886094</v>
      </c>
      <c r="E456" s="671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59" t="s">
        <v>717</v>
      </c>
      <c r="Q456" s="673"/>
      <c r="R456" s="673"/>
      <c r="S456" s="673"/>
      <c r="T456" s="674"/>
      <c r="U456" s="37" t="s">
        <v>45</v>
      </c>
      <c r="V456" s="37" t="s">
        <v>45</v>
      </c>
      <c r="W456" s="38" t="s">
        <v>0</v>
      </c>
      <c r="X456" s="56">
        <v>165</v>
      </c>
      <c r="Y456" s="53">
        <f>IFERROR(IF(X456="",0,CEILING((X456/$H456),1)*$H456),"")</f>
        <v>167.4</v>
      </c>
      <c r="Z456" s="39">
        <f>IFERROR(IF(Y456=0,"",ROUNDUP(Y456/H456,0)*0.00902),"")</f>
        <v>0.27961999999999998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171.41666666666669</v>
      </c>
      <c r="BN456" s="75">
        <f>IFERROR(Y456*I456/H456,"0")</f>
        <v>173.91</v>
      </c>
      <c r="BO456" s="75">
        <f>IFERROR(1/J456*(X456/H456),"0")</f>
        <v>0.23148148148148148</v>
      </c>
      <c r="BP456" s="75">
        <f>IFERROR(1/J456*(Y456/H456),"0")</f>
        <v>0.23484848484848486</v>
      </c>
    </row>
    <row r="457" spans="1:68" ht="27" hidden="1" customHeight="1" x14ac:dyDescent="0.25">
      <c r="A457" s="60" t="s">
        <v>719</v>
      </c>
      <c r="B457" s="60" t="s">
        <v>720</v>
      </c>
      <c r="C457" s="34">
        <v>4301031363</v>
      </c>
      <c r="D457" s="671">
        <v>4607091389425</v>
      </c>
      <c r="E457" s="671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722</v>
      </c>
      <c r="B458" s="60" t="s">
        <v>723</v>
      </c>
      <c r="C458" s="34">
        <v>4301031373</v>
      </c>
      <c r="D458" s="671">
        <v>4680115880771</v>
      </c>
      <c r="E458" s="671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1" t="s">
        <v>724</v>
      </c>
      <c r="Q458" s="673"/>
      <c r="R458" s="673"/>
      <c r="S458" s="673"/>
      <c r="T458" s="67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726</v>
      </c>
      <c r="B459" s="60" t="s">
        <v>727</v>
      </c>
      <c r="C459" s="34">
        <v>4301031359</v>
      </c>
      <c r="D459" s="671">
        <v>4607091389500</v>
      </c>
      <c r="E459" s="671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8"/>
      <c r="B460" s="678"/>
      <c r="C460" s="678"/>
      <c r="D460" s="678"/>
      <c r="E460" s="678"/>
      <c r="F460" s="678"/>
      <c r="G460" s="678"/>
      <c r="H460" s="678"/>
      <c r="I460" s="678"/>
      <c r="J460" s="678"/>
      <c r="K460" s="678"/>
      <c r="L460" s="678"/>
      <c r="M460" s="678"/>
      <c r="N460" s="678"/>
      <c r="O460" s="679"/>
      <c r="P460" s="675" t="s">
        <v>40</v>
      </c>
      <c r="Q460" s="676"/>
      <c r="R460" s="676"/>
      <c r="S460" s="676"/>
      <c r="T460" s="676"/>
      <c r="U460" s="676"/>
      <c r="V460" s="677"/>
      <c r="W460" s="40" t="s">
        <v>39</v>
      </c>
      <c r="X460" s="41">
        <f>IFERROR(X456/H456,"0")+IFERROR(X457/H457,"0")+IFERROR(X458/H458,"0")+IFERROR(X459/H459,"0")</f>
        <v>30.555555555555554</v>
      </c>
      <c r="Y460" s="41">
        <f>IFERROR(Y456/H456,"0")+IFERROR(Y457/H457,"0")+IFERROR(Y458/H458,"0")+IFERROR(Y459/H459,"0")</f>
        <v>31</v>
      </c>
      <c r="Z460" s="41">
        <f>IFERROR(IF(Z456="",0,Z456),"0")+IFERROR(IF(Z457="",0,Z457),"0")+IFERROR(IF(Z458="",0,Z458),"0")+IFERROR(IF(Z459="",0,Z459),"0")</f>
        <v>0.27961999999999998</v>
      </c>
      <c r="AA460" s="64"/>
      <c r="AB460" s="64"/>
      <c r="AC460" s="64"/>
    </row>
    <row r="461" spans="1:68" x14ac:dyDescent="0.2">
      <c r="A461" s="678"/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9"/>
      <c r="P461" s="675" t="s">
        <v>40</v>
      </c>
      <c r="Q461" s="676"/>
      <c r="R461" s="676"/>
      <c r="S461" s="676"/>
      <c r="T461" s="676"/>
      <c r="U461" s="676"/>
      <c r="V461" s="677"/>
      <c r="W461" s="40" t="s">
        <v>0</v>
      </c>
      <c r="X461" s="41">
        <f>IFERROR(SUM(X456:X459),"0")</f>
        <v>165</v>
      </c>
      <c r="Y461" s="41">
        <f>IFERROR(SUM(Y456:Y459),"0")</f>
        <v>167.4</v>
      </c>
      <c r="Z461" s="40"/>
      <c r="AA461" s="64"/>
      <c r="AB461" s="64"/>
      <c r="AC461" s="64"/>
    </row>
    <row r="462" spans="1:68" ht="16.5" hidden="1" customHeight="1" x14ac:dyDescent="0.25">
      <c r="A462" s="692" t="s">
        <v>728</v>
      </c>
      <c r="B462" s="692"/>
      <c r="C462" s="692"/>
      <c r="D462" s="692"/>
      <c r="E462" s="692"/>
      <c r="F462" s="692"/>
      <c r="G462" s="692"/>
      <c r="H462" s="692"/>
      <c r="I462" s="692"/>
      <c r="J462" s="692"/>
      <c r="K462" s="692"/>
      <c r="L462" s="692"/>
      <c r="M462" s="692"/>
      <c r="N462" s="692"/>
      <c r="O462" s="692"/>
      <c r="P462" s="692"/>
      <c r="Q462" s="692"/>
      <c r="R462" s="692"/>
      <c r="S462" s="692"/>
      <c r="T462" s="692"/>
      <c r="U462" s="692"/>
      <c r="V462" s="692"/>
      <c r="W462" s="692"/>
      <c r="X462" s="692"/>
      <c r="Y462" s="692"/>
      <c r="Z462" s="692"/>
      <c r="AA462" s="62"/>
      <c r="AB462" s="62"/>
      <c r="AC462" s="62"/>
    </row>
    <row r="463" spans="1:68" ht="14.25" hidden="1" customHeight="1" x14ac:dyDescent="0.25">
      <c r="A463" s="670" t="s">
        <v>160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3"/>
      <c r="AB463" s="63"/>
      <c r="AC463" s="63"/>
    </row>
    <row r="464" spans="1:68" ht="27" hidden="1" customHeight="1" x14ac:dyDescent="0.25">
      <c r="A464" s="60" t="s">
        <v>729</v>
      </c>
      <c r="B464" s="60" t="s">
        <v>730</v>
      </c>
      <c r="C464" s="34">
        <v>4301031294</v>
      </c>
      <c r="D464" s="671">
        <v>4680115885189</v>
      </c>
      <c r="E464" s="671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732</v>
      </c>
      <c r="B465" s="60" t="s">
        <v>733</v>
      </c>
      <c r="C465" s="34">
        <v>4301031347</v>
      </c>
      <c r="D465" s="671">
        <v>4680115885110</v>
      </c>
      <c r="E465" s="671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5" t="s">
        <v>734</v>
      </c>
      <c r="Q465" s="673"/>
      <c r="R465" s="673"/>
      <c r="S465" s="673"/>
      <c r="T465" s="67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8"/>
      <c r="B466" s="678"/>
      <c r="C466" s="678"/>
      <c r="D466" s="678"/>
      <c r="E466" s="678"/>
      <c r="F466" s="678"/>
      <c r="G466" s="678"/>
      <c r="H466" s="678"/>
      <c r="I466" s="678"/>
      <c r="J466" s="678"/>
      <c r="K466" s="678"/>
      <c r="L466" s="678"/>
      <c r="M466" s="678"/>
      <c r="N466" s="678"/>
      <c r="O466" s="679"/>
      <c r="P466" s="675" t="s">
        <v>40</v>
      </c>
      <c r="Q466" s="676"/>
      <c r="R466" s="676"/>
      <c r="S466" s="676"/>
      <c r="T466" s="676"/>
      <c r="U466" s="676"/>
      <c r="V466" s="677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678"/>
      <c r="B467" s="678"/>
      <c r="C467" s="678"/>
      <c r="D467" s="678"/>
      <c r="E467" s="678"/>
      <c r="F467" s="678"/>
      <c r="G467" s="678"/>
      <c r="H467" s="678"/>
      <c r="I467" s="678"/>
      <c r="J467" s="678"/>
      <c r="K467" s="678"/>
      <c r="L467" s="678"/>
      <c r="M467" s="678"/>
      <c r="N467" s="678"/>
      <c r="O467" s="679"/>
      <c r="P467" s="675" t="s">
        <v>40</v>
      </c>
      <c r="Q467" s="676"/>
      <c r="R467" s="676"/>
      <c r="S467" s="676"/>
      <c r="T467" s="676"/>
      <c r="U467" s="676"/>
      <c r="V467" s="677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hidden="1" customHeight="1" x14ac:dyDescent="0.25">
      <c r="A468" s="692" t="s">
        <v>736</v>
      </c>
      <c r="B468" s="692"/>
      <c r="C468" s="692"/>
      <c r="D468" s="692"/>
      <c r="E468" s="692"/>
      <c r="F468" s="692"/>
      <c r="G468" s="692"/>
      <c r="H468" s="692"/>
      <c r="I468" s="692"/>
      <c r="J468" s="692"/>
      <c r="K468" s="692"/>
      <c r="L468" s="692"/>
      <c r="M468" s="692"/>
      <c r="N468" s="692"/>
      <c r="O468" s="692"/>
      <c r="P468" s="692"/>
      <c r="Q468" s="692"/>
      <c r="R468" s="692"/>
      <c r="S468" s="692"/>
      <c r="T468" s="692"/>
      <c r="U468" s="692"/>
      <c r="V468" s="692"/>
      <c r="W468" s="692"/>
      <c r="X468" s="692"/>
      <c r="Y468" s="692"/>
      <c r="Z468" s="692"/>
      <c r="AA468" s="62"/>
      <c r="AB468" s="62"/>
      <c r="AC468" s="62"/>
    </row>
    <row r="469" spans="1:68" ht="14.25" hidden="1" customHeight="1" x14ac:dyDescent="0.25">
      <c r="A469" s="670" t="s">
        <v>160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3"/>
      <c r="AB469" s="63"/>
      <c r="AC469" s="63"/>
    </row>
    <row r="470" spans="1:68" ht="27" hidden="1" customHeight="1" x14ac:dyDescent="0.25">
      <c r="A470" s="60" t="s">
        <v>737</v>
      </c>
      <c r="B470" s="60" t="s">
        <v>738</v>
      </c>
      <c r="C470" s="34">
        <v>4301031261</v>
      </c>
      <c r="D470" s="671">
        <v>4680115885103</v>
      </c>
      <c r="E470" s="671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70" t="s">
        <v>186</v>
      </c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0"/>
      <c r="S473" s="670"/>
      <c r="T473" s="670"/>
      <c r="U473" s="670"/>
      <c r="V473" s="670"/>
      <c r="W473" s="670"/>
      <c r="X473" s="670"/>
      <c r="Y473" s="670"/>
      <c r="Z473" s="670"/>
      <c r="AA473" s="63"/>
      <c r="AB473" s="63"/>
      <c r="AC473" s="63"/>
    </row>
    <row r="474" spans="1:68" ht="27" hidden="1" customHeight="1" x14ac:dyDescent="0.25">
      <c r="A474" s="60" t="s">
        <v>740</v>
      </c>
      <c r="B474" s="60" t="s">
        <v>741</v>
      </c>
      <c r="C474" s="34">
        <v>4301060412</v>
      </c>
      <c r="D474" s="671">
        <v>4680115885509</v>
      </c>
      <c r="E474" s="671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4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678"/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9"/>
      <c r="P475" s="675" t="s">
        <v>40</v>
      </c>
      <c r="Q475" s="676"/>
      <c r="R475" s="676"/>
      <c r="S475" s="676"/>
      <c r="T475" s="676"/>
      <c r="U475" s="676"/>
      <c r="V475" s="677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678"/>
      <c r="B476" s="678"/>
      <c r="C476" s="678"/>
      <c r="D476" s="678"/>
      <c r="E476" s="678"/>
      <c r="F476" s="678"/>
      <c r="G476" s="678"/>
      <c r="H476" s="678"/>
      <c r="I476" s="678"/>
      <c r="J476" s="678"/>
      <c r="K476" s="678"/>
      <c r="L476" s="678"/>
      <c r="M476" s="678"/>
      <c r="N476" s="678"/>
      <c r="O476" s="679"/>
      <c r="P476" s="675" t="s">
        <v>40</v>
      </c>
      <c r="Q476" s="676"/>
      <c r="R476" s="676"/>
      <c r="S476" s="676"/>
      <c r="T476" s="676"/>
      <c r="U476" s="676"/>
      <c r="V476" s="677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hidden="1" customHeight="1" x14ac:dyDescent="0.2">
      <c r="A477" s="716" t="s">
        <v>743</v>
      </c>
      <c r="B477" s="716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  <c r="AA477" s="52"/>
      <c r="AB477" s="52"/>
      <c r="AC477" s="52"/>
    </row>
    <row r="478" spans="1:68" ht="16.5" hidden="1" customHeight="1" x14ac:dyDescent="0.25">
      <c r="A478" s="692" t="s">
        <v>743</v>
      </c>
      <c r="B478" s="692"/>
      <c r="C478" s="692"/>
      <c r="D478" s="692"/>
      <c r="E478" s="692"/>
      <c r="F478" s="692"/>
      <c r="G478" s="692"/>
      <c r="H478" s="692"/>
      <c r="I478" s="692"/>
      <c r="J478" s="692"/>
      <c r="K478" s="692"/>
      <c r="L478" s="692"/>
      <c r="M478" s="692"/>
      <c r="N478" s="692"/>
      <c r="O478" s="692"/>
      <c r="P478" s="692"/>
      <c r="Q478" s="692"/>
      <c r="R478" s="692"/>
      <c r="S478" s="692"/>
      <c r="T478" s="692"/>
      <c r="U478" s="692"/>
      <c r="V478" s="692"/>
      <c r="W478" s="692"/>
      <c r="X478" s="692"/>
      <c r="Y478" s="692"/>
      <c r="Z478" s="692"/>
      <c r="AA478" s="62"/>
      <c r="AB478" s="62"/>
      <c r="AC478" s="62"/>
    </row>
    <row r="479" spans="1:68" ht="14.25" hidden="1" customHeight="1" x14ac:dyDescent="0.25">
      <c r="A479" s="670" t="s">
        <v>109</v>
      </c>
      <c r="B479" s="670"/>
      <c r="C479" s="670"/>
      <c r="D479" s="670"/>
      <c r="E479" s="670"/>
      <c r="F479" s="670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0"/>
      <c r="S479" s="670"/>
      <c r="T479" s="670"/>
      <c r="U479" s="670"/>
      <c r="V479" s="670"/>
      <c r="W479" s="670"/>
      <c r="X479" s="670"/>
      <c r="Y479" s="670"/>
      <c r="Z479" s="670"/>
      <c r="AA479" s="63"/>
      <c r="AB479" s="63"/>
      <c r="AC479" s="63"/>
    </row>
    <row r="480" spans="1:68" ht="27" hidden="1" customHeight="1" x14ac:dyDescent="0.25">
      <c r="A480" s="60" t="s">
        <v>744</v>
      </c>
      <c r="B480" s="60" t="s">
        <v>745</v>
      </c>
      <c r="C480" s="34">
        <v>4301011795</v>
      </c>
      <c r="D480" s="671">
        <v>4607091389067</v>
      </c>
      <c r="E480" s="671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hidden="1" customHeight="1" x14ac:dyDescent="0.25">
      <c r="A481" s="60" t="s">
        <v>747</v>
      </c>
      <c r="B481" s="60" t="s">
        <v>748</v>
      </c>
      <c r="C481" s="34">
        <v>4301011961</v>
      </c>
      <c r="D481" s="671">
        <v>4680115885271</v>
      </c>
      <c r="E481" s="671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671">
        <v>4680115885226</v>
      </c>
      <c r="E482" s="671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7" t="s">
        <v>45</v>
      </c>
      <c r="V482" s="37" t="s">
        <v>45</v>
      </c>
      <c r="W482" s="38" t="s">
        <v>0</v>
      </c>
      <c r="X482" s="56">
        <v>270</v>
      </c>
      <c r="Y482" s="53">
        <f t="shared" si="69"/>
        <v>274.56</v>
      </c>
      <c r="Z482" s="39">
        <f>IFERROR(IF(Y482=0,"",ROUNDUP(Y482/H482,0)*0.01196),"")</f>
        <v>0.62192000000000003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288.40909090909088</v>
      </c>
      <c r="BN482" s="75">
        <f t="shared" si="71"/>
        <v>293.27999999999997</v>
      </c>
      <c r="BO482" s="75">
        <f t="shared" si="72"/>
        <v>0.49169580419580416</v>
      </c>
      <c r="BP482" s="75">
        <f t="shared" si="73"/>
        <v>0.5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671">
        <v>4607091389104</v>
      </c>
      <c r="E483" s="671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7" t="s">
        <v>45</v>
      </c>
      <c r="V483" s="37" t="s">
        <v>45</v>
      </c>
      <c r="W483" s="38" t="s">
        <v>0</v>
      </c>
      <c r="X483" s="56">
        <v>180</v>
      </c>
      <c r="Y483" s="53">
        <f t="shared" si="69"/>
        <v>184.8</v>
      </c>
      <c r="Z483" s="39">
        <f>IFERROR(IF(Y483=0,"",ROUNDUP(Y483/H483,0)*0.01196),"")</f>
        <v>0.41860000000000003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192.27272727272725</v>
      </c>
      <c r="BN483" s="75">
        <f t="shared" si="71"/>
        <v>197.39999999999998</v>
      </c>
      <c r="BO483" s="75">
        <f t="shared" si="72"/>
        <v>0.32779720279720276</v>
      </c>
      <c r="BP483" s="75">
        <f t="shared" si="73"/>
        <v>0.33653846153846156</v>
      </c>
    </row>
    <row r="484" spans="1:68" ht="16.5" hidden="1" customHeight="1" x14ac:dyDescent="0.25">
      <c r="A484" s="60" t="s">
        <v>756</v>
      </c>
      <c r="B484" s="60" t="s">
        <v>757</v>
      </c>
      <c r="C484" s="34">
        <v>4301011799</v>
      </c>
      <c r="D484" s="671">
        <v>4680115884519</v>
      </c>
      <c r="E484" s="671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75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hidden="1" customHeight="1" x14ac:dyDescent="0.25">
      <c r="A485" s="60" t="s">
        <v>759</v>
      </c>
      <c r="B485" s="60" t="s">
        <v>760</v>
      </c>
      <c r="C485" s="34">
        <v>4301012125</v>
      </c>
      <c r="D485" s="671">
        <v>4680115886391</v>
      </c>
      <c r="E485" s="671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739" t="s">
        <v>761</v>
      </c>
      <c r="Q485" s="673"/>
      <c r="R485" s="673"/>
      <c r="S485" s="673"/>
      <c r="T485" s="674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hidden="1" customHeight="1" x14ac:dyDescent="0.25">
      <c r="A486" s="60" t="s">
        <v>762</v>
      </c>
      <c r="B486" s="60" t="s">
        <v>763</v>
      </c>
      <c r="C486" s="34">
        <v>4301011778</v>
      </c>
      <c r="D486" s="671">
        <v>4680115880603</v>
      </c>
      <c r="E486" s="671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740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hidden="1" customHeight="1" x14ac:dyDescent="0.25">
      <c r="A487" s="60" t="s">
        <v>762</v>
      </c>
      <c r="B487" s="60" t="s">
        <v>764</v>
      </c>
      <c r="C487" s="34">
        <v>4301012035</v>
      </c>
      <c r="D487" s="671">
        <v>4680115880603</v>
      </c>
      <c r="E487" s="671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hidden="1" customHeight="1" x14ac:dyDescent="0.25">
      <c r="A488" s="60" t="s">
        <v>765</v>
      </c>
      <c r="B488" s="60" t="s">
        <v>766</v>
      </c>
      <c r="C488" s="34">
        <v>4301012036</v>
      </c>
      <c r="D488" s="671">
        <v>4680115882782</v>
      </c>
      <c r="E488" s="671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hidden="1" customHeight="1" x14ac:dyDescent="0.25">
      <c r="A489" s="60" t="s">
        <v>767</v>
      </c>
      <c r="B489" s="60" t="s">
        <v>768</v>
      </c>
      <c r="C489" s="34">
        <v>4301012055</v>
      </c>
      <c r="D489" s="671">
        <v>4680115886469</v>
      </c>
      <c r="E489" s="671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3" t="s">
        <v>769</v>
      </c>
      <c r="Q489" s="673"/>
      <c r="R489" s="673"/>
      <c r="S489" s="673"/>
      <c r="T489" s="67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4301012057</v>
      </c>
      <c r="D490" s="671">
        <v>4680115886483</v>
      </c>
      <c r="E490" s="671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4" t="s">
        <v>772</v>
      </c>
      <c r="Q490" s="673"/>
      <c r="R490" s="673"/>
      <c r="S490" s="673"/>
      <c r="T490" s="674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hidden="1" customHeight="1" x14ac:dyDescent="0.25">
      <c r="A491" s="60" t="s">
        <v>774</v>
      </c>
      <c r="B491" s="60" t="s">
        <v>775</v>
      </c>
      <c r="C491" s="34">
        <v>4301012050</v>
      </c>
      <c r="D491" s="671">
        <v>4680115885479</v>
      </c>
      <c r="E491" s="671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745" t="s">
        <v>776</v>
      </c>
      <c r="Q491" s="673"/>
      <c r="R491" s="673"/>
      <c r="S491" s="673"/>
      <c r="T491" s="67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777</v>
      </c>
      <c r="B492" s="60" t="s">
        <v>778</v>
      </c>
      <c r="C492" s="34">
        <v>4301011784</v>
      </c>
      <c r="D492" s="671">
        <v>4607091389982</v>
      </c>
      <c r="E492" s="671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74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777</v>
      </c>
      <c r="B493" s="60" t="s">
        <v>779</v>
      </c>
      <c r="C493" s="34">
        <v>4301012034</v>
      </c>
      <c r="D493" s="671">
        <v>4607091389982</v>
      </c>
      <c r="E493" s="671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780</v>
      </c>
      <c r="B494" s="60" t="s">
        <v>781</v>
      </c>
      <c r="C494" s="34">
        <v>4301012058</v>
      </c>
      <c r="D494" s="671">
        <v>4680115886490</v>
      </c>
      <c r="E494" s="671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8"/>
      <c r="B495" s="678"/>
      <c r="C495" s="678"/>
      <c r="D495" s="678"/>
      <c r="E495" s="678"/>
      <c r="F495" s="678"/>
      <c r="G495" s="678"/>
      <c r="H495" s="678"/>
      <c r="I495" s="678"/>
      <c r="J495" s="678"/>
      <c r="K495" s="678"/>
      <c r="L495" s="678"/>
      <c r="M495" s="678"/>
      <c r="N495" s="678"/>
      <c r="O495" s="679"/>
      <c r="P495" s="675" t="s">
        <v>40</v>
      </c>
      <c r="Q495" s="676"/>
      <c r="R495" s="676"/>
      <c r="S495" s="676"/>
      <c r="T495" s="676"/>
      <c r="U495" s="676"/>
      <c r="V495" s="677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85.22727272727272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87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1.0405200000000001</v>
      </c>
      <c r="AA495" s="64"/>
      <c r="AB495" s="64"/>
      <c r="AC495" s="64"/>
    </row>
    <row r="496" spans="1:68" x14ac:dyDescent="0.2">
      <c r="A496" s="678"/>
      <c r="B496" s="678"/>
      <c r="C496" s="678"/>
      <c r="D496" s="678"/>
      <c r="E496" s="678"/>
      <c r="F496" s="678"/>
      <c r="G496" s="678"/>
      <c r="H496" s="678"/>
      <c r="I496" s="678"/>
      <c r="J496" s="678"/>
      <c r="K496" s="678"/>
      <c r="L496" s="678"/>
      <c r="M496" s="678"/>
      <c r="N496" s="678"/>
      <c r="O496" s="679"/>
      <c r="P496" s="675" t="s">
        <v>40</v>
      </c>
      <c r="Q496" s="676"/>
      <c r="R496" s="676"/>
      <c r="S496" s="676"/>
      <c r="T496" s="676"/>
      <c r="U496" s="676"/>
      <c r="V496" s="677"/>
      <c r="W496" s="40" t="s">
        <v>0</v>
      </c>
      <c r="X496" s="41">
        <f>IFERROR(SUM(X480:X494),"0")</f>
        <v>450</v>
      </c>
      <c r="Y496" s="41">
        <f>IFERROR(SUM(Y480:Y494),"0")</f>
        <v>459.36</v>
      </c>
      <c r="Z496" s="40"/>
      <c r="AA496" s="64"/>
      <c r="AB496" s="64"/>
      <c r="AC496" s="64"/>
    </row>
    <row r="497" spans="1:68" ht="14.25" hidden="1" customHeight="1" x14ac:dyDescent="0.25">
      <c r="A497" s="670" t="s">
        <v>149</v>
      </c>
      <c r="B497" s="670"/>
      <c r="C497" s="670"/>
      <c r="D497" s="670"/>
      <c r="E497" s="670"/>
      <c r="F497" s="670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0"/>
      <c r="S497" s="670"/>
      <c r="T497" s="670"/>
      <c r="U497" s="670"/>
      <c r="V497" s="670"/>
      <c r="W497" s="670"/>
      <c r="X497" s="670"/>
      <c r="Y497" s="670"/>
      <c r="Z497" s="670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671">
        <v>4607091388930</v>
      </c>
      <c r="E498" s="671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73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7" t="s">
        <v>45</v>
      </c>
      <c r="V498" s="37" t="s">
        <v>45</v>
      </c>
      <c r="W498" s="38" t="s">
        <v>0</v>
      </c>
      <c r="X498" s="56">
        <v>160</v>
      </c>
      <c r="Y498" s="53">
        <f>IFERROR(IF(X498="",0,CEILING((X498/$H498),1)*$H498),"")</f>
        <v>163.68</v>
      </c>
      <c r="Z498" s="39">
        <f>IFERROR(IF(Y498=0,"",ROUNDUP(Y498/H498,0)*0.01196),"")</f>
        <v>0.37075999999999998</v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170.90909090909091</v>
      </c>
      <c r="BN498" s="75">
        <f>IFERROR(Y498*I498/H498,"0")</f>
        <v>174.84</v>
      </c>
      <c r="BO498" s="75">
        <f>IFERROR(1/J498*(X498/H498),"0")</f>
        <v>0.29137529137529139</v>
      </c>
      <c r="BP498" s="75">
        <f>IFERROR(1/J498*(Y498/H498),"0")</f>
        <v>0.29807692307692307</v>
      </c>
    </row>
    <row r="499" spans="1:68" ht="16.5" hidden="1" customHeight="1" x14ac:dyDescent="0.25">
      <c r="A499" s="60" t="s">
        <v>782</v>
      </c>
      <c r="B499" s="60" t="s">
        <v>785</v>
      </c>
      <c r="C499" s="34">
        <v>4301020334</v>
      </c>
      <c r="D499" s="671">
        <v>4607091388930</v>
      </c>
      <c r="E499" s="671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736" t="s">
        <v>786</v>
      </c>
      <c r="Q499" s="673"/>
      <c r="R499" s="673"/>
      <c r="S499" s="673"/>
      <c r="T499" s="674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788</v>
      </c>
      <c r="B500" s="60" t="s">
        <v>789</v>
      </c>
      <c r="C500" s="34">
        <v>4301020384</v>
      </c>
      <c r="D500" s="671">
        <v>4680115886407</v>
      </c>
      <c r="E500" s="671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737" t="s">
        <v>790</v>
      </c>
      <c r="Q500" s="673"/>
      <c r="R500" s="673"/>
      <c r="S500" s="673"/>
      <c r="T500" s="674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791</v>
      </c>
      <c r="B501" s="60" t="s">
        <v>792</v>
      </c>
      <c r="C501" s="34">
        <v>4301020385</v>
      </c>
      <c r="D501" s="671">
        <v>4680115880054</v>
      </c>
      <c r="E501" s="671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738" t="s">
        <v>793</v>
      </c>
      <c r="Q501" s="673"/>
      <c r="R501" s="673"/>
      <c r="S501" s="673"/>
      <c r="T501" s="674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IFERROR(X498/H498,"0")+IFERROR(X499/H499,"0")+IFERROR(X500/H500,"0")+IFERROR(X501/H501,"0")</f>
        <v>30.303030303030301</v>
      </c>
      <c r="Y502" s="41">
        <f>IFERROR(Y498/H498,"0")+IFERROR(Y499/H499,"0")+IFERROR(Y500/H500,"0")+IFERROR(Y501/H501,"0")</f>
        <v>31</v>
      </c>
      <c r="Z502" s="41">
        <f>IFERROR(IF(Z498="",0,Z498),"0")+IFERROR(IF(Z499="",0,Z499),"0")+IFERROR(IF(Z500="",0,Z500),"0")+IFERROR(IF(Z501="",0,Z501),"0")</f>
        <v>0.37075999999999998</v>
      </c>
      <c r="AA502" s="64"/>
      <c r="AB502" s="64"/>
      <c r="AC502" s="64"/>
    </row>
    <row r="503" spans="1:68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IFERROR(SUM(X498:X501),"0")</f>
        <v>160</v>
      </c>
      <c r="Y503" s="41">
        <f>IFERROR(SUM(Y498:Y501),"0")</f>
        <v>163.68</v>
      </c>
      <c r="Z503" s="40"/>
      <c r="AA503" s="64"/>
      <c r="AB503" s="64"/>
      <c r="AC503" s="64"/>
    </row>
    <row r="504" spans="1:68" ht="14.25" hidden="1" customHeight="1" x14ac:dyDescent="0.25">
      <c r="A504" s="670" t="s">
        <v>160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671">
        <v>4680115883116</v>
      </c>
      <c r="E505" s="67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726" t="s">
        <v>796</v>
      </c>
      <c r="Q505" s="673"/>
      <c r="R505" s="673"/>
      <c r="S505" s="673"/>
      <c r="T505" s="674"/>
      <c r="U505" s="37" t="s">
        <v>45</v>
      </c>
      <c r="V505" s="37" t="s">
        <v>45</v>
      </c>
      <c r="W505" s="38" t="s">
        <v>0</v>
      </c>
      <c r="X505" s="56">
        <v>180</v>
      </c>
      <c r="Y505" s="53">
        <f t="shared" ref="Y505:Y516" si="74">IFERROR(IF(X505="",0,CEILING((X505/$H505),1)*$H505),"")</f>
        <v>184.8</v>
      </c>
      <c r="Z505" s="39">
        <f>IFERROR(IF(Y505=0,"",ROUNDUP(Y505/H505,0)*0.01196),"")</f>
        <v>0.41860000000000003</v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192.27272727272725</v>
      </c>
      <c r="BN505" s="75">
        <f t="shared" ref="BN505:BN516" si="76">IFERROR(Y505*I505/H505,"0")</f>
        <v>197.39999999999998</v>
      </c>
      <c r="BO505" s="75">
        <f t="shared" ref="BO505:BO516" si="77">IFERROR(1/J505*(X505/H505),"0")</f>
        <v>0.32779720279720276</v>
      </c>
      <c r="BP505" s="75">
        <f t="shared" ref="BP505:BP516" si="78">IFERROR(1/J505*(Y505/H505),"0")</f>
        <v>0.33653846153846156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671">
        <v>4680115883093</v>
      </c>
      <c r="E506" s="67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727" t="s">
        <v>800</v>
      </c>
      <c r="Q506" s="673"/>
      <c r="R506" s="673"/>
      <c r="S506" s="673"/>
      <c r="T506" s="674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si="74"/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128.18181818181816</v>
      </c>
      <c r="BN506" s="75">
        <f t="shared" si="76"/>
        <v>129.72</v>
      </c>
      <c r="BO506" s="75">
        <f t="shared" si="77"/>
        <v>0.21853146853146854</v>
      </c>
      <c r="BP506" s="75">
        <f t="shared" si="78"/>
        <v>0.22115384615384617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671">
        <v>4680115883109</v>
      </c>
      <c r="E507" s="671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8" t="s">
        <v>804</v>
      </c>
      <c r="Q507" s="673"/>
      <c r="R507" s="673"/>
      <c r="S507" s="673"/>
      <c r="T507" s="674"/>
      <c r="U507" s="37" t="s">
        <v>45</v>
      </c>
      <c r="V507" s="37" t="s">
        <v>45</v>
      </c>
      <c r="W507" s="38" t="s">
        <v>0</v>
      </c>
      <c r="X507" s="56">
        <v>110</v>
      </c>
      <c r="Y507" s="53">
        <f t="shared" si="74"/>
        <v>110.88000000000001</v>
      </c>
      <c r="Z507" s="39">
        <f>IFERROR(IF(Y507=0,"",ROUNDUP(Y507/H507,0)*0.01196),"")</f>
        <v>0.25115999999999999</v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117.49999999999999</v>
      </c>
      <c r="BN507" s="75">
        <f t="shared" si="76"/>
        <v>118.44</v>
      </c>
      <c r="BO507" s="75">
        <f t="shared" si="77"/>
        <v>0.20032051282051283</v>
      </c>
      <c r="BP507" s="75">
        <f t="shared" si="78"/>
        <v>0.20192307692307693</v>
      </c>
    </row>
    <row r="508" spans="1:68" ht="27" hidden="1" customHeight="1" x14ac:dyDescent="0.25">
      <c r="A508" s="60" t="s">
        <v>806</v>
      </c>
      <c r="B508" s="60" t="s">
        <v>807</v>
      </c>
      <c r="C508" s="34">
        <v>4301031409</v>
      </c>
      <c r="D508" s="671">
        <v>4680115886438</v>
      </c>
      <c r="E508" s="671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729" t="s">
        <v>808</v>
      </c>
      <c r="Q508" s="673"/>
      <c r="R508" s="673"/>
      <c r="S508" s="673"/>
      <c r="T508" s="674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809</v>
      </c>
      <c r="B509" s="60" t="s">
        <v>810</v>
      </c>
      <c r="C509" s="34">
        <v>4301031419</v>
      </c>
      <c r="D509" s="671">
        <v>4680115882072</v>
      </c>
      <c r="E509" s="671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730" t="s">
        <v>811</v>
      </c>
      <c r="Q509" s="673"/>
      <c r="R509" s="673"/>
      <c r="S509" s="673"/>
      <c r="T509" s="674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809</v>
      </c>
      <c r="B510" s="60" t="s">
        <v>812</v>
      </c>
      <c r="C510" s="34">
        <v>4301031351</v>
      </c>
      <c r="D510" s="671">
        <v>4680115882072</v>
      </c>
      <c r="E510" s="671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1" t="s">
        <v>813</v>
      </c>
      <c r="Q510" s="673"/>
      <c r="R510" s="673"/>
      <c r="S510" s="673"/>
      <c r="T510" s="674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809</v>
      </c>
      <c r="B511" s="60" t="s">
        <v>814</v>
      </c>
      <c r="C511" s="34">
        <v>4301031383</v>
      </c>
      <c r="D511" s="671">
        <v>4680115882072</v>
      </c>
      <c r="E511" s="671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816</v>
      </c>
      <c r="B512" s="60" t="s">
        <v>817</v>
      </c>
      <c r="C512" s="34">
        <v>4301031251</v>
      </c>
      <c r="D512" s="671">
        <v>4680115882102</v>
      </c>
      <c r="E512" s="671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7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3"/>
      <c r="R512" s="673"/>
      <c r="S512" s="673"/>
      <c r="T512" s="67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hidden="1" customHeight="1" x14ac:dyDescent="0.25">
      <c r="A513" s="60" t="s">
        <v>816</v>
      </c>
      <c r="B513" s="60" t="s">
        <v>819</v>
      </c>
      <c r="C513" s="34">
        <v>4301031418</v>
      </c>
      <c r="D513" s="671">
        <v>4680115882102</v>
      </c>
      <c r="E513" s="671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719" t="s">
        <v>820</v>
      </c>
      <c r="Q513" s="673"/>
      <c r="R513" s="673"/>
      <c r="S513" s="673"/>
      <c r="T513" s="67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hidden="1" customHeight="1" x14ac:dyDescent="0.25">
      <c r="A514" s="60" t="s">
        <v>821</v>
      </c>
      <c r="B514" s="60" t="s">
        <v>822</v>
      </c>
      <c r="C514" s="34">
        <v>4301031253</v>
      </c>
      <c r="D514" s="671">
        <v>4680115882096</v>
      </c>
      <c r="E514" s="671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72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3"/>
      <c r="R514" s="673"/>
      <c r="S514" s="673"/>
      <c r="T514" s="674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hidden="1" customHeight="1" x14ac:dyDescent="0.25">
      <c r="A515" s="60" t="s">
        <v>821</v>
      </c>
      <c r="B515" s="60" t="s">
        <v>824</v>
      </c>
      <c r="C515" s="34">
        <v>4301031417</v>
      </c>
      <c r="D515" s="671">
        <v>4680115882096</v>
      </c>
      <c r="E515" s="671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721" t="s">
        <v>825</v>
      </c>
      <c r="Q515" s="673"/>
      <c r="R515" s="673"/>
      <c r="S515" s="673"/>
      <c r="T515" s="67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hidden="1" customHeight="1" x14ac:dyDescent="0.25">
      <c r="A516" s="60" t="s">
        <v>821</v>
      </c>
      <c r="B516" s="60" t="s">
        <v>826</v>
      </c>
      <c r="C516" s="34">
        <v>4301031384</v>
      </c>
      <c r="D516" s="671">
        <v>4680115882096</v>
      </c>
      <c r="E516" s="671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3"/>
      <c r="R516" s="673"/>
      <c r="S516" s="673"/>
      <c r="T516" s="67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77.651515151515142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79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0.94484000000000012</v>
      </c>
      <c r="AA517" s="64"/>
      <c r="AB517" s="64"/>
      <c r="AC517" s="64"/>
    </row>
    <row r="518" spans="1:68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679"/>
      <c r="P518" s="675" t="s">
        <v>40</v>
      </c>
      <c r="Q518" s="676"/>
      <c r="R518" s="676"/>
      <c r="S518" s="676"/>
      <c r="T518" s="676"/>
      <c r="U518" s="676"/>
      <c r="V518" s="677"/>
      <c r="W518" s="40" t="s">
        <v>0</v>
      </c>
      <c r="X518" s="41">
        <f>IFERROR(SUM(X505:X516),"0")</f>
        <v>410</v>
      </c>
      <c r="Y518" s="41">
        <f>IFERROR(SUM(Y505:Y516),"0")</f>
        <v>417.12</v>
      </c>
      <c r="Z518" s="40"/>
      <c r="AA518" s="64"/>
      <c r="AB518" s="64"/>
      <c r="AC518" s="64"/>
    </row>
    <row r="519" spans="1:68" ht="14.25" hidden="1" customHeight="1" x14ac:dyDescent="0.25">
      <c r="A519" s="670" t="s">
        <v>78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3"/>
      <c r="AB519" s="63"/>
      <c r="AC519" s="63"/>
    </row>
    <row r="520" spans="1:68" ht="16.5" hidden="1" customHeight="1" x14ac:dyDescent="0.25">
      <c r="A520" s="60" t="s">
        <v>827</v>
      </c>
      <c r="B520" s="60" t="s">
        <v>828</v>
      </c>
      <c r="C520" s="34">
        <v>4301051232</v>
      </c>
      <c r="D520" s="671">
        <v>4607091383409</v>
      </c>
      <c r="E520" s="671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hidden="1" customHeight="1" x14ac:dyDescent="0.25">
      <c r="A521" s="60" t="s">
        <v>830</v>
      </c>
      <c r="B521" s="60" t="s">
        <v>831</v>
      </c>
      <c r="C521" s="34">
        <v>4301051231</v>
      </c>
      <c r="D521" s="671">
        <v>4607091383416</v>
      </c>
      <c r="E521" s="671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833</v>
      </c>
      <c r="B522" s="60" t="s">
        <v>834</v>
      </c>
      <c r="C522" s="34">
        <v>4301051064</v>
      </c>
      <c r="D522" s="671">
        <v>4680115883536</v>
      </c>
      <c r="E522" s="671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72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679"/>
      <c r="P523" s="675" t="s">
        <v>40</v>
      </c>
      <c r="Q523" s="676"/>
      <c r="R523" s="676"/>
      <c r="S523" s="676"/>
      <c r="T523" s="676"/>
      <c r="U523" s="676"/>
      <c r="V523" s="677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hidden="1" x14ac:dyDescent="0.2">
      <c r="A524" s="678"/>
      <c r="B524" s="678"/>
      <c r="C524" s="678"/>
      <c r="D524" s="678"/>
      <c r="E524" s="678"/>
      <c r="F524" s="678"/>
      <c r="G524" s="678"/>
      <c r="H524" s="678"/>
      <c r="I524" s="678"/>
      <c r="J524" s="678"/>
      <c r="K524" s="678"/>
      <c r="L524" s="678"/>
      <c r="M524" s="678"/>
      <c r="N524" s="678"/>
      <c r="O524" s="679"/>
      <c r="P524" s="675" t="s">
        <v>40</v>
      </c>
      <c r="Q524" s="676"/>
      <c r="R524" s="676"/>
      <c r="S524" s="676"/>
      <c r="T524" s="676"/>
      <c r="U524" s="676"/>
      <c r="V524" s="677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hidden="1" customHeight="1" x14ac:dyDescent="0.25">
      <c r="A525" s="670" t="s">
        <v>186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3"/>
      <c r="AB525" s="63"/>
      <c r="AC525" s="63"/>
    </row>
    <row r="526" spans="1:68" ht="37.5" hidden="1" customHeight="1" x14ac:dyDescent="0.25">
      <c r="A526" s="60" t="s">
        <v>836</v>
      </c>
      <c r="B526" s="60" t="s">
        <v>837</v>
      </c>
      <c r="C526" s="34">
        <v>4301060363</v>
      </c>
      <c r="D526" s="671">
        <v>4680115885035</v>
      </c>
      <c r="E526" s="671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71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hidden="1" customHeight="1" x14ac:dyDescent="0.25">
      <c r="A527" s="60" t="s">
        <v>839</v>
      </c>
      <c r="B527" s="60" t="s">
        <v>840</v>
      </c>
      <c r="C527" s="34">
        <v>4301060436</v>
      </c>
      <c r="D527" s="671">
        <v>4680115885936</v>
      </c>
      <c r="E527" s="671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5" t="s">
        <v>841</v>
      </c>
      <c r="Q527" s="673"/>
      <c r="R527" s="673"/>
      <c r="S527" s="673"/>
      <c r="T527" s="67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78"/>
      <c r="B528" s="678"/>
      <c r="C528" s="678"/>
      <c r="D528" s="678"/>
      <c r="E528" s="678"/>
      <c r="F528" s="678"/>
      <c r="G528" s="678"/>
      <c r="H528" s="678"/>
      <c r="I528" s="678"/>
      <c r="J528" s="678"/>
      <c r="K528" s="678"/>
      <c r="L528" s="678"/>
      <c r="M528" s="678"/>
      <c r="N528" s="678"/>
      <c r="O528" s="679"/>
      <c r="P528" s="675" t="s">
        <v>40</v>
      </c>
      <c r="Q528" s="676"/>
      <c r="R528" s="676"/>
      <c r="S528" s="676"/>
      <c r="T528" s="676"/>
      <c r="U528" s="676"/>
      <c r="V528" s="677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hidden="1" x14ac:dyDescent="0.2">
      <c r="A529" s="678"/>
      <c r="B529" s="678"/>
      <c r="C529" s="678"/>
      <c r="D529" s="678"/>
      <c r="E529" s="678"/>
      <c r="F529" s="678"/>
      <c r="G529" s="678"/>
      <c r="H529" s="678"/>
      <c r="I529" s="678"/>
      <c r="J529" s="678"/>
      <c r="K529" s="678"/>
      <c r="L529" s="678"/>
      <c r="M529" s="678"/>
      <c r="N529" s="678"/>
      <c r="O529" s="679"/>
      <c r="P529" s="675" t="s">
        <v>40</v>
      </c>
      <c r="Q529" s="676"/>
      <c r="R529" s="676"/>
      <c r="S529" s="676"/>
      <c r="T529" s="676"/>
      <c r="U529" s="676"/>
      <c r="V529" s="677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hidden="1" customHeight="1" x14ac:dyDescent="0.2">
      <c r="A530" s="716" t="s">
        <v>842</v>
      </c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  <c r="AA530" s="52"/>
      <c r="AB530" s="52"/>
      <c r="AC530" s="52"/>
    </row>
    <row r="531" spans="1:68" ht="16.5" hidden="1" customHeight="1" x14ac:dyDescent="0.25">
      <c r="A531" s="692" t="s">
        <v>842</v>
      </c>
      <c r="B531" s="692"/>
      <c r="C531" s="692"/>
      <c r="D531" s="692"/>
      <c r="E531" s="692"/>
      <c r="F531" s="692"/>
      <c r="G531" s="692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  <c r="U531" s="692"/>
      <c r="V531" s="692"/>
      <c r="W531" s="692"/>
      <c r="X531" s="692"/>
      <c r="Y531" s="692"/>
      <c r="Z531" s="692"/>
      <c r="AA531" s="62"/>
      <c r="AB531" s="62"/>
      <c r="AC531" s="62"/>
    </row>
    <row r="532" spans="1:68" ht="14.25" hidden="1" customHeight="1" x14ac:dyDescent="0.25">
      <c r="A532" s="670" t="s">
        <v>109</v>
      </c>
      <c r="B532" s="670"/>
      <c r="C532" s="670"/>
      <c r="D532" s="670"/>
      <c r="E532" s="670"/>
      <c r="F532" s="670"/>
      <c r="G532" s="670"/>
      <c r="H532" s="670"/>
      <c r="I532" s="670"/>
      <c r="J532" s="670"/>
      <c r="K532" s="670"/>
      <c r="L532" s="670"/>
      <c r="M532" s="670"/>
      <c r="N532" s="670"/>
      <c r="O532" s="670"/>
      <c r="P532" s="670"/>
      <c r="Q532" s="670"/>
      <c r="R532" s="670"/>
      <c r="S532" s="670"/>
      <c r="T532" s="670"/>
      <c r="U532" s="670"/>
      <c r="V532" s="670"/>
      <c r="W532" s="670"/>
      <c r="X532" s="670"/>
      <c r="Y532" s="670"/>
      <c r="Z532" s="670"/>
      <c r="AA532" s="63"/>
      <c r="AB532" s="63"/>
      <c r="AC532" s="63"/>
    </row>
    <row r="533" spans="1:68" ht="27" hidden="1" customHeight="1" x14ac:dyDescent="0.25">
      <c r="A533" s="60" t="s">
        <v>843</v>
      </c>
      <c r="B533" s="60" t="s">
        <v>844</v>
      </c>
      <c r="C533" s="34">
        <v>4301011763</v>
      </c>
      <c r="D533" s="671">
        <v>4640242181011</v>
      </c>
      <c r="E533" s="671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717" t="s">
        <v>845</v>
      </c>
      <c r="Q533" s="673"/>
      <c r="R533" s="673"/>
      <c r="S533" s="673"/>
      <c r="T533" s="674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hidden="1" customHeight="1" x14ac:dyDescent="0.25">
      <c r="A534" s="60" t="s">
        <v>847</v>
      </c>
      <c r="B534" s="60" t="s">
        <v>848</v>
      </c>
      <c r="C534" s="34">
        <v>4301011585</v>
      </c>
      <c r="D534" s="671">
        <v>4640242180441</v>
      </c>
      <c r="E534" s="671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718" t="s">
        <v>849</v>
      </c>
      <c r="Q534" s="673"/>
      <c r="R534" s="673"/>
      <c r="S534" s="673"/>
      <c r="T534" s="674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71">
        <v>4640242180564</v>
      </c>
      <c r="E535" s="671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07" t="s">
        <v>853</v>
      </c>
      <c r="Q535" s="673"/>
      <c r="R535" s="673"/>
      <c r="S535" s="673"/>
      <c r="T535" s="674"/>
      <c r="U535" s="37" t="s">
        <v>45</v>
      </c>
      <c r="V535" s="37" t="s">
        <v>45</v>
      </c>
      <c r="W535" s="38" t="s">
        <v>0</v>
      </c>
      <c r="X535" s="56">
        <v>190</v>
      </c>
      <c r="Y535" s="53">
        <f t="shared" si="79"/>
        <v>192</v>
      </c>
      <c r="Z535" s="39">
        <f>IFERROR(IF(Y535=0,"",ROUNDUP(Y535/H535,0)*0.01898),"")</f>
        <v>0.30368000000000001</v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196.88750000000002</v>
      </c>
      <c r="BN535" s="75">
        <f t="shared" si="81"/>
        <v>198.96</v>
      </c>
      <c r="BO535" s="75">
        <f t="shared" si="82"/>
        <v>0.24739583333333334</v>
      </c>
      <c r="BP535" s="75">
        <f t="shared" si="83"/>
        <v>0.25</v>
      </c>
    </row>
    <row r="536" spans="1:68" ht="27" hidden="1" customHeight="1" x14ac:dyDescent="0.25">
      <c r="A536" s="60" t="s">
        <v>855</v>
      </c>
      <c r="B536" s="60" t="s">
        <v>856</v>
      </c>
      <c r="C536" s="34">
        <v>4301011762</v>
      </c>
      <c r="D536" s="671">
        <v>4640242180922</v>
      </c>
      <c r="E536" s="671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708" t="s">
        <v>857</v>
      </c>
      <c r="Q536" s="673"/>
      <c r="R536" s="673"/>
      <c r="S536" s="673"/>
      <c r="T536" s="674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hidden="1" customHeight="1" x14ac:dyDescent="0.25">
      <c r="A537" s="60" t="s">
        <v>859</v>
      </c>
      <c r="B537" s="60" t="s">
        <v>860</v>
      </c>
      <c r="C537" s="34">
        <v>4301011551</v>
      </c>
      <c r="D537" s="671">
        <v>4640242180038</v>
      </c>
      <c r="E537" s="671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709" t="s">
        <v>861</v>
      </c>
      <c r="Q537" s="673"/>
      <c r="R537" s="673"/>
      <c r="S537" s="673"/>
      <c r="T537" s="674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hidden="1" customHeight="1" x14ac:dyDescent="0.25">
      <c r="A538" s="60" t="s">
        <v>862</v>
      </c>
      <c r="B538" s="60" t="s">
        <v>863</v>
      </c>
      <c r="C538" s="34">
        <v>4301011765</v>
      </c>
      <c r="D538" s="671">
        <v>4640242181172</v>
      </c>
      <c r="E538" s="671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710" t="s">
        <v>864</v>
      </c>
      <c r="Q538" s="673"/>
      <c r="R538" s="673"/>
      <c r="S538" s="673"/>
      <c r="T538" s="67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678"/>
      <c r="B539" s="678"/>
      <c r="C539" s="678"/>
      <c r="D539" s="678"/>
      <c r="E539" s="678"/>
      <c r="F539" s="678"/>
      <c r="G539" s="678"/>
      <c r="H539" s="678"/>
      <c r="I539" s="678"/>
      <c r="J539" s="678"/>
      <c r="K539" s="678"/>
      <c r="L539" s="678"/>
      <c r="M539" s="678"/>
      <c r="N539" s="678"/>
      <c r="O539" s="679"/>
      <c r="P539" s="675" t="s">
        <v>40</v>
      </c>
      <c r="Q539" s="676"/>
      <c r="R539" s="676"/>
      <c r="S539" s="676"/>
      <c r="T539" s="676"/>
      <c r="U539" s="676"/>
      <c r="V539" s="677"/>
      <c r="W539" s="40" t="s">
        <v>39</v>
      </c>
      <c r="X539" s="41">
        <f>IFERROR(X533/H533,"0")+IFERROR(X534/H534,"0")+IFERROR(X535/H535,"0")+IFERROR(X536/H536,"0")+IFERROR(X537/H537,"0")+IFERROR(X538/H538,"0")</f>
        <v>15.833333333333334</v>
      </c>
      <c r="Y539" s="41">
        <f>IFERROR(Y533/H533,"0")+IFERROR(Y534/H534,"0")+IFERROR(Y535/H535,"0")+IFERROR(Y536/H536,"0")+IFERROR(Y537/H537,"0")+IFERROR(Y538/H538,"0")</f>
        <v>16</v>
      </c>
      <c r="Z539" s="41">
        <f>IFERROR(IF(Z533="",0,Z533),"0")+IFERROR(IF(Z534="",0,Z534),"0")+IFERROR(IF(Z535="",0,Z535),"0")+IFERROR(IF(Z536="",0,Z536),"0")+IFERROR(IF(Z537="",0,Z537),"0")+IFERROR(IF(Z538="",0,Z538),"0")</f>
        <v>0.30368000000000001</v>
      </c>
      <c r="AA539" s="64"/>
      <c r="AB539" s="64"/>
      <c r="AC539" s="64"/>
    </row>
    <row r="540" spans="1:68" x14ac:dyDescent="0.2">
      <c r="A540" s="678"/>
      <c r="B540" s="678"/>
      <c r="C540" s="678"/>
      <c r="D540" s="678"/>
      <c r="E540" s="678"/>
      <c r="F540" s="678"/>
      <c r="G540" s="678"/>
      <c r="H540" s="678"/>
      <c r="I540" s="678"/>
      <c r="J540" s="678"/>
      <c r="K540" s="678"/>
      <c r="L540" s="678"/>
      <c r="M540" s="678"/>
      <c r="N540" s="678"/>
      <c r="O540" s="679"/>
      <c r="P540" s="675" t="s">
        <v>40</v>
      </c>
      <c r="Q540" s="676"/>
      <c r="R540" s="676"/>
      <c r="S540" s="676"/>
      <c r="T540" s="676"/>
      <c r="U540" s="676"/>
      <c r="V540" s="677"/>
      <c r="W540" s="40" t="s">
        <v>0</v>
      </c>
      <c r="X540" s="41">
        <f>IFERROR(SUM(X533:X538),"0")</f>
        <v>190</v>
      </c>
      <c r="Y540" s="41">
        <f>IFERROR(SUM(Y533:Y538),"0")</f>
        <v>192</v>
      </c>
      <c r="Z540" s="40"/>
      <c r="AA540" s="64"/>
      <c r="AB540" s="64"/>
      <c r="AC540" s="64"/>
    </row>
    <row r="541" spans="1:68" ht="14.25" hidden="1" customHeight="1" x14ac:dyDescent="0.25">
      <c r="A541" s="670" t="s">
        <v>149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3"/>
      <c r="AB541" s="63"/>
      <c r="AC541" s="63"/>
    </row>
    <row r="542" spans="1:68" ht="27" hidden="1" customHeight="1" x14ac:dyDescent="0.25">
      <c r="A542" s="60" t="s">
        <v>865</v>
      </c>
      <c r="B542" s="60" t="s">
        <v>866</v>
      </c>
      <c r="C542" s="34">
        <v>4301020269</v>
      </c>
      <c r="D542" s="671">
        <v>4640242180519</v>
      </c>
      <c r="E542" s="671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711" t="s">
        <v>867</v>
      </c>
      <c r="Q542" s="673"/>
      <c r="R542" s="673"/>
      <c r="S542" s="673"/>
      <c r="T542" s="674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865</v>
      </c>
      <c r="B543" s="60" t="s">
        <v>869</v>
      </c>
      <c r="C543" s="34">
        <v>4301020400</v>
      </c>
      <c r="D543" s="671">
        <v>4640242180519</v>
      </c>
      <c r="E543" s="671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712" t="s">
        <v>870</v>
      </c>
      <c r="Q543" s="673"/>
      <c r="R543" s="673"/>
      <c r="S543" s="673"/>
      <c r="T543" s="674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872</v>
      </c>
      <c r="B544" s="60" t="s">
        <v>873</v>
      </c>
      <c r="C544" s="34">
        <v>4301020260</v>
      </c>
      <c r="D544" s="671">
        <v>4640242180526</v>
      </c>
      <c r="E544" s="671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3" t="s">
        <v>874</v>
      </c>
      <c r="Q544" s="673"/>
      <c r="R544" s="673"/>
      <c r="S544" s="673"/>
      <c r="T544" s="674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875</v>
      </c>
      <c r="B545" s="60" t="s">
        <v>876</v>
      </c>
      <c r="C545" s="34">
        <v>4301020309</v>
      </c>
      <c r="D545" s="671">
        <v>4640242180090</v>
      </c>
      <c r="E545" s="671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00" t="s">
        <v>877</v>
      </c>
      <c r="Q545" s="673"/>
      <c r="R545" s="673"/>
      <c r="S545" s="673"/>
      <c r="T545" s="674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879</v>
      </c>
      <c r="B546" s="60" t="s">
        <v>880</v>
      </c>
      <c r="C546" s="34">
        <v>4301020295</v>
      </c>
      <c r="D546" s="671">
        <v>4640242181363</v>
      </c>
      <c r="E546" s="671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701" t="s">
        <v>881</v>
      </c>
      <c r="Q546" s="673"/>
      <c r="R546" s="673"/>
      <c r="S546" s="673"/>
      <c r="T546" s="674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78"/>
      <c r="B547" s="678"/>
      <c r="C547" s="678"/>
      <c r="D547" s="678"/>
      <c r="E547" s="678"/>
      <c r="F547" s="678"/>
      <c r="G547" s="678"/>
      <c r="H547" s="678"/>
      <c r="I547" s="678"/>
      <c r="J547" s="678"/>
      <c r="K547" s="678"/>
      <c r="L547" s="678"/>
      <c r="M547" s="678"/>
      <c r="N547" s="678"/>
      <c r="O547" s="679"/>
      <c r="P547" s="675" t="s">
        <v>40</v>
      </c>
      <c r="Q547" s="676"/>
      <c r="R547" s="676"/>
      <c r="S547" s="676"/>
      <c r="T547" s="676"/>
      <c r="U547" s="676"/>
      <c r="V547" s="677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hidden="1" x14ac:dyDescent="0.2">
      <c r="A548" s="678"/>
      <c r="B548" s="678"/>
      <c r="C548" s="678"/>
      <c r="D548" s="678"/>
      <c r="E548" s="678"/>
      <c r="F548" s="678"/>
      <c r="G548" s="678"/>
      <c r="H548" s="678"/>
      <c r="I548" s="678"/>
      <c r="J548" s="678"/>
      <c r="K548" s="678"/>
      <c r="L548" s="678"/>
      <c r="M548" s="678"/>
      <c r="N548" s="678"/>
      <c r="O548" s="679"/>
      <c r="P548" s="675" t="s">
        <v>40</v>
      </c>
      <c r="Q548" s="676"/>
      <c r="R548" s="676"/>
      <c r="S548" s="676"/>
      <c r="T548" s="676"/>
      <c r="U548" s="676"/>
      <c r="V548" s="677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70" t="s">
        <v>160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671">
        <v>4640242180816</v>
      </c>
      <c r="E550" s="671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702" t="s">
        <v>884</v>
      </c>
      <c r="Q550" s="673"/>
      <c r="R550" s="673"/>
      <c r="S550" s="673"/>
      <c r="T550" s="674"/>
      <c r="U550" s="37" t="s">
        <v>45</v>
      </c>
      <c r="V550" s="37" t="s">
        <v>45</v>
      </c>
      <c r="W550" s="38" t="s">
        <v>0</v>
      </c>
      <c r="X550" s="56">
        <v>70</v>
      </c>
      <c r="Y550" s="53">
        <f t="shared" ref="Y550:Y556" si="84">IFERROR(IF(X550="",0,CEILING((X550/$H550),1)*$H550),"")</f>
        <v>71.400000000000006</v>
      </c>
      <c r="Z550" s="39">
        <f>IFERROR(IF(Y550=0,"",ROUNDUP(Y550/H550,0)*0.00902),"")</f>
        <v>0.15334</v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74.499999999999986</v>
      </c>
      <c r="BN550" s="75">
        <f t="shared" ref="BN550:BN556" si="86">IFERROR(Y550*I550/H550,"0")</f>
        <v>75.989999999999995</v>
      </c>
      <c r="BO550" s="75">
        <f t="shared" ref="BO550:BO556" si="87">IFERROR(1/J550*(X550/H550),"0")</f>
        <v>0.12626262626262624</v>
      </c>
      <c r="BP550" s="75">
        <f t="shared" ref="BP550:BP556" si="88">IFERROR(1/J550*(Y550/H550),"0")</f>
        <v>0.12878787878787878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671">
        <v>4640242180595</v>
      </c>
      <c r="E551" s="671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3" t="s">
        <v>888</v>
      </c>
      <c r="Q551" s="673"/>
      <c r="R551" s="673"/>
      <c r="S551" s="673"/>
      <c r="T551" s="674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si="84"/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53.214285714285715</v>
      </c>
      <c r="BN551" s="75">
        <f t="shared" si="86"/>
        <v>53.64</v>
      </c>
      <c r="BO551" s="75">
        <f t="shared" si="87"/>
        <v>9.0187590187590191E-2</v>
      </c>
      <c r="BP551" s="75">
        <f t="shared" si="88"/>
        <v>9.0909090909090912E-2</v>
      </c>
    </row>
    <row r="552" spans="1:68" ht="27" hidden="1" customHeight="1" x14ac:dyDescent="0.25">
      <c r="A552" s="60" t="s">
        <v>890</v>
      </c>
      <c r="B552" s="60" t="s">
        <v>891</v>
      </c>
      <c r="C552" s="34">
        <v>4301031289</v>
      </c>
      <c r="D552" s="671">
        <v>4640242181615</v>
      </c>
      <c r="E552" s="671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704" t="s">
        <v>892</v>
      </c>
      <c r="Q552" s="673"/>
      <c r="R552" s="673"/>
      <c r="S552" s="673"/>
      <c r="T552" s="674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hidden="1" customHeight="1" x14ac:dyDescent="0.25">
      <c r="A553" s="60" t="s">
        <v>894</v>
      </c>
      <c r="B553" s="60" t="s">
        <v>895</v>
      </c>
      <c r="C553" s="34">
        <v>4301031285</v>
      </c>
      <c r="D553" s="671">
        <v>4640242181639</v>
      </c>
      <c r="E553" s="671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5" t="s">
        <v>896</v>
      </c>
      <c r="Q553" s="673"/>
      <c r="R553" s="673"/>
      <c r="S553" s="673"/>
      <c r="T553" s="674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hidden="1" customHeight="1" x14ac:dyDescent="0.25">
      <c r="A554" s="60" t="s">
        <v>898</v>
      </c>
      <c r="B554" s="60" t="s">
        <v>899</v>
      </c>
      <c r="C554" s="34">
        <v>4301031287</v>
      </c>
      <c r="D554" s="671">
        <v>4640242181622</v>
      </c>
      <c r="E554" s="671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6" t="s">
        <v>900</v>
      </c>
      <c r="Q554" s="673"/>
      <c r="R554" s="673"/>
      <c r="S554" s="673"/>
      <c r="T554" s="674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hidden="1" customHeight="1" x14ac:dyDescent="0.25">
      <c r="A555" s="60" t="s">
        <v>902</v>
      </c>
      <c r="B555" s="60" t="s">
        <v>903</v>
      </c>
      <c r="C555" s="34">
        <v>4301031203</v>
      </c>
      <c r="D555" s="671">
        <v>4640242180908</v>
      </c>
      <c r="E555" s="671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693" t="s">
        <v>904</v>
      </c>
      <c r="Q555" s="673"/>
      <c r="R555" s="673"/>
      <c r="S555" s="673"/>
      <c r="T555" s="67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hidden="1" customHeight="1" x14ac:dyDescent="0.25">
      <c r="A556" s="60" t="s">
        <v>905</v>
      </c>
      <c r="B556" s="60" t="s">
        <v>906</v>
      </c>
      <c r="C556" s="34">
        <v>4301031200</v>
      </c>
      <c r="D556" s="671">
        <v>4640242180489</v>
      </c>
      <c r="E556" s="671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4" t="s">
        <v>907</v>
      </c>
      <c r="Q556" s="673"/>
      <c r="R556" s="673"/>
      <c r="S556" s="673"/>
      <c r="T556" s="674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678"/>
      <c r="B557" s="678"/>
      <c r="C557" s="678"/>
      <c r="D557" s="678"/>
      <c r="E557" s="678"/>
      <c r="F557" s="678"/>
      <c r="G557" s="678"/>
      <c r="H557" s="678"/>
      <c r="I557" s="678"/>
      <c r="J557" s="678"/>
      <c r="K557" s="678"/>
      <c r="L557" s="678"/>
      <c r="M557" s="678"/>
      <c r="N557" s="678"/>
      <c r="O557" s="679"/>
      <c r="P557" s="675" t="s">
        <v>40</v>
      </c>
      <c r="Q557" s="676"/>
      <c r="R557" s="676"/>
      <c r="S557" s="676"/>
      <c r="T557" s="676"/>
      <c r="U557" s="676"/>
      <c r="V557" s="677"/>
      <c r="W557" s="40" t="s">
        <v>39</v>
      </c>
      <c r="X557" s="41">
        <f>IFERROR(X550/H550,"0")+IFERROR(X551/H551,"0")+IFERROR(X552/H552,"0")+IFERROR(X553/H553,"0")+IFERROR(X554/H554,"0")+IFERROR(X555/H555,"0")+IFERROR(X556/H556,"0")</f>
        <v>28.571428571428569</v>
      </c>
      <c r="Y557" s="41">
        <f>IFERROR(Y550/H550,"0")+IFERROR(Y551/H551,"0")+IFERROR(Y552/H552,"0")+IFERROR(Y553/H553,"0")+IFERROR(Y554/H554,"0")+IFERROR(Y555/H555,"0")+IFERROR(Y556/H556,"0")</f>
        <v>29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0.26158000000000003</v>
      </c>
      <c r="AA557" s="64"/>
      <c r="AB557" s="64"/>
      <c r="AC557" s="64"/>
    </row>
    <row r="558" spans="1:68" x14ac:dyDescent="0.2">
      <c r="A558" s="678"/>
      <c r="B558" s="678"/>
      <c r="C558" s="678"/>
      <c r="D558" s="678"/>
      <c r="E558" s="678"/>
      <c r="F558" s="678"/>
      <c r="G558" s="678"/>
      <c r="H558" s="678"/>
      <c r="I558" s="678"/>
      <c r="J558" s="678"/>
      <c r="K558" s="678"/>
      <c r="L558" s="678"/>
      <c r="M558" s="678"/>
      <c r="N558" s="678"/>
      <c r="O558" s="679"/>
      <c r="P558" s="675" t="s">
        <v>40</v>
      </c>
      <c r="Q558" s="676"/>
      <c r="R558" s="676"/>
      <c r="S558" s="676"/>
      <c r="T558" s="676"/>
      <c r="U558" s="676"/>
      <c r="V558" s="677"/>
      <c r="W558" s="40" t="s">
        <v>0</v>
      </c>
      <c r="X558" s="41">
        <f>IFERROR(SUM(X550:X556),"0")</f>
        <v>120</v>
      </c>
      <c r="Y558" s="41">
        <f>IFERROR(SUM(Y550:Y556),"0")</f>
        <v>121.80000000000001</v>
      </c>
      <c r="Z558" s="40"/>
      <c r="AA558" s="64"/>
      <c r="AB558" s="64"/>
      <c r="AC558" s="64"/>
    </row>
    <row r="559" spans="1:68" ht="14.25" hidden="1" customHeight="1" x14ac:dyDescent="0.25">
      <c r="A559" s="670" t="s">
        <v>78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3"/>
      <c r="AB559" s="63"/>
      <c r="AC559" s="63"/>
    </row>
    <row r="560" spans="1:68" ht="27" hidden="1" customHeight="1" x14ac:dyDescent="0.25">
      <c r="A560" s="60" t="s">
        <v>908</v>
      </c>
      <c r="B560" s="60" t="s">
        <v>909</v>
      </c>
      <c r="C560" s="34">
        <v>4301052046</v>
      </c>
      <c r="D560" s="671">
        <v>4640242180533</v>
      </c>
      <c r="E560" s="671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695" t="s">
        <v>910</v>
      </c>
      <c r="Q560" s="673"/>
      <c r="R560" s="673"/>
      <c r="S560" s="673"/>
      <c r="T560" s="674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hidden="1" customHeight="1" x14ac:dyDescent="0.25">
      <c r="A561" s="60" t="s">
        <v>908</v>
      </c>
      <c r="B561" s="60" t="s">
        <v>912</v>
      </c>
      <c r="C561" s="34">
        <v>4301051887</v>
      </c>
      <c r="D561" s="671">
        <v>4640242180533</v>
      </c>
      <c r="E561" s="671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6" t="s">
        <v>910</v>
      </c>
      <c r="Q561" s="673"/>
      <c r="R561" s="673"/>
      <c r="S561" s="673"/>
      <c r="T561" s="674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913</v>
      </c>
      <c r="B562" s="60" t="s">
        <v>914</v>
      </c>
      <c r="C562" s="34">
        <v>4301051933</v>
      </c>
      <c r="D562" s="671">
        <v>4640242180540</v>
      </c>
      <c r="E562" s="671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697" t="s">
        <v>915</v>
      </c>
      <c r="Q562" s="673"/>
      <c r="R562" s="673"/>
      <c r="S562" s="673"/>
      <c r="T562" s="674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917</v>
      </c>
      <c r="B563" s="60" t="s">
        <v>918</v>
      </c>
      <c r="C563" s="34">
        <v>4301051920</v>
      </c>
      <c r="D563" s="671">
        <v>4640242181233</v>
      </c>
      <c r="E563" s="671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698" t="s">
        <v>919</v>
      </c>
      <c r="Q563" s="673"/>
      <c r="R563" s="673"/>
      <c r="S563" s="673"/>
      <c r="T563" s="674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920</v>
      </c>
      <c r="B564" s="60" t="s">
        <v>921</v>
      </c>
      <c r="C564" s="34">
        <v>4301051921</v>
      </c>
      <c r="D564" s="671">
        <v>4640242181226</v>
      </c>
      <c r="E564" s="671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699" t="s">
        <v>922</v>
      </c>
      <c r="Q564" s="673"/>
      <c r="R564" s="673"/>
      <c r="S564" s="673"/>
      <c r="T564" s="674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idden="1" x14ac:dyDescent="0.2">
      <c r="A565" s="678"/>
      <c r="B565" s="678"/>
      <c r="C565" s="678"/>
      <c r="D565" s="678"/>
      <c r="E565" s="678"/>
      <c r="F565" s="678"/>
      <c r="G565" s="678"/>
      <c r="H565" s="678"/>
      <c r="I565" s="678"/>
      <c r="J565" s="678"/>
      <c r="K565" s="678"/>
      <c r="L565" s="678"/>
      <c r="M565" s="678"/>
      <c r="N565" s="678"/>
      <c r="O565" s="679"/>
      <c r="P565" s="675" t="s">
        <v>40</v>
      </c>
      <c r="Q565" s="676"/>
      <c r="R565" s="676"/>
      <c r="S565" s="676"/>
      <c r="T565" s="676"/>
      <c r="U565" s="676"/>
      <c r="V565" s="677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hidden="1" x14ac:dyDescent="0.2">
      <c r="A566" s="678"/>
      <c r="B566" s="678"/>
      <c r="C566" s="678"/>
      <c r="D566" s="678"/>
      <c r="E566" s="678"/>
      <c r="F566" s="678"/>
      <c r="G566" s="678"/>
      <c r="H566" s="678"/>
      <c r="I566" s="678"/>
      <c r="J566" s="678"/>
      <c r="K566" s="678"/>
      <c r="L566" s="678"/>
      <c r="M566" s="678"/>
      <c r="N566" s="678"/>
      <c r="O566" s="679"/>
      <c r="P566" s="675" t="s">
        <v>40</v>
      </c>
      <c r="Q566" s="676"/>
      <c r="R566" s="676"/>
      <c r="S566" s="676"/>
      <c r="T566" s="676"/>
      <c r="U566" s="676"/>
      <c r="V566" s="677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hidden="1" customHeight="1" x14ac:dyDescent="0.25">
      <c r="A567" s="670" t="s">
        <v>186</v>
      </c>
      <c r="B567" s="670"/>
      <c r="C567" s="670"/>
      <c r="D567" s="670"/>
      <c r="E567" s="670"/>
      <c r="F567" s="670"/>
      <c r="G567" s="670"/>
      <c r="H567" s="670"/>
      <c r="I567" s="670"/>
      <c r="J567" s="670"/>
      <c r="K567" s="670"/>
      <c r="L567" s="670"/>
      <c r="M567" s="670"/>
      <c r="N567" s="670"/>
      <c r="O567" s="670"/>
      <c r="P567" s="670"/>
      <c r="Q567" s="670"/>
      <c r="R567" s="670"/>
      <c r="S567" s="670"/>
      <c r="T567" s="670"/>
      <c r="U567" s="670"/>
      <c r="V567" s="670"/>
      <c r="W567" s="670"/>
      <c r="X567" s="670"/>
      <c r="Y567" s="670"/>
      <c r="Z567" s="670"/>
      <c r="AA567" s="63"/>
      <c r="AB567" s="63"/>
      <c r="AC567" s="63"/>
    </row>
    <row r="568" spans="1:68" ht="27" hidden="1" customHeight="1" x14ac:dyDescent="0.25">
      <c r="A568" s="60" t="s">
        <v>923</v>
      </c>
      <c r="B568" s="60" t="s">
        <v>924</v>
      </c>
      <c r="C568" s="34">
        <v>4301060496</v>
      </c>
      <c r="D568" s="671">
        <v>4640242180120</v>
      </c>
      <c r="E568" s="671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688" t="s">
        <v>925</v>
      </c>
      <c r="Q568" s="673"/>
      <c r="R568" s="673"/>
      <c r="S568" s="673"/>
      <c r="T568" s="67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hidden="1" customHeight="1" x14ac:dyDescent="0.25">
      <c r="A569" s="60" t="s">
        <v>923</v>
      </c>
      <c r="B569" s="60" t="s">
        <v>927</v>
      </c>
      <c r="C569" s="34">
        <v>4301060485</v>
      </c>
      <c r="D569" s="671">
        <v>4640242180120</v>
      </c>
      <c r="E569" s="671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689" t="s">
        <v>928</v>
      </c>
      <c r="Q569" s="673"/>
      <c r="R569" s="673"/>
      <c r="S569" s="673"/>
      <c r="T569" s="67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929</v>
      </c>
      <c r="B570" s="60" t="s">
        <v>930</v>
      </c>
      <c r="C570" s="34">
        <v>4301060498</v>
      </c>
      <c r="D570" s="671">
        <v>4640242180137</v>
      </c>
      <c r="E570" s="671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690" t="s">
        <v>931</v>
      </c>
      <c r="Q570" s="673"/>
      <c r="R570" s="673"/>
      <c r="S570" s="673"/>
      <c r="T570" s="674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929</v>
      </c>
      <c r="B571" s="60" t="s">
        <v>933</v>
      </c>
      <c r="C571" s="34">
        <v>4301060486</v>
      </c>
      <c r="D571" s="671">
        <v>4640242180137</v>
      </c>
      <c r="E571" s="671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691" t="s">
        <v>934</v>
      </c>
      <c r="Q571" s="673"/>
      <c r="R571" s="673"/>
      <c r="S571" s="673"/>
      <c r="T571" s="674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idden="1" x14ac:dyDescent="0.2">
      <c r="A572" s="678"/>
      <c r="B572" s="678"/>
      <c r="C572" s="678"/>
      <c r="D572" s="678"/>
      <c r="E572" s="678"/>
      <c r="F572" s="678"/>
      <c r="G572" s="678"/>
      <c r="H572" s="678"/>
      <c r="I572" s="678"/>
      <c r="J572" s="678"/>
      <c r="K572" s="678"/>
      <c r="L572" s="678"/>
      <c r="M572" s="678"/>
      <c r="N572" s="678"/>
      <c r="O572" s="679"/>
      <c r="P572" s="675" t="s">
        <v>40</v>
      </c>
      <c r="Q572" s="676"/>
      <c r="R572" s="676"/>
      <c r="S572" s="676"/>
      <c r="T572" s="676"/>
      <c r="U572" s="676"/>
      <c r="V572" s="677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hidden="1" x14ac:dyDescent="0.2">
      <c r="A573" s="678"/>
      <c r="B573" s="678"/>
      <c r="C573" s="678"/>
      <c r="D573" s="678"/>
      <c r="E573" s="678"/>
      <c r="F573" s="678"/>
      <c r="G573" s="678"/>
      <c r="H573" s="678"/>
      <c r="I573" s="678"/>
      <c r="J573" s="678"/>
      <c r="K573" s="678"/>
      <c r="L573" s="678"/>
      <c r="M573" s="678"/>
      <c r="N573" s="678"/>
      <c r="O573" s="679"/>
      <c r="P573" s="675" t="s">
        <v>40</v>
      </c>
      <c r="Q573" s="676"/>
      <c r="R573" s="676"/>
      <c r="S573" s="676"/>
      <c r="T573" s="676"/>
      <c r="U573" s="676"/>
      <c r="V573" s="677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hidden="1" customHeight="1" x14ac:dyDescent="0.25">
      <c r="A574" s="692" t="s">
        <v>935</v>
      </c>
      <c r="B574" s="692"/>
      <c r="C574" s="692"/>
      <c r="D574" s="692"/>
      <c r="E574" s="692"/>
      <c r="F574" s="692"/>
      <c r="G574" s="692"/>
      <c r="H574" s="692"/>
      <c r="I574" s="692"/>
      <c r="J574" s="692"/>
      <c r="K574" s="692"/>
      <c r="L574" s="692"/>
      <c r="M574" s="692"/>
      <c r="N574" s="692"/>
      <c r="O574" s="692"/>
      <c r="P574" s="692"/>
      <c r="Q574" s="692"/>
      <c r="R574" s="692"/>
      <c r="S574" s="692"/>
      <c r="T574" s="692"/>
      <c r="U574" s="692"/>
      <c r="V574" s="692"/>
      <c r="W574" s="692"/>
      <c r="X574" s="692"/>
      <c r="Y574" s="692"/>
      <c r="Z574" s="692"/>
      <c r="AA574" s="62"/>
      <c r="AB574" s="62"/>
      <c r="AC574" s="62"/>
    </row>
    <row r="575" spans="1:68" ht="14.25" hidden="1" customHeight="1" x14ac:dyDescent="0.25">
      <c r="A575" s="670" t="s">
        <v>109</v>
      </c>
      <c r="B575" s="670"/>
      <c r="C575" s="670"/>
      <c r="D575" s="670"/>
      <c r="E575" s="670"/>
      <c r="F575" s="670"/>
      <c r="G575" s="670"/>
      <c r="H575" s="670"/>
      <c r="I575" s="670"/>
      <c r="J575" s="670"/>
      <c r="K575" s="670"/>
      <c r="L575" s="670"/>
      <c r="M575" s="670"/>
      <c r="N575" s="670"/>
      <c r="O575" s="670"/>
      <c r="P575" s="670"/>
      <c r="Q575" s="670"/>
      <c r="R575" s="670"/>
      <c r="S575" s="670"/>
      <c r="T575" s="670"/>
      <c r="U575" s="670"/>
      <c r="V575" s="670"/>
      <c r="W575" s="670"/>
      <c r="X575" s="670"/>
      <c r="Y575" s="670"/>
      <c r="Z575" s="670"/>
      <c r="AA575" s="63"/>
      <c r="AB575" s="63"/>
      <c r="AC575" s="63"/>
    </row>
    <row r="576" spans="1:68" ht="27" hidden="1" customHeight="1" x14ac:dyDescent="0.25">
      <c r="A576" s="60" t="s">
        <v>936</v>
      </c>
      <c r="B576" s="60" t="s">
        <v>937</v>
      </c>
      <c r="C576" s="34">
        <v>4301011951</v>
      </c>
      <c r="D576" s="671">
        <v>4640242180045</v>
      </c>
      <c r="E576" s="671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685" t="s">
        <v>938</v>
      </c>
      <c r="Q576" s="673"/>
      <c r="R576" s="673"/>
      <c r="S576" s="673"/>
      <c r="T576" s="67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hidden="1" x14ac:dyDescent="0.2">
      <c r="A577" s="678"/>
      <c r="B577" s="678"/>
      <c r="C577" s="678"/>
      <c r="D577" s="678"/>
      <c r="E577" s="678"/>
      <c r="F577" s="678"/>
      <c r="G577" s="678"/>
      <c r="H577" s="678"/>
      <c r="I577" s="678"/>
      <c r="J577" s="678"/>
      <c r="K577" s="678"/>
      <c r="L577" s="678"/>
      <c r="M577" s="678"/>
      <c r="N577" s="678"/>
      <c r="O577" s="679"/>
      <c r="P577" s="675" t="s">
        <v>40</v>
      </c>
      <c r="Q577" s="676"/>
      <c r="R577" s="676"/>
      <c r="S577" s="676"/>
      <c r="T577" s="676"/>
      <c r="U577" s="676"/>
      <c r="V577" s="677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hidden="1" x14ac:dyDescent="0.2">
      <c r="A578" s="678"/>
      <c r="B578" s="678"/>
      <c r="C578" s="678"/>
      <c r="D578" s="678"/>
      <c r="E578" s="678"/>
      <c r="F578" s="678"/>
      <c r="G578" s="678"/>
      <c r="H578" s="678"/>
      <c r="I578" s="678"/>
      <c r="J578" s="678"/>
      <c r="K578" s="678"/>
      <c r="L578" s="678"/>
      <c r="M578" s="678"/>
      <c r="N578" s="678"/>
      <c r="O578" s="679"/>
      <c r="P578" s="675" t="s">
        <v>40</v>
      </c>
      <c r="Q578" s="676"/>
      <c r="R578" s="676"/>
      <c r="S578" s="676"/>
      <c r="T578" s="676"/>
      <c r="U578" s="676"/>
      <c r="V578" s="677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hidden="1" customHeight="1" x14ac:dyDescent="0.25">
      <c r="A579" s="670" t="s">
        <v>149</v>
      </c>
      <c r="B579" s="670"/>
      <c r="C579" s="670"/>
      <c r="D579" s="670"/>
      <c r="E579" s="670"/>
      <c r="F579" s="670"/>
      <c r="G579" s="670"/>
      <c r="H579" s="670"/>
      <c r="I579" s="670"/>
      <c r="J579" s="670"/>
      <c r="K579" s="670"/>
      <c r="L579" s="670"/>
      <c r="M579" s="670"/>
      <c r="N579" s="670"/>
      <c r="O579" s="670"/>
      <c r="P579" s="670"/>
      <c r="Q579" s="670"/>
      <c r="R579" s="670"/>
      <c r="S579" s="670"/>
      <c r="T579" s="670"/>
      <c r="U579" s="670"/>
      <c r="V579" s="670"/>
      <c r="W579" s="670"/>
      <c r="X579" s="670"/>
      <c r="Y579" s="670"/>
      <c r="Z579" s="670"/>
      <c r="AA579" s="63"/>
      <c r="AB579" s="63"/>
      <c r="AC579" s="63"/>
    </row>
    <row r="580" spans="1:68" ht="27" hidden="1" customHeight="1" x14ac:dyDescent="0.25">
      <c r="A580" s="60" t="s">
        <v>940</v>
      </c>
      <c r="B580" s="60" t="s">
        <v>941</v>
      </c>
      <c r="C580" s="34">
        <v>4301020314</v>
      </c>
      <c r="D580" s="671">
        <v>4640242180090</v>
      </c>
      <c r="E580" s="671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686" t="s">
        <v>942</v>
      </c>
      <c r="Q580" s="673"/>
      <c r="R580" s="673"/>
      <c r="S580" s="673"/>
      <c r="T580" s="674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hidden="1" x14ac:dyDescent="0.2">
      <c r="A581" s="678"/>
      <c r="B581" s="678"/>
      <c r="C581" s="678"/>
      <c r="D581" s="678"/>
      <c r="E581" s="678"/>
      <c r="F581" s="678"/>
      <c r="G581" s="678"/>
      <c r="H581" s="678"/>
      <c r="I581" s="678"/>
      <c r="J581" s="678"/>
      <c r="K581" s="678"/>
      <c r="L581" s="678"/>
      <c r="M581" s="678"/>
      <c r="N581" s="678"/>
      <c r="O581" s="679"/>
      <c r="P581" s="675" t="s">
        <v>40</v>
      </c>
      <c r="Q581" s="676"/>
      <c r="R581" s="676"/>
      <c r="S581" s="676"/>
      <c r="T581" s="676"/>
      <c r="U581" s="676"/>
      <c r="V581" s="677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hidden="1" x14ac:dyDescent="0.2">
      <c r="A582" s="678"/>
      <c r="B582" s="678"/>
      <c r="C582" s="678"/>
      <c r="D582" s="678"/>
      <c r="E582" s="678"/>
      <c r="F582" s="678"/>
      <c r="G582" s="678"/>
      <c r="H582" s="678"/>
      <c r="I582" s="678"/>
      <c r="J582" s="678"/>
      <c r="K582" s="678"/>
      <c r="L582" s="678"/>
      <c r="M582" s="678"/>
      <c r="N582" s="678"/>
      <c r="O582" s="679"/>
      <c r="P582" s="675" t="s">
        <v>40</v>
      </c>
      <c r="Q582" s="676"/>
      <c r="R582" s="676"/>
      <c r="S582" s="676"/>
      <c r="T582" s="676"/>
      <c r="U582" s="676"/>
      <c r="V582" s="677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hidden="1" customHeight="1" x14ac:dyDescent="0.25">
      <c r="A583" s="670" t="s">
        <v>160</v>
      </c>
      <c r="B583" s="670"/>
      <c r="C583" s="670"/>
      <c r="D583" s="670"/>
      <c r="E583" s="670"/>
      <c r="F583" s="670"/>
      <c r="G583" s="670"/>
      <c r="H583" s="670"/>
      <c r="I583" s="670"/>
      <c r="J583" s="670"/>
      <c r="K583" s="670"/>
      <c r="L583" s="670"/>
      <c r="M583" s="670"/>
      <c r="N583" s="670"/>
      <c r="O583" s="670"/>
      <c r="P583" s="670"/>
      <c r="Q583" s="670"/>
      <c r="R583" s="670"/>
      <c r="S583" s="670"/>
      <c r="T583" s="670"/>
      <c r="U583" s="670"/>
      <c r="V583" s="670"/>
      <c r="W583" s="670"/>
      <c r="X583" s="670"/>
      <c r="Y583" s="670"/>
      <c r="Z583" s="670"/>
      <c r="AA583" s="63"/>
      <c r="AB583" s="63"/>
      <c r="AC583" s="63"/>
    </row>
    <row r="584" spans="1:68" ht="27" hidden="1" customHeight="1" x14ac:dyDescent="0.25">
      <c r="A584" s="60" t="s">
        <v>944</v>
      </c>
      <c r="B584" s="60" t="s">
        <v>945</v>
      </c>
      <c r="C584" s="34">
        <v>4301031321</v>
      </c>
      <c r="D584" s="671">
        <v>4640242180076</v>
      </c>
      <c r="E584" s="671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687" t="s">
        <v>946</v>
      </c>
      <c r="Q584" s="673"/>
      <c r="R584" s="673"/>
      <c r="S584" s="673"/>
      <c r="T584" s="674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hidden="1" x14ac:dyDescent="0.2">
      <c r="A585" s="678"/>
      <c r="B585" s="678"/>
      <c r="C585" s="678"/>
      <c r="D585" s="678"/>
      <c r="E585" s="678"/>
      <c r="F585" s="678"/>
      <c r="G585" s="678"/>
      <c r="H585" s="678"/>
      <c r="I585" s="678"/>
      <c r="J585" s="678"/>
      <c r="K585" s="678"/>
      <c r="L585" s="678"/>
      <c r="M585" s="678"/>
      <c r="N585" s="678"/>
      <c r="O585" s="679"/>
      <c r="P585" s="675" t="s">
        <v>40</v>
      </c>
      <c r="Q585" s="676"/>
      <c r="R585" s="676"/>
      <c r="S585" s="676"/>
      <c r="T585" s="676"/>
      <c r="U585" s="676"/>
      <c r="V585" s="677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hidden="1" x14ac:dyDescent="0.2">
      <c r="A586" s="678"/>
      <c r="B586" s="678"/>
      <c r="C586" s="678"/>
      <c r="D586" s="678"/>
      <c r="E586" s="678"/>
      <c r="F586" s="678"/>
      <c r="G586" s="678"/>
      <c r="H586" s="678"/>
      <c r="I586" s="678"/>
      <c r="J586" s="678"/>
      <c r="K586" s="678"/>
      <c r="L586" s="678"/>
      <c r="M586" s="678"/>
      <c r="N586" s="678"/>
      <c r="O586" s="679"/>
      <c r="P586" s="675" t="s">
        <v>40</v>
      </c>
      <c r="Q586" s="676"/>
      <c r="R586" s="676"/>
      <c r="S586" s="676"/>
      <c r="T586" s="676"/>
      <c r="U586" s="676"/>
      <c r="V586" s="677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hidden="1" customHeight="1" x14ac:dyDescent="0.25">
      <c r="A587" s="670" t="s">
        <v>78</v>
      </c>
      <c r="B587" s="670"/>
      <c r="C587" s="670"/>
      <c r="D587" s="670"/>
      <c r="E587" s="670"/>
      <c r="F587" s="670"/>
      <c r="G587" s="670"/>
      <c r="H587" s="670"/>
      <c r="I587" s="670"/>
      <c r="J587" s="670"/>
      <c r="K587" s="670"/>
      <c r="L587" s="670"/>
      <c r="M587" s="670"/>
      <c r="N587" s="670"/>
      <c r="O587" s="670"/>
      <c r="P587" s="670"/>
      <c r="Q587" s="670"/>
      <c r="R587" s="670"/>
      <c r="S587" s="670"/>
      <c r="T587" s="670"/>
      <c r="U587" s="670"/>
      <c r="V587" s="670"/>
      <c r="W587" s="670"/>
      <c r="X587" s="670"/>
      <c r="Y587" s="670"/>
      <c r="Z587" s="670"/>
      <c r="AA587" s="63"/>
      <c r="AB587" s="63"/>
      <c r="AC587" s="63"/>
    </row>
    <row r="588" spans="1:68" ht="27" hidden="1" customHeight="1" x14ac:dyDescent="0.25">
      <c r="A588" s="60" t="s">
        <v>948</v>
      </c>
      <c r="B588" s="60" t="s">
        <v>949</v>
      </c>
      <c r="C588" s="34">
        <v>4301051914</v>
      </c>
      <c r="D588" s="671">
        <v>4640242180113</v>
      </c>
      <c r="E588" s="671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672" t="s">
        <v>950</v>
      </c>
      <c r="Q588" s="673"/>
      <c r="R588" s="673"/>
      <c r="S588" s="673"/>
      <c r="T588" s="674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hidden="1" x14ac:dyDescent="0.2">
      <c r="A589" s="678"/>
      <c r="B589" s="678"/>
      <c r="C589" s="678"/>
      <c r="D589" s="678"/>
      <c r="E589" s="678"/>
      <c r="F589" s="678"/>
      <c r="G589" s="678"/>
      <c r="H589" s="678"/>
      <c r="I589" s="678"/>
      <c r="J589" s="678"/>
      <c r="K589" s="678"/>
      <c r="L589" s="678"/>
      <c r="M589" s="678"/>
      <c r="N589" s="678"/>
      <c r="O589" s="679"/>
      <c r="P589" s="675" t="s">
        <v>40</v>
      </c>
      <c r="Q589" s="676"/>
      <c r="R589" s="676"/>
      <c r="S589" s="676"/>
      <c r="T589" s="676"/>
      <c r="U589" s="676"/>
      <c r="V589" s="677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hidden="1" x14ac:dyDescent="0.2">
      <c r="A590" s="678"/>
      <c r="B590" s="678"/>
      <c r="C590" s="678"/>
      <c r="D590" s="678"/>
      <c r="E590" s="678"/>
      <c r="F590" s="678"/>
      <c r="G590" s="678"/>
      <c r="H590" s="678"/>
      <c r="I590" s="678"/>
      <c r="J590" s="678"/>
      <c r="K590" s="678"/>
      <c r="L590" s="678"/>
      <c r="M590" s="678"/>
      <c r="N590" s="678"/>
      <c r="O590" s="679"/>
      <c r="P590" s="675" t="s">
        <v>40</v>
      </c>
      <c r="Q590" s="676"/>
      <c r="R590" s="676"/>
      <c r="S590" s="676"/>
      <c r="T590" s="676"/>
      <c r="U590" s="676"/>
      <c r="V590" s="677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678"/>
      <c r="B591" s="678"/>
      <c r="C591" s="678"/>
      <c r="D591" s="678"/>
      <c r="E591" s="678"/>
      <c r="F591" s="678"/>
      <c r="G591" s="678"/>
      <c r="H591" s="678"/>
      <c r="I591" s="678"/>
      <c r="J591" s="678"/>
      <c r="K591" s="678"/>
      <c r="L591" s="678"/>
      <c r="M591" s="678"/>
      <c r="N591" s="678"/>
      <c r="O591" s="683"/>
      <c r="P591" s="680" t="s">
        <v>33</v>
      </c>
      <c r="Q591" s="681"/>
      <c r="R591" s="681"/>
      <c r="S591" s="681"/>
      <c r="T591" s="681"/>
      <c r="U591" s="681"/>
      <c r="V591" s="682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18090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18217.580000000002</v>
      </c>
      <c r="Z591" s="40"/>
      <c r="AA591" s="64"/>
      <c r="AB591" s="64"/>
      <c r="AC591" s="64"/>
    </row>
    <row r="592" spans="1:68" x14ac:dyDescent="0.2">
      <c r="A592" s="678"/>
      <c r="B592" s="678"/>
      <c r="C592" s="678"/>
      <c r="D592" s="678"/>
      <c r="E592" s="678"/>
      <c r="F592" s="678"/>
      <c r="G592" s="678"/>
      <c r="H592" s="678"/>
      <c r="I592" s="678"/>
      <c r="J592" s="678"/>
      <c r="K592" s="678"/>
      <c r="L592" s="678"/>
      <c r="M592" s="678"/>
      <c r="N592" s="678"/>
      <c r="O592" s="683"/>
      <c r="P592" s="680" t="s">
        <v>34</v>
      </c>
      <c r="Q592" s="681"/>
      <c r="R592" s="681"/>
      <c r="S592" s="681"/>
      <c r="T592" s="681"/>
      <c r="U592" s="681"/>
      <c r="V592" s="682"/>
      <c r="W592" s="40" t="s">
        <v>0</v>
      </c>
      <c r="X592" s="41">
        <f>IFERROR(SUM(BM22:BM588),"0")</f>
        <v>18855.16318561144</v>
      </c>
      <c r="Y592" s="41">
        <f>IFERROR(SUM(BN22:BN588),"0")</f>
        <v>18990.214</v>
      </c>
      <c r="Z592" s="40"/>
      <c r="AA592" s="64"/>
      <c r="AB592" s="64"/>
      <c r="AC592" s="64"/>
    </row>
    <row r="593" spans="1:32" x14ac:dyDescent="0.2">
      <c r="A593" s="678"/>
      <c r="B593" s="678"/>
      <c r="C593" s="678"/>
      <c r="D593" s="678"/>
      <c r="E593" s="678"/>
      <c r="F593" s="678"/>
      <c r="G593" s="678"/>
      <c r="H593" s="678"/>
      <c r="I593" s="678"/>
      <c r="J593" s="678"/>
      <c r="K593" s="678"/>
      <c r="L593" s="678"/>
      <c r="M593" s="678"/>
      <c r="N593" s="678"/>
      <c r="O593" s="683"/>
      <c r="P593" s="680" t="s">
        <v>35</v>
      </c>
      <c r="Q593" s="681"/>
      <c r="R593" s="681"/>
      <c r="S593" s="681"/>
      <c r="T593" s="681"/>
      <c r="U593" s="681"/>
      <c r="V593" s="682"/>
      <c r="W593" s="40" t="s">
        <v>20</v>
      </c>
      <c r="X593" s="42">
        <f>ROUNDUP(SUM(BO22:BO588),0)</f>
        <v>28</v>
      </c>
      <c r="Y593" s="42">
        <f>ROUNDUP(SUM(BP22:BP588),0)</f>
        <v>28</v>
      </c>
      <c r="Z593" s="40"/>
      <c r="AA593" s="64"/>
      <c r="AB593" s="64"/>
      <c r="AC593" s="64"/>
    </row>
    <row r="594" spans="1:32" x14ac:dyDescent="0.2">
      <c r="A594" s="678"/>
      <c r="B594" s="678"/>
      <c r="C594" s="678"/>
      <c r="D594" s="678"/>
      <c r="E594" s="678"/>
      <c r="F594" s="678"/>
      <c r="G594" s="678"/>
      <c r="H594" s="678"/>
      <c r="I594" s="678"/>
      <c r="J594" s="678"/>
      <c r="K594" s="678"/>
      <c r="L594" s="678"/>
      <c r="M594" s="678"/>
      <c r="N594" s="678"/>
      <c r="O594" s="683"/>
      <c r="P594" s="680" t="s">
        <v>36</v>
      </c>
      <c r="Q594" s="681"/>
      <c r="R594" s="681"/>
      <c r="S594" s="681"/>
      <c r="T594" s="681"/>
      <c r="U594" s="681"/>
      <c r="V594" s="682"/>
      <c r="W594" s="40" t="s">
        <v>0</v>
      </c>
      <c r="X594" s="41">
        <f>GrossWeightTotal+PalletQtyTotal*25</f>
        <v>19555.16318561144</v>
      </c>
      <c r="Y594" s="41">
        <f>GrossWeightTotalR+PalletQtyTotalR*25</f>
        <v>19690.214</v>
      </c>
      <c r="Z594" s="40"/>
      <c r="AA594" s="64"/>
      <c r="AB594" s="64"/>
      <c r="AC594" s="64"/>
    </row>
    <row r="595" spans="1:32" x14ac:dyDescent="0.2">
      <c r="A595" s="678"/>
      <c r="B595" s="678"/>
      <c r="C595" s="678"/>
      <c r="D595" s="678"/>
      <c r="E595" s="678"/>
      <c r="F595" s="678"/>
      <c r="G595" s="678"/>
      <c r="H595" s="678"/>
      <c r="I595" s="678"/>
      <c r="J595" s="678"/>
      <c r="K595" s="678"/>
      <c r="L595" s="678"/>
      <c r="M595" s="678"/>
      <c r="N595" s="678"/>
      <c r="O595" s="683"/>
      <c r="P595" s="680" t="s">
        <v>37</v>
      </c>
      <c r="Q595" s="681"/>
      <c r="R595" s="681"/>
      <c r="S595" s="681"/>
      <c r="T595" s="681"/>
      <c r="U595" s="681"/>
      <c r="V595" s="682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2104.8267953988316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2127</v>
      </c>
      <c r="Z595" s="40"/>
      <c r="AA595" s="64"/>
      <c r="AB595" s="64"/>
      <c r="AC595" s="64"/>
    </row>
    <row r="596" spans="1:32" ht="14.25" hidden="1" x14ac:dyDescent="0.2">
      <c r="A596" s="678"/>
      <c r="B596" s="678"/>
      <c r="C596" s="678"/>
      <c r="D596" s="678"/>
      <c r="E596" s="678"/>
      <c r="F596" s="678"/>
      <c r="G596" s="678"/>
      <c r="H596" s="678"/>
      <c r="I596" s="678"/>
      <c r="J596" s="678"/>
      <c r="K596" s="678"/>
      <c r="L596" s="678"/>
      <c r="M596" s="678"/>
      <c r="N596" s="678"/>
      <c r="O596" s="683"/>
      <c r="P596" s="680" t="s">
        <v>38</v>
      </c>
      <c r="Q596" s="681"/>
      <c r="R596" s="681"/>
      <c r="S596" s="681"/>
      <c r="T596" s="681"/>
      <c r="U596" s="681"/>
      <c r="V596" s="682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30.676099999999998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667" t="s">
        <v>107</v>
      </c>
      <c r="D598" s="667" t="s">
        <v>107</v>
      </c>
      <c r="E598" s="667" t="s">
        <v>107</v>
      </c>
      <c r="F598" s="667" t="s">
        <v>107</v>
      </c>
      <c r="G598" s="667" t="s">
        <v>107</v>
      </c>
      <c r="H598" s="667" t="s">
        <v>107</v>
      </c>
      <c r="I598" s="667" t="s">
        <v>299</v>
      </c>
      <c r="J598" s="667" t="s">
        <v>299</v>
      </c>
      <c r="K598" s="667" t="s">
        <v>299</v>
      </c>
      <c r="L598" s="667" t="s">
        <v>299</v>
      </c>
      <c r="M598" s="667" t="s">
        <v>299</v>
      </c>
      <c r="N598" s="684"/>
      <c r="O598" s="667" t="s">
        <v>299</v>
      </c>
      <c r="P598" s="667" t="s">
        <v>299</v>
      </c>
      <c r="Q598" s="667" t="s">
        <v>299</v>
      </c>
      <c r="R598" s="667" t="s">
        <v>299</v>
      </c>
      <c r="S598" s="667" t="s">
        <v>299</v>
      </c>
      <c r="T598" s="667" t="s">
        <v>299</v>
      </c>
      <c r="U598" s="667" t="s">
        <v>299</v>
      </c>
      <c r="V598" s="667" t="s">
        <v>299</v>
      </c>
      <c r="W598" s="667" t="s">
        <v>590</v>
      </c>
      <c r="X598" s="667" t="s">
        <v>590</v>
      </c>
      <c r="Y598" s="667" t="s">
        <v>668</v>
      </c>
      <c r="Z598" s="667" t="s">
        <v>668</v>
      </c>
      <c r="AA598" s="667" t="s">
        <v>668</v>
      </c>
      <c r="AB598" s="667" t="s">
        <v>668</v>
      </c>
      <c r="AC598" s="80" t="s">
        <v>743</v>
      </c>
      <c r="AD598" s="667" t="s">
        <v>842</v>
      </c>
      <c r="AE598" s="667" t="s">
        <v>842</v>
      </c>
      <c r="AF598" s="1"/>
    </row>
    <row r="599" spans="1:32" ht="14.25" customHeight="1" thickTop="1" x14ac:dyDescent="0.2">
      <c r="A599" s="668" t="s">
        <v>10</v>
      </c>
      <c r="B599" s="667" t="s">
        <v>77</v>
      </c>
      <c r="C599" s="667" t="s">
        <v>108</v>
      </c>
      <c r="D599" s="667" t="s">
        <v>129</v>
      </c>
      <c r="E599" s="667" t="s">
        <v>194</v>
      </c>
      <c r="F599" s="667" t="s">
        <v>225</v>
      </c>
      <c r="G599" s="667" t="s">
        <v>270</v>
      </c>
      <c r="H599" s="667" t="s">
        <v>107</v>
      </c>
      <c r="I599" s="667" t="s">
        <v>300</v>
      </c>
      <c r="J599" s="667" t="s">
        <v>335</v>
      </c>
      <c r="K599" s="667" t="s">
        <v>396</v>
      </c>
      <c r="L599" s="667" t="s">
        <v>431</v>
      </c>
      <c r="M599" s="667" t="s">
        <v>449</v>
      </c>
      <c r="N599" s="1"/>
      <c r="O599" s="667" t="s">
        <v>453</v>
      </c>
      <c r="P599" s="667" t="s">
        <v>462</v>
      </c>
      <c r="Q599" s="667" t="s">
        <v>476</v>
      </c>
      <c r="R599" s="667" t="s">
        <v>486</v>
      </c>
      <c r="S599" s="667" t="s">
        <v>490</v>
      </c>
      <c r="T599" s="667" t="s">
        <v>498</v>
      </c>
      <c r="U599" s="667" t="s">
        <v>503</v>
      </c>
      <c r="V599" s="667" t="s">
        <v>577</v>
      </c>
      <c r="W599" s="667" t="s">
        <v>591</v>
      </c>
      <c r="X599" s="667" t="s">
        <v>632</v>
      </c>
      <c r="Y599" s="667" t="s">
        <v>669</v>
      </c>
      <c r="Z599" s="667" t="s">
        <v>708</v>
      </c>
      <c r="AA599" s="667" t="s">
        <v>728</v>
      </c>
      <c r="AB599" s="667" t="s">
        <v>736</v>
      </c>
      <c r="AC599" s="667" t="s">
        <v>743</v>
      </c>
      <c r="AD599" s="667" t="s">
        <v>842</v>
      </c>
      <c r="AE599" s="667" t="s">
        <v>935</v>
      </c>
      <c r="AF599" s="1"/>
    </row>
    <row r="600" spans="1:32" ht="13.5" thickBot="1" x14ac:dyDescent="0.25">
      <c r="A600" s="669"/>
      <c r="B600" s="667"/>
      <c r="C600" s="667"/>
      <c r="D600" s="667"/>
      <c r="E600" s="667"/>
      <c r="F600" s="667"/>
      <c r="G600" s="667"/>
      <c r="H600" s="667"/>
      <c r="I600" s="667"/>
      <c r="J600" s="667"/>
      <c r="K600" s="667"/>
      <c r="L600" s="667"/>
      <c r="M600" s="667"/>
      <c r="N600" s="1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  <c r="Z600" s="667"/>
      <c r="AA600" s="667"/>
      <c r="AB600" s="667"/>
      <c r="AC600" s="667"/>
      <c r="AD600" s="667"/>
      <c r="AE600" s="667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0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130.80000000000001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243.3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32.400000000000006</v>
      </c>
      <c r="G601" s="50">
        <f>IFERROR(Y137*1,"0")+IFERROR(Y138*1,"0")+IFERROR(Y142*1,"0")+IFERROR(Y143*1,"0")+IFERROR(Y147*1,"0")+IFERROR(Y148*1,"0")</f>
        <v>202</v>
      </c>
      <c r="H601" s="50">
        <f>IFERROR(Y153*1,"0")+IFERROR(Y157*1,"0")+IFERROR(Y158*1,"0")+IFERROR(Y159*1,"0")+IFERROR(Y160*1,"0")+IFERROR(Y164*1,"0")</f>
        <v>0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3614.3999999999996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310.2</v>
      </c>
      <c r="V601" s="50">
        <f>IFERROR(Y363*1,"0")+IFERROR(Y367*1,"0")+IFERROR(Y368*1,"0")+IFERROR(Y369*1,"0")</f>
        <v>64.8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11623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255.72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118.80000000000001</v>
      </c>
      <c r="Z601" s="50">
        <f>IFERROR(Y451*1,"0")+IFERROR(Y452*1,"0")+IFERROR(Y456*1,"0")+IFERROR(Y457*1,"0")+IFERROR(Y458*1,"0")+IFERROR(Y459*1,"0")</f>
        <v>167.4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1040.1600000000001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313.79999999999995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440,00"/>
        <filter val="100,00"/>
        <filter val="11,48"/>
        <filter val="110,00"/>
        <filter val="120,00"/>
        <filter val="136,00"/>
        <filter val="140,00"/>
        <filter val="144,44"/>
        <filter val="15,83"/>
        <filter val="16,67"/>
        <filter val="160,00"/>
        <filter val="165,00"/>
        <filter val="175,98"/>
        <filter val="18 090,00"/>
        <filter val="18 855,16"/>
        <filter val="180,00"/>
        <filter val="19 555,16"/>
        <filter val="190,00"/>
        <filter val="2 104,83"/>
        <filter val="2 810,00"/>
        <filter val="2 880,00"/>
        <filter val="2,78"/>
        <filter val="20,00"/>
        <filter val="20,37"/>
        <filter val="22,50"/>
        <filter val="23,81"/>
        <filter val="230,00"/>
        <filter val="236,00"/>
        <filter val="260,00"/>
        <filter val="270,00"/>
        <filter val="28"/>
        <filter val="28,57"/>
        <filter val="29,60"/>
        <filter val="30,00"/>
        <filter val="30,30"/>
        <filter val="30,56"/>
        <filter val="31,00"/>
        <filter val="31,96"/>
        <filter val="4 000,00"/>
        <filter val="40,00"/>
        <filter val="400,00"/>
        <filter val="410,00"/>
        <filter val="42,50"/>
        <filter val="43,38"/>
        <filter val="450,00"/>
        <filter val="5,13"/>
        <filter val="50,00"/>
        <filter val="510,00"/>
        <filter val="520,37"/>
        <filter val="550,00"/>
        <filter val="56,67"/>
        <filter val="562,67"/>
        <filter val="57,00"/>
        <filter val="6,00"/>
        <filter val="6,67"/>
        <filter val="60,00"/>
        <filter val="63,00"/>
        <filter val="7,14"/>
        <filter val="7,41"/>
        <filter val="70,00"/>
        <filter val="712,00"/>
        <filter val="72,00"/>
        <filter val="730,00"/>
        <filter val="77,00"/>
        <filter val="77,65"/>
        <filter val="8 360,00"/>
        <filter val="80,00"/>
        <filter val="800,00"/>
        <filter val="85,23"/>
        <filter val="9,17"/>
        <filter val="900,00"/>
        <filter val="96,00"/>
      </filters>
    </filterColumn>
    <filterColumn colId="29" showButton="0"/>
    <filterColumn colId="30" showButton="0"/>
  </autoFilter>
  <dataConsolidate/>
  <mergeCells count="105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