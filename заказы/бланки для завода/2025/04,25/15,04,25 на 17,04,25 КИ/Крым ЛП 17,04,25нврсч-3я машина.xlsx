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9157538-F214-4B82-9D95-DD35AF971A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Y413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BP309" i="1" s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O124" i="1"/>
  <c r="BM124" i="1"/>
  <c r="Y124" i="1"/>
  <c r="P124" i="1"/>
  <c r="BO123" i="1"/>
  <c r="BM123" i="1"/>
  <c r="Y123" i="1"/>
  <c r="BO122" i="1"/>
  <c r="BM122" i="1"/>
  <c r="Y122" i="1"/>
  <c r="P122" i="1"/>
  <c r="BO121" i="1"/>
  <c r="BM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Y90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P44" i="1"/>
  <c r="X42" i="1"/>
  <c r="X41" i="1"/>
  <c r="BO40" i="1"/>
  <c r="BM40" i="1"/>
  <c r="Y40" i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24" i="1" l="1"/>
  <c r="BN124" i="1"/>
  <c r="Z124" i="1"/>
  <c r="BP142" i="1"/>
  <c r="BN142" i="1"/>
  <c r="Z142" i="1"/>
  <c r="BP182" i="1"/>
  <c r="BN182" i="1"/>
  <c r="Z182" i="1"/>
  <c r="BP206" i="1"/>
  <c r="BN206" i="1"/>
  <c r="Z206" i="1"/>
  <c r="BP231" i="1"/>
  <c r="BN231" i="1"/>
  <c r="Z231" i="1"/>
  <c r="T601" i="1"/>
  <c r="Y315" i="1"/>
  <c r="BP314" i="1"/>
  <c r="BN314" i="1"/>
  <c r="Z314" i="1"/>
  <c r="Z315" i="1" s="1"/>
  <c r="BP319" i="1"/>
  <c r="BN319" i="1"/>
  <c r="Z319" i="1"/>
  <c r="BP343" i="1"/>
  <c r="BN343" i="1"/>
  <c r="Z343" i="1"/>
  <c r="BP384" i="1"/>
  <c r="BN384" i="1"/>
  <c r="Z384" i="1"/>
  <c r="BP437" i="1"/>
  <c r="BN437" i="1"/>
  <c r="Z437" i="1"/>
  <c r="Y503" i="1"/>
  <c r="Y502" i="1"/>
  <c r="BP498" i="1"/>
  <c r="BN498" i="1"/>
  <c r="Z498" i="1"/>
  <c r="BP500" i="1"/>
  <c r="BN500" i="1"/>
  <c r="Z500" i="1"/>
  <c r="BP514" i="1"/>
  <c r="BN514" i="1"/>
  <c r="Z514" i="1"/>
  <c r="Z39" i="1"/>
  <c r="BN39" i="1"/>
  <c r="Z58" i="1"/>
  <c r="BN58" i="1"/>
  <c r="Z74" i="1"/>
  <c r="BN74" i="1"/>
  <c r="Z87" i="1"/>
  <c r="BN87" i="1"/>
  <c r="BP87" i="1"/>
  <c r="Z106" i="1"/>
  <c r="BN106" i="1"/>
  <c r="BP114" i="1"/>
  <c r="BN114" i="1"/>
  <c r="BP121" i="1"/>
  <c r="BN121" i="1"/>
  <c r="Z121" i="1"/>
  <c r="BP125" i="1"/>
  <c r="BN125" i="1"/>
  <c r="Z125" i="1"/>
  <c r="BP175" i="1"/>
  <c r="BN175" i="1"/>
  <c r="Z175" i="1"/>
  <c r="BP192" i="1"/>
  <c r="BN192" i="1"/>
  <c r="Z192" i="1"/>
  <c r="BP216" i="1"/>
  <c r="BN216" i="1"/>
  <c r="Z216" i="1"/>
  <c r="BP271" i="1"/>
  <c r="BN271" i="1"/>
  <c r="Z271" i="1"/>
  <c r="BP331" i="1"/>
  <c r="BN331" i="1"/>
  <c r="Z331" i="1"/>
  <c r="BP376" i="1"/>
  <c r="BN376" i="1"/>
  <c r="Z376" i="1"/>
  <c r="BP404" i="1"/>
  <c r="BN404" i="1"/>
  <c r="Z404" i="1"/>
  <c r="BP440" i="1"/>
  <c r="BN440" i="1"/>
  <c r="Z440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39" i="1"/>
  <c r="BN339" i="1"/>
  <c r="Z339" i="1"/>
  <c r="BP368" i="1"/>
  <c r="BN368" i="1"/>
  <c r="Z368" i="1"/>
  <c r="BP382" i="1"/>
  <c r="BN382" i="1"/>
  <c r="Z382" i="1"/>
  <c r="Y396" i="1"/>
  <c r="Y395" i="1"/>
  <c r="BP393" i="1"/>
  <c r="BN393" i="1"/>
  <c r="Z393" i="1"/>
  <c r="BP419" i="1"/>
  <c r="BN419" i="1"/>
  <c r="Z419" i="1"/>
  <c r="BP435" i="1"/>
  <c r="BN435" i="1"/>
  <c r="Z435" i="1"/>
  <c r="AA601" i="1"/>
  <c r="Y466" i="1"/>
  <c r="BP464" i="1"/>
  <c r="BN464" i="1"/>
  <c r="Z464" i="1"/>
  <c r="BP484" i="1"/>
  <c r="BN484" i="1"/>
  <c r="Z484" i="1"/>
  <c r="BP494" i="1"/>
  <c r="BN494" i="1"/>
  <c r="Z494" i="1"/>
  <c r="X592" i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Z50" i="1"/>
  <c r="BN50" i="1"/>
  <c r="Z54" i="1"/>
  <c r="BN54" i="1"/>
  <c r="Y62" i="1"/>
  <c r="Z60" i="1"/>
  <c r="BN60" i="1"/>
  <c r="Z72" i="1"/>
  <c r="BN72" i="1"/>
  <c r="Z76" i="1"/>
  <c r="BN76" i="1"/>
  <c r="Z82" i="1"/>
  <c r="BN82" i="1"/>
  <c r="Z89" i="1"/>
  <c r="BN89" i="1"/>
  <c r="Z93" i="1"/>
  <c r="BN93" i="1"/>
  <c r="Z101" i="1"/>
  <c r="BN101" i="1"/>
  <c r="Z108" i="1"/>
  <c r="BN108" i="1"/>
  <c r="Z127" i="1"/>
  <c r="BN127" i="1"/>
  <c r="Y133" i="1"/>
  <c r="Z138" i="1"/>
  <c r="BN138" i="1"/>
  <c r="Y144" i="1"/>
  <c r="Z148" i="1"/>
  <c r="BN148" i="1"/>
  <c r="Y161" i="1"/>
  <c r="Z159" i="1"/>
  <c r="BN159" i="1"/>
  <c r="Z177" i="1"/>
  <c r="BN177" i="1"/>
  <c r="Z180" i="1"/>
  <c r="BN180" i="1"/>
  <c r="Z196" i="1"/>
  <c r="BN196" i="1"/>
  <c r="BP196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Z233" i="1"/>
  <c r="BN233" i="1"/>
  <c r="Z237" i="1"/>
  <c r="BN237" i="1"/>
  <c r="Z242" i="1"/>
  <c r="BN242" i="1"/>
  <c r="Z250" i="1"/>
  <c r="Z251" i="1" s="1"/>
  <c r="BN250" i="1"/>
  <c r="BP250" i="1"/>
  <c r="Y251" i="1"/>
  <c r="Z255" i="1"/>
  <c r="BN255" i="1"/>
  <c r="Z259" i="1"/>
  <c r="BN259" i="1"/>
  <c r="Y274" i="1"/>
  <c r="Z278" i="1"/>
  <c r="BN278" i="1"/>
  <c r="Z309" i="1"/>
  <c r="BN309" i="1"/>
  <c r="Z321" i="1"/>
  <c r="BN321" i="1"/>
  <c r="Z329" i="1"/>
  <c r="BN329" i="1"/>
  <c r="Y341" i="1"/>
  <c r="BP335" i="1"/>
  <c r="BN335" i="1"/>
  <c r="Z335" i="1"/>
  <c r="Z340" i="1" s="1"/>
  <c r="BP345" i="1"/>
  <c r="BN345" i="1"/>
  <c r="Z345" i="1"/>
  <c r="BP351" i="1"/>
  <c r="BN351" i="1"/>
  <c r="Z351" i="1"/>
  <c r="BP378" i="1"/>
  <c r="BN378" i="1"/>
  <c r="Z378" i="1"/>
  <c r="Y390" i="1"/>
  <c r="BP388" i="1"/>
  <c r="BN388" i="1"/>
  <c r="Z388" i="1"/>
  <c r="BP394" i="1"/>
  <c r="BN394" i="1"/>
  <c r="Z394" i="1"/>
  <c r="BP406" i="1"/>
  <c r="BN406" i="1"/>
  <c r="Z406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BP521" i="1"/>
  <c r="BN521" i="1"/>
  <c r="Z521" i="1"/>
  <c r="Y347" i="1"/>
  <c r="Y346" i="1"/>
  <c r="Y453" i="1"/>
  <c r="Y461" i="1"/>
  <c r="H9" i="1"/>
  <c r="A10" i="1"/>
  <c r="B601" i="1"/>
  <c r="Y29" i="1"/>
  <c r="BP22" i="1"/>
  <c r="BN22" i="1"/>
  <c r="BP26" i="1"/>
  <c r="BN26" i="1"/>
  <c r="Z26" i="1"/>
  <c r="BP40" i="1"/>
  <c r="BN40" i="1"/>
  <c r="Z40" i="1"/>
  <c r="Y42" i="1"/>
  <c r="Y45" i="1"/>
  <c r="BP44" i="1"/>
  <c r="BN44" i="1"/>
  <c r="Z44" i="1"/>
  <c r="Z45" i="1" s="1"/>
  <c r="Y46" i="1"/>
  <c r="D601" i="1"/>
  <c r="Y56" i="1"/>
  <c r="BP49" i="1"/>
  <c r="BN49" i="1"/>
  <c r="Z49" i="1"/>
  <c r="BP53" i="1"/>
  <c r="BN53" i="1"/>
  <c r="Z53" i="1"/>
  <c r="BP61" i="1"/>
  <c r="BN61" i="1"/>
  <c r="Z61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BP94" i="1"/>
  <c r="BN94" i="1"/>
  <c r="Z94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Y117" i="1"/>
  <c r="Y129" i="1"/>
  <c r="BP119" i="1"/>
  <c r="BN119" i="1"/>
  <c r="Z119" i="1"/>
  <c r="BP122" i="1"/>
  <c r="BN122" i="1"/>
  <c r="Z122" i="1"/>
  <c r="BP126" i="1"/>
  <c r="BN126" i="1"/>
  <c r="Z126" i="1"/>
  <c r="BP143" i="1"/>
  <c r="BN143" i="1"/>
  <c r="Z143" i="1"/>
  <c r="Z144" i="1" s="1"/>
  <c r="Y145" i="1"/>
  <c r="Y150" i="1"/>
  <c r="BP147" i="1"/>
  <c r="BN147" i="1"/>
  <c r="Z147" i="1"/>
  <c r="BP160" i="1"/>
  <c r="BN160" i="1"/>
  <c r="Z160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1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BP258" i="1"/>
  <c r="BN258" i="1"/>
  <c r="Z258" i="1"/>
  <c r="BP272" i="1"/>
  <c r="BN272" i="1"/>
  <c r="Z272" i="1"/>
  <c r="P601" i="1"/>
  <c r="Y282" i="1"/>
  <c r="BP277" i="1"/>
  <c r="BN277" i="1"/>
  <c r="Z277" i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Y300" i="1"/>
  <c r="BP299" i="1"/>
  <c r="BN299" i="1"/>
  <c r="Z299" i="1"/>
  <c r="Z300" i="1" s="1"/>
  <c r="R601" i="1"/>
  <c r="Y301" i="1"/>
  <c r="F9" i="1"/>
  <c r="J9" i="1"/>
  <c r="Z22" i="1"/>
  <c r="X593" i="1"/>
  <c r="X594" i="1" s="1"/>
  <c r="Y28" i="1"/>
  <c r="BP38" i="1"/>
  <c r="BN38" i="1"/>
  <c r="Z38" i="1"/>
  <c r="BP51" i="1"/>
  <c r="BN51" i="1"/>
  <c r="Z51" i="1"/>
  <c r="Y55" i="1"/>
  <c r="BP59" i="1"/>
  <c r="BN59" i="1"/>
  <c r="Z59" i="1"/>
  <c r="BP67" i="1"/>
  <c r="BN67" i="1"/>
  <c r="Z67" i="1"/>
  <c r="Y69" i="1"/>
  <c r="Y78" i="1"/>
  <c r="BP71" i="1"/>
  <c r="BN71" i="1"/>
  <c r="Z71" i="1"/>
  <c r="BP75" i="1"/>
  <c r="BN75" i="1"/>
  <c r="Z75" i="1"/>
  <c r="Y84" i="1"/>
  <c r="Y83" i="1"/>
  <c r="BP88" i="1"/>
  <c r="BN88" i="1"/>
  <c r="Z88" i="1"/>
  <c r="Y103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BP120" i="1"/>
  <c r="BN120" i="1"/>
  <c r="Z120" i="1"/>
  <c r="BP123" i="1"/>
  <c r="BN123" i="1"/>
  <c r="Z123" i="1"/>
  <c r="Y128" i="1"/>
  <c r="BP132" i="1"/>
  <c r="BN132" i="1"/>
  <c r="Z132" i="1"/>
  <c r="Z133" i="1" s="1"/>
  <c r="Y134" i="1"/>
  <c r="G601" i="1"/>
  <c r="Y140" i="1"/>
  <c r="BP137" i="1"/>
  <c r="BN137" i="1"/>
  <c r="Z137" i="1"/>
  <c r="Z139" i="1" s="1"/>
  <c r="Y149" i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BP203" i="1"/>
  <c r="BN203" i="1"/>
  <c r="Z203" i="1"/>
  <c r="BP207" i="1"/>
  <c r="BN207" i="1"/>
  <c r="Z207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Y306" i="1"/>
  <c r="Y310" i="1"/>
  <c r="BP322" i="1"/>
  <c r="BN322" i="1"/>
  <c r="Z322" i="1"/>
  <c r="BP330" i="1"/>
  <c r="BN330" i="1"/>
  <c r="Z330" i="1"/>
  <c r="BP338" i="1"/>
  <c r="BN338" i="1"/>
  <c r="Z338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BP369" i="1"/>
  <c r="BN369" i="1"/>
  <c r="Z369" i="1"/>
  <c r="Y371" i="1"/>
  <c r="W601" i="1"/>
  <c r="Y386" i="1"/>
  <c r="BP375" i="1"/>
  <c r="BN375" i="1"/>
  <c r="Z375" i="1"/>
  <c r="BP379" i="1"/>
  <c r="BN379" i="1"/>
  <c r="Z379" i="1"/>
  <c r="BP383" i="1"/>
  <c r="BN383" i="1"/>
  <c r="Z383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3" i="1"/>
  <c r="Y448" i="1"/>
  <c r="BP445" i="1"/>
  <c r="BN445" i="1"/>
  <c r="Z445" i="1"/>
  <c r="BP458" i="1"/>
  <c r="BN458" i="1"/>
  <c r="Z458" i="1"/>
  <c r="X595" i="1"/>
  <c r="C601" i="1"/>
  <c r="Y41" i="1"/>
  <c r="E601" i="1"/>
  <c r="Y91" i="1"/>
  <c r="F601" i="1"/>
  <c r="Y110" i="1"/>
  <c r="H601" i="1"/>
  <c r="Y155" i="1"/>
  <c r="L601" i="1"/>
  <c r="Y261" i="1"/>
  <c r="Z304" i="1"/>
  <c r="Z305" i="1" s="1"/>
  <c r="BN304" i="1"/>
  <c r="BP304" i="1"/>
  <c r="Y305" i="1"/>
  <c r="Z308" i="1"/>
  <c r="Z310" i="1" s="1"/>
  <c r="BN308" i="1"/>
  <c r="BP308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21" i="1"/>
  <c r="BP420" i="1"/>
  <c r="BN420" i="1"/>
  <c r="Z420" i="1"/>
  <c r="Z421" i="1" s="1"/>
  <c r="Y422" i="1"/>
  <c r="Y601" i="1"/>
  <c r="Y442" i="1"/>
  <c r="BP430" i="1"/>
  <c r="BN430" i="1"/>
  <c r="Z430" i="1"/>
  <c r="BP432" i="1"/>
  <c r="BN432" i="1"/>
  <c r="Z432" i="1"/>
  <c r="BP436" i="1"/>
  <c r="BN436" i="1"/>
  <c r="Z436" i="1"/>
  <c r="BP439" i="1"/>
  <c r="BN439" i="1"/>
  <c r="Z439" i="1"/>
  <c r="Y447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460" i="1" l="1"/>
  <c r="Z370" i="1"/>
  <c r="Z332" i="1"/>
  <c r="Z325" i="1"/>
  <c r="Z447" i="1"/>
  <c r="Z273" i="1"/>
  <c r="Z161" i="1"/>
  <c r="Z116" i="1"/>
  <c r="Z90" i="1"/>
  <c r="Z62" i="1"/>
  <c r="Z28" i="1"/>
  <c r="Z243" i="1"/>
  <c r="Z149" i="1"/>
  <c r="Z502" i="1"/>
  <c r="Z353" i="1"/>
  <c r="Z221" i="1"/>
  <c r="Z395" i="1"/>
  <c r="Z495" i="1"/>
  <c r="Z408" i="1"/>
  <c r="Z261" i="1"/>
  <c r="Z77" i="1"/>
  <c r="Z110" i="1"/>
  <c r="Z102" i="1"/>
  <c r="Z68" i="1"/>
  <c r="Z466" i="1"/>
  <c r="Z517" i="1"/>
  <c r="Z547" i="1"/>
  <c r="Z442" i="1"/>
  <c r="Z359" i="1"/>
  <c r="Y595" i="1"/>
  <c r="Z282" i="1"/>
  <c r="Z209" i="1"/>
  <c r="Z183" i="1"/>
  <c r="Z128" i="1"/>
  <c r="Y593" i="1"/>
  <c r="Z565" i="1"/>
  <c r="Z523" i="1"/>
  <c r="Z528" i="1"/>
  <c r="Z385" i="1"/>
  <c r="Z41" i="1"/>
  <c r="Z238" i="1"/>
  <c r="Z55" i="1"/>
  <c r="Y592" i="1"/>
  <c r="Y594" i="1" s="1"/>
  <c r="Y591" i="1"/>
  <c r="Z596" i="1" l="1"/>
</calcChain>
</file>

<file path=xl/sharedStrings.xml><?xml version="1.0" encoding="utf-8"?>
<sst xmlns="http://schemas.openxmlformats.org/spreadsheetml/2006/main" count="2733" uniqueCount="968">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</sst>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topLeftCell="A44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45764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Четверг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0.5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470</v>
      </c>
      <c r="Y50" s="664">
        <f t="shared" si="6"/>
        <v>475.20000000000005</v>
      </c>
      <c r="Z50" s="36">
        <f>IFERROR(IF(Y50=0,"",ROUNDUP(Y50/H50,0)*0.01898),"")</f>
        <v>0.83511999999999997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488.93055555555549</v>
      </c>
      <c r="BN50" s="64">
        <f t="shared" si="8"/>
        <v>494.34</v>
      </c>
      <c r="BO50" s="64">
        <f t="shared" si="9"/>
        <v>0.67997685185185186</v>
      </c>
      <c r="BP50" s="64">
        <f t="shared" si="10"/>
        <v>0.6875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43.518518518518519</v>
      </c>
      <c r="Y55" s="665">
        <f>IFERROR(Y49/H49,"0")+IFERROR(Y50/H50,"0")+IFERROR(Y51/H51,"0")+IFERROR(Y52/H52,"0")+IFERROR(Y53/H53,"0")+IFERROR(Y54/H54,"0")</f>
        <v>44</v>
      </c>
      <c r="Z55" s="665">
        <f>IFERROR(IF(Z49="",0,Z49),"0")+IFERROR(IF(Z50="",0,Z50),"0")+IFERROR(IF(Z51="",0,Z51),"0")+IFERROR(IF(Z52="",0,Z52),"0")+IFERROR(IF(Z53="",0,Z53),"0")+IFERROR(IF(Z54="",0,Z54),"0")</f>
        <v>0.83511999999999997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470</v>
      </c>
      <c r="Y56" s="665">
        <f>IFERROR(SUM(Y49:Y54),"0")</f>
        <v>475.20000000000005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190</v>
      </c>
      <c r="Y58" s="664">
        <f>IFERROR(IF(X58="",0,CEILING((X58/$H58),1)*$H58),"")</f>
        <v>194.4</v>
      </c>
      <c r="Z58" s="36">
        <f>IFERROR(IF(Y58=0,"",ROUNDUP(Y58/H58,0)*0.01898),"")</f>
        <v>0.34164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197.65277777777777</v>
      </c>
      <c r="BN58" s="64">
        <f>IFERROR(Y58*I58/H58,"0")</f>
        <v>202.22999999999996</v>
      </c>
      <c r="BO58" s="64">
        <f>IFERROR(1/J58*(X58/H58),"0")</f>
        <v>0.27488425925925924</v>
      </c>
      <c r="BP58" s="64">
        <f>IFERROR(1/J58*(Y58/H58),"0")</f>
        <v>0.28125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45</v>
      </c>
      <c r="Y61" s="664">
        <f>IFERROR(IF(X61="",0,CEILING((X61/$H61),1)*$H61),"")</f>
        <v>45.900000000000006</v>
      </c>
      <c r="Z61" s="36">
        <f>IFERROR(IF(Y61=0,"",ROUNDUP(Y61/H61,0)*0.00651),"")</f>
        <v>0.11067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47.999999999999993</v>
      </c>
      <c r="BN61" s="64">
        <f>IFERROR(Y61*I61/H61,"0")</f>
        <v>48.96</v>
      </c>
      <c r="BO61" s="64">
        <f>IFERROR(1/J61*(X61/H61),"0")</f>
        <v>9.1575091575091569E-2</v>
      </c>
      <c r="BP61" s="64">
        <f>IFERROR(1/J61*(Y61/H61),"0")</f>
        <v>9.3406593406593408E-2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34.259259259259252</v>
      </c>
      <c r="Y62" s="665">
        <f>IFERROR(Y58/H58,"0")+IFERROR(Y59/H59,"0")+IFERROR(Y60/H60,"0")+IFERROR(Y61/H61,"0")</f>
        <v>35</v>
      </c>
      <c r="Z62" s="665">
        <f>IFERROR(IF(Z58="",0,Z58),"0")+IFERROR(IF(Z59="",0,Z59),"0")+IFERROR(IF(Z60="",0,Z60),"0")+IFERROR(IF(Z61="",0,Z61),"0")</f>
        <v>0.45230999999999999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235</v>
      </c>
      <c r="Y63" s="665">
        <f>IFERROR(SUM(Y58:Y61),"0")</f>
        <v>240.3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140</v>
      </c>
      <c r="Y87" s="664">
        <f>IFERROR(IF(X87="",0,CEILING((X87/$H87),1)*$H87),"")</f>
        <v>140.4</v>
      </c>
      <c r="Z87" s="36">
        <f>IFERROR(IF(Y87=0,"",ROUNDUP(Y87/H87,0)*0.01898),"")</f>
        <v>0.24674000000000001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145.63888888888886</v>
      </c>
      <c r="BN87" s="64">
        <f>IFERROR(Y87*I87/H87,"0")</f>
        <v>146.05499999999998</v>
      </c>
      <c r="BO87" s="64">
        <f>IFERROR(1/J87*(X87/H87),"0")</f>
        <v>0.20254629629629628</v>
      </c>
      <c r="BP87" s="64">
        <f>IFERROR(1/J87*(Y87/H87),"0")</f>
        <v>0.203125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81</v>
      </c>
      <c r="Y89" s="664">
        <f>IFERROR(IF(X89="",0,CEILING((X89/$H89),1)*$H89),"")</f>
        <v>81</v>
      </c>
      <c r="Z89" s="36">
        <f>IFERROR(IF(Y89=0,"",ROUNDUP(Y89/H89,0)*0.00902),"")</f>
        <v>0.16236</v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84.78</v>
      </c>
      <c r="BN89" s="64">
        <f>IFERROR(Y89*I89/H89,"0")</f>
        <v>84.78</v>
      </c>
      <c r="BO89" s="64">
        <f>IFERROR(1/J89*(X89/H89),"0")</f>
        <v>0.13636363636363635</v>
      </c>
      <c r="BP89" s="64">
        <f>IFERROR(1/J89*(Y89/H89),"0")</f>
        <v>0.13636363636363635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30.962962962962962</v>
      </c>
      <c r="Y90" s="665">
        <f>IFERROR(Y87/H87,"0")+IFERROR(Y88/H88,"0")+IFERROR(Y89/H89,"0")</f>
        <v>31</v>
      </c>
      <c r="Z90" s="665">
        <f>IFERROR(IF(Z87="",0,Z87),"0")+IFERROR(IF(Z88="",0,Z88),"0")+IFERROR(IF(Z89="",0,Z89),"0")</f>
        <v>0.40910000000000002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221</v>
      </c>
      <c r="Y91" s="665">
        <f>IFERROR(SUM(Y87:Y89),"0")</f>
        <v>221.4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94</v>
      </c>
      <c r="Y93" s="664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99.807857142857145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0.17485119047619047</v>
      </c>
      <c r="BP93" s="64">
        <f t="shared" ref="BP93:BP101" si="20">IFERROR(1/J93*(Y93/H93),"0")</f>
        <v>0.1875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12</v>
      </c>
      <c r="Y97" s="664">
        <f t="shared" si="16"/>
        <v>13.5</v>
      </c>
      <c r="Z97" s="36">
        <f>IFERROR(IF(Y97=0,"",ROUNDUP(Y97/H97,0)*0.00651),"")</f>
        <v>3.2550000000000003E-2</v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13.12</v>
      </c>
      <c r="BN97" s="64">
        <f t="shared" si="18"/>
        <v>14.759999999999998</v>
      </c>
      <c r="BO97" s="64">
        <f t="shared" si="19"/>
        <v>2.4420024420024417E-2</v>
      </c>
      <c r="BP97" s="64">
        <f t="shared" si="20"/>
        <v>2.7472527472527476E-2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83</v>
      </c>
      <c r="Y99" s="664">
        <f t="shared" si="16"/>
        <v>83.16</v>
      </c>
      <c r="Z99" s="36">
        <f>IFERROR(IF(Y99=0,"",ROUNDUP(Y99/H99,0)*0.00651),"")</f>
        <v>0.27342</v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93.815151515151513</v>
      </c>
      <c r="BN99" s="64">
        <f t="shared" si="18"/>
        <v>93.995999999999995</v>
      </c>
      <c r="BO99" s="64">
        <f t="shared" si="19"/>
        <v>0.23032523032523033</v>
      </c>
      <c r="BP99" s="64">
        <f t="shared" si="20"/>
        <v>0.23076923076923078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57.55411255411255</v>
      </c>
      <c r="Y102" s="665">
        <f>IFERROR(Y93/H93,"0")+IFERROR(Y94/H94,"0")+IFERROR(Y95/H95,"0")+IFERROR(Y96/H96,"0")+IFERROR(Y97/H97,"0")+IFERROR(Y98/H98,"0")+IFERROR(Y99/H99,"0")+IFERROR(Y100/H100,"0")+IFERROR(Y101/H101,"0")</f>
        <v>59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0.53373000000000004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189</v>
      </c>
      <c r="Y103" s="665">
        <f>IFERROR(SUM(Y93:Y101),"0")</f>
        <v>197.46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140</v>
      </c>
      <c r="Y106" s="664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145.63888888888886</v>
      </c>
      <c r="BN106" s="64">
        <f>IFERROR(Y106*I106/H106,"0")</f>
        <v>146.05499999999998</v>
      </c>
      <c r="BO106" s="64">
        <f>IFERROR(1/J106*(X106/H106),"0")</f>
        <v>0.20254629629629628</v>
      </c>
      <c r="BP106" s="64">
        <f>IFERROR(1/J106*(Y106/H106),"0")</f>
        <v>0.203125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68</v>
      </c>
      <c r="Y107" s="664">
        <f>IFERROR(IF(X107="",0,CEILING((X107/$H107),1)*$H107),"")</f>
        <v>71.25</v>
      </c>
      <c r="Z107" s="36">
        <f>IFERROR(IF(Y107=0,"",ROUNDUP(Y107/H107,0)*0.00902),"")</f>
        <v>0.17138</v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71.807999999999993</v>
      </c>
      <c r="BN107" s="64">
        <f>IFERROR(Y107*I107/H107,"0")</f>
        <v>75.239999999999995</v>
      </c>
      <c r="BO107" s="64">
        <f>IFERROR(1/J107*(X107/H107),"0")</f>
        <v>0.13737373737373737</v>
      </c>
      <c r="BP107" s="64">
        <f>IFERROR(1/J107*(Y107/H107),"0")</f>
        <v>0.14393939393939395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31.096296296296295</v>
      </c>
      <c r="Y110" s="665">
        <f>IFERROR(Y106/H106,"0")+IFERROR(Y107/H107,"0")+IFERROR(Y108/H108,"0")+IFERROR(Y109/H109,"0")</f>
        <v>32</v>
      </c>
      <c r="Z110" s="665">
        <f>IFERROR(IF(Z106="",0,Z106),"0")+IFERROR(IF(Z107="",0,Z107),"0")+IFERROR(IF(Z108="",0,Z108),"0")+IFERROR(IF(Z109="",0,Z109),"0")</f>
        <v>0.41812000000000005</v>
      </c>
      <c r="AA110" s="666"/>
      <c r="AB110" s="666"/>
      <c r="AC110" s="666"/>
    </row>
    <row r="111" spans="1:68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208</v>
      </c>
      <c r="Y111" s="665">
        <f>IFERROR(SUM(Y106:Y109),"0")</f>
        <v>211.65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86</v>
      </c>
      <c r="Y121" s="664">
        <f t="shared" si="21"/>
        <v>92.4</v>
      </c>
      <c r="Z121" s="36">
        <f>IFERROR(IF(Y121=0,"",ROUNDUP(Y121/H121,0)*0.01898),"")</f>
        <v>0.20877999999999999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91.252142857142857</v>
      </c>
      <c r="BN121" s="64">
        <f t="shared" si="23"/>
        <v>98.043000000000006</v>
      </c>
      <c r="BO121" s="64">
        <f t="shared" si="24"/>
        <v>0.15997023809523808</v>
      </c>
      <c r="BP121" s="64">
        <f t="shared" si="25"/>
        <v>0.171875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10.238095238095237</v>
      </c>
      <c r="Y128" s="665">
        <f>IFERROR(Y119/H119,"0")+IFERROR(Y120/H120,"0")+IFERROR(Y121/H121,"0")+IFERROR(Y122/H122,"0")+IFERROR(Y123/H123,"0")+IFERROR(Y124/H124,"0")+IFERROR(Y125/H125,"0")+IFERROR(Y126/H126,"0")+IFERROR(Y127/H127,"0")</f>
        <v>11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0.20877999999999999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86</v>
      </c>
      <c r="Y129" s="665">
        <f>IFERROR(SUM(Y119:Y127),"0")</f>
        <v>92.4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80</v>
      </c>
      <c r="Y138" s="664">
        <f>IFERROR(IF(X138="",0,CEILING((X138/$H138),1)*$H138),"")</f>
        <v>80</v>
      </c>
      <c r="Z138" s="36">
        <f>IFERROR(IF(Y138=0,"",ROUNDUP(Y138/H138,0)*0.00651),"")</f>
        <v>0.16275000000000001</v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84.499999999999986</v>
      </c>
      <c r="BN138" s="64">
        <f>IFERROR(Y138*I138/H138,"0")</f>
        <v>84.499999999999986</v>
      </c>
      <c r="BO138" s="64">
        <f>IFERROR(1/J138*(X138/H138),"0")</f>
        <v>0.13736263736263737</v>
      </c>
      <c r="BP138" s="64">
        <f>IFERROR(1/J138*(Y138/H138),"0")</f>
        <v>0.13736263736263737</v>
      </c>
    </row>
    <row r="139" spans="1:68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25</v>
      </c>
      <c r="Y139" s="665">
        <f>IFERROR(Y137/H137,"0")+IFERROR(Y138/H138,"0")</f>
        <v>25</v>
      </c>
      <c r="Z139" s="665">
        <f>IFERROR(IF(Z137="",0,Z137),"0")+IFERROR(IF(Z138="",0,Z138),"0")</f>
        <v>0.16275000000000001</v>
      </c>
      <c r="AA139" s="666"/>
      <c r="AB139" s="666"/>
      <c r="AC139" s="666"/>
    </row>
    <row r="140" spans="1:68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80</v>
      </c>
      <c r="Y140" s="665">
        <f>IFERROR(SUM(Y137:Y138),"0")</f>
        <v>80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70</v>
      </c>
      <c r="Y142" s="664">
        <f>IFERROR(IF(X142="",0,CEILING((X142/$H142),1)*$H142),"")</f>
        <v>70</v>
      </c>
      <c r="Z142" s="36">
        <f>IFERROR(IF(Y142=0,"",ROUNDUP(Y142/H142,0)*0.00651),"")</f>
        <v>0.16275000000000001</v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76.7</v>
      </c>
      <c r="BN142" s="64">
        <f>IFERROR(Y142*I142/H142,"0")</f>
        <v>76.7</v>
      </c>
      <c r="BO142" s="64">
        <f>IFERROR(1/J142*(X142/H142),"0")</f>
        <v>0.13736263736263737</v>
      </c>
      <c r="BP142" s="64">
        <f>IFERROR(1/J142*(Y142/H142),"0")</f>
        <v>0.13736263736263737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25</v>
      </c>
      <c r="Y144" s="665">
        <f>IFERROR(Y142/H142,"0")+IFERROR(Y143/H143,"0")</f>
        <v>25</v>
      </c>
      <c r="Z144" s="665">
        <f>IFERROR(IF(Z142="",0,Z142),"0")+IFERROR(IF(Z143="",0,Z143),"0")</f>
        <v>0.16275000000000001</v>
      </c>
      <c r="AA144" s="666"/>
      <c r="AB144" s="666"/>
      <c r="AC144" s="666"/>
    </row>
    <row r="145" spans="1:68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70</v>
      </c>
      <c r="Y145" s="665">
        <f>IFERROR(SUM(Y142:Y143),"0")</f>
        <v>70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66</v>
      </c>
      <c r="Y148" s="664">
        <f>IFERROR(IF(X148="",0,CEILING((X148/$H148),1)*$H148),"")</f>
        <v>66</v>
      </c>
      <c r="Z148" s="36">
        <f>IFERROR(IF(Y148=0,"",ROUNDUP(Y148/H148,0)*0.00651),"")</f>
        <v>0.16275000000000001</v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72.699999999999989</v>
      </c>
      <c r="BN148" s="64">
        <f>IFERROR(Y148*I148/H148,"0")</f>
        <v>72.699999999999989</v>
      </c>
      <c r="BO148" s="64">
        <f>IFERROR(1/J148*(X148/H148),"0")</f>
        <v>0.13736263736263737</v>
      </c>
      <c r="BP148" s="64">
        <f>IFERROR(1/J148*(Y148/H148),"0")</f>
        <v>0.13736263736263737</v>
      </c>
    </row>
    <row r="149" spans="1:68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25</v>
      </c>
      <c r="Y149" s="665">
        <f>IFERROR(Y147/H147,"0")+IFERROR(Y148/H148,"0")</f>
        <v>25</v>
      </c>
      <c r="Z149" s="665">
        <f>IFERROR(IF(Z147="",0,Z147),"0")+IFERROR(IF(Z148="",0,Z148),"0")</f>
        <v>0.16275000000000001</v>
      </c>
      <c r="AA149" s="666"/>
      <c r="AB149" s="666"/>
      <c r="AC149" s="666"/>
    </row>
    <row r="150" spans="1:68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66</v>
      </c>
      <c r="Y150" s="665">
        <f>IFERROR(SUM(Y147:Y148),"0")</f>
        <v>66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30</v>
      </c>
      <c r="Y176" s="664">
        <f t="shared" si="27"/>
        <v>33.6</v>
      </c>
      <c r="Z176" s="36">
        <f>IFERROR(IF(Y176=0,"",ROUNDUP(Y176/H176,0)*0.00902),"")</f>
        <v>7.2160000000000002E-2</v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31.5</v>
      </c>
      <c r="BN176" s="64">
        <f t="shared" si="29"/>
        <v>35.28</v>
      </c>
      <c r="BO176" s="64">
        <f t="shared" si="30"/>
        <v>5.4112554112554112E-2</v>
      </c>
      <c r="BP176" s="64">
        <f t="shared" si="31"/>
        <v>6.0606060606060608E-2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88</v>
      </c>
      <c r="Y177" s="664">
        <f t="shared" si="27"/>
        <v>88.2</v>
      </c>
      <c r="Z177" s="36">
        <f>IFERROR(IF(Y177=0,"",ROUNDUP(Y177/H177,0)*0.00502),"")</f>
        <v>0.21084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93.447619047619042</v>
      </c>
      <c r="BN177" s="64">
        <f t="shared" si="29"/>
        <v>93.66</v>
      </c>
      <c r="BO177" s="64">
        <f t="shared" si="30"/>
        <v>0.17908017908017909</v>
      </c>
      <c r="BP177" s="64">
        <f t="shared" si="31"/>
        <v>0.17948717948717952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53</v>
      </c>
      <c r="Y178" s="664">
        <f t="shared" si="27"/>
        <v>54.6</v>
      </c>
      <c r="Z178" s="36">
        <f>IFERROR(IF(Y178=0,"",ROUNDUP(Y178/H178,0)*0.00502),"")</f>
        <v>0.13052</v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56.280952380952378</v>
      </c>
      <c r="BN178" s="64">
        <f t="shared" si="29"/>
        <v>57.98</v>
      </c>
      <c r="BO178" s="64">
        <f t="shared" si="30"/>
        <v>0.10785510785510787</v>
      </c>
      <c r="BP178" s="64">
        <f t="shared" si="31"/>
        <v>0.11111111111111112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53</v>
      </c>
      <c r="Y180" s="664">
        <f t="shared" si="27"/>
        <v>54.6</v>
      </c>
      <c r="Z180" s="36">
        <f>IFERROR(IF(Y180=0,"",ROUNDUP(Y180/H180,0)*0.00502),"")</f>
        <v>0.13052</v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55.523809523809526</v>
      </c>
      <c r="BN180" s="64">
        <f t="shared" si="29"/>
        <v>57.20000000000001</v>
      </c>
      <c r="BO180" s="64">
        <f t="shared" si="30"/>
        <v>0.10785510785510787</v>
      </c>
      <c r="BP180" s="64">
        <f t="shared" si="31"/>
        <v>0.11111111111111112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99.523809523809533</v>
      </c>
      <c r="Y183" s="665">
        <f>IFERROR(Y174/H174,"0")+IFERROR(Y175/H175,"0")+IFERROR(Y176/H176,"0")+IFERROR(Y177/H177,"0")+IFERROR(Y178/H178,"0")+IFERROR(Y179/H179,"0")+IFERROR(Y180/H180,"0")+IFERROR(Y181/H181,"0")+IFERROR(Y182/H182,"0")</f>
        <v>102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0.54403999999999997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224</v>
      </c>
      <c r="Y184" s="665">
        <f>IFERROR(SUM(Y174:Y182),"0")</f>
        <v>231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40</v>
      </c>
      <c r="Y203" s="664">
        <f t="shared" si="32"/>
        <v>43.2</v>
      </c>
      <c r="Z203" s="36">
        <f>IFERROR(IF(Y203=0,"",ROUNDUP(Y203/H203,0)*0.00902),"")</f>
        <v>7.2160000000000002E-2</v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41.555555555555557</v>
      </c>
      <c r="BN203" s="64">
        <f t="shared" si="34"/>
        <v>44.88</v>
      </c>
      <c r="BO203" s="64">
        <f t="shared" si="35"/>
        <v>5.6116722783389444E-2</v>
      </c>
      <c r="BP203" s="64">
        <f t="shared" si="36"/>
        <v>6.0606060606060608E-2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30</v>
      </c>
      <c r="Y206" s="664">
        <f t="shared" si="32"/>
        <v>30.6</v>
      </c>
      <c r="Z206" s="36">
        <f>IFERROR(IF(Y206=0,"",ROUNDUP(Y206/H206,0)*0.00502),"")</f>
        <v>8.5339999999999999E-2</v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31.666666666666664</v>
      </c>
      <c r="BN206" s="64">
        <f t="shared" si="34"/>
        <v>32.299999999999997</v>
      </c>
      <c r="BO206" s="64">
        <f t="shared" si="35"/>
        <v>7.122507122507124E-2</v>
      </c>
      <c r="BP206" s="64">
        <f t="shared" si="36"/>
        <v>7.2649572649572655E-2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30</v>
      </c>
      <c r="Y208" s="664">
        <f t="shared" si="32"/>
        <v>30.6</v>
      </c>
      <c r="Z208" s="36">
        <f>IFERROR(IF(Y208=0,"",ROUNDUP(Y208/H208,0)*0.00502),"")</f>
        <v>8.5339999999999999E-2</v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31.666666666666664</v>
      </c>
      <c r="BN208" s="64">
        <f t="shared" si="34"/>
        <v>32.299999999999997</v>
      </c>
      <c r="BO208" s="64">
        <f t="shared" si="35"/>
        <v>7.122507122507124E-2</v>
      </c>
      <c r="BP208" s="64">
        <f t="shared" si="36"/>
        <v>7.2649572649572655E-2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74.074074074074076</v>
      </c>
      <c r="Y209" s="665">
        <f>IFERROR(Y201/H201,"0")+IFERROR(Y202/H202,"0")+IFERROR(Y203/H203,"0")+IFERROR(Y204/H204,"0")+IFERROR(Y205/H205,"0")+IFERROR(Y206/H206,"0")+IFERROR(Y207/H207,"0")+IFERROR(Y208/H208,"0")</f>
        <v>76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0.41352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160</v>
      </c>
      <c r="Y210" s="665">
        <f>IFERROR(SUM(Y201:Y208),"0")</f>
        <v>165.6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80</v>
      </c>
      <c r="Y215" s="664">
        <f t="shared" si="37"/>
        <v>81.599999999999994</v>
      </c>
      <c r="Z215" s="36">
        <f t="shared" ref="Z215:Z220" si="42">IFERROR(IF(Y215=0,"",ROUNDUP(Y215/H215,0)*0.00651),"")</f>
        <v>0.22134000000000001</v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89</v>
      </c>
      <c r="BN215" s="64">
        <f t="shared" si="39"/>
        <v>90.78</v>
      </c>
      <c r="BO215" s="64">
        <f t="shared" si="40"/>
        <v>0.18315018315018317</v>
      </c>
      <c r="BP215" s="64">
        <f t="shared" si="41"/>
        <v>0.18681318681318682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40</v>
      </c>
      <c r="Y217" s="664">
        <f t="shared" si="37"/>
        <v>40.799999999999997</v>
      </c>
      <c r="Z217" s="36">
        <f t="shared" si="42"/>
        <v>0.11067</v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44.20000000000001</v>
      </c>
      <c r="BN217" s="64">
        <f t="shared" si="39"/>
        <v>45.084000000000003</v>
      </c>
      <c r="BO217" s="64">
        <f t="shared" si="40"/>
        <v>9.1575091575091583E-2</v>
      </c>
      <c r="BP217" s="64">
        <f t="shared" si="41"/>
        <v>9.3406593406593408E-2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80</v>
      </c>
      <c r="Y218" s="664">
        <f t="shared" si="37"/>
        <v>81.599999999999994</v>
      </c>
      <c r="Z218" s="36">
        <f t="shared" si="42"/>
        <v>0.22134000000000001</v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88.40000000000002</v>
      </c>
      <c r="BN218" s="64">
        <f t="shared" si="39"/>
        <v>90.168000000000006</v>
      </c>
      <c r="BO218" s="64">
        <f t="shared" si="40"/>
        <v>0.18315018315018317</v>
      </c>
      <c r="BP218" s="64">
        <f t="shared" si="41"/>
        <v>0.18681318681318682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116.66666666666669</v>
      </c>
      <c r="Y221" s="665">
        <f>IFERROR(Y212/H212,"0")+IFERROR(Y213/H213,"0")+IFERROR(Y214/H214,"0")+IFERROR(Y215/H215,"0")+IFERROR(Y216/H216,"0")+IFERROR(Y217/H217,"0")+IFERROR(Y218/H218,"0")+IFERROR(Y219/H219,"0")+IFERROR(Y220/H220,"0")</f>
        <v>119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0.77468999999999999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280</v>
      </c>
      <c r="Y222" s="665">
        <f>IFERROR(SUM(Y212:Y220),"0")</f>
        <v>285.60000000000002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70</v>
      </c>
      <c r="Y255" s="664">
        <f t="shared" ref="Y255:Y260" si="48">IFERROR(IF(X255="",0,CEILING((X255/$H255),1)*$H255),"")</f>
        <v>75.600000000000009</v>
      </c>
      <c r="Z255" s="36">
        <f>IFERROR(IF(Y255=0,"",ROUNDUP(Y255/H255,0)*0.01898),"")</f>
        <v>0.13286000000000001</v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72.819444444444429</v>
      </c>
      <c r="BN255" s="64">
        <f t="shared" ref="BN255:BN260" si="50">IFERROR(Y255*I255/H255,"0")</f>
        <v>78.64500000000001</v>
      </c>
      <c r="BO255" s="64">
        <f t="shared" ref="BO255:BO260" si="51">IFERROR(1/J255*(X255/H255),"0")</f>
        <v>0.10127314814814814</v>
      </c>
      <c r="BP255" s="64">
        <f t="shared" ref="BP255:BP260" si="52">IFERROR(1/J255*(Y255/H255),"0")</f>
        <v>0.109375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208</v>
      </c>
      <c r="Y256" s="664">
        <f t="shared" si="48"/>
        <v>216</v>
      </c>
      <c r="Z256" s="36">
        <f>IFERROR(IF(Y256=0,"",ROUNDUP(Y256/H256,0)*0.01898),"")</f>
        <v>0.37959999999999999</v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216.37777777777777</v>
      </c>
      <c r="BN256" s="64">
        <f t="shared" si="50"/>
        <v>224.69999999999996</v>
      </c>
      <c r="BO256" s="64">
        <f t="shared" si="51"/>
        <v>0.30092592592592593</v>
      </c>
      <c r="BP256" s="64">
        <f t="shared" si="52"/>
        <v>0.3125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25.74074074074074</v>
      </c>
      <c r="Y261" s="665">
        <f>IFERROR(Y255/H255,"0")+IFERROR(Y256/H256,"0")+IFERROR(Y257/H257,"0")+IFERROR(Y258/H258,"0")+IFERROR(Y259/H259,"0")+IFERROR(Y260/H260,"0")</f>
        <v>27</v>
      </c>
      <c r="Z261" s="665">
        <f>IFERROR(IF(Z255="",0,Z255),"0")+IFERROR(IF(Z256="",0,Z256),"0")+IFERROR(IF(Z257="",0,Z257),"0")+IFERROR(IF(Z258="",0,Z258),"0")+IFERROR(IF(Z259="",0,Z259),"0")+IFERROR(IF(Z260="",0,Z260),"0")</f>
        <v>0.51246000000000003</v>
      </c>
      <c r="AA261" s="666"/>
      <c r="AB261" s="666"/>
      <c r="AC261" s="666"/>
    </row>
    <row r="262" spans="1:68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278</v>
      </c>
      <c r="Y262" s="665">
        <f>IFERROR(SUM(Y255:Y260),"0")</f>
        <v>291.60000000000002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18</v>
      </c>
      <c r="Y308" s="664">
        <f>IFERROR(IF(X308="",0,CEILING((X308/$H308),1)*$H308),"")</f>
        <v>18.900000000000002</v>
      </c>
      <c r="Z308" s="36">
        <f>IFERROR(IF(Y308=0,"",ROUNDUP(Y308/H308,0)*0.00502),"")</f>
        <v>4.5179999999999998E-2</v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18.857142857142858</v>
      </c>
      <c r="BN308" s="64">
        <f>IFERROR(Y308*I308/H308,"0")</f>
        <v>19.8</v>
      </c>
      <c r="BO308" s="64">
        <f>IFERROR(1/J308*(X308/H308),"0")</f>
        <v>3.6630036630036632E-2</v>
      </c>
      <c r="BP308" s="64">
        <f>IFERROR(1/J308*(Y308/H308),"0")</f>
        <v>3.8461538461538464E-2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8.5714285714285712</v>
      </c>
      <c r="Y310" s="665">
        <f>IFERROR(Y308/H308,"0")+IFERROR(Y309/H309,"0")</f>
        <v>9</v>
      </c>
      <c r="Z310" s="665">
        <f>IFERROR(IF(Z308="",0,Z308),"0")+IFERROR(IF(Z309="",0,Z309),"0")</f>
        <v>4.5179999999999998E-2</v>
      </c>
      <c r="AA310" s="666"/>
      <c r="AB310" s="666"/>
      <c r="AC310" s="666"/>
    </row>
    <row r="311" spans="1:68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18</v>
      </c>
      <c r="Y311" s="665">
        <f>IFERROR(SUM(Y308:Y309),"0")</f>
        <v>18.900000000000002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160</v>
      </c>
      <c r="Y319" s="664">
        <f t="shared" ref="Y319:Y324" si="53">IFERROR(IF(X319="",0,CEILING((X319/$H319),1)*$H319),"")</f>
        <v>162</v>
      </c>
      <c r="Z319" s="36">
        <f>IFERROR(IF(Y319=0,"",ROUNDUP(Y319/H319,0)*0.01898),"")</f>
        <v>0.28470000000000001</v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166.44444444444443</v>
      </c>
      <c r="BN319" s="64">
        <f t="shared" ref="BN319:BN324" si="55">IFERROR(Y319*I319/H319,"0")</f>
        <v>168.52499999999998</v>
      </c>
      <c r="BO319" s="64">
        <f t="shared" ref="BO319:BO324" si="56">IFERROR(1/J319*(X319/H319),"0")</f>
        <v>0.23148148148148145</v>
      </c>
      <c r="BP319" s="64">
        <f t="shared" ref="BP319:BP324" si="57">IFERROR(1/J319*(Y319/H319),"0")</f>
        <v>0.23437499999999997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380</v>
      </c>
      <c r="Y320" s="664">
        <f t="shared" si="53"/>
        <v>388.8</v>
      </c>
      <c r="Z320" s="36">
        <f>IFERROR(IF(Y320=0,"",ROUNDUP(Y320/H320,0)*0.01898),"")</f>
        <v>0.68328</v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395.30555555555554</v>
      </c>
      <c r="BN320" s="64">
        <f t="shared" si="55"/>
        <v>404.45999999999992</v>
      </c>
      <c r="BO320" s="64">
        <f t="shared" si="56"/>
        <v>0.54976851851851849</v>
      </c>
      <c r="BP320" s="64">
        <f t="shared" si="57"/>
        <v>0.5625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6</v>
      </c>
      <c r="Y322" s="664">
        <f t="shared" si="53"/>
        <v>10.8</v>
      </c>
      <c r="Z322" s="36">
        <f>IFERROR(IF(Y322=0,"",ROUNDUP(Y322/H322,0)*0.01898),"")</f>
        <v>1.898E-2</v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6.2416666666666663</v>
      </c>
      <c r="BN322" s="64">
        <f t="shared" si="55"/>
        <v>11.234999999999999</v>
      </c>
      <c r="BO322" s="64">
        <f t="shared" si="56"/>
        <v>8.6805555555555542E-3</v>
      </c>
      <c r="BP322" s="64">
        <f t="shared" si="57"/>
        <v>1.5625E-2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72</v>
      </c>
      <c r="Y323" s="664">
        <f t="shared" si="53"/>
        <v>72</v>
      </c>
      <c r="Z323" s="36">
        <f>IFERROR(IF(Y323=0,"",ROUNDUP(Y323/H323,0)*0.00902),"")</f>
        <v>0.16236</v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75.78</v>
      </c>
      <c r="BN323" s="64">
        <f t="shared" si="55"/>
        <v>75.78</v>
      </c>
      <c r="BO323" s="64">
        <f t="shared" si="56"/>
        <v>0.13636363636363635</v>
      </c>
      <c r="BP323" s="64">
        <f t="shared" si="57"/>
        <v>0.13636363636363635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100</v>
      </c>
      <c r="Y324" s="664">
        <f t="shared" si="53"/>
        <v>100</v>
      </c>
      <c r="Z324" s="36">
        <f>IFERROR(IF(Y324=0,"",ROUNDUP(Y324/H324,0)*0.00902),"")</f>
        <v>0.22550000000000001</v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105.25</v>
      </c>
      <c r="BN324" s="64">
        <f t="shared" si="55"/>
        <v>105.25</v>
      </c>
      <c r="BO324" s="64">
        <f t="shared" si="56"/>
        <v>0.18939393939393939</v>
      </c>
      <c r="BP324" s="64">
        <f t="shared" si="57"/>
        <v>0.18939393939393939</v>
      </c>
    </row>
    <row r="325" spans="1:68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93.555555555555557</v>
      </c>
      <c r="Y325" s="665">
        <f>IFERROR(Y319/H319,"0")+IFERROR(Y320/H320,"0")+IFERROR(Y321/H321,"0")+IFERROR(Y322/H322,"0")+IFERROR(Y323/H323,"0")+IFERROR(Y324/H324,"0")</f>
        <v>95</v>
      </c>
      <c r="Z325" s="665">
        <f>IFERROR(IF(Z319="",0,Z319),"0")+IFERROR(IF(Z320="",0,Z320),"0")+IFERROR(IF(Z321="",0,Z321),"0")+IFERROR(IF(Z322="",0,Z322),"0")+IFERROR(IF(Z323="",0,Z323),"0")+IFERROR(IF(Z324="",0,Z324),"0")</f>
        <v>1.3748200000000002</v>
      </c>
      <c r="AA325" s="666"/>
      <c r="AB325" s="666"/>
      <c r="AC325" s="666"/>
    </row>
    <row r="326" spans="1:68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718</v>
      </c>
      <c r="Y326" s="665">
        <f>IFERROR(SUM(Y319:Y324),"0")</f>
        <v>733.59999999999991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80</v>
      </c>
      <c r="Y328" s="664">
        <f>IFERROR(IF(X328="",0,CEILING((X328/$H328),1)*$H328),"")</f>
        <v>84</v>
      </c>
      <c r="Z328" s="36">
        <f>IFERROR(IF(Y328=0,"",ROUNDUP(Y328/H328,0)*0.00902),"")</f>
        <v>0.1804</v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85.142857142857125</v>
      </c>
      <c r="BN328" s="64">
        <f>IFERROR(Y328*I328/H328,"0")</f>
        <v>89.399999999999991</v>
      </c>
      <c r="BO328" s="64">
        <f>IFERROR(1/J328*(X328/H328),"0")</f>
        <v>0.14430014430014429</v>
      </c>
      <c r="BP328" s="64">
        <f>IFERROR(1/J328*(Y328/H328),"0")</f>
        <v>0.15151515151515152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42</v>
      </c>
      <c r="Y329" s="664">
        <f>IFERROR(IF(X329="",0,CEILING((X329/$H329),1)*$H329),"")</f>
        <v>42</v>
      </c>
      <c r="Z329" s="36">
        <f>IFERROR(IF(Y329=0,"",ROUNDUP(Y329/H329,0)*0.00902),"")</f>
        <v>9.0200000000000002E-2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44.699999999999996</v>
      </c>
      <c r="BN329" s="64">
        <f>IFERROR(Y329*I329/H329,"0")</f>
        <v>44.699999999999996</v>
      </c>
      <c r="BO329" s="64">
        <f>IFERROR(1/J329*(X329/H329),"0")</f>
        <v>7.575757575757576E-2</v>
      </c>
      <c r="BP329" s="64">
        <f>IFERROR(1/J329*(Y329/H329),"0")</f>
        <v>7.575757575757576E-2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29.047619047619047</v>
      </c>
      <c r="Y332" s="665">
        <f>IFERROR(Y328/H328,"0")+IFERROR(Y329/H329,"0")+IFERROR(Y330/H330,"0")+IFERROR(Y331/H331,"0")</f>
        <v>30</v>
      </c>
      <c r="Z332" s="665">
        <f>IFERROR(IF(Z328="",0,Z328),"0")+IFERROR(IF(Z329="",0,Z329),"0")+IFERROR(IF(Z330="",0,Z330),"0")+IFERROR(IF(Z331="",0,Z331),"0")</f>
        <v>0.27060000000000001</v>
      </c>
      <c r="AA332" s="666"/>
      <c r="AB332" s="666"/>
      <c r="AC332" s="666"/>
    </row>
    <row r="333" spans="1:68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122</v>
      </c>
      <c r="Y333" s="665">
        <f>IFERROR(SUM(Y328:Y331),"0")</f>
        <v>126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1750</v>
      </c>
      <c r="Y335" s="664">
        <f>IFERROR(IF(X335="",0,CEILING((X335/$H335),1)*$H335),"")</f>
        <v>1755</v>
      </c>
      <c r="Z335" s="36">
        <f>IFERROR(IF(Y335=0,"",ROUNDUP(Y335/H335,0)*0.01898),"")</f>
        <v>4.2705000000000002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1865.096153846154</v>
      </c>
      <c r="BN335" s="64">
        <f>IFERROR(Y335*I335/H335,"0")</f>
        <v>1870.4250000000002</v>
      </c>
      <c r="BO335" s="64">
        <f>IFERROR(1/J335*(X335/H335),"0")</f>
        <v>3.5056089743589745</v>
      </c>
      <c r="BP335" s="64">
        <f>IFERROR(1/J335*(Y335/H335),"0")</f>
        <v>3.515625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140</v>
      </c>
      <c r="Y338" s="664">
        <f>IFERROR(IF(X338="",0,CEILING((X338/$H338),1)*$H338),"")</f>
        <v>141</v>
      </c>
      <c r="Z338" s="36">
        <f>IFERROR(IF(Y338=0,"",ROUNDUP(Y338/H338,0)*0.00651),"")</f>
        <v>0.30597000000000002</v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151.47999999999999</v>
      </c>
      <c r="BN338" s="64">
        <f>IFERROR(Y338*I338/H338,"0")</f>
        <v>152.56199999999998</v>
      </c>
      <c r="BO338" s="64">
        <f>IFERROR(1/J338*(X338/H338),"0")</f>
        <v>0.25641025641025644</v>
      </c>
      <c r="BP338" s="64">
        <f>IFERROR(1/J338*(Y338/H338),"0")</f>
        <v>0.25824175824175827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271.02564102564105</v>
      </c>
      <c r="Y340" s="665">
        <f>IFERROR(Y335/H335,"0")+IFERROR(Y336/H336,"0")+IFERROR(Y337/H337,"0")+IFERROR(Y338/H338,"0")+IFERROR(Y339/H339,"0")</f>
        <v>272</v>
      </c>
      <c r="Z340" s="665">
        <f>IFERROR(IF(Z335="",0,Z335),"0")+IFERROR(IF(Z336="",0,Z336),"0")+IFERROR(IF(Z337="",0,Z337),"0")+IFERROR(IF(Z338="",0,Z338),"0")+IFERROR(IF(Z339="",0,Z339),"0")</f>
        <v>4.5764700000000005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1890</v>
      </c>
      <c r="Y341" s="665">
        <f>IFERROR(SUM(Y335:Y339),"0")</f>
        <v>1896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170</v>
      </c>
      <c r="Y343" s="664">
        <f>IFERROR(IF(X343="",0,CEILING((X343/$H343),1)*$H343),"")</f>
        <v>176.4</v>
      </c>
      <c r="Z343" s="36">
        <f>IFERROR(IF(Y343=0,"",ROUNDUP(Y343/H343,0)*0.01898),"")</f>
        <v>0.39857999999999999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180.50357142857143</v>
      </c>
      <c r="BN343" s="64">
        <f>IFERROR(Y343*I343/H343,"0")</f>
        <v>187.29900000000001</v>
      </c>
      <c r="BO343" s="64">
        <f>IFERROR(1/J343*(X343/H343),"0")</f>
        <v>0.31622023809523808</v>
      </c>
      <c r="BP343" s="64">
        <f>IFERROR(1/J343*(Y343/H343),"0")</f>
        <v>0.328125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180</v>
      </c>
      <c r="Y344" s="664">
        <f>IFERROR(IF(X344="",0,CEILING((X344/$H344),1)*$H344),"")</f>
        <v>187.2</v>
      </c>
      <c r="Z344" s="36">
        <f>IFERROR(IF(Y344=0,"",ROUNDUP(Y344/H344,0)*0.01898),"")</f>
        <v>0.45552000000000004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191.9769230769231</v>
      </c>
      <c r="BN344" s="64">
        <f>IFERROR(Y344*I344/H344,"0")</f>
        <v>199.65600000000001</v>
      </c>
      <c r="BO344" s="64">
        <f>IFERROR(1/J344*(X344/H344),"0")</f>
        <v>0.36057692307692307</v>
      </c>
      <c r="BP344" s="64">
        <f>IFERROR(1/J344*(Y344/H344),"0")</f>
        <v>0.375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190</v>
      </c>
      <c r="Y345" s="664">
        <f>IFERROR(IF(X345="",0,CEILING((X345/$H345),1)*$H345),"")</f>
        <v>193.20000000000002</v>
      </c>
      <c r="Z345" s="36">
        <f>IFERROR(IF(Y345=0,"",ROUNDUP(Y345/H345,0)*0.01898),"")</f>
        <v>0.43653999999999998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201.73928571428573</v>
      </c>
      <c r="BN345" s="64">
        <f>IFERROR(Y345*I345/H345,"0")</f>
        <v>205.13700000000003</v>
      </c>
      <c r="BO345" s="64">
        <f>IFERROR(1/J345*(X345/H345),"0")</f>
        <v>0.35342261904761901</v>
      </c>
      <c r="BP345" s="64">
        <f>IFERROR(1/J345*(Y345/H345),"0")</f>
        <v>0.359375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65.934065934065927</v>
      </c>
      <c r="Y346" s="665">
        <f>IFERROR(Y343/H343,"0")+IFERROR(Y344/H344,"0")+IFERROR(Y345/H345,"0")</f>
        <v>68</v>
      </c>
      <c r="Z346" s="665">
        <f>IFERROR(IF(Z343="",0,Z343),"0")+IFERROR(IF(Z344="",0,Z344),"0")+IFERROR(IF(Z345="",0,Z345),"0")</f>
        <v>1.29064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540</v>
      </c>
      <c r="Y347" s="665">
        <f>IFERROR(SUM(Y343:Y345),"0")</f>
        <v>556.80000000000007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9</v>
      </c>
      <c r="Y352" s="664">
        <f>IFERROR(IF(X352="",0,CEILING((X352/$H352),1)*$H352),"")</f>
        <v>10.199999999999999</v>
      </c>
      <c r="Z352" s="36">
        <f>IFERROR(IF(Y352=0,"",ROUNDUP(Y352/H352,0)*0.00651),"")</f>
        <v>2.6040000000000001E-2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10.164705882352941</v>
      </c>
      <c r="BN352" s="64">
        <f>IFERROR(Y352*I352/H352,"0")</f>
        <v>11.52</v>
      </c>
      <c r="BO352" s="64">
        <f>IFERROR(1/J352*(X352/H352),"0")</f>
        <v>1.9392372333548808E-2</v>
      </c>
      <c r="BP352" s="64">
        <f>IFERROR(1/J352*(Y352/H352),"0")</f>
        <v>2.197802197802198E-2</v>
      </c>
    </row>
    <row r="353" spans="1:68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3.5294117647058827</v>
      </c>
      <c r="Y353" s="665">
        <f>IFERROR(Y349/H349,"0")+IFERROR(Y350/H350,"0")+IFERROR(Y351/H351,"0")+IFERROR(Y352/H352,"0")</f>
        <v>4</v>
      </c>
      <c r="Z353" s="665">
        <f>IFERROR(IF(Z349="",0,Z349),"0")+IFERROR(IF(Z350="",0,Z350),"0")+IFERROR(IF(Z351="",0,Z351),"0")+IFERROR(IF(Z352="",0,Z352),"0")</f>
        <v>2.6040000000000001E-2</v>
      </c>
      <c r="AA353" s="666"/>
      <c r="AB353" s="666"/>
      <c r="AC353" s="666"/>
    </row>
    <row r="354" spans="1:68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9</v>
      </c>
      <c r="Y354" s="665">
        <f>IFERROR(SUM(Y349:Y352),"0")</f>
        <v>10.199999999999999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20</v>
      </c>
      <c r="Y356" s="664">
        <f>IFERROR(IF(X356="",0,CEILING((X356/$H356),1)*$H356),"")</f>
        <v>20</v>
      </c>
      <c r="Z356" s="36">
        <f>IFERROR(IF(Y356=0,"",ROUNDUP(Y356/H356,0)*0.00474),"")</f>
        <v>4.7400000000000005E-2</v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22.400000000000002</v>
      </c>
      <c r="BN356" s="64">
        <f>IFERROR(Y356*I356/H356,"0")</f>
        <v>22.400000000000002</v>
      </c>
      <c r="BO356" s="64">
        <f>IFERROR(1/J356*(X356/H356),"0")</f>
        <v>4.2016806722689072E-2</v>
      </c>
      <c r="BP356" s="64">
        <f>IFERROR(1/J356*(Y356/H356),"0")</f>
        <v>4.2016806722689072E-2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20</v>
      </c>
      <c r="Y357" s="664">
        <f>IFERROR(IF(X357="",0,CEILING((X357/$H357),1)*$H357),"")</f>
        <v>20</v>
      </c>
      <c r="Z357" s="36">
        <f>IFERROR(IF(Y357=0,"",ROUNDUP(Y357/H357,0)*0.00474),"")</f>
        <v>4.7400000000000005E-2</v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22.400000000000002</v>
      </c>
      <c r="BN357" s="64">
        <f>IFERROR(Y357*I357/H357,"0")</f>
        <v>22.400000000000002</v>
      </c>
      <c r="BO357" s="64">
        <f>IFERROR(1/J357*(X357/H357),"0")</f>
        <v>4.2016806722689072E-2</v>
      </c>
      <c r="BP357" s="64">
        <f>IFERROR(1/J357*(Y357/H357),"0")</f>
        <v>4.2016806722689072E-2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20</v>
      </c>
      <c r="Y358" s="664">
        <f>IFERROR(IF(X358="",0,CEILING((X358/$H358),1)*$H358),"")</f>
        <v>20</v>
      </c>
      <c r="Z358" s="36">
        <f>IFERROR(IF(Y358=0,"",ROUNDUP(Y358/H358,0)*0.00474),"")</f>
        <v>4.7400000000000005E-2</v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22.400000000000002</v>
      </c>
      <c r="BN358" s="64">
        <f>IFERROR(Y358*I358/H358,"0")</f>
        <v>22.400000000000002</v>
      </c>
      <c r="BO358" s="64">
        <f>IFERROR(1/J358*(X358/H358),"0")</f>
        <v>4.2016806722689072E-2</v>
      </c>
      <c r="BP358" s="64">
        <f>IFERROR(1/J358*(Y358/H358),"0")</f>
        <v>4.2016806722689072E-2</v>
      </c>
    </row>
    <row r="359" spans="1:68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30</v>
      </c>
      <c r="Y359" s="665">
        <f>IFERROR(Y356/H356,"0")+IFERROR(Y357/H357,"0")+IFERROR(Y358/H358,"0")</f>
        <v>30</v>
      </c>
      <c r="Z359" s="665">
        <f>IFERROR(IF(Z356="",0,Z356),"0")+IFERROR(IF(Z357="",0,Z357),"0")+IFERROR(IF(Z358="",0,Z358),"0")</f>
        <v>0.14220000000000002</v>
      </c>
      <c r="AA359" s="666"/>
      <c r="AB359" s="666"/>
      <c r="AC359" s="666"/>
    </row>
    <row r="360" spans="1:68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60</v>
      </c>
      <c r="Y360" s="665">
        <f>IFERROR(SUM(Y356:Y358),"0")</f>
        <v>60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66</v>
      </c>
      <c r="Y363" s="664">
        <f>IFERROR(IF(X363="",0,CEILING((X363/$H363),1)*$H363),"")</f>
        <v>66.600000000000009</v>
      </c>
      <c r="Z363" s="36">
        <f>IFERROR(IF(Y363=0,"",ROUNDUP(Y363/H363,0)*0.00651),"")</f>
        <v>0.24087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74.36</v>
      </c>
      <c r="BN363" s="64">
        <f>IFERROR(Y363*I363/H363,"0")</f>
        <v>75.036000000000016</v>
      </c>
      <c r="BO363" s="64">
        <f>IFERROR(1/J363*(X363/H363),"0")</f>
        <v>0.20146520146520147</v>
      </c>
      <c r="BP363" s="64">
        <f>IFERROR(1/J363*(Y363/H363),"0")</f>
        <v>0.20329670329670335</v>
      </c>
    </row>
    <row r="364" spans="1:68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36.666666666666664</v>
      </c>
      <c r="Y364" s="665">
        <f>IFERROR(Y363/H363,"0")</f>
        <v>37.000000000000007</v>
      </c>
      <c r="Z364" s="665">
        <f>IFERROR(IF(Z363="",0,Z363),"0")</f>
        <v>0.24087</v>
      </c>
      <c r="AA364" s="666"/>
      <c r="AB364" s="666"/>
      <c r="AC364" s="666"/>
    </row>
    <row r="365" spans="1:68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66</v>
      </c>
      <c r="Y365" s="665">
        <f>IFERROR(SUM(Y363:Y363),"0")</f>
        <v>66.600000000000009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70</v>
      </c>
      <c r="Y368" s="664">
        <f>IFERROR(IF(X368="",0,CEILING((X368/$H368),1)*$H368),"")</f>
        <v>71.400000000000006</v>
      </c>
      <c r="Z368" s="36">
        <f>IFERROR(IF(Y368=0,"",ROUNDUP(Y368/H368,0)*0.00651),"")</f>
        <v>0.22134000000000001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78.399999999999991</v>
      </c>
      <c r="BN368" s="64">
        <f>IFERROR(Y368*I368/H368,"0")</f>
        <v>79.968000000000004</v>
      </c>
      <c r="BO368" s="64">
        <f>IFERROR(1/J368*(X368/H368),"0")</f>
        <v>0.18315018315018314</v>
      </c>
      <c r="BP368" s="64">
        <f>IFERROR(1/J368*(Y368/H368),"0")</f>
        <v>0.18681318681318682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105</v>
      </c>
      <c r="Y369" s="664">
        <f>IFERROR(IF(X369="",0,CEILING((X369/$H369),1)*$H369),"")</f>
        <v>105</v>
      </c>
      <c r="Z369" s="36">
        <f>IFERROR(IF(Y369=0,"",ROUNDUP(Y369/H369,0)*0.00651),"")</f>
        <v>0.32550000000000001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116.99999999999999</v>
      </c>
      <c r="BN369" s="64">
        <f>IFERROR(Y369*I369/H369,"0")</f>
        <v>116.99999999999999</v>
      </c>
      <c r="BO369" s="64">
        <f>IFERROR(1/J369*(X369/H369),"0")</f>
        <v>0.27472527472527475</v>
      </c>
      <c r="BP369" s="64">
        <f>IFERROR(1/J369*(Y369/H369),"0")</f>
        <v>0.27472527472527475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83.333333333333329</v>
      </c>
      <c r="Y370" s="665">
        <f>IFERROR(Y367/H367,"0")+IFERROR(Y368/H368,"0")+IFERROR(Y369/H369,"0")</f>
        <v>84</v>
      </c>
      <c r="Z370" s="665">
        <f>IFERROR(IF(Z367="",0,Z367),"0")+IFERROR(IF(Z368="",0,Z368),"0")+IFERROR(IF(Z369="",0,Z369),"0")</f>
        <v>0.54683999999999999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175</v>
      </c>
      <c r="Y371" s="665">
        <f>IFERROR(SUM(Y367:Y369),"0")</f>
        <v>176.4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100</v>
      </c>
      <c r="Y375" s="664">
        <f t="shared" ref="Y375:Y384" si="58">IFERROR(IF(X375="",0,CEILING((X375/$H375),1)*$H375),"")</f>
        <v>105</v>
      </c>
      <c r="Z375" s="36">
        <f>IFERROR(IF(Y375=0,"",ROUNDUP(Y375/H375,0)*0.02175),"")</f>
        <v>0.15225</v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103.2</v>
      </c>
      <c r="BN375" s="64">
        <f t="shared" ref="BN375:BN384" si="60">IFERROR(Y375*I375/H375,"0")</f>
        <v>108.36</v>
      </c>
      <c r="BO375" s="64">
        <f t="shared" ref="BO375:BO384" si="61">IFERROR(1/J375*(X375/H375),"0")</f>
        <v>0.1388888888888889</v>
      </c>
      <c r="BP375" s="64">
        <f t="shared" ref="BP375:BP384" si="62">IFERROR(1/J375*(Y375/H375),"0")</f>
        <v>0.14583333333333331</v>
      </c>
    </row>
    <row r="376" spans="1:68" ht="27" hidden="1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140</v>
      </c>
      <c r="Y377" s="664">
        <f t="shared" si="58"/>
        <v>150</v>
      </c>
      <c r="Z377" s="36">
        <f>IFERROR(IF(Y377=0,"",ROUNDUP(Y377/H377,0)*0.02175),"")</f>
        <v>0.21749999999999997</v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144.48000000000002</v>
      </c>
      <c r="BN377" s="64">
        <f t="shared" si="60"/>
        <v>154.80000000000001</v>
      </c>
      <c r="BO377" s="64">
        <f t="shared" si="61"/>
        <v>0.19444444444444445</v>
      </c>
      <c r="BP377" s="64">
        <f t="shared" si="62"/>
        <v>0.20833333333333331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660</v>
      </c>
      <c r="Y379" s="664">
        <f t="shared" si="58"/>
        <v>660</v>
      </c>
      <c r="Z379" s="36">
        <f>IFERROR(IF(Y379=0,"",ROUNDUP(Y379/H379,0)*0.02175),"")</f>
        <v>0.95699999999999996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681.12000000000012</v>
      </c>
      <c r="BN379" s="64">
        <f t="shared" si="60"/>
        <v>681.12000000000012</v>
      </c>
      <c r="BO379" s="64">
        <f t="shared" si="61"/>
        <v>0.91666666666666663</v>
      </c>
      <c r="BP379" s="64">
        <f t="shared" si="62"/>
        <v>0.91666666666666663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25</v>
      </c>
      <c r="Y383" s="664">
        <f t="shared" si="58"/>
        <v>25</v>
      </c>
      <c r="Z383" s="36">
        <f>IFERROR(IF(Y383=0,"",ROUNDUP(Y383/H383,0)*0.00902),"")</f>
        <v>4.5100000000000001E-2</v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26.05</v>
      </c>
      <c r="BN383" s="64">
        <f t="shared" si="60"/>
        <v>26.05</v>
      </c>
      <c r="BO383" s="64">
        <f t="shared" si="61"/>
        <v>3.787878787878788E-2</v>
      </c>
      <c r="BP383" s="64">
        <f t="shared" si="62"/>
        <v>3.787878787878788E-2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60</v>
      </c>
      <c r="Y384" s="664">
        <f t="shared" si="58"/>
        <v>60</v>
      </c>
      <c r="Z384" s="36">
        <f>IFERROR(IF(Y384=0,"",ROUNDUP(Y384/H384,0)*0.00902),"")</f>
        <v>0.10824</v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62.52</v>
      </c>
      <c r="BN384" s="64">
        <f t="shared" si="60"/>
        <v>62.52</v>
      </c>
      <c r="BO384" s="64">
        <f t="shared" si="61"/>
        <v>9.0909090909090912E-2</v>
      </c>
      <c r="BP384" s="64">
        <f t="shared" si="62"/>
        <v>9.0909090909090912E-2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77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78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1.4800899999999997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985</v>
      </c>
      <c r="Y386" s="665">
        <f>IFERROR(SUM(Y375:Y384),"0")</f>
        <v>1000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470</v>
      </c>
      <c r="Y388" s="664">
        <f>IFERROR(IF(X388="",0,CEILING((X388/$H388),1)*$H388),"")</f>
        <v>480</v>
      </c>
      <c r="Z388" s="36">
        <f>IFERROR(IF(Y388=0,"",ROUNDUP(Y388/H388,0)*0.02175),"")</f>
        <v>0.69599999999999995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485.04</v>
      </c>
      <c r="BN388" s="64">
        <f>IFERROR(Y388*I388/H388,"0")</f>
        <v>495.36</v>
      </c>
      <c r="BO388" s="64">
        <f>IFERROR(1/J388*(X388/H388),"0")</f>
        <v>0.65277777777777768</v>
      </c>
      <c r="BP388" s="64">
        <f>IFERROR(1/J388*(Y388/H388),"0")</f>
        <v>0.66666666666666663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31.333333333333332</v>
      </c>
      <c r="Y390" s="665">
        <f>IFERROR(Y388/H388,"0")+IFERROR(Y389/H389,"0")</f>
        <v>32</v>
      </c>
      <c r="Z390" s="665">
        <f>IFERROR(IF(Z388="",0,Z388),"0")+IFERROR(IF(Z389="",0,Z389),"0")</f>
        <v>0.69599999999999995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470</v>
      </c>
      <c r="Y391" s="665">
        <f>IFERROR(SUM(Y388:Y389),"0")</f>
        <v>480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60</v>
      </c>
      <c r="Y398" s="664">
        <f>IFERROR(IF(X398="",0,CEILING((X398/$H398),1)*$H398),"")</f>
        <v>63</v>
      </c>
      <c r="Z398" s="36">
        <f>IFERROR(IF(Y398=0,"",ROUNDUP(Y398/H398,0)*0.01898),"")</f>
        <v>0.13286000000000001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63.46</v>
      </c>
      <c r="BN398" s="64">
        <f>IFERROR(Y398*I398/H398,"0")</f>
        <v>66.632999999999996</v>
      </c>
      <c r="BO398" s="64">
        <f>IFERROR(1/J398*(X398/H398),"0")</f>
        <v>0.10416666666666667</v>
      </c>
      <c r="BP398" s="64">
        <f>IFERROR(1/J398*(Y398/H398),"0")</f>
        <v>0.109375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6.666666666666667</v>
      </c>
      <c r="Y399" s="665">
        <f>IFERROR(Y398/H398,"0")</f>
        <v>7</v>
      </c>
      <c r="Z399" s="665">
        <f>IFERROR(IF(Z398="",0,Z398),"0")</f>
        <v>0.13286000000000001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60</v>
      </c>
      <c r="Y400" s="665">
        <f>IFERROR(SUM(Y398:Y398),"0")</f>
        <v>63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100</v>
      </c>
      <c r="Y405" s="664">
        <f>IFERROR(IF(X405="",0,CEILING((X405/$H405),1)*$H405),"")</f>
        <v>108</v>
      </c>
      <c r="Z405" s="36">
        <f>IFERROR(IF(Y405=0,"",ROUNDUP(Y405/H405,0)*0.01898),"")</f>
        <v>0.1898</v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104.02777777777777</v>
      </c>
      <c r="BN405" s="64">
        <f>IFERROR(Y405*I405/H405,"0")</f>
        <v>112.34999999999998</v>
      </c>
      <c r="BO405" s="64">
        <f>IFERROR(1/J405*(X405/H405),"0")</f>
        <v>0.14467592592592593</v>
      </c>
      <c r="BP405" s="64">
        <f>IFERROR(1/J405*(Y405/H405),"0")</f>
        <v>0.15625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9.2592592592592595</v>
      </c>
      <c r="Y408" s="665">
        <f>IFERROR(Y403/H403,"0")+IFERROR(Y404/H404,"0")+IFERROR(Y405/H405,"0")+IFERROR(Y406/H406,"0")+IFERROR(Y407/H407,"0")</f>
        <v>10</v>
      </c>
      <c r="Z408" s="665">
        <f>IFERROR(IF(Z403="",0,Z403),"0")+IFERROR(IF(Z404="",0,Z404),"0")+IFERROR(IF(Z405="",0,Z405),"0")+IFERROR(IF(Z406="",0,Z406),"0")+IFERROR(IF(Z407="",0,Z407),"0")</f>
        <v>0.1898</v>
      </c>
      <c r="AA408" s="666"/>
      <c r="AB408" s="666"/>
      <c r="AC408" s="666"/>
    </row>
    <row r="409" spans="1:68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100</v>
      </c>
      <c r="Y409" s="665">
        <f>IFERROR(SUM(Y403:Y407),"0")</f>
        <v>108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170</v>
      </c>
      <c r="Y416" s="664">
        <f>IFERROR(IF(X416="",0,CEILING((X416/$H416),1)*$H416),"")</f>
        <v>171</v>
      </c>
      <c r="Z416" s="36">
        <f>IFERROR(IF(Y416=0,"",ROUNDUP(Y416/H416,0)*0.01898),"")</f>
        <v>0.36062</v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179.80333333333334</v>
      </c>
      <c r="BN416" s="64">
        <f>IFERROR(Y416*I416/H416,"0")</f>
        <v>180.86099999999999</v>
      </c>
      <c r="BO416" s="64">
        <f>IFERROR(1/J416*(X416/H416),"0")</f>
        <v>0.2951388888888889</v>
      </c>
      <c r="BP416" s="64">
        <f>IFERROR(1/J416*(Y416/H416),"0")</f>
        <v>0.296875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48</v>
      </c>
      <c r="Y418" s="664">
        <f>IFERROR(IF(X418="",0,CEILING((X418/$H418),1)*$H418),"")</f>
        <v>48</v>
      </c>
      <c r="Z418" s="36">
        <f>IFERROR(IF(Y418=0,"",ROUNDUP(Y418/H418,0)*0.00651),"")</f>
        <v>0.13020000000000001</v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53.280000000000008</v>
      </c>
      <c r="BN418" s="64">
        <f>IFERROR(Y418*I418/H418,"0")</f>
        <v>53.280000000000008</v>
      </c>
      <c r="BO418" s="64">
        <f>IFERROR(1/J418*(X418/H418),"0")</f>
        <v>0.1098901098901099</v>
      </c>
      <c r="BP418" s="64">
        <f>IFERROR(1/J418*(Y418/H418),"0")</f>
        <v>0.1098901098901099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38.888888888888886</v>
      </c>
      <c r="Y421" s="665">
        <f>IFERROR(Y416/H416,"0")+IFERROR(Y417/H417,"0")+IFERROR(Y418/H418,"0")+IFERROR(Y419/H419,"0")+IFERROR(Y420/H420,"0")</f>
        <v>39</v>
      </c>
      <c r="Z421" s="665">
        <f>IFERROR(IF(Z416="",0,Z416),"0")+IFERROR(IF(Z417="",0,Z417),"0")+IFERROR(IF(Z418="",0,Z418),"0")+IFERROR(IF(Z419="",0,Z419),"0")+IFERROR(IF(Z420="",0,Z420),"0")</f>
        <v>0.49082000000000003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218</v>
      </c>
      <c r="Y422" s="665">
        <f>IFERROR(SUM(Y416:Y420),"0")</f>
        <v>219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28</v>
      </c>
      <c r="Y440" s="664">
        <f t="shared" si="63"/>
        <v>29.400000000000002</v>
      </c>
      <c r="Z440" s="36">
        <f t="shared" si="68"/>
        <v>7.0280000000000009E-2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29.733333333333331</v>
      </c>
      <c r="BN440" s="64">
        <f t="shared" si="65"/>
        <v>31.22</v>
      </c>
      <c r="BO440" s="64">
        <f t="shared" si="66"/>
        <v>5.6980056980056981E-2</v>
      </c>
      <c r="BP440" s="64">
        <f t="shared" si="67"/>
        <v>5.9829059829059839E-2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13.333333333333332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14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7.0280000000000009E-2</v>
      </c>
      <c r="AA442" s="666"/>
      <c r="AB442" s="666"/>
      <c r="AC442" s="666"/>
    </row>
    <row r="443" spans="1:68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28</v>
      </c>
      <c r="Y443" s="665">
        <f>IFERROR(SUM(Y430:Y441),"0")</f>
        <v>29.400000000000002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30</v>
      </c>
      <c r="Y480" s="664">
        <f t="shared" ref="Y480:Y494" si="69">IFERROR(IF(X480="",0,CEILING((X480/$H480),1)*$H480),"")</f>
        <v>31.68</v>
      </c>
      <c r="Z480" s="36">
        <f>IFERROR(IF(Y480=0,"",ROUNDUP(Y480/H480,0)*0.01196),"")</f>
        <v>7.1760000000000004E-2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32.04545454545454</v>
      </c>
      <c r="BN480" s="64">
        <f t="shared" ref="BN480:BN494" si="71">IFERROR(Y480*I480/H480,"0")</f>
        <v>33.839999999999996</v>
      </c>
      <c r="BO480" s="64">
        <f t="shared" ref="BO480:BO494" si="72">IFERROR(1/J480*(X480/H480),"0")</f>
        <v>5.4632867132867136E-2</v>
      </c>
      <c r="BP480" s="64">
        <f t="shared" ref="BP480:BP494" si="73">IFERROR(1/J480*(Y480/H480),"0")</f>
        <v>5.7692307692307696E-2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15</v>
      </c>
      <c r="Y482" s="664">
        <f t="shared" si="69"/>
        <v>15.84</v>
      </c>
      <c r="Z482" s="36">
        <f>IFERROR(IF(Y482=0,"",ROUNDUP(Y482/H482,0)*0.01196),"")</f>
        <v>3.5880000000000002E-2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16.02272727272727</v>
      </c>
      <c r="BN482" s="64">
        <f t="shared" si="71"/>
        <v>16.919999999999998</v>
      </c>
      <c r="BO482" s="64">
        <f t="shared" si="72"/>
        <v>2.7316433566433568E-2</v>
      </c>
      <c r="BP482" s="64">
        <f t="shared" si="73"/>
        <v>2.8846153846153848E-2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20</v>
      </c>
      <c r="Y483" s="664">
        <f t="shared" si="69"/>
        <v>21.12</v>
      </c>
      <c r="Z483" s="36">
        <f>IFERROR(IF(Y483=0,"",ROUNDUP(Y483/H483,0)*0.01196),"")</f>
        <v>4.7840000000000001E-2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21.363636363636363</v>
      </c>
      <c r="BN483" s="64">
        <f t="shared" si="71"/>
        <v>22.56</v>
      </c>
      <c r="BO483" s="64">
        <f t="shared" si="72"/>
        <v>3.6421911421911424E-2</v>
      </c>
      <c r="BP483" s="64">
        <f t="shared" si="73"/>
        <v>3.8461538461538464E-2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12.310606060606061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0.15548000000000001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65</v>
      </c>
      <c r="Y496" s="665">
        <f>IFERROR(SUM(Y480:Y494),"0")</f>
        <v>68.64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80</v>
      </c>
      <c r="Y498" s="664">
        <f>IFERROR(IF(X498="",0,CEILING((X498/$H498),1)*$H498),"")</f>
        <v>84.48</v>
      </c>
      <c r="Z498" s="36">
        <f>IFERROR(IF(Y498=0,"",ROUNDUP(Y498/H498,0)*0.01196),"")</f>
        <v>0.19136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85.454545454545453</v>
      </c>
      <c r="BN498" s="64">
        <f>IFERROR(Y498*I498/H498,"0")</f>
        <v>90.24</v>
      </c>
      <c r="BO498" s="64">
        <f>IFERROR(1/J498*(X498/H498),"0")</f>
        <v>0.14568764568764569</v>
      </c>
      <c r="BP498" s="64">
        <f>IFERROR(1/J498*(Y498/H498),"0")</f>
        <v>0.15384615384615385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15.15151515151515</v>
      </c>
      <c r="Y502" s="665">
        <f>IFERROR(Y498/H498,"0")+IFERROR(Y499/H499,"0")+IFERROR(Y500/H500,"0")+IFERROR(Y501/H501,"0")</f>
        <v>16</v>
      </c>
      <c r="Z502" s="665">
        <f>IFERROR(IF(Z498="",0,Z498),"0")+IFERROR(IF(Z499="",0,Z499),"0")+IFERROR(IF(Z500="",0,Z500),"0")+IFERROR(IF(Z501="",0,Z501),"0")</f>
        <v>0.19136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80</v>
      </c>
      <c r="Y503" s="665">
        <f>IFERROR(SUM(Y498:Y501),"0")</f>
        <v>84.48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40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42.727272727272727</v>
      </c>
      <c r="BN505" s="64">
        <f t="shared" ref="BN505:BN516" si="76">IFERROR(Y505*I505/H505,"0")</f>
        <v>45.12</v>
      </c>
      <c r="BO505" s="64">
        <f t="shared" ref="BO505:BO516" si="77">IFERROR(1/J505*(X505/H505),"0")</f>
        <v>7.2843822843822847E-2</v>
      </c>
      <c r="BP505" s="64">
        <f t="shared" ref="BP505:BP516" si="78">IFERROR(1/J505*(Y505/H505),"0")</f>
        <v>7.6923076923076927E-2</v>
      </c>
    </row>
    <row r="506" spans="1:68" ht="27" hidden="1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25</v>
      </c>
      <c r="Y507" s="664">
        <f t="shared" si="74"/>
        <v>26.400000000000002</v>
      </c>
      <c r="Z507" s="36">
        <f>IFERROR(IF(Y507=0,"",ROUNDUP(Y507/H507,0)*0.01196),"")</f>
        <v>5.9799999999999999E-2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26.704545454545453</v>
      </c>
      <c r="BN507" s="64">
        <f t="shared" si="76"/>
        <v>28.200000000000003</v>
      </c>
      <c r="BO507" s="64">
        <f t="shared" si="77"/>
        <v>4.5527389277389273E-2</v>
      </c>
      <c r="BP507" s="64">
        <f t="shared" si="78"/>
        <v>4.807692307692308E-2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12.310606060606059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13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0.15548000000000001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65</v>
      </c>
      <c r="Y518" s="665">
        <f>IFERROR(SUM(Y505:Y516),"0")</f>
        <v>68.64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50</v>
      </c>
      <c r="Y535" s="664">
        <f t="shared" si="79"/>
        <v>60</v>
      </c>
      <c r="Z535" s="36">
        <f>IFERROR(IF(Y535=0,"",ROUNDUP(Y535/H535,0)*0.01898),"")</f>
        <v>9.4899999999999998E-2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51.8125</v>
      </c>
      <c r="BN535" s="64">
        <f t="shared" si="81"/>
        <v>62.175000000000004</v>
      </c>
      <c r="BO535" s="64">
        <f t="shared" si="82"/>
        <v>6.5104166666666671E-2</v>
      </c>
      <c r="BP535" s="64">
        <f t="shared" si="83"/>
        <v>7.8125E-2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4.166666666666667</v>
      </c>
      <c r="Y539" s="665">
        <f>IFERROR(Y533/H533,"0")+IFERROR(Y534/H534,"0")+IFERROR(Y535/H535,"0")+IFERROR(Y536/H536,"0")+IFERROR(Y537/H537,"0")+IFERROR(Y538/H538,"0")</f>
        <v>5</v>
      </c>
      <c r="Z539" s="665">
        <f>IFERROR(IF(Z533="",0,Z533),"0")+IFERROR(IF(Z534="",0,Z534),"0")+IFERROR(IF(Z535="",0,Z535),"0")+IFERROR(IF(Z536="",0,Z536),"0")+IFERROR(IF(Z537="",0,Z537),"0")+IFERROR(IF(Z538="",0,Z538),"0")</f>
        <v>9.4899999999999998E-2</v>
      </c>
      <c r="AA539" s="666"/>
      <c r="AB539" s="666"/>
      <c r="AC539" s="666"/>
    </row>
    <row r="540" spans="1:68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50</v>
      </c>
      <c r="Y540" s="665">
        <f>IFERROR(SUM(Y533:Y538),"0")</f>
        <v>60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40</v>
      </c>
      <c r="Y550" s="664">
        <f t="shared" ref="Y550:Y556" si="84">IFERROR(IF(X550="",0,CEILING((X550/$H550),1)*$H550),"")</f>
        <v>42</v>
      </c>
      <c r="Z550" s="36">
        <f>IFERROR(IF(Y550=0,"",ROUNDUP(Y550/H550,0)*0.00902),"")</f>
        <v>9.0200000000000002E-2</v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42.571428571428562</v>
      </c>
      <c r="BN550" s="64">
        <f t="shared" ref="BN550:BN556" si="86">IFERROR(Y550*I550/H550,"0")</f>
        <v>44.699999999999996</v>
      </c>
      <c r="BO550" s="64">
        <f t="shared" ref="BO550:BO556" si="87">IFERROR(1/J550*(X550/H550),"0")</f>
        <v>7.2150072150072145E-2</v>
      </c>
      <c r="BP550" s="64">
        <f t="shared" ref="BP550:BP556" si="88">IFERROR(1/J550*(Y550/H550),"0")</f>
        <v>7.575757575757576E-2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40</v>
      </c>
      <c r="Y551" s="664">
        <f t="shared" si="84"/>
        <v>42</v>
      </c>
      <c r="Z551" s="36">
        <f>IFERROR(IF(Y551=0,"",ROUNDUP(Y551/H551,0)*0.00902),"")</f>
        <v>9.0200000000000002E-2</v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42.571428571428562</v>
      </c>
      <c r="BN551" s="64">
        <f t="shared" si="86"/>
        <v>44.699999999999996</v>
      </c>
      <c r="BO551" s="64">
        <f t="shared" si="87"/>
        <v>7.2150072150072145E-2</v>
      </c>
      <c r="BP551" s="64">
        <f t="shared" si="88"/>
        <v>7.575757575757576E-2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19.047619047619047</v>
      </c>
      <c r="Y557" s="665">
        <f>IFERROR(Y550/H550,"0")+IFERROR(Y551/H551,"0")+IFERROR(Y552/H552,"0")+IFERROR(Y553/H553,"0")+IFERROR(Y554/H554,"0")+IFERROR(Y555/H555,"0")+IFERROR(Y556/H556,"0")</f>
        <v>20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0.1804</v>
      </c>
      <c r="AA557" s="666"/>
      <c r="AB557" s="666"/>
      <c r="AC557" s="666"/>
    </row>
    <row r="558" spans="1:68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80</v>
      </c>
      <c r="Y558" s="665">
        <f>IFERROR(SUM(Y550:Y556),"0")</f>
        <v>84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8366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8537.869999999999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8849.346378043525</v>
      </c>
      <c r="Y592" s="665">
        <f>IFERROR(SUM(BN22:BN588),"0")</f>
        <v>9030.3180000000029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15</v>
      </c>
      <c r="Y593" s="38">
        <f>ROUNDUP(SUM(BP22:BP588),0)</f>
        <v>16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9224.346378043525</v>
      </c>
      <c r="Y594" s="665">
        <f>GrossWeightTotalR+PalletQtyTotalR*25</f>
        <v>9430.3180000000029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1459.7667522020465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1487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17.941250000000004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715.5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418.86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304.05</v>
      </c>
      <c r="G601" s="46">
        <f>IFERROR(Y137*1,"0")+IFERROR(Y138*1,"0")+IFERROR(Y142*1,"0")+IFERROR(Y143*1,"0")+IFERROR(Y147*1,"0")+IFERROR(Y148*1,"0")</f>
        <v>216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231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451.20000000000005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291.60000000000002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18.900000000000002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3382.5999999999995</v>
      </c>
      <c r="V601" s="46">
        <f>IFERROR(Y363*1,"0")+IFERROR(Y367*1,"0")+IFERROR(Y368*1,"0")+IFERROR(Y369*1,"0")</f>
        <v>243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1543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327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29.400000000000002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221.76000000000002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144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59,77"/>
        <filter val="1 750,00"/>
        <filter val="1 890,00"/>
        <filter val="10,24"/>
        <filter val="100,00"/>
        <filter val="105,00"/>
        <filter val="116,67"/>
        <filter val="12,00"/>
        <filter val="12,31"/>
        <filter val="122,00"/>
        <filter val="13,33"/>
        <filter val="140,00"/>
        <filter val="15"/>
        <filter val="15,00"/>
        <filter val="15,15"/>
        <filter val="160,00"/>
        <filter val="170,00"/>
        <filter val="175,00"/>
        <filter val="18,00"/>
        <filter val="180,00"/>
        <filter val="189,00"/>
        <filter val="19,05"/>
        <filter val="190,00"/>
        <filter val="20,00"/>
        <filter val="208,00"/>
        <filter val="218,00"/>
        <filter val="221,00"/>
        <filter val="224,00"/>
        <filter val="235,00"/>
        <filter val="25,00"/>
        <filter val="25,74"/>
        <filter val="271,03"/>
        <filter val="278,00"/>
        <filter val="28,00"/>
        <filter val="280,00"/>
        <filter val="29,05"/>
        <filter val="3,53"/>
        <filter val="30,00"/>
        <filter val="30,96"/>
        <filter val="31,10"/>
        <filter val="31,33"/>
        <filter val="34,26"/>
        <filter val="36,67"/>
        <filter val="38,89"/>
        <filter val="380,00"/>
        <filter val="4,17"/>
        <filter val="40,00"/>
        <filter val="42,00"/>
        <filter val="43,52"/>
        <filter val="45,00"/>
        <filter val="470,00"/>
        <filter val="48,00"/>
        <filter val="50,00"/>
        <filter val="53,00"/>
        <filter val="540,00"/>
        <filter val="57,55"/>
        <filter val="6,00"/>
        <filter val="6,67"/>
        <filter val="60,00"/>
        <filter val="65,00"/>
        <filter val="65,93"/>
        <filter val="66,00"/>
        <filter val="660,00"/>
        <filter val="68,00"/>
        <filter val="70,00"/>
        <filter val="718,00"/>
        <filter val="72,00"/>
        <filter val="74,07"/>
        <filter val="77,00"/>
        <filter val="8 366,00"/>
        <filter val="8 849,35"/>
        <filter val="8,57"/>
        <filter val="80,00"/>
        <filter val="81,00"/>
        <filter val="83,00"/>
        <filter val="83,33"/>
        <filter val="86,00"/>
        <filter val="88,00"/>
        <filter val="9 224,35"/>
        <filter val="9,00"/>
        <filter val="9,26"/>
        <filter val="93,56"/>
        <filter val="94,00"/>
        <filter val="985,00"/>
        <filter val="99,52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