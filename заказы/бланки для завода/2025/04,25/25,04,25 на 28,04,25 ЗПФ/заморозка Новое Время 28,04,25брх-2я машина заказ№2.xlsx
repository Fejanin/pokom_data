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23959E0-6744-4F7C-A530-34224AA3A8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P269" i="1"/>
  <c r="X267" i="1"/>
  <c r="X266" i="1"/>
  <c r="BO265" i="1"/>
  <c r="BM265" i="1"/>
  <c r="Z265" i="1"/>
  <c r="Z266" i="1" s="1"/>
  <c r="Y265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O223" i="1"/>
  <c r="BM223" i="1"/>
  <c r="Z223" i="1"/>
  <c r="Y223" i="1"/>
  <c r="P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Y218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O185" i="1"/>
  <c r="BM185" i="1"/>
  <c r="Z185" i="1"/>
  <c r="Y185" i="1"/>
  <c r="P185" i="1"/>
  <c r="BO184" i="1"/>
  <c r="BM184" i="1"/>
  <c r="Z184" i="1"/>
  <c r="Y184" i="1"/>
  <c r="P184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5" i="1"/>
  <c r="X174" i="1"/>
  <c r="BO173" i="1"/>
  <c r="BM173" i="1"/>
  <c r="Z173" i="1"/>
  <c r="Y173" i="1"/>
  <c r="P173" i="1"/>
  <c r="BO172" i="1"/>
  <c r="BM172" i="1"/>
  <c r="Z172" i="1"/>
  <c r="Y172" i="1"/>
  <c r="P172" i="1"/>
  <c r="BO171" i="1"/>
  <c r="BM171" i="1"/>
  <c r="Z171" i="1"/>
  <c r="Y171" i="1"/>
  <c r="BO170" i="1"/>
  <c r="BM170" i="1"/>
  <c r="Z170" i="1"/>
  <c r="Y170" i="1"/>
  <c r="X167" i="1"/>
  <c r="X166" i="1"/>
  <c r="BO165" i="1"/>
  <c r="BM165" i="1"/>
  <c r="Z165" i="1"/>
  <c r="Z166" i="1" s="1"/>
  <c r="Y165" i="1"/>
  <c r="X161" i="1"/>
  <c r="X160" i="1"/>
  <c r="BO159" i="1"/>
  <c r="BM159" i="1"/>
  <c r="Z159" i="1"/>
  <c r="Z160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Z133" i="1" s="1"/>
  <c r="Y132" i="1"/>
  <c r="P132" i="1"/>
  <c r="BO131" i="1"/>
  <c r="BM131" i="1"/>
  <c r="Z131" i="1"/>
  <c r="Y131" i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X122" i="1"/>
  <c r="X121" i="1"/>
  <c r="BO120" i="1"/>
  <c r="BM120" i="1"/>
  <c r="Z120" i="1"/>
  <c r="Z121" i="1" s="1"/>
  <c r="Y120" i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BP106" i="1" s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X80" i="1"/>
  <c r="X79" i="1"/>
  <c r="BO78" i="1"/>
  <c r="BM78" i="1"/>
  <c r="Z78" i="1"/>
  <c r="Y78" i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X56" i="1"/>
  <c r="X55" i="1"/>
  <c r="BO54" i="1"/>
  <c r="BM54" i="1"/>
  <c r="Z54" i="1"/>
  <c r="Z55" i="1" s="1"/>
  <c r="Y54" i="1"/>
  <c r="X51" i="1"/>
  <c r="X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BP43" i="1" s="1"/>
  <c r="P43" i="1"/>
  <c r="BO42" i="1"/>
  <c r="BM42" i="1"/>
  <c r="Z42" i="1"/>
  <c r="Y42" i="1"/>
  <c r="P42" i="1"/>
  <c r="X39" i="1"/>
  <c r="X38" i="1"/>
  <c r="BO37" i="1"/>
  <c r="BM37" i="1"/>
  <c r="Z37" i="1"/>
  <c r="Y37" i="1"/>
  <c r="BO36" i="1"/>
  <c r="BM36" i="1"/>
  <c r="Z36" i="1"/>
  <c r="Y36" i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Z31" i="1" s="1"/>
  <c r="Y28" i="1"/>
  <c r="X24" i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43" i="1" l="1"/>
  <c r="BN45" i="1"/>
  <c r="BN47" i="1"/>
  <c r="BN49" i="1"/>
  <c r="BN70" i="1"/>
  <c r="BP70" i="1"/>
  <c r="BN71" i="1"/>
  <c r="BN72" i="1"/>
  <c r="Y73" i="1"/>
  <c r="Z79" i="1"/>
  <c r="BN77" i="1"/>
  <c r="Z100" i="1"/>
  <c r="BN106" i="1"/>
  <c r="BN252" i="1"/>
  <c r="BP252" i="1"/>
  <c r="Y253" i="1"/>
  <c r="Z260" i="1"/>
  <c r="BN258" i="1"/>
  <c r="Z317" i="1"/>
  <c r="BN298" i="1"/>
  <c r="BN299" i="1"/>
  <c r="BN300" i="1"/>
  <c r="BN303" i="1"/>
  <c r="BN304" i="1"/>
  <c r="Y60" i="1"/>
  <c r="Y59" i="1"/>
  <c r="BP58" i="1"/>
  <c r="BN58" i="1"/>
  <c r="Y85" i="1"/>
  <c r="Y84" i="1"/>
  <c r="BP83" i="1"/>
  <c r="BN83" i="1"/>
  <c r="Y133" i="1"/>
  <c r="BP131" i="1"/>
  <c r="BN131" i="1"/>
  <c r="Y134" i="1"/>
  <c r="Y161" i="1"/>
  <c r="Y160" i="1"/>
  <c r="BP159" i="1"/>
  <c r="BN159" i="1"/>
  <c r="BP246" i="1"/>
  <c r="BN246" i="1"/>
  <c r="Y267" i="1"/>
  <c r="Y266" i="1"/>
  <c r="BP265" i="1"/>
  <c r="BN265" i="1"/>
  <c r="Y32" i="1"/>
  <c r="Y31" i="1"/>
  <c r="BP28" i="1"/>
  <c r="BN28" i="1"/>
  <c r="BP29" i="1"/>
  <c r="BN29" i="1"/>
  <c r="BP30" i="1"/>
  <c r="BN30" i="1"/>
  <c r="Y100" i="1"/>
  <c r="BP94" i="1"/>
  <c r="BN94" i="1"/>
  <c r="BP97" i="1"/>
  <c r="BN97" i="1"/>
  <c r="BP98" i="1"/>
  <c r="BN98" i="1"/>
  <c r="Y101" i="1"/>
  <c r="BP112" i="1"/>
  <c r="BN112" i="1"/>
  <c r="BP114" i="1"/>
  <c r="BN114" i="1"/>
  <c r="BP116" i="1"/>
  <c r="BN116" i="1"/>
  <c r="Y175" i="1"/>
  <c r="BP170" i="1"/>
  <c r="BN170" i="1"/>
  <c r="BP171" i="1"/>
  <c r="BN171" i="1"/>
  <c r="BP173" i="1"/>
  <c r="BN173" i="1"/>
  <c r="BP185" i="1"/>
  <c r="BN185" i="1"/>
  <c r="BP205" i="1"/>
  <c r="BN205" i="1"/>
  <c r="Y225" i="1"/>
  <c r="BP221" i="1"/>
  <c r="BN221" i="1"/>
  <c r="BP223" i="1"/>
  <c r="BN223" i="1"/>
  <c r="Y271" i="1"/>
  <c r="Y270" i="1"/>
  <c r="BP269" i="1"/>
  <c r="BN269" i="1"/>
  <c r="BP290" i="1"/>
  <c r="BN290" i="1"/>
  <c r="BP292" i="1"/>
  <c r="BN292" i="1"/>
  <c r="Y323" i="1"/>
  <c r="Y322" i="1"/>
  <c r="BP321" i="1"/>
  <c r="BN321" i="1"/>
  <c r="X325" i="1"/>
  <c r="X328" i="1"/>
  <c r="X324" i="1"/>
  <c r="Y79" i="1"/>
  <c r="Y80" i="1"/>
  <c r="Z127" i="1"/>
  <c r="Z174" i="1"/>
  <c r="Y179" i="1"/>
  <c r="Y180" i="1"/>
  <c r="Z187" i="1"/>
  <c r="Y200" i="1"/>
  <c r="Y207" i="1"/>
  <c r="Z207" i="1"/>
  <c r="Z217" i="1"/>
  <c r="Z225" i="1"/>
  <c r="Z293" i="1"/>
  <c r="Y23" i="1"/>
  <c r="BP22" i="1"/>
  <c r="BN22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X327" i="1" l="1"/>
  <c r="Z329" i="1"/>
  <c r="B337" i="1"/>
  <c r="Y326" i="1"/>
  <c r="Y324" i="1"/>
  <c r="Y325" i="1"/>
  <c r="Y327" i="1" s="1"/>
  <c r="Y328" i="1"/>
  <c r="A337" i="1" l="1"/>
  <c r="C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<sst xmlns="http://schemas.openxmlformats.org/spreadsheetml/2006/main" count="1618" uniqueCount="548">
  <si>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</si>
  <si>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</si>
  <si>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</si>
  <si>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</si>
  <si>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</si>
  <si>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</si>
  <si>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</si>
  <si>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</si>
  <si>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</si>
  <si>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</si>
  <si>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</si>
  <si>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</si>
  <si>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</si>
  <si>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</si>
  <si>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</si>
  <si>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</si>
  <si>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</si>
  <si>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</si>
  <si>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</si>
  <si>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</si>
  <si>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</si>
  <si>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</si>
  <si>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</si>
  <si>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</si>
  <si>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</si>
  <si>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</si>
  <si>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</si>
  <si>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</si>
  <si>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</si>
  <si>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</si>
  <si>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</si>
  <si>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</si>
  <si>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</si>
  <si>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</si>
  <si>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</si>
  <si>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</si>
  <si>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</si>
  <si>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</si>
  <si>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</si>
  <si>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</si>
  <si>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</si>
  <si>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</si>
  <si>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</si>
  <si>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</si>
  <si>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</si>
  <si>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</si>
  <si>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</si>
  <si>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</si>
  <si>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</si>
  <si>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</si>
  <si>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</si>
  <si>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</si>
  <si>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</si>
  <si>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</si>
  <si>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</si>
  <si>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</si>
  <si>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</si>
  <si>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</si>
  <si>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</si>
  <si>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</si>
  <si>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</si>
  <si>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</si>
  <si>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</si>
  <si>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</si>
  <si>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</si>
  <si>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</si>
  <si>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</si>
  <si>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</si>
  <si>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</si>
  <si>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</si>
  <si>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</si>
  <si>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</si>
  <si>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</si>
  <si>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</si>
  <si>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</si>
  <si>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</si>
  <si>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</si>
  <si>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</si>
  <si>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</si>
  <si>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</si>
  <si>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</si>
  <si>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</si>
  <si>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</si>
  <si>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</si>
  <si>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</si>
  <si>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</si>
  <si>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</si>
  <si>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</si>
  <si>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</si>
  <si>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</si>
  <si>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</si>
  <si>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</si>
  <si>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</si>
  <si>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</si>
  <si>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</si>
  <si>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</si>
  <si>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</si>
  <si>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</si>
  <si>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</si>
  <si>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</si>
  <si>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</si>
  <si>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</si>
  <si>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</si>
  <si>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</si>
  <si>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</si>
  <si>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</si>
  <si>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</si>
  <si>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</si>
  <si>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</si>
  <si>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</si>
  <si>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</si>
  <si>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</si>
  <si>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</si>
  <si>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</si>
  <si>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</si>
  <si>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</si>
  <si>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</si>
  <si>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</si>
  <si>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</si>
  <si>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</si>
  <si>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</si>
  <si>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</si>
  <si>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</si>
  <si>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</si>
  <si>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</si>
  <si>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</si>
  <si>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</si>
  <si>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</si>
  <si>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</si>
  <si>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</si>
  <si>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</si>
  <si>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</si>
  <si>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</si>
  <si>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</si>
  <si>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</si>
  <si>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</si>
  <si>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</si>
  <si>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</si>
  <si>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</si>
  <si>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</si>
  <si>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</si>
  <si>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</si>
  <si>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</si>
  <si>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</si>
  <si>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</si>
  <si>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</si>
  <si>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</si>
  <si>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</si>
  <si>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</si>
  <si>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</si>
  <si>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</si>
  <si>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</si>
  <si>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</si>
  <si>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</si>
  <si>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</si>
  <si>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</si>
  <si>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</si>
  <si>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</si>
  <si>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</si>
  <si>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</si>
  <si>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</si>
  <si>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</si>
  <si>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</si>
  <si>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</si>
  <si>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</si>
  <si>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</si>
  <si>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</si>
  <si>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</si>
  <si>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</si>
  <si>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</si>
  <si>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</si>
  <si>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</si>
  <si>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</si>
  <si>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</si>
  <si>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</si>
  <si>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</si>
  <si>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</si>
  <si>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</si>
  <si>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</si>
  <si>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</si>
  <si>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</si>
  <si>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</si>
  <si>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</si>
  <si>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</si>
  <si>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</si>
  <si>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</si>
  <si>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</si>
  <si>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</si>
  <si>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</si>
  <si>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</si>
  <si>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</si>
  <si>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</si>
  <si>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</si>
  <si>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</si>
  <si>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</si>
  <si>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</si>
  <si>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</si>
  <si>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</si>
  <si>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</si>
  <si>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</si>
  <si>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</si>
  <si>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</si>
  <si>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</si>
  <si>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</si>
  <si>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</si>
  <si>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</si>
  <si>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</si>
  <si>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</si>
  <si>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</si>
  <si>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</si>
  <si>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</si>
  <si>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</si>
  <si>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</si>
  <si>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</si>
  <si>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</si>
  <si>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</si>
  <si>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</si>
  <si>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</si>
  <si>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</si>
  <si>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</si>
  <si>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</si>
  <si>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</si>
  <si>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</si>
  <si>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</si>
  <si>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</si>
  <si>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</si>
  <si>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</si>
  <si>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</si>
  <si>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</si>
  <si>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</si>
  <si>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</si>
  <si>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</si>
  <si>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</si>
  <si>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</si>
  <si>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</si>
  <si>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</si>
  <si>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</si>
  <si>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</si>
  <si>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</si>
  <si>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</si>
  <si>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</si>
  <si>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</si>
  <si>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</si>
  <si>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</si>
  <si>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</si>
  <si>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</si>
  <si>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</si>
  <si>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</si>
  <si>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</si>
  <si>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</si>
  <si>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</si>
  <si>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</si>
  <si>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</si>
  <si>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</si>
  <si>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</si>
  <si>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</si>
  <si>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</si>
  <si>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</si>
  <si>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</si>
  <si>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</si>
  <si>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</si>
  <si>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</si>
  <si>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</si>
  <si>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</si>
  <si>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</si>
  <si>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</si>
  <si>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</si>
  <si>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</si>
  <si>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</si>
  <si>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</si>
  <si>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</si>
  <si>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</si>
  <si>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</si>
  <si>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</si>
  <si>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</si>
  <si>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</si>
  <si>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</si>
  <si>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</si>
  <si>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</si>
  <si>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</si>
  <si>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</si>
  <si>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</si>
  <si>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</si>
  <si>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</si>
  <si>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</si>
  <si>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</si>
  <si>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</si>
  <si>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</si>
  <si>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</si>
  <si>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</si>
  <si>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</si>
  <si>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</si>
  <si>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</si>
  <si>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</si>
  <si>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</si>
  <si>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</si>
  <si>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</si>
  <si>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</si>
  <si>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</si>
  <si>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</si>
  <si>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</si>
  <si>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</si>
  <si>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</si>
  <si>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</si>
  <si>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</si>
  <si>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</si>
  <si>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</si>
  <si>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</si>
  <si>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</si>
  <si>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</si>
  <si>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</si>
  <si>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</si>
  <si>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</si>
  <si>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</si>
  <si>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</si>
  <si>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</si>
  <si>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</si>
  <si>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</si>
  <si>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</si>
  <si>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</si>
  <si>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</si>
  <si>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</si>
  <si>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</si>
  <si>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</si>
  <si>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</si>
  <si>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</si>
  <si>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</si>
  <si>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</si>
  <si>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</si>
  <si>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</si>
  <si>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</si>
  <si>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</si>
  <si>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</si>
  <si>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</si>
  <si>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</si>
  <si>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</si>
  <si>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</si>
  <si>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</si>
  <si>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</si>
  <si>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</si>
  <si>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</si>
  <si>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</si>
  <si>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</si>
  <si>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</si>
  <si>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</si>
  <si>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</si>
  <si>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</si>
  <si>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</si>
  <si>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</si>
  <si>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</si>
  <si>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</si>
  <si>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</si>
  <si>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</si>
  <si>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</si>
  <si>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</si>
  <si>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</si>
  <si>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</si>
  <si>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</si>
  <si>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</si>
  <si>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</si>
  <si>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</si>
  <si>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</si>
  <si>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</si>
  <si>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</si>
  <si>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</si>
  <si>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</si>
  <si>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</si>
  <si>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</si>
  <si>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</si>
  <si>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</si>
  <si>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</si>
  <si>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</si>
  <si>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</si>
  <si>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</si>
  <si>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</si>
  <si>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</si>
  <si>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</si>
  <si>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</si>
  <si>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</si>
  <si>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</si>
  <si>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</si>
  <si>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</si>
  <si>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</si>
  <si>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</si>
  <si>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</si>
  <si>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</si>
  <si>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</si>
  <si>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</si>
  <si>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</si>
  <si>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</si>
  <si>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</si>
  <si>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</si>
  <si>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</si>
  <si>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</si>
  <si>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</si>
  <si>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</si>
  <si>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</si>
  <si>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</si>
  <si>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</si>
  <si>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</si>
  <si>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</si>
  <si>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</si>
  <si>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</si>
  <si>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</si>
  <si>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</si>
  <si>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</si>
  <si>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</si>
  <si>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</si>
  <si>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</si>
  <si>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</si>
  <si>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</si>
  <si>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</si>
  <si>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</si>
  <si>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</si>
  <si>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</si>
  <si>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</si>
  <si>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</si>
  <si>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</si>
  <si>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</si>
  <si>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</si>
  <si>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</si>
  <si>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</si>
  <si>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</si>
  <si>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</si>
  <si>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</si>
  <si>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</si>
  <si>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</si>
  <si>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</si>
  <si>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</si>
  <si>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</si>
  <si>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</si>
  <si>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</si>
  <si>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</si>
  <si>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</si>
  <si>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</si>
  <si>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</si>
  <si>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</si>
  <si>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</si>
  <si>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</si>
  <si>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</si>
  <si>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</si>
  <si>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</si>
  <si>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</si>
  <si>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</si>
  <si>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</si>
  <si>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</si>
  <si>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</si>
  <si>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</si>
  <si>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</si>
  <si>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</si>
  <si>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</si>
  <si>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</si>
  <si>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</si>
  <si>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</si>
  <si>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</si>
  <si>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</si>
  <si>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</si>
  <si>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</si>
  <si>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</si>
  <si>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</si>
  <si>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</si>
  <si>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</si>
  <si>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</si>
  <si>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</si>
  <si>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</si>
  <si>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</si>
  <si>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</si>
  <si>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</si>
  <si>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</si>
  <si>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</si>
  <si>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</si>
  <si>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</si>
  <si>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</si>
  <si>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</si>
  <si>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</si>
  <si>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</si>
  <si>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</si>
  <si>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</si>
  <si>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</si>
  <si>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</si>
  <si>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</si>
  <si>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</si>
  <si>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</si>
  <si>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</si>
  <si>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</si>
  <si>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</si>
  <si>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</si>
  <si>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</si>
  <si>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</si>
  <si>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</si>
  <si>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</si>
  <si>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</si>
  <si>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</si>
  <si>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</si>
  <si>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</si>
  <si>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</si>
  <si>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</si>
  <si>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</si>
  <si>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</si>
  <si>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</si>
  <si>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</si>
  <si>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</si>
  <si>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</si>
  <si>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</si>
  <si>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</si>
  <si>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</si>
  <si>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</si>
  <si>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</si>
  <si>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</si>
  <si>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</si>
  <si>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</si>
  <si>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</si>
  <si>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</si>
  <si>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</si>
  <si>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</si>
  <si>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</si>
  <si>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</si>
  <si>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</si>
  <si>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</si>
  <si>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</si>
  <si>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</si>
  <si>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</si>
  <si>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</si>
  <si>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</si>
  <si>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</si>
  <si>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</si>
  <si>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</si>
  <si>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</si>
  <si>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</si>
  <si>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</si>
  <si>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</si>
  <si>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</si>
  <si>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</si>
  <si>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</si>
  <si>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</si>
  <si>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</si>
  <si>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</si>
  <si>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</si>
  <si>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</si>
  <si>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</si>
  <si>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</si>
  <si>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</si>
  <si>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</si>
  <si>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</si>
  <si>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</si>
  <si>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</si>
  <si>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</si>
  <si>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 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</si>
</sst>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13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1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0.45833333333333331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14</v>
      </c>
      <c r="Y29" s="33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hidden="1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14</v>
      </c>
      <c r="Y31" s="332">
        <f>IFERROR(SUM(Y28:Y30),"0")</f>
        <v>14</v>
      </c>
      <c r="Z31" s="332">
        <f>IFERROR(IF(Z28="",0,Z28),"0")+IFERROR(IF(Z29="",0,Z29),"0")+IFERROR(IF(Z30="",0,Z30),"0")</f>
        <v>0.13174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21</v>
      </c>
      <c r="Y32" s="332">
        <f>IFERROR(SUMPRODUCT(Y28:Y30*H28:H30),"0")</f>
        <v>21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idden="1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hidden="1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12</v>
      </c>
      <c r="Y45" s="331">
        <f t="shared" si="0"/>
        <v>12</v>
      </c>
      <c r="Z45" s="36">
        <f t="shared" si="1"/>
        <v>0.186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80.635199999999998</v>
      </c>
      <c r="BN45" s="67">
        <f t="shared" si="3"/>
        <v>80.635199999999998</v>
      </c>
      <c r="BO45" s="67">
        <f t="shared" si="4"/>
        <v>0.14285714285714285</v>
      </c>
      <c r="BP45" s="67">
        <f t="shared" si="5"/>
        <v>0.14285714285714285</v>
      </c>
    </row>
    <row r="46" spans="1:68" ht="27" hidden="1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12</v>
      </c>
      <c r="Y49" s="331">
        <f t="shared" si="0"/>
        <v>12</v>
      </c>
      <c r="Z49" s="36">
        <f t="shared" si="1"/>
        <v>0.186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87.6</v>
      </c>
      <c r="BN49" s="67">
        <f t="shared" si="3"/>
        <v>87.6</v>
      </c>
      <c r="BO49" s="67">
        <f t="shared" si="4"/>
        <v>0.14285714285714285</v>
      </c>
      <c r="BP49" s="67">
        <f t="shared" si="5"/>
        <v>0.14285714285714285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24</v>
      </c>
      <c r="Y50" s="332">
        <f>IFERROR(SUM(Y42:Y49),"0")</f>
        <v>24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0.372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160.80000000000001</v>
      </c>
      <c r="Y51" s="332">
        <f>IFERROR(SUMPRODUCT(Y42:Y49*H42:H49),"0")</f>
        <v>160.80000000000001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28</v>
      </c>
      <c r="Y88" s="331">
        <f>IFERROR(IF(X88="","",X88),"")</f>
        <v>28</v>
      </c>
      <c r="Z88" s="36">
        <f>IFERROR(IF(X88="","",X88*0.01788),"")</f>
        <v>0.50063999999999997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28</v>
      </c>
      <c r="Y89" s="331">
        <f>IFERROR(IF(X89="","",X89),"")</f>
        <v>28</v>
      </c>
      <c r="Z89" s="36">
        <f>IFERROR(IF(X89="","",X89*0.01788),"")</f>
        <v>0.50063999999999997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56</v>
      </c>
      <c r="Y90" s="332">
        <f>IFERROR(SUM(Y88:Y89),"0")</f>
        <v>56</v>
      </c>
      <c r="Z90" s="332">
        <f>IFERROR(IF(Z88="",0,Z88),"0")+IFERROR(IF(Z89="",0,Z89),"0")</f>
        <v>1.0012799999999999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201.6</v>
      </c>
      <c r="Y91" s="332">
        <f>IFERROR(SUMPRODUCT(Y88:Y89*H88:H89),"0")</f>
        <v>201.6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14</v>
      </c>
      <c r="Y95" s="331">
        <f t="shared" si="6"/>
        <v>14</v>
      </c>
      <c r="Z95" s="36">
        <f t="shared" si="7"/>
        <v>0.25031999999999999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60.250400000000006</v>
      </c>
      <c r="BN95" s="67">
        <f t="shared" si="9"/>
        <v>60.250400000000006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28</v>
      </c>
      <c r="Y97" s="331">
        <f t="shared" si="6"/>
        <v>28</v>
      </c>
      <c r="Z97" s="36">
        <f t="shared" si="7"/>
        <v>0.50063999999999997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120.50080000000001</v>
      </c>
      <c r="BN97" s="67">
        <f t="shared" si="9"/>
        <v>120.50080000000001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14</v>
      </c>
      <c r="Y98" s="331">
        <f t="shared" si="6"/>
        <v>14</v>
      </c>
      <c r="Z98" s="36">
        <f t="shared" si="7"/>
        <v>0.25031999999999999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98</v>
      </c>
      <c r="Y100" s="332">
        <f>IFERROR(SUM(Y94:Y99),"0")</f>
        <v>98</v>
      </c>
      <c r="Z100" s="332">
        <f>IFERROR(IF(Z94="",0,Z94),"0")+IFERROR(IF(Z95="",0,Z95),"0")+IFERROR(IF(Z96="",0,Z96),"0")+IFERROR(IF(Z97="",0,Z97),"0")+IFERROR(IF(Z98="",0,Z98),"0")+IFERROR(IF(Z99="",0,Z99),"0")</f>
        <v>1.75224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356.15999999999997</v>
      </c>
      <c r="Y101" s="332">
        <f>IFERROR(SUMPRODUCT(Y94:Y99*H94:H99),"0")</f>
        <v>356.15999999999997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28</v>
      </c>
      <c r="Y105" s="331">
        <f>IFERROR(IF(X105="","",X105),"")</f>
        <v>28</v>
      </c>
      <c r="Z105" s="36">
        <f>IFERROR(IF(X105="","",X105*0.01788),"")</f>
        <v>0.50063999999999997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118.83199999999999</v>
      </c>
      <c r="BN105" s="67">
        <f>IFERROR(Y105*I105,"0")</f>
        <v>118.83199999999999</v>
      </c>
      <c r="BO105" s="67">
        <f>IFERROR(X105/J105,"0")</f>
        <v>0.4</v>
      </c>
      <c r="BP105" s="67">
        <f>IFERROR(Y105/J105,"0")</f>
        <v>0.4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40</v>
      </c>
      <c r="Y107" s="332">
        <f>IFERROR(SUM(Y104:Y106),"0")</f>
        <v>40</v>
      </c>
      <c r="Z107" s="332">
        <f>IFERROR(IF(Z104="",0,Z104),"0")+IFERROR(IF(Z105="",0,Z105),"0")+IFERROR(IF(Z106="",0,Z106),"0")</f>
        <v>0.68663999999999992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137.76</v>
      </c>
      <c r="Y108" s="332">
        <f>IFERROR(SUMPRODUCT(Y104:Y106*H104:H106),"0")</f>
        <v>137.76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hidden="1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idden="1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0</v>
      </c>
      <c r="Y117" s="332">
        <f>IFERROR(SUM(Y111:Y116),"0")</f>
        <v>0</v>
      </c>
      <c r="Z117" s="332">
        <f>IFERROR(IF(Z111="",0,Z111),"0")+IFERROR(IF(Z112="",0,Z112),"0")+IFERROR(IF(Z113="",0,Z113),"0")+IFERROR(IF(Z114="",0,Z114),"0")+IFERROR(IF(Z115="",0,Z115),"0")+IFERROR(IF(Z116="",0,Z116),"0")</f>
        <v>0</v>
      </c>
      <c r="AA117" s="333"/>
      <c r="AB117" s="333"/>
      <c r="AC117" s="333"/>
    </row>
    <row r="118" spans="1:68" hidden="1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0</v>
      </c>
      <c r="Y118" s="332">
        <f>IFERROR(SUMPRODUCT(Y111:Y116*H111:H116),"0")</f>
        <v>0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42</v>
      </c>
      <c r="Y125" s="331">
        <f>IFERROR(IF(X125="","",X125),"")</f>
        <v>42</v>
      </c>
      <c r="Z125" s="36">
        <f>IFERROR(IF(X125="","",X125*0.01788),"")</f>
        <v>0.75095999999999996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155.55119999999999</v>
      </c>
      <c r="BN125" s="67">
        <f>IFERROR(Y125*I125,"0")</f>
        <v>155.55119999999999</v>
      </c>
      <c r="BO125" s="67">
        <f>IFERROR(X125/J125,"0")</f>
        <v>0.6</v>
      </c>
      <c r="BP125" s="67">
        <f>IFERROR(Y125/J125,"0")</f>
        <v>0.6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42</v>
      </c>
      <c r="Y126" s="331">
        <f>IFERROR(IF(X126="","",X126),"")</f>
        <v>42</v>
      </c>
      <c r="Z126" s="36">
        <f>IFERROR(IF(X126="","",X126*0.01788),"")</f>
        <v>0.75095999999999996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155.55119999999999</v>
      </c>
      <c r="BN126" s="67">
        <f>IFERROR(Y126*I126,"0")</f>
        <v>155.55119999999999</v>
      </c>
      <c r="BO126" s="67">
        <f>IFERROR(X126/J126,"0")</f>
        <v>0.6</v>
      </c>
      <c r="BP126" s="67">
        <f>IFERROR(Y126/J126,"0")</f>
        <v>0.6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84</v>
      </c>
      <c r="Y127" s="332">
        <f>IFERROR(SUM(Y125:Y126),"0")</f>
        <v>84</v>
      </c>
      <c r="Z127" s="332">
        <f>IFERROR(IF(Z125="",0,Z125),"0")+IFERROR(IF(Z126="",0,Z126),"0")</f>
        <v>1.5019199999999999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252</v>
      </c>
      <c r="Y128" s="332">
        <f>IFERROR(SUMPRODUCT(Y125:Y126*H125:H126),"0")</f>
        <v>252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28</v>
      </c>
      <c r="Y131" s="331">
        <f>IFERROR(IF(X131="","",X131),"")</f>
        <v>28</v>
      </c>
      <c r="Z131" s="36">
        <f>IFERROR(IF(X131="","",X131*0.01788),"")</f>
        <v>0.50063999999999997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104.944</v>
      </c>
      <c r="BN131" s="67">
        <f>IFERROR(Y131*I131,"0")</f>
        <v>104.944</v>
      </c>
      <c r="BO131" s="67">
        <f>IFERROR(X131/J131,"0")</f>
        <v>0.4</v>
      </c>
      <c r="BP131" s="67">
        <f>IFERROR(Y131/J131,"0")</f>
        <v>0.4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14</v>
      </c>
      <c r="Y132" s="331">
        <f>IFERROR(IF(X132="","",X132),"")</f>
        <v>14</v>
      </c>
      <c r="Z132" s="36">
        <f>IFERROR(IF(X132="","",X132*0.01788),"")</f>
        <v>0.25031999999999999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51.850399999999993</v>
      </c>
      <c r="BN132" s="67">
        <f>IFERROR(Y132*I132,"0")</f>
        <v>51.850399999999993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42</v>
      </c>
      <c r="Y133" s="332">
        <f>IFERROR(SUM(Y131:Y132),"0")</f>
        <v>42</v>
      </c>
      <c r="Z133" s="332">
        <f>IFERROR(IF(Z131="",0,Z131),"0")+IFERROR(IF(Z132="",0,Z132),"0")</f>
        <v>0.75095999999999996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126</v>
      </c>
      <c r="Y134" s="332">
        <f>IFERROR(SUMPRODUCT(Y131:Y132*H131:H132),"0")</f>
        <v>126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hidden="1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14</v>
      </c>
      <c r="Y138" s="331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45.919999999999995</v>
      </c>
      <c r="BN138" s="67">
        <f>IFERROR(Y138*I138,"0")</f>
        <v>45.919999999999995</v>
      </c>
      <c r="BO138" s="67">
        <f>IFERROR(X138/J138,"0")</f>
        <v>0.2</v>
      </c>
      <c r="BP138" s="67">
        <f>IFERROR(Y138/J138,"0")</f>
        <v>0.2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14</v>
      </c>
      <c r="Y139" s="332">
        <f>IFERROR(SUM(Y137:Y138),"0")</f>
        <v>14</v>
      </c>
      <c r="Z139" s="332">
        <f>IFERROR(IF(Z137="",0,Z137),"0")+IFERROR(IF(Z138="",0,Z138),"0")</f>
        <v>0.25031999999999999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42</v>
      </c>
      <c r="Y140" s="332">
        <f>IFERROR(SUMPRODUCT(Y137:Y138*H137:H138),"0")</f>
        <v>42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14</v>
      </c>
      <c r="Y159" s="331">
        <f>IFERROR(IF(X159="","",X159),"")</f>
        <v>14</v>
      </c>
      <c r="Z159" s="36">
        <f>IFERROR(IF(X159="","",X159*0.00941),"")</f>
        <v>0.13174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29.425199999999997</v>
      </c>
      <c r="BN159" s="67">
        <f>IFERROR(Y159*I159,"0")</f>
        <v>29.425199999999997</v>
      </c>
      <c r="BO159" s="67">
        <f>IFERROR(X159/J159,"0")</f>
        <v>0.1</v>
      </c>
      <c r="BP159" s="67">
        <f>IFERROR(Y159/J159,"0")</f>
        <v>0.1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14</v>
      </c>
      <c r="Y160" s="332">
        <f>IFERROR(SUM(Y159:Y159),"0")</f>
        <v>14</v>
      </c>
      <c r="Z160" s="332">
        <f>IFERROR(IF(Z159="",0,Z159),"0")</f>
        <v>0.13174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23.52</v>
      </c>
      <c r="Y161" s="332">
        <f>IFERROR(SUMPRODUCT(Y159:Y159*H159:H159),"0")</f>
        <v>23.52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hidden="1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14</v>
      </c>
      <c r="Y184" s="331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47.432000000000002</v>
      </c>
      <c r="BN184" s="67">
        <f>IFERROR(Y184*I184,"0")</f>
        <v>47.432000000000002</v>
      </c>
      <c r="BO184" s="67">
        <f>IFERROR(X184/J184,"0")</f>
        <v>0.2</v>
      </c>
      <c r="BP184" s="67">
        <f>IFERROR(Y184/J184,"0")</f>
        <v>0.2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42</v>
      </c>
      <c r="Y185" s="331">
        <f>IFERROR(IF(X185="","",X185),"")</f>
        <v>42</v>
      </c>
      <c r="Z185" s="36">
        <f>IFERROR(IF(X185="","",X185*0.01788),"")</f>
        <v>0.75095999999999996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142.29599999999999</v>
      </c>
      <c r="BN185" s="67">
        <f>IFERROR(Y185*I185,"0")</f>
        <v>142.29599999999999</v>
      </c>
      <c r="BO185" s="67">
        <f>IFERROR(X185/J185,"0")</f>
        <v>0.6</v>
      </c>
      <c r="BP185" s="67">
        <f>IFERROR(Y185/J185,"0")</f>
        <v>0.6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70</v>
      </c>
      <c r="Y187" s="332">
        <f>IFERROR(SUM(Y184:Y186),"0")</f>
        <v>70</v>
      </c>
      <c r="Z187" s="332">
        <f>IFERROR(IF(Z184="",0,Z184),"0")+IFERROR(IF(Z185="",0,Z185),"0")+IFERROR(IF(Z186="",0,Z186),"0")</f>
        <v>1.2515999999999998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210</v>
      </c>
      <c r="Y188" s="332">
        <f>IFERROR(SUMPRODUCT(Y184:Y186*H184:H186),"0")</f>
        <v>210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hidden="1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hidden="1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hidden="1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12</v>
      </c>
      <c r="Y291" s="331">
        <f>IFERROR(IF(X291="","",X291),"")</f>
        <v>12</v>
      </c>
      <c r="Z291" s="36">
        <f>IFERROR(IF(X291="","",X291*0.0155),"")</f>
        <v>0.186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62.820000000000007</v>
      </c>
      <c r="BN291" s="67">
        <f>IFERROR(Y291*I291,"0")</f>
        <v>62.820000000000007</v>
      </c>
      <c r="BO291" s="67">
        <f>IFERROR(X291/J291,"0")</f>
        <v>0.14285714285714285</v>
      </c>
      <c r="BP291" s="67">
        <f>IFERROR(Y291/J291,"0")</f>
        <v>0.14285714285714285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12</v>
      </c>
      <c r="Y293" s="332">
        <f>IFERROR(SUM(Y290:Y292),"0")</f>
        <v>12</v>
      </c>
      <c r="Z293" s="332">
        <f>IFERROR(IF(Z290="",0,Z290),"0")+IFERROR(IF(Z291="",0,Z291),"0")+IFERROR(IF(Z292="",0,Z292),"0")</f>
        <v>0.186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60</v>
      </c>
      <c r="Y294" s="332">
        <f>IFERROR(SUMPRODUCT(Y290:Y292*H290:H292),"0")</f>
        <v>60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hidden="1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idden="1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hidden="1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1590.84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1590.84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1868.4215999999999</v>
      </c>
      <c r="Y325" s="332">
        <f>IFERROR(SUM(BN22:BN321),"0")</f>
        <v>1868.4215999999999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7</v>
      </c>
      <c r="Y326" s="38">
        <f>ROUNDUP(SUM(BP22:BP321),0)</f>
        <v>7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2043.4215999999999</v>
      </c>
      <c r="Y327" s="332">
        <f>GrossWeightTotalR+PalletQtyTotalR*25</f>
        <v>2043.4215999999999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468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468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8.0164400000000011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21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160.80000000000001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201.6</v>
      </c>
      <c r="J334" s="46">
        <f>IFERROR(X94*H94,"0")+IFERROR(X95*H95,"0")+IFERROR(X96*H96,"0")+IFERROR(X97*H97,"0")+IFERROR(X98*H98,"0")+IFERROR(X99*H99,"0")</f>
        <v>356.15999999999997</v>
      </c>
      <c r="K334" s="46">
        <f>IFERROR(X104*H104,"0")+IFERROR(X105*H105,"0")+IFERROR(X106*H106,"0")</f>
        <v>137.76</v>
      </c>
      <c r="L334" s="46">
        <f>IFERROR(X111*H111,"0")+IFERROR(X112*H112,"0")+IFERROR(X113*H113,"0")+IFERROR(X114*H114,"0")+IFERROR(X115*H115,"0")+IFERROR(X116*H116,"0")+IFERROR(X120*H120,"0")</f>
        <v>0</v>
      </c>
      <c r="M334" s="46">
        <f>IFERROR(X125*H125,"0")+IFERROR(X126*H126,"0")</f>
        <v>252</v>
      </c>
      <c r="N334" s="328"/>
      <c r="O334" s="46">
        <f>IFERROR(X131*H131,"0")+IFERROR(X132*H132,"0")</f>
        <v>126</v>
      </c>
      <c r="P334" s="46">
        <f>IFERROR(X137*H137,"0")+IFERROR(X138*H138,"0")</f>
        <v>42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23.52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210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60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160.80000000000001</v>
      </c>
      <c r="B337" s="60">
        <f>SUMPRODUCT(--(BB:BB="ПГП"),--(W:W="кор"),H:H,Y:Y)+SUMPRODUCT(--(BB:BB="ПГП"),--(W:W="кг"),Y:Y)</f>
        <v>1430.04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0,84"/>
        <filter val="1 868,42"/>
        <filter val="12,00"/>
        <filter val="126,00"/>
        <filter val="137,76"/>
        <filter val="14,00"/>
        <filter val="160,80"/>
        <filter val="2 043,42"/>
        <filter val="201,60"/>
        <filter val="21,00"/>
        <filter val="210,00"/>
        <filter val="23,52"/>
        <filter val="24,00"/>
        <filter val="252,00"/>
        <filter val="28,00"/>
        <filter val="356,16"/>
        <filter val="40,00"/>
        <filter val="42,00"/>
        <filter val="468,00"/>
        <filter val="56,00"/>
        <filter val="60,00"/>
        <filter val="7"/>
        <filter val="70,00"/>
        <filter val="84,0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