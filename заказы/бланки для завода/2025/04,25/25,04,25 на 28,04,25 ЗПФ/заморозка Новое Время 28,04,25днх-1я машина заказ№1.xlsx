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C482440-F836-4227-A81B-1EB7C2CAEA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Z317" i="1" s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P285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X271" i="1"/>
  <c r="X270" i="1"/>
  <c r="BO269" i="1"/>
  <c r="BM269" i="1"/>
  <c r="Z269" i="1"/>
  <c r="Z270" i="1" s="1"/>
  <c r="Y269" i="1"/>
  <c r="Y271" i="1" s="1"/>
  <c r="P269" i="1"/>
  <c r="X267" i="1"/>
  <c r="X266" i="1"/>
  <c r="BO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X254" i="1"/>
  <c r="X253" i="1"/>
  <c r="BO252" i="1"/>
  <c r="BM252" i="1"/>
  <c r="Z252" i="1"/>
  <c r="Z253" i="1" s="1"/>
  <c r="Y252" i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Y237" i="1" s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Y226" i="1" s="1"/>
  <c r="P221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BO212" i="1"/>
  <c r="BM212" i="1"/>
  <c r="Z212" i="1"/>
  <c r="Y212" i="1"/>
  <c r="BP212" i="1" s="1"/>
  <c r="P212" i="1"/>
  <c r="BO211" i="1"/>
  <c r="BM211" i="1"/>
  <c r="Z211" i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200" i="1" s="1"/>
  <c r="Y196" i="1"/>
  <c r="P196" i="1"/>
  <c r="X192" i="1"/>
  <c r="X191" i="1"/>
  <c r="BO190" i="1"/>
  <c r="BM190" i="1"/>
  <c r="Z190" i="1"/>
  <c r="Z191" i="1" s="1"/>
  <c r="Y190" i="1"/>
  <c r="Y191" i="1" s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BP185" i="1" s="1"/>
  <c r="P185" i="1"/>
  <c r="BO184" i="1"/>
  <c r="BM184" i="1"/>
  <c r="Z184" i="1"/>
  <c r="Y184" i="1"/>
  <c r="BP184" i="1" s="1"/>
  <c r="P184" i="1"/>
  <c r="X180" i="1"/>
  <c r="X179" i="1"/>
  <c r="BO178" i="1"/>
  <c r="BM178" i="1"/>
  <c r="Z178" i="1"/>
  <c r="Y178" i="1"/>
  <c r="P178" i="1"/>
  <c r="BO177" i="1"/>
  <c r="BM177" i="1"/>
  <c r="Z177" i="1"/>
  <c r="Y177" i="1"/>
  <c r="P177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Z171" i="1"/>
  <c r="Y171" i="1"/>
  <c r="BP171" i="1" s="1"/>
  <c r="BO170" i="1"/>
  <c r="BM170" i="1"/>
  <c r="Z170" i="1"/>
  <c r="Y170" i="1"/>
  <c r="X167" i="1"/>
  <c r="X166" i="1"/>
  <c r="BO165" i="1"/>
  <c r="BM165" i="1"/>
  <c r="Z165" i="1"/>
  <c r="Z166" i="1" s="1"/>
  <c r="Y165" i="1"/>
  <c r="Y167" i="1" s="1"/>
  <c r="X161" i="1"/>
  <c r="X160" i="1"/>
  <c r="BO159" i="1"/>
  <c r="BM159" i="1"/>
  <c r="Z159" i="1"/>
  <c r="Z160" i="1" s="1"/>
  <c r="Y159" i="1"/>
  <c r="Y160" i="1" s="1"/>
  <c r="P159" i="1"/>
  <c r="X156" i="1"/>
  <c r="X155" i="1"/>
  <c r="BO154" i="1"/>
  <c r="BM154" i="1"/>
  <c r="Z154" i="1"/>
  <c r="Y154" i="1"/>
  <c r="BP154" i="1" s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P148" i="1"/>
  <c r="X145" i="1"/>
  <c r="X144" i="1"/>
  <c r="BO143" i="1"/>
  <c r="BM143" i="1"/>
  <c r="Z143" i="1"/>
  <c r="Z144" i="1" s="1"/>
  <c r="Y143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X134" i="1"/>
  <c r="X133" i="1"/>
  <c r="BO132" i="1"/>
  <c r="BM132" i="1"/>
  <c r="Z132" i="1"/>
  <c r="Y132" i="1"/>
  <c r="P132" i="1"/>
  <c r="BO131" i="1"/>
  <c r="BM131" i="1"/>
  <c r="Z131" i="1"/>
  <c r="Z133" i="1" s="1"/>
  <c r="Y131" i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Z117" i="1" s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Y85" i="1" s="1"/>
  <c r="X80" i="1"/>
  <c r="X79" i="1"/>
  <c r="BO78" i="1"/>
  <c r="BM78" i="1"/>
  <c r="Z78" i="1"/>
  <c r="Y78" i="1"/>
  <c r="P78" i="1"/>
  <c r="BO77" i="1"/>
  <c r="BM77" i="1"/>
  <c r="Z77" i="1"/>
  <c r="Y77" i="1"/>
  <c r="P77" i="1"/>
  <c r="X74" i="1"/>
  <c r="X73" i="1"/>
  <c r="BO72" i="1"/>
  <c r="BM72" i="1"/>
  <c r="Z72" i="1"/>
  <c r="Y72" i="1"/>
  <c r="BO71" i="1"/>
  <c r="BM71" i="1"/>
  <c r="Z71" i="1"/>
  <c r="Y71" i="1"/>
  <c r="BO70" i="1"/>
  <c r="BM70" i="1"/>
  <c r="Z70" i="1"/>
  <c r="Z73" i="1" s="1"/>
  <c r="Y70" i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X60" i="1"/>
  <c r="X59" i="1"/>
  <c r="BO58" i="1"/>
  <c r="BM58" i="1"/>
  <c r="Z58" i="1"/>
  <c r="Z59" i="1" s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P46" i="1"/>
  <c r="BO45" i="1"/>
  <c r="BM45" i="1"/>
  <c r="Z45" i="1"/>
  <c r="Y45" i="1"/>
  <c r="P45" i="1"/>
  <c r="BO44" i="1"/>
  <c r="BM44" i="1"/>
  <c r="Z44" i="1"/>
  <c r="Y44" i="1"/>
  <c r="BP44" i="1" s="1"/>
  <c r="P44" i="1"/>
  <c r="BO43" i="1"/>
  <c r="BM43" i="1"/>
  <c r="Z43" i="1"/>
  <c r="Y43" i="1"/>
  <c r="P43" i="1"/>
  <c r="BO42" i="1"/>
  <c r="BM42" i="1"/>
  <c r="Z42" i="1"/>
  <c r="Y42" i="1"/>
  <c r="BP42" i="1" s="1"/>
  <c r="P42" i="1"/>
  <c r="X39" i="1"/>
  <c r="X38" i="1"/>
  <c r="BO37" i="1"/>
  <c r="BM37" i="1"/>
  <c r="Z37" i="1"/>
  <c r="Y37" i="1"/>
  <c r="BP37" i="1" s="1"/>
  <c r="BO36" i="1"/>
  <c r="BM36" i="1"/>
  <c r="Z36" i="1"/>
  <c r="Y36" i="1"/>
  <c r="BP36" i="1" s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Z31" i="1" s="1"/>
  <c r="Y28" i="1"/>
  <c r="Y32" i="1" s="1"/>
  <c r="X24" i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BN22" i="1" l="1"/>
  <c r="BP22" i="1"/>
  <c r="Y23" i="1"/>
  <c r="Z79" i="1"/>
  <c r="BN165" i="1"/>
  <c r="BP165" i="1"/>
  <c r="Y166" i="1"/>
  <c r="Y174" i="1"/>
  <c r="Z174" i="1"/>
  <c r="BN172" i="1"/>
  <c r="Z179" i="1"/>
  <c r="Z187" i="1"/>
  <c r="BN184" i="1"/>
  <c r="BN186" i="1"/>
  <c r="Z260" i="1"/>
  <c r="BN265" i="1"/>
  <c r="BP265" i="1"/>
  <c r="Y266" i="1"/>
  <c r="BN269" i="1"/>
  <c r="BP269" i="1"/>
  <c r="Y270" i="1"/>
  <c r="Y318" i="1"/>
  <c r="BN298" i="1"/>
  <c r="BN299" i="1"/>
  <c r="BN300" i="1"/>
  <c r="BN303" i="1"/>
  <c r="BN304" i="1"/>
  <c r="BP46" i="1"/>
  <c r="BN46" i="1"/>
  <c r="BP48" i="1"/>
  <c r="BN48" i="1"/>
  <c r="Y64" i="1"/>
  <c r="Y63" i="1"/>
  <c r="BP62" i="1"/>
  <c r="BN62" i="1"/>
  <c r="BP78" i="1"/>
  <c r="BN78" i="1"/>
  <c r="Y91" i="1"/>
  <c r="Y90" i="1"/>
  <c r="BP88" i="1"/>
  <c r="BN88" i="1"/>
  <c r="BP89" i="1"/>
  <c r="BN89" i="1"/>
  <c r="Y150" i="1"/>
  <c r="Y149" i="1"/>
  <c r="BP148" i="1"/>
  <c r="BN148" i="1"/>
  <c r="BP178" i="1"/>
  <c r="BN178" i="1"/>
  <c r="BP197" i="1"/>
  <c r="BN197" i="1"/>
  <c r="BP199" i="1"/>
  <c r="BN199" i="1"/>
  <c r="Y217" i="1"/>
  <c r="BP211" i="1"/>
  <c r="BN211" i="1"/>
  <c r="BP213" i="1"/>
  <c r="BN213" i="1"/>
  <c r="BP215" i="1"/>
  <c r="BN215" i="1"/>
  <c r="Y260" i="1"/>
  <c r="BP258" i="1"/>
  <c r="BN258" i="1"/>
  <c r="Y261" i="1"/>
  <c r="X325" i="1"/>
  <c r="X324" i="1"/>
  <c r="X326" i="1"/>
  <c r="BN35" i="1"/>
  <c r="BP35" i="1"/>
  <c r="BN36" i="1"/>
  <c r="BN37" i="1"/>
  <c r="Y38" i="1"/>
  <c r="Z50" i="1"/>
  <c r="BN42" i="1"/>
  <c r="BN44" i="1"/>
  <c r="Y68" i="1"/>
  <c r="Y67" i="1"/>
  <c r="BP66" i="1"/>
  <c r="BN66" i="1"/>
  <c r="BP95" i="1"/>
  <c r="BN95" i="1"/>
  <c r="BP96" i="1"/>
  <c r="BN96" i="1"/>
  <c r="BP99" i="1"/>
  <c r="BN99" i="1"/>
  <c r="Y117" i="1"/>
  <c r="BP111" i="1"/>
  <c r="BN111" i="1"/>
  <c r="BP113" i="1"/>
  <c r="BN113" i="1"/>
  <c r="BP115" i="1"/>
  <c r="BN115" i="1"/>
  <c r="Y118" i="1"/>
  <c r="BP132" i="1"/>
  <c r="BN132" i="1"/>
  <c r="Y145" i="1"/>
  <c r="Y144" i="1"/>
  <c r="BP143" i="1"/>
  <c r="BN143" i="1"/>
  <c r="Y155" i="1"/>
  <c r="BP153" i="1"/>
  <c r="BN153" i="1"/>
  <c r="Y254" i="1"/>
  <c r="Y253" i="1"/>
  <c r="BP252" i="1"/>
  <c r="BN252" i="1"/>
  <c r="Y294" i="1"/>
  <c r="BP290" i="1"/>
  <c r="BN290" i="1"/>
  <c r="BP292" i="1"/>
  <c r="BN292" i="1"/>
  <c r="Y323" i="1"/>
  <c r="Y322" i="1"/>
  <c r="BP321" i="1"/>
  <c r="BN321" i="1"/>
  <c r="Y134" i="1"/>
  <c r="Y139" i="1"/>
  <c r="Z155" i="1"/>
  <c r="Y180" i="1"/>
  <c r="Y188" i="1"/>
  <c r="Y201" i="1"/>
  <c r="Y208" i="1"/>
  <c r="Z217" i="1"/>
  <c r="Z225" i="1"/>
  <c r="Z247" i="1"/>
  <c r="Z293" i="1"/>
  <c r="F9" i="1"/>
  <c r="J9" i="1"/>
  <c r="F10" i="1"/>
  <c r="BP43" i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BP94" i="1"/>
  <c r="BN94" i="1"/>
  <c r="BP97" i="1"/>
  <c r="BN97" i="1"/>
  <c r="BP98" i="1"/>
  <c r="BN98" i="1"/>
  <c r="Y100" i="1"/>
  <c r="BP106" i="1"/>
  <c r="BN106" i="1"/>
  <c r="BP126" i="1"/>
  <c r="BN126" i="1"/>
  <c r="Y128" i="1"/>
  <c r="Y31" i="1"/>
  <c r="BP28" i="1"/>
  <c r="BN28" i="1"/>
  <c r="BP29" i="1"/>
  <c r="BN29" i="1"/>
  <c r="BP30" i="1"/>
  <c r="BN30" i="1"/>
  <c r="X328" i="1"/>
  <c r="Y50" i="1"/>
  <c r="Y51" i="1"/>
  <c r="Y59" i="1"/>
  <c r="BP58" i="1"/>
  <c r="BN58" i="1"/>
  <c r="Y74" i="1"/>
  <c r="Y80" i="1"/>
  <c r="BP77" i="1"/>
  <c r="BN77" i="1"/>
  <c r="Y79" i="1"/>
  <c r="Y84" i="1"/>
  <c r="BP83" i="1"/>
  <c r="BN83" i="1"/>
  <c r="Z100" i="1"/>
  <c r="Y107" i="1"/>
  <c r="Y108" i="1"/>
  <c r="BP112" i="1"/>
  <c r="BN112" i="1"/>
  <c r="BP114" i="1"/>
  <c r="BN114" i="1"/>
  <c r="BP116" i="1"/>
  <c r="BN116" i="1"/>
  <c r="Y127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325" i="1" l="1"/>
  <c r="Z329" i="1"/>
  <c r="Y328" i="1"/>
  <c r="Y324" i="1"/>
  <c r="Y326" i="1"/>
  <c r="X327" i="1"/>
  <c r="Y327" i="1" l="1"/>
  <c r="C337" i="1" l="1"/>
  <c r="A337" i="1"/>
  <c r="B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<sst xmlns="http://schemas.openxmlformats.org/spreadsheetml/2006/main" count="1618" uniqueCount="548">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</sst>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525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5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0.41666666666666669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14</v>
      </c>
      <c r="Y29" s="331">
        <f>IFERROR(IF(X29="","",X29),"")</f>
        <v>14</v>
      </c>
      <c r="Z29" s="36">
        <f>IFERROR(IF(X29="","",X29*0.00941),"")</f>
        <v>0.13174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26.905200000000001</v>
      </c>
      <c r="BN29" s="67">
        <f>IFERROR(Y29*I29,"0")</f>
        <v>26.905200000000001</v>
      </c>
      <c r="BO29" s="67">
        <f>IFERROR(X29/J29,"0")</f>
        <v>0.1</v>
      </c>
      <c r="BP29" s="67">
        <f>IFERROR(Y29/J29,"0")</f>
        <v>0.1</v>
      </c>
    </row>
    <row r="30" spans="1:68" ht="27" hidden="1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14</v>
      </c>
      <c r="Y31" s="332">
        <f>IFERROR(SUM(Y28:Y30),"0")</f>
        <v>14</v>
      </c>
      <c r="Z31" s="332">
        <f>IFERROR(IF(Z28="",0,Z28),"0")+IFERROR(IF(Z29="",0,Z29),"0")+IFERROR(IF(Z30="",0,Z30),"0")</f>
        <v>0.13174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21</v>
      </c>
      <c r="Y32" s="332">
        <f>IFERROR(SUMPRODUCT(Y28:Y30*H28:H30),"0")</f>
        <v>21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12</v>
      </c>
      <c r="Y35" s="33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24</v>
      </c>
      <c r="Y36" s="331">
        <f>IFERROR(IF(X36="","",X36),"")</f>
        <v>24</v>
      </c>
      <c r="Z36" s="36">
        <f>IFERROR(IF(X36="","",X36*0.0155),"")</f>
        <v>0.372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140.88</v>
      </c>
      <c r="BN36" s="67">
        <f>IFERROR(Y36*I36,"0")</f>
        <v>140.88</v>
      </c>
      <c r="BO36" s="67">
        <f>IFERROR(X36/J36,"0")</f>
        <v>0.2857142857142857</v>
      </c>
      <c r="BP36" s="67">
        <f>IFERROR(Y36/J36,"0")</f>
        <v>0.2857142857142857</v>
      </c>
    </row>
    <row r="37" spans="1:68" ht="27" hidden="1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0</v>
      </c>
      <c r="Y37" s="331">
        <f>IFERROR(IF(X37="","",X37),"")</f>
        <v>0</v>
      </c>
      <c r="Z37" s="36">
        <f>IFERROR(IF(X37="","",X37*0.0155),"")</f>
        <v>0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0</v>
      </c>
      <c r="BN37" s="67">
        <f>IFERROR(Y37*I37,"0")</f>
        <v>0</v>
      </c>
      <c r="BO37" s="67">
        <f>IFERROR(X37/J37,"0")</f>
        <v>0</v>
      </c>
      <c r="BP37" s="67">
        <f>IFERROR(Y37/J37,"0")</f>
        <v>0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36</v>
      </c>
      <c r="Y38" s="332">
        <f>IFERROR(SUM(Y35:Y37),"0")</f>
        <v>36</v>
      </c>
      <c r="Z38" s="332">
        <f>IFERROR(IF(Z35="",0,Z35),"0")+IFERROR(IF(Z36="",0,Z36),"0")+IFERROR(IF(Z37="",0,Z37),"0")</f>
        <v>0.55800000000000005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201.59999999999997</v>
      </c>
      <c r="Y39" s="332">
        <f>IFERROR(SUMPRODUCT(Y35:Y37*H35:H37),"0")</f>
        <v>201.59999999999997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36</v>
      </c>
      <c r="Y44" s="331">
        <f t="shared" si="0"/>
        <v>36</v>
      </c>
      <c r="Z44" s="36">
        <f t="shared" si="1"/>
        <v>0.55800000000000005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262.8</v>
      </c>
      <c r="BN44" s="67">
        <f t="shared" si="3"/>
        <v>262.8</v>
      </c>
      <c r="BO44" s="67">
        <f t="shared" si="4"/>
        <v>0.42857142857142855</v>
      </c>
      <c r="BP44" s="67">
        <f t="shared" si="5"/>
        <v>0.42857142857142855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12</v>
      </c>
      <c r="Y45" s="331">
        <f t="shared" si="0"/>
        <v>12</v>
      </c>
      <c r="Z45" s="36">
        <f t="shared" si="1"/>
        <v>0.186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80.635199999999998</v>
      </c>
      <c r="BN45" s="67">
        <f t="shared" si="3"/>
        <v>80.635199999999998</v>
      </c>
      <c r="BO45" s="67">
        <f t="shared" si="4"/>
        <v>0.14285714285714285</v>
      </c>
      <c r="BP45" s="67">
        <f t="shared" si="5"/>
        <v>0.14285714285714285</v>
      </c>
    </row>
    <row r="46" spans="1:68" ht="27" hidden="1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48</v>
      </c>
      <c r="Y50" s="332">
        <f>IFERROR(SUM(Y42:Y49),"0")</f>
        <v>48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0.74399999999999999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328.8</v>
      </c>
      <c r="Y51" s="332">
        <f>IFERROR(SUMPRODUCT(Y42:Y49*H42:H49),"0")</f>
        <v>328.8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42</v>
      </c>
      <c r="Y88" s="331">
        <f>IFERROR(IF(X88="","",X88),"")</f>
        <v>42</v>
      </c>
      <c r="Z88" s="36">
        <f>IFERROR(IF(X88="","",X88*0.01788),"")</f>
        <v>0.75095999999999996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180.75120000000001</v>
      </c>
      <c r="BN88" s="67">
        <f>IFERROR(Y88*I88,"0")</f>
        <v>180.75120000000001</v>
      </c>
      <c r="BO88" s="67">
        <f>IFERROR(X88/J88,"0")</f>
        <v>0.6</v>
      </c>
      <c r="BP88" s="67">
        <f>IFERROR(Y88/J88,"0")</f>
        <v>0.6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28</v>
      </c>
      <c r="Y89" s="331">
        <f>IFERROR(IF(X89="","",X89),"")</f>
        <v>28</v>
      </c>
      <c r="Z89" s="36">
        <f>IFERROR(IF(X89="","",X89*0.01788),"")</f>
        <v>0.50063999999999997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120.50080000000001</v>
      </c>
      <c r="BN89" s="67">
        <f>IFERROR(Y89*I89,"0")</f>
        <v>120.50080000000001</v>
      </c>
      <c r="BO89" s="67">
        <f>IFERROR(X89/J89,"0")</f>
        <v>0.4</v>
      </c>
      <c r="BP89" s="67">
        <f>IFERROR(Y89/J89,"0")</f>
        <v>0.4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70</v>
      </c>
      <c r="Y90" s="332">
        <f>IFERROR(SUM(Y88:Y89),"0")</f>
        <v>70</v>
      </c>
      <c r="Z90" s="332">
        <f>IFERROR(IF(Z88="",0,Z88),"0")+IFERROR(IF(Z89="",0,Z89),"0")</f>
        <v>1.2515999999999998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252</v>
      </c>
      <c r="Y91" s="332">
        <f>IFERROR(SUMPRODUCT(Y88:Y89*H88:H89),"0")</f>
        <v>252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14</v>
      </c>
      <c r="Y94" s="331">
        <f t="shared" ref="Y94:Y99" si="6">IFERROR(IF(X94="","",X94),"")</f>
        <v>14</v>
      </c>
      <c r="Z94" s="36">
        <f t="shared" ref="Z94:Z99" si="7">IFERROR(IF(X94="","",X94*0.01788),"")</f>
        <v>0.25031999999999999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60.250400000000006</v>
      </c>
      <c r="BN94" s="67">
        <f t="shared" ref="BN94:BN99" si="9">IFERROR(Y94*I94,"0")</f>
        <v>60.250400000000006</v>
      </c>
      <c r="BO94" s="67">
        <f t="shared" ref="BO94:BO99" si="10">IFERROR(X94/J94,"0")</f>
        <v>0.2</v>
      </c>
      <c r="BP94" s="67">
        <f t="shared" ref="BP94:BP99" si="11">IFERROR(Y94/J94,"0")</f>
        <v>0.2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42</v>
      </c>
      <c r="Y95" s="331">
        <f t="shared" si="6"/>
        <v>42</v>
      </c>
      <c r="Z95" s="36">
        <f t="shared" si="7"/>
        <v>0.75095999999999996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180.75120000000001</v>
      </c>
      <c r="BN95" s="67">
        <f t="shared" si="9"/>
        <v>180.75120000000001</v>
      </c>
      <c r="BO95" s="67">
        <f t="shared" si="10"/>
        <v>0.6</v>
      </c>
      <c r="BP95" s="67">
        <f t="shared" si="11"/>
        <v>0.6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14</v>
      </c>
      <c r="Y96" s="331">
        <f t="shared" si="6"/>
        <v>14</v>
      </c>
      <c r="Z96" s="36">
        <f t="shared" si="7"/>
        <v>0.25031999999999999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60.250400000000006</v>
      </c>
      <c r="BN96" s="67">
        <f t="shared" si="9"/>
        <v>60.250400000000006</v>
      </c>
      <c r="BO96" s="67">
        <f t="shared" si="10"/>
        <v>0.2</v>
      </c>
      <c r="BP96" s="67">
        <f t="shared" si="11"/>
        <v>0.2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42</v>
      </c>
      <c r="Y97" s="331">
        <f t="shared" si="6"/>
        <v>42</v>
      </c>
      <c r="Z97" s="36">
        <f t="shared" si="7"/>
        <v>0.75095999999999996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180.75120000000001</v>
      </c>
      <c r="BN97" s="67">
        <f t="shared" si="9"/>
        <v>180.75120000000001</v>
      </c>
      <c r="BO97" s="67">
        <f t="shared" si="10"/>
        <v>0.6</v>
      </c>
      <c r="BP97" s="67">
        <f t="shared" si="11"/>
        <v>0.6</v>
      </c>
    </row>
    <row r="98" spans="1:68" ht="27" hidden="1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112</v>
      </c>
      <c r="Y100" s="332">
        <f>IFERROR(SUM(Y94:Y99),"0")</f>
        <v>112</v>
      </c>
      <c r="Z100" s="332">
        <f>IFERROR(IF(Z94="",0,Z94),"0")+IFERROR(IF(Z95="",0,Z95),"0")+IFERROR(IF(Z96="",0,Z96),"0")+IFERROR(IF(Z97="",0,Z97),"0")+IFERROR(IF(Z98="",0,Z98),"0")+IFERROR(IF(Z99="",0,Z99),"0")</f>
        <v>2.0025599999999999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403.20000000000005</v>
      </c>
      <c r="Y101" s="332">
        <f>IFERROR(SUMPRODUCT(Y94:Y99*H94:H99),"0")</f>
        <v>403.20000000000005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14</v>
      </c>
      <c r="Y105" s="331">
        <f>IFERROR(IF(X105="","",X105),"")</f>
        <v>14</v>
      </c>
      <c r="Z105" s="36">
        <f>IFERROR(IF(X105="","",X105*0.01788),"")</f>
        <v>0.25031999999999999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59.415999999999997</v>
      </c>
      <c r="BN105" s="67">
        <f>IFERROR(Y105*I105,"0")</f>
        <v>59.415999999999997</v>
      </c>
      <c r="BO105" s="67">
        <f>IFERROR(X105/J105,"0")</f>
        <v>0.2</v>
      </c>
      <c r="BP105" s="67">
        <f>IFERROR(Y105/J105,"0")</f>
        <v>0.2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12</v>
      </c>
      <c r="Y106" s="331">
        <f>IFERROR(IF(X106="","",X106),"")</f>
        <v>12</v>
      </c>
      <c r="Z106" s="36">
        <f>IFERROR(IF(X106="","",X106*0.0155),"")</f>
        <v>0.186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41.567999999999998</v>
      </c>
      <c r="BN106" s="67">
        <f>IFERROR(Y106*I106,"0")</f>
        <v>41.567999999999998</v>
      </c>
      <c r="BO106" s="67">
        <f>IFERROR(X106/J106,"0")</f>
        <v>0.14285714285714285</v>
      </c>
      <c r="BP106" s="67">
        <f>IFERROR(Y106/J106,"0")</f>
        <v>0.14285714285714285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26</v>
      </c>
      <c r="Y107" s="332">
        <f>IFERROR(SUM(Y104:Y106),"0")</f>
        <v>26</v>
      </c>
      <c r="Z107" s="332">
        <f>IFERROR(IF(Z104="",0,Z104),"0")+IFERROR(IF(Z105="",0,Z105),"0")+IFERROR(IF(Z106="",0,Z106),"0")</f>
        <v>0.43631999999999999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87.36</v>
      </c>
      <c r="Y108" s="332">
        <f>IFERROR(SUMPRODUCT(Y104:Y106*H104:H106),"0")</f>
        <v>87.36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12</v>
      </c>
      <c r="Y112" s="331">
        <f t="shared" si="12"/>
        <v>12</v>
      </c>
      <c r="Z112" s="36">
        <f t="shared" si="13"/>
        <v>0.186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80.635199999999998</v>
      </c>
      <c r="BN112" s="67">
        <f t="shared" si="15"/>
        <v>80.635199999999998</v>
      </c>
      <c r="BO112" s="67">
        <f t="shared" si="16"/>
        <v>0.14285714285714285</v>
      </c>
      <c r="BP112" s="67">
        <f t="shared" si="17"/>
        <v>0.14285714285714285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12</v>
      </c>
      <c r="Y114" s="331">
        <f t="shared" si="12"/>
        <v>12</v>
      </c>
      <c r="Z114" s="36">
        <f t="shared" si="13"/>
        <v>0.186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87.6</v>
      </c>
      <c r="BN114" s="67">
        <f t="shared" si="15"/>
        <v>87.6</v>
      </c>
      <c r="BO114" s="67">
        <f t="shared" si="16"/>
        <v>0.14285714285714285</v>
      </c>
      <c r="BP114" s="67">
        <f t="shared" si="17"/>
        <v>0.14285714285714285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0</v>
      </c>
      <c r="Y116" s="331">
        <f t="shared" si="12"/>
        <v>0</v>
      </c>
      <c r="Z116" s="36">
        <f t="shared" si="13"/>
        <v>0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24</v>
      </c>
      <c r="Y117" s="332">
        <f>IFERROR(SUM(Y111:Y116),"0")</f>
        <v>24</v>
      </c>
      <c r="Z117" s="332">
        <f>IFERROR(IF(Z111="",0,Z111),"0")+IFERROR(IF(Z112="",0,Z112),"0")+IFERROR(IF(Z113="",0,Z113),"0")+IFERROR(IF(Z114="",0,Z114),"0")+IFERROR(IF(Z115="",0,Z115),"0")+IFERROR(IF(Z116="",0,Z116),"0")</f>
        <v>0.372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160.80000000000001</v>
      </c>
      <c r="Y118" s="332">
        <f>IFERROR(SUMPRODUCT(Y111:Y116*H111:H116),"0")</f>
        <v>160.80000000000001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28</v>
      </c>
      <c r="Y125" s="331">
        <f>IFERROR(IF(X125="","",X125),"")</f>
        <v>28</v>
      </c>
      <c r="Z125" s="36">
        <f>IFERROR(IF(X125="","",X125*0.01788),"")</f>
        <v>0.50063999999999997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103.70079999999999</v>
      </c>
      <c r="BN125" s="67">
        <f>IFERROR(Y125*I125,"0")</f>
        <v>103.70079999999999</v>
      </c>
      <c r="BO125" s="67">
        <f>IFERROR(X125/J125,"0")</f>
        <v>0.4</v>
      </c>
      <c r="BP125" s="67">
        <f>IFERROR(Y125/J125,"0")</f>
        <v>0.4</v>
      </c>
    </row>
    <row r="126" spans="1:68" ht="27" hidden="1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0</v>
      </c>
      <c r="Y126" s="331">
        <f>IFERROR(IF(X126="","",X126),"")</f>
        <v>0</v>
      </c>
      <c r="Z126" s="36">
        <f>IFERROR(IF(X126="","",X126*0.01788),"")</f>
        <v>0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28</v>
      </c>
      <c r="Y127" s="332">
        <f>IFERROR(SUM(Y125:Y126),"0")</f>
        <v>28</v>
      </c>
      <c r="Z127" s="332">
        <f>IFERROR(IF(Z125="",0,Z125),"0")+IFERROR(IF(Z126="",0,Z126),"0")</f>
        <v>0.50063999999999997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84</v>
      </c>
      <c r="Y128" s="332">
        <f>IFERROR(SUMPRODUCT(Y125:Y126*H125:H126),"0")</f>
        <v>84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hidden="1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14</v>
      </c>
      <c r="Y132" s="331">
        <f>IFERROR(IF(X132="","",X132),"")</f>
        <v>14</v>
      </c>
      <c r="Z132" s="36">
        <f>IFERROR(IF(X132="","",X132*0.01788),"")</f>
        <v>0.25031999999999999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51.850399999999993</v>
      </c>
      <c r="BN132" s="67">
        <f>IFERROR(Y132*I132,"0")</f>
        <v>51.850399999999993</v>
      </c>
      <c r="BO132" s="67">
        <f>IFERROR(X132/J132,"0")</f>
        <v>0.2</v>
      </c>
      <c r="BP132" s="67">
        <f>IFERROR(Y132/J132,"0")</f>
        <v>0.2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14</v>
      </c>
      <c r="Y133" s="332">
        <f>IFERROR(SUM(Y131:Y132),"0")</f>
        <v>14</v>
      </c>
      <c r="Z133" s="332">
        <f>IFERROR(IF(Z131="",0,Z131),"0")+IFERROR(IF(Z132="",0,Z132),"0")</f>
        <v>0.25031999999999999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42</v>
      </c>
      <c r="Y134" s="332">
        <f>IFERROR(SUMPRODUCT(Y131:Y132*H131:H132),"0")</f>
        <v>42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28</v>
      </c>
      <c r="Y137" s="331">
        <f>IFERROR(IF(X137="","",X137),"")</f>
        <v>28</v>
      </c>
      <c r="Z137" s="36">
        <f>IFERROR(IF(X137="","",X137*0.01788),"")</f>
        <v>0.50063999999999997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91.839999999999989</v>
      </c>
      <c r="BN137" s="67">
        <f>IFERROR(Y137*I137,"0")</f>
        <v>91.839999999999989</v>
      </c>
      <c r="BO137" s="67">
        <f>IFERROR(X137/J137,"0")</f>
        <v>0.4</v>
      </c>
      <c r="BP137" s="67">
        <f>IFERROR(Y137/J137,"0")</f>
        <v>0.4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28</v>
      </c>
      <c r="Y138" s="331">
        <f>IFERROR(IF(X138="","",X138),"")</f>
        <v>28</v>
      </c>
      <c r="Z138" s="36">
        <f>IFERROR(IF(X138="","",X138*0.01788),"")</f>
        <v>0.50063999999999997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91.839999999999989</v>
      </c>
      <c r="BN138" s="67">
        <f>IFERROR(Y138*I138,"0")</f>
        <v>91.839999999999989</v>
      </c>
      <c r="BO138" s="67">
        <f>IFERROR(X138/J138,"0")</f>
        <v>0.4</v>
      </c>
      <c r="BP138" s="67">
        <f>IFERROR(Y138/J138,"0")</f>
        <v>0.4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56</v>
      </c>
      <c r="Y139" s="332">
        <f>IFERROR(SUM(Y137:Y138),"0")</f>
        <v>56</v>
      </c>
      <c r="Z139" s="332">
        <f>IFERROR(IF(Z137="",0,Z137),"0")+IFERROR(IF(Z138="",0,Z138),"0")</f>
        <v>1.0012799999999999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168</v>
      </c>
      <c r="Y140" s="332">
        <f>IFERROR(SUMPRODUCT(Y137:Y138*H137:H138),"0")</f>
        <v>168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14</v>
      </c>
      <c r="Y148" s="331">
        <f>IFERROR(IF(X148="","",X148),"")</f>
        <v>14</v>
      </c>
      <c r="Z148" s="36">
        <f>IFERROR(IF(X148="","",X148*0.00936),"")</f>
        <v>0.13103999999999999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43.26</v>
      </c>
      <c r="BN148" s="67">
        <f>IFERROR(Y148*I148,"0")</f>
        <v>43.26</v>
      </c>
      <c r="BO148" s="67">
        <f>IFERROR(X148/J148,"0")</f>
        <v>0.1111111111111111</v>
      </c>
      <c r="BP148" s="67">
        <f>IFERROR(Y148/J148,"0")</f>
        <v>0.1111111111111111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14</v>
      </c>
      <c r="Y149" s="332">
        <f>IFERROR(SUM(Y148:Y148),"0")</f>
        <v>14</v>
      </c>
      <c r="Z149" s="332">
        <f>IFERROR(IF(Z148="",0,Z148),"0")</f>
        <v>0.13103999999999999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37.800000000000004</v>
      </c>
      <c r="Y150" s="332">
        <f>IFERROR(SUMPRODUCT(Y148:Y148*H148:H148),"0")</f>
        <v>37.800000000000004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36</v>
      </c>
      <c r="Y172" s="331">
        <f>IFERROR(IF(X172="","",X172),"")</f>
        <v>36</v>
      </c>
      <c r="Z172" s="36">
        <f>IFERROR(IF(X172="","",X172*0.00866),"")</f>
        <v>0.31175999999999998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187.67519999999999</v>
      </c>
      <c r="BN172" s="67">
        <f>IFERROR(Y172*I172,"0")</f>
        <v>187.67519999999999</v>
      </c>
      <c r="BO172" s="67">
        <f>IFERROR(X172/J172,"0")</f>
        <v>0.25</v>
      </c>
      <c r="BP172" s="67">
        <f>IFERROR(Y172/J172,"0")</f>
        <v>0.25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36</v>
      </c>
      <c r="Y174" s="332">
        <f>IFERROR(SUM(Y170:Y173),"0")</f>
        <v>36</v>
      </c>
      <c r="Z174" s="332">
        <f>IFERROR(IF(Z170="",0,Z170),"0")+IFERROR(IF(Z171="",0,Z171),"0")+IFERROR(IF(Z172="",0,Z172),"0")+IFERROR(IF(Z173="",0,Z173),"0")</f>
        <v>0.31175999999999998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180</v>
      </c>
      <c r="Y175" s="332">
        <f>IFERROR(SUMPRODUCT(Y170:Y173*H170:H173),"0")</f>
        <v>180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42</v>
      </c>
      <c r="Y184" s="331">
        <f>IFERROR(IF(X184="","",X184),"")</f>
        <v>42</v>
      </c>
      <c r="Z184" s="36">
        <f>IFERROR(IF(X184="","",X184*0.01788),"")</f>
        <v>0.75095999999999996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142.29599999999999</v>
      </c>
      <c r="BN184" s="67">
        <f>IFERROR(Y184*I184,"0")</f>
        <v>142.29599999999999</v>
      </c>
      <c r="BO184" s="67">
        <f>IFERROR(X184/J184,"0")</f>
        <v>0.6</v>
      </c>
      <c r="BP184" s="67">
        <f>IFERROR(Y184/J184,"0")</f>
        <v>0.6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56</v>
      </c>
      <c r="Y185" s="331">
        <f>IFERROR(IF(X185="","",X185),"")</f>
        <v>56</v>
      </c>
      <c r="Z185" s="36">
        <f>IFERROR(IF(X185="","",X185*0.01788),"")</f>
        <v>1.0012799999999999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189.72800000000001</v>
      </c>
      <c r="BN185" s="67">
        <f>IFERROR(Y185*I185,"0")</f>
        <v>189.72800000000001</v>
      </c>
      <c r="BO185" s="67">
        <f>IFERROR(X185/J185,"0")</f>
        <v>0.8</v>
      </c>
      <c r="BP185" s="67">
        <f>IFERROR(Y185/J185,"0")</f>
        <v>0.8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14</v>
      </c>
      <c r="Y186" s="331">
        <f>IFERROR(IF(X186="","",X186),"")</f>
        <v>14</v>
      </c>
      <c r="Z186" s="36">
        <f>IFERROR(IF(X186="","",X186*0.01788),"")</f>
        <v>0.25031999999999999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52.304000000000002</v>
      </c>
      <c r="BN186" s="67">
        <f>IFERROR(Y186*I186,"0")</f>
        <v>52.304000000000002</v>
      </c>
      <c r="BO186" s="67">
        <f>IFERROR(X186/J186,"0")</f>
        <v>0.2</v>
      </c>
      <c r="BP186" s="67">
        <f>IFERROR(Y186/J186,"0")</f>
        <v>0.2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112</v>
      </c>
      <c r="Y187" s="332">
        <f>IFERROR(SUM(Y184:Y186),"0")</f>
        <v>112</v>
      </c>
      <c r="Z187" s="332">
        <f>IFERROR(IF(Z184="",0,Z184),"0")+IFERROR(IF(Z185="",0,Z185),"0")+IFERROR(IF(Z186="",0,Z186),"0")</f>
        <v>2.0025599999999999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336</v>
      </c>
      <c r="Y188" s="332">
        <f>IFERROR(SUMPRODUCT(Y184:Y186*H184:H186),"0")</f>
        <v>336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14</v>
      </c>
      <c r="Y196" s="331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14</v>
      </c>
      <c r="Y198" s="331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43.450400000000002</v>
      </c>
      <c r="BN198" s="67">
        <f>IFERROR(Y198*I198,"0")</f>
        <v>43.450400000000002</v>
      </c>
      <c r="BO198" s="67">
        <f>IFERROR(X198/J198,"0")</f>
        <v>0.2</v>
      </c>
      <c r="BP198" s="67">
        <f>IFERROR(Y198/J198,"0")</f>
        <v>0.2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28</v>
      </c>
      <c r="Y200" s="332">
        <f>IFERROR(SUM(Y196:Y199),"0")</f>
        <v>28</v>
      </c>
      <c r="Z200" s="332">
        <f>IFERROR(IF(Z196="",0,Z196),"0")+IFERROR(IF(Z197="",0,Z197),"0")+IFERROR(IF(Z198="",0,Z198),"0")+IFERROR(IF(Z199="",0,Z199),"0")</f>
        <v>0.50063999999999997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67.2</v>
      </c>
      <c r="Y201" s="332">
        <f>IFERROR(SUMPRODUCT(Y196:Y199*H196:H199),"0")</f>
        <v>67.2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12</v>
      </c>
      <c r="Y204" s="331">
        <f>IFERROR(IF(X204="","",X204),"")</f>
        <v>12</v>
      </c>
      <c r="Z204" s="36">
        <f>IFERROR(IF(X204="","",X204*0.0155),"")</f>
        <v>0.186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70.44</v>
      </c>
      <c r="BN204" s="67">
        <f>IFERROR(Y204*I204,"0")</f>
        <v>70.44</v>
      </c>
      <c r="BO204" s="67">
        <f>IFERROR(X204/J204,"0")</f>
        <v>0.14285714285714285</v>
      </c>
      <c r="BP204" s="67">
        <f>IFERROR(Y204/J204,"0")</f>
        <v>0.14285714285714285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12</v>
      </c>
      <c r="Y207" s="332">
        <f>IFERROR(SUM(Y204:Y206),"0")</f>
        <v>12</v>
      </c>
      <c r="Z207" s="332">
        <f>IFERROR(IF(Z204="",0,Z204),"0")+IFERROR(IF(Z205="",0,Z205),"0")+IFERROR(IF(Z206="",0,Z206),"0")</f>
        <v>0.186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67.199999999999989</v>
      </c>
      <c r="Y208" s="332">
        <f>IFERROR(SUMPRODUCT(Y204:Y206*H204:H206),"0")</f>
        <v>67.199999999999989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12</v>
      </c>
      <c r="Y222" s="331">
        <f>IFERROR(IF(X222="","",X222),"")</f>
        <v>12</v>
      </c>
      <c r="Z222" s="36">
        <f>IFERROR(IF(X222="","",X222*0.0155),"")</f>
        <v>0.186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89.64</v>
      </c>
      <c r="BN222" s="67">
        <f>IFERROR(Y222*I222,"0")</f>
        <v>89.64</v>
      </c>
      <c r="BO222" s="67">
        <f>IFERROR(X222/J222,"0")</f>
        <v>0.14285714285714285</v>
      </c>
      <c r="BP222" s="67">
        <f>IFERROR(Y222/J222,"0")</f>
        <v>0.14285714285714285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12</v>
      </c>
      <c r="Y225" s="332">
        <f>IFERROR(SUM(Y221:Y224),"0")</f>
        <v>12</v>
      </c>
      <c r="Z225" s="332">
        <f>IFERROR(IF(Z221="",0,Z221),"0")+IFERROR(IF(Z222="",0,Z222),"0")+IFERROR(IF(Z223="",0,Z223),"0")+IFERROR(IF(Z224="",0,Z224),"0")</f>
        <v>0.186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86.4</v>
      </c>
      <c r="Y226" s="332">
        <f>IFERROR(SUMPRODUCT(Y221:Y224*H221:H224),"0")</f>
        <v>86.4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36</v>
      </c>
      <c r="Y281" s="331">
        <f>IFERROR(IF(X281="","",X281),"")</f>
        <v>36</v>
      </c>
      <c r="Z281" s="36">
        <f>IFERROR(IF(X281="","",X281*0.00502),"")</f>
        <v>0.18071999999999999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68.94</v>
      </c>
      <c r="BN281" s="67">
        <f>IFERROR(Y281*I281,"0")</f>
        <v>68.94</v>
      </c>
      <c r="BO281" s="67">
        <f>IFERROR(X281/J281,"0")</f>
        <v>0.15384615384615385</v>
      </c>
      <c r="BP281" s="67">
        <f>IFERROR(Y281/J281,"0")</f>
        <v>0.15384615384615385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36</v>
      </c>
      <c r="Y282" s="332">
        <f>IFERROR(SUM(Y281:Y281),"0")</f>
        <v>36</v>
      </c>
      <c r="Z282" s="332">
        <f>IFERROR(IF(Z281="",0,Z281),"0")</f>
        <v>0.18071999999999999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64.8</v>
      </c>
      <c r="Y283" s="332">
        <f>IFERROR(SUMPRODUCT(Y281:Y281*H281:H281),"0")</f>
        <v>64.8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hidden="1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12</v>
      </c>
      <c r="Y291" s="331">
        <f>IFERROR(IF(X291="","",X291),"")</f>
        <v>12</v>
      </c>
      <c r="Z291" s="36">
        <f>IFERROR(IF(X291="","",X291*0.0155),"")</f>
        <v>0.186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62.820000000000007</v>
      </c>
      <c r="BN291" s="67">
        <f>IFERROR(Y291*I291,"0")</f>
        <v>62.820000000000007</v>
      </c>
      <c r="BO291" s="67">
        <f>IFERROR(X291/J291,"0")</f>
        <v>0.14285714285714285</v>
      </c>
      <c r="BP291" s="67">
        <f>IFERROR(Y291/J291,"0")</f>
        <v>0.14285714285714285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12</v>
      </c>
      <c r="Y293" s="332">
        <f>IFERROR(SUM(Y290:Y292),"0")</f>
        <v>12</v>
      </c>
      <c r="Z293" s="332">
        <f>IFERROR(IF(Z290="",0,Z290),"0")+IFERROR(IF(Z291="",0,Z291),"0")+IFERROR(IF(Z292="",0,Z292),"0")</f>
        <v>0.186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60</v>
      </c>
      <c r="Y294" s="332">
        <f>IFERROR(SUMPRODUCT(Y290:Y292*H290:H292),"0")</f>
        <v>60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12</v>
      </c>
      <c r="Y298" s="331">
        <f t="shared" si="24"/>
        <v>12</v>
      </c>
      <c r="Z298" s="36">
        <f>IFERROR(IF(X298="","",X298*0.0155),"")</f>
        <v>0.186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68.820000000000007</v>
      </c>
      <c r="BN298" s="67">
        <f t="shared" si="26"/>
        <v>68.820000000000007</v>
      </c>
      <c r="BO298" s="67">
        <f t="shared" si="27"/>
        <v>0.14285714285714285</v>
      </c>
      <c r="BP298" s="67">
        <f t="shared" si="28"/>
        <v>0.14285714285714285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14</v>
      </c>
      <c r="Y303" s="331">
        <f t="shared" si="24"/>
        <v>14</v>
      </c>
      <c r="Z303" s="36">
        <f t="shared" si="29"/>
        <v>0.13103999999999999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54.488</v>
      </c>
      <c r="BN303" s="67">
        <f t="shared" si="26"/>
        <v>54.488</v>
      </c>
      <c r="BO303" s="67">
        <f t="shared" si="27"/>
        <v>0.1111111111111111</v>
      </c>
      <c r="BP303" s="67">
        <f t="shared" si="28"/>
        <v>0.1111111111111111</v>
      </c>
    </row>
    <row r="304" spans="1:68" ht="37.5" hidden="1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26</v>
      </c>
      <c r="Y317" s="332">
        <f>IFERROR(SUM(Y296:Y316),"0")</f>
        <v>26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0.31703999999999999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117.80000000000001</v>
      </c>
      <c r="Y318" s="332">
        <f>IFERROR(SUMPRODUCT(Y296:Y316*H296:H316),"0")</f>
        <v>117.80000000000001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2765.9599999999996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2765.9599999999996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3090.6779999999999</v>
      </c>
      <c r="Y325" s="332">
        <f>IFERROR(SUM(BN22:BN321),"0")</f>
        <v>3090.6779999999999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9</v>
      </c>
      <c r="Y326" s="38">
        <f>ROUNDUP(SUM(BP22:BP321),0)</f>
        <v>9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3315.6779999999999</v>
      </c>
      <c r="Y327" s="332">
        <f>GrossWeightTotalR+PalletQtyTotalR*25</f>
        <v>3315.6779999999999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716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716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11.250220000000001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21</v>
      </c>
      <c r="D334" s="46">
        <f>IFERROR(X35*H35,"0")+IFERROR(X36*H36,"0")+IFERROR(X37*H37,"0")</f>
        <v>201.59999999999997</v>
      </c>
      <c r="E334" s="46">
        <f>IFERROR(X42*H42,"0")+IFERROR(X43*H43,"0")+IFERROR(X44*H44,"0")+IFERROR(X45*H45,"0")+IFERROR(X46*H46,"0")+IFERROR(X47*H47,"0")+IFERROR(X48*H48,"0")+IFERROR(X49*H49,"0")</f>
        <v>328.8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252</v>
      </c>
      <c r="J334" s="46">
        <f>IFERROR(X94*H94,"0")+IFERROR(X95*H95,"0")+IFERROR(X96*H96,"0")+IFERROR(X97*H97,"0")+IFERROR(X98*H98,"0")+IFERROR(X99*H99,"0")</f>
        <v>403.20000000000005</v>
      </c>
      <c r="K334" s="46">
        <f>IFERROR(X104*H104,"0")+IFERROR(X105*H105,"0")+IFERROR(X106*H106,"0")</f>
        <v>87.36</v>
      </c>
      <c r="L334" s="46">
        <f>IFERROR(X111*H111,"0")+IFERROR(X112*H112,"0")+IFERROR(X113*H113,"0")+IFERROR(X114*H114,"0")+IFERROR(X115*H115,"0")+IFERROR(X116*H116,"0")+IFERROR(X120*H120,"0")</f>
        <v>160.80000000000001</v>
      </c>
      <c r="M334" s="46">
        <f>IFERROR(X125*H125,"0")+IFERROR(X126*H126,"0")</f>
        <v>84</v>
      </c>
      <c r="N334" s="328"/>
      <c r="O334" s="46">
        <f>IFERROR(X131*H131,"0")+IFERROR(X132*H132,"0")</f>
        <v>42</v>
      </c>
      <c r="P334" s="46">
        <f>IFERROR(X137*H137,"0")+IFERROR(X138*H138,"0")</f>
        <v>168</v>
      </c>
      <c r="Q334" s="46">
        <f>IFERROR(X143*H143,"0")</f>
        <v>0</v>
      </c>
      <c r="R334" s="46">
        <f>IFERROR(X148*H148,"0")</f>
        <v>37.800000000000004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180</v>
      </c>
      <c r="W334" s="46">
        <f>IFERROR(X184*H184,"0")+IFERROR(X185*H185,"0")+IFERROR(X186*H186,"0")+IFERROR(X190*H190,"0")</f>
        <v>336</v>
      </c>
      <c r="X334" s="46">
        <f>IFERROR(X196*H196,"0")+IFERROR(X197*H197,"0")+IFERROR(X198*H198,"0")+IFERROR(X199*H199,"0")</f>
        <v>67.2</v>
      </c>
      <c r="Y334" s="46">
        <f>IFERROR(X204*H204,"0")+IFERROR(X205*H205,"0")+IFERROR(X206*H206,"0")</f>
        <v>67.199999999999989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86.4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242.60000000000002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1024.8000000000002</v>
      </c>
      <c r="B337" s="60">
        <f>SUMPRODUCT(--(BB:BB="ПГП"),--(W:W="кор"),H:H,Y:Y)+SUMPRODUCT(--(BB:BB="ПГП"),--(W:W="кг"),Y:Y)</f>
        <v>1741.1599999999996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2,00"/>
        <filter val="117,80"/>
        <filter val="12,00"/>
        <filter val="14,00"/>
        <filter val="160,80"/>
        <filter val="168,00"/>
        <filter val="180,00"/>
        <filter val="2 765,96"/>
        <filter val="201,60"/>
        <filter val="21,00"/>
        <filter val="24,00"/>
        <filter val="252,00"/>
        <filter val="26,00"/>
        <filter val="28,00"/>
        <filter val="3 090,68"/>
        <filter val="3 315,68"/>
        <filter val="328,80"/>
        <filter val="336,00"/>
        <filter val="36,00"/>
        <filter val="37,80"/>
        <filter val="403,20"/>
        <filter val="42,00"/>
        <filter val="48,00"/>
        <filter val="56,00"/>
        <filter val="60,00"/>
        <filter val="64,80"/>
        <filter val="67,20"/>
        <filter val="70,00"/>
        <filter val="716,00"/>
        <filter val="84,00"/>
        <filter val="86,40"/>
        <filter val="87,36"/>
        <filter val="9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