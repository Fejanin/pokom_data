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E5F6FA-EEC1-43E5-A0C7-AC1A782B3D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Y288" i="1" s="1"/>
  <c r="P285" i="1"/>
  <c r="X283" i="1"/>
  <c r="X282" i="1"/>
  <c r="BO281" i="1"/>
  <c r="BM281" i="1"/>
  <c r="Z281" i="1"/>
  <c r="Z282" i="1" s="1"/>
  <c r="Y281" i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Y279" i="1" s="1"/>
  <c r="X271" i="1"/>
  <c r="X270" i="1"/>
  <c r="BO269" i="1"/>
  <c r="BM269" i="1"/>
  <c r="Z269" i="1"/>
  <c r="Z270" i="1" s="1"/>
  <c r="Y269" i="1"/>
  <c r="P269" i="1"/>
  <c r="X267" i="1"/>
  <c r="X266" i="1"/>
  <c r="BO265" i="1"/>
  <c r="BM265" i="1"/>
  <c r="Z265" i="1"/>
  <c r="Z266" i="1" s="1"/>
  <c r="Y265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O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O223" i="1"/>
  <c r="BM223" i="1"/>
  <c r="Z223" i="1"/>
  <c r="Y223" i="1"/>
  <c r="P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Y211" i="1"/>
  <c r="Y218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O185" i="1"/>
  <c r="BM185" i="1"/>
  <c r="Z185" i="1"/>
  <c r="Y185" i="1"/>
  <c r="P185" i="1"/>
  <c r="BO184" i="1"/>
  <c r="BM184" i="1"/>
  <c r="Z184" i="1"/>
  <c r="Y184" i="1"/>
  <c r="P184" i="1"/>
  <c r="X180" i="1"/>
  <c r="X179" i="1"/>
  <c r="BO178" i="1"/>
  <c r="BM178" i="1"/>
  <c r="Z178" i="1"/>
  <c r="Y178" i="1"/>
  <c r="P178" i="1"/>
  <c r="BP177" i="1"/>
  <c r="BO177" i="1"/>
  <c r="BN177" i="1"/>
  <c r="BM177" i="1"/>
  <c r="Z177" i="1"/>
  <c r="Z179" i="1" s="1"/>
  <c r="Y177" i="1"/>
  <c r="P177" i="1"/>
  <c r="X175" i="1"/>
  <c r="X174" i="1"/>
  <c r="BO173" i="1"/>
  <c r="BM173" i="1"/>
  <c r="Z173" i="1"/>
  <c r="Y173" i="1"/>
  <c r="P173" i="1"/>
  <c r="BO172" i="1"/>
  <c r="BM172" i="1"/>
  <c r="Z172" i="1"/>
  <c r="Y172" i="1"/>
  <c r="P172" i="1"/>
  <c r="BO171" i="1"/>
  <c r="BM171" i="1"/>
  <c r="Z171" i="1"/>
  <c r="Y171" i="1"/>
  <c r="BO170" i="1"/>
  <c r="BM170" i="1"/>
  <c r="Z170" i="1"/>
  <c r="Y170" i="1"/>
  <c r="X167" i="1"/>
  <c r="X166" i="1"/>
  <c r="BO165" i="1"/>
  <c r="BM165" i="1"/>
  <c r="Z165" i="1"/>
  <c r="Z166" i="1" s="1"/>
  <c r="Y165" i="1"/>
  <c r="X161" i="1"/>
  <c r="X160" i="1"/>
  <c r="BO159" i="1"/>
  <c r="BM159" i="1"/>
  <c r="Z159" i="1"/>
  <c r="Z160" i="1" s="1"/>
  <c r="Y159" i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Y150" i="1" s="1"/>
  <c r="P148" i="1"/>
  <c r="X145" i="1"/>
  <c r="X144" i="1"/>
  <c r="BO143" i="1"/>
  <c r="BM143" i="1"/>
  <c r="Z143" i="1"/>
  <c r="Z144" i="1" s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Z133" i="1" s="1"/>
  <c r="Y132" i="1"/>
  <c r="P132" i="1"/>
  <c r="BO131" i="1"/>
  <c r="BM131" i="1"/>
  <c r="Z131" i="1"/>
  <c r="Y131" i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X122" i="1"/>
  <c r="X121" i="1"/>
  <c r="BO120" i="1"/>
  <c r="BM120" i="1"/>
  <c r="Z120" i="1"/>
  <c r="Z121" i="1" s="1"/>
  <c r="Y120" i="1"/>
  <c r="X118" i="1"/>
  <c r="X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BP106" i="1" s="1"/>
  <c r="P106" i="1"/>
  <c r="BO105" i="1"/>
  <c r="BM105" i="1"/>
  <c r="Z105" i="1"/>
  <c r="Y105" i="1"/>
  <c r="BO104" i="1"/>
  <c r="BM104" i="1"/>
  <c r="Z104" i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X80" i="1"/>
  <c r="X79" i="1"/>
  <c r="BO78" i="1"/>
  <c r="BM78" i="1"/>
  <c r="Z78" i="1"/>
  <c r="Y78" i="1"/>
  <c r="P78" i="1"/>
  <c r="BO77" i="1"/>
  <c r="BM77" i="1"/>
  <c r="Z77" i="1"/>
  <c r="Y77" i="1"/>
  <c r="BP77" i="1" s="1"/>
  <c r="P77" i="1"/>
  <c r="X74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Z73" i="1" s="1"/>
  <c r="Y70" i="1"/>
  <c r="Y74" i="1" s="1"/>
  <c r="X68" i="1"/>
  <c r="X67" i="1"/>
  <c r="BO66" i="1"/>
  <c r="BM66" i="1"/>
  <c r="Z66" i="1"/>
  <c r="Z67" i="1" s="1"/>
  <c r="Y66" i="1"/>
  <c r="P66" i="1"/>
  <c r="X64" i="1"/>
  <c r="X63" i="1"/>
  <c r="BO62" i="1"/>
  <c r="BM62" i="1"/>
  <c r="Z62" i="1"/>
  <c r="Z63" i="1" s="1"/>
  <c r="Y62" i="1"/>
  <c r="Y64" i="1" s="1"/>
  <c r="X60" i="1"/>
  <c r="X59" i="1"/>
  <c r="BO58" i="1"/>
  <c r="BM58" i="1"/>
  <c r="Z58" i="1"/>
  <c r="Z59" i="1" s="1"/>
  <c r="Y58" i="1"/>
  <c r="Y60" i="1" s="1"/>
  <c r="X56" i="1"/>
  <c r="X55" i="1"/>
  <c r="BO54" i="1"/>
  <c r="BM54" i="1"/>
  <c r="Z54" i="1"/>
  <c r="Z55" i="1" s="1"/>
  <c r="Y54" i="1"/>
  <c r="X51" i="1"/>
  <c r="X50" i="1"/>
  <c r="BO49" i="1"/>
  <c r="BM49" i="1"/>
  <c r="Z49" i="1"/>
  <c r="Y49" i="1"/>
  <c r="P49" i="1"/>
  <c r="BO48" i="1"/>
  <c r="BM48" i="1"/>
  <c r="Z48" i="1"/>
  <c r="Y48" i="1"/>
  <c r="P48" i="1"/>
  <c r="BO47" i="1"/>
  <c r="BM47" i="1"/>
  <c r="Z47" i="1"/>
  <c r="Y47" i="1"/>
  <c r="P47" i="1"/>
  <c r="BO46" i="1"/>
  <c r="BM46" i="1"/>
  <c r="Z46" i="1"/>
  <c r="Y46" i="1"/>
  <c r="P46" i="1"/>
  <c r="BO45" i="1"/>
  <c r="BM45" i="1"/>
  <c r="Z45" i="1"/>
  <c r="Y45" i="1"/>
  <c r="P45" i="1"/>
  <c r="BO44" i="1"/>
  <c r="BM44" i="1"/>
  <c r="Z44" i="1"/>
  <c r="Y44" i="1"/>
  <c r="P44" i="1"/>
  <c r="BO43" i="1"/>
  <c r="BM43" i="1"/>
  <c r="Z43" i="1"/>
  <c r="Y43" i="1"/>
  <c r="P43" i="1"/>
  <c r="BO42" i="1"/>
  <c r="BM42" i="1"/>
  <c r="Z42" i="1"/>
  <c r="Y42" i="1"/>
  <c r="P42" i="1"/>
  <c r="X39" i="1"/>
  <c r="X38" i="1"/>
  <c r="BO37" i="1"/>
  <c r="BM37" i="1"/>
  <c r="Z37" i="1"/>
  <c r="Y37" i="1"/>
  <c r="BO36" i="1"/>
  <c r="BM36" i="1"/>
  <c r="Z36" i="1"/>
  <c r="Y36" i="1"/>
  <c r="BO35" i="1"/>
  <c r="BM35" i="1"/>
  <c r="Z35" i="1"/>
  <c r="Z38" i="1" s="1"/>
  <c r="Y35" i="1"/>
  <c r="Y39" i="1" s="1"/>
  <c r="X32" i="1"/>
  <c r="Y31" i="1"/>
  <c r="X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1" i="1" s="1"/>
  <c r="Y28" i="1"/>
  <c r="Y32" i="1" s="1"/>
  <c r="X24" i="1"/>
  <c r="X324" i="1" s="1"/>
  <c r="X23" i="1"/>
  <c r="BO22" i="1"/>
  <c r="BM22" i="1"/>
  <c r="Z22" i="1"/>
  <c r="Z23" i="1" s="1"/>
  <c r="Y22" i="1"/>
  <c r="P22" i="1"/>
  <c r="H10" i="1"/>
  <c r="A9" i="1"/>
  <c r="H9" i="1" s="1"/>
  <c r="D7" i="1"/>
  <c r="Q6" i="1"/>
  <c r="P2" i="1"/>
  <c r="BN58" i="1" l="1"/>
  <c r="BP58" i="1"/>
  <c r="Y59" i="1"/>
  <c r="BN70" i="1"/>
  <c r="BP70" i="1"/>
  <c r="BN71" i="1"/>
  <c r="BN72" i="1"/>
  <c r="Y73" i="1"/>
  <c r="Z79" i="1"/>
  <c r="BN77" i="1"/>
  <c r="Z100" i="1"/>
  <c r="BN106" i="1"/>
  <c r="BN252" i="1"/>
  <c r="BP252" i="1"/>
  <c r="Y253" i="1"/>
  <c r="Z260" i="1"/>
  <c r="BN258" i="1"/>
  <c r="Z317" i="1"/>
  <c r="BN298" i="1"/>
  <c r="BN299" i="1"/>
  <c r="BN300" i="1"/>
  <c r="BN303" i="1"/>
  <c r="BN304" i="1"/>
  <c r="BP43" i="1"/>
  <c r="BN43" i="1"/>
  <c r="BP45" i="1"/>
  <c r="BN45" i="1"/>
  <c r="BP47" i="1"/>
  <c r="BN47" i="1"/>
  <c r="BP49" i="1"/>
  <c r="BN49" i="1"/>
  <c r="Y100" i="1"/>
  <c r="BP94" i="1"/>
  <c r="BN94" i="1"/>
  <c r="BP97" i="1"/>
  <c r="BN97" i="1"/>
  <c r="BP98" i="1"/>
  <c r="BN98" i="1"/>
  <c r="Y101" i="1"/>
  <c r="BP112" i="1"/>
  <c r="BN112" i="1"/>
  <c r="BP114" i="1"/>
  <c r="BN114" i="1"/>
  <c r="BP116" i="1"/>
  <c r="BN116" i="1"/>
  <c r="Y175" i="1"/>
  <c r="BP170" i="1"/>
  <c r="BN170" i="1"/>
  <c r="BP171" i="1"/>
  <c r="BN171" i="1"/>
  <c r="BP173" i="1"/>
  <c r="BN173" i="1"/>
  <c r="BP185" i="1"/>
  <c r="BN185" i="1"/>
  <c r="BP205" i="1"/>
  <c r="BN205" i="1"/>
  <c r="Y225" i="1"/>
  <c r="BP221" i="1"/>
  <c r="BN221" i="1"/>
  <c r="BP223" i="1"/>
  <c r="BN223" i="1"/>
  <c r="Y271" i="1"/>
  <c r="Y270" i="1"/>
  <c r="BP269" i="1"/>
  <c r="BN269" i="1"/>
  <c r="BP290" i="1"/>
  <c r="BN290" i="1"/>
  <c r="BP292" i="1"/>
  <c r="BN292" i="1"/>
  <c r="Y323" i="1"/>
  <c r="Y322" i="1"/>
  <c r="BP321" i="1"/>
  <c r="BN321" i="1"/>
  <c r="X325" i="1"/>
  <c r="X328" i="1"/>
  <c r="Y85" i="1"/>
  <c r="Y84" i="1"/>
  <c r="BP83" i="1"/>
  <c r="BN83" i="1"/>
  <c r="Y133" i="1"/>
  <c r="BP131" i="1"/>
  <c r="BN131" i="1"/>
  <c r="Y134" i="1"/>
  <c r="Y161" i="1"/>
  <c r="Y160" i="1"/>
  <c r="BP159" i="1"/>
  <c r="BN159" i="1"/>
  <c r="BP246" i="1"/>
  <c r="BN246" i="1"/>
  <c r="Y267" i="1"/>
  <c r="Y266" i="1"/>
  <c r="BP265" i="1"/>
  <c r="BN265" i="1"/>
  <c r="Y79" i="1"/>
  <c r="Y80" i="1"/>
  <c r="Z127" i="1"/>
  <c r="Z174" i="1"/>
  <c r="Y179" i="1"/>
  <c r="Y180" i="1"/>
  <c r="Z187" i="1"/>
  <c r="Y200" i="1"/>
  <c r="Y207" i="1"/>
  <c r="Z207" i="1"/>
  <c r="Z217" i="1"/>
  <c r="Z225" i="1"/>
  <c r="Z293" i="1"/>
  <c r="Y23" i="1"/>
  <c r="BP22" i="1"/>
  <c r="BN22" i="1"/>
  <c r="X327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Z329" i="1" l="1"/>
  <c r="Y326" i="1"/>
  <c r="B337" i="1"/>
  <c r="Y324" i="1"/>
  <c r="Y325" i="1"/>
  <c r="Y327" i="1" s="1"/>
  <c r="Y328" i="1"/>
  <c r="C337" i="1" l="1"/>
  <c r="A337" i="1"/>
</calcChain>
</file>

<file path=xl/sharedStrings.xml><?xml version="1.0" encoding="utf-8"?>
<sst xmlns="http://schemas.openxmlformats.org/spreadsheetml/2006/main" count="1618" uniqueCount="548">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</sst>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7</v>
      </c>
      <c r="B5" s="356"/>
      <c r="C5" s="357"/>
      <c r="D5" s="397"/>
      <c r="E5" s="398"/>
      <c r="F5" s="524" t="s">
        <v>8</v>
      </c>
      <c r="G5" s="357"/>
      <c r="H5" s="397" t="s">
        <v>547</v>
      </c>
      <c r="I5" s="509"/>
      <c r="J5" s="509"/>
      <c r="K5" s="509"/>
      <c r="L5" s="509"/>
      <c r="M5" s="398"/>
      <c r="N5" s="61"/>
      <c r="P5" s="24" t="s">
        <v>9</v>
      </c>
      <c r="Q5" s="533">
        <v>45775</v>
      </c>
      <c r="R5" s="416"/>
      <c r="T5" s="456" t="s">
        <v>10</v>
      </c>
      <c r="U5" s="457"/>
      <c r="V5" s="458" t="s">
        <v>11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12</v>
      </c>
      <c r="B6" s="356"/>
      <c r="C6" s="357"/>
      <c r="D6" s="496" t="s">
        <v>522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14</v>
      </c>
      <c r="Q6" s="537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60" t="s">
        <v>15</v>
      </c>
      <c r="U6" s="457"/>
      <c r="V6" s="477" t="s">
        <v>16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4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17</v>
      </c>
      <c r="B8" s="345"/>
      <c r="C8" s="346"/>
      <c r="D8" s="388"/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18</v>
      </c>
      <c r="Q8" s="352">
        <v>0.45833333333333331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61"/>
      <c r="R10" s="462"/>
      <c r="U10" s="24" t="s">
        <v>21</v>
      </c>
      <c r="V10" s="347" t="s">
        <v>22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5"/>
      <c r="R11" s="416"/>
      <c r="U11" s="24" t="s">
        <v>25</v>
      </c>
      <c r="V11" s="517" t="s">
        <v>26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27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28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29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30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31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32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33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34</v>
      </c>
      <c r="B17" s="376" t="s">
        <v>35</v>
      </c>
      <c r="C17" s="426" t="s">
        <v>36</v>
      </c>
      <c r="D17" s="376" t="s">
        <v>37</v>
      </c>
      <c r="E17" s="407"/>
      <c r="F17" s="376" t="s">
        <v>38</v>
      </c>
      <c r="G17" s="376" t="s">
        <v>39</v>
      </c>
      <c r="H17" s="376" t="s">
        <v>40</v>
      </c>
      <c r="I17" s="376" t="s">
        <v>41</v>
      </c>
      <c r="J17" s="376" t="s">
        <v>42</v>
      </c>
      <c r="K17" s="376" t="s">
        <v>43</v>
      </c>
      <c r="L17" s="376" t="s">
        <v>44</v>
      </c>
      <c r="M17" s="376" t="s">
        <v>45</v>
      </c>
      <c r="N17" s="376" t="s">
        <v>46</v>
      </c>
      <c r="O17" s="376" t="s">
        <v>47</v>
      </c>
      <c r="P17" s="376" t="s">
        <v>48</v>
      </c>
      <c r="Q17" s="406"/>
      <c r="R17" s="406"/>
      <c r="S17" s="406"/>
      <c r="T17" s="407"/>
      <c r="U17" s="543" t="s">
        <v>49</v>
      </c>
      <c r="V17" s="357"/>
      <c r="W17" s="376" t="s">
        <v>50</v>
      </c>
      <c r="X17" s="376" t="s">
        <v>51</v>
      </c>
      <c r="Y17" s="541" t="s">
        <v>52</v>
      </c>
      <c r="Z17" s="504" t="s">
        <v>53</v>
      </c>
      <c r="AA17" s="490" t="s">
        <v>54</v>
      </c>
      <c r="AB17" s="490" t="s">
        <v>55</v>
      </c>
      <c r="AC17" s="490" t="s">
        <v>56</v>
      </c>
      <c r="AD17" s="490" t="s">
        <v>57</v>
      </c>
      <c r="AE17" s="527"/>
      <c r="AF17" s="528"/>
      <c r="AG17" s="69"/>
      <c r="BD17" s="68" t="s">
        <v>58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59</v>
      </c>
      <c r="V18" s="70" t="s">
        <v>60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6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5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112</v>
      </c>
      <c r="Y29" s="331">
        <f>IFERROR(IF(X29="","",X29),"")</f>
        <v>112</v>
      </c>
      <c r="Z29" s="36">
        <f>IFERROR(IF(X29="","",X29*0.00941),"")</f>
        <v>1.05392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215.24160000000001</v>
      </c>
      <c r="BN29" s="67">
        <f>IFERROR(Y29*I29,"0")</f>
        <v>215.24160000000001</v>
      </c>
      <c r="BO29" s="67">
        <f>IFERROR(X29/J29,"0")</f>
        <v>0.8</v>
      </c>
      <c r="BP29" s="67">
        <f>IFERROR(Y29/J29,"0")</f>
        <v>0.8</v>
      </c>
    </row>
    <row r="30" spans="1:68" ht="27" hidden="1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7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112</v>
      </c>
      <c r="Y31" s="332">
        <f>IFERROR(SUM(Y28:Y30),"0")</f>
        <v>112</v>
      </c>
      <c r="Z31" s="332">
        <f>IFERROR(IF(Z28="",0,Z28),"0")+IFERROR(IF(Z29="",0,Z29),"0")+IFERROR(IF(Z30="",0,Z30),"0")</f>
        <v>1.05392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168</v>
      </c>
      <c r="Y32" s="332">
        <f>IFERROR(SUMPRODUCT(Y28:Y30*H28:H30),"0")</f>
        <v>168</v>
      </c>
      <c r="Z32" s="37"/>
      <c r="AA32" s="333"/>
      <c r="AB32" s="333"/>
      <c r="AC32" s="333"/>
    </row>
    <row r="33" spans="1:68" ht="16.5" hidden="1" customHeight="1" x14ac:dyDescent="0.25">
      <c r="A33" s="349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1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85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12</v>
      </c>
      <c r="Y36" s="331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ht="27" hidden="1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1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12</v>
      </c>
      <c r="Y38" s="332">
        <f>IFERROR(SUM(Y35:Y37),"0")</f>
        <v>12</v>
      </c>
      <c r="Z38" s="332">
        <f>IFERROR(IF(Z35="",0,Z35),"0")+IFERROR(IF(Z36="",0,Z36),"0")+IFERROR(IF(Z37="",0,Z37),"0")</f>
        <v>0.186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67.199999999999989</v>
      </c>
      <c r="Y39" s="332">
        <f>IFERROR(SUMPRODUCT(Y35:Y37*H35:H37),"0")</f>
        <v>67.199999999999989</v>
      </c>
      <c r="Z39" s="37"/>
      <c r="AA39" s="333"/>
      <c r="AB39" s="333"/>
      <c r="AC39" s="333"/>
    </row>
    <row r="40" spans="1:68" ht="16.5" hidden="1" customHeight="1" x14ac:dyDescent="0.25">
      <c r="A40" s="349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24</v>
      </c>
      <c r="Y42" s="331">
        <f t="shared" ref="Y42:Y49" si="0">IFERROR(IF(X42="","",X42),"")</f>
        <v>24</v>
      </c>
      <c r="Z42" s="36">
        <f t="shared" ref="Z42:Z49" si="1">IFERROR(IF(X42="","",X42*0.0155),"")</f>
        <v>0.372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161.2704</v>
      </c>
      <c r="BN42" s="67">
        <f t="shared" ref="BN42:BN49" si="3">IFERROR(Y42*I42,"0")</f>
        <v>161.2704</v>
      </c>
      <c r="BO42" s="67">
        <f t="shared" ref="BO42:BO49" si="4">IFERROR(X42/J42,"0")</f>
        <v>0.2857142857142857</v>
      </c>
      <c r="BP42" s="67">
        <f t="shared" ref="BP42:BP49" si="5">IFERROR(Y42/J42,"0")</f>
        <v>0.2857142857142857</v>
      </c>
    </row>
    <row r="43" spans="1:68" ht="27" hidden="1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hidden="1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24</v>
      </c>
      <c r="Y46" s="331">
        <f t="shared" si="0"/>
        <v>24</v>
      </c>
      <c r="Z46" s="36">
        <f t="shared" si="1"/>
        <v>0.372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174.86399999999998</v>
      </c>
      <c r="BN46" s="67">
        <f t="shared" si="3"/>
        <v>174.86399999999998</v>
      </c>
      <c r="BO46" s="67">
        <f t="shared" si="4"/>
        <v>0.2857142857142857</v>
      </c>
      <c r="BP46" s="67">
        <f t="shared" si="5"/>
        <v>0.2857142857142857</v>
      </c>
    </row>
    <row r="47" spans="1:68" ht="27" hidden="1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48</v>
      </c>
      <c r="Y50" s="332">
        <f>IFERROR(SUM(Y42:Y49),"0")</f>
        <v>48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0.74399999999999999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321.60000000000002</v>
      </c>
      <c r="Y51" s="332">
        <f>IFERROR(SUMPRODUCT(Y42:Y49*H42:H49),"0")</f>
        <v>321.60000000000002</v>
      </c>
      <c r="Z51" s="37"/>
      <c r="AA51" s="333"/>
      <c r="AB51" s="333"/>
      <c r="AC51" s="333"/>
    </row>
    <row r="52" spans="1:68" ht="16.5" hidden="1" customHeight="1" x14ac:dyDescent="0.25">
      <c r="A52" s="349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3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49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50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6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6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25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hidden="1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84</v>
      </c>
      <c r="Y78" s="331">
        <f>IFERROR(IF(X78="","",X78),"")</f>
        <v>84</v>
      </c>
      <c r="Z78" s="36">
        <f>IFERROR(IF(X78="","",X78*0.00866),"")</f>
        <v>0.72743999999999998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84</v>
      </c>
      <c r="Y79" s="332">
        <f>IFERROR(SUM(Y77:Y78),"0")</f>
        <v>84</v>
      </c>
      <c r="Z79" s="332">
        <f>IFERROR(IF(Z77="",0,Z77),"0")+IFERROR(IF(Z78="",0,Z78),"0")</f>
        <v>0.72743999999999998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420</v>
      </c>
      <c r="Y80" s="332">
        <f>IFERROR(SUMPRODUCT(Y77:Y78*H77:H78),"0")</f>
        <v>420</v>
      </c>
      <c r="Z80" s="37"/>
      <c r="AA80" s="333"/>
      <c r="AB80" s="333"/>
      <c r="AC80" s="333"/>
    </row>
    <row r="81" spans="1:68" ht="16.5" hidden="1" customHeight="1" x14ac:dyDescent="0.25">
      <c r="A81" s="349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39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28</v>
      </c>
      <c r="Y83" s="331">
        <f>IFERROR(IF(X83="","",X83),"")</f>
        <v>28</v>
      </c>
      <c r="Z83" s="36">
        <f>IFERROR(IF(X83="","",X83*0.01788),"")</f>
        <v>0.50063999999999997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28</v>
      </c>
      <c r="Y84" s="332">
        <f>IFERROR(SUM(Y83:Y83),"0")</f>
        <v>28</v>
      </c>
      <c r="Z84" s="332">
        <f>IFERROR(IF(Z83="",0,Z83),"0")</f>
        <v>0.50063999999999997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100.8</v>
      </c>
      <c r="Y85" s="332">
        <f>IFERROR(SUMPRODUCT(Y83:Y83*H83:H83),"0")</f>
        <v>100.8</v>
      </c>
      <c r="Z85" s="37"/>
      <c r="AA85" s="333"/>
      <c r="AB85" s="333"/>
      <c r="AC85" s="333"/>
    </row>
    <row r="86" spans="1:68" ht="16.5" hidden="1" customHeight="1" x14ac:dyDescent="0.25">
      <c r="A86" s="349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hidden="1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48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45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98</v>
      </c>
      <c r="Y89" s="331">
        <f>IFERROR(IF(X89="","",X89),"")</f>
        <v>98</v>
      </c>
      <c r="Z89" s="36">
        <f>IFERROR(IF(X89="","",X89*0.01788),"")</f>
        <v>1.75224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421.75280000000004</v>
      </c>
      <c r="BN89" s="67">
        <f>IFERROR(Y89*I89,"0")</f>
        <v>421.75280000000004</v>
      </c>
      <c r="BO89" s="67">
        <f>IFERROR(X89/J89,"0")</f>
        <v>1.4</v>
      </c>
      <c r="BP89" s="67">
        <f>IFERROR(Y89/J89,"0")</f>
        <v>1.4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98</v>
      </c>
      <c r="Y90" s="332">
        <f>IFERROR(SUM(Y88:Y89),"0")</f>
        <v>98</v>
      </c>
      <c r="Z90" s="332">
        <f>IFERROR(IF(Z88="",0,Z88),"0")+IFERROR(IF(Z89="",0,Z89),"0")</f>
        <v>1.75224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352.8</v>
      </c>
      <c r="Y91" s="332">
        <f>IFERROR(SUMPRODUCT(Y88:Y89*H88:H89),"0")</f>
        <v>352.8</v>
      </c>
      <c r="Z91" s="37"/>
      <c r="AA91" s="333"/>
      <c r="AB91" s="333"/>
      <c r="AC91" s="333"/>
    </row>
    <row r="92" spans="1:68" ht="16.5" hidden="1" customHeight="1" x14ac:dyDescent="0.25">
      <c r="A92" s="349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hidden="1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7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28</v>
      </c>
      <c r="Y95" s="331">
        <f t="shared" si="6"/>
        <v>28</v>
      </c>
      <c r="Z95" s="36">
        <f t="shared" si="7"/>
        <v>0.50063999999999997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120.50080000000001</v>
      </c>
      <c r="BN95" s="67">
        <f t="shared" si="9"/>
        <v>120.50080000000001</v>
      </c>
      <c r="BO95" s="67">
        <f t="shared" si="10"/>
        <v>0.4</v>
      </c>
      <c r="BP95" s="67">
        <f t="shared" si="11"/>
        <v>0.4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68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98</v>
      </c>
      <c r="Y97" s="331">
        <f t="shared" si="6"/>
        <v>98</v>
      </c>
      <c r="Z97" s="36">
        <f t="shared" si="7"/>
        <v>1.75224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421.75280000000004</v>
      </c>
      <c r="BN97" s="67">
        <f t="shared" si="9"/>
        <v>421.75280000000004</v>
      </c>
      <c r="BO97" s="67">
        <f t="shared" si="10"/>
        <v>1.4</v>
      </c>
      <c r="BP97" s="67">
        <f t="shared" si="11"/>
        <v>1.4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510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14</v>
      </c>
      <c r="Y98" s="331">
        <f t="shared" si="6"/>
        <v>14</v>
      </c>
      <c r="Z98" s="36">
        <f t="shared" si="7"/>
        <v>0.25031999999999999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hidden="1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140</v>
      </c>
      <c r="Y100" s="332">
        <f>IFERROR(SUM(Y94:Y99),"0")</f>
        <v>140</v>
      </c>
      <c r="Z100" s="332">
        <f>IFERROR(IF(Z94="",0,Z94),"0")+IFERROR(IF(Z95="",0,Z95),"0")+IFERROR(IF(Z96="",0,Z96),"0")+IFERROR(IF(Z97="",0,Z97),"0")+IFERROR(IF(Z98="",0,Z98),"0")+IFERROR(IF(Z99="",0,Z99),"0")</f>
        <v>2.5032000000000001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507.36</v>
      </c>
      <c r="Y101" s="332">
        <f>IFERROR(SUMPRODUCT(Y94:Y99*H94:H99),"0")</f>
        <v>507.36</v>
      </c>
      <c r="Z101" s="37"/>
      <c r="AA101" s="333"/>
      <c r="AB101" s="333"/>
      <c r="AC101" s="333"/>
    </row>
    <row r="102" spans="1:68" ht="16.5" hidden="1" customHeight="1" x14ac:dyDescent="0.25">
      <c r="A102" s="349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hidden="1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483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12</v>
      </c>
      <c r="Y106" s="331">
        <f>IFERROR(IF(X106="","",X106),"")</f>
        <v>12</v>
      </c>
      <c r="Z106" s="36">
        <f>IFERROR(IF(X106="","",X106*0.0155),"")</f>
        <v>0.186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41.567999999999998</v>
      </c>
      <c r="BN106" s="67">
        <f>IFERROR(Y106*I106,"0")</f>
        <v>41.567999999999998</v>
      </c>
      <c r="BO106" s="67">
        <f>IFERROR(X106/J106,"0")</f>
        <v>0.14285714285714285</v>
      </c>
      <c r="BP106" s="67">
        <f>IFERROR(Y106/J106,"0")</f>
        <v>0.14285714285714285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12</v>
      </c>
      <c r="Y107" s="332">
        <f>IFERROR(SUM(Y104:Y106),"0")</f>
        <v>12</v>
      </c>
      <c r="Z107" s="332">
        <f>IFERROR(IF(Z104="",0,Z104),"0")+IFERROR(IF(Z105="",0,Z105),"0")+IFERROR(IF(Z106="",0,Z106),"0")</f>
        <v>0.186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36.96</v>
      </c>
      <c r="Y108" s="332">
        <f>IFERROR(SUMPRODUCT(Y104:Y106*H104:H106),"0")</f>
        <v>36.96</v>
      </c>
      <c r="Z108" s="37"/>
      <c r="AA108" s="333"/>
      <c r="AB108" s="333"/>
      <c r="AC108" s="333"/>
    </row>
    <row r="109" spans="1:68" ht="16.5" hidden="1" customHeight="1" x14ac:dyDescent="0.25">
      <c r="A109" s="349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hidden="1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13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hidden="1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36</v>
      </c>
      <c r="Y116" s="331">
        <f t="shared" si="12"/>
        <v>36</v>
      </c>
      <c r="Z116" s="36">
        <f t="shared" si="13"/>
        <v>0.55800000000000005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36</v>
      </c>
      <c r="Y117" s="332">
        <f>IFERROR(SUM(Y111:Y116),"0")</f>
        <v>36</v>
      </c>
      <c r="Z117" s="332">
        <f>IFERROR(IF(Z111="",0,Z111),"0")+IFERROR(IF(Z112="",0,Z112),"0")+IFERROR(IF(Z113="",0,Z113),"0")+IFERROR(IF(Z114="",0,Z114),"0")+IFERROR(IF(Z115="",0,Z115),"0")+IFERROR(IF(Z116="",0,Z116),"0")</f>
        <v>0.55800000000000005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252</v>
      </c>
      <c r="Y118" s="332">
        <f>IFERROR(SUMPRODUCT(Y111:Y116*H111:H116),"0")</f>
        <v>252</v>
      </c>
      <c r="Z118" s="37"/>
      <c r="AA118" s="333"/>
      <c r="AB118" s="333"/>
      <c r="AC118" s="333"/>
    </row>
    <row r="119" spans="1:68" ht="14.25" hidden="1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94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42</v>
      </c>
      <c r="Y125" s="331">
        <f>IFERROR(IF(X125="","",X125),"")</f>
        <v>42</v>
      </c>
      <c r="Z125" s="36">
        <f>IFERROR(IF(X125="","",X125*0.01788),"")</f>
        <v>0.75095999999999996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155.55119999999999</v>
      </c>
      <c r="BN125" s="67">
        <f>IFERROR(Y125*I125,"0")</f>
        <v>155.55119999999999</v>
      </c>
      <c r="BO125" s="67">
        <f>IFERROR(X125/J125,"0")</f>
        <v>0.6</v>
      </c>
      <c r="BP125" s="67">
        <f>IFERROR(Y125/J125,"0")</f>
        <v>0.6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84</v>
      </c>
      <c r="Y126" s="331">
        <f>IFERROR(IF(X126="","",X126),"")</f>
        <v>84</v>
      </c>
      <c r="Z126" s="36">
        <f>IFERROR(IF(X126="","",X126*0.01788),"")</f>
        <v>1.5019199999999999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311.10239999999999</v>
      </c>
      <c r="BN126" s="67">
        <f>IFERROR(Y126*I126,"0")</f>
        <v>311.10239999999999</v>
      </c>
      <c r="BO126" s="67">
        <f>IFERROR(X126/J126,"0")</f>
        <v>1.2</v>
      </c>
      <c r="BP126" s="67">
        <f>IFERROR(Y126/J126,"0")</f>
        <v>1.2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126</v>
      </c>
      <c r="Y127" s="332">
        <f>IFERROR(SUM(Y125:Y126),"0")</f>
        <v>126</v>
      </c>
      <c r="Z127" s="332">
        <f>IFERROR(IF(Z125="",0,Z125),"0")+IFERROR(IF(Z126="",0,Z126),"0")</f>
        <v>2.2528799999999998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378</v>
      </c>
      <c r="Y128" s="332">
        <f>IFERROR(SUMPRODUCT(Y125:Y126*H125:H126),"0")</f>
        <v>378</v>
      </c>
      <c r="Z128" s="37"/>
      <c r="AA128" s="333"/>
      <c r="AB128" s="333"/>
      <c r="AC128" s="333"/>
    </row>
    <row r="129" spans="1:68" ht="16.5" hidden="1" customHeight="1" x14ac:dyDescent="0.25">
      <c r="A129" s="349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14</v>
      </c>
      <c r="Y131" s="331">
        <f>IFERROR(IF(X131="","",X131),"")</f>
        <v>14</v>
      </c>
      <c r="Z131" s="36">
        <f>IFERROR(IF(X131="","",X131*0.01788),"")</f>
        <v>0.25031999999999999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52.472000000000001</v>
      </c>
      <c r="BN131" s="67">
        <f>IFERROR(Y131*I131,"0")</f>
        <v>52.472000000000001</v>
      </c>
      <c r="BO131" s="67">
        <f>IFERROR(X131/J131,"0")</f>
        <v>0.2</v>
      </c>
      <c r="BP131" s="67">
        <f>IFERROR(Y131/J131,"0")</f>
        <v>0.2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28</v>
      </c>
      <c r="Y132" s="331">
        <f>IFERROR(IF(X132="","",X132),"")</f>
        <v>28</v>
      </c>
      <c r="Z132" s="36">
        <f>IFERROR(IF(X132="","",X132*0.01788),"")</f>
        <v>0.50063999999999997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103.70079999999999</v>
      </c>
      <c r="BN132" s="67">
        <f>IFERROR(Y132*I132,"0")</f>
        <v>103.70079999999999</v>
      </c>
      <c r="BO132" s="67">
        <f>IFERROR(X132/J132,"0")</f>
        <v>0.4</v>
      </c>
      <c r="BP132" s="67">
        <f>IFERROR(Y132/J132,"0")</f>
        <v>0.4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42</v>
      </c>
      <c r="Y133" s="332">
        <f>IFERROR(SUM(Y131:Y132),"0")</f>
        <v>42</v>
      </c>
      <c r="Z133" s="332">
        <f>IFERROR(IF(Z131="",0,Z131),"0")+IFERROR(IF(Z132="",0,Z132),"0")</f>
        <v>0.75095999999999996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126</v>
      </c>
      <c r="Y134" s="332">
        <f>IFERROR(SUMPRODUCT(Y131:Y132*H131:H132),"0")</f>
        <v>126</v>
      </c>
      <c r="Z134" s="37"/>
      <c r="AA134" s="333"/>
      <c r="AB134" s="333"/>
      <c r="AC134" s="333"/>
    </row>
    <row r="135" spans="1:68" ht="16.5" hidden="1" customHeight="1" x14ac:dyDescent="0.25">
      <c r="A135" s="349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28</v>
      </c>
      <c r="Y137" s="331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91.839999999999989</v>
      </c>
      <c r="BN137" s="67">
        <f>IFERROR(Y137*I137,"0")</f>
        <v>91.839999999999989</v>
      </c>
      <c r="BO137" s="67">
        <f>IFERROR(X137/J137,"0")</f>
        <v>0.4</v>
      </c>
      <c r="BP137" s="67">
        <f>IFERROR(Y137/J137,"0")</f>
        <v>0.4</v>
      </c>
    </row>
    <row r="138" spans="1:68" ht="27" hidden="1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28</v>
      </c>
      <c r="Y139" s="332">
        <f>IFERROR(SUM(Y137:Y138),"0")</f>
        <v>28</v>
      </c>
      <c r="Z139" s="332">
        <f>IFERROR(IF(Z137="",0,Z137),"0")+IFERROR(IF(Z138="",0,Z138),"0")</f>
        <v>0.50063999999999997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84</v>
      </c>
      <c r="Y140" s="332">
        <f>IFERROR(SUMPRODUCT(Y137:Y138*H137:H138),"0")</f>
        <v>84</v>
      </c>
      <c r="Z140" s="37"/>
      <c r="AA140" s="333"/>
      <c r="AB140" s="333"/>
      <c r="AC140" s="333"/>
    </row>
    <row r="141" spans="1:68" ht="16.5" hidden="1" customHeight="1" x14ac:dyDescent="0.25">
      <c r="A141" s="349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hidden="1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3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hidden="1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hidden="1" customHeight="1" x14ac:dyDescent="0.25">
      <c r="A146" s="349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112</v>
      </c>
      <c r="Y159" s="331">
        <f>IFERROR(IF(X159="","",X159),"")</f>
        <v>112</v>
      </c>
      <c r="Z159" s="36">
        <f>IFERROR(IF(X159="","",X159*0.00941),"")</f>
        <v>1.05392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235.40159999999997</v>
      </c>
      <c r="BN159" s="67">
        <f>IFERROR(Y159*I159,"0")</f>
        <v>235.40159999999997</v>
      </c>
      <c r="BO159" s="67">
        <f>IFERROR(X159/J159,"0")</f>
        <v>0.8</v>
      </c>
      <c r="BP159" s="67">
        <f>IFERROR(Y159/J159,"0")</f>
        <v>0.8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112</v>
      </c>
      <c r="Y160" s="332">
        <f>IFERROR(SUM(Y159:Y159),"0")</f>
        <v>112</v>
      </c>
      <c r="Z160" s="332">
        <f>IFERROR(IF(Z159="",0,Z159),"0")</f>
        <v>1.05392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188.16</v>
      </c>
      <c r="Y161" s="332">
        <f>IFERROR(SUMPRODUCT(Y159:Y159*H159:H159),"0")</f>
        <v>188.16</v>
      </c>
      <c r="Z161" s="37"/>
      <c r="AA161" s="333"/>
      <c r="AB161" s="333"/>
      <c r="AC161" s="333"/>
    </row>
    <row r="162" spans="1:68" ht="27.75" hidden="1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7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8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6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hidden="1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36</v>
      </c>
      <c r="Y174" s="332">
        <f>IFERROR(SUM(Y170:Y173),"0")</f>
        <v>36</v>
      </c>
      <c r="Z174" s="332">
        <f>IFERROR(IF(Z170="",0,Z170),"0")+IFERROR(IF(Z171="",0,Z171),"0")+IFERROR(IF(Z172="",0,Z172),"0")+IFERROR(IF(Z173="",0,Z173),"0")</f>
        <v>0.31175999999999998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180</v>
      </c>
      <c r="Y175" s="332">
        <f>IFERROR(SUMPRODUCT(Y170:Y173*H170:H173),"0")</f>
        <v>180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14</v>
      </c>
      <c r="Y184" s="331">
        <f>IFERROR(IF(X184="","",X184),"")</f>
        <v>14</v>
      </c>
      <c r="Z184" s="36">
        <f>IFERROR(IF(X184="","",X184*0.01788),"")</f>
        <v>0.25031999999999999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47.432000000000002</v>
      </c>
      <c r="BN184" s="67">
        <f>IFERROR(Y184*I184,"0")</f>
        <v>47.432000000000002</v>
      </c>
      <c r="BO184" s="67">
        <f>IFERROR(X184/J184,"0")</f>
        <v>0.2</v>
      </c>
      <c r="BP184" s="67">
        <f>IFERROR(Y184/J184,"0")</f>
        <v>0.2</v>
      </c>
    </row>
    <row r="185" spans="1:68" ht="27" hidden="1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0</v>
      </c>
      <c r="Y185" s="331">
        <f>IFERROR(IF(X185="","",X185),"")</f>
        <v>0</v>
      </c>
      <c r="Z185" s="36">
        <f>IFERROR(IF(X185="","",X185*0.01788),"")</f>
        <v>0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42</v>
      </c>
      <c r="Y186" s="331">
        <f>IFERROR(IF(X186="","",X186),"")</f>
        <v>42</v>
      </c>
      <c r="Z186" s="36">
        <f>IFERROR(IF(X186="","",X186*0.01788),"")</f>
        <v>0.75095999999999996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156.91200000000001</v>
      </c>
      <c r="BN186" s="67">
        <f>IFERROR(Y186*I186,"0")</f>
        <v>156.91200000000001</v>
      </c>
      <c r="BO186" s="67">
        <f>IFERROR(X186/J186,"0")</f>
        <v>0.6</v>
      </c>
      <c r="BP186" s="67">
        <f>IFERROR(Y186/J186,"0")</f>
        <v>0.6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56</v>
      </c>
      <c r="Y187" s="332">
        <f>IFERROR(SUM(Y184:Y186),"0")</f>
        <v>56</v>
      </c>
      <c r="Z187" s="332">
        <f>IFERROR(IF(Z184="",0,Z184),"0")+IFERROR(IF(Z185="",0,Z185),"0")+IFERROR(IF(Z186="",0,Z186),"0")</f>
        <v>1.0012799999999999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168</v>
      </c>
      <c r="Y188" s="332">
        <f>IFERROR(SUMPRODUCT(Y184:Y186*H184:H186),"0")</f>
        <v>168</v>
      </c>
      <c r="Z188" s="37"/>
      <c r="AA188" s="333"/>
      <c r="AB188" s="333"/>
      <c r="AC188" s="333"/>
    </row>
    <row r="189" spans="1:68" ht="14.25" hidden="1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11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hidden="1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hidden="1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hidden="1" customHeight="1" x14ac:dyDescent="0.25">
      <c r="A202" s="349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60</v>
      </c>
      <c r="Y204" s="331">
        <f>IFERROR(IF(X204="","",X204),"")</f>
        <v>60</v>
      </c>
      <c r="Z204" s="36">
        <f>IFERROR(IF(X204="","",X204*0.0155),"")</f>
        <v>0.92999999999999994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352.2</v>
      </c>
      <c r="BN204" s="67">
        <f>IFERROR(Y204*I204,"0")</f>
        <v>352.2</v>
      </c>
      <c r="BO204" s="67">
        <f>IFERROR(X204/J204,"0")</f>
        <v>0.7142857142857143</v>
      </c>
      <c r="BP204" s="67">
        <f>IFERROR(Y204/J204,"0")</f>
        <v>0.7142857142857143</v>
      </c>
    </row>
    <row r="205" spans="1:68" ht="27" hidden="1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60</v>
      </c>
      <c r="Y207" s="332">
        <f>IFERROR(SUM(Y204:Y206),"0")</f>
        <v>60</v>
      </c>
      <c r="Z207" s="332">
        <f>IFERROR(IF(Z204="",0,Z204),"0")+IFERROR(IF(Z205="",0,Z205),"0")+IFERROR(IF(Z206="",0,Z206),"0")</f>
        <v>0.92999999999999994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336</v>
      </c>
      <c r="Y208" s="332">
        <f>IFERROR(SUMPRODUCT(Y204:Y206*H204:H206),"0")</f>
        <v>336</v>
      </c>
      <c r="Z208" s="37"/>
      <c r="AA208" s="333"/>
      <c r="AB208" s="333"/>
      <c r="AC208" s="333"/>
    </row>
    <row r="209" spans="1:68" ht="16.5" hidden="1" customHeight="1" x14ac:dyDescent="0.25">
      <c r="A209" s="349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12</v>
      </c>
      <c r="Y222" s="331">
        <f>IFERROR(IF(X222="","",X222),"")</f>
        <v>12</v>
      </c>
      <c r="Z222" s="36">
        <f>IFERROR(IF(X222="","",X222*0.0155),"")</f>
        <v>0.186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89.64</v>
      </c>
      <c r="BN222" s="67">
        <f>IFERROR(Y222*I222,"0")</f>
        <v>89.64</v>
      </c>
      <c r="BO222" s="67">
        <f>IFERROR(X222/J222,"0")</f>
        <v>0.14285714285714285</v>
      </c>
      <c r="BP222" s="67">
        <f>IFERROR(Y222/J222,"0")</f>
        <v>0.14285714285714285</v>
      </c>
    </row>
    <row r="223" spans="1:68" ht="27" hidden="1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12</v>
      </c>
      <c r="Y224" s="331">
        <f>IFERROR(IF(X224="","",X224),"")</f>
        <v>12</v>
      </c>
      <c r="Z224" s="36">
        <f>IFERROR(IF(X224="","",X224*0.0155),"")</f>
        <v>0.186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89.64</v>
      </c>
      <c r="BN224" s="67">
        <f>IFERROR(Y224*I224,"0")</f>
        <v>89.64</v>
      </c>
      <c r="BO224" s="67">
        <f>IFERROR(X224/J224,"0")</f>
        <v>0.14285714285714285</v>
      </c>
      <c r="BP224" s="67">
        <f>IFERROR(Y224/J224,"0")</f>
        <v>0.14285714285714285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24</v>
      </c>
      <c r="Y225" s="332">
        <f>IFERROR(SUM(Y221:Y224),"0")</f>
        <v>24</v>
      </c>
      <c r="Z225" s="332">
        <f>IFERROR(IF(Z221="",0,Z221),"0")+IFERROR(IF(Z222="",0,Z222),"0")+IFERROR(IF(Z223="",0,Z223),"0")+IFERROR(IF(Z224="",0,Z224),"0")</f>
        <v>0.372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172.8</v>
      </c>
      <c r="Y226" s="332">
        <f>IFERROR(SUMPRODUCT(Y221:Y224*H221:H224),"0")</f>
        <v>172.8</v>
      </c>
      <c r="Z226" s="37"/>
      <c r="AA226" s="333"/>
      <c r="AB226" s="333"/>
      <c r="AC226" s="333"/>
    </row>
    <row r="227" spans="1:68" ht="16.5" hidden="1" customHeight="1" x14ac:dyDescent="0.25">
      <c r="A227" s="349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4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70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80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4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hidden="1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hidden="1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hidden="1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6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74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08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2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90</v>
      </c>
      <c r="Y281" s="331">
        <f>IFERROR(IF(X281="","",X281),"")</f>
        <v>90</v>
      </c>
      <c r="Z281" s="36">
        <f>IFERROR(IF(X281="","",X281*0.00502),"")</f>
        <v>0.45180000000000003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172.35</v>
      </c>
      <c r="BN281" s="67">
        <f>IFERROR(Y281*I281,"0")</f>
        <v>172.35</v>
      </c>
      <c r="BO281" s="67">
        <f>IFERROR(X281/J281,"0")</f>
        <v>0.38461538461538464</v>
      </c>
      <c r="BP281" s="67">
        <f>IFERROR(Y281/J281,"0")</f>
        <v>0.38461538461538464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90</v>
      </c>
      <c r="Y282" s="332">
        <f>IFERROR(SUM(Y281:Y281),"0")</f>
        <v>90</v>
      </c>
      <c r="Z282" s="332">
        <f>IFERROR(IF(Z281="",0,Z281),"0")</f>
        <v>0.45180000000000003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162</v>
      </c>
      <c r="Y283" s="332">
        <f>IFERROR(SUMPRODUCT(Y281:Y281*H281:H281),"0")</f>
        <v>162</v>
      </c>
      <c r="Z283" s="37"/>
      <c r="AA283" s="333"/>
      <c r="AB283" s="333"/>
      <c r="AC283" s="333"/>
    </row>
    <row r="284" spans="1:68" ht="14.25" hidden="1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hidden="1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hidden="1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11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hidden="1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hidden="1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hidden="1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hidden="1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7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132</v>
      </c>
      <c r="Y291" s="331">
        <f>IFERROR(IF(X291="","",X291),"")</f>
        <v>132</v>
      </c>
      <c r="Z291" s="36">
        <f>IFERROR(IF(X291="","",X291*0.0155),"")</f>
        <v>2.0459999999999998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691.0200000000001</v>
      </c>
      <c r="BN291" s="67">
        <f>IFERROR(Y291*I291,"0")</f>
        <v>691.0200000000001</v>
      </c>
      <c r="BO291" s="67">
        <f>IFERROR(X291/J291,"0")</f>
        <v>1.5714285714285714</v>
      </c>
      <c r="BP291" s="67">
        <f>IFERROR(Y291/J291,"0")</f>
        <v>1.5714285714285714</v>
      </c>
    </row>
    <row r="292" spans="1:68" ht="27" hidden="1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132</v>
      </c>
      <c r="Y293" s="332">
        <f>IFERROR(SUM(Y290:Y292),"0")</f>
        <v>132</v>
      </c>
      <c r="Z293" s="332">
        <f>IFERROR(IF(Z290="",0,Z290),"0")+IFERROR(IF(Z291="",0,Z291),"0")+IFERROR(IF(Z292="",0,Z292),"0")</f>
        <v>2.0459999999999998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660</v>
      </c>
      <c r="Y294" s="332">
        <f>IFERROR(SUMPRODUCT(Y290:Y292*H290:H292),"0")</f>
        <v>660</v>
      </c>
      <c r="Z294" s="37"/>
      <c r="AA294" s="333"/>
      <c r="AB294" s="333"/>
      <c r="AC294" s="333"/>
    </row>
    <row r="295" spans="1:68" ht="14.25" hidden="1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63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4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28</v>
      </c>
      <c r="Y297" s="331">
        <f t="shared" si="24"/>
        <v>28</v>
      </c>
      <c r="Z297" s="36">
        <f>IFERROR(IF(X297="","",X297*0.00936),"")</f>
        <v>0.26207999999999998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108.976</v>
      </c>
      <c r="BN297" s="67">
        <f t="shared" si="26"/>
        <v>108.976</v>
      </c>
      <c r="BO297" s="67">
        <f t="shared" si="27"/>
        <v>0.22222222222222221</v>
      </c>
      <c r="BP297" s="67">
        <f t="shared" si="28"/>
        <v>0.22222222222222221</v>
      </c>
    </row>
    <row r="298" spans="1:68" ht="27" hidden="1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hidden="1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6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14</v>
      </c>
      <c r="Y301" s="331">
        <f t="shared" si="24"/>
        <v>14</v>
      </c>
      <c r="Z301" s="36">
        <f t="shared" si="29"/>
        <v>0.13103999999999999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44.688000000000002</v>
      </c>
      <c r="BN301" s="67">
        <f t="shared" si="26"/>
        <v>44.688000000000002</v>
      </c>
      <c r="BO301" s="67">
        <f t="shared" si="27"/>
        <v>0.1111111111111111</v>
      </c>
      <c r="BP301" s="67">
        <f t="shared" si="28"/>
        <v>0.1111111111111111</v>
      </c>
    </row>
    <row r="302" spans="1:68" ht="37.5" hidden="1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2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5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8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40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47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51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9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22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7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502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9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42</v>
      </c>
      <c r="Y317" s="332">
        <f>IFERROR(SUM(Y296:Y316),"0")</f>
        <v>42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0.39311999999999997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145.60000000000002</v>
      </c>
      <c r="Y318" s="332">
        <f>IFERROR(SUMPRODUCT(Y296:Y316*H296:H316),"0")</f>
        <v>145.60000000000002</v>
      </c>
      <c r="Z318" s="37"/>
      <c r="AA318" s="333"/>
      <c r="AB318" s="333"/>
      <c r="AC318" s="333"/>
    </row>
    <row r="319" spans="1:68" ht="16.5" hidden="1" customHeight="1" x14ac:dyDescent="0.25">
      <c r="A319" s="349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14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498</v>
      </c>
      <c r="Q324" s="356"/>
      <c r="R324" s="356"/>
      <c r="S324" s="356"/>
      <c r="T324" s="356"/>
      <c r="U324" s="356"/>
      <c r="V324" s="357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4827.2800000000007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4827.2800000000007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499</v>
      </c>
      <c r="Q325" s="356"/>
      <c r="R325" s="356"/>
      <c r="S325" s="356"/>
      <c r="T325" s="356"/>
      <c r="U325" s="356"/>
      <c r="V325" s="357"/>
      <c r="W325" s="37" t="s">
        <v>72</v>
      </c>
      <c r="X325" s="332">
        <f>IFERROR(SUM(BM22:BM321),"0")</f>
        <v>5401.4844000000012</v>
      </c>
      <c r="Y325" s="332">
        <f>IFERROR(SUM(BN22:BN321),"0")</f>
        <v>5401.4844000000012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500</v>
      </c>
      <c r="Q326" s="356"/>
      <c r="R326" s="356"/>
      <c r="S326" s="356"/>
      <c r="T326" s="356"/>
      <c r="U326" s="356"/>
      <c r="V326" s="357"/>
      <c r="W326" s="37" t="s">
        <v>501</v>
      </c>
      <c r="X326" s="38">
        <f>ROUNDUP(SUM(BO22:BO321),0)</f>
        <v>15</v>
      </c>
      <c r="Y326" s="38">
        <f>ROUNDUP(SUM(BP22:BP321),0)</f>
        <v>15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502</v>
      </c>
      <c r="Q327" s="356"/>
      <c r="R327" s="356"/>
      <c r="S327" s="356"/>
      <c r="T327" s="356"/>
      <c r="U327" s="356"/>
      <c r="V327" s="357"/>
      <c r="W327" s="37" t="s">
        <v>72</v>
      </c>
      <c r="X327" s="332">
        <f>GrossWeightTotal+PalletQtyTotal*25</f>
        <v>5776.4844000000012</v>
      </c>
      <c r="Y327" s="332">
        <f>GrossWeightTotalR+PalletQtyTotalR*25</f>
        <v>5776.4844000000012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503</v>
      </c>
      <c r="Q328" s="356"/>
      <c r="R328" s="356"/>
      <c r="S328" s="356"/>
      <c r="T328" s="356"/>
      <c r="U328" s="356"/>
      <c r="V328" s="357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1318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1318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504</v>
      </c>
      <c r="Q329" s="356"/>
      <c r="R329" s="356"/>
      <c r="S329" s="356"/>
      <c r="T329" s="356"/>
      <c r="U329" s="356"/>
      <c r="V329" s="357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18.275799999999997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68" t="s">
        <v>73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257</v>
      </c>
      <c r="V331" s="424"/>
      <c r="W331" s="327" t="s">
        <v>283</v>
      </c>
      <c r="X331" s="368" t="s">
        <v>302</v>
      </c>
      <c r="Y331" s="503"/>
      <c r="Z331" s="503"/>
      <c r="AA331" s="503"/>
      <c r="AB331" s="503"/>
      <c r="AC331" s="503"/>
      <c r="AD331" s="424"/>
      <c r="AE331" s="327" t="s">
        <v>376</v>
      </c>
      <c r="AF331" s="327" t="s">
        <v>381</v>
      </c>
      <c r="AG331" s="327" t="s">
        <v>388</v>
      </c>
      <c r="AH331" s="368" t="s">
        <v>258</v>
      </c>
      <c r="AI331" s="424"/>
    </row>
    <row r="332" spans="1:68" ht="14.25" customHeight="1" thickTop="1" x14ac:dyDescent="0.2">
      <c r="A332" s="402" t="s">
        <v>507</v>
      </c>
      <c r="B332" s="368" t="s">
        <v>61</v>
      </c>
      <c r="C332" s="368" t="s">
        <v>74</v>
      </c>
      <c r="D332" s="368" t="s">
        <v>88</v>
      </c>
      <c r="E332" s="368" t="s">
        <v>101</v>
      </c>
      <c r="F332" s="368" t="s">
        <v>120</v>
      </c>
      <c r="G332" s="368" t="s">
        <v>149</v>
      </c>
      <c r="H332" s="368" t="s">
        <v>156</v>
      </c>
      <c r="I332" s="368" t="s">
        <v>161</v>
      </c>
      <c r="J332" s="368" t="s">
        <v>171</v>
      </c>
      <c r="K332" s="368" t="s">
        <v>189</v>
      </c>
      <c r="L332" s="368" t="s">
        <v>199</v>
      </c>
      <c r="M332" s="368" t="s">
        <v>218</v>
      </c>
      <c r="N332" s="328"/>
      <c r="O332" s="368" t="s">
        <v>224</v>
      </c>
      <c r="P332" s="368" t="s">
        <v>231</v>
      </c>
      <c r="Q332" s="368" t="s">
        <v>237</v>
      </c>
      <c r="R332" s="368" t="s">
        <v>242</v>
      </c>
      <c r="S332" s="368" t="s">
        <v>245</v>
      </c>
      <c r="T332" s="368" t="s">
        <v>253</v>
      </c>
      <c r="U332" s="368" t="s">
        <v>258</v>
      </c>
      <c r="V332" s="368" t="s">
        <v>262</v>
      </c>
      <c r="W332" s="368" t="s">
        <v>284</v>
      </c>
      <c r="X332" s="368" t="s">
        <v>303</v>
      </c>
      <c r="Y332" s="368" t="s">
        <v>315</v>
      </c>
      <c r="Z332" s="368" t="s">
        <v>325</v>
      </c>
      <c r="AA332" s="368" t="s">
        <v>340</v>
      </c>
      <c r="AB332" s="368" t="s">
        <v>351</v>
      </c>
      <c r="AC332" s="368" t="s">
        <v>366</v>
      </c>
      <c r="AD332" s="368" t="s">
        <v>370</v>
      </c>
      <c r="AE332" s="368" t="s">
        <v>377</v>
      </c>
      <c r="AF332" s="368" t="s">
        <v>382</v>
      </c>
      <c r="AG332" s="368" t="s">
        <v>389</v>
      </c>
      <c r="AH332" s="368" t="s">
        <v>258</v>
      </c>
      <c r="AI332" s="368" t="s">
        <v>493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168</v>
      </c>
      <c r="D334" s="46">
        <f>IFERROR(X35*H35,"0")+IFERROR(X36*H36,"0")+IFERROR(X37*H37,"0")</f>
        <v>67.199999999999989</v>
      </c>
      <c r="E334" s="46">
        <f>IFERROR(X42*H42,"0")+IFERROR(X43*H43,"0")+IFERROR(X44*H44,"0")+IFERROR(X45*H45,"0")+IFERROR(X46*H46,"0")+IFERROR(X47*H47,"0")+IFERROR(X48*H48,"0")+IFERROR(X49*H49,"0")</f>
        <v>321.60000000000002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420</v>
      </c>
      <c r="H334" s="46">
        <f>IFERROR(X83*H83,"0")</f>
        <v>100.8</v>
      </c>
      <c r="I334" s="46">
        <f>IFERROR(X88*H88,"0")+IFERROR(X89*H89,"0")</f>
        <v>352.8</v>
      </c>
      <c r="J334" s="46">
        <f>IFERROR(X94*H94,"0")+IFERROR(X95*H95,"0")+IFERROR(X96*H96,"0")+IFERROR(X97*H97,"0")+IFERROR(X98*H98,"0")+IFERROR(X99*H99,"0")</f>
        <v>507.36</v>
      </c>
      <c r="K334" s="46">
        <f>IFERROR(X104*H104,"0")+IFERROR(X105*H105,"0")+IFERROR(X106*H106,"0")</f>
        <v>36.96</v>
      </c>
      <c r="L334" s="46">
        <f>IFERROR(X111*H111,"0")+IFERROR(X112*H112,"0")+IFERROR(X113*H113,"0")+IFERROR(X114*H114,"0")+IFERROR(X115*H115,"0")+IFERROR(X116*H116,"0")+IFERROR(X120*H120,"0")</f>
        <v>252</v>
      </c>
      <c r="M334" s="46">
        <f>IFERROR(X125*H125,"0")+IFERROR(X126*H126,"0")</f>
        <v>378</v>
      </c>
      <c r="N334" s="328"/>
      <c r="O334" s="46">
        <f>IFERROR(X131*H131,"0")+IFERROR(X132*H132,"0")</f>
        <v>126</v>
      </c>
      <c r="P334" s="46">
        <f>IFERROR(X137*H137,"0")+IFERROR(X138*H138,"0")</f>
        <v>84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188.16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180</v>
      </c>
      <c r="W334" s="46">
        <f>IFERROR(X184*H184,"0")+IFERROR(X185*H185,"0")+IFERROR(X186*H186,"0")+IFERROR(X190*H190,"0")</f>
        <v>168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336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172.8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967.6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1749.6000000000001</v>
      </c>
      <c r="B337" s="60">
        <f>SUMPRODUCT(--(BB:BB="ПГП"),--(W:W="кор"),H:H,Y:Y)+SUMPRODUCT(--(BB:BB="ПГП"),--(W:W="кг"),Y:Y)</f>
        <v>3077.68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18,00"/>
        <filter val="100,80"/>
        <filter val="112,00"/>
        <filter val="12,00"/>
        <filter val="126,00"/>
        <filter val="132,00"/>
        <filter val="14,00"/>
        <filter val="140,00"/>
        <filter val="145,60"/>
        <filter val="15"/>
        <filter val="162,00"/>
        <filter val="168,00"/>
        <filter val="172,80"/>
        <filter val="180,00"/>
        <filter val="188,16"/>
        <filter val="24,00"/>
        <filter val="252,00"/>
        <filter val="28,00"/>
        <filter val="321,60"/>
        <filter val="336,00"/>
        <filter val="352,80"/>
        <filter val="36,00"/>
        <filter val="36,96"/>
        <filter val="378,00"/>
        <filter val="4 827,28"/>
        <filter val="42,00"/>
        <filter val="420,00"/>
        <filter val="48,00"/>
        <filter val="5 401,48"/>
        <filter val="5 776,48"/>
        <filter val="507,36"/>
        <filter val="56,00"/>
        <filter val="60,00"/>
        <filter val="660,00"/>
        <filter val="67,20"/>
        <filter val="84,00"/>
        <filter val="90,00"/>
        <filter val="98,0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