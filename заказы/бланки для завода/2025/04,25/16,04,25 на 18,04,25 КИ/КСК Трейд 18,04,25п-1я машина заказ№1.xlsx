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F9B7BCB-C2B0-4CB6-A421-FFDF7342666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P458" i="1" s="1"/>
  <c r="BO457" i="1"/>
  <c r="BM457" i="1"/>
  <c r="Y457" i="1"/>
  <c r="BP457" i="1" s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BP452" i="1" s="1"/>
  <c r="P452" i="1"/>
  <c r="BP451" i="1"/>
  <c r="BO451" i="1"/>
  <c r="BN451" i="1"/>
  <c r="BM451" i="1"/>
  <c r="Z451" i="1"/>
  <c r="Y451" i="1"/>
  <c r="P451" i="1"/>
  <c r="X448" i="1"/>
  <c r="X447" i="1"/>
  <c r="BO446" i="1"/>
  <c r="BM446" i="1"/>
  <c r="Y446" i="1"/>
  <c r="P446" i="1"/>
  <c r="BO445" i="1"/>
  <c r="BM445" i="1"/>
  <c r="Y445" i="1"/>
  <c r="Y448" i="1" s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BP439" i="1" s="1"/>
  <c r="BO438" i="1"/>
  <c r="BM438" i="1"/>
  <c r="Y438" i="1"/>
  <c r="BP438" i="1" s="1"/>
  <c r="P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BO434" i="1"/>
  <c r="BM434" i="1"/>
  <c r="Y434" i="1"/>
  <c r="P434" i="1"/>
  <c r="BO433" i="1"/>
  <c r="BM433" i="1"/>
  <c r="Y433" i="1"/>
  <c r="BP433" i="1" s="1"/>
  <c r="BO432" i="1"/>
  <c r="BM432" i="1"/>
  <c r="Y432" i="1"/>
  <c r="BP432" i="1" s="1"/>
  <c r="BO431" i="1"/>
  <c r="BM431" i="1"/>
  <c r="Y431" i="1"/>
  <c r="BP431" i="1" s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BP420" i="1" s="1"/>
  <c r="P420" i="1"/>
  <c r="BO419" i="1"/>
  <c r="BM419" i="1"/>
  <c r="Y419" i="1"/>
  <c r="P419" i="1"/>
  <c r="BO418" i="1"/>
  <c r="BM418" i="1"/>
  <c r="Y418" i="1"/>
  <c r="BP418" i="1" s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P416" i="1"/>
  <c r="X414" i="1"/>
  <c r="X413" i="1"/>
  <c r="BO412" i="1"/>
  <c r="BM412" i="1"/>
  <c r="Y412" i="1"/>
  <c r="P412" i="1"/>
  <c r="BO411" i="1"/>
  <c r="BM411" i="1"/>
  <c r="Y411" i="1"/>
  <c r="Y414" i="1" s="1"/>
  <c r="P411" i="1"/>
  <c r="X409" i="1"/>
  <c r="X408" i="1"/>
  <c r="BO407" i="1"/>
  <c r="BM407" i="1"/>
  <c r="Y407" i="1"/>
  <c r="BP407" i="1" s="1"/>
  <c r="P407" i="1"/>
  <c r="BO406" i="1"/>
  <c r="BM406" i="1"/>
  <c r="Y406" i="1"/>
  <c r="P406" i="1"/>
  <c r="BO405" i="1"/>
  <c r="BM405" i="1"/>
  <c r="Y405" i="1"/>
  <c r="BP405" i="1" s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Y399" i="1" s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BP381" i="1" s="1"/>
  <c r="P381" i="1"/>
  <c r="BO380" i="1"/>
  <c r="BM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P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BP369" i="1" s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BP358" i="1" s="1"/>
  <c r="P358" i="1"/>
  <c r="BO357" i="1"/>
  <c r="BM357" i="1"/>
  <c r="Y357" i="1"/>
  <c r="P357" i="1"/>
  <c r="BO356" i="1"/>
  <c r="BM356" i="1"/>
  <c r="Y356" i="1"/>
  <c r="Y359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3" i="1" s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BP309" i="1" s="1"/>
  <c r="P309" i="1"/>
  <c r="BO308" i="1"/>
  <c r="BM308" i="1"/>
  <c r="Y308" i="1"/>
  <c r="Y311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X243" i="1"/>
  <c r="BO242" i="1"/>
  <c r="BM242" i="1"/>
  <c r="Y242" i="1"/>
  <c r="P242" i="1"/>
  <c r="BO241" i="1"/>
  <c r="BM241" i="1"/>
  <c r="Y241" i="1"/>
  <c r="Y243" i="1" s="1"/>
  <c r="X239" i="1"/>
  <c r="X238" i="1"/>
  <c r="BO237" i="1"/>
  <c r="BM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O159" i="1"/>
  <c r="BM159" i="1"/>
  <c r="Y159" i="1"/>
  <c r="P159" i="1"/>
  <c r="BO158" i="1"/>
  <c r="BM158" i="1"/>
  <c r="Y158" i="1"/>
  <c r="P158" i="1"/>
  <c r="BP157" i="1"/>
  <c r="BO157" i="1"/>
  <c r="BN157" i="1"/>
  <c r="BM157" i="1"/>
  <c r="Z157" i="1"/>
  <c r="Y157" i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O148" i="1"/>
  <c r="BM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P138" i="1"/>
  <c r="BO137" i="1"/>
  <c r="BM137" i="1"/>
  <c r="Y137" i="1"/>
  <c r="G601" i="1" s="1"/>
  <c r="P137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P131" i="1"/>
  <c r="X129" i="1"/>
  <c r="X128" i="1"/>
  <c r="BO127" i="1"/>
  <c r="BM127" i="1"/>
  <c r="Y127" i="1"/>
  <c r="P127" i="1"/>
  <c r="BO126" i="1"/>
  <c r="BM126" i="1"/>
  <c r="Y126" i="1"/>
  <c r="BP126" i="1" s="1"/>
  <c r="P126" i="1"/>
  <c r="BO125" i="1"/>
  <c r="BM125" i="1"/>
  <c r="Y125" i="1"/>
  <c r="BO124" i="1"/>
  <c r="BM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P121" i="1"/>
  <c r="BO120" i="1"/>
  <c r="BM120" i="1"/>
  <c r="Y120" i="1"/>
  <c r="BP120" i="1" s="1"/>
  <c r="BO119" i="1"/>
  <c r="BM119" i="1"/>
  <c r="Y119" i="1"/>
  <c r="Y128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O101" i="1"/>
  <c r="BM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Y83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BP58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P124" i="1" l="1"/>
  <c r="BN124" i="1"/>
  <c r="Z124" i="1"/>
  <c r="BP142" i="1"/>
  <c r="BN142" i="1"/>
  <c r="Z142" i="1"/>
  <c r="BP182" i="1"/>
  <c r="BN182" i="1"/>
  <c r="Z182" i="1"/>
  <c r="BP206" i="1"/>
  <c r="BN206" i="1"/>
  <c r="Z206" i="1"/>
  <c r="BP231" i="1"/>
  <c r="BN231" i="1"/>
  <c r="Z231" i="1"/>
  <c r="T601" i="1"/>
  <c r="Y315" i="1"/>
  <c r="BP314" i="1"/>
  <c r="BN314" i="1"/>
  <c r="Z314" i="1"/>
  <c r="Z315" i="1" s="1"/>
  <c r="BP319" i="1"/>
  <c r="BN319" i="1"/>
  <c r="Z319" i="1"/>
  <c r="BP343" i="1"/>
  <c r="BN343" i="1"/>
  <c r="Z343" i="1"/>
  <c r="BP382" i="1"/>
  <c r="BN382" i="1"/>
  <c r="Z382" i="1"/>
  <c r="BP437" i="1"/>
  <c r="BN437" i="1"/>
  <c r="Z437" i="1"/>
  <c r="Y503" i="1"/>
  <c r="Y502" i="1"/>
  <c r="BP498" i="1"/>
  <c r="BN498" i="1"/>
  <c r="Z498" i="1"/>
  <c r="BP500" i="1"/>
  <c r="BN500" i="1"/>
  <c r="Z500" i="1"/>
  <c r="BP514" i="1"/>
  <c r="BN514" i="1"/>
  <c r="Z514" i="1"/>
  <c r="B601" i="1"/>
  <c r="X593" i="1"/>
  <c r="Z39" i="1"/>
  <c r="BN39" i="1"/>
  <c r="D601" i="1"/>
  <c r="Z58" i="1"/>
  <c r="BN58" i="1"/>
  <c r="Y63" i="1"/>
  <c r="Z74" i="1"/>
  <c r="BN74" i="1"/>
  <c r="Z89" i="1"/>
  <c r="BN89" i="1"/>
  <c r="Z106" i="1"/>
  <c r="BN106" i="1"/>
  <c r="Y111" i="1"/>
  <c r="BP121" i="1"/>
  <c r="BN121" i="1"/>
  <c r="Z121" i="1"/>
  <c r="BP125" i="1"/>
  <c r="BN125" i="1"/>
  <c r="Z125" i="1"/>
  <c r="BP175" i="1"/>
  <c r="BN175" i="1"/>
  <c r="Z175" i="1"/>
  <c r="BP192" i="1"/>
  <c r="BN192" i="1"/>
  <c r="Z192" i="1"/>
  <c r="BP216" i="1"/>
  <c r="BN216" i="1"/>
  <c r="Z216" i="1"/>
  <c r="BP259" i="1"/>
  <c r="BN259" i="1"/>
  <c r="Z259" i="1"/>
  <c r="BP331" i="1"/>
  <c r="BN331" i="1"/>
  <c r="Z331" i="1"/>
  <c r="BP368" i="1"/>
  <c r="BN368" i="1"/>
  <c r="Z368" i="1"/>
  <c r="BP406" i="1"/>
  <c r="BN406" i="1"/>
  <c r="Z406" i="1"/>
  <c r="BP440" i="1"/>
  <c r="BN440" i="1"/>
  <c r="Z440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Y145" i="1"/>
  <c r="W601" i="1"/>
  <c r="Y103" i="1"/>
  <c r="BP93" i="1"/>
  <c r="BN93" i="1"/>
  <c r="Z93" i="1"/>
  <c r="BP108" i="1"/>
  <c r="BN108" i="1"/>
  <c r="Z108" i="1"/>
  <c r="BP138" i="1"/>
  <c r="BN138" i="1"/>
  <c r="Z138" i="1"/>
  <c r="BP159" i="1"/>
  <c r="BN159" i="1"/>
  <c r="Z159" i="1"/>
  <c r="BP180" i="1"/>
  <c r="BN180" i="1"/>
  <c r="Z180" i="1"/>
  <c r="BP204" i="1"/>
  <c r="BN204" i="1"/>
  <c r="Z204" i="1"/>
  <c r="BP214" i="1"/>
  <c r="BN214" i="1"/>
  <c r="Z214" i="1"/>
  <c r="Y226" i="1"/>
  <c r="BP224" i="1"/>
  <c r="BN224" i="1"/>
  <c r="Z224" i="1"/>
  <c r="BP237" i="1"/>
  <c r="BN237" i="1"/>
  <c r="Z237" i="1"/>
  <c r="BP257" i="1"/>
  <c r="BN257" i="1"/>
  <c r="Z257" i="1"/>
  <c r="BP280" i="1"/>
  <c r="BN280" i="1"/>
  <c r="Z280" i="1"/>
  <c r="X592" i="1"/>
  <c r="X594" i="1" s="1"/>
  <c r="Z23" i="1"/>
  <c r="BN23" i="1"/>
  <c r="Z24" i="1"/>
  <c r="BN24" i="1"/>
  <c r="Z25" i="1"/>
  <c r="BN25" i="1"/>
  <c r="Z31" i="1"/>
  <c r="Z32" i="1" s="1"/>
  <c r="BN31" i="1"/>
  <c r="BP31" i="1"/>
  <c r="Y32" i="1"/>
  <c r="Z37" i="1"/>
  <c r="BN37" i="1"/>
  <c r="Y42" i="1"/>
  <c r="Z50" i="1"/>
  <c r="BN50" i="1"/>
  <c r="Z54" i="1"/>
  <c r="BN54" i="1"/>
  <c r="Y62" i="1"/>
  <c r="Z60" i="1"/>
  <c r="BN60" i="1"/>
  <c r="Y69" i="1"/>
  <c r="Z72" i="1"/>
  <c r="BN72" i="1"/>
  <c r="Z76" i="1"/>
  <c r="BN76" i="1"/>
  <c r="Y84" i="1"/>
  <c r="Z82" i="1"/>
  <c r="BN82" i="1"/>
  <c r="BP87" i="1"/>
  <c r="BN87" i="1"/>
  <c r="Z87" i="1"/>
  <c r="BP101" i="1"/>
  <c r="BN101" i="1"/>
  <c r="Z101" i="1"/>
  <c r="BP127" i="1"/>
  <c r="BN127" i="1"/>
  <c r="Z127" i="1"/>
  <c r="BP148" i="1"/>
  <c r="BN148" i="1"/>
  <c r="Z148" i="1"/>
  <c r="BP177" i="1"/>
  <c r="BN177" i="1"/>
  <c r="Z177" i="1"/>
  <c r="Y198" i="1"/>
  <c r="BP196" i="1"/>
  <c r="BN196" i="1"/>
  <c r="Z196" i="1"/>
  <c r="BP208" i="1"/>
  <c r="BN208" i="1"/>
  <c r="Z208" i="1"/>
  <c r="BP218" i="1"/>
  <c r="BN218" i="1"/>
  <c r="Z218" i="1"/>
  <c r="BP233" i="1"/>
  <c r="BN233" i="1"/>
  <c r="Z233" i="1"/>
  <c r="BP242" i="1"/>
  <c r="BN242" i="1"/>
  <c r="Z242" i="1"/>
  <c r="BP271" i="1"/>
  <c r="BN271" i="1"/>
  <c r="Z271" i="1"/>
  <c r="BP321" i="1"/>
  <c r="BN321" i="1"/>
  <c r="Z321" i="1"/>
  <c r="Y341" i="1"/>
  <c r="BP335" i="1"/>
  <c r="BN335" i="1"/>
  <c r="Z335" i="1"/>
  <c r="BP345" i="1"/>
  <c r="BN345" i="1"/>
  <c r="Z345" i="1"/>
  <c r="BP376" i="1"/>
  <c r="BN376" i="1"/>
  <c r="Z376" i="1"/>
  <c r="BP384" i="1"/>
  <c r="BN384" i="1"/>
  <c r="Z384" i="1"/>
  <c r="BP412" i="1"/>
  <c r="BN412" i="1"/>
  <c r="Z412" i="1"/>
  <c r="Y426" i="1"/>
  <c r="Y425" i="1"/>
  <c r="BP424" i="1"/>
  <c r="BN424" i="1"/>
  <c r="Z424" i="1"/>
  <c r="Z425" i="1" s="1"/>
  <c r="BP434" i="1"/>
  <c r="BN434" i="1"/>
  <c r="Z434" i="1"/>
  <c r="BP446" i="1"/>
  <c r="BN446" i="1"/>
  <c r="Z446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90" i="1"/>
  <c r="Y102" i="1"/>
  <c r="Y117" i="1"/>
  <c r="Y133" i="1"/>
  <c r="Y144" i="1"/>
  <c r="Y161" i="1"/>
  <c r="J601" i="1"/>
  <c r="Y199" i="1"/>
  <c r="Y209" i="1"/>
  <c r="Y221" i="1"/>
  <c r="Y227" i="1"/>
  <c r="K601" i="1"/>
  <c r="P601" i="1"/>
  <c r="BP329" i="1"/>
  <c r="BN329" i="1"/>
  <c r="Z329" i="1"/>
  <c r="BP339" i="1"/>
  <c r="BN339" i="1"/>
  <c r="Z339" i="1"/>
  <c r="BP357" i="1"/>
  <c r="BN357" i="1"/>
  <c r="Z357" i="1"/>
  <c r="BP380" i="1"/>
  <c r="BN380" i="1"/>
  <c r="Z380" i="1"/>
  <c r="X601" i="1"/>
  <c r="BP404" i="1"/>
  <c r="BN404" i="1"/>
  <c r="Z404" i="1"/>
  <c r="BP419" i="1"/>
  <c r="BN419" i="1"/>
  <c r="Z419" i="1"/>
  <c r="BP435" i="1"/>
  <c r="BN435" i="1"/>
  <c r="Z435" i="1"/>
  <c r="AA601" i="1"/>
  <c r="Y466" i="1"/>
  <c r="BP464" i="1"/>
  <c r="BN464" i="1"/>
  <c r="Z464" i="1"/>
  <c r="Z466" i="1" s="1"/>
  <c r="BP484" i="1"/>
  <c r="BN484" i="1"/>
  <c r="Z484" i="1"/>
  <c r="BP494" i="1"/>
  <c r="BN494" i="1"/>
  <c r="Z494" i="1"/>
  <c r="Y347" i="1"/>
  <c r="V601" i="1"/>
  <c r="Y370" i="1"/>
  <c r="Y390" i="1"/>
  <c r="Y421" i="1"/>
  <c r="Y601" i="1"/>
  <c r="Y453" i="1"/>
  <c r="Y461" i="1"/>
  <c r="F9" i="1"/>
  <c r="J9" i="1"/>
  <c r="F10" i="1"/>
  <c r="Z22" i="1"/>
  <c r="BN22" i="1"/>
  <c r="BP22" i="1"/>
  <c r="Z26" i="1"/>
  <c r="BN26" i="1"/>
  <c r="X595" i="1"/>
  <c r="Y29" i="1"/>
  <c r="C601" i="1"/>
  <c r="Z38" i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1" i="1"/>
  <c r="Z88" i="1"/>
  <c r="Z90" i="1" s="1"/>
  <c r="BN88" i="1"/>
  <c r="BP88" i="1"/>
  <c r="Y91" i="1"/>
  <c r="Z94" i="1"/>
  <c r="Z102" i="1" s="1"/>
  <c r="BN94" i="1"/>
  <c r="BP94" i="1"/>
  <c r="Z95" i="1"/>
  <c r="BN95" i="1"/>
  <c r="Z96" i="1"/>
  <c r="BN96" i="1"/>
  <c r="Z97" i="1"/>
  <c r="BN97" i="1"/>
  <c r="Z98" i="1"/>
  <c r="BN98" i="1"/>
  <c r="Z100" i="1"/>
  <c r="BN100" i="1"/>
  <c r="F601" i="1"/>
  <c r="Z107" i="1"/>
  <c r="Z110" i="1" s="1"/>
  <c r="BN107" i="1"/>
  <c r="BP107" i="1"/>
  <c r="Z109" i="1"/>
  <c r="BN109" i="1"/>
  <c r="Y110" i="1"/>
  <c r="Z113" i="1"/>
  <c r="Z116" i="1" s="1"/>
  <c r="BN113" i="1"/>
  <c r="BP113" i="1"/>
  <c r="Z115" i="1"/>
  <c r="BN115" i="1"/>
  <c r="Y116" i="1"/>
  <c r="Z119" i="1"/>
  <c r="Z128" i="1" s="1"/>
  <c r="BN119" i="1"/>
  <c r="BP119" i="1"/>
  <c r="Z120" i="1"/>
  <c r="BN120" i="1"/>
  <c r="Z122" i="1"/>
  <c r="BN122" i="1"/>
  <c r="Z123" i="1"/>
  <c r="BN123" i="1"/>
  <c r="Z126" i="1"/>
  <c r="BN126" i="1"/>
  <c r="Y129" i="1"/>
  <c r="Z132" i="1"/>
  <c r="Z133" i="1" s="1"/>
  <c r="BN132" i="1"/>
  <c r="BP132" i="1"/>
  <c r="Z137" i="1"/>
  <c r="BN137" i="1"/>
  <c r="BP137" i="1"/>
  <c r="Y140" i="1"/>
  <c r="Z143" i="1"/>
  <c r="BN143" i="1"/>
  <c r="BP143" i="1"/>
  <c r="Z147" i="1"/>
  <c r="Z149" i="1" s="1"/>
  <c r="BN147" i="1"/>
  <c r="BP147" i="1"/>
  <c r="Y150" i="1"/>
  <c r="H601" i="1"/>
  <c r="Y155" i="1"/>
  <c r="BP158" i="1"/>
  <c r="BN158" i="1"/>
  <c r="Z158" i="1"/>
  <c r="BP176" i="1"/>
  <c r="BN176" i="1"/>
  <c r="Z176" i="1"/>
  <c r="H9" i="1"/>
  <c r="Y28" i="1"/>
  <c r="Y55" i="1"/>
  <c r="Y139" i="1"/>
  <c r="BP160" i="1"/>
  <c r="BN160" i="1"/>
  <c r="Z160" i="1"/>
  <c r="Y162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3" i="1"/>
  <c r="Y184" i="1"/>
  <c r="BP174" i="1"/>
  <c r="BN174" i="1"/>
  <c r="Z174" i="1"/>
  <c r="Z226" i="1"/>
  <c r="Z178" i="1"/>
  <c r="BN178" i="1"/>
  <c r="Z179" i="1"/>
  <c r="BN179" i="1"/>
  <c r="Z181" i="1"/>
  <c r="BN181" i="1"/>
  <c r="Z186" i="1"/>
  <c r="Z187" i="1" s="1"/>
  <c r="BN186" i="1"/>
  <c r="BP186" i="1"/>
  <c r="Y187" i="1"/>
  <c r="Z191" i="1"/>
  <c r="BN191" i="1"/>
  <c r="BP191" i="1"/>
  <c r="Y194" i="1"/>
  <c r="Z197" i="1"/>
  <c r="Z198" i="1" s="1"/>
  <c r="BN197" i="1"/>
  <c r="BP197" i="1"/>
  <c r="Z201" i="1"/>
  <c r="Z209" i="1" s="1"/>
  <c r="BN201" i="1"/>
  <c r="BP201" i="1"/>
  <c r="Z203" i="1"/>
  <c r="BN203" i="1"/>
  <c r="Z205" i="1"/>
  <c r="BN205" i="1"/>
  <c r="Z207" i="1"/>
  <c r="BN207" i="1"/>
  <c r="Y210" i="1"/>
  <c r="Z213" i="1"/>
  <c r="BN213" i="1"/>
  <c r="Z215" i="1"/>
  <c r="BN215" i="1"/>
  <c r="Z217" i="1"/>
  <c r="BN217" i="1"/>
  <c r="Z219" i="1"/>
  <c r="BN219" i="1"/>
  <c r="Y222" i="1"/>
  <c r="Z225" i="1"/>
  <c r="BN225" i="1"/>
  <c r="BP225" i="1"/>
  <c r="Z230" i="1"/>
  <c r="Z238" i="1" s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1" i="1"/>
  <c r="Z256" i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Z273" i="1" s="1"/>
  <c r="BN270" i="1"/>
  <c r="BP270" i="1"/>
  <c r="Z272" i="1"/>
  <c r="BN272" i="1"/>
  <c r="Y273" i="1"/>
  <c r="Z277" i="1"/>
  <c r="Z282" i="1" s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Y305" i="1"/>
  <c r="Z308" i="1"/>
  <c r="BN308" i="1"/>
  <c r="BP308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Y346" i="1"/>
  <c r="Y193" i="1"/>
  <c r="Y238" i="1"/>
  <c r="Y262" i="1"/>
  <c r="Y267" i="1"/>
  <c r="Y274" i="1"/>
  <c r="Y283" i="1"/>
  <c r="Y288" i="1"/>
  <c r="Y301" i="1"/>
  <c r="Y306" i="1"/>
  <c r="Z309" i="1"/>
  <c r="BN309" i="1"/>
  <c r="Y310" i="1"/>
  <c r="BP322" i="1"/>
  <c r="BN322" i="1"/>
  <c r="Z322" i="1"/>
  <c r="BP330" i="1"/>
  <c r="BN330" i="1"/>
  <c r="Z330" i="1"/>
  <c r="BP338" i="1"/>
  <c r="BN338" i="1"/>
  <c r="Z338" i="1"/>
  <c r="Y354" i="1"/>
  <c r="Y360" i="1"/>
  <c r="Y365" i="1"/>
  <c r="Y371" i="1"/>
  <c r="Y385" i="1"/>
  <c r="Y391" i="1"/>
  <c r="Y400" i="1"/>
  <c r="Y409" i="1"/>
  <c r="Y413" i="1"/>
  <c r="Y422" i="1"/>
  <c r="Y443" i="1"/>
  <c r="Y447" i="1"/>
  <c r="Y454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2" i="1"/>
  <c r="BN512" i="1"/>
  <c r="Z512" i="1"/>
  <c r="BP516" i="1"/>
  <c r="BN516" i="1"/>
  <c r="Z516" i="1"/>
  <c r="Z601" i="1"/>
  <c r="Y316" i="1"/>
  <c r="U601" i="1"/>
  <c r="Y325" i="1"/>
  <c r="Z349" i="1"/>
  <c r="BN349" i="1"/>
  <c r="BP349" i="1"/>
  <c r="Z350" i="1"/>
  <c r="BN350" i="1"/>
  <c r="Z352" i="1"/>
  <c r="BN352" i="1"/>
  <c r="Z356" i="1"/>
  <c r="BN356" i="1"/>
  <c r="BP356" i="1"/>
  <c r="Z358" i="1"/>
  <c r="BN358" i="1"/>
  <c r="Z363" i="1"/>
  <c r="Z364" i="1" s="1"/>
  <c r="BN363" i="1"/>
  <c r="BP363" i="1"/>
  <c r="Y364" i="1"/>
  <c r="Z367" i="1"/>
  <c r="BN367" i="1"/>
  <c r="BP367" i="1"/>
  <c r="Z369" i="1"/>
  <c r="BN369" i="1"/>
  <c r="Z375" i="1"/>
  <c r="BN375" i="1"/>
  <c r="BP375" i="1"/>
  <c r="Z377" i="1"/>
  <c r="BN377" i="1"/>
  <c r="Z379" i="1"/>
  <c r="BN379" i="1"/>
  <c r="Z381" i="1"/>
  <c r="BN381" i="1"/>
  <c r="Z383" i="1"/>
  <c r="BN383" i="1"/>
  <c r="Y386" i="1"/>
  <c r="Z389" i="1"/>
  <c r="Z390" i="1" s="1"/>
  <c r="BN389" i="1"/>
  <c r="Z398" i="1"/>
  <c r="Z399" i="1" s="1"/>
  <c r="BN398" i="1"/>
  <c r="BP398" i="1"/>
  <c r="Z403" i="1"/>
  <c r="BN403" i="1"/>
  <c r="BP403" i="1"/>
  <c r="Z405" i="1"/>
  <c r="BN405" i="1"/>
  <c r="Z407" i="1"/>
  <c r="BN407" i="1"/>
  <c r="Y408" i="1"/>
  <c r="Z411" i="1"/>
  <c r="Z413" i="1" s="1"/>
  <c r="BN411" i="1"/>
  <c r="BP411" i="1"/>
  <c r="Z418" i="1"/>
  <c r="BN418" i="1"/>
  <c r="Z420" i="1"/>
  <c r="BN420" i="1"/>
  <c r="Z430" i="1"/>
  <c r="BN430" i="1"/>
  <c r="BP430" i="1"/>
  <c r="Z431" i="1"/>
  <c r="BN431" i="1"/>
  <c r="Z432" i="1"/>
  <c r="BN432" i="1"/>
  <c r="Z433" i="1"/>
  <c r="BN433" i="1"/>
  <c r="Z436" i="1"/>
  <c r="BN436" i="1"/>
  <c r="Z438" i="1"/>
  <c r="BN438" i="1"/>
  <c r="Z439" i="1"/>
  <c r="BN439" i="1"/>
  <c r="Z441" i="1"/>
  <c r="BN441" i="1"/>
  <c r="Y442" i="1"/>
  <c r="Z445" i="1"/>
  <c r="BN445" i="1"/>
  <c r="BP445" i="1"/>
  <c r="Z452" i="1"/>
  <c r="Z453" i="1" s="1"/>
  <c r="BN452" i="1"/>
  <c r="Z457" i="1"/>
  <c r="BN457" i="1"/>
  <c r="Z458" i="1"/>
  <c r="BN458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3" i="1"/>
  <c r="BN513" i="1"/>
  <c r="Z513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447" i="1" l="1"/>
  <c r="Z442" i="1"/>
  <c r="Z385" i="1"/>
  <c r="Z359" i="1"/>
  <c r="Z346" i="1"/>
  <c r="Z193" i="1"/>
  <c r="Z144" i="1"/>
  <c r="Z502" i="1"/>
  <c r="Z495" i="1"/>
  <c r="Z421" i="1"/>
  <c r="Z221" i="1"/>
  <c r="Z161" i="1"/>
  <c r="Z460" i="1"/>
  <c r="Z340" i="1"/>
  <c r="Z325" i="1"/>
  <c r="Z261" i="1"/>
  <c r="Z183" i="1"/>
  <c r="Z139" i="1"/>
  <c r="Z62" i="1"/>
  <c r="Z41" i="1"/>
  <c r="Z565" i="1"/>
  <c r="Z523" i="1"/>
  <c r="Z528" i="1"/>
  <c r="Z408" i="1"/>
  <c r="Z370" i="1"/>
  <c r="Z353" i="1"/>
  <c r="Z332" i="1"/>
  <c r="Z55" i="1"/>
  <c r="Y591" i="1"/>
  <c r="Y593" i="1"/>
  <c r="Z28" i="1"/>
  <c r="Z547" i="1"/>
  <c r="Z517" i="1"/>
  <c r="Z310" i="1"/>
  <c r="Y595" i="1"/>
  <c r="Y592" i="1"/>
  <c r="Y594" i="1" s="1"/>
  <c r="Z596" i="1" l="1"/>
</calcChain>
</file>

<file path=xl/sharedStrings.xml><?xml version="1.0" encoding="utf-8"?>
<sst xmlns="http://schemas.openxmlformats.org/spreadsheetml/2006/main" count="2729" uniqueCount="968">
  <si>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</si>
  <si>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</si>
  <si>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</si>
  <si>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</si>
  <si>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</si>
  <si>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</si>
  <si>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</si>
  <si>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</si>
  <si>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</si>
  <si>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</si>
  <si>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</si>
  <si>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</si>
  <si>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</si>
  <si>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</si>
  <si>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</si>
  <si>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</si>
  <si>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</si>
  <si>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</si>
  <si>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</si>
  <si>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</si>
  <si>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</si>
  <si>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</si>
  <si>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</si>
  <si>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</si>
  <si>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</si>
  <si>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</si>
  <si>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</si>
  <si>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</si>
  <si>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</si>
  <si>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</si>
  <si>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</si>
  <si>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</si>
  <si>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</si>
  <si>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</si>
  <si>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</si>
  <si>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</si>
  <si>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</si>
  <si>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</si>
  <si>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</si>
  <si>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</si>
  <si>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</si>
  <si>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</si>
  <si>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</si>
  <si>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</si>
  <si>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</si>
  <si>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</si>
  <si>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</si>
  <si>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</si>
  <si>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</si>
  <si>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</si>
  <si>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</si>
  <si>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</si>
  <si>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</si>
  <si>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</si>
  <si>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</si>
  <si>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</si>
  <si>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</si>
  <si>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</si>
  <si>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</si>
  <si>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</si>
  <si>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</si>
  <si>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</si>
  <si>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</si>
  <si>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</si>
  <si>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</si>
  <si>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</si>
  <si>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</si>
  <si>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</si>
  <si>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</si>
  <si>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</si>
  <si>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</si>
  <si>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</si>
  <si>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</si>
  <si>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</si>
  <si>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</si>
  <si>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</si>
  <si>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</si>
  <si>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</si>
  <si>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</si>
  <si>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</si>
  <si>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</si>
  <si>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</si>
  <si>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</si>
  <si>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</si>
  <si>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</si>
  <si>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</si>
  <si>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</si>
  <si>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</si>
  <si>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</si>
  <si>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</si>
  <si>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</si>
  <si>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</si>
  <si>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</si>
  <si>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</si>
  <si>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</si>
  <si>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</si>
  <si>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</si>
  <si>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</si>
  <si>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</si>
  <si>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</si>
  <si>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</si>
  <si>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</si>
  <si>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</si>
  <si>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</si>
  <si>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</si>
  <si>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</si>
  <si>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</si>
  <si>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</si>
  <si>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</si>
  <si>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</si>
  <si>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</si>
  <si>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</si>
  <si>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</si>
  <si>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</si>
  <si>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</si>
  <si>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</si>
  <si>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</si>
  <si>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</si>
  <si>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</si>
  <si>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</si>
  <si>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</si>
  <si>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</si>
  <si>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</si>
  <si>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</si>
  <si>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Слой, мин. 1</t>
  </si>
  <si>
    <t>ЕАЭС N RU Д-RU.РА01.В.10475/23</t>
  </si>
  <si>
    <t>Слой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</si>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</sst>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8" sqref="AA38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967</v>
      </c>
      <c r="I5" s="947"/>
      <c r="J5" s="947"/>
      <c r="K5" s="947"/>
      <c r="L5" s="947"/>
      <c r="M5" s="750"/>
      <c r="N5" s="58"/>
      <c r="P5" s="24" t="s">
        <v>10</v>
      </c>
      <c r="Q5" s="1026">
        <v>45765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Пятница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1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789">
        <v>0.375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22</v>
      </c>
      <c r="Q10" s="865"/>
      <c r="R10" s="866"/>
      <c r="U10" s="24" t="s">
        <v>23</v>
      </c>
      <c r="V10" s="686" t="s">
        <v>24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3"/>
      <c r="R11" s="774"/>
      <c r="U11" s="24" t="s">
        <v>27</v>
      </c>
      <c r="V11" s="970" t="s">
        <v>28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29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30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31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32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33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34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35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36</v>
      </c>
      <c r="B17" s="713" t="s">
        <v>37</v>
      </c>
      <c r="C17" s="825" t="s">
        <v>38</v>
      </c>
      <c r="D17" s="713" t="s">
        <v>39</v>
      </c>
      <c r="E17" s="783"/>
      <c r="F17" s="713" t="s">
        <v>40</v>
      </c>
      <c r="G17" s="713" t="s">
        <v>41</v>
      </c>
      <c r="H17" s="713" t="s">
        <v>42</v>
      </c>
      <c r="I17" s="713" t="s">
        <v>43</v>
      </c>
      <c r="J17" s="713" t="s">
        <v>44</v>
      </c>
      <c r="K17" s="713" t="s">
        <v>45</v>
      </c>
      <c r="L17" s="713" t="s">
        <v>46</v>
      </c>
      <c r="M17" s="713" t="s">
        <v>47</v>
      </c>
      <c r="N17" s="713" t="s">
        <v>48</v>
      </c>
      <c r="O17" s="713" t="s">
        <v>49</v>
      </c>
      <c r="P17" s="713" t="s">
        <v>50</v>
      </c>
      <c r="Q17" s="782"/>
      <c r="R17" s="782"/>
      <c r="S17" s="782"/>
      <c r="T17" s="783"/>
      <c r="U17" s="1039" t="s">
        <v>51</v>
      </c>
      <c r="V17" s="820"/>
      <c r="W17" s="713" t="s">
        <v>52</v>
      </c>
      <c r="X17" s="713" t="s">
        <v>53</v>
      </c>
      <c r="Y17" s="1040" t="s">
        <v>54</v>
      </c>
      <c r="Z17" s="928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3"/>
      <c r="AF17" s="1004"/>
      <c r="AG17" s="66"/>
      <c r="BD17" s="65" t="s">
        <v>60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63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64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913" t="s">
        <v>76</v>
      </c>
      <c r="Q24" s="668"/>
      <c r="R24" s="668"/>
      <c r="S24" s="668"/>
      <c r="T24" s="669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">
        <v>80</v>
      </c>
      <c r="Q25" s="668"/>
      <c r="R25" s="668"/>
      <c r="S25" s="668"/>
      <c r="T25" s="669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90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97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98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hidden="1" customHeight="1" x14ac:dyDescent="0.25">
      <c r="A37" s="54" t="s">
        <v>99</v>
      </c>
      <c r="B37" s="54" t="s">
        <v>100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69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69</v>
      </c>
      <c r="X38" s="663">
        <v>480</v>
      </c>
      <c r="Y38" s="664">
        <f>IFERROR(IF(X38="",0,CEILING((X38/$H38),1)*$H38),"")</f>
        <v>480</v>
      </c>
      <c r="Z38" s="36">
        <f>IFERROR(IF(Y38=0,"",ROUNDUP(Y38/H38,0)*0.00902),"")</f>
        <v>1.0824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505.2</v>
      </c>
      <c r="BN38" s="64">
        <f>IFERROR(Y38*I38/H38,"0")</f>
        <v>505.2</v>
      </c>
      <c r="BO38" s="64">
        <f>IFERROR(1/J38*(X38/H38),"0")</f>
        <v>0.90909090909090917</v>
      </c>
      <c r="BP38" s="64">
        <f>IFERROR(1/J38*(Y38/H38),"0")</f>
        <v>0.90909090909090917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120</v>
      </c>
      <c r="Y41" s="665">
        <f>IFERROR(Y37/H37,"0")+IFERROR(Y38/H38,"0")+IFERROR(Y39/H39,"0")+IFERROR(Y40/H40,"0")</f>
        <v>120</v>
      </c>
      <c r="Z41" s="665">
        <f>IFERROR(IF(Z37="",0,Z37),"0")+IFERROR(IF(Z38="",0,Z38),"0")+IFERROR(IF(Z39="",0,Z39),"0")+IFERROR(IF(Z40="",0,Z40),"0")</f>
        <v>1.0824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480</v>
      </c>
      <c r="Y42" s="665">
        <f>IFERROR(SUM(Y37:Y40),"0")</f>
        <v>480</v>
      </c>
      <c r="Z42" s="37"/>
      <c r="AA42" s="666"/>
      <c r="AB42" s="666"/>
      <c r="AC42" s="666"/>
    </row>
    <row r="43" spans="1:68" ht="14.25" hidden="1" customHeight="1" x14ac:dyDescent="0.25">
      <c r="A43" s="679" t="s">
        <v>64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118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98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69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86.4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69</v>
      </c>
      <c r="X54" s="663">
        <v>166.5</v>
      </c>
      <c r="Y54" s="664">
        <f t="shared" si="6"/>
        <v>166.5</v>
      </c>
      <c r="Z54" s="36">
        <f>IFERROR(IF(Y54=0,"",ROUNDUP(Y54/H54,0)*0.00902),"")</f>
        <v>0.33374000000000004</v>
      </c>
      <c r="AA54" s="56"/>
      <c r="AB54" s="57"/>
      <c r="AC54" s="103" t="s">
        <v>125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174.27</v>
      </c>
      <c r="BN54" s="64">
        <f t="shared" si="8"/>
        <v>174.27</v>
      </c>
      <c r="BO54" s="64">
        <f t="shared" si="9"/>
        <v>0.28030303030303033</v>
      </c>
      <c r="BP54" s="64">
        <f t="shared" si="10"/>
        <v>0.28030303030303033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37</v>
      </c>
      <c r="Y55" s="665">
        <f>IFERROR(Y49/H49,"0")+IFERROR(Y50/H50,"0")+IFERROR(Y51/H51,"0")+IFERROR(Y52/H52,"0")+IFERROR(Y53/H53,"0")+IFERROR(Y54/H54,"0")</f>
        <v>37</v>
      </c>
      <c r="Z55" s="665">
        <f>IFERROR(IF(Z49="",0,Z49),"0")+IFERROR(IF(Z50="",0,Z50),"0")+IFERROR(IF(Z51="",0,Z51),"0")+IFERROR(IF(Z52="",0,Z52),"0")+IFERROR(IF(Z53="",0,Z53),"0")+IFERROR(IF(Z54="",0,Z54),"0")</f>
        <v>0.33374000000000004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166.5</v>
      </c>
      <c r="Y56" s="665">
        <f>IFERROR(SUM(Y49:Y54),"0")</f>
        <v>166.5</v>
      </c>
      <c r="Z56" s="37"/>
      <c r="AA56" s="666"/>
      <c r="AB56" s="666"/>
      <c r="AC56" s="666"/>
    </row>
    <row r="57" spans="1:68" ht="14.25" hidden="1" customHeight="1" x14ac:dyDescent="0.25">
      <c r="A57" s="679" t="s">
        <v>138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hidden="1" customHeight="1" x14ac:dyDescent="0.25">
      <c r="A58" s="54" t="s">
        <v>139</v>
      </c>
      <c r="B58" s="54" t="s">
        <v>140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69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69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37.799999999999997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9" t="s">
        <v>149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64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175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176</v>
      </c>
      <c r="B80" s="54" t="s">
        <v>177</v>
      </c>
      <c r="C80" s="31">
        <v>4301060366</v>
      </c>
      <c r="D80" s="675">
        <v>4680115881532</v>
      </c>
      <c r="E80" s="676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4301060371</v>
      </c>
      <c r="D81" s="675">
        <v>4680115881532</v>
      </c>
      <c r="E81" s="676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68"/>
      <c r="R81" s="668"/>
      <c r="S81" s="668"/>
      <c r="T81" s="669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183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98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hidden="1" customHeight="1" x14ac:dyDescent="0.25">
      <c r="A87" s="54" t="s">
        <v>184</v>
      </c>
      <c r="B87" s="54" t="s">
        <v>185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69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69</v>
      </c>
      <c r="X89" s="663">
        <v>306</v>
      </c>
      <c r="Y89" s="664">
        <f>IFERROR(IF(X89="",0,CEILING((X89/$H89),1)*$H89),"")</f>
        <v>306</v>
      </c>
      <c r="Z89" s="36">
        <f>IFERROR(IF(Y89=0,"",ROUNDUP(Y89/H89,0)*0.00902),"")</f>
        <v>0.61336000000000002</v>
      </c>
      <c r="AA89" s="56"/>
      <c r="AB89" s="57"/>
      <c r="AC89" s="141" t="s">
        <v>191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320.27999999999997</v>
      </c>
      <c r="BN89" s="64">
        <f>IFERROR(Y89*I89/H89,"0")</f>
        <v>320.27999999999997</v>
      </c>
      <c r="BO89" s="64">
        <f>IFERROR(1/J89*(X89/H89),"0")</f>
        <v>0.51515151515151514</v>
      </c>
      <c r="BP89" s="64">
        <f>IFERROR(1/J89*(Y89/H89),"0")</f>
        <v>0.51515151515151514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68</v>
      </c>
      <c r="Y90" s="665">
        <f>IFERROR(Y87/H87,"0")+IFERROR(Y88/H88,"0")+IFERROR(Y89/H89,"0")</f>
        <v>68</v>
      </c>
      <c r="Z90" s="665">
        <f>IFERROR(IF(Z87="",0,Z87),"0")+IFERROR(IF(Z88="",0,Z88),"0")+IFERROR(IF(Z89="",0,Z89),"0")</f>
        <v>0.61336000000000002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306</v>
      </c>
      <c r="Y91" s="665">
        <f>IFERROR(SUM(Y87:Y89),"0")</f>
        <v>306</v>
      </c>
      <c r="Z91" s="37"/>
      <c r="AA91" s="666"/>
      <c r="AB91" s="666"/>
      <c r="AC91" s="666"/>
    </row>
    <row r="92" spans="1:68" ht="14.25" hidden="1" customHeight="1" x14ac:dyDescent="0.25">
      <c r="A92" s="679" t="s">
        <v>64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27" hidden="1" customHeight="1" x14ac:dyDescent="0.25">
      <c r="A93" s="54" t="s">
        <v>192</v>
      </c>
      <c r="B93" s="54" t="s">
        <v>193</v>
      </c>
      <c r="C93" s="31">
        <v>4301051546</v>
      </c>
      <c r="D93" s="675">
        <v>4607091386967</v>
      </c>
      <c r="E93" s="676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2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68"/>
      <c r="R93" s="668"/>
      <c r="S93" s="668"/>
      <c r="T93" s="669"/>
      <c r="U93" s="34"/>
      <c r="V93" s="34"/>
      <c r="W93" s="35" t="s">
        <v>69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75">
        <v>4607091386967</v>
      </c>
      <c r="E94" s="676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68"/>
      <c r="R94" s="668"/>
      <c r="S94" s="668"/>
      <c r="T94" s="669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19" t="s">
        <v>197</v>
      </c>
      <c r="Q95" s="668"/>
      <c r="R95" s="668"/>
      <c r="S95" s="668"/>
      <c r="T95" s="669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49" t="s">
        <v>201</v>
      </c>
      <c r="Q96" s="668"/>
      <c r="R96" s="668"/>
      <c r="S96" s="668"/>
      <c r="T96" s="669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203</v>
      </c>
      <c r="B97" s="54" t="s">
        <v>204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67" t="s">
        <v>205</v>
      </c>
      <c r="Q97" s="668"/>
      <c r="R97" s="668"/>
      <c r="S97" s="668"/>
      <c r="T97" s="669"/>
      <c r="U97" s="34"/>
      <c r="V97" s="34"/>
      <c r="W97" s="35" t="s">
        <v>69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203</v>
      </c>
      <c r="B98" s="54" t="s">
        <v>206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8" t="s">
        <v>207</v>
      </c>
      <c r="Q98" s="668"/>
      <c r="R98" s="668"/>
      <c r="S98" s="668"/>
      <c r="T98" s="669"/>
      <c r="U98" s="34"/>
      <c r="V98" s="34"/>
      <c r="W98" s="35" t="s">
        <v>69</v>
      </c>
      <c r="X98" s="663">
        <v>221.4</v>
      </c>
      <c r="Y98" s="664">
        <f t="shared" si="16"/>
        <v>221.4</v>
      </c>
      <c r="Z98" s="36">
        <f>IFERROR(IF(Y98=0,"",ROUNDUP(Y98/H98,0)*0.00651),"")</f>
        <v>0.53381999999999996</v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242.06399999999999</v>
      </c>
      <c r="BN98" s="64">
        <f t="shared" si="18"/>
        <v>242.06399999999999</v>
      </c>
      <c r="BO98" s="64">
        <f t="shared" si="19"/>
        <v>0.45054945054945056</v>
      </c>
      <c r="BP98" s="64">
        <f t="shared" si="20"/>
        <v>0.45054945054945056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75">
        <v>4680115880214</v>
      </c>
      <c r="E100" s="676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68"/>
      <c r="R100" s="668"/>
      <c r="S100" s="668"/>
      <c r="T100" s="669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75">
        <v>4680115880214</v>
      </c>
      <c r="E101" s="676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68"/>
      <c r="R101" s="668"/>
      <c r="S101" s="668"/>
      <c r="T101" s="669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82</v>
      </c>
      <c r="Y102" s="665">
        <f>IFERROR(Y93/H93,"0")+IFERROR(Y94/H94,"0")+IFERROR(Y95/H95,"0")+IFERROR(Y96/H96,"0")+IFERROR(Y97/H97,"0")+IFERROR(Y98/H98,"0")+IFERROR(Y99/H99,"0")+IFERROR(Y100/H100,"0")+IFERROR(Y101/H101,"0")</f>
        <v>82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0.53381999999999996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221.4</v>
      </c>
      <c r="Y103" s="665">
        <f>IFERROR(SUM(Y93:Y101),"0")</f>
        <v>221.4</v>
      </c>
      <c r="Z103" s="37"/>
      <c r="AA103" s="666"/>
      <c r="AB103" s="666"/>
      <c r="AC103" s="666"/>
    </row>
    <row r="104" spans="1:68" ht="16.5" hidden="1" customHeight="1" x14ac:dyDescent="0.25">
      <c r="A104" s="716" t="s">
        <v>214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98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69</v>
      </c>
      <c r="X108" s="663">
        <v>909</v>
      </c>
      <c r="Y108" s="664">
        <f>IFERROR(IF(X108="",0,CEILING((X108/$H108),1)*$H108),"")</f>
        <v>909</v>
      </c>
      <c r="Z108" s="36">
        <f>IFERROR(IF(Y108=0,"",ROUNDUP(Y108/H108,0)*0.00902),"")</f>
        <v>1.8220400000000001</v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951.42000000000007</v>
      </c>
      <c r="BN108" s="64">
        <f>IFERROR(Y108*I108/H108,"0")</f>
        <v>951.42000000000007</v>
      </c>
      <c r="BO108" s="64">
        <f>IFERROR(1/J108*(X108/H108),"0")</f>
        <v>1.5303030303030303</v>
      </c>
      <c r="BP108" s="64">
        <f>IFERROR(1/J108*(Y108/H108),"0")</f>
        <v>1.5303030303030303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202</v>
      </c>
      <c r="Y110" s="665">
        <f>IFERROR(Y106/H106,"0")+IFERROR(Y107/H107,"0")+IFERROR(Y108/H108,"0")+IFERROR(Y109/H109,"0")</f>
        <v>202</v>
      </c>
      <c r="Z110" s="665">
        <f>IFERROR(IF(Z106="",0,Z106),"0")+IFERROR(IF(Z107="",0,Z107),"0")+IFERROR(IF(Z108="",0,Z108),"0")+IFERROR(IF(Z109="",0,Z109),"0")</f>
        <v>1.8220400000000001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909</v>
      </c>
      <c r="Y111" s="665">
        <f>IFERROR(SUM(Y106:Y109),"0")</f>
        <v>909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138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64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79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68"/>
      <c r="R119" s="668"/>
      <c r="S119" s="668"/>
      <c r="T119" s="669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75">
        <v>4607091385168</v>
      </c>
      <c r="E120" s="676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5" t="s">
        <v>235</v>
      </c>
      <c r="Q120" s="668"/>
      <c r="R120" s="668"/>
      <c r="S120" s="668"/>
      <c r="T120" s="669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hidden="1" customHeight="1" x14ac:dyDescent="0.25">
      <c r="A121" s="54" t="s">
        <v>231</v>
      </c>
      <c r="B121" s="54" t="s">
        <v>237</v>
      </c>
      <c r="C121" s="31">
        <v>4301051625</v>
      </c>
      <c r="D121" s="675">
        <v>4607091385168</v>
      </c>
      <c r="E121" s="676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6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68"/>
      <c r="R121" s="668"/>
      <c r="S121" s="668"/>
      <c r="T121" s="669"/>
      <c r="U121" s="34"/>
      <c r="V121" s="34"/>
      <c r="W121" s="35" t="s">
        <v>69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37.5" hidden="1" customHeight="1" x14ac:dyDescent="0.25">
      <c r="A122" s="54" t="s">
        <v>239</v>
      </c>
      <c r="B122" s="54" t="s">
        <v>240</v>
      </c>
      <c r="C122" s="31">
        <v>4301051362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68"/>
      <c r="R122" s="668"/>
      <c r="S122" s="668"/>
      <c r="T122" s="669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21" t="s">
        <v>242</v>
      </c>
      <c r="Q123" s="668"/>
      <c r="R123" s="668"/>
      <c r="S123" s="668"/>
      <c r="T123" s="669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68"/>
      <c r="R124" s="668"/>
      <c r="S124" s="668"/>
      <c r="T124" s="669"/>
      <c r="U124" s="34"/>
      <c r="V124" s="34"/>
      <c r="W124" s="35" t="s">
        <v>69</v>
      </c>
      <c r="X124" s="663">
        <v>218.7</v>
      </c>
      <c r="Y124" s="664">
        <f t="shared" si="21"/>
        <v>218.70000000000002</v>
      </c>
      <c r="Z124" s="36">
        <f t="shared" si="26"/>
        <v>0.52731000000000006</v>
      </c>
      <c r="AA124" s="56"/>
      <c r="AB124" s="57"/>
      <c r="AC124" s="185" t="s">
        <v>233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239.11199999999997</v>
      </c>
      <c r="BN124" s="64">
        <f t="shared" si="23"/>
        <v>239.11199999999997</v>
      </c>
      <c r="BO124" s="64">
        <f t="shared" si="24"/>
        <v>0.44505494505494503</v>
      </c>
      <c r="BP124" s="64">
        <f t="shared" si="25"/>
        <v>0.44505494505494508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8" t="s">
        <v>246</v>
      </c>
      <c r="Q125" s="668"/>
      <c r="R125" s="668"/>
      <c r="S125" s="668"/>
      <c r="T125" s="669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80.999999999999986</v>
      </c>
      <c r="Y128" s="665">
        <f>IFERROR(Y119/H119,"0")+IFERROR(Y120/H120,"0")+IFERROR(Y121/H121,"0")+IFERROR(Y122/H122,"0")+IFERROR(Y123/H123,"0")+IFERROR(Y124/H124,"0")+IFERROR(Y125/H125,"0")+IFERROR(Y126/H126,"0")+IFERROR(Y127/H127,"0")</f>
        <v>81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0.52731000000000006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218.7</v>
      </c>
      <c r="Y129" s="665">
        <f>IFERROR(SUM(Y119:Y127),"0")</f>
        <v>218.70000000000002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175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259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98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260</v>
      </c>
      <c r="B137" s="54" t="s">
        <v>261</v>
      </c>
      <c r="C137" s="31">
        <v>4301011564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8"/>
      <c r="R137" s="668"/>
      <c r="S137" s="668"/>
      <c r="T137" s="669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260</v>
      </c>
      <c r="B138" s="54" t="s">
        <v>263</v>
      </c>
      <c r="C138" s="31">
        <v>4301011562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4"/>
      <c r="V138" s="34"/>
      <c r="W138" s="35" t="s">
        <v>69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149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264</v>
      </c>
      <c r="B142" s="54" t="s">
        <v>265</v>
      </c>
      <c r="C142" s="31">
        <v>4301031234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69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264</v>
      </c>
      <c r="B143" s="54" t="s">
        <v>267</v>
      </c>
      <c r="C143" s="31">
        <v>4301031235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64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268</v>
      </c>
      <c r="B148" s="54" t="s">
        <v>270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96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98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271</v>
      </c>
      <c r="B153" s="54" t="s">
        <v>272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149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274</v>
      </c>
      <c r="B157" s="54" t="s">
        <v>275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277</v>
      </c>
      <c r="B158" s="54" t="s">
        <v>278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280</v>
      </c>
      <c r="B159" s="54" t="s">
        <v>281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64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288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289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138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149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293</v>
      </c>
      <c r="B174" s="54" t="s">
        <v>294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69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69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69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90" t="s">
        <v>308</v>
      </c>
      <c r="Q179" s="668"/>
      <c r="R179" s="668"/>
      <c r="S179" s="668"/>
      <c r="T179" s="669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310</v>
      </c>
      <c r="B180" s="54" t="s">
        <v>311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69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hidden="1" customHeight="1" x14ac:dyDescent="0.25">
      <c r="A185" s="679" t="s">
        <v>90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317</v>
      </c>
      <c r="B186" s="54" t="s">
        <v>318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1" t="s">
        <v>321</v>
      </c>
      <c r="Q186" s="668"/>
      <c r="R186" s="668"/>
      <c r="S186" s="668"/>
      <c r="T186" s="669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322</v>
      </c>
      <c r="AC186" s="241" t="s">
        <v>323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324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98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325</v>
      </c>
      <c r="B191" s="54" t="s">
        <v>326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327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328</v>
      </c>
      <c r="B192" s="54" t="s">
        <v>329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327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138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330</v>
      </c>
      <c r="B196" s="54" t="s">
        <v>331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332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333</v>
      </c>
      <c r="B197" s="54" t="s">
        <v>334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332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149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hidden="1" customHeight="1" x14ac:dyDescent="0.25">
      <c r="A201" s="54" t="s">
        <v>335</v>
      </c>
      <c r="B201" s="54" t="s">
        <v>336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69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337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338</v>
      </c>
      <c r="B202" s="54" t="s">
        <v>339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69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340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69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343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69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346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347</v>
      </c>
      <c r="B205" s="54" t="s">
        <v>348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69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337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349</v>
      </c>
      <c r="B206" s="54" t="s">
        <v>350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69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340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351</v>
      </c>
      <c r="B207" s="54" t="s">
        <v>352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343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353</v>
      </c>
      <c r="B208" s="54" t="s">
        <v>354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69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346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hidden="1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hidden="1" customHeight="1" x14ac:dyDescent="0.25">
      <c r="A211" s="679" t="s">
        <v>64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355</v>
      </c>
      <c r="B212" s="54" t="s">
        <v>356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357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358</v>
      </c>
      <c r="B213" s="54" t="s">
        <v>359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360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361</v>
      </c>
      <c r="B214" s="54" t="s">
        <v>362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363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364</v>
      </c>
      <c r="B215" s="54" t="s">
        <v>365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69</v>
      </c>
      <c r="X215" s="663">
        <v>436.8</v>
      </c>
      <c r="Y215" s="664">
        <f t="shared" si="37"/>
        <v>436.8</v>
      </c>
      <c r="Z215" s="36">
        <f t="shared" ref="Z215:Z220" si="42">IFERROR(IF(Y215=0,"",ROUNDUP(Y215/H215,0)*0.00651),"")</f>
        <v>1.18482</v>
      </c>
      <c r="AA215" s="56"/>
      <c r="AB215" s="57"/>
      <c r="AC215" s="273" t="s">
        <v>357</v>
      </c>
      <c r="AG215" s="64"/>
      <c r="AJ215" s="68"/>
      <c r="AK215" s="68">
        <v>0</v>
      </c>
      <c r="BB215" s="274" t="s">
        <v>1</v>
      </c>
      <c r="BM215" s="64">
        <f t="shared" si="38"/>
        <v>485.94000000000005</v>
      </c>
      <c r="BN215" s="64">
        <f t="shared" si="39"/>
        <v>485.94000000000005</v>
      </c>
      <c r="BO215" s="64">
        <f t="shared" si="40"/>
        <v>1</v>
      </c>
      <c r="BP215" s="64">
        <f t="shared" si="41"/>
        <v>1</v>
      </c>
    </row>
    <row r="216" spans="1:68" ht="27" hidden="1" customHeight="1" x14ac:dyDescent="0.25">
      <c r="A216" s="54" t="s">
        <v>366</v>
      </c>
      <c r="B216" s="54" t="s">
        <v>367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368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369</v>
      </c>
      <c r="B217" s="54" t="s">
        <v>370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69</v>
      </c>
      <c r="X217" s="663">
        <v>302.39999999999998</v>
      </c>
      <c r="Y217" s="664">
        <f t="shared" si="37"/>
        <v>302.39999999999998</v>
      </c>
      <c r="Z217" s="36">
        <f t="shared" si="42"/>
        <v>0.82025999999999999</v>
      </c>
      <c r="AA217" s="56"/>
      <c r="AB217" s="57"/>
      <c r="AC217" s="277" t="s">
        <v>363</v>
      </c>
      <c r="AG217" s="64"/>
      <c r="AJ217" s="68"/>
      <c r="AK217" s="68">
        <v>0</v>
      </c>
      <c r="BB217" s="278" t="s">
        <v>1</v>
      </c>
      <c r="BM217" s="64">
        <f t="shared" si="38"/>
        <v>334.15199999999999</v>
      </c>
      <c r="BN217" s="64">
        <f t="shared" si="39"/>
        <v>334.15199999999999</v>
      </c>
      <c r="BO217" s="64">
        <f t="shared" si="40"/>
        <v>0.6923076923076924</v>
      </c>
      <c r="BP217" s="64">
        <f t="shared" si="41"/>
        <v>0.6923076923076924</v>
      </c>
    </row>
    <row r="218" spans="1:68" ht="27" hidden="1" customHeight="1" x14ac:dyDescent="0.25">
      <c r="A218" s="54" t="s">
        <v>371</v>
      </c>
      <c r="B218" s="54" t="s">
        <v>372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363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373</v>
      </c>
      <c r="B219" s="54" t="s">
        <v>374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69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375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376</v>
      </c>
      <c r="B220" s="54" t="s">
        <v>377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69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378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308</v>
      </c>
      <c r="Y221" s="665">
        <f>IFERROR(Y212/H212,"0")+IFERROR(Y213/H213,"0")+IFERROR(Y214/H214,"0")+IFERROR(Y215/H215,"0")+IFERROR(Y216/H216,"0")+IFERROR(Y217/H217,"0")+IFERROR(Y218/H218,"0")+IFERROR(Y219/H219,"0")+IFERROR(Y220/H220,"0")</f>
        <v>308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2.00508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739.2</v>
      </c>
      <c r="Y222" s="665">
        <f>IFERROR(SUM(Y212:Y220),"0")</f>
        <v>739.2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175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379</v>
      </c>
      <c r="B224" s="54" t="s">
        <v>380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381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382</v>
      </c>
      <c r="B225" s="54" t="s">
        <v>383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69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384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385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98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386</v>
      </c>
      <c r="B230" s="54" t="s">
        <v>387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386</v>
      </c>
      <c r="B231" s="54" t="s">
        <v>389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101</v>
      </c>
      <c r="L231" s="32"/>
      <c r="M231" s="33" t="s">
        <v>390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391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394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395</v>
      </c>
      <c r="B233" s="54" t="s">
        <v>396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395</v>
      </c>
      <c r="B234" s="54" t="s">
        <v>398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101</v>
      </c>
      <c r="L234" s="32"/>
      <c r="M234" s="33" t="s">
        <v>390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391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388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401</v>
      </c>
      <c r="B236" s="54" t="s">
        <v>402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394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403</v>
      </c>
      <c r="B237" s="54" t="s">
        <v>404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138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405</v>
      </c>
      <c r="B241" s="54" t="s">
        <v>406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5" t="s">
        <v>407</v>
      </c>
      <c r="Q241" s="668"/>
      <c r="R241" s="668"/>
      <c r="S241" s="668"/>
      <c r="T241" s="669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408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405</v>
      </c>
      <c r="B242" s="54" t="s">
        <v>409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408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410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411</v>
      </c>
      <c r="B246" s="54" t="s">
        <v>412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792" t="s">
        <v>413</v>
      </c>
      <c r="Q246" s="668"/>
      <c r="R246" s="668"/>
      <c r="S246" s="668"/>
      <c r="T246" s="669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322</v>
      </c>
      <c r="AC246" s="309" t="s">
        <v>414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415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416</v>
      </c>
      <c r="B250" s="54" t="s">
        <v>417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7" t="s">
        <v>418</v>
      </c>
      <c r="Q250" s="668"/>
      <c r="R250" s="668"/>
      <c r="S250" s="668"/>
      <c r="T250" s="669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322</v>
      </c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420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98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421</v>
      </c>
      <c r="B255" s="54" t="s">
        <v>422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423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424</v>
      </c>
      <c r="B256" s="54" t="s">
        <v>425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426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424</v>
      </c>
      <c r="B257" s="54" t="s">
        <v>427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101</v>
      </c>
      <c r="L257" s="32"/>
      <c r="M257" s="33" t="s">
        <v>390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428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429</v>
      </c>
      <c r="B258" s="54" t="s">
        <v>430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431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432</v>
      </c>
      <c r="B259" s="54" t="s">
        <v>433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434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435</v>
      </c>
      <c r="B260" s="54" t="s">
        <v>436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437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438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98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439</v>
      </c>
      <c r="B265" s="54" t="s">
        <v>440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441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442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98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443</v>
      </c>
      <c r="B270" s="54" t="s">
        <v>444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445</v>
      </c>
      <c r="B271" s="54" t="s">
        <v>446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447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448</v>
      </c>
      <c r="B272" s="54" t="s">
        <v>449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450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451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64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452</v>
      </c>
      <c r="B277" s="54" t="s">
        <v>453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454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455</v>
      </c>
      <c r="B278" s="54" t="s">
        <v>456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457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458</v>
      </c>
      <c r="B279" s="54" t="s">
        <v>459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454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460</v>
      </c>
      <c r="B280" s="54" t="s">
        <v>461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124</v>
      </c>
      <c r="M280" s="33" t="s">
        <v>108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69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462</v>
      </c>
      <c r="AG280" s="64"/>
      <c r="AJ280" s="68" t="s">
        <v>126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463</v>
      </c>
      <c r="B281" s="54" t="s">
        <v>464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457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465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98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466</v>
      </c>
      <c r="B286" s="54" t="s">
        <v>467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468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149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469</v>
      </c>
      <c r="B290" s="54" t="s">
        <v>470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471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64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472</v>
      </c>
      <c r="B294" s="54" t="s">
        <v>473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474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475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64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476</v>
      </c>
      <c r="B299" s="54" t="s">
        <v>477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478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479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98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480</v>
      </c>
      <c r="B304" s="54" t="s">
        <v>481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441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149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482</v>
      </c>
      <c r="B308" s="54" t="s">
        <v>483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69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484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485</v>
      </c>
      <c r="B309" s="54" t="s">
        <v>486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484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487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98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488</v>
      </c>
      <c r="B314" s="54" t="s">
        <v>489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490</v>
      </c>
      <c r="AB314" s="57"/>
      <c r="AC314" s="357" t="s">
        <v>491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492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98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493</v>
      </c>
      <c r="B319" s="54" t="s">
        <v>494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495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496</v>
      </c>
      <c r="B320" s="54" t="s">
        <v>497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101</v>
      </c>
      <c r="L320" s="32"/>
      <c r="M320" s="33" t="s">
        <v>108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498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496</v>
      </c>
      <c r="B321" s="54" t="s">
        <v>499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101</v>
      </c>
      <c r="L321" s="32"/>
      <c r="M321" s="33" t="s">
        <v>390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500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501</v>
      </c>
      <c r="B322" s="54" t="s">
        <v>502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504</v>
      </c>
      <c r="B323" s="54" t="s">
        <v>505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507</v>
      </c>
      <c r="B324" s="54" t="s">
        <v>508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149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509</v>
      </c>
      <c r="B328" s="54" t="s">
        <v>510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512</v>
      </c>
      <c r="B329" s="54" t="s">
        <v>513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515</v>
      </c>
      <c r="B330" s="54" t="s">
        <v>516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518</v>
      </c>
      <c r="B331" s="54" t="s">
        <v>519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64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520</v>
      </c>
      <c r="B335" s="54" t="s">
        <v>521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69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523</v>
      </c>
      <c r="B336" s="54" t="s">
        <v>524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526</v>
      </c>
      <c r="B337" s="54" t="s">
        <v>527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529</v>
      </c>
      <c r="B338" s="54" t="s">
        <v>530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532</v>
      </c>
      <c r="B339" s="54" t="s">
        <v>533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175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535</v>
      </c>
      <c r="B343" s="54" t="s">
        <v>536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69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538</v>
      </c>
      <c r="B344" s="54" t="s">
        <v>539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69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541</v>
      </c>
      <c r="B345" s="54" t="s">
        <v>542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hidden="1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hidden="1" customHeight="1" x14ac:dyDescent="0.25">
      <c r="A348" s="679" t="s">
        <v>90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544</v>
      </c>
      <c r="B349" s="54" t="s">
        <v>545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546</v>
      </c>
      <c r="Q349" s="668"/>
      <c r="R349" s="668"/>
      <c r="S349" s="668"/>
      <c r="T349" s="669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548</v>
      </c>
      <c r="B350" s="54" t="s">
        <v>549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802" t="s">
        <v>550</v>
      </c>
      <c r="Q350" s="668"/>
      <c r="R350" s="668"/>
      <c r="S350" s="668"/>
      <c r="T350" s="669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552</v>
      </c>
      <c r="B351" s="54" t="s">
        <v>553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555</v>
      </c>
      <c r="B352" s="54" t="s">
        <v>556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557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558</v>
      </c>
      <c r="B356" s="54" t="s">
        <v>559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562</v>
      </c>
      <c r="B357" s="54" t="s">
        <v>563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564</v>
      </c>
      <c r="B358" s="54" t="s">
        <v>565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566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149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567</v>
      </c>
      <c r="B363" s="54" t="s">
        <v>568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69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64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570</v>
      </c>
      <c r="B367" s="54" t="s">
        <v>571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69</v>
      </c>
      <c r="X368" s="663">
        <v>756</v>
      </c>
      <c r="Y368" s="664">
        <f>IFERROR(IF(X368="",0,CEILING((X368/$H368),1)*$H368),"")</f>
        <v>756</v>
      </c>
      <c r="Z368" s="36">
        <f>IFERROR(IF(Y368=0,"",ROUNDUP(Y368/H368,0)*0.00651),"")</f>
        <v>2.3435999999999999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846.71999999999991</v>
      </c>
      <c r="BN368" s="64">
        <f>IFERROR(Y368*I368/H368,"0")</f>
        <v>846.71999999999991</v>
      </c>
      <c r="BO368" s="64">
        <f>IFERROR(1/J368*(X368/H368),"0")</f>
        <v>1.9780219780219781</v>
      </c>
      <c r="BP368" s="64">
        <f>IFERROR(1/J368*(Y368/H368),"0")</f>
        <v>1.9780219780219781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69</v>
      </c>
      <c r="X369" s="663">
        <v>340.2</v>
      </c>
      <c r="Y369" s="664">
        <f>IFERROR(IF(X369="",0,CEILING((X369/$H369),1)*$H369),"")</f>
        <v>340.2</v>
      </c>
      <c r="Z369" s="36">
        <f>IFERROR(IF(Y369=0,"",ROUNDUP(Y369/H369,0)*0.00651),"")</f>
        <v>1.0546200000000001</v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379.07999999999993</v>
      </c>
      <c r="BN369" s="64">
        <f>IFERROR(Y369*I369/H369,"0")</f>
        <v>379.07999999999993</v>
      </c>
      <c r="BO369" s="64">
        <f>IFERROR(1/J369*(X369/H369),"0")</f>
        <v>0.89010989010989017</v>
      </c>
      <c r="BP369" s="64">
        <f>IFERROR(1/J369*(Y369/H369),"0")</f>
        <v>0.89010989010989017</v>
      </c>
    </row>
    <row r="370" spans="1:68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522</v>
      </c>
      <c r="Y370" s="665">
        <f>IFERROR(Y367/H367,"0")+IFERROR(Y368/H368,"0")+IFERROR(Y369/H369,"0")</f>
        <v>522</v>
      </c>
      <c r="Z370" s="665">
        <f>IFERROR(IF(Z367="",0,Z367),"0")+IFERROR(IF(Z368="",0,Z368),"0")+IFERROR(IF(Z369="",0,Z369),"0")</f>
        <v>3.3982200000000002</v>
      </c>
      <c r="AA370" s="666"/>
      <c r="AB370" s="666"/>
      <c r="AC370" s="666"/>
    </row>
    <row r="371" spans="1:68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1096.2</v>
      </c>
      <c r="Y371" s="665">
        <f>IFERROR(SUM(Y367:Y369),"0")</f>
        <v>1096.2</v>
      </c>
      <c r="Z371" s="37"/>
      <c r="AA371" s="666"/>
      <c r="AB371" s="666"/>
      <c r="AC371" s="666"/>
    </row>
    <row r="372" spans="1:68" ht="27.75" hidden="1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580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98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hidden="1" customHeight="1" x14ac:dyDescent="0.25">
      <c r="A375" s="54" t="s">
        <v>581</v>
      </c>
      <c r="B375" s="54" t="s">
        <v>582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 t="s">
        <v>107</v>
      </c>
      <c r="M375" s="33" t="s">
        <v>68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583</v>
      </c>
      <c r="AG375" s="64"/>
      <c r="AJ375" s="68" t="s">
        <v>109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hidden="1" customHeight="1" x14ac:dyDescent="0.25">
      <c r="A376" s="54" t="s">
        <v>581</v>
      </c>
      <c r="B376" s="54" t="s">
        <v>584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/>
      <c r="M376" s="33" t="s">
        <v>390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69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585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586</v>
      </c>
      <c r="B377" s="54" t="s">
        <v>587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 t="s">
        <v>107</v>
      </c>
      <c r="M377" s="33" t="s">
        <v>68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588</v>
      </c>
      <c r="AG377" s="64"/>
      <c r="AJ377" s="68" t="s">
        <v>109</v>
      </c>
      <c r="AK377" s="68">
        <v>720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586</v>
      </c>
      <c r="B378" s="54" t="s">
        <v>589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/>
      <c r="M378" s="33" t="s">
        <v>390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69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585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590</v>
      </c>
      <c r="B379" s="54" t="s">
        <v>591</v>
      </c>
      <c r="C379" s="31">
        <v>4301011832</v>
      </c>
      <c r="D379" s="675">
        <v>4607091383997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03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68"/>
      <c r="R379" s="668"/>
      <c r="S379" s="668"/>
      <c r="T379" s="669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592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37.5" hidden="1" customHeight="1" x14ac:dyDescent="0.25">
      <c r="A380" s="54" t="s">
        <v>593</v>
      </c>
      <c r="B380" s="54" t="s">
        <v>594</v>
      </c>
      <c r="C380" s="31">
        <v>4301011867</v>
      </c>
      <c r="D380" s="675">
        <v>4680115884830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 t="s">
        <v>107</v>
      </c>
      <c r="M380" s="33" t="s">
        <v>68</v>
      </c>
      <c r="N380" s="33"/>
      <c r="O380" s="32">
        <v>60</v>
      </c>
      <c r="P380" s="88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68"/>
      <c r="R380" s="668"/>
      <c r="S380" s="668"/>
      <c r="T380" s="669"/>
      <c r="U380" s="34"/>
      <c r="V380" s="34"/>
      <c r="W380" s="35" t="s">
        <v>69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595</v>
      </c>
      <c r="AG380" s="64"/>
      <c r="AJ380" s="68" t="s">
        <v>109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593</v>
      </c>
      <c r="B381" s="54" t="s">
        <v>596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/>
      <c r="M381" s="33" t="s">
        <v>390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585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597</v>
      </c>
      <c r="B382" s="54" t="s">
        <v>598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600</v>
      </c>
      <c r="B383" s="54" t="s">
        <v>601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602</v>
      </c>
      <c r="B384" s="54" t="s">
        <v>603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hidden="1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0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0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</v>
      </c>
      <c r="AA385" s="666"/>
      <c r="AB385" s="666"/>
      <c r="AC385" s="666"/>
    </row>
    <row r="386" spans="1:68" hidden="1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0</v>
      </c>
      <c r="Y386" s="665">
        <f>IFERROR(SUM(Y375:Y384),"0")</f>
        <v>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138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hidden="1" customHeight="1" x14ac:dyDescent="0.25">
      <c r="A388" s="54" t="s">
        <v>604</v>
      </c>
      <c r="B388" s="54" t="s">
        <v>605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69</v>
      </c>
      <c r="X388" s="663">
        <v>0</v>
      </c>
      <c r="Y388" s="664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606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607</v>
      </c>
      <c r="B389" s="54" t="s">
        <v>608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0</v>
      </c>
      <c r="Y390" s="665">
        <f>IFERROR(Y388/H388,"0")+IFERROR(Y389/H389,"0")</f>
        <v>0</v>
      </c>
      <c r="Z390" s="665">
        <f>IFERROR(IF(Z388="",0,Z388),"0")+IFERROR(IF(Z389="",0,Z389),"0")</f>
        <v>0</v>
      </c>
      <c r="AA390" s="666"/>
      <c r="AB390" s="666"/>
      <c r="AC390" s="666"/>
    </row>
    <row r="391" spans="1:68" hidden="1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0</v>
      </c>
      <c r="Y391" s="665">
        <f>IFERROR(SUM(Y388:Y389),"0")</f>
        <v>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64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609</v>
      </c>
      <c r="B393" s="54" t="s">
        <v>610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880" t="s">
        <v>611</v>
      </c>
      <c r="Q393" s="668"/>
      <c r="R393" s="668"/>
      <c r="S393" s="668"/>
      <c r="T393" s="669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613</v>
      </c>
      <c r="B394" s="54" t="s">
        <v>614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6" t="s">
        <v>615</v>
      </c>
      <c r="Q394" s="668"/>
      <c r="R394" s="668"/>
      <c r="S394" s="668"/>
      <c r="T394" s="669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175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617</v>
      </c>
      <c r="B398" s="54" t="s">
        <v>618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619</v>
      </c>
      <c r="Q398" s="668"/>
      <c r="R398" s="668"/>
      <c r="S398" s="668"/>
      <c r="T398" s="669"/>
      <c r="U398" s="34"/>
      <c r="V398" s="34"/>
      <c r="W398" s="35" t="s">
        <v>69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621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98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622</v>
      </c>
      <c r="B403" s="54" t="s">
        <v>623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622</v>
      </c>
      <c r="B404" s="54" t="s">
        <v>625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627</v>
      </c>
      <c r="B405" s="54" t="s">
        <v>628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630</v>
      </c>
      <c r="B406" s="54" t="s">
        <v>631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632</v>
      </c>
      <c r="B407" s="54" t="s">
        <v>633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149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634</v>
      </c>
      <c r="B411" s="54" t="s">
        <v>635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637</v>
      </c>
      <c r="B412" s="54" t="s">
        <v>638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64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639</v>
      </c>
      <c r="B416" s="54" t="s">
        <v>640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642</v>
      </c>
      <c r="B417" s="54" t="s">
        <v>643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3" t="s">
        <v>644</v>
      </c>
      <c r="Q417" s="668"/>
      <c r="R417" s="668"/>
      <c r="S417" s="668"/>
      <c r="T417" s="669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646</v>
      </c>
      <c r="B418" s="54" t="s">
        <v>647</v>
      </c>
      <c r="C418" s="31">
        <v>4301051297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68"/>
      <c r="R418" s="668"/>
      <c r="S418" s="668"/>
      <c r="T418" s="669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646</v>
      </c>
      <c r="B419" s="54" t="s">
        <v>649</v>
      </c>
      <c r="C419" s="31">
        <v>4301051660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68"/>
      <c r="R419" s="668"/>
      <c r="S419" s="668"/>
      <c r="T419" s="669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650</v>
      </c>
      <c r="B420" s="54" t="s">
        <v>651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175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653</v>
      </c>
      <c r="B424" s="54" t="s">
        <v>654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52" t="s">
        <v>655</v>
      </c>
      <c r="Q424" s="668"/>
      <c r="R424" s="668"/>
      <c r="S424" s="668"/>
      <c r="T424" s="669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658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149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659</v>
      </c>
      <c r="B430" s="54" t="s">
        <v>660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9" t="s">
        <v>661</v>
      </c>
      <c r="Q430" s="668"/>
      <c r="R430" s="668"/>
      <c r="S430" s="668"/>
      <c r="T430" s="669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4" t="s">
        <v>665</v>
      </c>
      <c r="Q431" s="668"/>
      <c r="R431" s="668"/>
      <c r="S431" s="668"/>
      <c r="T431" s="669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663</v>
      </c>
      <c r="B432" s="54" t="s">
        <v>667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10" t="s">
        <v>665</v>
      </c>
      <c r="Q432" s="668"/>
      <c r="R432" s="668"/>
      <c r="S432" s="668"/>
      <c r="T432" s="669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3" t="s">
        <v>670</v>
      </c>
      <c r="Q433" s="668"/>
      <c r="R433" s="668"/>
      <c r="S433" s="668"/>
      <c r="T433" s="669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672</v>
      </c>
      <c r="B434" s="54" t="s">
        <v>673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672</v>
      </c>
      <c r="B435" s="54" t="s">
        <v>674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8" t="s">
        <v>675</v>
      </c>
      <c r="Q435" s="668"/>
      <c r="R435" s="668"/>
      <c r="S435" s="668"/>
      <c r="T435" s="669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676</v>
      </c>
      <c r="B436" s="54" t="s">
        <v>677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678</v>
      </c>
      <c r="B437" s="54" t="s">
        <v>679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69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681</v>
      </c>
      <c r="B438" s="54" t="s">
        <v>682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681</v>
      </c>
      <c r="B439" s="54" t="s">
        <v>684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2" t="s">
        <v>685</v>
      </c>
      <c r="Q439" s="668"/>
      <c r="R439" s="668"/>
      <c r="S439" s="668"/>
      <c r="T439" s="669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686</v>
      </c>
      <c r="B440" s="54" t="s">
        <v>687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689</v>
      </c>
      <c r="B441" s="54" t="s">
        <v>690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64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691</v>
      </c>
      <c r="B445" s="54" t="s">
        <v>692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694</v>
      </c>
      <c r="B446" s="54" t="s">
        <v>695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697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138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698</v>
      </c>
      <c r="B451" s="54" t="s">
        <v>699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701</v>
      </c>
      <c r="B452" s="54" t="s">
        <v>702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149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704</v>
      </c>
      <c r="B456" s="54" t="s">
        <v>705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63" t="s">
        <v>706</v>
      </c>
      <c r="Q456" s="668"/>
      <c r="R456" s="668"/>
      <c r="S456" s="668"/>
      <c r="T456" s="669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708</v>
      </c>
      <c r="B457" s="54" t="s">
        <v>709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711</v>
      </c>
      <c r="B458" s="54" t="s">
        <v>712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2" t="s">
        <v>713</v>
      </c>
      <c r="Q458" s="668"/>
      <c r="R458" s="668"/>
      <c r="S458" s="668"/>
      <c r="T458" s="669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69</v>
      </c>
      <c r="X459" s="663">
        <v>31.5</v>
      </c>
      <c r="Y459" s="664">
        <f>IFERROR(IF(X459="",0,CEILING((X459/$H459),1)*$H459),"")</f>
        <v>31.5</v>
      </c>
      <c r="Z459" s="36">
        <f>IFERROR(IF(Y459=0,"",ROUNDUP(Y459/H459,0)*0.00502),"")</f>
        <v>7.5300000000000006E-2</v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33.450000000000003</v>
      </c>
      <c r="BN459" s="64">
        <f>IFERROR(Y459*I459/H459,"0")</f>
        <v>33.450000000000003</v>
      </c>
      <c r="BO459" s="64">
        <f>IFERROR(1/J459*(X459/H459),"0")</f>
        <v>6.4102564102564111E-2</v>
      </c>
      <c r="BP459" s="64">
        <f>IFERROR(1/J459*(Y459/H459),"0")</f>
        <v>6.4102564102564111E-2</v>
      </c>
    </row>
    <row r="460" spans="1:68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15</v>
      </c>
      <c r="Y460" s="665">
        <f>IFERROR(Y456/H456,"0")+IFERROR(Y457/H457,"0")+IFERROR(Y458/H458,"0")+IFERROR(Y459/H459,"0")</f>
        <v>15</v>
      </c>
      <c r="Z460" s="665">
        <f>IFERROR(IF(Z456="",0,Z456),"0")+IFERROR(IF(Z457="",0,Z457),"0")+IFERROR(IF(Z458="",0,Z458),"0")+IFERROR(IF(Z459="",0,Z459),"0")</f>
        <v>7.5300000000000006E-2</v>
      </c>
      <c r="AA460" s="666"/>
      <c r="AB460" s="666"/>
      <c r="AC460" s="666"/>
    </row>
    <row r="461" spans="1:68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31.5</v>
      </c>
      <c r="Y461" s="665">
        <f>IFERROR(SUM(Y456:Y459),"0")</f>
        <v>31.5</v>
      </c>
      <c r="Z461" s="37"/>
      <c r="AA461" s="666"/>
      <c r="AB461" s="666"/>
      <c r="AC461" s="666"/>
    </row>
    <row r="462" spans="1:68" ht="16.5" hidden="1" customHeight="1" x14ac:dyDescent="0.25">
      <c r="A462" s="716" t="s">
        <v>717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149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718</v>
      </c>
      <c r="B464" s="54" t="s">
        <v>719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6" t="s">
        <v>723</v>
      </c>
      <c r="Q465" s="668"/>
      <c r="R465" s="668"/>
      <c r="S465" s="668"/>
      <c r="T465" s="669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725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149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726</v>
      </c>
      <c r="B470" s="54" t="s">
        <v>727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175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729</v>
      </c>
      <c r="B474" s="54" t="s">
        <v>730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732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98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733</v>
      </c>
      <c r="B480" s="54" t="s">
        <v>734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69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736</v>
      </c>
      <c r="B481" s="54" t="s">
        <v>737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739</v>
      </c>
      <c r="B482" s="54" t="s">
        <v>740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69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69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hidden="1" customHeight="1" x14ac:dyDescent="0.25">
      <c r="A484" s="54" t="s">
        <v>745</v>
      </c>
      <c r="B484" s="54" t="s">
        <v>746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748</v>
      </c>
      <c r="B485" s="54" t="s">
        <v>749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20" t="s">
        <v>750</v>
      </c>
      <c r="Q485" s="668"/>
      <c r="R485" s="668"/>
      <c r="S485" s="668"/>
      <c r="T485" s="669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751</v>
      </c>
      <c r="B487" s="54" t="s">
        <v>753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754</v>
      </c>
      <c r="B488" s="54" t="s">
        <v>755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756</v>
      </c>
      <c r="B489" s="54" t="s">
        <v>757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56" t="s">
        <v>758</v>
      </c>
      <c r="Q489" s="668"/>
      <c r="R489" s="668"/>
      <c r="S489" s="668"/>
      <c r="T489" s="669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6" t="s">
        <v>761</v>
      </c>
      <c r="Q490" s="668"/>
      <c r="R490" s="668"/>
      <c r="S490" s="668"/>
      <c r="T490" s="669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763</v>
      </c>
      <c r="B491" s="54" t="s">
        <v>764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48" t="s">
        <v>765</v>
      </c>
      <c r="Q491" s="668"/>
      <c r="R491" s="668"/>
      <c r="S491" s="668"/>
      <c r="T491" s="669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766</v>
      </c>
      <c r="B492" s="54" t="s">
        <v>767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106</v>
      </c>
      <c r="L492" s="32"/>
      <c r="M492" s="33" t="s">
        <v>102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768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69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769</v>
      </c>
      <c r="B494" s="54" t="s">
        <v>770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idden="1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0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0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66"/>
      <c r="AB495" s="666"/>
      <c r="AC495" s="666"/>
    </row>
    <row r="496" spans="1:68" hidden="1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0</v>
      </c>
      <c r="Y496" s="665">
        <f>IFERROR(SUM(Y480:Y494),"0")</f>
        <v>0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138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hidden="1" customHeight="1" x14ac:dyDescent="0.25">
      <c r="A498" s="54" t="s">
        <v>771</v>
      </c>
      <c r="B498" s="54" t="s">
        <v>772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102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773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771</v>
      </c>
      <c r="B499" s="54" t="s">
        <v>774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32" t="s">
        <v>775</v>
      </c>
      <c r="Q499" s="668"/>
      <c r="R499" s="668"/>
      <c r="S499" s="668"/>
      <c r="T499" s="669"/>
      <c r="U499" s="34"/>
      <c r="V499" s="34"/>
      <c r="W499" s="35" t="s">
        <v>69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777</v>
      </c>
      <c r="B500" s="54" t="s">
        <v>778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5" t="s">
        <v>779</v>
      </c>
      <c r="Q500" s="668"/>
      <c r="R500" s="668"/>
      <c r="S500" s="668"/>
      <c r="T500" s="669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776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780</v>
      </c>
      <c r="B501" s="54" t="s">
        <v>781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30" t="s">
        <v>782</v>
      </c>
      <c r="Q501" s="668"/>
      <c r="R501" s="668"/>
      <c r="S501" s="668"/>
      <c r="T501" s="669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idden="1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hidden="1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149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hidden="1" customHeight="1" x14ac:dyDescent="0.25">
      <c r="A505" s="54" t="s">
        <v>783</v>
      </c>
      <c r="B505" s="54" t="s">
        <v>784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7" t="s">
        <v>785</v>
      </c>
      <c r="Q505" s="668"/>
      <c r="R505" s="668"/>
      <c r="S505" s="668"/>
      <c r="T505" s="669"/>
      <c r="U505" s="34"/>
      <c r="V505" s="34"/>
      <c r="W505" s="35" t="s">
        <v>69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hidden="1" customHeight="1" x14ac:dyDescent="0.25">
      <c r="A506" s="54" t="s">
        <v>787</v>
      </c>
      <c r="B506" s="54" t="s">
        <v>788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901" t="s">
        <v>789</v>
      </c>
      <c r="Q506" s="668"/>
      <c r="R506" s="668"/>
      <c r="S506" s="668"/>
      <c r="T506" s="669"/>
      <c r="U506" s="34"/>
      <c r="V506" s="34"/>
      <c r="W506" s="35" t="s">
        <v>69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hidden="1" customHeight="1" x14ac:dyDescent="0.25">
      <c r="A507" s="54" t="s">
        <v>791</v>
      </c>
      <c r="B507" s="54" t="s">
        <v>792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8" t="s">
        <v>793</v>
      </c>
      <c r="Q507" s="668"/>
      <c r="R507" s="668"/>
      <c r="S507" s="668"/>
      <c r="T507" s="669"/>
      <c r="U507" s="34"/>
      <c r="V507" s="34"/>
      <c r="W507" s="35" t="s">
        <v>69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hidden="1" customHeight="1" x14ac:dyDescent="0.25">
      <c r="A508" s="54" t="s">
        <v>795</v>
      </c>
      <c r="B508" s="54" t="s">
        <v>796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2" t="s">
        <v>797</v>
      </c>
      <c r="Q508" s="668"/>
      <c r="R508" s="668"/>
      <c r="S508" s="668"/>
      <c r="T508" s="669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798</v>
      </c>
      <c r="B509" s="54" t="s">
        <v>799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10" t="s">
        <v>800</v>
      </c>
      <c r="Q509" s="668"/>
      <c r="R509" s="668"/>
      <c r="S509" s="668"/>
      <c r="T509" s="669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798</v>
      </c>
      <c r="B510" s="54" t="s">
        <v>801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46" t="s">
        <v>802</v>
      </c>
      <c r="Q510" s="668"/>
      <c r="R510" s="668"/>
      <c r="S510" s="668"/>
      <c r="T510" s="669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786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798</v>
      </c>
      <c r="B511" s="54" t="s">
        <v>803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805</v>
      </c>
      <c r="B512" s="54" t="s">
        <v>806</v>
      </c>
      <c r="C512" s="31">
        <v>4301031251</v>
      </c>
      <c r="D512" s="675">
        <v>4680115882102</v>
      </c>
      <c r="E512" s="676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68"/>
      <c r="R512" s="668"/>
      <c r="S512" s="668"/>
      <c r="T512" s="669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805</v>
      </c>
      <c r="B513" s="54" t="s">
        <v>808</v>
      </c>
      <c r="C513" s="31">
        <v>4301031418</v>
      </c>
      <c r="D513" s="675">
        <v>4680115882102</v>
      </c>
      <c r="E513" s="676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4" t="s">
        <v>809</v>
      </c>
      <c r="Q513" s="668"/>
      <c r="R513" s="668"/>
      <c r="S513" s="668"/>
      <c r="T513" s="669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4301031253</v>
      </c>
      <c r="D514" s="675">
        <v>4680115882096</v>
      </c>
      <c r="E514" s="676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60</v>
      </c>
      <c r="P514" s="85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68"/>
      <c r="R514" s="668"/>
      <c r="S514" s="668"/>
      <c r="T514" s="669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812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810</v>
      </c>
      <c r="B515" s="54" t="s">
        <v>813</v>
      </c>
      <c r="C515" s="31">
        <v>4301031417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70</v>
      </c>
      <c r="P515" s="1019" t="s">
        <v>814</v>
      </c>
      <c r="Q515" s="668"/>
      <c r="R515" s="668"/>
      <c r="S515" s="668"/>
      <c r="T515" s="669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794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810</v>
      </c>
      <c r="B516" s="54" t="s">
        <v>815</v>
      </c>
      <c r="C516" s="31">
        <v>4301031384</v>
      </c>
      <c r="D516" s="675">
        <v>4680115882096</v>
      </c>
      <c r="E516" s="676"/>
      <c r="F516" s="662">
        <v>0.6</v>
      </c>
      <c r="G516" s="32">
        <v>8</v>
      </c>
      <c r="H516" s="662">
        <v>4.8</v>
      </c>
      <c r="I516" s="662">
        <v>6.69</v>
      </c>
      <c r="J516" s="32">
        <v>120</v>
      </c>
      <c r="K516" s="32" t="s">
        <v>106</v>
      </c>
      <c r="L516" s="32"/>
      <c r="M516" s="33" t="s">
        <v>68</v>
      </c>
      <c r="N516" s="33"/>
      <c r="O516" s="32">
        <v>60</v>
      </c>
      <c r="P516" s="83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68"/>
      <c r="R516" s="668"/>
      <c r="S516" s="668"/>
      <c r="T516" s="669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IFERROR(IF(Y516=0,"",ROUNDUP(Y516/H516,0)*0.00937),"")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idden="1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hidden="1" customHeight="1" x14ac:dyDescent="0.25">
      <c r="A519" s="679" t="s">
        <v>64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816</v>
      </c>
      <c r="B520" s="54" t="s">
        <v>817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819</v>
      </c>
      <c r="B521" s="54" t="s">
        <v>820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822</v>
      </c>
      <c r="B522" s="54" t="s">
        <v>823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175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825</v>
      </c>
      <c r="B526" s="54" t="s">
        <v>826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828</v>
      </c>
      <c r="B527" s="54" t="s">
        <v>829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20" t="s">
        <v>830</v>
      </c>
      <c r="Q527" s="668"/>
      <c r="R527" s="668"/>
      <c r="S527" s="668"/>
      <c r="T527" s="669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831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98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832</v>
      </c>
      <c r="B533" s="54" t="s">
        <v>833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902" t="s">
        <v>834</v>
      </c>
      <c r="Q533" s="668"/>
      <c r="R533" s="668"/>
      <c r="S533" s="668"/>
      <c r="T533" s="669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836</v>
      </c>
      <c r="B534" s="54" t="s">
        <v>837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9" t="s">
        <v>838</v>
      </c>
      <c r="Q534" s="668"/>
      <c r="R534" s="668"/>
      <c r="S534" s="668"/>
      <c r="T534" s="669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6" t="s">
        <v>842</v>
      </c>
      <c r="Q535" s="668"/>
      <c r="R535" s="668"/>
      <c r="S535" s="668"/>
      <c r="T535" s="669"/>
      <c r="U535" s="34"/>
      <c r="V535" s="34"/>
      <c r="W535" s="35" t="s">
        <v>69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844</v>
      </c>
      <c r="B536" s="54" t="s">
        <v>845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910" t="s">
        <v>846</v>
      </c>
      <c r="Q536" s="668"/>
      <c r="R536" s="668"/>
      <c r="S536" s="668"/>
      <c r="T536" s="669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848</v>
      </c>
      <c r="B537" s="54" t="s">
        <v>849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61" t="s">
        <v>850</v>
      </c>
      <c r="Q537" s="668"/>
      <c r="R537" s="668"/>
      <c r="S537" s="668"/>
      <c r="T537" s="669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851</v>
      </c>
      <c r="B538" s="54" t="s">
        <v>852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92" t="s">
        <v>853</v>
      </c>
      <c r="Q538" s="668"/>
      <c r="R538" s="668"/>
      <c r="S538" s="668"/>
      <c r="T538" s="669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138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854</v>
      </c>
      <c r="B542" s="54" t="s">
        <v>855</v>
      </c>
      <c r="C542" s="31">
        <v>4301020269</v>
      </c>
      <c r="D542" s="675">
        <v>4640242180519</v>
      </c>
      <c r="E542" s="676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8" t="s">
        <v>856</v>
      </c>
      <c r="Q542" s="668"/>
      <c r="R542" s="668"/>
      <c r="S542" s="668"/>
      <c r="T542" s="669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854</v>
      </c>
      <c r="B543" s="54" t="s">
        <v>858</v>
      </c>
      <c r="C543" s="31">
        <v>4301020400</v>
      </c>
      <c r="D543" s="675">
        <v>4640242180519</v>
      </c>
      <c r="E543" s="676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46" t="s">
        <v>859</v>
      </c>
      <c r="Q543" s="668"/>
      <c r="R543" s="668"/>
      <c r="S543" s="668"/>
      <c r="T543" s="669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861</v>
      </c>
      <c r="B544" s="54" t="s">
        <v>862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3" t="s">
        <v>863</v>
      </c>
      <c r="Q544" s="668"/>
      <c r="R544" s="668"/>
      <c r="S544" s="668"/>
      <c r="T544" s="669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864</v>
      </c>
      <c r="B545" s="54" t="s">
        <v>865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1" t="s">
        <v>866</v>
      </c>
      <c r="Q545" s="668"/>
      <c r="R545" s="668"/>
      <c r="S545" s="668"/>
      <c r="T545" s="669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868</v>
      </c>
      <c r="B546" s="54" t="s">
        <v>869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801" t="s">
        <v>870</v>
      </c>
      <c r="Q546" s="668"/>
      <c r="R546" s="668"/>
      <c r="S546" s="668"/>
      <c r="T546" s="669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149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871</v>
      </c>
      <c r="B550" s="54" t="s">
        <v>872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8" t="s">
        <v>873</v>
      </c>
      <c r="Q550" s="668"/>
      <c r="R550" s="668"/>
      <c r="S550" s="668"/>
      <c r="T550" s="669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875</v>
      </c>
      <c r="B551" s="54" t="s">
        <v>876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877</v>
      </c>
      <c r="Q551" s="668"/>
      <c r="R551" s="668"/>
      <c r="S551" s="668"/>
      <c r="T551" s="669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879</v>
      </c>
      <c r="B552" s="54" t="s">
        <v>880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688" t="s">
        <v>881</v>
      </c>
      <c r="Q552" s="668"/>
      <c r="R552" s="668"/>
      <c r="S552" s="668"/>
      <c r="T552" s="669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883</v>
      </c>
      <c r="B553" s="54" t="s">
        <v>884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68"/>
      <c r="R553" s="668"/>
      <c r="S553" s="668"/>
      <c r="T553" s="669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887</v>
      </c>
      <c r="B554" s="54" t="s">
        <v>888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5" t="s">
        <v>889</v>
      </c>
      <c r="Q554" s="668"/>
      <c r="R554" s="668"/>
      <c r="S554" s="668"/>
      <c r="T554" s="669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891</v>
      </c>
      <c r="B555" s="54" t="s">
        <v>892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152</v>
      </c>
      <c r="L555" s="32"/>
      <c r="M555" s="33" t="s">
        <v>68</v>
      </c>
      <c r="N555" s="33"/>
      <c r="O555" s="32">
        <v>40</v>
      </c>
      <c r="P555" s="965" t="s">
        <v>893</v>
      </c>
      <c r="Q555" s="668"/>
      <c r="R555" s="668"/>
      <c r="S555" s="668"/>
      <c r="T555" s="669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894</v>
      </c>
      <c r="B556" s="54" t="s">
        <v>895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814" t="s">
        <v>896</v>
      </c>
      <c r="Q556" s="668"/>
      <c r="R556" s="668"/>
      <c r="S556" s="668"/>
      <c r="T556" s="669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64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897</v>
      </c>
      <c r="B560" s="54" t="s">
        <v>898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101</v>
      </c>
      <c r="L560" s="32"/>
      <c r="M560" s="33" t="s">
        <v>134</v>
      </c>
      <c r="N560" s="33"/>
      <c r="O560" s="32">
        <v>45</v>
      </c>
      <c r="P560" s="972" t="s">
        <v>899</v>
      </c>
      <c r="Q560" s="668"/>
      <c r="R560" s="668"/>
      <c r="S560" s="668"/>
      <c r="T560" s="669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897</v>
      </c>
      <c r="B561" s="54" t="s">
        <v>901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09" t="s">
        <v>899</v>
      </c>
      <c r="Q561" s="668"/>
      <c r="R561" s="668"/>
      <c r="S561" s="668"/>
      <c r="T561" s="669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902</v>
      </c>
      <c r="B562" s="54" t="s">
        <v>903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5" t="s">
        <v>904</v>
      </c>
      <c r="Q562" s="668"/>
      <c r="R562" s="668"/>
      <c r="S562" s="668"/>
      <c r="T562" s="669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906</v>
      </c>
      <c r="B563" s="54" t="s">
        <v>907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134</v>
      </c>
      <c r="N563" s="33"/>
      <c r="O563" s="32">
        <v>45</v>
      </c>
      <c r="P563" s="733" t="s">
        <v>908</v>
      </c>
      <c r="Q563" s="668"/>
      <c r="R563" s="668"/>
      <c r="S563" s="668"/>
      <c r="T563" s="669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909</v>
      </c>
      <c r="B564" s="54" t="s">
        <v>910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79" t="s">
        <v>911</v>
      </c>
      <c r="Q564" s="668"/>
      <c r="R564" s="668"/>
      <c r="S564" s="668"/>
      <c r="T564" s="669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175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912</v>
      </c>
      <c r="B568" s="54" t="s">
        <v>913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101</v>
      </c>
      <c r="L568" s="32"/>
      <c r="M568" s="33" t="s">
        <v>134</v>
      </c>
      <c r="N568" s="33"/>
      <c r="O568" s="32">
        <v>40</v>
      </c>
      <c r="P568" s="1027" t="s">
        <v>914</v>
      </c>
      <c r="Q568" s="668"/>
      <c r="R568" s="668"/>
      <c r="S568" s="668"/>
      <c r="T568" s="669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912</v>
      </c>
      <c r="B569" s="54" t="s">
        <v>916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53" t="s">
        <v>917</v>
      </c>
      <c r="Q569" s="668"/>
      <c r="R569" s="668"/>
      <c r="S569" s="668"/>
      <c r="T569" s="669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918</v>
      </c>
      <c r="B570" s="54" t="s">
        <v>919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27" t="s">
        <v>920</v>
      </c>
      <c r="Q570" s="668"/>
      <c r="R570" s="668"/>
      <c r="S570" s="668"/>
      <c r="T570" s="669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918</v>
      </c>
      <c r="B571" s="54" t="s">
        <v>922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59" t="s">
        <v>923</v>
      </c>
      <c r="Q571" s="668"/>
      <c r="R571" s="668"/>
      <c r="S571" s="668"/>
      <c r="T571" s="669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924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98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925</v>
      </c>
      <c r="B576" s="54" t="s">
        <v>926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85" t="s">
        <v>927</v>
      </c>
      <c r="Q576" s="668"/>
      <c r="R576" s="668"/>
      <c r="S576" s="668"/>
      <c r="T576" s="669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138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929</v>
      </c>
      <c r="B580" s="54" t="s">
        <v>930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63" t="s">
        <v>931</v>
      </c>
      <c r="Q580" s="668"/>
      <c r="R580" s="668"/>
      <c r="S580" s="668"/>
      <c r="T580" s="669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149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933</v>
      </c>
      <c r="B584" s="54" t="s">
        <v>934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813" t="s">
        <v>935</v>
      </c>
      <c r="Q584" s="668"/>
      <c r="R584" s="668"/>
      <c r="S584" s="668"/>
      <c r="T584" s="669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64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937</v>
      </c>
      <c r="B588" s="54" t="s">
        <v>938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134</v>
      </c>
      <c r="N588" s="33"/>
      <c r="O588" s="32">
        <v>45</v>
      </c>
      <c r="P588" s="992" t="s">
        <v>939</v>
      </c>
      <c r="Q588" s="668"/>
      <c r="R588" s="668"/>
      <c r="S588" s="668"/>
      <c r="T588" s="669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941</v>
      </c>
      <c r="Q591" s="819"/>
      <c r="R591" s="819"/>
      <c r="S591" s="819"/>
      <c r="T591" s="819"/>
      <c r="U591" s="819"/>
      <c r="V591" s="820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4168.5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4168.5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942</v>
      </c>
      <c r="Q592" s="819"/>
      <c r="R592" s="819"/>
      <c r="S592" s="819"/>
      <c r="T592" s="819"/>
      <c r="U592" s="819"/>
      <c r="V592" s="820"/>
      <c r="W592" s="37" t="s">
        <v>69</v>
      </c>
      <c r="X592" s="665">
        <f>IFERROR(SUM(BM22:BM588),"0")</f>
        <v>4511.6880000000001</v>
      </c>
      <c r="Y592" s="665">
        <f>IFERROR(SUM(BN22:BN588),"0")</f>
        <v>4511.6880000000001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943</v>
      </c>
      <c r="Q593" s="819"/>
      <c r="R593" s="819"/>
      <c r="S593" s="819"/>
      <c r="T593" s="819"/>
      <c r="U593" s="819"/>
      <c r="V593" s="820"/>
      <c r="W593" s="37" t="s">
        <v>944</v>
      </c>
      <c r="X593" s="38">
        <f>ROUNDUP(SUM(BO22:BO588),0)</f>
        <v>9</v>
      </c>
      <c r="Y593" s="38">
        <f>ROUNDUP(SUM(BP22:BP588),0)</f>
        <v>9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945</v>
      </c>
      <c r="Q594" s="819"/>
      <c r="R594" s="819"/>
      <c r="S594" s="819"/>
      <c r="T594" s="819"/>
      <c r="U594" s="819"/>
      <c r="V594" s="820"/>
      <c r="W594" s="37" t="s">
        <v>69</v>
      </c>
      <c r="X594" s="665">
        <f>GrossWeightTotal+PalletQtyTotal*25</f>
        <v>4736.6880000000001</v>
      </c>
      <c r="Y594" s="665">
        <f>GrossWeightTotalR+PalletQtyTotalR*25</f>
        <v>4736.6880000000001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946</v>
      </c>
      <c r="Q595" s="819"/>
      <c r="R595" s="819"/>
      <c r="S595" s="819"/>
      <c r="T595" s="819"/>
      <c r="U595" s="819"/>
      <c r="V595" s="820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1435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1435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947</v>
      </c>
      <c r="Q596" s="819"/>
      <c r="R596" s="819"/>
      <c r="S596" s="819"/>
      <c r="T596" s="819"/>
      <c r="U596" s="819"/>
      <c r="V596" s="820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10.39127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93" t="s">
        <v>96</v>
      </c>
      <c r="D598" s="812"/>
      <c r="E598" s="812"/>
      <c r="F598" s="812"/>
      <c r="G598" s="812"/>
      <c r="H598" s="803"/>
      <c r="I598" s="693" t="s">
        <v>288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579</v>
      </c>
      <c r="X598" s="803"/>
      <c r="Y598" s="693" t="s">
        <v>657</v>
      </c>
      <c r="Z598" s="812"/>
      <c r="AA598" s="812"/>
      <c r="AB598" s="803"/>
      <c r="AC598" s="660" t="s">
        <v>732</v>
      </c>
      <c r="AD598" s="693" t="s">
        <v>831</v>
      </c>
      <c r="AE598" s="803"/>
      <c r="AF598" s="661"/>
    </row>
    <row r="599" spans="1:32" ht="14.25" customHeight="1" thickTop="1" x14ac:dyDescent="0.2">
      <c r="A599" s="831" t="s">
        <v>950</v>
      </c>
      <c r="B599" s="693" t="s">
        <v>63</v>
      </c>
      <c r="C599" s="693" t="s">
        <v>97</v>
      </c>
      <c r="D599" s="693" t="s">
        <v>118</v>
      </c>
      <c r="E599" s="693" t="s">
        <v>183</v>
      </c>
      <c r="F599" s="693" t="s">
        <v>214</v>
      </c>
      <c r="G599" s="693" t="s">
        <v>259</v>
      </c>
      <c r="H599" s="693" t="s">
        <v>96</v>
      </c>
      <c r="I599" s="693" t="s">
        <v>289</v>
      </c>
      <c r="J599" s="693" t="s">
        <v>324</v>
      </c>
      <c r="K599" s="693" t="s">
        <v>385</v>
      </c>
      <c r="L599" s="693" t="s">
        <v>420</v>
      </c>
      <c r="M599" s="693" t="s">
        <v>438</v>
      </c>
      <c r="N599" s="661"/>
      <c r="O599" s="693" t="s">
        <v>442</v>
      </c>
      <c r="P599" s="693" t="s">
        <v>451</v>
      </c>
      <c r="Q599" s="693" t="s">
        <v>465</v>
      </c>
      <c r="R599" s="693" t="s">
        <v>475</v>
      </c>
      <c r="S599" s="693" t="s">
        <v>479</v>
      </c>
      <c r="T599" s="693" t="s">
        <v>487</v>
      </c>
      <c r="U599" s="693" t="s">
        <v>492</v>
      </c>
      <c r="V599" s="693" t="s">
        <v>566</v>
      </c>
      <c r="W599" s="693" t="s">
        <v>580</v>
      </c>
      <c r="X599" s="693" t="s">
        <v>621</v>
      </c>
      <c r="Y599" s="693" t="s">
        <v>658</v>
      </c>
      <c r="Z599" s="693" t="s">
        <v>697</v>
      </c>
      <c r="AA599" s="693" t="s">
        <v>717</v>
      </c>
      <c r="AB599" s="693" t="s">
        <v>725</v>
      </c>
      <c r="AC599" s="693" t="s">
        <v>732</v>
      </c>
      <c r="AD599" s="693" t="s">
        <v>831</v>
      </c>
      <c r="AE599" s="693" t="s">
        <v>924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480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166.5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527.4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1127.7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739.2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1096.2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31.5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0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9M3G32yGTmwcLU4B4NeKgtRjeBj2i61Q6SS8wl8V5SGZ3WJPBWMlPQ9sBG+UehhUYHtHsgWhd+DNh1jZViZsrg==" saltValue="0nKrnxqs3W5fUS2HN3dy6A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6,20"/>
        <filter val="1 435,00"/>
        <filter val="120,00"/>
        <filter val="15,00"/>
        <filter val="166,50"/>
        <filter val="202,00"/>
        <filter val="218,70"/>
        <filter val="221,40"/>
        <filter val="302,40"/>
        <filter val="306,00"/>
        <filter val="308,00"/>
        <filter val="31,50"/>
        <filter val="340,20"/>
        <filter val="37,00"/>
        <filter val="4 168,50"/>
        <filter val="4 511,69"/>
        <filter val="4 736,69"/>
        <filter val="436,80"/>
        <filter val="480,00"/>
        <filter val="522,00"/>
        <filter val="68,00"/>
        <filter val="739,20"/>
        <filter val="756,00"/>
        <filter val="81,00"/>
        <filter val="82,00"/>
        <filter val="9"/>
        <filter val="909,0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4 X89 X124 X375 X377 X380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61 X280" xr:uid="{00000000-0002-0000-0000-000012000000}">
      <formula1>IF(AK50&gt;0,OR(X50=0,AND(IF(X50-AK50&gt;=0,TRUE,FALSE),X50&gt;0,IF(X50/(H50*K50)=ROUND(X50/(H50*K50),0),TRUE,FALSE))),FALSE)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Yx1vG28i6v4uJz2m8jE59wTQtOdF33rQBAb9pgMGAyvYHqjcS13W9jM8FY0i86HF0QYRWOmoc8lDcvYcxBbgIQ==" saltValue="+xEajivDMZEK32n6GsJ7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2025-04-16T12:28:27Z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