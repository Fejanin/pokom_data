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A8BDCD-454E-4E05-BEA4-13FAE3E47F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BO515" i="1"/>
  <c r="BM515" i="1"/>
  <c r="Y515" i="1"/>
  <c r="P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P499" i="1"/>
  <c r="BO498" i="1"/>
  <c r="BM498" i="1"/>
  <c r="Y498" i="1"/>
  <c r="X496" i="1"/>
  <c r="X495" i="1"/>
  <c r="BO494" i="1"/>
  <c r="BM494" i="1"/>
  <c r="Y494" i="1"/>
  <c r="P494" i="1"/>
  <c r="BO493" i="1"/>
  <c r="BM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BO125" i="1"/>
  <c r="BM125" i="1"/>
  <c r="Y125" i="1"/>
  <c r="BO124" i="1"/>
  <c r="BM124" i="1"/>
  <c r="Y124" i="1"/>
  <c r="P124" i="1"/>
  <c r="BO123" i="1"/>
  <c r="BM123" i="1"/>
  <c r="Y123" i="1"/>
  <c r="BO122" i="1"/>
  <c r="BM122" i="1"/>
  <c r="Y122" i="1"/>
  <c r="P122" i="1"/>
  <c r="BO121" i="1"/>
  <c r="BM121" i="1"/>
  <c r="Y121" i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O93" i="1"/>
  <c r="BM93" i="1"/>
  <c r="Y93" i="1"/>
  <c r="BP93" i="1" s="1"/>
  <c r="P93" i="1"/>
  <c r="X91" i="1"/>
  <c r="X90" i="1"/>
  <c r="BO89" i="1"/>
  <c r="BM89" i="1"/>
  <c r="Y89" i="1"/>
  <c r="BP89" i="1" s="1"/>
  <c r="P89" i="1"/>
  <c r="BO88" i="1"/>
  <c r="BM88" i="1"/>
  <c r="Y88" i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D601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X593" i="1" s="1"/>
  <c r="BM22" i="1"/>
  <c r="Y22" i="1"/>
  <c r="B601" i="1" s="1"/>
  <c r="P22" i="1"/>
  <c r="H10" i="1"/>
  <c r="A9" i="1"/>
  <c r="F10" i="1" s="1"/>
  <c r="D7" i="1"/>
  <c r="Q6" i="1"/>
  <c r="P2" i="1"/>
  <c r="BP80" i="1" l="1"/>
  <c r="BN80" i="1"/>
  <c r="Z80" i="1"/>
  <c r="BP114" i="1"/>
  <c r="BN114" i="1"/>
  <c r="Z114" i="1"/>
  <c r="BP124" i="1"/>
  <c r="BN124" i="1"/>
  <c r="Z124" i="1"/>
  <c r="Y154" i="1"/>
  <c r="BP153" i="1"/>
  <c r="BN153" i="1"/>
  <c r="Z153" i="1"/>
  <c r="Z154" i="1" s="1"/>
  <c r="BP157" i="1"/>
  <c r="BN157" i="1"/>
  <c r="Z157" i="1"/>
  <c r="BP214" i="1"/>
  <c r="BN214" i="1"/>
  <c r="Z214" i="1"/>
  <c r="BP237" i="1"/>
  <c r="BN237" i="1"/>
  <c r="Z237" i="1"/>
  <c r="BP280" i="1"/>
  <c r="BN280" i="1"/>
  <c r="Z280" i="1"/>
  <c r="BP339" i="1"/>
  <c r="BN339" i="1"/>
  <c r="Z339" i="1"/>
  <c r="BP343" i="1"/>
  <c r="BN343" i="1"/>
  <c r="Z343" i="1"/>
  <c r="BP381" i="1"/>
  <c r="BN381" i="1"/>
  <c r="Z381" i="1"/>
  <c r="BP430" i="1"/>
  <c r="BN430" i="1"/>
  <c r="Z430" i="1"/>
  <c r="BP432" i="1"/>
  <c r="BN432" i="1"/>
  <c r="Z432" i="1"/>
  <c r="BP436" i="1"/>
  <c r="BN436" i="1"/>
  <c r="Z436" i="1"/>
  <c r="BP515" i="1"/>
  <c r="BN515" i="1"/>
  <c r="Z515" i="1"/>
  <c r="Z27" i="1"/>
  <c r="BN27" i="1"/>
  <c r="X591" i="1"/>
  <c r="Z52" i="1"/>
  <c r="BN52" i="1"/>
  <c r="Z66" i="1"/>
  <c r="BN66" i="1"/>
  <c r="BP99" i="1"/>
  <c r="BN99" i="1"/>
  <c r="Z99" i="1"/>
  <c r="BP121" i="1"/>
  <c r="BN121" i="1"/>
  <c r="Z121" i="1"/>
  <c r="BP127" i="1"/>
  <c r="BN127" i="1"/>
  <c r="Z127" i="1"/>
  <c r="BP204" i="1"/>
  <c r="BN204" i="1"/>
  <c r="Z204" i="1"/>
  <c r="BP224" i="1"/>
  <c r="BN224" i="1"/>
  <c r="Z224" i="1"/>
  <c r="BP257" i="1"/>
  <c r="BN257" i="1"/>
  <c r="Z257" i="1"/>
  <c r="BP329" i="1"/>
  <c r="BN329" i="1"/>
  <c r="Z329" i="1"/>
  <c r="BP369" i="1"/>
  <c r="BN369" i="1"/>
  <c r="Z369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516" i="1"/>
  <c r="BN516" i="1"/>
  <c r="Z516" i="1"/>
  <c r="Y90" i="1"/>
  <c r="X592" i="1"/>
  <c r="X594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X595" i="1"/>
  <c r="Z50" i="1"/>
  <c r="BN50" i="1"/>
  <c r="Z54" i="1"/>
  <c r="BN54" i="1"/>
  <c r="Y62" i="1"/>
  <c r="Z60" i="1"/>
  <c r="BN60" i="1"/>
  <c r="Z72" i="1"/>
  <c r="BN72" i="1"/>
  <c r="Z76" i="1"/>
  <c r="BN76" i="1"/>
  <c r="Z82" i="1"/>
  <c r="BN82" i="1"/>
  <c r="Z89" i="1"/>
  <c r="BN89" i="1"/>
  <c r="Z93" i="1"/>
  <c r="BN93" i="1"/>
  <c r="Z101" i="1"/>
  <c r="BN101" i="1"/>
  <c r="Z108" i="1"/>
  <c r="BN108" i="1"/>
  <c r="BP125" i="1"/>
  <c r="BN125" i="1"/>
  <c r="Z125" i="1"/>
  <c r="BP148" i="1"/>
  <c r="BN148" i="1"/>
  <c r="Z148" i="1"/>
  <c r="BP177" i="1"/>
  <c r="BN177" i="1"/>
  <c r="Z177" i="1"/>
  <c r="BP202" i="1"/>
  <c r="BN202" i="1"/>
  <c r="Z202" i="1"/>
  <c r="BP212" i="1"/>
  <c r="BN212" i="1"/>
  <c r="Z212" i="1"/>
  <c r="BP220" i="1"/>
  <c r="BN220" i="1"/>
  <c r="Z220" i="1"/>
  <c r="BP235" i="1"/>
  <c r="BN235" i="1"/>
  <c r="Z235" i="1"/>
  <c r="BP242" i="1"/>
  <c r="BN242" i="1"/>
  <c r="Z242" i="1"/>
  <c r="Y252" i="1"/>
  <c r="Y251" i="1"/>
  <c r="BP250" i="1"/>
  <c r="BN250" i="1"/>
  <c r="Z250" i="1"/>
  <c r="Z251" i="1" s="1"/>
  <c r="BP255" i="1"/>
  <c r="BN255" i="1"/>
  <c r="Z255" i="1"/>
  <c r="BP278" i="1"/>
  <c r="BN278" i="1"/>
  <c r="Z278" i="1"/>
  <c r="BP323" i="1"/>
  <c r="BN323" i="1"/>
  <c r="Z323" i="1"/>
  <c r="BP337" i="1"/>
  <c r="BN337" i="1"/>
  <c r="Z337" i="1"/>
  <c r="Y133" i="1"/>
  <c r="BP131" i="1"/>
  <c r="BN131" i="1"/>
  <c r="Z131" i="1"/>
  <c r="BP159" i="1"/>
  <c r="BN159" i="1"/>
  <c r="Z159" i="1"/>
  <c r="BP180" i="1"/>
  <c r="BN180" i="1"/>
  <c r="Z180" i="1"/>
  <c r="BP206" i="1"/>
  <c r="BN206" i="1"/>
  <c r="Z206" i="1"/>
  <c r="BP216" i="1"/>
  <c r="BN216" i="1"/>
  <c r="Z216" i="1"/>
  <c r="BP231" i="1"/>
  <c r="BN231" i="1"/>
  <c r="Z231" i="1"/>
  <c r="Y244" i="1"/>
  <c r="Y243" i="1"/>
  <c r="BP241" i="1"/>
  <c r="BN241" i="1"/>
  <c r="Z241" i="1"/>
  <c r="BP259" i="1"/>
  <c r="BN259" i="1"/>
  <c r="Z259" i="1"/>
  <c r="BP309" i="1"/>
  <c r="BN309" i="1"/>
  <c r="Z309" i="1"/>
  <c r="T601" i="1"/>
  <c r="Y315" i="1"/>
  <c r="BP314" i="1"/>
  <c r="BN314" i="1"/>
  <c r="Z314" i="1"/>
  <c r="Z315" i="1" s="1"/>
  <c r="BP319" i="1"/>
  <c r="BN319" i="1"/>
  <c r="Z319" i="1"/>
  <c r="BP331" i="1"/>
  <c r="BN331" i="1"/>
  <c r="Z331" i="1"/>
  <c r="BP345" i="1"/>
  <c r="BN345" i="1"/>
  <c r="Z345" i="1"/>
  <c r="BP375" i="1"/>
  <c r="BN375" i="1"/>
  <c r="Z375" i="1"/>
  <c r="BP383" i="1"/>
  <c r="BN383" i="1"/>
  <c r="Z383" i="1"/>
  <c r="BP407" i="1"/>
  <c r="BN407" i="1"/>
  <c r="Z407" i="1"/>
  <c r="BP438" i="1"/>
  <c r="BN438" i="1"/>
  <c r="Z438" i="1"/>
  <c r="BP445" i="1"/>
  <c r="BN445" i="1"/>
  <c r="Z445" i="1"/>
  <c r="BP486" i="1"/>
  <c r="BN486" i="1"/>
  <c r="Z486" i="1"/>
  <c r="Y502" i="1"/>
  <c r="BP498" i="1"/>
  <c r="BN498" i="1"/>
  <c r="Z498" i="1"/>
  <c r="BP506" i="1"/>
  <c r="BN506" i="1"/>
  <c r="Z506" i="1"/>
  <c r="BP508" i="1"/>
  <c r="BN508" i="1"/>
  <c r="Z508" i="1"/>
  <c r="BP512" i="1"/>
  <c r="BN512" i="1"/>
  <c r="Z512" i="1"/>
  <c r="BP521" i="1"/>
  <c r="BN521" i="1"/>
  <c r="Z521" i="1"/>
  <c r="Y161" i="1"/>
  <c r="BP357" i="1"/>
  <c r="BN357" i="1"/>
  <c r="Z357" i="1"/>
  <c r="BP358" i="1"/>
  <c r="BN358" i="1"/>
  <c r="Z358" i="1"/>
  <c r="Y364" i="1"/>
  <c r="BP363" i="1"/>
  <c r="BN363" i="1"/>
  <c r="Z363" i="1"/>
  <c r="Z364" i="1" s="1"/>
  <c r="BP367" i="1"/>
  <c r="BN367" i="1"/>
  <c r="Z367" i="1"/>
  <c r="BP379" i="1"/>
  <c r="BN379" i="1"/>
  <c r="Z379" i="1"/>
  <c r="Y400" i="1"/>
  <c r="Y399" i="1"/>
  <c r="BP398" i="1"/>
  <c r="BN398" i="1"/>
  <c r="Z398" i="1"/>
  <c r="Z399" i="1" s="1"/>
  <c r="Y409" i="1"/>
  <c r="BP403" i="1"/>
  <c r="BN403" i="1"/>
  <c r="Z403" i="1"/>
  <c r="BP420" i="1"/>
  <c r="BN420" i="1"/>
  <c r="Z420" i="1"/>
  <c r="BP439" i="1"/>
  <c r="BN439" i="1"/>
  <c r="Z439" i="1"/>
  <c r="BP483" i="1"/>
  <c r="BN483" i="1"/>
  <c r="Z483" i="1"/>
  <c r="BP493" i="1"/>
  <c r="BN493" i="1"/>
  <c r="Z493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Y413" i="1"/>
  <c r="H9" i="1"/>
  <c r="A10" i="1"/>
  <c r="Y28" i="1"/>
  <c r="Y42" i="1"/>
  <c r="Y46" i="1"/>
  <c r="Y55" i="1"/>
  <c r="Y63" i="1"/>
  <c r="Y68" i="1"/>
  <c r="BP65" i="1"/>
  <c r="BN65" i="1"/>
  <c r="Z65" i="1"/>
  <c r="BP73" i="1"/>
  <c r="BN73" i="1"/>
  <c r="Z73" i="1"/>
  <c r="Y77" i="1"/>
  <c r="BP81" i="1"/>
  <c r="BN81" i="1"/>
  <c r="Z81" i="1"/>
  <c r="Z83" i="1" s="1"/>
  <c r="BP94" i="1"/>
  <c r="BN94" i="1"/>
  <c r="Z94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Y117" i="1"/>
  <c r="Y129" i="1"/>
  <c r="BP119" i="1"/>
  <c r="BN119" i="1"/>
  <c r="Z119" i="1"/>
  <c r="BP122" i="1"/>
  <c r="BN122" i="1"/>
  <c r="Z122" i="1"/>
  <c r="BP126" i="1"/>
  <c r="BN126" i="1"/>
  <c r="Z126" i="1"/>
  <c r="BP143" i="1"/>
  <c r="BN143" i="1"/>
  <c r="Z143" i="1"/>
  <c r="Z144" i="1" s="1"/>
  <c r="Y145" i="1"/>
  <c r="Y150" i="1"/>
  <c r="BP147" i="1"/>
  <c r="BN147" i="1"/>
  <c r="Z147" i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K601" i="1"/>
  <c r="Y239" i="1"/>
  <c r="BP230" i="1"/>
  <c r="BN230" i="1"/>
  <c r="Z230" i="1"/>
  <c r="BP234" i="1"/>
  <c r="BN234" i="1"/>
  <c r="Z234" i="1"/>
  <c r="Y238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BP350" i="1"/>
  <c r="BN350" i="1"/>
  <c r="Z350" i="1"/>
  <c r="BP368" i="1"/>
  <c r="BN368" i="1"/>
  <c r="Z368" i="1"/>
  <c r="Z370" i="1" s="1"/>
  <c r="Y370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Y453" i="1"/>
  <c r="P601" i="1"/>
  <c r="F9" i="1"/>
  <c r="J9" i="1"/>
  <c r="Z22" i="1"/>
  <c r="BN22" i="1"/>
  <c r="BP22" i="1"/>
  <c r="Z26" i="1"/>
  <c r="BN26" i="1"/>
  <c r="Y29" i="1"/>
  <c r="C601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BP67" i="1"/>
  <c r="BN67" i="1"/>
  <c r="Z67" i="1"/>
  <c r="Y69" i="1"/>
  <c r="Y78" i="1"/>
  <c r="BP71" i="1"/>
  <c r="BN71" i="1"/>
  <c r="Z71" i="1"/>
  <c r="BP75" i="1"/>
  <c r="BN75" i="1"/>
  <c r="Z75" i="1"/>
  <c r="Y84" i="1"/>
  <c r="Y83" i="1"/>
  <c r="BP88" i="1"/>
  <c r="BN88" i="1"/>
  <c r="Z88" i="1"/>
  <c r="Z90" i="1" s="1"/>
  <c r="Y103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BP120" i="1"/>
  <c r="BN120" i="1"/>
  <c r="Z120" i="1"/>
  <c r="BP123" i="1"/>
  <c r="BN123" i="1"/>
  <c r="Z123" i="1"/>
  <c r="Y128" i="1"/>
  <c r="BP132" i="1"/>
  <c r="BN132" i="1"/>
  <c r="Z132" i="1"/>
  <c r="Z133" i="1" s="1"/>
  <c r="Y134" i="1"/>
  <c r="Y140" i="1"/>
  <c r="BP137" i="1"/>
  <c r="BN137" i="1"/>
  <c r="Z137" i="1"/>
  <c r="Z139" i="1" s="1"/>
  <c r="Y144" i="1"/>
  <c r="Y149" i="1"/>
  <c r="BP158" i="1"/>
  <c r="BN158" i="1"/>
  <c r="Z158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BP258" i="1"/>
  <c r="BN258" i="1"/>
  <c r="Z258" i="1"/>
  <c r="BP272" i="1"/>
  <c r="BN272" i="1"/>
  <c r="Z272" i="1"/>
  <c r="Y274" i="1"/>
  <c r="Y282" i="1"/>
  <c r="BP277" i="1"/>
  <c r="BN277" i="1"/>
  <c r="Z277" i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Y341" i="1"/>
  <c r="BP338" i="1"/>
  <c r="BN338" i="1"/>
  <c r="Z338" i="1"/>
  <c r="Y347" i="1"/>
  <c r="Y346" i="1"/>
  <c r="Y353" i="1"/>
  <c r="BP349" i="1"/>
  <c r="BN349" i="1"/>
  <c r="Z349" i="1"/>
  <c r="BP352" i="1"/>
  <c r="BN352" i="1"/>
  <c r="Z352" i="1"/>
  <c r="Y354" i="1"/>
  <c r="Y360" i="1"/>
  <c r="BP356" i="1"/>
  <c r="BN356" i="1"/>
  <c r="Z356" i="1"/>
  <c r="Z359" i="1" s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BP459" i="1"/>
  <c r="BN459" i="1"/>
  <c r="Z459" i="1"/>
  <c r="Y461" i="1"/>
  <c r="AA601" i="1"/>
  <c r="Y466" i="1"/>
  <c r="BP464" i="1"/>
  <c r="BN464" i="1"/>
  <c r="Z464" i="1"/>
  <c r="Y467" i="1"/>
  <c r="BP482" i="1"/>
  <c r="BN482" i="1"/>
  <c r="Z482" i="1"/>
  <c r="BP485" i="1"/>
  <c r="BN485" i="1"/>
  <c r="Z485" i="1"/>
  <c r="BP492" i="1"/>
  <c r="BN492" i="1"/>
  <c r="Z492" i="1"/>
  <c r="BP500" i="1"/>
  <c r="BN500" i="1"/>
  <c r="Z500" i="1"/>
  <c r="BP511" i="1"/>
  <c r="BN511" i="1"/>
  <c r="Z511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G601" i="1"/>
  <c r="X601" i="1"/>
  <c r="E601" i="1"/>
  <c r="Y91" i="1"/>
  <c r="F601" i="1"/>
  <c r="Y110" i="1"/>
  <c r="H601" i="1"/>
  <c r="Y155" i="1"/>
  <c r="L601" i="1"/>
  <c r="Y261" i="1"/>
  <c r="Y316" i="1"/>
  <c r="U601" i="1"/>
  <c r="Y325" i="1"/>
  <c r="V601" i="1"/>
  <c r="Y371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Z408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Z421" i="1" s="1"/>
  <c r="BP419" i="1"/>
  <c r="BN419" i="1"/>
  <c r="Z419" i="1"/>
  <c r="BP435" i="1"/>
  <c r="BN435" i="1"/>
  <c r="Z435" i="1"/>
  <c r="BP440" i="1"/>
  <c r="BN440" i="1"/>
  <c r="Z440" i="1"/>
  <c r="Y447" i="1"/>
  <c r="Y460" i="1"/>
  <c r="BP456" i="1"/>
  <c r="BN456" i="1"/>
  <c r="Z456" i="1"/>
  <c r="Z460" i="1" s="1"/>
  <c r="BP465" i="1"/>
  <c r="BN465" i="1"/>
  <c r="Z465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BP499" i="1"/>
  <c r="BN499" i="1"/>
  <c r="Z499" i="1"/>
  <c r="BP501" i="1"/>
  <c r="BN501" i="1"/>
  <c r="Z501" i="1"/>
  <c r="Y503" i="1"/>
  <c r="BP510" i="1"/>
  <c r="BN510" i="1"/>
  <c r="Z510" i="1"/>
  <c r="Z517" i="1" s="1"/>
  <c r="BP514" i="1"/>
  <c r="BN514" i="1"/>
  <c r="Z514" i="1"/>
  <c r="AB601" i="1"/>
  <c r="Y365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161" i="1" l="1"/>
  <c r="Z116" i="1"/>
  <c r="Z340" i="1"/>
  <c r="Z149" i="1"/>
  <c r="Z110" i="1"/>
  <c r="Z243" i="1"/>
  <c r="Z502" i="1"/>
  <c r="Z385" i="1"/>
  <c r="Z62" i="1"/>
  <c r="Z55" i="1"/>
  <c r="Z41" i="1"/>
  <c r="Z332" i="1"/>
  <c r="Z325" i="1"/>
  <c r="Z261" i="1"/>
  <c r="Z221" i="1"/>
  <c r="Z523" i="1"/>
  <c r="Z102" i="1"/>
  <c r="Z442" i="1"/>
  <c r="Z495" i="1"/>
  <c r="Y591" i="1"/>
  <c r="Y592" i="1"/>
  <c r="Z273" i="1"/>
  <c r="Z209" i="1"/>
  <c r="Z183" i="1"/>
  <c r="Z528" i="1"/>
  <c r="Z565" i="1"/>
  <c r="Z547" i="1"/>
  <c r="Z466" i="1"/>
  <c r="Z395" i="1"/>
  <c r="Z353" i="1"/>
  <c r="Z282" i="1"/>
  <c r="Z77" i="1"/>
  <c r="Y593" i="1"/>
  <c r="Z28" i="1"/>
  <c r="Z238" i="1"/>
  <c r="Z128" i="1"/>
  <c r="Z68" i="1"/>
  <c r="Y595" i="1"/>
  <c r="Z596" i="1" l="1"/>
  <c r="Y594" i="1"/>
</calcChain>
</file>

<file path=xl/sharedStrings.xml><?xml version="1.0" encoding="utf-8"?>
<sst xmlns="http://schemas.openxmlformats.org/spreadsheetml/2006/main" count="2731" uniqueCount="968">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</sst>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45765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Пятница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0.375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80</v>
      </c>
      <c r="Y37" s="664">
        <f>IFERROR(IF(X37="",0,CEILING((X37/$H37),1)*$H37),"")</f>
        <v>86.4</v>
      </c>
      <c r="Z37" s="36">
        <f>IFERROR(IF(Y37=0,"",ROUNDUP(Y37/H37,0)*0.01898),"")</f>
        <v>0.15184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83.222222222222214</v>
      </c>
      <c r="BN37" s="64">
        <f>IFERROR(Y37*I37/H37,"0")</f>
        <v>89.88</v>
      </c>
      <c r="BO37" s="64">
        <f>IFERROR(1/J37*(X37/H37),"0")</f>
        <v>0.11574074074074073</v>
      </c>
      <c r="BP37" s="64">
        <f>IFERROR(1/J37*(Y37/H37),"0")</f>
        <v>0.125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200</v>
      </c>
      <c r="Y38" s="664">
        <f>IFERROR(IF(X38="",0,CEILING((X38/$H38),1)*$H38),"")</f>
        <v>200</v>
      </c>
      <c r="Z38" s="36">
        <f>IFERROR(IF(Y38=0,"",ROUNDUP(Y38/H38,0)*0.00902),"")</f>
        <v>0.45100000000000001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210.5</v>
      </c>
      <c r="BN38" s="64">
        <f>IFERROR(Y38*I38/H38,"0")</f>
        <v>210.5</v>
      </c>
      <c r="BO38" s="64">
        <f>IFERROR(1/J38*(X38/H38),"0")</f>
        <v>0.37878787878787878</v>
      </c>
      <c r="BP38" s="64">
        <f>IFERROR(1/J38*(Y38/H38),"0")</f>
        <v>0.37878787878787878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57.407407407407405</v>
      </c>
      <c r="Y41" s="665">
        <f>IFERROR(Y37/H37,"0")+IFERROR(Y38/H38,"0")+IFERROR(Y39/H39,"0")+IFERROR(Y40/H40,"0")</f>
        <v>58</v>
      </c>
      <c r="Z41" s="665">
        <f>IFERROR(IF(Z37="",0,Z37),"0")+IFERROR(IF(Z38="",0,Z38),"0")+IFERROR(IF(Z39="",0,Z39),"0")+IFERROR(IF(Z40="",0,Z40),"0")</f>
        <v>0.60284000000000004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280</v>
      </c>
      <c r="Y42" s="665">
        <f>IFERROR(SUM(Y37:Y40),"0")</f>
        <v>286.39999999999998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270</v>
      </c>
      <c r="Y54" s="664">
        <f t="shared" si="6"/>
        <v>270</v>
      </c>
      <c r="Z54" s="36">
        <f>IFERROR(IF(Y54=0,"",ROUNDUP(Y54/H54,0)*0.00902),"")</f>
        <v>0.54120000000000001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282.60000000000002</v>
      </c>
      <c r="BN54" s="64">
        <f t="shared" si="8"/>
        <v>282.60000000000002</v>
      </c>
      <c r="BO54" s="64">
        <f t="shared" si="9"/>
        <v>0.45454545454545459</v>
      </c>
      <c r="BP54" s="64">
        <f t="shared" si="10"/>
        <v>0.45454545454545459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60</v>
      </c>
      <c r="Y55" s="665">
        <f>IFERROR(Y49/H49,"0")+IFERROR(Y50/H50,"0")+IFERROR(Y51/H51,"0")+IFERROR(Y52/H52,"0")+IFERROR(Y53/H53,"0")+IFERROR(Y54/H54,"0")</f>
        <v>60</v>
      </c>
      <c r="Z55" s="665">
        <f>IFERROR(IF(Z49="",0,Z49),"0")+IFERROR(IF(Z50="",0,Z50),"0")+IFERROR(IF(Z51="",0,Z51),"0")+IFERROR(IF(Z52="",0,Z52),"0")+IFERROR(IF(Z53="",0,Z53),"0")+IFERROR(IF(Z54="",0,Z54),"0")</f>
        <v>0.54120000000000001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270</v>
      </c>
      <c r="Y56" s="665">
        <f>IFERROR(SUM(Y49:Y54),"0")</f>
        <v>270</v>
      </c>
      <c r="Z56" s="37"/>
      <c r="AA56" s="666"/>
      <c r="AB56" s="666"/>
      <c r="AC56" s="666"/>
    </row>
    <row r="57" spans="1:68" ht="14.25" hidden="1" customHeight="1" x14ac:dyDescent="0.25">
      <c r="A57" s="679" t="s">
        <v>136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50</v>
      </c>
      <c r="Y58" s="664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90</v>
      </c>
      <c r="Y61" s="664">
        <f>IFERROR(IF(X61="",0,CEILING((X61/$H61),1)*$H61),"")</f>
        <v>91.800000000000011</v>
      </c>
      <c r="Z61" s="36">
        <f>IFERROR(IF(Y61=0,"",ROUNDUP(Y61/H61,0)*0.00651),"")</f>
        <v>0.22134000000000001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95.999999999999986</v>
      </c>
      <c r="BN61" s="64">
        <f>IFERROR(Y61*I61/H61,"0")</f>
        <v>97.92</v>
      </c>
      <c r="BO61" s="64">
        <f>IFERROR(1/J61*(X61/H61),"0")</f>
        <v>0.18315018315018314</v>
      </c>
      <c r="BP61" s="64">
        <f>IFERROR(1/J61*(Y61/H61),"0")</f>
        <v>0.18681318681318682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37.962962962962962</v>
      </c>
      <c r="Y62" s="665">
        <f>IFERROR(Y58/H58,"0")+IFERROR(Y59/H59,"0")+IFERROR(Y60/H60,"0")+IFERROR(Y61/H61,"0")</f>
        <v>39</v>
      </c>
      <c r="Z62" s="665">
        <f>IFERROR(IF(Z58="",0,Z58),"0")+IFERROR(IF(Z59="",0,Z59),"0")+IFERROR(IF(Z60="",0,Z60),"0")+IFERROR(IF(Z61="",0,Z61),"0")</f>
        <v>0.31624000000000002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140</v>
      </c>
      <c r="Y63" s="665">
        <f>IFERROR(SUM(Y58:Y61),"0")</f>
        <v>145.80000000000001</v>
      </c>
      <c r="Z63" s="37"/>
      <c r="AA63" s="666"/>
      <c r="AB63" s="666"/>
      <c r="AC63" s="666"/>
    </row>
    <row r="64" spans="1:68" ht="14.25" hidden="1" customHeight="1" x14ac:dyDescent="0.25">
      <c r="A64" s="679" t="s">
        <v>147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164</v>
      </c>
      <c r="B73" s="54" t="s">
        <v>165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173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174</v>
      </c>
      <c r="B81" s="54" t="s">
        <v>177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181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70</v>
      </c>
      <c r="Y87" s="664">
        <f>IFERROR(IF(X87="",0,CEILING((X87/$H87),1)*$H87),"")</f>
        <v>75.600000000000009</v>
      </c>
      <c r="Z87" s="36">
        <f>IFERROR(IF(Y87=0,"",ROUNDUP(Y87/H87,0)*0.01898),"")</f>
        <v>0.13286000000000001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72.819444444444429</v>
      </c>
      <c r="BN87" s="64">
        <f>IFERROR(Y87*I87/H87,"0")</f>
        <v>78.64500000000001</v>
      </c>
      <c r="BO87" s="64">
        <f>IFERROR(1/J87*(X87/H87),"0")</f>
        <v>0.10127314814814814</v>
      </c>
      <c r="BP87" s="64">
        <f>IFERROR(1/J87*(Y87/H87),"0")</f>
        <v>0.109375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270</v>
      </c>
      <c r="Y89" s="664">
        <f>IFERROR(IF(X89="",0,CEILING((X89/$H89),1)*$H89),"")</f>
        <v>270</v>
      </c>
      <c r="Z89" s="36">
        <f>IFERROR(IF(Y89=0,"",ROUNDUP(Y89/H89,0)*0.00902),"")</f>
        <v>0.54120000000000001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282.60000000000002</v>
      </c>
      <c r="BN89" s="64">
        <f>IFERROR(Y89*I89/H89,"0")</f>
        <v>282.60000000000002</v>
      </c>
      <c r="BO89" s="64">
        <f>IFERROR(1/J89*(X89/H89),"0")</f>
        <v>0.45454545454545459</v>
      </c>
      <c r="BP89" s="64">
        <f>IFERROR(1/J89*(Y89/H89),"0")</f>
        <v>0.45454545454545459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66.481481481481481</v>
      </c>
      <c r="Y90" s="665">
        <f>IFERROR(Y87/H87,"0")+IFERROR(Y88/H88,"0")+IFERROR(Y89/H89,"0")</f>
        <v>67</v>
      </c>
      <c r="Z90" s="665">
        <f>IFERROR(IF(Z87="",0,Z87),"0")+IFERROR(IF(Z88="",0,Z88),"0")+IFERROR(IF(Z89="",0,Z89),"0")</f>
        <v>0.67405999999999999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340</v>
      </c>
      <c r="Y91" s="665">
        <f>IFERROR(SUM(Y87:Y89),"0")</f>
        <v>345.6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hidden="1" customHeight="1" x14ac:dyDescent="0.25">
      <c r="A93" s="54" t="s">
        <v>190</v>
      </c>
      <c r="B93" s="54" t="s">
        <v>191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19" t="s">
        <v>195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199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203</v>
      </c>
      <c r="Q97" s="668"/>
      <c r="R97" s="668"/>
      <c r="S97" s="668"/>
      <c r="T97" s="669"/>
      <c r="U97" s="34"/>
      <c r="V97" s="34"/>
      <c r="W97" s="35" t="s">
        <v>69</v>
      </c>
      <c r="X97" s="663">
        <v>405</v>
      </c>
      <c r="Y97" s="664">
        <f t="shared" si="16"/>
        <v>405</v>
      </c>
      <c r="Z97" s="36">
        <f>IFERROR(IF(Y97=0,"",ROUNDUP(Y97/H97,0)*0.00651),"")</f>
        <v>0.97650000000000003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442.79999999999995</v>
      </c>
      <c r="BN97" s="64">
        <f t="shared" si="18"/>
        <v>442.79999999999995</v>
      </c>
      <c r="BO97" s="64">
        <f t="shared" si="19"/>
        <v>0.82417582417582425</v>
      </c>
      <c r="BP97" s="64">
        <f t="shared" si="20"/>
        <v>0.82417582417582425</v>
      </c>
    </row>
    <row r="98" spans="1:68" ht="16.5" hidden="1" customHeight="1" x14ac:dyDescent="0.25">
      <c r="A98" s="54" t="s">
        <v>201</v>
      </c>
      <c r="B98" s="54" t="s">
        <v>204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8" t="s">
        <v>205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150</v>
      </c>
      <c r="Y102" s="665">
        <f>IFERROR(Y93/H93,"0")+IFERROR(Y94/H94,"0")+IFERROR(Y95/H95,"0")+IFERROR(Y96/H96,"0")+IFERROR(Y97/H97,"0")+IFERROR(Y98/H98,"0")+IFERROR(Y99/H99,"0")+IFERROR(Y100/H100,"0")+IFERROR(Y101/H101,"0")</f>
        <v>150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0.97650000000000003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405</v>
      </c>
      <c r="Y103" s="665">
        <f>IFERROR(SUM(Y93:Y101),"0")</f>
        <v>405</v>
      </c>
      <c r="Z103" s="37"/>
      <c r="AA103" s="666"/>
      <c r="AB103" s="666"/>
      <c r="AC103" s="666"/>
    </row>
    <row r="104" spans="1:68" ht="16.5" hidden="1" customHeight="1" x14ac:dyDescent="0.25">
      <c r="A104" s="716" t="s">
        <v>212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213</v>
      </c>
      <c r="B106" s="54" t="s">
        <v>214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360</v>
      </c>
      <c r="Y108" s="664">
        <f>IFERROR(IF(X108="",0,CEILING((X108/$H108),1)*$H108),"")</f>
        <v>360</v>
      </c>
      <c r="Z108" s="36">
        <f>IFERROR(IF(Y108=0,"",ROUNDUP(Y108/H108,0)*0.00902),"")</f>
        <v>0.72160000000000002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376.79999999999995</v>
      </c>
      <c r="BN108" s="64">
        <f>IFERROR(Y108*I108/H108,"0")</f>
        <v>376.79999999999995</v>
      </c>
      <c r="BO108" s="64">
        <f>IFERROR(1/J108*(X108/H108),"0")</f>
        <v>0.60606060606060608</v>
      </c>
      <c r="BP108" s="64">
        <f>IFERROR(1/J108*(Y108/H108),"0")</f>
        <v>0.60606060606060608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80</v>
      </c>
      <c r="Y110" s="665">
        <f>IFERROR(Y106/H106,"0")+IFERROR(Y107/H107,"0")+IFERROR(Y108/H108,"0")+IFERROR(Y109/H109,"0")</f>
        <v>80</v>
      </c>
      <c r="Z110" s="665">
        <f>IFERROR(IF(Z106="",0,Z106),"0")+IFERROR(IF(Z107="",0,Z107),"0")+IFERROR(IF(Z108="",0,Z108),"0")+IFERROR(IF(Z109="",0,Z109),"0")</f>
        <v>0.72160000000000002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360</v>
      </c>
      <c r="Y111" s="665">
        <f>IFERROR(SUM(Y106:Y109),"0")</f>
        <v>360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136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229</v>
      </c>
      <c r="B120" s="54" t="s">
        <v>232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800</v>
      </c>
      <c r="Y121" s="664">
        <f t="shared" si="21"/>
        <v>806.40000000000009</v>
      </c>
      <c r="Z121" s="36">
        <f>IFERROR(IF(Y121=0,"",ROUNDUP(Y121/H121,0)*0.01898),"")</f>
        <v>1.8220800000000001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848.85714285714289</v>
      </c>
      <c r="BN121" s="64">
        <f t="shared" si="23"/>
        <v>855.64800000000002</v>
      </c>
      <c r="BO121" s="64">
        <f t="shared" si="24"/>
        <v>1.4880952380952381</v>
      </c>
      <c r="BP121" s="64">
        <f t="shared" si="25"/>
        <v>1.5</v>
      </c>
    </row>
    <row r="122" spans="1:68" ht="37.5" hidden="1" customHeight="1" x14ac:dyDescent="0.25">
      <c r="A122" s="54" t="s">
        <v>237</v>
      </c>
      <c r="B122" s="54" t="s">
        <v>238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239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21" t="s">
        <v>240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315</v>
      </c>
      <c r="Y124" s="664">
        <f t="shared" si="21"/>
        <v>315.90000000000003</v>
      </c>
      <c r="Z124" s="36">
        <f t="shared" si="26"/>
        <v>0.76167000000000007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344.4</v>
      </c>
      <c r="BN124" s="64">
        <f t="shared" si="23"/>
        <v>345.38400000000001</v>
      </c>
      <c r="BO124" s="64">
        <f t="shared" si="24"/>
        <v>0.64102564102564097</v>
      </c>
      <c r="BP124" s="64">
        <f t="shared" si="25"/>
        <v>0.6428571428571429</v>
      </c>
    </row>
    <row r="125" spans="1:68" ht="27" hidden="1" customHeight="1" x14ac:dyDescent="0.25">
      <c r="A125" s="54" t="s">
        <v>241</v>
      </c>
      <c r="B125" s="54" t="s">
        <v>243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8" t="s">
        <v>244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15</v>
      </c>
      <c r="Y126" s="664">
        <f t="shared" si="21"/>
        <v>16.2</v>
      </c>
      <c r="Z126" s="36">
        <f t="shared" si="26"/>
        <v>5.8590000000000003E-2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16.5</v>
      </c>
      <c r="BN126" s="64">
        <f t="shared" si="23"/>
        <v>17.82</v>
      </c>
      <c r="BO126" s="64">
        <f t="shared" si="24"/>
        <v>4.5787545787545791E-2</v>
      </c>
      <c r="BP126" s="64">
        <f t="shared" si="25"/>
        <v>4.9450549450549455E-2</v>
      </c>
    </row>
    <row r="127" spans="1:68" ht="37.5" hidden="1" customHeight="1" x14ac:dyDescent="0.25">
      <c r="A127" s="54" t="s">
        <v>248</v>
      </c>
      <c r="B127" s="54" t="s">
        <v>249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220.23809523809524</v>
      </c>
      <c r="Y128" s="665">
        <f>IFERROR(Y119/H119,"0")+IFERROR(Y120/H120,"0")+IFERROR(Y121/H121,"0")+IFERROR(Y122/H122,"0")+IFERROR(Y123/H123,"0")+IFERROR(Y124/H124,"0")+IFERROR(Y125/H125,"0")+IFERROR(Y126/H126,"0")+IFERROR(Y127/H127,"0")</f>
        <v>222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2.6423400000000004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1130</v>
      </c>
      <c r="Y129" s="665">
        <f>IFERROR(SUM(Y119:Y127),"0")</f>
        <v>1138.5000000000002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173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251</v>
      </c>
      <c r="B131" s="54" t="s">
        <v>252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254</v>
      </c>
      <c r="B132" s="54" t="s">
        <v>255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257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258</v>
      </c>
      <c r="B137" s="54" t="s">
        <v>259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258</v>
      </c>
      <c r="B138" s="54" t="s">
        <v>261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147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262</v>
      </c>
      <c r="B142" s="54" t="s">
        <v>263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262</v>
      </c>
      <c r="B143" s="54" t="s">
        <v>265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266</v>
      </c>
      <c r="B147" s="54" t="s">
        <v>267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266</v>
      </c>
      <c r="B148" s="54" t="s">
        <v>268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269</v>
      </c>
      <c r="B153" s="54" t="s">
        <v>270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147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272</v>
      </c>
      <c r="B157" s="54" t="s">
        <v>273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275</v>
      </c>
      <c r="B158" s="54" t="s">
        <v>276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278</v>
      </c>
      <c r="B159" s="54" t="s">
        <v>279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281</v>
      </c>
      <c r="B160" s="54" t="s">
        <v>282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283</v>
      </c>
      <c r="B164" s="54" t="s">
        <v>284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287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136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147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50</v>
      </c>
      <c r="Y174" s="664">
        <f t="shared" ref="Y174:Y182" si="27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53.214285714285715</v>
      </c>
      <c r="BN174" s="64">
        <f t="shared" ref="BN174:BN182" si="29">IFERROR(Y174*I174/H174,"0")</f>
        <v>53.64</v>
      </c>
      <c r="BO174" s="64">
        <f t="shared" ref="BO174:BO182" si="30">IFERROR(1/J174*(X174/H174),"0")</f>
        <v>9.0187590187590191E-2</v>
      </c>
      <c r="BP174" s="64">
        <f t="shared" ref="BP174:BP182" si="31">IFERROR(1/J174*(Y174/H174),"0")</f>
        <v>9.0909090909090912E-2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30</v>
      </c>
      <c r="Y176" s="664">
        <f t="shared" si="27"/>
        <v>33.6</v>
      </c>
      <c r="Z176" s="36">
        <f>IFERROR(IF(Y176=0,"",ROUNDUP(Y176/H176,0)*0.00902),"")</f>
        <v>7.2160000000000002E-2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31.5</v>
      </c>
      <c r="BN176" s="64">
        <f t="shared" si="29"/>
        <v>35.28</v>
      </c>
      <c r="BO176" s="64">
        <f t="shared" si="30"/>
        <v>5.4112554112554112E-2</v>
      </c>
      <c r="BP176" s="64">
        <f t="shared" si="31"/>
        <v>6.0606060606060608E-2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70</v>
      </c>
      <c r="Y178" s="664">
        <f t="shared" si="27"/>
        <v>71.400000000000006</v>
      </c>
      <c r="Z178" s="36">
        <f>IFERROR(IF(Y178=0,"",ROUNDUP(Y178/H178,0)*0.00502),"")</f>
        <v>0.17068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74.333333333333329</v>
      </c>
      <c r="BN178" s="64">
        <f t="shared" si="29"/>
        <v>75.820000000000007</v>
      </c>
      <c r="BO178" s="64">
        <f t="shared" si="30"/>
        <v>0.14245014245014245</v>
      </c>
      <c r="BP178" s="64">
        <f t="shared" si="31"/>
        <v>0.14529914529914531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90" t="s">
        <v>306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105</v>
      </c>
      <c r="Y180" s="664">
        <f t="shared" si="27"/>
        <v>105</v>
      </c>
      <c r="Z180" s="36">
        <f>IFERROR(IF(Y180=0,"",ROUNDUP(Y180/H180,0)*0.00502),"")</f>
        <v>0.251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110.00000000000001</v>
      </c>
      <c r="BN180" s="64">
        <f t="shared" si="29"/>
        <v>110.00000000000001</v>
      </c>
      <c r="BO180" s="64">
        <f t="shared" si="30"/>
        <v>0.21367521367521369</v>
      </c>
      <c r="BP180" s="64">
        <f t="shared" si="31"/>
        <v>0.21367521367521369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102.38095238095238</v>
      </c>
      <c r="Y183" s="665">
        <f>IFERROR(Y174/H174,"0")+IFERROR(Y175/H175,"0")+IFERROR(Y176/H176,"0")+IFERROR(Y177/H177,"0")+IFERROR(Y178/H178,"0")+IFERROR(Y179/H179,"0")+IFERROR(Y180/H180,"0")+IFERROR(Y181/H181,"0")+IFERROR(Y182/H182,"0")</f>
        <v>104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0.60207999999999995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255</v>
      </c>
      <c r="Y184" s="665">
        <f>IFERROR(SUM(Y174:Y182),"0")</f>
        <v>260.39999999999998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11" t="s">
        <v>319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322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136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147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150</v>
      </c>
      <c r="Y201" s="664">
        <f t="shared" ref="Y201:Y208" si="32">IFERROR(IF(X201="",0,CEILING((X201/$H201),1)*$H201),"")</f>
        <v>151.20000000000002</v>
      </c>
      <c r="Z201" s="36">
        <f>IFERROR(IF(Y201=0,"",ROUNDUP(Y201/H201,0)*0.00902),"")</f>
        <v>0.25256000000000001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155.83333333333331</v>
      </c>
      <c r="BN201" s="64">
        <f t="shared" ref="BN201:BN208" si="34">IFERROR(Y201*I201/H201,"0")</f>
        <v>157.08000000000001</v>
      </c>
      <c r="BO201" s="64">
        <f t="shared" ref="BO201:BO208" si="35">IFERROR(1/J201*(X201/H201),"0")</f>
        <v>0.21043771043771042</v>
      </c>
      <c r="BP201" s="64">
        <f t="shared" ref="BP201:BP208" si="36">IFERROR(1/J201*(Y201/H201),"0")</f>
        <v>0.21212121212121213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60</v>
      </c>
      <c r="Y202" s="664">
        <f t="shared" si="32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62.333333333333336</v>
      </c>
      <c r="BN202" s="64">
        <f t="shared" si="34"/>
        <v>67.320000000000007</v>
      </c>
      <c r="BO202" s="64">
        <f t="shared" si="35"/>
        <v>8.4175084175084181E-2</v>
      </c>
      <c r="BP202" s="64">
        <f t="shared" si="36"/>
        <v>9.0909090909090925E-2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250</v>
      </c>
      <c r="Y203" s="664">
        <f t="shared" si="32"/>
        <v>253.8</v>
      </c>
      <c r="Z203" s="36">
        <f>IFERROR(IF(Y203=0,"",ROUNDUP(Y203/H203,0)*0.00902),"")</f>
        <v>0.42393999999999998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259.72222222222223</v>
      </c>
      <c r="BN203" s="64">
        <f t="shared" si="34"/>
        <v>263.67</v>
      </c>
      <c r="BO203" s="64">
        <f t="shared" si="35"/>
        <v>0.35072951739618402</v>
      </c>
      <c r="BP203" s="64">
        <f t="shared" si="36"/>
        <v>0.35606060606060608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120</v>
      </c>
      <c r="Y204" s="664">
        <f t="shared" si="32"/>
        <v>124.2</v>
      </c>
      <c r="Z204" s="36">
        <f>IFERROR(IF(Y204=0,"",ROUNDUP(Y204/H204,0)*0.00902),"")</f>
        <v>0.20746000000000001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124.66666666666667</v>
      </c>
      <c r="BN204" s="64">
        <f t="shared" si="34"/>
        <v>129.03</v>
      </c>
      <c r="BO204" s="64">
        <f t="shared" si="35"/>
        <v>0.16835016835016836</v>
      </c>
      <c r="BP204" s="64">
        <f t="shared" si="36"/>
        <v>0.17424242424242425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90</v>
      </c>
      <c r="Y205" s="664">
        <f t="shared" si="32"/>
        <v>90</v>
      </c>
      <c r="Z205" s="36">
        <f>IFERROR(IF(Y205=0,"",ROUNDUP(Y205/H205,0)*0.00502),"")</f>
        <v>0.251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96.499999999999986</v>
      </c>
      <c r="BN205" s="64">
        <f t="shared" si="34"/>
        <v>96.499999999999986</v>
      </c>
      <c r="BO205" s="64">
        <f t="shared" si="35"/>
        <v>0.21367521367521369</v>
      </c>
      <c r="BP205" s="64">
        <f t="shared" si="36"/>
        <v>0.21367521367521369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30</v>
      </c>
      <c r="Y206" s="664">
        <f t="shared" si="32"/>
        <v>30.6</v>
      </c>
      <c r="Z206" s="36">
        <f>IFERROR(IF(Y206=0,"",ROUNDUP(Y206/H206,0)*0.00502),"")</f>
        <v>8.5339999999999999E-2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31.666666666666664</v>
      </c>
      <c r="BN206" s="64">
        <f t="shared" si="34"/>
        <v>32.299999999999997</v>
      </c>
      <c r="BO206" s="64">
        <f t="shared" si="35"/>
        <v>7.122507122507124E-2</v>
      </c>
      <c r="BP206" s="64">
        <f t="shared" si="36"/>
        <v>7.2649572649572655E-2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60</v>
      </c>
      <c r="Y207" s="664">
        <f t="shared" si="32"/>
        <v>61.2</v>
      </c>
      <c r="Z207" s="36">
        <f>IFERROR(IF(Y207=0,"",ROUNDUP(Y207/H207,0)*0.00502),"")</f>
        <v>0.17068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63.333333333333329</v>
      </c>
      <c r="BN207" s="64">
        <f t="shared" si="34"/>
        <v>64.599999999999994</v>
      </c>
      <c r="BO207" s="64">
        <f t="shared" si="35"/>
        <v>0.14245014245014248</v>
      </c>
      <c r="BP207" s="64">
        <f t="shared" si="36"/>
        <v>0.14529914529914531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30</v>
      </c>
      <c r="Y208" s="664">
        <f t="shared" si="32"/>
        <v>30.6</v>
      </c>
      <c r="Z208" s="36">
        <f>IFERROR(IF(Y208=0,"",ROUNDUP(Y208/H208,0)*0.00502),"")</f>
        <v>8.5339999999999999E-2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31.666666666666664</v>
      </c>
      <c r="BN208" s="64">
        <f t="shared" si="34"/>
        <v>32.299999999999997</v>
      </c>
      <c r="BO208" s="64">
        <f t="shared" si="35"/>
        <v>7.122507122507124E-2</v>
      </c>
      <c r="BP208" s="64">
        <f t="shared" si="36"/>
        <v>7.2649572649572655E-2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224.07407407407405</v>
      </c>
      <c r="Y209" s="665">
        <f>IFERROR(Y201/H201,"0")+IFERROR(Y202/H202,"0")+IFERROR(Y203/H203,"0")+IFERROR(Y204/H204,"0")+IFERROR(Y205/H205,"0")+IFERROR(Y206/H206,"0")+IFERROR(Y207/H207,"0")+IFERROR(Y208/H208,"0")</f>
        <v>228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1.5845599999999997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790</v>
      </c>
      <c r="Y210" s="665">
        <f>IFERROR(SUM(Y201:Y208),"0")</f>
        <v>806.4000000000002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50</v>
      </c>
      <c r="Y214" s="664">
        <f t="shared" si="37"/>
        <v>52.199999999999996</v>
      </c>
      <c r="Z214" s="36">
        <f>IFERROR(IF(Y214=0,"",ROUNDUP(Y214/H214,0)*0.01898),"")</f>
        <v>0.11388000000000001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52.982758620689658</v>
      </c>
      <c r="BN214" s="64">
        <f t="shared" si="39"/>
        <v>55.313999999999993</v>
      </c>
      <c r="BO214" s="64">
        <f t="shared" si="40"/>
        <v>8.9798850574712652E-2</v>
      </c>
      <c r="BP214" s="64">
        <f t="shared" si="41"/>
        <v>9.375E-2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120</v>
      </c>
      <c r="Y215" s="664">
        <f t="shared" si="37"/>
        <v>120</v>
      </c>
      <c r="Z215" s="36">
        <f t="shared" ref="Z215:Z220" si="42">IFERROR(IF(Y215=0,"",ROUNDUP(Y215/H215,0)*0.00651),"")</f>
        <v>0.32550000000000001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133.5</v>
      </c>
      <c r="BN215" s="64">
        <f t="shared" si="39"/>
        <v>133.5</v>
      </c>
      <c r="BO215" s="64">
        <f t="shared" si="40"/>
        <v>0.27472527472527475</v>
      </c>
      <c r="BP215" s="64">
        <f t="shared" si="41"/>
        <v>0.27472527472527475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200</v>
      </c>
      <c r="Y217" s="664">
        <f t="shared" si="37"/>
        <v>201.6</v>
      </c>
      <c r="Z217" s="36">
        <f t="shared" si="42"/>
        <v>0.54683999999999999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221</v>
      </c>
      <c r="BN217" s="64">
        <f t="shared" si="39"/>
        <v>222.768</v>
      </c>
      <c r="BO217" s="64">
        <f t="shared" si="40"/>
        <v>0.45787545787545797</v>
      </c>
      <c r="BP217" s="64">
        <f t="shared" si="41"/>
        <v>0.46153846153846156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60</v>
      </c>
      <c r="Y219" s="664">
        <f t="shared" si="37"/>
        <v>60</v>
      </c>
      <c r="Z219" s="36">
        <f t="shared" si="42"/>
        <v>0.16275000000000001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66.300000000000011</v>
      </c>
      <c r="BN219" s="64">
        <f t="shared" si="39"/>
        <v>66.300000000000011</v>
      </c>
      <c r="BO219" s="64">
        <f t="shared" si="40"/>
        <v>0.13736263736263737</v>
      </c>
      <c r="BP219" s="64">
        <f t="shared" si="41"/>
        <v>0.13736263736263737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80</v>
      </c>
      <c r="Y220" s="664">
        <f t="shared" si="37"/>
        <v>81.599999999999994</v>
      </c>
      <c r="Z220" s="36">
        <f t="shared" si="42"/>
        <v>0.22134000000000001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88.6</v>
      </c>
      <c r="BN220" s="64">
        <f t="shared" si="39"/>
        <v>90.371999999999986</v>
      </c>
      <c r="BO220" s="64">
        <f t="shared" si="40"/>
        <v>0.18315018315018317</v>
      </c>
      <c r="BP220" s="64">
        <f t="shared" si="41"/>
        <v>0.18681318681318682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197.41379310344828</v>
      </c>
      <c r="Y221" s="665">
        <f>IFERROR(Y212/H212,"0")+IFERROR(Y213/H213,"0")+IFERROR(Y214/H214,"0")+IFERROR(Y215/H215,"0")+IFERROR(Y216/H216,"0")+IFERROR(Y217/H217,"0")+IFERROR(Y218/H218,"0")+IFERROR(Y219/H219,"0")+IFERROR(Y220/H220,"0")</f>
        <v>199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1.3703100000000001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510</v>
      </c>
      <c r="Y222" s="665">
        <f>IFERROR(SUM(Y212:Y220),"0")</f>
        <v>515.4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173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20</v>
      </c>
      <c r="Y225" s="664">
        <f>IFERROR(IF(X225="",0,CEILING((X225/$H225),1)*$H225),"")</f>
        <v>21.599999999999998</v>
      </c>
      <c r="Z225" s="36">
        <f>IFERROR(IF(Y225=0,"",ROUNDUP(Y225/H225,0)*0.00651),"")</f>
        <v>5.8590000000000003E-2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22.100000000000005</v>
      </c>
      <c r="BN225" s="64">
        <f>IFERROR(Y225*I225/H225,"0")</f>
        <v>23.868000000000002</v>
      </c>
      <c r="BO225" s="64">
        <f>IFERROR(1/J225*(X225/H225),"0")</f>
        <v>4.5787545787545791E-2</v>
      </c>
      <c r="BP225" s="64">
        <f>IFERROR(1/J225*(Y225/H225),"0")</f>
        <v>4.9450549450549455E-2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8.3333333333333339</v>
      </c>
      <c r="Y226" s="665">
        <f>IFERROR(Y224/H224,"0")+IFERROR(Y225/H225,"0")</f>
        <v>9</v>
      </c>
      <c r="Z226" s="665">
        <f>IFERROR(IF(Z224="",0,Z224),"0")+IFERROR(IF(Z225="",0,Z225),"0")</f>
        <v>5.8590000000000003E-2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20</v>
      </c>
      <c r="Y227" s="665">
        <f>IFERROR(SUM(Y224:Y225),"0")</f>
        <v>21.599999999999998</v>
      </c>
      <c r="Z227" s="37"/>
      <c r="AA227" s="666"/>
      <c r="AB227" s="666"/>
      <c r="AC227" s="666"/>
    </row>
    <row r="228" spans="1:68" ht="16.5" hidden="1" customHeight="1" x14ac:dyDescent="0.25">
      <c r="A228" s="716" t="s">
        <v>383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136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75">
        <v>4680115885721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75">
        <v>4680115885981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408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792" t="s">
        <v>411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413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418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436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440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449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80</v>
      </c>
      <c r="Y279" s="664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80</v>
      </c>
      <c r="Y280" s="664">
        <f>IFERROR(IF(X280="",0,CEILING((X280/$H280),1)*$H280),"")</f>
        <v>81.599999999999994</v>
      </c>
      <c r="Z280" s="36">
        <f>IFERROR(IF(Y280=0,"",ROUNDUP(Y280/H280,0)*0.00651),"")</f>
        <v>0.22134000000000001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86</v>
      </c>
      <c r="BN280" s="64">
        <f>IFERROR(Y280*I280/H280,"0")</f>
        <v>87.72</v>
      </c>
      <c r="BO280" s="64">
        <f>IFERROR(1/J280*(X280/H280),"0")</f>
        <v>0.18315018315018317</v>
      </c>
      <c r="BP280" s="64">
        <f>IFERROR(1/J280*(Y280/H280),"0")</f>
        <v>0.18681318681318682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66.666666666666671</v>
      </c>
      <c r="Y282" s="665">
        <f>IFERROR(Y277/H277,"0")+IFERROR(Y278/H278,"0")+IFERROR(Y279/H279,"0")+IFERROR(Y280/H280,"0")+IFERROR(Y281/H281,"0")</f>
        <v>68</v>
      </c>
      <c r="Z282" s="665">
        <f>IFERROR(IF(Z277="",0,Z277),"0")+IFERROR(IF(Z278="",0,Z278),"0")+IFERROR(IF(Z279="",0,Z279),"0")+IFERROR(IF(Z280="",0,Z280),"0")+IFERROR(IF(Z281="",0,Z281),"0")</f>
        <v>0.44268000000000002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160</v>
      </c>
      <c r="Y283" s="665">
        <f>IFERROR(SUM(Y277:Y281),"0")</f>
        <v>163.19999999999999</v>
      </c>
      <c r="Z283" s="37"/>
      <c r="AA283" s="666"/>
      <c r="AB283" s="666"/>
      <c r="AC283" s="666"/>
    </row>
    <row r="284" spans="1:68" ht="16.5" hidden="1" customHeight="1" x14ac:dyDescent="0.25">
      <c r="A284" s="716" t="s">
        <v>463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147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473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477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147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105</v>
      </c>
      <c r="Y308" s="664">
        <f>IFERROR(IF(X308="",0,CEILING((X308/$H308),1)*$H308),"")</f>
        <v>105</v>
      </c>
      <c r="Z308" s="36">
        <f>IFERROR(IF(Y308=0,"",ROUNDUP(Y308/H308,0)*0.00502),"")</f>
        <v>0.251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110.00000000000001</v>
      </c>
      <c r="BN308" s="64">
        <f>IFERROR(Y308*I308/H308,"0")</f>
        <v>110.00000000000001</v>
      </c>
      <c r="BO308" s="64">
        <f>IFERROR(1/J308*(X308/H308),"0")</f>
        <v>0.21367521367521369</v>
      </c>
      <c r="BP308" s="64">
        <f>IFERROR(1/J308*(Y308/H308),"0")</f>
        <v>0.21367521367521369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50</v>
      </c>
      <c r="Y310" s="665">
        <f>IFERROR(Y308/H308,"0")+IFERROR(Y309/H309,"0")</f>
        <v>50</v>
      </c>
      <c r="Z310" s="665">
        <f>IFERROR(IF(Z308="",0,Z308),"0")+IFERROR(IF(Z309="",0,Z309),"0")</f>
        <v>0.251</v>
      </c>
      <c r="AA310" s="666"/>
      <c r="AB310" s="666"/>
      <c r="AC310" s="666"/>
    </row>
    <row r="311" spans="1:68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105</v>
      </c>
      <c r="Y311" s="665">
        <f>IFERROR(SUM(Y308:Y309),"0")</f>
        <v>105</v>
      </c>
      <c r="Z311" s="37"/>
      <c r="AA311" s="666"/>
      <c r="AB311" s="666"/>
      <c r="AC311" s="666"/>
    </row>
    <row r="312" spans="1:68" ht="16.5" hidden="1" customHeight="1" x14ac:dyDescent="0.25">
      <c r="A312" s="716" t="s">
        <v>485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490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4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494</v>
      </c>
      <c r="B321" s="54" t="s">
        <v>497</v>
      </c>
      <c r="C321" s="31">
        <v>4301012016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147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173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30</v>
      </c>
      <c r="Y343" s="664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200</v>
      </c>
      <c r="Y344" s="664">
        <f>IFERROR(IF(X344="",0,CEILING((X344/$H344),1)*$H344),"")</f>
        <v>202.79999999999998</v>
      </c>
      <c r="Z344" s="36">
        <f>IFERROR(IF(Y344=0,"",ROUNDUP(Y344/H344,0)*0.01898),"")</f>
        <v>0.49348000000000003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213.30769230769235</v>
      </c>
      <c r="BN344" s="64">
        <f>IFERROR(Y344*I344/H344,"0")</f>
        <v>216.29400000000001</v>
      </c>
      <c r="BO344" s="64">
        <f>IFERROR(1/J344*(X344/H344),"0")</f>
        <v>0.40064102564102566</v>
      </c>
      <c r="BP344" s="64">
        <f>IFERROR(1/J344*(Y344/H344),"0")</f>
        <v>0.40625</v>
      </c>
    </row>
    <row r="345" spans="1:68" ht="16.5" hidden="1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29.212454212454212</v>
      </c>
      <c r="Y346" s="665">
        <f>IFERROR(Y343/H343,"0")+IFERROR(Y344/H344,"0")+IFERROR(Y345/H345,"0")</f>
        <v>30</v>
      </c>
      <c r="Z346" s="665">
        <f>IFERROR(IF(Z343="",0,Z343),"0")+IFERROR(IF(Z344="",0,Z344),"0")+IFERROR(IF(Z345="",0,Z345),"0")</f>
        <v>0.56940000000000002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230</v>
      </c>
      <c r="Y347" s="665">
        <f>IFERROR(SUM(Y343:Y345),"0")</f>
        <v>236.39999999999998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147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350</v>
      </c>
      <c r="Y368" s="664">
        <f>IFERROR(IF(X368="",0,CEILING((X368/$H368),1)*$H368),"")</f>
        <v>350.7</v>
      </c>
      <c r="Z368" s="36">
        <f>IFERROR(IF(Y368=0,"",ROUNDUP(Y368/H368,0)*0.00651),"")</f>
        <v>1.08717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391.99999999999994</v>
      </c>
      <c r="BN368" s="64">
        <f>IFERROR(Y368*I368/H368,"0")</f>
        <v>392.78399999999993</v>
      </c>
      <c r="BO368" s="64">
        <f>IFERROR(1/J368*(X368/H368),"0")</f>
        <v>0.91575091575091572</v>
      </c>
      <c r="BP368" s="64">
        <f>IFERROR(1/J368*(Y368/H368),"0")</f>
        <v>0.91758241758241765</v>
      </c>
    </row>
    <row r="369" spans="1:68" ht="27" hidden="1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166.66666666666666</v>
      </c>
      <c r="Y370" s="665">
        <f>IFERROR(Y367/H367,"0")+IFERROR(Y368/H368,"0")+IFERROR(Y369/H369,"0")</f>
        <v>167</v>
      </c>
      <c r="Z370" s="665">
        <f>IFERROR(IF(Z367="",0,Z367),"0")+IFERROR(IF(Z368="",0,Z368),"0")+IFERROR(IF(Z369="",0,Z369),"0")</f>
        <v>1.08717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350</v>
      </c>
      <c r="Y371" s="665">
        <f>IFERROR(SUM(Y367:Y369),"0")</f>
        <v>350.7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27" hidden="1" customHeight="1" x14ac:dyDescent="0.25">
      <c r="A375" s="54" t="s">
        <v>581</v>
      </c>
      <c r="B375" s="54" t="s">
        <v>582</v>
      </c>
      <c r="C375" s="31">
        <v>4301011946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2000</v>
      </c>
      <c r="Y376" s="664">
        <f t="shared" si="58"/>
        <v>2010</v>
      </c>
      <c r="Z376" s="36">
        <f>IFERROR(IF(Y376=0,"",ROUNDUP(Y376/H376,0)*0.02175),"")</f>
        <v>2.9144999999999999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2064</v>
      </c>
      <c r="BN376" s="64">
        <f t="shared" si="60"/>
        <v>2074.3200000000002</v>
      </c>
      <c r="BO376" s="64">
        <f t="shared" si="61"/>
        <v>2.7777777777777777</v>
      </c>
      <c r="BP376" s="64">
        <f t="shared" si="62"/>
        <v>2.7916666666666665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4301011947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93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1000</v>
      </c>
      <c r="Y378" s="664">
        <f t="shared" si="58"/>
        <v>1005</v>
      </c>
      <c r="Z378" s="36">
        <f>IFERROR(IF(Y378=0,"",ROUNDUP(Y378/H378,0)*0.02175),"")</f>
        <v>1.4572499999999999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1032</v>
      </c>
      <c r="BN378" s="64">
        <f t="shared" si="60"/>
        <v>1037.1600000000001</v>
      </c>
      <c r="BO378" s="64">
        <f t="shared" si="61"/>
        <v>1.3888888888888888</v>
      </c>
      <c r="BP378" s="64">
        <f t="shared" si="62"/>
        <v>1.3958333333333333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4301011943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200</v>
      </c>
      <c r="Y380" s="664">
        <f t="shared" si="58"/>
        <v>210</v>
      </c>
      <c r="Z380" s="36">
        <f>IFERROR(IF(Y380=0,"",ROUNDUP(Y380/H380,0)*0.02175),"")</f>
        <v>0.30449999999999999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206.4</v>
      </c>
      <c r="BN380" s="64">
        <f t="shared" si="60"/>
        <v>216.72</v>
      </c>
      <c r="BO380" s="64">
        <f t="shared" si="61"/>
        <v>0.27777777777777779</v>
      </c>
      <c r="BP380" s="64">
        <f t="shared" si="62"/>
        <v>0.29166666666666663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6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1750</v>
      </c>
      <c r="Y381" s="664">
        <f t="shared" si="58"/>
        <v>1755</v>
      </c>
      <c r="Z381" s="36">
        <f>IFERROR(IF(Y381=0,"",ROUNDUP(Y381/H381,0)*0.02175),"")</f>
        <v>2.5447499999999996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1806</v>
      </c>
      <c r="BN381" s="64">
        <f t="shared" si="60"/>
        <v>1811.16</v>
      </c>
      <c r="BO381" s="64">
        <f t="shared" si="61"/>
        <v>2.4305555555555554</v>
      </c>
      <c r="BP381" s="64">
        <f t="shared" si="62"/>
        <v>2.4375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330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332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7.2209999999999992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4950</v>
      </c>
      <c r="Y386" s="665">
        <f>IFERROR(SUM(Y375:Y384),"0")</f>
        <v>4980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136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1300</v>
      </c>
      <c r="Y388" s="664">
        <f>IFERROR(IF(X388="",0,CEILING((X388/$H388),1)*$H388),"")</f>
        <v>1305</v>
      </c>
      <c r="Z388" s="36">
        <f>IFERROR(IF(Y388=0,"",ROUNDUP(Y388/H388,0)*0.02175),"")</f>
        <v>1.8922499999999998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1341.6</v>
      </c>
      <c r="BN388" s="64">
        <f>IFERROR(Y388*I388/H388,"0")</f>
        <v>1346.76</v>
      </c>
      <c r="BO388" s="64">
        <f>IFERROR(1/J388*(X388/H388),"0")</f>
        <v>1.8055555555555556</v>
      </c>
      <c r="BP388" s="64">
        <f>IFERROR(1/J388*(Y388/H388),"0")</f>
        <v>1.8125</v>
      </c>
    </row>
    <row r="389" spans="1:68" ht="27" hidden="1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86.666666666666671</v>
      </c>
      <c r="Y390" s="665">
        <f>IFERROR(Y388/H388,"0")+IFERROR(Y389/H389,"0")</f>
        <v>87</v>
      </c>
      <c r="Z390" s="665">
        <f>IFERROR(IF(Z388="",0,Z388),"0")+IFERROR(IF(Z389="",0,Z389),"0")</f>
        <v>1.8922499999999998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1300</v>
      </c>
      <c r="Y391" s="665">
        <f>IFERROR(SUM(Y388:Y389),"0")</f>
        <v>1305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173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30</v>
      </c>
      <c r="Y398" s="664">
        <f>IFERROR(IF(X398="",0,CEILING((X398/$H398),1)*$H398),"")</f>
        <v>36</v>
      </c>
      <c r="Z398" s="36">
        <f>IFERROR(IF(Y398=0,"",ROUNDUP(Y398/H398,0)*0.01898),"")</f>
        <v>7.5920000000000001E-2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31.73</v>
      </c>
      <c r="BN398" s="64">
        <f>IFERROR(Y398*I398/H398,"0")</f>
        <v>38.076000000000001</v>
      </c>
      <c r="BO398" s="64">
        <f>IFERROR(1/J398*(X398/H398),"0")</f>
        <v>5.2083333333333336E-2</v>
      </c>
      <c r="BP398" s="64">
        <f>IFERROR(1/J398*(Y398/H398),"0")</f>
        <v>6.25E-2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3.3333333333333335</v>
      </c>
      <c r="Y399" s="665">
        <f>IFERROR(Y398/H398,"0")</f>
        <v>4</v>
      </c>
      <c r="Z399" s="665">
        <f>IFERROR(IF(Z398="",0,Z398),"0")</f>
        <v>7.5920000000000001E-2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30</v>
      </c>
      <c r="Y400" s="665">
        <f>IFERROR(SUM(Y398:Y398),"0")</f>
        <v>36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50</v>
      </c>
      <c r="Y406" s="664">
        <f>IFERROR(IF(X406="",0,CEILING((X406/$H406),1)*$H406),"")</f>
        <v>60</v>
      </c>
      <c r="Z406" s="36">
        <f>IFERROR(IF(Y406=0,"",ROUNDUP(Y406/H406,0)*0.01898),"")</f>
        <v>9.4899999999999998E-2</v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51.8125</v>
      </c>
      <c r="BN406" s="64">
        <f>IFERROR(Y406*I406/H406,"0")</f>
        <v>62.175000000000004</v>
      </c>
      <c r="BO406" s="64">
        <f>IFERROR(1/J406*(X406/H406),"0")</f>
        <v>6.5104166666666671E-2</v>
      </c>
      <c r="BP406" s="64">
        <f>IFERROR(1/J406*(Y406/H406),"0")</f>
        <v>7.8125E-2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4.166666666666667</v>
      </c>
      <c r="Y408" s="665">
        <f>IFERROR(Y403/H403,"0")+IFERROR(Y404/H404,"0")+IFERROR(Y405/H405,"0")+IFERROR(Y406/H406,"0")+IFERROR(Y407/H407,"0")</f>
        <v>5</v>
      </c>
      <c r="Z408" s="665">
        <f>IFERROR(IF(Z403="",0,Z403),"0")+IFERROR(IF(Z404="",0,Z404),"0")+IFERROR(IF(Z405="",0,Z405),"0")+IFERROR(IF(Z406="",0,Z406),"0")+IFERROR(IF(Z407="",0,Z407),"0")</f>
        <v>9.4899999999999998E-2</v>
      </c>
      <c r="AA408" s="666"/>
      <c r="AB408" s="666"/>
      <c r="AC408" s="666"/>
    </row>
    <row r="409" spans="1:68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50</v>
      </c>
      <c r="Y409" s="665">
        <f>IFERROR(SUM(Y403:Y407),"0")</f>
        <v>60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147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173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147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4301031382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4301031406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105</v>
      </c>
      <c r="Y436" s="664">
        <f t="shared" si="63"/>
        <v>105</v>
      </c>
      <c r="Z436" s="36">
        <f t="shared" si="68"/>
        <v>0.251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111.5</v>
      </c>
      <c r="BN436" s="64">
        <f t="shared" si="65"/>
        <v>111.5</v>
      </c>
      <c r="BO436" s="64">
        <f t="shared" si="66"/>
        <v>0.21367521367521369</v>
      </c>
      <c r="BP436" s="64">
        <f t="shared" si="67"/>
        <v>0.21367521367521369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17.5</v>
      </c>
      <c r="Y437" s="664">
        <f t="shared" si="63"/>
        <v>18.900000000000002</v>
      </c>
      <c r="Z437" s="36">
        <f t="shared" si="68"/>
        <v>4.5179999999999998E-2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18.583333333333332</v>
      </c>
      <c r="BN437" s="64">
        <f t="shared" si="65"/>
        <v>20.07</v>
      </c>
      <c r="BO437" s="64">
        <f t="shared" si="66"/>
        <v>3.5612535612535613E-2</v>
      </c>
      <c r="BP437" s="64">
        <f t="shared" si="67"/>
        <v>3.8461538461538464E-2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70</v>
      </c>
      <c r="Y440" s="664">
        <f t="shared" si="63"/>
        <v>71.400000000000006</v>
      </c>
      <c r="Z440" s="36">
        <f t="shared" si="68"/>
        <v>0.17068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74.333333333333329</v>
      </c>
      <c r="BN440" s="64">
        <f t="shared" si="65"/>
        <v>75.820000000000007</v>
      </c>
      <c r="BO440" s="64">
        <f t="shared" si="66"/>
        <v>0.14245014245014245</v>
      </c>
      <c r="BP440" s="64">
        <f t="shared" si="67"/>
        <v>0.14529914529914531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91.666666666666657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93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0.46686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192.5</v>
      </c>
      <c r="Y443" s="665">
        <f>IFERROR(SUM(Y430:Y441),"0")</f>
        <v>195.3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136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147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147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173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50</v>
      </c>
      <c r="Y480" s="664">
        <f t="shared" ref="Y480:Y494" si="69">IFERROR(IF(X480="",0,CEILING((X480/$H480),1)*$H480),"")</f>
        <v>52.800000000000004</v>
      </c>
      <c r="Z480" s="36">
        <f>IFERROR(IF(Y480=0,"",ROUNDUP(Y480/H480,0)*0.01196),"")</f>
        <v>0.1196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53.409090909090907</v>
      </c>
      <c r="BN480" s="64">
        <f t="shared" ref="BN480:BN494" si="71">IFERROR(Y480*I480/H480,"0")</f>
        <v>56.400000000000006</v>
      </c>
      <c r="BO480" s="64">
        <f t="shared" ref="BO480:BO494" si="72">IFERROR(1/J480*(X480/H480),"0")</f>
        <v>9.1054778554778545E-2</v>
      </c>
      <c r="BP480" s="64">
        <f t="shared" ref="BP480:BP494" si="73">IFERROR(1/J480*(Y480/H480),"0")</f>
        <v>9.6153846153846159E-2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50</v>
      </c>
      <c r="Y482" s="664">
        <f t="shared" si="69"/>
        <v>52.800000000000004</v>
      </c>
      <c r="Z482" s="36">
        <f>IFERROR(IF(Y482=0,"",ROUNDUP(Y482/H482,0)*0.01196),"")</f>
        <v>0.1196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53.409090909090907</v>
      </c>
      <c r="BN482" s="64">
        <f t="shared" si="71"/>
        <v>56.400000000000006</v>
      </c>
      <c r="BO482" s="64">
        <f t="shared" si="72"/>
        <v>9.1054778554778545E-2</v>
      </c>
      <c r="BP482" s="64">
        <f t="shared" si="73"/>
        <v>9.6153846153846159E-2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200</v>
      </c>
      <c r="Y483" s="664">
        <f t="shared" si="69"/>
        <v>200.64000000000001</v>
      </c>
      <c r="Z483" s="36">
        <f>IFERROR(IF(Y483=0,"",ROUNDUP(Y483/H483,0)*0.01196),"")</f>
        <v>0.45448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213.63636363636363</v>
      </c>
      <c r="BN483" s="64">
        <f t="shared" si="71"/>
        <v>214.32</v>
      </c>
      <c r="BO483" s="64">
        <f t="shared" si="72"/>
        <v>0.36421911421911418</v>
      </c>
      <c r="BP483" s="64">
        <f t="shared" si="73"/>
        <v>0.36538461538461542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4301012035</v>
      </c>
      <c r="D486" s="675">
        <v>4680115880603</v>
      </c>
      <c r="E486" s="676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75">
        <v>4680115880603</v>
      </c>
      <c r="E487" s="676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60</v>
      </c>
      <c r="Y487" s="664">
        <f t="shared" si="69"/>
        <v>61.2</v>
      </c>
      <c r="Z487" s="36">
        <f>IFERROR(IF(Y487=0,"",ROUNDUP(Y487/H487,0)*0.00902),"")</f>
        <v>0.15334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63.5</v>
      </c>
      <c r="BN487" s="64">
        <f t="shared" si="71"/>
        <v>64.77000000000001</v>
      </c>
      <c r="BO487" s="64">
        <f t="shared" si="72"/>
        <v>0.12626262626262627</v>
      </c>
      <c r="BP487" s="64">
        <f t="shared" si="73"/>
        <v>0.12878787878787878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4301012034</v>
      </c>
      <c r="D492" s="675">
        <v>4607091389982</v>
      </c>
      <c r="E492" s="676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75">
        <v>4607091389982</v>
      </c>
      <c r="E493" s="676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60</v>
      </c>
      <c r="Y493" s="664">
        <f t="shared" si="69"/>
        <v>61.2</v>
      </c>
      <c r="Z493" s="36">
        <f>IFERROR(IF(Y493=0,"",ROUNDUP(Y493/H493,0)*0.00902),"")</f>
        <v>0.15334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63.5</v>
      </c>
      <c r="BN493" s="64">
        <f t="shared" si="71"/>
        <v>64.77000000000001</v>
      </c>
      <c r="BO493" s="64">
        <f t="shared" si="72"/>
        <v>0.12626262626262627</v>
      </c>
      <c r="BP493" s="64">
        <f t="shared" si="73"/>
        <v>0.12878787878787878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90.151515151515156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92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1.0003599999999999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420</v>
      </c>
      <c r="Y496" s="665">
        <f>IFERROR(SUM(Y480:Y494),"0")</f>
        <v>428.64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136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4301020334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5" t="s">
        <v>773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32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100</v>
      </c>
      <c r="Y499" s="664">
        <f>IFERROR(IF(X499="",0,CEILING((X499/$H499),1)*$H499),"")</f>
        <v>100.32000000000001</v>
      </c>
      <c r="Z499" s="36">
        <f>IFERROR(IF(Y499=0,"",ROUNDUP(Y499/H499,0)*0.01196),"")</f>
        <v>0.22724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106.81818181818181</v>
      </c>
      <c r="BN499" s="64">
        <f>IFERROR(Y499*I499/H499,"0")</f>
        <v>107.16</v>
      </c>
      <c r="BO499" s="64">
        <f>IFERROR(1/J499*(X499/H499),"0")</f>
        <v>0.18210955710955709</v>
      </c>
      <c r="BP499" s="64">
        <f>IFERROR(1/J499*(Y499/H499),"0")</f>
        <v>0.18269230769230771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18.939393939393938</v>
      </c>
      <c r="Y502" s="665">
        <f>IFERROR(Y498/H498,"0")+IFERROR(Y499/H499,"0")+IFERROR(Y500/H500,"0")+IFERROR(Y501/H501,"0")</f>
        <v>19</v>
      </c>
      <c r="Z502" s="665">
        <f>IFERROR(IF(Z498="",0,Z498),"0")+IFERROR(IF(Z499="",0,Z499),"0")+IFERROR(IF(Z500="",0,Z500),"0")+IFERROR(IF(Z501="",0,Z501),"0")</f>
        <v>0.22724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100</v>
      </c>
      <c r="Y503" s="665">
        <f>IFERROR(SUM(Y498:Y501),"0")</f>
        <v>100.32000000000001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147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40</v>
      </c>
      <c r="Y506" s="664">
        <f t="shared" si="74"/>
        <v>42.24</v>
      </c>
      <c r="Z506" s="36">
        <f>IFERROR(IF(Y506=0,"",ROUNDUP(Y506/H506,0)*0.01196),"")</f>
        <v>9.5680000000000001E-2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42.727272727272727</v>
      </c>
      <c r="BN506" s="64">
        <f t="shared" si="76"/>
        <v>45.12</v>
      </c>
      <c r="BO506" s="64">
        <f t="shared" si="77"/>
        <v>7.2843822843822847E-2</v>
      </c>
      <c r="BP506" s="64">
        <f t="shared" si="78"/>
        <v>7.6923076923076927E-2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120</v>
      </c>
      <c r="Y507" s="664">
        <f t="shared" si="74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128.18181818181816</v>
      </c>
      <c r="BN507" s="64">
        <f t="shared" si="76"/>
        <v>129.72</v>
      </c>
      <c r="BO507" s="64">
        <f t="shared" si="77"/>
        <v>0.21853146853146854</v>
      </c>
      <c r="BP507" s="64">
        <f t="shared" si="78"/>
        <v>0.22115384615384617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4301031351</v>
      </c>
      <c r="D509" s="675">
        <v>4680115882072</v>
      </c>
      <c r="E509" s="676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4301031383</v>
      </c>
      <c r="D510" s="675">
        <v>4680115882072</v>
      </c>
      <c r="E510" s="676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94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4301031419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7" t="s">
        <v>804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IFERROR(IF(Y511=0,"",ROUNDUP(Y511/H511,0)*0.00902),"")</f>
        <v/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4301031384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812</v>
      </c>
      <c r="C515" s="31">
        <v>4301031253</v>
      </c>
      <c r="D515" s="675">
        <v>4680115882096</v>
      </c>
      <c r="E515" s="676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814</v>
      </c>
      <c r="C516" s="31">
        <v>4301031417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37" t="s">
        <v>815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30.303030303030301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31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0.37075999999999998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160</v>
      </c>
      <c r="Y518" s="665">
        <f>IFERROR(SUM(Y505:Y516),"0")</f>
        <v>163.68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173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136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147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4301051887</v>
      </c>
      <c r="D560" s="675">
        <v>4640242180533</v>
      </c>
      <c r="E560" s="676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75">
        <v>4640242180533</v>
      </c>
      <c r="E561" s="676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400</v>
      </c>
      <c r="Y561" s="664">
        <f>IFERROR(IF(X561="",0,CEILING((X561/$H561),1)*$H561),"")</f>
        <v>405</v>
      </c>
      <c r="Z561" s="36">
        <f>IFERROR(IF(Y561=0,"",ROUNDUP(Y561/H561,0)*0.01898),"")</f>
        <v>0.85409999999999997</v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423.06666666666666</v>
      </c>
      <c r="BN561" s="64">
        <f>IFERROR(Y561*I561/H561,"0")</f>
        <v>428.35500000000002</v>
      </c>
      <c r="BO561" s="64">
        <f>IFERROR(1/J561*(X561/H561),"0")</f>
        <v>0.69444444444444442</v>
      </c>
      <c r="BP561" s="64">
        <f>IFERROR(1/J561*(Y561/H561),"0")</f>
        <v>0.703125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44.444444444444443</v>
      </c>
      <c r="Y565" s="665">
        <f>IFERROR(Y560/H560,"0")+IFERROR(Y561/H561,"0")+IFERROR(Y562/H562,"0")+IFERROR(Y563/H563,"0")+IFERROR(Y564/H564,"0")</f>
        <v>45</v>
      </c>
      <c r="Z565" s="665">
        <f>IFERROR(IF(Z560="",0,Z560),"0")+IFERROR(IF(Z561="",0,Z561),"0")+IFERROR(IF(Z562="",0,Z562),"0")+IFERROR(IF(Z563="",0,Z563),"0")+IFERROR(IF(Z564="",0,Z564),"0")</f>
        <v>0.85409999999999997</v>
      </c>
      <c r="AA565" s="666"/>
      <c r="AB565" s="666"/>
      <c r="AC565" s="666"/>
    </row>
    <row r="566" spans="1:68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400</v>
      </c>
      <c r="Y566" s="665">
        <f>IFERROR(SUM(Y560:Y564),"0")</f>
        <v>405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173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4301060485</v>
      </c>
      <c r="D568" s="675">
        <v>4640242180120</v>
      </c>
      <c r="E568" s="676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4301060496</v>
      </c>
      <c r="D569" s="675">
        <v>4640242180120</v>
      </c>
      <c r="E569" s="676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4301060486</v>
      </c>
      <c r="D570" s="675">
        <v>4640242180137</v>
      </c>
      <c r="E570" s="676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4301060498</v>
      </c>
      <c r="D571" s="675">
        <v>4640242180137</v>
      </c>
      <c r="E571" s="676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136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147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12947.5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13084.339999999998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13596.134213554646</v>
      </c>
      <c r="Y592" s="665">
        <f>IFERROR(SUM(BN22:BN588),"0")</f>
        <v>13739.851999999999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22</v>
      </c>
      <c r="Y593" s="38">
        <f>ROUNDUP(SUM(BP22:BP588),0)</f>
        <v>22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14146.134213554646</v>
      </c>
      <c r="Y594" s="665">
        <f>GrossWeightTotalR+PalletQtyTotalR*25</f>
        <v>14289.851999999999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2216.5096046992603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2239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24.643959999999996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286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181</v>
      </c>
      <c r="F599" s="693" t="s">
        <v>212</v>
      </c>
      <c r="G599" s="693" t="s">
        <v>257</v>
      </c>
      <c r="H599" s="693" t="s">
        <v>96</v>
      </c>
      <c r="I599" s="693" t="s">
        <v>287</v>
      </c>
      <c r="J599" s="693" t="s">
        <v>322</v>
      </c>
      <c r="K599" s="693" t="s">
        <v>383</v>
      </c>
      <c r="L599" s="693" t="s">
        <v>418</v>
      </c>
      <c r="M599" s="693" t="s">
        <v>436</v>
      </c>
      <c r="N599" s="661"/>
      <c r="O599" s="693" t="s">
        <v>440</v>
      </c>
      <c r="P599" s="693" t="s">
        <v>449</v>
      </c>
      <c r="Q599" s="693" t="s">
        <v>463</v>
      </c>
      <c r="R599" s="693" t="s">
        <v>473</v>
      </c>
      <c r="S599" s="693" t="s">
        <v>477</v>
      </c>
      <c r="T599" s="693" t="s">
        <v>485</v>
      </c>
      <c r="U599" s="693" t="s">
        <v>490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286.39999999999998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415.8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750.6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1498.5000000000002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260.39999999999998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1343.4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163.19999999999999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105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236.39999999999998</v>
      </c>
      <c r="V601" s="46">
        <f>IFERROR(Y363*1,"0")+IFERROR(Y367*1,"0")+IFERROR(Y368*1,"0")+IFERROR(Y369*1,"0")</f>
        <v>350.7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6321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195.3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692.6400000000001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405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30,00"/>
        <filter val="1 300,00"/>
        <filter val="1 750,00"/>
        <filter val="100,00"/>
        <filter val="102,38"/>
        <filter val="105,00"/>
        <filter val="12 947,50"/>
        <filter val="120,00"/>
        <filter val="13 596,13"/>
        <filter val="14 146,13"/>
        <filter val="140,00"/>
        <filter val="15,00"/>
        <filter val="150,00"/>
        <filter val="160,00"/>
        <filter val="166,67"/>
        <filter val="17,50"/>
        <filter val="18,94"/>
        <filter val="192,50"/>
        <filter val="197,41"/>
        <filter val="2 000,00"/>
        <filter val="2 216,51"/>
        <filter val="20,00"/>
        <filter val="200,00"/>
        <filter val="22"/>
        <filter val="220,24"/>
        <filter val="224,07"/>
        <filter val="230,00"/>
        <filter val="250,00"/>
        <filter val="255,00"/>
        <filter val="270,00"/>
        <filter val="280,00"/>
        <filter val="29,21"/>
        <filter val="3,33"/>
        <filter val="30,00"/>
        <filter val="30,30"/>
        <filter val="315,00"/>
        <filter val="330,00"/>
        <filter val="340,00"/>
        <filter val="350,00"/>
        <filter val="360,00"/>
        <filter val="37,96"/>
        <filter val="4 950,00"/>
        <filter val="4,17"/>
        <filter val="40,00"/>
        <filter val="400,00"/>
        <filter val="405,00"/>
        <filter val="420,00"/>
        <filter val="44,44"/>
        <filter val="50,00"/>
        <filter val="510,00"/>
        <filter val="57,41"/>
        <filter val="60,00"/>
        <filter val="66,48"/>
        <filter val="66,67"/>
        <filter val="70,00"/>
        <filter val="790,00"/>
        <filter val="8,33"/>
        <filter val="80,00"/>
        <filter val="800,00"/>
        <filter val="86,67"/>
        <filter val="90,00"/>
        <filter val="90,15"/>
        <filter val="91,67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2025-04-16T12:27:56Z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