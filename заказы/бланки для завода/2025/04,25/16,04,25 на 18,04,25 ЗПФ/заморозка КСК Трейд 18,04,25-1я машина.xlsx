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E00539C-715D-4CC6-B70C-CA96E137BC1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Y325" i="1"/>
  <c r="X325" i="1"/>
  <c r="Y324" i="1"/>
  <c r="X324" i="1"/>
  <c r="BP323" i="1"/>
  <c r="BO323" i="1"/>
  <c r="BN323" i="1"/>
  <c r="BM323" i="1"/>
  <c r="Z323" i="1"/>
  <c r="Z324" i="1" s="1"/>
  <c r="Y323" i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O306" i="1"/>
  <c r="BM306" i="1"/>
  <c r="Z306" i="1"/>
  <c r="Y306" i="1"/>
  <c r="BP306" i="1" s="1"/>
  <c r="BO305" i="1"/>
  <c r="BM305" i="1"/>
  <c r="Z305" i="1"/>
  <c r="Y305" i="1"/>
  <c r="BP305" i="1" s="1"/>
  <c r="P305" i="1"/>
  <c r="BO304" i="1"/>
  <c r="BM304" i="1"/>
  <c r="Z304" i="1"/>
  <c r="Y304" i="1"/>
  <c r="BO303" i="1"/>
  <c r="BM303" i="1"/>
  <c r="Z303" i="1"/>
  <c r="Y303" i="1"/>
  <c r="P303" i="1"/>
  <c r="BO302" i="1"/>
  <c r="BM302" i="1"/>
  <c r="Z302" i="1"/>
  <c r="Y302" i="1"/>
  <c r="BP302" i="1" s="1"/>
  <c r="BO301" i="1"/>
  <c r="BM301" i="1"/>
  <c r="Z301" i="1"/>
  <c r="Y301" i="1"/>
  <c r="BP301" i="1" s="1"/>
  <c r="BO300" i="1"/>
  <c r="BM300" i="1"/>
  <c r="Z300" i="1"/>
  <c r="Y300" i="1"/>
  <c r="BP300" i="1" s="1"/>
  <c r="P300" i="1"/>
  <c r="BO299" i="1"/>
  <c r="BM299" i="1"/>
  <c r="Z299" i="1"/>
  <c r="Y299" i="1"/>
  <c r="BO298" i="1"/>
  <c r="BM298" i="1"/>
  <c r="Z298" i="1"/>
  <c r="Z319" i="1" s="1"/>
  <c r="Y298" i="1"/>
  <c r="X296" i="1"/>
  <c r="X295" i="1"/>
  <c r="BO294" i="1"/>
  <c r="BM294" i="1"/>
  <c r="Z294" i="1"/>
  <c r="Y294" i="1"/>
  <c r="BP294" i="1" s="1"/>
  <c r="P294" i="1"/>
  <c r="BO293" i="1"/>
  <c r="BM293" i="1"/>
  <c r="Z293" i="1"/>
  <c r="Y293" i="1"/>
  <c r="P293" i="1"/>
  <c r="BO292" i="1"/>
  <c r="BM292" i="1"/>
  <c r="Z292" i="1"/>
  <c r="Y292" i="1"/>
  <c r="BP292" i="1" s="1"/>
  <c r="X290" i="1"/>
  <c r="X289" i="1"/>
  <c r="BO288" i="1"/>
  <c r="BM288" i="1"/>
  <c r="Z288" i="1"/>
  <c r="Y288" i="1"/>
  <c r="BO287" i="1"/>
  <c r="BM287" i="1"/>
  <c r="Z287" i="1"/>
  <c r="Z289" i="1" s="1"/>
  <c r="Y287" i="1"/>
  <c r="P287" i="1"/>
  <c r="X285" i="1"/>
  <c r="X284" i="1"/>
  <c r="BO283" i="1"/>
  <c r="BM283" i="1"/>
  <c r="Z283" i="1"/>
  <c r="Z284" i="1" s="1"/>
  <c r="Y283" i="1"/>
  <c r="Y285" i="1" s="1"/>
  <c r="P283" i="1"/>
  <c r="X281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Z280" i="1" s="1"/>
  <c r="Y277" i="1"/>
  <c r="X273" i="1"/>
  <c r="X272" i="1"/>
  <c r="BO271" i="1"/>
  <c r="BM271" i="1"/>
  <c r="Z271" i="1"/>
  <c r="Z272" i="1" s="1"/>
  <c r="Y271" i="1"/>
  <c r="Y273" i="1" s="1"/>
  <c r="P271" i="1"/>
  <c r="X269" i="1"/>
  <c r="X268" i="1"/>
  <c r="BO267" i="1"/>
  <c r="BM267" i="1"/>
  <c r="Z267" i="1"/>
  <c r="Z268" i="1" s="1"/>
  <c r="Y267" i="1"/>
  <c r="Y269" i="1" s="1"/>
  <c r="X263" i="1"/>
  <c r="X262" i="1"/>
  <c r="BO261" i="1"/>
  <c r="BM261" i="1"/>
  <c r="Z261" i="1"/>
  <c r="Y261" i="1"/>
  <c r="P261" i="1"/>
  <c r="BO260" i="1"/>
  <c r="BM260" i="1"/>
  <c r="Z260" i="1"/>
  <c r="Y260" i="1"/>
  <c r="BP260" i="1" s="1"/>
  <c r="P260" i="1"/>
  <c r="X256" i="1"/>
  <c r="X255" i="1"/>
  <c r="BO254" i="1"/>
  <c r="BM254" i="1"/>
  <c r="Z254" i="1"/>
  <c r="Z255" i="1" s="1"/>
  <c r="Y254" i="1"/>
  <c r="Y256" i="1" s="1"/>
  <c r="P254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4" i="1"/>
  <c r="X243" i="1"/>
  <c r="BO242" i="1"/>
  <c r="BM242" i="1"/>
  <c r="Z242" i="1"/>
  <c r="Z243" i="1" s="1"/>
  <c r="Y242" i="1"/>
  <c r="Y244" i="1" s="1"/>
  <c r="P242" i="1"/>
  <c r="X239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Z238" i="1" s="1"/>
  <c r="Y235" i="1"/>
  <c r="X233" i="1"/>
  <c r="Y232" i="1"/>
  <c r="X232" i="1"/>
  <c r="BP231" i="1"/>
  <c r="BO231" i="1"/>
  <c r="BN231" i="1"/>
  <c r="BM231" i="1"/>
  <c r="Z231" i="1"/>
  <c r="Z232" i="1" s="1"/>
  <c r="Y231" i="1"/>
  <c r="Y233" i="1" s="1"/>
  <c r="X228" i="1"/>
  <c r="X227" i="1"/>
  <c r="BO226" i="1"/>
  <c r="BM226" i="1"/>
  <c r="Z226" i="1"/>
  <c r="Y226" i="1"/>
  <c r="P226" i="1"/>
  <c r="BO225" i="1"/>
  <c r="BM225" i="1"/>
  <c r="Z225" i="1"/>
  <c r="Y225" i="1"/>
  <c r="BP225" i="1" s="1"/>
  <c r="P225" i="1"/>
  <c r="BO224" i="1"/>
  <c r="BM224" i="1"/>
  <c r="Z224" i="1"/>
  <c r="Z227" i="1" s="1"/>
  <c r="Y224" i="1"/>
  <c r="P224" i="1"/>
  <c r="BO223" i="1"/>
  <c r="BM223" i="1"/>
  <c r="Z223" i="1"/>
  <c r="Y223" i="1"/>
  <c r="Y227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0" i="1"/>
  <c r="X209" i="1"/>
  <c r="BO208" i="1"/>
  <c r="BM208" i="1"/>
  <c r="Z208" i="1"/>
  <c r="Y208" i="1"/>
  <c r="P208" i="1"/>
  <c r="BO207" i="1"/>
  <c r="BM207" i="1"/>
  <c r="Z207" i="1"/>
  <c r="Y207" i="1"/>
  <c r="BP207" i="1" s="1"/>
  <c r="P207" i="1"/>
  <c r="BO206" i="1"/>
  <c r="BM206" i="1"/>
  <c r="Z206" i="1"/>
  <c r="Z209" i="1" s="1"/>
  <c r="Y206" i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X194" i="1"/>
  <c r="X193" i="1"/>
  <c r="BO192" i="1"/>
  <c r="BM192" i="1"/>
  <c r="Z192" i="1"/>
  <c r="Z193" i="1" s="1"/>
  <c r="Y192" i="1"/>
  <c r="Y194" i="1" s="1"/>
  <c r="X190" i="1"/>
  <c r="X189" i="1"/>
  <c r="BO188" i="1"/>
  <c r="BM188" i="1"/>
  <c r="Z188" i="1"/>
  <c r="Y188" i="1"/>
  <c r="P188" i="1"/>
  <c r="BP187" i="1"/>
  <c r="BO187" i="1"/>
  <c r="BN187" i="1"/>
  <c r="BM187" i="1"/>
  <c r="Z187" i="1"/>
  <c r="Y187" i="1"/>
  <c r="P187" i="1"/>
  <c r="BO186" i="1"/>
  <c r="BM186" i="1"/>
  <c r="Z186" i="1"/>
  <c r="Y186" i="1"/>
  <c r="Y190" i="1" s="1"/>
  <c r="P186" i="1"/>
  <c r="X182" i="1"/>
  <c r="X181" i="1"/>
  <c r="BO180" i="1"/>
  <c r="BM180" i="1"/>
  <c r="Z180" i="1"/>
  <c r="Y180" i="1"/>
  <c r="P180" i="1"/>
  <c r="BO179" i="1"/>
  <c r="BM179" i="1"/>
  <c r="Z179" i="1"/>
  <c r="Y179" i="1"/>
  <c r="BP179" i="1" s="1"/>
  <c r="P179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Z176" i="1" s="1"/>
  <c r="Y172" i="1"/>
  <c r="X169" i="1"/>
  <c r="X168" i="1"/>
  <c r="BO167" i="1"/>
  <c r="BM167" i="1"/>
  <c r="Z167" i="1"/>
  <c r="Z168" i="1" s="1"/>
  <c r="Y167" i="1"/>
  <c r="Y169" i="1" s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Y156" i="1"/>
  <c r="BP156" i="1" s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Y133" i="1"/>
  <c r="BP133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Z123" i="1" s="1"/>
  <c r="Y122" i="1"/>
  <c r="Y124" i="1" s="1"/>
  <c r="X120" i="1"/>
  <c r="X119" i="1"/>
  <c r="BO118" i="1"/>
  <c r="BM118" i="1"/>
  <c r="Z118" i="1"/>
  <c r="Y118" i="1"/>
  <c r="BP118" i="1" s="1"/>
  <c r="P118" i="1"/>
  <c r="BO117" i="1"/>
  <c r="BM117" i="1"/>
  <c r="Z117" i="1"/>
  <c r="Y117" i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BP112" i="1" s="1"/>
  <c r="X109" i="1"/>
  <c r="X108" i="1"/>
  <c r="BO107" i="1"/>
  <c r="BM107" i="1"/>
  <c r="Z107" i="1"/>
  <c r="Y107" i="1"/>
  <c r="P107" i="1"/>
  <c r="BO106" i="1"/>
  <c r="BM106" i="1"/>
  <c r="Z106" i="1"/>
  <c r="Y106" i="1"/>
  <c r="BP106" i="1" s="1"/>
  <c r="BO105" i="1"/>
  <c r="BM105" i="1"/>
  <c r="Z105" i="1"/>
  <c r="Y105" i="1"/>
  <c r="BP105" i="1" s="1"/>
  <c r="P105" i="1"/>
  <c r="X102" i="1"/>
  <c r="X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O95" i="1"/>
  <c r="BM95" i="1"/>
  <c r="Z95" i="1"/>
  <c r="Y95" i="1"/>
  <c r="X92" i="1"/>
  <c r="X91" i="1"/>
  <c r="BO90" i="1"/>
  <c r="BM90" i="1"/>
  <c r="Z90" i="1"/>
  <c r="Y90" i="1"/>
  <c r="P90" i="1"/>
  <c r="BO89" i="1"/>
  <c r="BM89" i="1"/>
  <c r="Z89" i="1"/>
  <c r="Y89" i="1"/>
  <c r="BP89" i="1" s="1"/>
  <c r="X86" i="1"/>
  <c r="X85" i="1"/>
  <c r="BO84" i="1"/>
  <c r="BM84" i="1"/>
  <c r="Z84" i="1"/>
  <c r="Z85" i="1" s="1"/>
  <c r="Y84" i="1"/>
  <c r="Y85" i="1" s="1"/>
  <c r="X81" i="1"/>
  <c r="X80" i="1"/>
  <c r="BO79" i="1"/>
  <c r="BM79" i="1"/>
  <c r="Z79" i="1"/>
  <c r="Y79" i="1"/>
  <c r="BP79" i="1" s="1"/>
  <c r="P79" i="1"/>
  <c r="BO78" i="1"/>
  <c r="BM78" i="1"/>
  <c r="Z78" i="1"/>
  <c r="Y78" i="1"/>
  <c r="P78" i="1"/>
  <c r="X75" i="1"/>
  <c r="X74" i="1"/>
  <c r="BO73" i="1"/>
  <c r="BM73" i="1"/>
  <c r="Z73" i="1"/>
  <c r="Y73" i="1"/>
  <c r="BP73" i="1" s="1"/>
  <c r="BO72" i="1"/>
  <c r="BM72" i="1"/>
  <c r="Z72" i="1"/>
  <c r="Y72" i="1"/>
  <c r="BP72" i="1" s="1"/>
  <c r="BO71" i="1"/>
  <c r="BM71" i="1"/>
  <c r="Z71" i="1"/>
  <c r="Z74" i="1" s="1"/>
  <c r="Y71" i="1"/>
  <c r="Y75" i="1" s="1"/>
  <c r="X69" i="1"/>
  <c r="X68" i="1"/>
  <c r="BO67" i="1"/>
  <c r="BM67" i="1"/>
  <c r="Z67" i="1"/>
  <c r="Z68" i="1" s="1"/>
  <c r="Y67" i="1"/>
  <c r="P67" i="1"/>
  <c r="X65" i="1"/>
  <c r="X64" i="1"/>
  <c r="BO63" i="1"/>
  <c r="BM63" i="1"/>
  <c r="Z63" i="1"/>
  <c r="Z64" i="1" s="1"/>
  <c r="Y63" i="1"/>
  <c r="X61" i="1"/>
  <c r="X60" i="1"/>
  <c r="BO59" i="1"/>
  <c r="BM59" i="1"/>
  <c r="Z59" i="1"/>
  <c r="Z60" i="1" s="1"/>
  <c r="Y59" i="1"/>
  <c r="Y61" i="1" s="1"/>
  <c r="X57" i="1"/>
  <c r="X56" i="1"/>
  <c r="BO55" i="1"/>
  <c r="BM55" i="1"/>
  <c r="Z55" i="1"/>
  <c r="Z56" i="1" s="1"/>
  <c r="Y55" i="1"/>
  <c r="X52" i="1"/>
  <c r="X51" i="1"/>
  <c r="BO50" i="1"/>
  <c r="BM50" i="1"/>
  <c r="Z50" i="1"/>
  <c r="Y50" i="1"/>
  <c r="BP50" i="1" s="1"/>
  <c r="P50" i="1"/>
  <c r="BO49" i="1"/>
  <c r="BM49" i="1"/>
  <c r="Z49" i="1"/>
  <c r="Y49" i="1"/>
  <c r="BP49" i="1" s="1"/>
  <c r="P49" i="1"/>
  <c r="BO48" i="1"/>
  <c r="BM48" i="1"/>
  <c r="Z48" i="1"/>
  <c r="Y48" i="1"/>
  <c r="BP48" i="1" s="1"/>
  <c r="P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BP45" i="1" s="1"/>
  <c r="P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X40" i="1"/>
  <c r="X39" i="1"/>
  <c r="BO38" i="1"/>
  <c r="BM38" i="1"/>
  <c r="Z38" i="1"/>
  <c r="Y38" i="1"/>
  <c r="BP38" i="1" s="1"/>
  <c r="BO37" i="1"/>
  <c r="BM37" i="1"/>
  <c r="Z37" i="1"/>
  <c r="Y37" i="1"/>
  <c r="BP37" i="1" s="1"/>
  <c r="BO36" i="1"/>
  <c r="BM36" i="1"/>
  <c r="Z36" i="1"/>
  <c r="Z39" i="1" s="1"/>
  <c r="Y36" i="1"/>
  <c r="Y40" i="1" s="1"/>
  <c r="X33" i="1"/>
  <c r="X32" i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2" i="1" s="1"/>
  <c r="Y28" i="1"/>
  <c r="Y33" i="1" s="1"/>
  <c r="X24" i="1"/>
  <c r="X23" i="1"/>
  <c r="BO22" i="1"/>
  <c r="BM22" i="1"/>
  <c r="Z22" i="1"/>
  <c r="Z23" i="1" s="1"/>
  <c r="Y22" i="1"/>
  <c r="P22" i="1"/>
  <c r="H10" i="1"/>
  <c r="A9" i="1"/>
  <c r="F10" i="1" s="1"/>
  <c r="D7" i="1"/>
  <c r="Q6" i="1"/>
  <c r="P2" i="1"/>
  <c r="X328" i="1" l="1"/>
  <c r="X326" i="1"/>
  <c r="BN36" i="1"/>
  <c r="BP36" i="1"/>
  <c r="BN37" i="1"/>
  <c r="BN38" i="1"/>
  <c r="Y39" i="1"/>
  <c r="Z51" i="1"/>
  <c r="BN43" i="1"/>
  <c r="BN45" i="1"/>
  <c r="BN47" i="1"/>
  <c r="BN49" i="1"/>
  <c r="Y80" i="1"/>
  <c r="BN79" i="1"/>
  <c r="Z91" i="1"/>
  <c r="BN89" i="1"/>
  <c r="Z108" i="1"/>
  <c r="BN105" i="1"/>
  <c r="BN106" i="1"/>
  <c r="Y109" i="1"/>
  <c r="BN156" i="1"/>
  <c r="Z119" i="1"/>
  <c r="BN112" i="1"/>
  <c r="BN114" i="1"/>
  <c r="BN116" i="1"/>
  <c r="BN118" i="1"/>
  <c r="Z189" i="1"/>
  <c r="BN207" i="1"/>
  <c r="BN254" i="1"/>
  <c r="BP254" i="1"/>
  <c r="Y255" i="1"/>
  <c r="Z262" i="1"/>
  <c r="BN267" i="1"/>
  <c r="BP267" i="1"/>
  <c r="Y268" i="1"/>
  <c r="Y320" i="1"/>
  <c r="BN300" i="1"/>
  <c r="BN301" i="1"/>
  <c r="BN302" i="1"/>
  <c r="BN305" i="1"/>
  <c r="BN306" i="1"/>
  <c r="Y57" i="1"/>
  <c r="Y56" i="1"/>
  <c r="BP55" i="1"/>
  <c r="BN55" i="1"/>
  <c r="Y69" i="1"/>
  <c r="Y68" i="1"/>
  <c r="BP67" i="1"/>
  <c r="BN67" i="1"/>
  <c r="Y24" i="1"/>
  <c r="Y23" i="1"/>
  <c r="BP22" i="1"/>
  <c r="BN22" i="1"/>
  <c r="X327" i="1"/>
  <c r="X329" i="1" s="1"/>
  <c r="X330" i="1"/>
  <c r="Y65" i="1"/>
  <c r="Y64" i="1"/>
  <c r="BP63" i="1"/>
  <c r="BN63" i="1"/>
  <c r="BP95" i="1"/>
  <c r="BN95" i="1"/>
  <c r="BP98" i="1"/>
  <c r="BN98" i="1"/>
  <c r="BP100" i="1"/>
  <c r="BN100" i="1"/>
  <c r="Y228" i="1"/>
  <c r="Y263" i="1"/>
  <c r="Y52" i="1"/>
  <c r="Z80" i="1"/>
  <c r="Y91" i="1"/>
  <c r="Y92" i="1"/>
  <c r="Z101" i="1"/>
  <c r="Y108" i="1"/>
  <c r="Y120" i="1"/>
  <c r="Z135" i="1"/>
  <c r="BN133" i="1"/>
  <c r="Y136" i="1"/>
  <c r="Z141" i="1"/>
  <c r="Z157" i="1"/>
  <c r="BN161" i="1"/>
  <c r="BP161" i="1"/>
  <c r="Y162" i="1"/>
  <c r="Z181" i="1"/>
  <c r="BN179" i="1"/>
  <c r="Y182" i="1"/>
  <c r="BN192" i="1"/>
  <c r="BP192" i="1"/>
  <c r="Y193" i="1"/>
  <c r="Z202" i="1"/>
  <c r="BN198" i="1"/>
  <c r="Y203" i="1"/>
  <c r="BN200" i="1"/>
  <c r="BN223" i="1"/>
  <c r="BP223" i="1"/>
  <c r="BN225" i="1"/>
  <c r="Z249" i="1"/>
  <c r="BN248" i="1"/>
  <c r="BN260" i="1"/>
  <c r="BN271" i="1"/>
  <c r="BP271" i="1"/>
  <c r="Y272" i="1"/>
  <c r="Z295" i="1"/>
  <c r="BN292" i="1"/>
  <c r="BN294" i="1"/>
  <c r="H9" i="1"/>
  <c r="A10" i="1"/>
  <c r="BN28" i="1"/>
  <c r="BP28" i="1"/>
  <c r="BN29" i="1"/>
  <c r="BN30" i="1"/>
  <c r="BN31" i="1"/>
  <c r="Y32" i="1"/>
  <c r="BN44" i="1"/>
  <c r="BN46" i="1"/>
  <c r="BN48" i="1"/>
  <c r="BN50" i="1"/>
  <c r="Y51" i="1"/>
  <c r="BN59" i="1"/>
  <c r="BP59" i="1"/>
  <c r="Y60" i="1"/>
  <c r="BN71" i="1"/>
  <c r="BP71" i="1"/>
  <c r="BN72" i="1"/>
  <c r="BN73" i="1"/>
  <c r="Y74" i="1"/>
  <c r="BN78" i="1"/>
  <c r="BP78" i="1"/>
  <c r="Y81" i="1"/>
  <c r="BN84" i="1"/>
  <c r="BP84" i="1"/>
  <c r="Y86" i="1"/>
  <c r="BP90" i="1"/>
  <c r="BN90" i="1"/>
  <c r="Y102" i="1"/>
  <c r="BP113" i="1"/>
  <c r="BN113" i="1"/>
  <c r="BP115" i="1"/>
  <c r="BN115" i="1"/>
  <c r="BP117" i="1"/>
  <c r="BN117" i="1"/>
  <c r="Y119" i="1"/>
  <c r="Y123" i="1"/>
  <c r="BP122" i="1"/>
  <c r="BN122" i="1"/>
  <c r="Z129" i="1"/>
  <c r="Y135" i="1"/>
  <c r="Y142" i="1"/>
  <c r="BP139" i="1"/>
  <c r="BN139" i="1"/>
  <c r="Y141" i="1"/>
  <c r="Y146" i="1"/>
  <c r="BP145" i="1"/>
  <c r="BN145" i="1"/>
  <c r="Y158" i="1"/>
  <c r="BP155" i="1"/>
  <c r="BN155" i="1"/>
  <c r="Y157" i="1"/>
  <c r="Y168" i="1"/>
  <c r="BP167" i="1"/>
  <c r="BN167" i="1"/>
  <c r="Y177" i="1"/>
  <c r="Y181" i="1"/>
  <c r="Y189" i="1"/>
  <c r="BP186" i="1"/>
  <c r="BN186" i="1"/>
  <c r="BP188" i="1"/>
  <c r="BN188" i="1"/>
  <c r="Y202" i="1"/>
  <c r="Y209" i="1"/>
  <c r="BP206" i="1"/>
  <c r="BN206" i="1"/>
  <c r="BP208" i="1"/>
  <c r="BN208" i="1"/>
  <c r="Z219" i="1"/>
  <c r="Y238" i="1"/>
  <c r="BP235" i="1"/>
  <c r="BN235" i="1"/>
  <c r="BP236" i="1"/>
  <c r="BN236" i="1"/>
  <c r="BP237" i="1"/>
  <c r="BN237" i="1"/>
  <c r="Y250" i="1"/>
  <c r="BP247" i="1"/>
  <c r="BN247" i="1"/>
  <c r="Y249" i="1"/>
  <c r="Y280" i="1"/>
  <c r="BP277" i="1"/>
  <c r="BN277" i="1"/>
  <c r="BP278" i="1"/>
  <c r="BN278" i="1"/>
  <c r="BP279" i="1"/>
  <c r="BN279" i="1"/>
  <c r="Y289" i="1"/>
  <c r="BP287" i="1"/>
  <c r="BN287" i="1"/>
  <c r="BP288" i="1"/>
  <c r="BN288" i="1"/>
  <c r="F9" i="1"/>
  <c r="J9" i="1"/>
  <c r="BP96" i="1"/>
  <c r="BN96" i="1"/>
  <c r="BP97" i="1"/>
  <c r="BN97" i="1"/>
  <c r="BP99" i="1"/>
  <c r="BN99" i="1"/>
  <c r="Y101" i="1"/>
  <c r="BP107" i="1"/>
  <c r="BN107" i="1"/>
  <c r="Y130" i="1"/>
  <c r="BP127" i="1"/>
  <c r="BN127" i="1"/>
  <c r="Y129" i="1"/>
  <c r="BP134" i="1"/>
  <c r="BN134" i="1"/>
  <c r="Y151" i="1"/>
  <c r="BP150" i="1"/>
  <c r="BN150" i="1"/>
  <c r="BP174" i="1"/>
  <c r="BN174" i="1"/>
  <c r="Y176" i="1"/>
  <c r="BP180" i="1"/>
  <c r="BN180" i="1"/>
  <c r="BP199" i="1"/>
  <c r="BN199" i="1"/>
  <c r="BP201" i="1"/>
  <c r="BN201" i="1"/>
  <c r="Y210" i="1"/>
  <c r="Y220" i="1"/>
  <c r="BP213" i="1"/>
  <c r="BN213" i="1"/>
  <c r="BP215" i="1"/>
  <c r="BN215" i="1"/>
  <c r="BP217" i="1"/>
  <c r="BN217" i="1"/>
  <c r="Y219" i="1"/>
  <c r="BP224" i="1"/>
  <c r="BN224" i="1"/>
  <c r="BP226" i="1"/>
  <c r="BN226" i="1"/>
  <c r="Y239" i="1"/>
  <c r="Y243" i="1"/>
  <c r="BP242" i="1"/>
  <c r="BN242" i="1"/>
  <c r="Y262" i="1"/>
  <c r="BP261" i="1"/>
  <c r="BN261" i="1"/>
  <c r="Y281" i="1"/>
  <c r="Y284" i="1"/>
  <c r="BP283" i="1"/>
  <c r="BN283" i="1"/>
  <c r="Y290" i="1"/>
  <c r="Y296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Y330" i="1" l="1"/>
  <c r="Y328" i="1"/>
  <c r="Y326" i="1"/>
  <c r="Y327" i="1"/>
  <c r="Z331" i="1"/>
  <c r="Y329" i="1"/>
  <c r="C339" i="1"/>
  <c r="A339" i="1"/>
  <c r="B339" i="1"/>
</calcChain>
</file>

<file path=xl/sharedStrings.xml><?xml version="1.0" encoding="utf-8"?>
<sst xmlns="http://schemas.openxmlformats.org/spreadsheetml/2006/main" count="1613" uniqueCount="539">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</sst>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3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2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06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33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2" customWidth="1"/>
    <col min="19" max="19" width="6.140625" style="3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2" customWidth="1"/>
    <col min="25" max="25" width="11" style="332" customWidth="1"/>
    <col min="26" max="26" width="10" style="332" customWidth="1"/>
    <col min="27" max="27" width="11.5703125" style="332" customWidth="1"/>
    <col min="28" max="28" width="10.42578125" style="332" customWidth="1"/>
    <col min="29" max="29" width="30" style="3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2" customWidth="1"/>
    <col min="34" max="34" width="9.140625" style="332" customWidth="1"/>
    <col min="35" max="16384" width="9.140625" style="332"/>
  </cols>
  <sheetData>
    <row r="1" spans="1:32" s="328" customFormat="1" ht="45" customHeight="1" x14ac:dyDescent="0.2">
      <c r="A1" s="41"/>
      <c r="B1" s="41"/>
      <c r="C1" s="41"/>
      <c r="D1" s="396" t="s">
        <v>0</v>
      </c>
      <c r="E1" s="362"/>
      <c r="F1" s="362"/>
      <c r="G1" s="12" t="s">
        <v>1</v>
      </c>
      <c r="H1" s="396" t="s">
        <v>2</v>
      </c>
      <c r="I1" s="362"/>
      <c r="J1" s="362"/>
      <c r="K1" s="362"/>
      <c r="L1" s="362"/>
      <c r="M1" s="362"/>
      <c r="N1" s="362"/>
      <c r="O1" s="362"/>
      <c r="P1" s="362"/>
      <c r="Q1" s="362"/>
      <c r="R1" s="361" t="s">
        <v>3</v>
      </c>
      <c r="S1" s="362"/>
      <c r="T1" s="3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51"/>
      <c r="R2" s="351"/>
      <c r="S2" s="351"/>
      <c r="T2" s="351"/>
      <c r="U2" s="351"/>
      <c r="V2" s="351"/>
      <c r="W2" s="351"/>
      <c r="X2" s="16"/>
      <c r="Y2" s="16"/>
      <c r="Z2" s="16"/>
      <c r="AA2" s="16"/>
      <c r="AB2" s="51"/>
      <c r="AC2" s="51"/>
      <c r="AD2" s="51"/>
      <c r="AE2" s="51"/>
    </row>
    <row r="3" spans="1:32" s="32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51"/>
      <c r="Q3" s="351"/>
      <c r="R3" s="351"/>
      <c r="S3" s="351"/>
      <c r="T3" s="351"/>
      <c r="U3" s="351"/>
      <c r="V3" s="351"/>
      <c r="W3" s="351"/>
      <c r="X3" s="16"/>
      <c r="Y3" s="16"/>
      <c r="Z3" s="16"/>
      <c r="AA3" s="16"/>
      <c r="AB3" s="51"/>
      <c r="AC3" s="51"/>
      <c r="AD3" s="51"/>
      <c r="AE3" s="51"/>
    </row>
    <row r="4" spans="1:32" s="32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8" customFormat="1" ht="23.45" customHeight="1" x14ac:dyDescent="0.2">
      <c r="A5" s="428" t="s">
        <v>8</v>
      </c>
      <c r="B5" s="339"/>
      <c r="C5" s="340"/>
      <c r="D5" s="398"/>
      <c r="E5" s="399"/>
      <c r="F5" s="525" t="s">
        <v>9</v>
      </c>
      <c r="G5" s="340"/>
      <c r="H5" s="398" t="s">
        <v>538</v>
      </c>
      <c r="I5" s="452"/>
      <c r="J5" s="452"/>
      <c r="K5" s="452"/>
      <c r="L5" s="452"/>
      <c r="M5" s="399"/>
      <c r="N5" s="61"/>
      <c r="P5" s="24" t="s">
        <v>10</v>
      </c>
      <c r="Q5" s="531">
        <v>45765</v>
      </c>
      <c r="R5" s="407"/>
      <c r="T5" s="441" t="s">
        <v>11</v>
      </c>
      <c r="U5" s="442"/>
      <c r="V5" s="443" t="s">
        <v>12</v>
      </c>
      <c r="W5" s="407"/>
      <c r="AB5" s="51"/>
      <c r="AC5" s="51"/>
      <c r="AD5" s="51"/>
      <c r="AE5" s="51"/>
    </row>
    <row r="6" spans="1:32" s="328" customFormat="1" ht="24" customHeight="1" x14ac:dyDescent="0.2">
      <c r="A6" s="428" t="s">
        <v>13</v>
      </c>
      <c r="B6" s="339"/>
      <c r="C6" s="340"/>
      <c r="D6" s="454" t="s">
        <v>14</v>
      </c>
      <c r="E6" s="455"/>
      <c r="F6" s="455"/>
      <c r="G6" s="455"/>
      <c r="H6" s="455"/>
      <c r="I6" s="455"/>
      <c r="J6" s="455"/>
      <c r="K6" s="455"/>
      <c r="L6" s="455"/>
      <c r="M6" s="407"/>
      <c r="N6" s="62"/>
      <c r="P6" s="24" t="s">
        <v>15</v>
      </c>
      <c r="Q6" s="539" t="str">
        <f>IF(Q5=0," ",CHOOSE(WEEKDAY(Q5,2),"Понедельник","Вторник","Среда","Четверг","Пятница","Суббота","Воскресенье"))</f>
        <v>Пятница</v>
      </c>
      <c r="R6" s="347"/>
      <c r="T6" s="446" t="s">
        <v>16</v>
      </c>
      <c r="U6" s="442"/>
      <c r="V6" s="447" t="s">
        <v>17</v>
      </c>
      <c r="W6" s="372"/>
      <c r="AB6" s="51"/>
      <c r="AC6" s="51"/>
      <c r="AD6" s="51"/>
      <c r="AE6" s="51"/>
    </row>
    <row r="7" spans="1:32" s="328" customFormat="1" ht="21.75" hidden="1" customHeight="1" x14ac:dyDescent="0.2">
      <c r="A7" s="55"/>
      <c r="B7" s="55"/>
      <c r="C7" s="55"/>
      <c r="D7" s="375" t="str">
        <f>IFERROR(VLOOKUP(DeliveryAddress,Table,3,0),1)</f>
        <v>1</v>
      </c>
      <c r="E7" s="376"/>
      <c r="F7" s="376"/>
      <c r="G7" s="376"/>
      <c r="H7" s="376"/>
      <c r="I7" s="376"/>
      <c r="J7" s="376"/>
      <c r="K7" s="376"/>
      <c r="L7" s="376"/>
      <c r="M7" s="377"/>
      <c r="N7" s="63"/>
      <c r="P7" s="24"/>
      <c r="Q7" s="42"/>
      <c r="R7" s="42"/>
      <c r="T7" s="351"/>
      <c r="U7" s="442"/>
      <c r="V7" s="448"/>
      <c r="W7" s="449"/>
      <c r="AB7" s="51"/>
      <c r="AC7" s="51"/>
      <c r="AD7" s="51"/>
      <c r="AE7" s="51"/>
    </row>
    <row r="8" spans="1:32" s="328" customFormat="1" ht="25.5" customHeight="1" x14ac:dyDescent="0.2">
      <c r="A8" s="544" t="s">
        <v>18</v>
      </c>
      <c r="B8" s="354"/>
      <c r="C8" s="355"/>
      <c r="D8" s="387" t="s">
        <v>19</v>
      </c>
      <c r="E8" s="388"/>
      <c r="F8" s="388"/>
      <c r="G8" s="388"/>
      <c r="H8" s="388"/>
      <c r="I8" s="388"/>
      <c r="J8" s="388"/>
      <c r="K8" s="388"/>
      <c r="L8" s="388"/>
      <c r="M8" s="389"/>
      <c r="N8" s="64"/>
      <c r="P8" s="24" t="s">
        <v>20</v>
      </c>
      <c r="Q8" s="420">
        <v>0.375</v>
      </c>
      <c r="R8" s="377"/>
      <c r="T8" s="351"/>
      <c r="U8" s="442"/>
      <c r="V8" s="448"/>
      <c r="W8" s="449"/>
      <c r="AB8" s="51"/>
      <c r="AC8" s="51"/>
      <c r="AD8" s="51"/>
      <c r="AE8" s="51"/>
    </row>
    <row r="9" spans="1:32" s="328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51"/>
      <c r="C9" s="351"/>
      <c r="D9" s="434"/>
      <c r="E9" s="385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51"/>
      <c r="H9" s="384" t="str">
        <f>IF(AND($A$9="Тип доверенности/получателя при получении в адресе перегруза:",$D$9="Разовая доверенность"),"Введите ФИО","")</f>
        <v/>
      </c>
      <c r="I9" s="385"/>
      <c r="J9" s="3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85"/>
      <c r="L9" s="385"/>
      <c r="M9" s="385"/>
      <c r="N9" s="326"/>
      <c r="P9" s="26" t="s">
        <v>21</v>
      </c>
      <c r="Q9" s="402"/>
      <c r="R9" s="403"/>
      <c r="T9" s="351"/>
      <c r="U9" s="442"/>
      <c r="V9" s="450"/>
      <c r="W9" s="451"/>
      <c r="X9" s="43"/>
      <c r="Y9" s="43"/>
      <c r="Z9" s="43"/>
      <c r="AA9" s="43"/>
      <c r="AB9" s="51"/>
      <c r="AC9" s="51"/>
      <c r="AD9" s="51"/>
      <c r="AE9" s="51"/>
    </row>
    <row r="10" spans="1:32" s="328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51"/>
      <c r="C10" s="351"/>
      <c r="D10" s="434"/>
      <c r="E10" s="385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51"/>
      <c r="H10" s="493" t="str">
        <f>IFERROR(VLOOKUP($D$10,Proxy,2,FALSE),"")</f>
        <v/>
      </c>
      <c r="I10" s="351"/>
      <c r="J10" s="351"/>
      <c r="K10" s="351"/>
      <c r="L10" s="351"/>
      <c r="M10" s="351"/>
      <c r="N10" s="327"/>
      <c r="P10" s="26" t="s">
        <v>22</v>
      </c>
      <c r="Q10" s="458"/>
      <c r="R10" s="459"/>
      <c r="U10" s="24" t="s">
        <v>23</v>
      </c>
      <c r="V10" s="371" t="s">
        <v>24</v>
      </c>
      <c r="W10" s="372"/>
      <c r="X10" s="44"/>
      <c r="Y10" s="44"/>
      <c r="Z10" s="44"/>
      <c r="AA10" s="44"/>
      <c r="AB10" s="51"/>
      <c r="AC10" s="51"/>
      <c r="AD10" s="51"/>
      <c r="AE10" s="51"/>
    </row>
    <row r="11" spans="1:32" s="32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06"/>
      <c r="R11" s="407"/>
      <c r="U11" s="24" t="s">
        <v>27</v>
      </c>
      <c r="V11" s="533" t="s">
        <v>28</v>
      </c>
      <c r="W11" s="403"/>
      <c r="X11" s="45"/>
      <c r="Y11" s="45"/>
      <c r="Z11" s="45"/>
      <c r="AA11" s="45"/>
      <c r="AB11" s="51"/>
      <c r="AC11" s="51"/>
      <c r="AD11" s="51"/>
      <c r="AE11" s="51"/>
    </row>
    <row r="12" spans="1:32" s="328" customFormat="1" ht="18.600000000000001" customHeight="1" x14ac:dyDescent="0.2">
      <c r="A12" s="338" t="s">
        <v>29</v>
      </c>
      <c r="B12" s="339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40"/>
      <c r="N12" s="65"/>
      <c r="P12" s="24" t="s">
        <v>30</v>
      </c>
      <c r="Q12" s="420"/>
      <c r="R12" s="377"/>
      <c r="S12" s="23"/>
      <c r="U12" s="24"/>
      <c r="V12" s="362"/>
      <c r="W12" s="351"/>
      <c r="AB12" s="51"/>
      <c r="AC12" s="51"/>
      <c r="AD12" s="51"/>
      <c r="AE12" s="51"/>
    </row>
    <row r="13" spans="1:32" s="328" customFormat="1" ht="23.25" customHeight="1" x14ac:dyDescent="0.2">
      <c r="A13" s="338" t="s">
        <v>31</v>
      </c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39"/>
      <c r="M13" s="340"/>
      <c r="N13" s="65"/>
      <c r="O13" s="26"/>
      <c r="P13" s="26" t="s">
        <v>32</v>
      </c>
      <c r="Q13" s="533"/>
      <c r="R13" s="4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8" customFormat="1" ht="18.600000000000001" customHeight="1" x14ac:dyDescent="0.2">
      <c r="A14" s="338" t="s">
        <v>33</v>
      </c>
      <c r="B14" s="339"/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4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8" customFormat="1" ht="22.5" customHeight="1" x14ac:dyDescent="0.2">
      <c r="A15" s="470" t="s">
        <v>34</v>
      </c>
      <c r="B15" s="339"/>
      <c r="C15" s="339"/>
      <c r="D15" s="339"/>
      <c r="E15" s="339"/>
      <c r="F15" s="339"/>
      <c r="G15" s="339"/>
      <c r="H15" s="339"/>
      <c r="I15" s="339"/>
      <c r="J15" s="339"/>
      <c r="K15" s="339"/>
      <c r="L15" s="339"/>
      <c r="M15" s="340"/>
      <c r="N15" s="66"/>
      <c r="P15" s="439" t="s">
        <v>35</v>
      </c>
      <c r="Q15" s="362"/>
      <c r="R15" s="362"/>
      <c r="S15" s="362"/>
      <c r="T15" s="3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40"/>
      <c r="Q16" s="440"/>
      <c r="R16" s="440"/>
      <c r="S16" s="440"/>
      <c r="T16" s="4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9" t="s">
        <v>36</v>
      </c>
      <c r="B17" s="369" t="s">
        <v>37</v>
      </c>
      <c r="C17" s="430" t="s">
        <v>38</v>
      </c>
      <c r="D17" s="369" t="s">
        <v>39</v>
      </c>
      <c r="E17" s="411"/>
      <c r="F17" s="369" t="s">
        <v>40</v>
      </c>
      <c r="G17" s="369" t="s">
        <v>41</v>
      </c>
      <c r="H17" s="369" t="s">
        <v>42</v>
      </c>
      <c r="I17" s="369" t="s">
        <v>43</v>
      </c>
      <c r="J17" s="369" t="s">
        <v>44</v>
      </c>
      <c r="K17" s="369" t="s">
        <v>45</v>
      </c>
      <c r="L17" s="369" t="s">
        <v>46</v>
      </c>
      <c r="M17" s="369" t="s">
        <v>47</v>
      </c>
      <c r="N17" s="369" t="s">
        <v>48</v>
      </c>
      <c r="O17" s="369" t="s">
        <v>49</v>
      </c>
      <c r="P17" s="369" t="s">
        <v>50</v>
      </c>
      <c r="Q17" s="410"/>
      <c r="R17" s="410"/>
      <c r="S17" s="410"/>
      <c r="T17" s="411"/>
      <c r="U17" s="548" t="s">
        <v>51</v>
      </c>
      <c r="V17" s="340"/>
      <c r="W17" s="369" t="s">
        <v>52</v>
      </c>
      <c r="X17" s="369" t="s">
        <v>53</v>
      </c>
      <c r="Y17" s="549" t="s">
        <v>54</v>
      </c>
      <c r="Z17" s="500" t="s">
        <v>55</v>
      </c>
      <c r="AA17" s="485" t="s">
        <v>56</v>
      </c>
      <c r="AB17" s="485" t="s">
        <v>57</v>
      </c>
      <c r="AC17" s="485" t="s">
        <v>58</v>
      </c>
      <c r="AD17" s="485" t="s">
        <v>59</v>
      </c>
      <c r="AE17" s="520"/>
      <c r="AF17" s="521"/>
      <c r="AG17" s="69"/>
      <c r="BD17" s="68" t="s">
        <v>60</v>
      </c>
    </row>
    <row r="18" spans="1:68" ht="14.25" customHeight="1" x14ac:dyDescent="0.2">
      <c r="A18" s="370"/>
      <c r="B18" s="370"/>
      <c r="C18" s="370"/>
      <c r="D18" s="412"/>
      <c r="E18" s="414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412"/>
      <c r="Q18" s="413"/>
      <c r="R18" s="413"/>
      <c r="S18" s="413"/>
      <c r="T18" s="414"/>
      <c r="U18" s="70" t="s">
        <v>61</v>
      </c>
      <c r="V18" s="70" t="s">
        <v>62</v>
      </c>
      <c r="W18" s="370"/>
      <c r="X18" s="370"/>
      <c r="Y18" s="550"/>
      <c r="Z18" s="501"/>
      <c r="AA18" s="486"/>
      <c r="AB18" s="486"/>
      <c r="AC18" s="486"/>
      <c r="AD18" s="522"/>
      <c r="AE18" s="523"/>
      <c r="AF18" s="524"/>
      <c r="AG18" s="69"/>
      <c r="BD18" s="68"/>
    </row>
    <row r="19" spans="1:68" ht="27.75" hidden="1" customHeight="1" x14ac:dyDescent="0.2">
      <c r="A19" s="421" t="s">
        <v>63</v>
      </c>
      <c r="B19" s="422"/>
      <c r="C19" s="422"/>
      <c r="D19" s="422"/>
      <c r="E19" s="422"/>
      <c r="F19" s="422"/>
      <c r="G19" s="422"/>
      <c r="H19" s="422"/>
      <c r="I19" s="422"/>
      <c r="J19" s="422"/>
      <c r="K19" s="422"/>
      <c r="L19" s="422"/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8"/>
      <c r="AB19" s="48"/>
      <c r="AC19" s="48"/>
    </row>
    <row r="20" spans="1:68" ht="16.5" hidden="1" customHeight="1" x14ac:dyDescent="0.25">
      <c r="A20" s="352" t="s">
        <v>63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29"/>
      <c r="AB20" s="329"/>
      <c r="AC20" s="329"/>
    </row>
    <row r="21" spans="1:68" ht="14.25" hidden="1" customHeight="1" x14ac:dyDescent="0.25">
      <c r="A21" s="350" t="s">
        <v>64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330"/>
      <c r="AB21" s="330"/>
      <c r="AC21" s="33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6">
        <v>4607111035752</v>
      </c>
      <c r="E22" s="347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2"/>
      <c r="R22" s="342"/>
      <c r="S22" s="342"/>
      <c r="T22" s="343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5"/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66"/>
      <c r="P23" s="353" t="s">
        <v>73</v>
      </c>
      <c r="Q23" s="354"/>
      <c r="R23" s="354"/>
      <c r="S23" s="354"/>
      <c r="T23" s="354"/>
      <c r="U23" s="354"/>
      <c r="V23" s="355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hidden="1" x14ac:dyDescent="0.2">
      <c r="A24" s="351"/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66"/>
      <c r="P24" s="353" t="s">
        <v>73</v>
      </c>
      <c r="Q24" s="354"/>
      <c r="R24" s="354"/>
      <c r="S24" s="354"/>
      <c r="T24" s="354"/>
      <c r="U24" s="354"/>
      <c r="V24" s="355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hidden="1" customHeight="1" x14ac:dyDescent="0.2">
      <c r="A25" s="421" t="s">
        <v>75</v>
      </c>
      <c r="B25" s="422"/>
      <c r="C25" s="422"/>
      <c r="D25" s="422"/>
      <c r="E25" s="422"/>
      <c r="F25" s="422"/>
      <c r="G25" s="422"/>
      <c r="H25" s="422"/>
      <c r="I25" s="422"/>
      <c r="J25" s="422"/>
      <c r="K25" s="422"/>
      <c r="L25" s="422"/>
      <c r="M25" s="422"/>
      <c r="N25" s="422"/>
      <c r="O25" s="422"/>
      <c r="P25" s="422"/>
      <c r="Q25" s="422"/>
      <c r="R25" s="422"/>
      <c r="S25" s="422"/>
      <c r="T25" s="422"/>
      <c r="U25" s="422"/>
      <c r="V25" s="422"/>
      <c r="W25" s="422"/>
      <c r="X25" s="422"/>
      <c r="Y25" s="422"/>
      <c r="Z25" s="422"/>
      <c r="AA25" s="48"/>
      <c r="AB25" s="48"/>
      <c r="AC25" s="48"/>
    </row>
    <row r="26" spans="1:68" ht="16.5" hidden="1" customHeight="1" x14ac:dyDescent="0.25">
      <c r="A26" s="352" t="s">
        <v>76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29"/>
      <c r="AB26" s="329"/>
      <c r="AC26" s="329"/>
    </row>
    <row r="27" spans="1:68" ht="14.25" hidden="1" customHeight="1" x14ac:dyDescent="0.25">
      <c r="A27" s="350" t="s">
        <v>77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30"/>
      <c r="AB27" s="330"/>
      <c r="AC27" s="330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6">
        <v>4607111036520</v>
      </c>
      <c r="E28" s="347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4" t="s">
        <v>81</v>
      </c>
      <c r="Q28" s="342"/>
      <c r="R28" s="342"/>
      <c r="S28" s="342"/>
      <c r="T28" s="343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6">
        <v>4607111036537</v>
      </c>
      <c r="E29" s="347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1" t="s">
        <v>86</v>
      </c>
      <c r="Q29" s="342"/>
      <c r="R29" s="342"/>
      <c r="S29" s="342"/>
      <c r="T29" s="343"/>
      <c r="U29" s="34"/>
      <c r="V29" s="34"/>
      <c r="W29" s="35" t="s">
        <v>70</v>
      </c>
      <c r="X29" s="334">
        <v>70</v>
      </c>
      <c r="Y29" s="335">
        <f>IFERROR(IF(X29="","",X29),"")</f>
        <v>70</v>
      </c>
      <c r="Z29" s="36">
        <f>IFERROR(IF(X29="","",X29*0.00941),"")</f>
        <v>0.65869999999999995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134.52600000000001</v>
      </c>
      <c r="BN29" s="67">
        <f>IFERROR(Y29*I29,"0")</f>
        <v>134.52600000000001</v>
      </c>
      <c r="BO29" s="67">
        <f>IFERROR(X29/J29,"0")</f>
        <v>0.5</v>
      </c>
      <c r="BP29" s="67">
        <f>IFERROR(Y29/J29,"0")</f>
        <v>0.5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4301132184</v>
      </c>
      <c r="D30" s="346">
        <v>4607111036599</v>
      </c>
      <c r="E30" s="347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8" t="s">
        <v>89</v>
      </c>
      <c r="Q30" s="342"/>
      <c r="R30" s="342"/>
      <c r="S30" s="342"/>
      <c r="T30" s="343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4301132183</v>
      </c>
      <c r="D31" s="346">
        <v>4607111036605</v>
      </c>
      <c r="E31" s="347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392" t="s">
        <v>92</v>
      </c>
      <c r="Q31" s="342"/>
      <c r="R31" s="342"/>
      <c r="S31" s="342"/>
      <c r="T31" s="343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65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66"/>
      <c r="P32" s="353" t="s">
        <v>73</v>
      </c>
      <c r="Q32" s="354"/>
      <c r="R32" s="354"/>
      <c r="S32" s="354"/>
      <c r="T32" s="354"/>
      <c r="U32" s="354"/>
      <c r="V32" s="355"/>
      <c r="W32" s="37" t="s">
        <v>70</v>
      </c>
      <c r="X32" s="336">
        <f>IFERROR(SUM(X28:X31),"0")</f>
        <v>70</v>
      </c>
      <c r="Y32" s="336">
        <f>IFERROR(SUM(Y28:Y31),"0")</f>
        <v>70</v>
      </c>
      <c r="Z32" s="336">
        <f>IFERROR(IF(Z28="",0,Z28),"0")+IFERROR(IF(Z29="",0,Z29),"0")+IFERROR(IF(Z30="",0,Z30),"0")+IFERROR(IF(Z31="",0,Z31),"0")</f>
        <v>0.65869999999999995</v>
      </c>
      <c r="AA32" s="337"/>
      <c r="AB32" s="337"/>
      <c r="AC32" s="337"/>
    </row>
    <row r="33" spans="1:68" x14ac:dyDescent="0.2">
      <c r="A33" s="351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66"/>
      <c r="P33" s="353" t="s">
        <v>73</v>
      </c>
      <c r="Q33" s="354"/>
      <c r="R33" s="354"/>
      <c r="S33" s="354"/>
      <c r="T33" s="354"/>
      <c r="U33" s="354"/>
      <c r="V33" s="355"/>
      <c r="W33" s="37" t="s">
        <v>74</v>
      </c>
      <c r="X33" s="336">
        <f>IFERROR(SUMPRODUCT(X28:X31*H28:H31),"0")</f>
        <v>105</v>
      </c>
      <c r="Y33" s="336">
        <f>IFERROR(SUMPRODUCT(Y28:Y31*H28:H31),"0")</f>
        <v>105</v>
      </c>
      <c r="Z33" s="37"/>
      <c r="AA33" s="337"/>
      <c r="AB33" s="337"/>
      <c r="AC33" s="337"/>
    </row>
    <row r="34" spans="1:68" ht="16.5" hidden="1" customHeight="1" x14ac:dyDescent="0.25">
      <c r="A34" s="352" t="s">
        <v>93</v>
      </c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29"/>
      <c r="AB34" s="329"/>
      <c r="AC34" s="329"/>
    </row>
    <row r="35" spans="1:68" ht="14.25" hidden="1" customHeight="1" x14ac:dyDescent="0.25">
      <c r="A35" s="350" t="s">
        <v>64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30"/>
      <c r="AB35" s="330"/>
      <c r="AC35" s="330"/>
    </row>
    <row r="36" spans="1:68" ht="27" hidden="1" customHeight="1" x14ac:dyDescent="0.25">
      <c r="A36" s="54" t="s">
        <v>94</v>
      </c>
      <c r="B36" s="54" t="s">
        <v>95</v>
      </c>
      <c r="C36" s="31">
        <v>4301071090</v>
      </c>
      <c r="D36" s="346">
        <v>4620207490075</v>
      </c>
      <c r="E36" s="347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05" t="s">
        <v>96</v>
      </c>
      <c r="Q36" s="342"/>
      <c r="R36" s="342"/>
      <c r="S36" s="342"/>
      <c r="T36" s="343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4301071092</v>
      </c>
      <c r="D37" s="346">
        <v>4620207490174</v>
      </c>
      <c r="E37" s="347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3" t="s">
        <v>100</v>
      </c>
      <c r="Q37" s="342"/>
      <c r="R37" s="342"/>
      <c r="S37" s="342"/>
      <c r="T37" s="343"/>
      <c r="U37" s="34"/>
      <c r="V37" s="34"/>
      <c r="W37" s="35" t="s">
        <v>70</v>
      </c>
      <c r="X37" s="334">
        <v>12</v>
      </c>
      <c r="Y37" s="335">
        <f>IFERROR(IF(X37="","",X37),"")</f>
        <v>12</v>
      </c>
      <c r="Z37" s="36">
        <f>IFERROR(IF(X37="","",X37*0.0155),"")</f>
        <v>0.186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70.44</v>
      </c>
      <c r="BN37" s="67">
        <f>IFERROR(Y37*I37,"0")</f>
        <v>70.44</v>
      </c>
      <c r="BO37" s="67">
        <f>IFERROR(X37/J37,"0")</f>
        <v>0.14285714285714285</v>
      </c>
      <c r="BP37" s="67">
        <f>IFERROR(Y37/J37,"0")</f>
        <v>0.14285714285714285</v>
      </c>
    </row>
    <row r="38" spans="1:68" ht="27" hidden="1" customHeight="1" x14ac:dyDescent="0.25">
      <c r="A38" s="54" t="s">
        <v>102</v>
      </c>
      <c r="B38" s="54" t="s">
        <v>103</v>
      </c>
      <c r="C38" s="31">
        <v>4301071091</v>
      </c>
      <c r="D38" s="346">
        <v>4620207490044</v>
      </c>
      <c r="E38" s="347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97" t="s">
        <v>104</v>
      </c>
      <c r="Q38" s="342"/>
      <c r="R38" s="342"/>
      <c r="S38" s="342"/>
      <c r="T38" s="343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365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66"/>
      <c r="P39" s="353" t="s">
        <v>73</v>
      </c>
      <c r="Q39" s="354"/>
      <c r="R39" s="354"/>
      <c r="S39" s="354"/>
      <c r="T39" s="354"/>
      <c r="U39" s="354"/>
      <c r="V39" s="355"/>
      <c r="W39" s="37" t="s">
        <v>70</v>
      </c>
      <c r="X39" s="336">
        <f>IFERROR(SUM(X36:X38),"0")</f>
        <v>12</v>
      </c>
      <c r="Y39" s="336">
        <f>IFERROR(SUM(Y36:Y38),"0")</f>
        <v>12</v>
      </c>
      <c r="Z39" s="336">
        <f>IFERROR(IF(Z36="",0,Z36),"0")+IFERROR(IF(Z37="",0,Z37),"0")+IFERROR(IF(Z38="",0,Z38),"0")</f>
        <v>0.186</v>
      </c>
      <c r="AA39" s="337"/>
      <c r="AB39" s="337"/>
      <c r="AC39" s="337"/>
    </row>
    <row r="40" spans="1:68" x14ac:dyDescent="0.2">
      <c r="A40" s="351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66"/>
      <c r="P40" s="353" t="s">
        <v>73</v>
      </c>
      <c r="Q40" s="354"/>
      <c r="R40" s="354"/>
      <c r="S40" s="354"/>
      <c r="T40" s="354"/>
      <c r="U40" s="354"/>
      <c r="V40" s="355"/>
      <c r="W40" s="37" t="s">
        <v>74</v>
      </c>
      <c r="X40" s="336">
        <f>IFERROR(SUMPRODUCT(X36:X38*H36:H38),"0")</f>
        <v>67.199999999999989</v>
      </c>
      <c r="Y40" s="336">
        <f>IFERROR(SUMPRODUCT(Y36:Y38*H36:H38),"0")</f>
        <v>67.199999999999989</v>
      </c>
      <c r="Z40" s="37"/>
      <c r="AA40" s="337"/>
      <c r="AB40" s="337"/>
      <c r="AC40" s="337"/>
    </row>
    <row r="41" spans="1:68" ht="16.5" hidden="1" customHeight="1" x14ac:dyDescent="0.25">
      <c r="A41" s="352" t="s">
        <v>106</v>
      </c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29"/>
      <c r="AB41" s="329"/>
      <c r="AC41" s="329"/>
    </row>
    <row r="42" spans="1:68" ht="14.25" hidden="1" customHeight="1" x14ac:dyDescent="0.25">
      <c r="A42" s="350" t="s">
        <v>64</v>
      </c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30"/>
      <c r="AB42" s="330"/>
      <c r="AC42" s="330"/>
    </row>
    <row r="43" spans="1:68" ht="27" hidden="1" customHeight="1" x14ac:dyDescent="0.25">
      <c r="A43" s="54" t="s">
        <v>107</v>
      </c>
      <c r="B43" s="54" t="s">
        <v>108</v>
      </c>
      <c r="C43" s="31">
        <v>4301071032</v>
      </c>
      <c r="D43" s="346">
        <v>4607111038999</v>
      </c>
      <c r="E43" s="347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109</v>
      </c>
      <c r="M43" s="33" t="s">
        <v>69</v>
      </c>
      <c r="N43" s="33"/>
      <c r="O43" s="32">
        <v>180</v>
      </c>
      <c r="P43" s="42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42"/>
      <c r="R43" s="342"/>
      <c r="S43" s="342"/>
      <c r="T43" s="343"/>
      <c r="U43" s="34"/>
      <c r="V43" s="34"/>
      <c r="W43" s="35" t="s">
        <v>70</v>
      </c>
      <c r="X43" s="334">
        <v>0</v>
      </c>
      <c r="Y43" s="335">
        <f t="shared" ref="Y43:Y50" si="0">IFERROR(IF(X43="","",X43),"")</f>
        <v>0</v>
      </c>
      <c r="Z43" s="36">
        <f t="shared" ref="Z43:Z50" si="1">IFERROR(IF(X43="","",X43*0.0155),"")</f>
        <v>0</v>
      </c>
      <c r="AA43" s="56"/>
      <c r="AB43" s="57"/>
      <c r="AC43" s="88" t="s">
        <v>110</v>
      </c>
      <c r="AG43" s="67"/>
      <c r="AJ43" s="71" t="s">
        <v>111</v>
      </c>
      <c r="AK43" s="71">
        <v>12</v>
      </c>
      <c r="BB43" s="89" t="s">
        <v>1</v>
      </c>
      <c r="BM43" s="67">
        <f t="shared" ref="BM43:BM50" si="2">IFERROR(X43*I43,"0")</f>
        <v>0</v>
      </c>
      <c r="BN43" s="67">
        <f t="shared" ref="BN43:BN50" si="3">IFERROR(Y43*I43,"0")</f>
        <v>0</v>
      </c>
      <c r="BO43" s="67">
        <f t="shared" ref="BO43:BO50" si="4">IFERROR(X43/J43,"0")</f>
        <v>0</v>
      </c>
      <c r="BP43" s="67">
        <f t="shared" ref="BP43:BP50" si="5">IFERROR(Y43/J43,"0")</f>
        <v>0</v>
      </c>
    </row>
    <row r="44" spans="1:68" ht="27" hidden="1" customHeight="1" x14ac:dyDescent="0.25">
      <c r="A44" s="54" t="s">
        <v>112</v>
      </c>
      <c r="B44" s="54" t="s">
        <v>113</v>
      </c>
      <c r="C44" s="31">
        <v>4301070972</v>
      </c>
      <c r="D44" s="346">
        <v>4607111037183</v>
      </c>
      <c r="E44" s="347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114</v>
      </c>
      <c r="M44" s="33" t="s">
        <v>69</v>
      </c>
      <c r="N44" s="33"/>
      <c r="O44" s="32">
        <v>180</v>
      </c>
      <c r="P44" s="39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42"/>
      <c r="R44" s="342"/>
      <c r="S44" s="342"/>
      <c r="T44" s="343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110</v>
      </c>
      <c r="AG44" s="67"/>
      <c r="AJ44" s="71" t="s">
        <v>115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116</v>
      </c>
      <c r="B45" s="54" t="s">
        <v>117</v>
      </c>
      <c r="C45" s="31">
        <v>4301071044</v>
      </c>
      <c r="D45" s="346">
        <v>4607111039385</v>
      </c>
      <c r="E45" s="347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114</v>
      </c>
      <c r="M45" s="33" t="s">
        <v>69</v>
      </c>
      <c r="N45" s="33"/>
      <c r="O45" s="32">
        <v>180</v>
      </c>
      <c r="P45" s="49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42"/>
      <c r="R45" s="342"/>
      <c r="S45" s="342"/>
      <c r="T45" s="343"/>
      <c r="U45" s="34"/>
      <c r="V45" s="34"/>
      <c r="W45" s="35" t="s">
        <v>70</v>
      </c>
      <c r="X45" s="334">
        <v>12</v>
      </c>
      <c r="Y45" s="335">
        <f t="shared" si="0"/>
        <v>12</v>
      </c>
      <c r="Z45" s="36">
        <f t="shared" si="1"/>
        <v>0.186</v>
      </c>
      <c r="AA45" s="56"/>
      <c r="AB45" s="57"/>
      <c r="AC45" s="92" t="s">
        <v>110</v>
      </c>
      <c r="AG45" s="67"/>
      <c r="AJ45" s="71" t="s">
        <v>115</v>
      </c>
      <c r="AK45" s="71">
        <v>84</v>
      </c>
      <c r="BB45" s="93" t="s">
        <v>1</v>
      </c>
      <c r="BM45" s="67">
        <f t="shared" si="2"/>
        <v>87.6</v>
      </c>
      <c r="BN45" s="67">
        <f t="shared" si="3"/>
        <v>87.6</v>
      </c>
      <c r="BO45" s="67">
        <f t="shared" si="4"/>
        <v>0.14285714285714285</v>
      </c>
      <c r="BP45" s="67">
        <f t="shared" si="5"/>
        <v>0.14285714285714285</v>
      </c>
    </row>
    <row r="46" spans="1:68" ht="27" hidden="1" customHeight="1" x14ac:dyDescent="0.25">
      <c r="A46" s="54" t="s">
        <v>118</v>
      </c>
      <c r="B46" s="54" t="s">
        <v>119</v>
      </c>
      <c r="C46" s="31">
        <v>4301071045</v>
      </c>
      <c r="D46" s="346">
        <v>4607111039392</v>
      </c>
      <c r="E46" s="347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502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42"/>
      <c r="R46" s="342"/>
      <c r="S46" s="342"/>
      <c r="T46" s="343"/>
      <c r="U46" s="34"/>
      <c r="V46" s="34"/>
      <c r="W46" s="35" t="s">
        <v>70</v>
      </c>
      <c r="X46" s="334">
        <v>0</v>
      </c>
      <c r="Y46" s="335">
        <f t="shared" si="0"/>
        <v>0</v>
      </c>
      <c r="Z46" s="36">
        <f t="shared" si="1"/>
        <v>0</v>
      </c>
      <c r="AA46" s="56"/>
      <c r="AB46" s="57"/>
      <c r="AC46" s="94" t="s">
        <v>120</v>
      </c>
      <c r="AG46" s="67"/>
      <c r="AJ46" s="71" t="s">
        <v>111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121</v>
      </c>
      <c r="B47" s="54" t="s">
        <v>122</v>
      </c>
      <c r="C47" s="31">
        <v>4301071031</v>
      </c>
      <c r="D47" s="346">
        <v>4607111038982</v>
      </c>
      <c r="E47" s="347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109</v>
      </c>
      <c r="M47" s="33" t="s">
        <v>69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42"/>
      <c r="R47" s="342"/>
      <c r="S47" s="342"/>
      <c r="T47" s="343"/>
      <c r="U47" s="34"/>
      <c r="V47" s="34"/>
      <c r="W47" s="35" t="s">
        <v>70</v>
      </c>
      <c r="X47" s="334">
        <v>36</v>
      </c>
      <c r="Y47" s="335">
        <f t="shared" si="0"/>
        <v>36</v>
      </c>
      <c r="Z47" s="36">
        <f t="shared" si="1"/>
        <v>0.55800000000000005</v>
      </c>
      <c r="AA47" s="56"/>
      <c r="AB47" s="57"/>
      <c r="AC47" s="96" t="s">
        <v>120</v>
      </c>
      <c r="AG47" s="67"/>
      <c r="AJ47" s="71" t="s">
        <v>111</v>
      </c>
      <c r="AK47" s="71">
        <v>12</v>
      </c>
      <c r="BB47" s="97" t="s">
        <v>1</v>
      </c>
      <c r="BM47" s="67">
        <f t="shared" si="2"/>
        <v>262.29599999999999</v>
      </c>
      <c r="BN47" s="67">
        <f t="shared" si="3"/>
        <v>262.29599999999999</v>
      </c>
      <c r="BO47" s="67">
        <f t="shared" si="4"/>
        <v>0.42857142857142855</v>
      </c>
      <c r="BP47" s="67">
        <f t="shared" si="5"/>
        <v>0.42857142857142855</v>
      </c>
    </row>
    <row r="48" spans="1:68" ht="27" hidden="1" customHeight="1" x14ac:dyDescent="0.25">
      <c r="A48" s="54" t="s">
        <v>123</v>
      </c>
      <c r="B48" s="54" t="s">
        <v>124</v>
      </c>
      <c r="C48" s="31">
        <v>4301071046</v>
      </c>
      <c r="D48" s="346">
        <v>4607111039354</v>
      </c>
      <c r="E48" s="347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109</v>
      </c>
      <c r="M48" s="33" t="s">
        <v>69</v>
      </c>
      <c r="N48" s="33"/>
      <c r="O48" s="32">
        <v>180</v>
      </c>
      <c r="P48" s="50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42"/>
      <c r="R48" s="342"/>
      <c r="S48" s="342"/>
      <c r="T48" s="343"/>
      <c r="U48" s="34"/>
      <c r="V48" s="34"/>
      <c r="W48" s="35" t="s">
        <v>70</v>
      </c>
      <c r="X48" s="334">
        <v>0</v>
      </c>
      <c r="Y48" s="335">
        <f t="shared" si="0"/>
        <v>0</v>
      </c>
      <c r="Z48" s="36">
        <f t="shared" si="1"/>
        <v>0</v>
      </c>
      <c r="AA48" s="56"/>
      <c r="AB48" s="57"/>
      <c r="AC48" s="98" t="s">
        <v>120</v>
      </c>
      <c r="AG48" s="67"/>
      <c r="AJ48" s="71" t="s">
        <v>111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125</v>
      </c>
      <c r="B49" s="54" t="s">
        <v>126</v>
      </c>
      <c r="C49" s="31">
        <v>4301070968</v>
      </c>
      <c r="D49" s="346">
        <v>4607111036889</v>
      </c>
      <c r="E49" s="347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109</v>
      </c>
      <c r="M49" s="33" t="s">
        <v>69</v>
      </c>
      <c r="N49" s="33"/>
      <c r="O49" s="32">
        <v>180</v>
      </c>
      <c r="P49" s="504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42"/>
      <c r="R49" s="342"/>
      <c r="S49" s="342"/>
      <c r="T49" s="343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120</v>
      </c>
      <c r="AG49" s="67"/>
      <c r="AJ49" s="71" t="s">
        <v>111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4301071047</v>
      </c>
      <c r="D50" s="346">
        <v>4607111039330</v>
      </c>
      <c r="E50" s="347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109</v>
      </c>
      <c r="M50" s="33" t="s">
        <v>69</v>
      </c>
      <c r="N50" s="33"/>
      <c r="O50" s="32">
        <v>180</v>
      </c>
      <c r="P50" s="4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42"/>
      <c r="R50" s="342"/>
      <c r="S50" s="342"/>
      <c r="T50" s="343"/>
      <c r="U50" s="34"/>
      <c r="V50" s="34"/>
      <c r="W50" s="35" t="s">
        <v>70</v>
      </c>
      <c r="X50" s="334">
        <v>60</v>
      </c>
      <c r="Y50" s="335">
        <f t="shared" si="0"/>
        <v>60</v>
      </c>
      <c r="Z50" s="36">
        <f t="shared" si="1"/>
        <v>0.92999999999999994</v>
      </c>
      <c r="AA50" s="56"/>
      <c r="AB50" s="57"/>
      <c r="AC50" s="102" t="s">
        <v>120</v>
      </c>
      <c r="AG50" s="67"/>
      <c r="AJ50" s="71" t="s">
        <v>111</v>
      </c>
      <c r="AK50" s="71">
        <v>12</v>
      </c>
      <c r="BB50" s="103" t="s">
        <v>1</v>
      </c>
      <c r="BM50" s="67">
        <f t="shared" si="2"/>
        <v>438</v>
      </c>
      <c r="BN50" s="67">
        <f t="shared" si="3"/>
        <v>438</v>
      </c>
      <c r="BO50" s="67">
        <f t="shared" si="4"/>
        <v>0.7142857142857143</v>
      </c>
      <c r="BP50" s="67">
        <f t="shared" si="5"/>
        <v>0.7142857142857143</v>
      </c>
    </row>
    <row r="51" spans="1:68" x14ac:dyDescent="0.2">
      <c r="A51" s="365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66"/>
      <c r="P51" s="353" t="s">
        <v>73</v>
      </c>
      <c r="Q51" s="354"/>
      <c r="R51" s="354"/>
      <c r="S51" s="354"/>
      <c r="T51" s="354"/>
      <c r="U51" s="354"/>
      <c r="V51" s="355"/>
      <c r="W51" s="37" t="s">
        <v>70</v>
      </c>
      <c r="X51" s="336">
        <f>IFERROR(SUM(X43:X50),"0")</f>
        <v>108</v>
      </c>
      <c r="Y51" s="336">
        <f>IFERROR(SUM(Y43:Y50),"0")</f>
        <v>108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1.6739999999999999</v>
      </c>
      <c r="AA51" s="337"/>
      <c r="AB51" s="337"/>
      <c r="AC51" s="337"/>
    </row>
    <row r="52" spans="1:68" x14ac:dyDescent="0.2">
      <c r="A52" s="351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66"/>
      <c r="P52" s="353" t="s">
        <v>73</v>
      </c>
      <c r="Q52" s="354"/>
      <c r="R52" s="354"/>
      <c r="S52" s="354"/>
      <c r="T52" s="354"/>
      <c r="U52" s="354"/>
      <c r="V52" s="355"/>
      <c r="W52" s="37" t="s">
        <v>74</v>
      </c>
      <c r="X52" s="336">
        <f>IFERROR(SUMPRODUCT(X43:X50*H43:H50),"0")</f>
        <v>756</v>
      </c>
      <c r="Y52" s="336">
        <f>IFERROR(SUMPRODUCT(Y43:Y50*H43:H50),"0")</f>
        <v>756</v>
      </c>
      <c r="Z52" s="37"/>
      <c r="AA52" s="337"/>
      <c r="AB52" s="337"/>
      <c r="AC52" s="337"/>
    </row>
    <row r="53" spans="1:68" ht="16.5" hidden="1" customHeight="1" x14ac:dyDescent="0.25">
      <c r="A53" s="352" t="s">
        <v>129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29"/>
      <c r="AB53" s="329"/>
      <c r="AC53" s="329"/>
    </row>
    <row r="54" spans="1:68" ht="14.25" hidden="1" customHeight="1" x14ac:dyDescent="0.25">
      <c r="A54" s="350" t="s">
        <v>64</v>
      </c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30"/>
      <c r="AB54" s="330"/>
      <c r="AC54" s="330"/>
    </row>
    <row r="55" spans="1:68" ht="16.5" hidden="1" customHeight="1" x14ac:dyDescent="0.25">
      <c r="A55" s="54" t="s">
        <v>130</v>
      </c>
      <c r="B55" s="54" t="s">
        <v>131</v>
      </c>
      <c r="C55" s="31">
        <v>4301071073</v>
      </c>
      <c r="D55" s="346">
        <v>4620207490822</v>
      </c>
      <c r="E55" s="347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479" t="s">
        <v>132</v>
      </c>
      <c r="Q55" s="342"/>
      <c r="R55" s="342"/>
      <c r="S55" s="342"/>
      <c r="T55" s="343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133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365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66"/>
      <c r="P56" s="353" t="s">
        <v>73</v>
      </c>
      <c r="Q56" s="354"/>
      <c r="R56" s="354"/>
      <c r="S56" s="354"/>
      <c r="T56" s="354"/>
      <c r="U56" s="354"/>
      <c r="V56" s="355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hidden="1" x14ac:dyDescent="0.2">
      <c r="A57" s="351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66"/>
      <c r="P57" s="353" t="s">
        <v>73</v>
      </c>
      <c r="Q57" s="354"/>
      <c r="R57" s="354"/>
      <c r="S57" s="354"/>
      <c r="T57" s="354"/>
      <c r="U57" s="354"/>
      <c r="V57" s="355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hidden="1" customHeight="1" x14ac:dyDescent="0.25">
      <c r="A58" s="350" t="s">
        <v>134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30"/>
      <c r="AB58" s="330"/>
      <c r="AC58" s="330"/>
    </row>
    <row r="59" spans="1:68" ht="16.5" hidden="1" customHeight="1" x14ac:dyDescent="0.25">
      <c r="A59" s="54" t="s">
        <v>135</v>
      </c>
      <c r="B59" s="54" t="s">
        <v>136</v>
      </c>
      <c r="C59" s="31">
        <v>4301100087</v>
      </c>
      <c r="D59" s="346">
        <v>4607111039743</v>
      </c>
      <c r="E59" s="347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508" t="s">
        <v>137</v>
      </c>
      <c r="Q59" s="342"/>
      <c r="R59" s="342"/>
      <c r="S59" s="342"/>
      <c r="T59" s="343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138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365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66"/>
      <c r="P60" s="353" t="s">
        <v>73</v>
      </c>
      <c r="Q60" s="354"/>
      <c r="R60" s="354"/>
      <c r="S60" s="354"/>
      <c r="T60" s="354"/>
      <c r="U60" s="354"/>
      <c r="V60" s="355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hidden="1" x14ac:dyDescent="0.2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66"/>
      <c r="P61" s="353" t="s">
        <v>73</v>
      </c>
      <c r="Q61" s="354"/>
      <c r="R61" s="354"/>
      <c r="S61" s="354"/>
      <c r="T61" s="354"/>
      <c r="U61" s="354"/>
      <c r="V61" s="355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hidden="1" customHeight="1" x14ac:dyDescent="0.25">
      <c r="A62" s="350" t="s">
        <v>77</v>
      </c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  <c r="AA62" s="330"/>
      <c r="AB62" s="330"/>
      <c r="AC62" s="330"/>
    </row>
    <row r="63" spans="1:68" ht="16.5" hidden="1" customHeight="1" x14ac:dyDescent="0.25">
      <c r="A63" s="54" t="s">
        <v>139</v>
      </c>
      <c r="B63" s="54" t="s">
        <v>140</v>
      </c>
      <c r="C63" s="31">
        <v>4301132194</v>
      </c>
      <c r="D63" s="346">
        <v>4607111039712</v>
      </c>
      <c r="E63" s="347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15" t="s">
        <v>141</v>
      </c>
      <c r="Q63" s="342"/>
      <c r="R63" s="342"/>
      <c r="S63" s="342"/>
      <c r="T63" s="343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142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65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66"/>
      <c r="P64" s="353" t="s">
        <v>73</v>
      </c>
      <c r="Q64" s="354"/>
      <c r="R64" s="354"/>
      <c r="S64" s="354"/>
      <c r="T64" s="354"/>
      <c r="U64" s="354"/>
      <c r="V64" s="355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hidden="1" x14ac:dyDescent="0.2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66"/>
      <c r="P65" s="353" t="s">
        <v>73</v>
      </c>
      <c r="Q65" s="354"/>
      <c r="R65" s="354"/>
      <c r="S65" s="354"/>
      <c r="T65" s="354"/>
      <c r="U65" s="354"/>
      <c r="V65" s="355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hidden="1" customHeight="1" x14ac:dyDescent="0.25">
      <c r="A66" s="350" t="s">
        <v>143</v>
      </c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  <c r="AA66" s="330"/>
      <c r="AB66" s="330"/>
      <c r="AC66" s="330"/>
    </row>
    <row r="67" spans="1:68" ht="16.5" hidden="1" customHeight="1" x14ac:dyDescent="0.25">
      <c r="A67" s="54" t="s">
        <v>144</v>
      </c>
      <c r="B67" s="54" t="s">
        <v>145</v>
      </c>
      <c r="C67" s="31">
        <v>4301136018</v>
      </c>
      <c r="D67" s="346">
        <v>4607111037008</v>
      </c>
      <c r="E67" s="347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3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42"/>
      <c r="R67" s="342"/>
      <c r="S67" s="342"/>
      <c r="T67" s="343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146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65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66"/>
      <c r="P68" s="353" t="s">
        <v>73</v>
      </c>
      <c r="Q68" s="354"/>
      <c r="R68" s="354"/>
      <c r="S68" s="354"/>
      <c r="T68" s="354"/>
      <c r="U68" s="354"/>
      <c r="V68" s="355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hidden="1" x14ac:dyDescent="0.2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66"/>
      <c r="P69" s="353" t="s">
        <v>73</v>
      </c>
      <c r="Q69" s="354"/>
      <c r="R69" s="354"/>
      <c r="S69" s="354"/>
      <c r="T69" s="354"/>
      <c r="U69" s="354"/>
      <c r="V69" s="355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hidden="1" customHeight="1" x14ac:dyDescent="0.25">
      <c r="A70" s="350" t="s">
        <v>147</v>
      </c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30"/>
      <c r="AB70" s="330"/>
      <c r="AC70" s="330"/>
    </row>
    <row r="71" spans="1:68" ht="16.5" hidden="1" customHeight="1" x14ac:dyDescent="0.25">
      <c r="A71" s="54" t="s">
        <v>148</v>
      </c>
      <c r="B71" s="54" t="s">
        <v>149</v>
      </c>
      <c r="C71" s="31">
        <v>4301135664</v>
      </c>
      <c r="D71" s="346">
        <v>4607111039705</v>
      </c>
      <c r="E71" s="347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54" t="s">
        <v>150</v>
      </c>
      <c r="Q71" s="342"/>
      <c r="R71" s="342"/>
      <c r="S71" s="342"/>
      <c r="T71" s="343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151</v>
      </c>
      <c r="B72" s="54" t="s">
        <v>152</v>
      </c>
      <c r="C72" s="31">
        <v>4301135665</v>
      </c>
      <c r="D72" s="346">
        <v>4607111039729</v>
      </c>
      <c r="E72" s="347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28" t="s">
        <v>153</v>
      </c>
      <c r="Q72" s="342"/>
      <c r="R72" s="342"/>
      <c r="S72" s="342"/>
      <c r="T72" s="343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154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4301135702</v>
      </c>
      <c r="D73" s="346">
        <v>4620207490228</v>
      </c>
      <c r="E73" s="347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344" t="s">
        <v>157</v>
      </c>
      <c r="Q73" s="342"/>
      <c r="R73" s="342"/>
      <c r="S73" s="342"/>
      <c r="T73" s="343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154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65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66"/>
      <c r="P74" s="353" t="s">
        <v>73</v>
      </c>
      <c r="Q74" s="354"/>
      <c r="R74" s="354"/>
      <c r="S74" s="354"/>
      <c r="T74" s="354"/>
      <c r="U74" s="354"/>
      <c r="V74" s="355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hidden="1" x14ac:dyDescent="0.2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66"/>
      <c r="P75" s="353" t="s">
        <v>73</v>
      </c>
      <c r="Q75" s="354"/>
      <c r="R75" s="354"/>
      <c r="S75" s="354"/>
      <c r="T75" s="354"/>
      <c r="U75" s="354"/>
      <c r="V75" s="355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hidden="1" customHeight="1" x14ac:dyDescent="0.25">
      <c r="A76" s="352" t="s">
        <v>158</v>
      </c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29"/>
      <c r="AB76" s="329"/>
      <c r="AC76" s="329"/>
    </row>
    <row r="77" spans="1:68" ht="14.25" hidden="1" customHeight="1" x14ac:dyDescent="0.25">
      <c r="A77" s="350" t="s">
        <v>64</v>
      </c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30"/>
      <c r="AB77" s="330"/>
      <c r="AC77" s="330"/>
    </row>
    <row r="78" spans="1:68" ht="27" customHeight="1" x14ac:dyDescent="0.25">
      <c r="A78" s="54" t="s">
        <v>159</v>
      </c>
      <c r="B78" s="54" t="s">
        <v>160</v>
      </c>
      <c r="C78" s="31">
        <v>4301070977</v>
      </c>
      <c r="D78" s="346">
        <v>4607111037411</v>
      </c>
      <c r="E78" s="347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161</v>
      </c>
      <c r="L78" s="32" t="s">
        <v>109</v>
      </c>
      <c r="M78" s="33" t="s">
        <v>69</v>
      </c>
      <c r="N78" s="33"/>
      <c r="O78" s="32">
        <v>180</v>
      </c>
      <c r="P78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2"/>
      <c r="R78" s="342"/>
      <c r="S78" s="342"/>
      <c r="T78" s="343"/>
      <c r="U78" s="34"/>
      <c r="V78" s="34"/>
      <c r="W78" s="35" t="s">
        <v>70</v>
      </c>
      <c r="X78" s="334">
        <v>18</v>
      </c>
      <c r="Y78" s="335">
        <f>IFERROR(IF(X78="","",X78),"")</f>
        <v>18</v>
      </c>
      <c r="Z78" s="36">
        <f>IFERROR(IF(X78="","",X78*0.00502),"")</f>
        <v>9.0359999999999996E-2</v>
      </c>
      <c r="AA78" s="56"/>
      <c r="AB78" s="57"/>
      <c r="AC78" s="118" t="s">
        <v>162</v>
      </c>
      <c r="AG78" s="67"/>
      <c r="AJ78" s="71" t="s">
        <v>111</v>
      </c>
      <c r="AK78" s="71">
        <v>18</v>
      </c>
      <c r="BB78" s="119" t="s">
        <v>1</v>
      </c>
      <c r="BM78" s="67">
        <f>IFERROR(X78*I78,"0")</f>
        <v>50.637600000000006</v>
      </c>
      <c r="BN78" s="67">
        <f>IFERROR(Y78*I78,"0")</f>
        <v>50.637600000000006</v>
      </c>
      <c r="BO78" s="67">
        <f>IFERROR(X78/J78,"0")</f>
        <v>7.6923076923076927E-2</v>
      </c>
      <c r="BP78" s="67">
        <f>IFERROR(Y78/J78,"0")</f>
        <v>7.6923076923076927E-2</v>
      </c>
    </row>
    <row r="79" spans="1:68" ht="27" customHeight="1" x14ac:dyDescent="0.25">
      <c r="A79" s="54" t="s">
        <v>163</v>
      </c>
      <c r="B79" s="54" t="s">
        <v>164</v>
      </c>
      <c r="C79" s="31">
        <v>4301070981</v>
      </c>
      <c r="D79" s="346">
        <v>4607111036728</v>
      </c>
      <c r="E79" s="347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114</v>
      </c>
      <c r="M79" s="33" t="s">
        <v>69</v>
      </c>
      <c r="N79" s="33"/>
      <c r="O79" s="32">
        <v>180</v>
      </c>
      <c r="P79" s="34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2"/>
      <c r="R79" s="342"/>
      <c r="S79" s="342"/>
      <c r="T79" s="343"/>
      <c r="U79" s="34"/>
      <c r="V79" s="34"/>
      <c r="W79" s="35" t="s">
        <v>70</v>
      </c>
      <c r="X79" s="334">
        <v>156</v>
      </c>
      <c r="Y79" s="335">
        <f>IFERROR(IF(X79="","",X79),"")</f>
        <v>156</v>
      </c>
      <c r="Z79" s="36">
        <f>IFERROR(IF(X79="","",X79*0.00866),"")</f>
        <v>1.3509599999999999</v>
      </c>
      <c r="AA79" s="56"/>
      <c r="AB79" s="57"/>
      <c r="AC79" s="120" t="s">
        <v>162</v>
      </c>
      <c r="AG79" s="67"/>
      <c r="AJ79" s="71" t="s">
        <v>115</v>
      </c>
      <c r="AK79" s="71">
        <v>144</v>
      </c>
      <c r="BB79" s="121" t="s">
        <v>1</v>
      </c>
      <c r="BM79" s="67">
        <f>IFERROR(X79*I79,"0")</f>
        <v>813.25919999999996</v>
      </c>
      <c r="BN79" s="67">
        <f>IFERROR(Y79*I79,"0")</f>
        <v>813.25919999999996</v>
      </c>
      <c r="BO79" s="67">
        <f>IFERROR(X79/J79,"0")</f>
        <v>1.0833333333333333</v>
      </c>
      <c r="BP79" s="67">
        <f>IFERROR(Y79/J79,"0")</f>
        <v>1.0833333333333333</v>
      </c>
    </row>
    <row r="80" spans="1:68" x14ac:dyDescent="0.2">
      <c r="A80" s="365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66"/>
      <c r="P80" s="353" t="s">
        <v>73</v>
      </c>
      <c r="Q80" s="354"/>
      <c r="R80" s="354"/>
      <c r="S80" s="354"/>
      <c r="T80" s="354"/>
      <c r="U80" s="354"/>
      <c r="V80" s="355"/>
      <c r="W80" s="37" t="s">
        <v>70</v>
      </c>
      <c r="X80" s="336">
        <f>IFERROR(SUM(X78:X79),"0")</f>
        <v>174</v>
      </c>
      <c r="Y80" s="336">
        <f>IFERROR(SUM(Y78:Y79),"0")</f>
        <v>174</v>
      </c>
      <c r="Z80" s="336">
        <f>IFERROR(IF(Z78="",0,Z78),"0")+IFERROR(IF(Z79="",0,Z79),"0")</f>
        <v>1.4413199999999999</v>
      </c>
      <c r="AA80" s="337"/>
      <c r="AB80" s="337"/>
      <c r="AC80" s="337"/>
    </row>
    <row r="81" spans="1:68" x14ac:dyDescent="0.2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66"/>
      <c r="P81" s="353" t="s">
        <v>73</v>
      </c>
      <c r="Q81" s="354"/>
      <c r="R81" s="354"/>
      <c r="S81" s="354"/>
      <c r="T81" s="354"/>
      <c r="U81" s="354"/>
      <c r="V81" s="355"/>
      <c r="W81" s="37" t="s">
        <v>74</v>
      </c>
      <c r="X81" s="336">
        <f>IFERROR(SUMPRODUCT(X78:X79*H78:H79),"0")</f>
        <v>828.6</v>
      </c>
      <c r="Y81" s="336">
        <f>IFERROR(SUMPRODUCT(Y78:Y79*H78:H79),"0")</f>
        <v>828.6</v>
      </c>
      <c r="Z81" s="37"/>
      <c r="AA81" s="337"/>
      <c r="AB81" s="337"/>
      <c r="AC81" s="337"/>
    </row>
    <row r="82" spans="1:68" ht="16.5" hidden="1" customHeight="1" x14ac:dyDescent="0.25">
      <c r="A82" s="352" t="s">
        <v>165</v>
      </c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29"/>
      <c r="AB82" s="329"/>
      <c r="AC82" s="329"/>
    </row>
    <row r="83" spans="1:68" ht="14.25" hidden="1" customHeight="1" x14ac:dyDescent="0.25">
      <c r="A83" s="350" t="s">
        <v>147</v>
      </c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30"/>
      <c r="AB83" s="330"/>
      <c r="AC83" s="330"/>
    </row>
    <row r="84" spans="1:68" ht="27" customHeight="1" x14ac:dyDescent="0.25">
      <c r="A84" s="54" t="s">
        <v>166</v>
      </c>
      <c r="B84" s="54" t="s">
        <v>167</v>
      </c>
      <c r="C84" s="31">
        <v>4301135584</v>
      </c>
      <c r="D84" s="346">
        <v>4607111033659</v>
      </c>
      <c r="E84" s="347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98" t="s">
        <v>168</v>
      </c>
      <c r="Q84" s="342"/>
      <c r="R84" s="342"/>
      <c r="S84" s="342"/>
      <c r="T84" s="343"/>
      <c r="U84" s="34"/>
      <c r="V84" s="34"/>
      <c r="W84" s="35" t="s">
        <v>70</v>
      </c>
      <c r="X84" s="334">
        <v>14</v>
      </c>
      <c r="Y84" s="335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169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65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66"/>
      <c r="P85" s="353" t="s">
        <v>73</v>
      </c>
      <c r="Q85" s="354"/>
      <c r="R85" s="354"/>
      <c r="S85" s="354"/>
      <c r="T85" s="354"/>
      <c r="U85" s="354"/>
      <c r="V85" s="355"/>
      <c r="W85" s="37" t="s">
        <v>70</v>
      </c>
      <c r="X85" s="336">
        <f>IFERROR(SUM(X84:X84),"0")</f>
        <v>14</v>
      </c>
      <c r="Y85" s="336">
        <f>IFERROR(SUM(Y84:Y84),"0")</f>
        <v>14</v>
      </c>
      <c r="Z85" s="336">
        <f>IFERROR(IF(Z84="",0,Z84),"0")</f>
        <v>0.25031999999999999</v>
      </c>
      <c r="AA85" s="337"/>
      <c r="AB85" s="337"/>
      <c r="AC85" s="337"/>
    </row>
    <row r="86" spans="1:68" x14ac:dyDescent="0.2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66"/>
      <c r="P86" s="353" t="s">
        <v>73</v>
      </c>
      <c r="Q86" s="354"/>
      <c r="R86" s="354"/>
      <c r="S86" s="354"/>
      <c r="T86" s="354"/>
      <c r="U86" s="354"/>
      <c r="V86" s="355"/>
      <c r="W86" s="37" t="s">
        <v>74</v>
      </c>
      <c r="X86" s="336">
        <f>IFERROR(SUMPRODUCT(X84:X84*H84:H84),"0")</f>
        <v>50.4</v>
      </c>
      <c r="Y86" s="336">
        <f>IFERROR(SUMPRODUCT(Y84:Y84*H84:H84),"0")</f>
        <v>50.4</v>
      </c>
      <c r="Z86" s="37"/>
      <c r="AA86" s="337"/>
      <c r="AB86" s="337"/>
      <c r="AC86" s="337"/>
    </row>
    <row r="87" spans="1:68" ht="16.5" hidden="1" customHeight="1" x14ac:dyDescent="0.25">
      <c r="A87" s="352" t="s">
        <v>170</v>
      </c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29"/>
      <c r="AB87" s="329"/>
      <c r="AC87" s="329"/>
    </row>
    <row r="88" spans="1:68" ht="14.25" hidden="1" customHeight="1" x14ac:dyDescent="0.25">
      <c r="A88" s="350" t="s">
        <v>171</v>
      </c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30"/>
      <c r="AB88" s="330"/>
      <c r="AC88" s="330"/>
    </row>
    <row r="89" spans="1:68" ht="27" customHeight="1" x14ac:dyDescent="0.25">
      <c r="A89" s="54" t="s">
        <v>172</v>
      </c>
      <c r="B89" s="54" t="s">
        <v>173</v>
      </c>
      <c r="C89" s="31">
        <v>4301131041</v>
      </c>
      <c r="D89" s="346">
        <v>4607111034120</v>
      </c>
      <c r="E89" s="347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64" t="s">
        <v>174</v>
      </c>
      <c r="Q89" s="342"/>
      <c r="R89" s="342"/>
      <c r="S89" s="342"/>
      <c r="T89" s="343"/>
      <c r="U89" s="34"/>
      <c r="V89" s="34"/>
      <c r="W89" s="35" t="s">
        <v>70</v>
      </c>
      <c r="X89" s="334">
        <v>14</v>
      </c>
      <c r="Y89" s="335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175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customHeight="1" x14ac:dyDescent="0.25">
      <c r="A90" s="54" t="s">
        <v>176</v>
      </c>
      <c r="B90" s="54" t="s">
        <v>177</v>
      </c>
      <c r="C90" s="31">
        <v>4301131021</v>
      </c>
      <c r="D90" s="346">
        <v>4607111034137</v>
      </c>
      <c r="E90" s="347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109</v>
      </c>
      <c r="M90" s="33" t="s">
        <v>69</v>
      </c>
      <c r="N90" s="33"/>
      <c r="O90" s="32">
        <v>180</v>
      </c>
      <c r="P90" s="489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42"/>
      <c r="R90" s="342"/>
      <c r="S90" s="342"/>
      <c r="T90" s="343"/>
      <c r="U90" s="34"/>
      <c r="V90" s="34"/>
      <c r="W90" s="35" t="s">
        <v>70</v>
      </c>
      <c r="X90" s="334">
        <v>28</v>
      </c>
      <c r="Y90" s="335">
        <f>IFERROR(IF(X90="","",X90),"")</f>
        <v>28</v>
      </c>
      <c r="Z90" s="36">
        <f>IFERROR(IF(X90="","",X90*0.01788),"")</f>
        <v>0.50063999999999997</v>
      </c>
      <c r="AA90" s="56"/>
      <c r="AB90" s="57"/>
      <c r="AC90" s="126" t="s">
        <v>178</v>
      </c>
      <c r="AG90" s="67"/>
      <c r="AJ90" s="71" t="s">
        <v>111</v>
      </c>
      <c r="AK90" s="71">
        <v>14</v>
      </c>
      <c r="BB90" s="127" t="s">
        <v>83</v>
      </c>
      <c r="BM90" s="67">
        <f>IFERROR(X90*I90,"0")</f>
        <v>120.50080000000001</v>
      </c>
      <c r="BN90" s="67">
        <f>IFERROR(Y90*I90,"0")</f>
        <v>120.50080000000001</v>
      </c>
      <c r="BO90" s="67">
        <f>IFERROR(X90/J90,"0")</f>
        <v>0.4</v>
      </c>
      <c r="BP90" s="67">
        <f>IFERROR(Y90/J90,"0")</f>
        <v>0.4</v>
      </c>
    </row>
    <row r="91" spans="1:68" x14ac:dyDescent="0.2">
      <c r="A91" s="365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66"/>
      <c r="P91" s="353" t="s">
        <v>73</v>
      </c>
      <c r="Q91" s="354"/>
      <c r="R91" s="354"/>
      <c r="S91" s="354"/>
      <c r="T91" s="354"/>
      <c r="U91" s="354"/>
      <c r="V91" s="355"/>
      <c r="W91" s="37" t="s">
        <v>70</v>
      </c>
      <c r="X91" s="336">
        <f>IFERROR(SUM(X89:X90),"0")</f>
        <v>42</v>
      </c>
      <c r="Y91" s="336">
        <f>IFERROR(SUM(Y89:Y90),"0")</f>
        <v>42</v>
      </c>
      <c r="Z91" s="336">
        <f>IFERROR(IF(Z89="",0,Z89),"0")+IFERROR(IF(Z90="",0,Z90),"0")</f>
        <v>0.75095999999999996</v>
      </c>
      <c r="AA91" s="337"/>
      <c r="AB91" s="337"/>
      <c r="AC91" s="337"/>
    </row>
    <row r="92" spans="1:68" x14ac:dyDescent="0.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66"/>
      <c r="P92" s="353" t="s">
        <v>73</v>
      </c>
      <c r="Q92" s="354"/>
      <c r="R92" s="354"/>
      <c r="S92" s="354"/>
      <c r="T92" s="354"/>
      <c r="U92" s="354"/>
      <c r="V92" s="355"/>
      <c r="W92" s="37" t="s">
        <v>74</v>
      </c>
      <c r="X92" s="336">
        <f>IFERROR(SUMPRODUCT(X89:X90*H89:H90),"0")</f>
        <v>151.19999999999999</v>
      </c>
      <c r="Y92" s="336">
        <f>IFERROR(SUMPRODUCT(Y89:Y90*H89:H90),"0")</f>
        <v>151.19999999999999</v>
      </c>
      <c r="Z92" s="37"/>
      <c r="AA92" s="337"/>
      <c r="AB92" s="337"/>
      <c r="AC92" s="337"/>
    </row>
    <row r="93" spans="1:68" ht="16.5" hidden="1" customHeight="1" x14ac:dyDescent="0.25">
      <c r="A93" s="352" t="s">
        <v>179</v>
      </c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29"/>
      <c r="AB93" s="329"/>
      <c r="AC93" s="329"/>
    </row>
    <row r="94" spans="1:68" ht="14.25" hidden="1" customHeight="1" x14ac:dyDescent="0.25">
      <c r="A94" s="350" t="s">
        <v>147</v>
      </c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30"/>
      <c r="AB94" s="330"/>
      <c r="AC94" s="330"/>
    </row>
    <row r="95" spans="1:68" ht="27" customHeight="1" x14ac:dyDescent="0.25">
      <c r="A95" s="54" t="s">
        <v>180</v>
      </c>
      <c r="B95" s="54" t="s">
        <v>181</v>
      </c>
      <c r="C95" s="31">
        <v>4301135569</v>
      </c>
      <c r="D95" s="346">
        <v>4607111033628</v>
      </c>
      <c r="E95" s="347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109</v>
      </c>
      <c r="M95" s="33" t="s">
        <v>69</v>
      </c>
      <c r="N95" s="33"/>
      <c r="O95" s="32">
        <v>180</v>
      </c>
      <c r="P95" s="393" t="s">
        <v>182</v>
      </c>
      <c r="Q95" s="342"/>
      <c r="R95" s="342"/>
      <c r="S95" s="342"/>
      <c r="T95" s="343"/>
      <c r="U95" s="34"/>
      <c r="V95" s="34"/>
      <c r="W95" s="35" t="s">
        <v>70</v>
      </c>
      <c r="X95" s="334">
        <v>14</v>
      </c>
      <c r="Y95" s="335">
        <f t="shared" ref="Y95:Y100" si="6">IFERROR(IF(X95="","",X95),"")</f>
        <v>14</v>
      </c>
      <c r="Z95" s="36">
        <f t="shared" ref="Z95:Z100" si="7">IFERROR(IF(X95="","",X95*0.01788),"")</f>
        <v>0.25031999999999999</v>
      </c>
      <c r="AA95" s="56"/>
      <c r="AB95" s="57"/>
      <c r="AC95" s="128" t="s">
        <v>169</v>
      </c>
      <c r="AG95" s="67"/>
      <c r="AJ95" s="71" t="s">
        <v>111</v>
      </c>
      <c r="AK95" s="71">
        <v>14</v>
      </c>
      <c r="BB95" s="129" t="s">
        <v>83</v>
      </c>
      <c r="BM95" s="67">
        <f t="shared" ref="BM95:BM100" si="8">IFERROR(X95*I95,"0")</f>
        <v>60.250400000000006</v>
      </c>
      <c r="BN95" s="67">
        <f t="shared" ref="BN95:BN100" si="9">IFERROR(Y95*I95,"0")</f>
        <v>60.250400000000006</v>
      </c>
      <c r="BO95" s="67">
        <f t="shared" ref="BO95:BO100" si="10">IFERROR(X95/J95,"0")</f>
        <v>0.2</v>
      </c>
      <c r="BP95" s="67">
        <f t="shared" ref="BP95:BP100" si="11">IFERROR(Y95/J95,"0")</f>
        <v>0.2</v>
      </c>
    </row>
    <row r="96" spans="1:68" ht="27" customHeight="1" x14ac:dyDescent="0.25">
      <c r="A96" s="54" t="s">
        <v>183</v>
      </c>
      <c r="B96" s="54" t="s">
        <v>184</v>
      </c>
      <c r="C96" s="31">
        <v>4301135565</v>
      </c>
      <c r="D96" s="346">
        <v>4607111033451</v>
      </c>
      <c r="E96" s="347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114</v>
      </c>
      <c r="M96" s="33" t="s">
        <v>69</v>
      </c>
      <c r="N96" s="33"/>
      <c r="O96" s="32">
        <v>180</v>
      </c>
      <c r="P96" s="46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42"/>
      <c r="R96" s="342"/>
      <c r="S96" s="342"/>
      <c r="T96" s="343"/>
      <c r="U96" s="34"/>
      <c r="V96" s="34"/>
      <c r="W96" s="35" t="s">
        <v>70</v>
      </c>
      <c r="X96" s="334">
        <v>84</v>
      </c>
      <c r="Y96" s="335">
        <f t="shared" si="6"/>
        <v>84</v>
      </c>
      <c r="Z96" s="36">
        <f t="shared" si="7"/>
        <v>1.5019199999999999</v>
      </c>
      <c r="AA96" s="56"/>
      <c r="AB96" s="57"/>
      <c r="AC96" s="130" t="s">
        <v>169</v>
      </c>
      <c r="AG96" s="67"/>
      <c r="AJ96" s="71" t="s">
        <v>115</v>
      </c>
      <c r="AK96" s="71">
        <v>70</v>
      </c>
      <c r="BB96" s="131" t="s">
        <v>83</v>
      </c>
      <c r="BM96" s="67">
        <f t="shared" si="8"/>
        <v>361.50240000000002</v>
      </c>
      <c r="BN96" s="67">
        <f t="shared" si="9"/>
        <v>361.50240000000002</v>
      </c>
      <c r="BO96" s="67">
        <f t="shared" si="10"/>
        <v>1.2</v>
      </c>
      <c r="BP96" s="67">
        <f t="shared" si="11"/>
        <v>1.2</v>
      </c>
    </row>
    <row r="97" spans="1:68" ht="27" hidden="1" customHeight="1" x14ac:dyDescent="0.25">
      <c r="A97" s="54" t="s">
        <v>185</v>
      </c>
      <c r="B97" s="54" t="s">
        <v>186</v>
      </c>
      <c r="C97" s="31">
        <v>4301135575</v>
      </c>
      <c r="D97" s="346">
        <v>4607111035141</v>
      </c>
      <c r="E97" s="347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00" t="s">
        <v>187</v>
      </c>
      <c r="Q97" s="342"/>
      <c r="R97" s="342"/>
      <c r="S97" s="342"/>
      <c r="T97" s="343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6">
        <v>4607111033444</v>
      </c>
      <c r="E98" s="347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114</v>
      </c>
      <c r="M98" s="33" t="s">
        <v>69</v>
      </c>
      <c r="N98" s="33"/>
      <c r="O98" s="32">
        <v>180</v>
      </c>
      <c r="P98" s="45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42"/>
      <c r="R98" s="342"/>
      <c r="S98" s="342"/>
      <c r="T98" s="343"/>
      <c r="U98" s="34"/>
      <c r="V98" s="34"/>
      <c r="W98" s="35" t="s">
        <v>70</v>
      </c>
      <c r="X98" s="334">
        <v>182</v>
      </c>
      <c r="Y98" s="335">
        <f t="shared" si="6"/>
        <v>182</v>
      </c>
      <c r="Z98" s="36">
        <f t="shared" si="7"/>
        <v>3.2541600000000002</v>
      </c>
      <c r="AA98" s="56"/>
      <c r="AB98" s="57"/>
      <c r="AC98" s="134" t="s">
        <v>169</v>
      </c>
      <c r="AG98" s="67"/>
      <c r="AJ98" s="71" t="s">
        <v>115</v>
      </c>
      <c r="AK98" s="71">
        <v>70</v>
      </c>
      <c r="BB98" s="135" t="s">
        <v>83</v>
      </c>
      <c r="BM98" s="67">
        <f t="shared" si="8"/>
        <v>783.25520000000006</v>
      </c>
      <c r="BN98" s="67">
        <f t="shared" si="9"/>
        <v>783.25520000000006</v>
      </c>
      <c r="BO98" s="67">
        <f t="shared" si="10"/>
        <v>2.6</v>
      </c>
      <c r="BP98" s="67">
        <f t="shared" si="11"/>
        <v>2.6</v>
      </c>
    </row>
    <row r="99" spans="1:68" ht="27" hidden="1" customHeight="1" x14ac:dyDescent="0.25">
      <c r="A99" s="54" t="s">
        <v>191</v>
      </c>
      <c r="B99" s="54" t="s">
        <v>192</v>
      </c>
      <c r="C99" s="31">
        <v>4301135290</v>
      </c>
      <c r="D99" s="346">
        <v>4607111035028</v>
      </c>
      <c r="E99" s="347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37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42"/>
      <c r="R99" s="342"/>
      <c r="S99" s="342"/>
      <c r="T99" s="343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4301135285</v>
      </c>
      <c r="D100" s="346">
        <v>4607111036407</v>
      </c>
      <c r="E100" s="347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109</v>
      </c>
      <c r="M100" s="33" t="s">
        <v>69</v>
      </c>
      <c r="N100" s="33"/>
      <c r="O100" s="32">
        <v>180</v>
      </c>
      <c r="P100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2"/>
      <c r="R100" s="342"/>
      <c r="S100" s="342"/>
      <c r="T100" s="343"/>
      <c r="U100" s="34"/>
      <c r="V100" s="34"/>
      <c r="W100" s="35" t="s">
        <v>70</v>
      </c>
      <c r="X100" s="334">
        <v>14</v>
      </c>
      <c r="Y100" s="335">
        <f t="shared" si="6"/>
        <v>14</v>
      </c>
      <c r="Z100" s="36">
        <f t="shared" si="7"/>
        <v>0.25031999999999999</v>
      </c>
      <c r="AA100" s="56"/>
      <c r="AB100" s="57"/>
      <c r="AC100" s="138" t="s">
        <v>195</v>
      </c>
      <c r="AG100" s="67"/>
      <c r="AJ100" s="71" t="s">
        <v>111</v>
      </c>
      <c r="AK100" s="71">
        <v>14</v>
      </c>
      <c r="BB100" s="139" t="s">
        <v>83</v>
      </c>
      <c r="BM100" s="67">
        <f t="shared" si="8"/>
        <v>63.408800000000006</v>
      </c>
      <c r="BN100" s="67">
        <f t="shared" si="9"/>
        <v>63.408800000000006</v>
      </c>
      <c r="BO100" s="67">
        <f t="shared" si="10"/>
        <v>0.2</v>
      </c>
      <c r="BP100" s="67">
        <f t="shared" si="11"/>
        <v>0.2</v>
      </c>
    </row>
    <row r="101" spans="1:68" x14ac:dyDescent="0.2">
      <c r="A101" s="365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66"/>
      <c r="P101" s="353" t="s">
        <v>73</v>
      </c>
      <c r="Q101" s="354"/>
      <c r="R101" s="354"/>
      <c r="S101" s="354"/>
      <c r="T101" s="354"/>
      <c r="U101" s="354"/>
      <c r="V101" s="355"/>
      <c r="W101" s="37" t="s">
        <v>70</v>
      </c>
      <c r="X101" s="336">
        <f>IFERROR(SUM(X95:X100),"0")</f>
        <v>294</v>
      </c>
      <c r="Y101" s="336">
        <f>IFERROR(SUM(Y95:Y100),"0")</f>
        <v>294</v>
      </c>
      <c r="Z101" s="336">
        <f>IFERROR(IF(Z95="",0,Z95),"0")+IFERROR(IF(Z96="",0,Z96),"0")+IFERROR(IF(Z97="",0,Z97),"0")+IFERROR(IF(Z98="",0,Z98),"0")+IFERROR(IF(Z99="",0,Z99),"0")+IFERROR(IF(Z100="",0,Z100),"0")</f>
        <v>5.2567200000000005</v>
      </c>
      <c r="AA101" s="337"/>
      <c r="AB101" s="337"/>
      <c r="AC101" s="337"/>
    </row>
    <row r="102" spans="1:68" x14ac:dyDescent="0.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66"/>
      <c r="P102" s="353" t="s">
        <v>73</v>
      </c>
      <c r="Q102" s="354"/>
      <c r="R102" s="354"/>
      <c r="S102" s="354"/>
      <c r="T102" s="354"/>
      <c r="U102" s="354"/>
      <c r="V102" s="355"/>
      <c r="W102" s="37" t="s">
        <v>74</v>
      </c>
      <c r="X102" s="336">
        <f>IFERROR(SUMPRODUCT(X95:X100*H95:H100),"0")</f>
        <v>1066.8</v>
      </c>
      <c r="Y102" s="336">
        <f>IFERROR(SUMPRODUCT(Y95:Y100*H95:H100),"0")</f>
        <v>1066.8</v>
      </c>
      <c r="Z102" s="37"/>
      <c r="AA102" s="337"/>
      <c r="AB102" s="337"/>
      <c r="AC102" s="337"/>
    </row>
    <row r="103" spans="1:68" ht="16.5" hidden="1" customHeight="1" x14ac:dyDescent="0.25">
      <c r="A103" s="352" t="s">
        <v>196</v>
      </c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29"/>
      <c r="AB103" s="329"/>
      <c r="AC103" s="329"/>
    </row>
    <row r="104" spans="1:68" ht="14.25" hidden="1" customHeight="1" x14ac:dyDescent="0.25">
      <c r="A104" s="350" t="s">
        <v>143</v>
      </c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30"/>
      <c r="AB104" s="330"/>
      <c r="AC104" s="330"/>
    </row>
    <row r="105" spans="1:68" ht="27" hidden="1" customHeight="1" x14ac:dyDescent="0.25">
      <c r="A105" s="54" t="s">
        <v>197</v>
      </c>
      <c r="B105" s="54" t="s">
        <v>198</v>
      </c>
      <c r="C105" s="31">
        <v>4301136042</v>
      </c>
      <c r="D105" s="346">
        <v>4607025784012</v>
      </c>
      <c r="E105" s="347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109</v>
      </c>
      <c r="M105" s="33" t="s">
        <v>69</v>
      </c>
      <c r="N105" s="33"/>
      <c r="O105" s="32">
        <v>180</v>
      </c>
      <c r="P105" s="54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2"/>
      <c r="R105" s="342"/>
      <c r="S105" s="342"/>
      <c r="T105" s="343"/>
      <c r="U105" s="34"/>
      <c r="V105" s="34"/>
      <c r="W105" s="35" t="s">
        <v>70</v>
      </c>
      <c r="X105" s="334">
        <v>0</v>
      </c>
      <c r="Y105" s="335">
        <f>IFERROR(IF(X105="","",X105),"")</f>
        <v>0</v>
      </c>
      <c r="Z105" s="36">
        <f>IFERROR(IF(X105="","",X105*0.00936),"")</f>
        <v>0</v>
      </c>
      <c r="AA105" s="56"/>
      <c r="AB105" s="57"/>
      <c r="AC105" s="140" t="s">
        <v>199</v>
      </c>
      <c r="AG105" s="67"/>
      <c r="AJ105" s="71" t="s">
        <v>111</v>
      </c>
      <c r="AK105" s="71">
        <v>14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27" hidden="1" customHeight="1" x14ac:dyDescent="0.25">
      <c r="A106" s="54" t="s">
        <v>200</v>
      </c>
      <c r="B106" s="54" t="s">
        <v>201</v>
      </c>
      <c r="C106" s="31">
        <v>4301136077</v>
      </c>
      <c r="D106" s="346">
        <v>4607025784319</v>
      </c>
      <c r="E106" s="347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2" t="s">
        <v>202</v>
      </c>
      <c r="Q106" s="342"/>
      <c r="R106" s="342"/>
      <c r="S106" s="342"/>
      <c r="T106" s="343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169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4301136039</v>
      </c>
      <c r="D107" s="346">
        <v>4607111035370</v>
      </c>
      <c r="E107" s="347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68</v>
      </c>
      <c r="M107" s="33" t="s">
        <v>69</v>
      </c>
      <c r="N107" s="33"/>
      <c r="O107" s="32">
        <v>180</v>
      </c>
      <c r="P107" s="511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42"/>
      <c r="R107" s="342"/>
      <c r="S107" s="342"/>
      <c r="T107" s="343"/>
      <c r="U107" s="34"/>
      <c r="V107" s="34"/>
      <c r="W107" s="35" t="s">
        <v>70</v>
      </c>
      <c r="X107" s="334">
        <v>0</v>
      </c>
      <c r="Y107" s="335">
        <f>IFERROR(IF(X107="","",X107),"")</f>
        <v>0</v>
      </c>
      <c r="Z107" s="36">
        <f>IFERROR(IF(X107="","",X107*0.0155),"")</f>
        <v>0</v>
      </c>
      <c r="AA107" s="56"/>
      <c r="AB107" s="57"/>
      <c r="AC107" s="144" t="s">
        <v>205</v>
      </c>
      <c r="AG107" s="67"/>
      <c r="AJ107" s="71" t="s">
        <v>72</v>
      </c>
      <c r="AK107" s="71">
        <v>1</v>
      </c>
      <c r="BB107" s="145" t="s">
        <v>83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idden="1" x14ac:dyDescent="0.2">
      <c r="A108" s="365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66"/>
      <c r="P108" s="353" t="s">
        <v>73</v>
      </c>
      <c r="Q108" s="354"/>
      <c r="R108" s="354"/>
      <c r="S108" s="354"/>
      <c r="T108" s="354"/>
      <c r="U108" s="354"/>
      <c r="V108" s="355"/>
      <c r="W108" s="37" t="s">
        <v>70</v>
      </c>
      <c r="X108" s="336">
        <f>IFERROR(SUM(X105:X107),"0")</f>
        <v>0</v>
      </c>
      <c r="Y108" s="336">
        <f>IFERROR(SUM(Y105:Y107),"0")</f>
        <v>0</v>
      </c>
      <c r="Z108" s="336">
        <f>IFERROR(IF(Z105="",0,Z105),"0")+IFERROR(IF(Z106="",0,Z106),"0")+IFERROR(IF(Z107="",0,Z107),"0")</f>
        <v>0</v>
      </c>
      <c r="AA108" s="337"/>
      <c r="AB108" s="337"/>
      <c r="AC108" s="337"/>
    </row>
    <row r="109" spans="1:68" hidden="1" x14ac:dyDescent="0.2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66"/>
      <c r="P109" s="353" t="s">
        <v>73</v>
      </c>
      <c r="Q109" s="354"/>
      <c r="R109" s="354"/>
      <c r="S109" s="354"/>
      <c r="T109" s="354"/>
      <c r="U109" s="354"/>
      <c r="V109" s="355"/>
      <c r="W109" s="37" t="s">
        <v>74</v>
      </c>
      <c r="X109" s="336">
        <f>IFERROR(SUMPRODUCT(X105:X107*H105:H107),"0")</f>
        <v>0</v>
      </c>
      <c r="Y109" s="336">
        <f>IFERROR(SUMPRODUCT(Y105:Y107*H105:H107),"0")</f>
        <v>0</v>
      </c>
      <c r="Z109" s="37"/>
      <c r="AA109" s="337"/>
      <c r="AB109" s="337"/>
      <c r="AC109" s="337"/>
    </row>
    <row r="110" spans="1:68" ht="16.5" hidden="1" customHeight="1" x14ac:dyDescent="0.25">
      <c r="A110" s="352" t="s">
        <v>206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29"/>
      <c r="AB110" s="329"/>
      <c r="AC110" s="329"/>
    </row>
    <row r="111" spans="1:68" ht="14.25" hidden="1" customHeight="1" x14ac:dyDescent="0.25">
      <c r="A111" s="350" t="s">
        <v>64</v>
      </c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30"/>
      <c r="AB111" s="330"/>
      <c r="AC111" s="330"/>
    </row>
    <row r="112" spans="1:68" ht="27" hidden="1" customHeight="1" x14ac:dyDescent="0.25">
      <c r="A112" s="54" t="s">
        <v>207</v>
      </c>
      <c r="B112" s="54" t="s">
        <v>208</v>
      </c>
      <c r="C112" s="31">
        <v>4301071074</v>
      </c>
      <c r="D112" s="346">
        <v>4620207491157</v>
      </c>
      <c r="E112" s="347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529" t="s">
        <v>209</v>
      </c>
      <c r="Q112" s="342"/>
      <c r="R112" s="342"/>
      <c r="S112" s="342"/>
      <c r="T112" s="343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6">
        <v>4607111039262</v>
      </c>
      <c r="E113" s="347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42"/>
      <c r="R113" s="342"/>
      <c r="S113" s="342"/>
      <c r="T113" s="343"/>
      <c r="U113" s="34"/>
      <c r="V113" s="34"/>
      <c r="W113" s="35" t="s">
        <v>70</v>
      </c>
      <c r="X113" s="334">
        <v>36</v>
      </c>
      <c r="Y113" s="335">
        <f t="shared" si="12"/>
        <v>36</v>
      </c>
      <c r="Z113" s="36">
        <f t="shared" si="13"/>
        <v>0.55800000000000005</v>
      </c>
      <c r="AA113" s="56"/>
      <c r="AB113" s="57"/>
      <c r="AC113" s="148" t="s">
        <v>162</v>
      </c>
      <c r="AG113" s="67"/>
      <c r="AJ113" s="71" t="s">
        <v>111</v>
      </c>
      <c r="AK113" s="71">
        <v>12</v>
      </c>
      <c r="BB113" s="149" t="s">
        <v>1</v>
      </c>
      <c r="BM113" s="67">
        <f t="shared" si="14"/>
        <v>241.90559999999999</v>
      </c>
      <c r="BN113" s="67">
        <f t="shared" si="15"/>
        <v>241.90559999999999</v>
      </c>
      <c r="BO113" s="67">
        <f t="shared" si="16"/>
        <v>0.42857142857142855</v>
      </c>
      <c r="BP113" s="67">
        <f t="shared" si="17"/>
        <v>0.42857142857142855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6">
        <v>4607111039248</v>
      </c>
      <c r="E114" s="347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114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2"/>
      <c r="R114" s="342"/>
      <c r="S114" s="342"/>
      <c r="T114" s="343"/>
      <c r="U114" s="34"/>
      <c r="V114" s="34"/>
      <c r="W114" s="35" t="s">
        <v>70</v>
      </c>
      <c r="X114" s="334">
        <v>180</v>
      </c>
      <c r="Y114" s="335">
        <f t="shared" si="12"/>
        <v>180</v>
      </c>
      <c r="Z114" s="36">
        <f t="shared" si="13"/>
        <v>2.79</v>
      </c>
      <c r="AA114" s="56"/>
      <c r="AB114" s="57"/>
      <c r="AC114" s="150" t="s">
        <v>162</v>
      </c>
      <c r="AG114" s="67"/>
      <c r="AJ114" s="71" t="s">
        <v>115</v>
      </c>
      <c r="AK114" s="71">
        <v>84</v>
      </c>
      <c r="BB114" s="151" t="s">
        <v>1</v>
      </c>
      <c r="BM114" s="67">
        <f t="shared" si="14"/>
        <v>1314</v>
      </c>
      <c r="BN114" s="67">
        <f t="shared" si="15"/>
        <v>1314</v>
      </c>
      <c r="BO114" s="67">
        <f t="shared" si="16"/>
        <v>2.1428571428571428</v>
      </c>
      <c r="BP114" s="67">
        <f t="shared" si="17"/>
        <v>2.1428571428571428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4301070976</v>
      </c>
      <c r="D115" s="346">
        <v>4607111034144</v>
      </c>
      <c r="E115" s="347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114</v>
      </c>
      <c r="M115" s="33" t="s">
        <v>69</v>
      </c>
      <c r="N115" s="33"/>
      <c r="O115" s="32">
        <v>180</v>
      </c>
      <c r="P115" s="481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42"/>
      <c r="R115" s="342"/>
      <c r="S115" s="342"/>
      <c r="T115" s="343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162</v>
      </c>
      <c r="AG115" s="67"/>
      <c r="AJ115" s="71" t="s">
        <v>115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6">
        <v>4607111039293</v>
      </c>
      <c r="E116" s="347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109</v>
      </c>
      <c r="M116" s="33" t="s">
        <v>69</v>
      </c>
      <c r="N116" s="33"/>
      <c r="O116" s="32">
        <v>180</v>
      </c>
      <c r="P116" s="42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42"/>
      <c r="R116" s="342"/>
      <c r="S116" s="342"/>
      <c r="T116" s="343"/>
      <c r="U116" s="34"/>
      <c r="V116" s="34"/>
      <c r="W116" s="35" t="s">
        <v>70</v>
      </c>
      <c r="X116" s="334">
        <v>48</v>
      </c>
      <c r="Y116" s="335">
        <f t="shared" si="12"/>
        <v>48</v>
      </c>
      <c r="Z116" s="36">
        <f t="shared" si="13"/>
        <v>0.74399999999999999</v>
      </c>
      <c r="AA116" s="56"/>
      <c r="AB116" s="57"/>
      <c r="AC116" s="154" t="s">
        <v>162</v>
      </c>
      <c r="AG116" s="67"/>
      <c r="AJ116" s="71" t="s">
        <v>111</v>
      </c>
      <c r="AK116" s="71">
        <v>12</v>
      </c>
      <c r="BB116" s="155" t="s">
        <v>1</v>
      </c>
      <c r="BM116" s="67">
        <f t="shared" si="14"/>
        <v>322.54079999999999</v>
      </c>
      <c r="BN116" s="67">
        <f t="shared" si="15"/>
        <v>322.54079999999999</v>
      </c>
      <c r="BO116" s="67">
        <f t="shared" si="16"/>
        <v>0.5714285714285714</v>
      </c>
      <c r="BP116" s="67">
        <f t="shared" si="17"/>
        <v>0.5714285714285714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6">
        <v>4607111039279</v>
      </c>
      <c r="E117" s="347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114</v>
      </c>
      <c r="M117" s="33" t="s">
        <v>69</v>
      </c>
      <c r="N117" s="33"/>
      <c r="O117" s="32">
        <v>180</v>
      </c>
      <c r="P117" s="47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42"/>
      <c r="R117" s="342"/>
      <c r="S117" s="342"/>
      <c r="T117" s="343"/>
      <c r="U117" s="34"/>
      <c r="V117" s="34"/>
      <c r="W117" s="35" t="s">
        <v>70</v>
      </c>
      <c r="X117" s="334">
        <v>132</v>
      </c>
      <c r="Y117" s="335">
        <f t="shared" si="12"/>
        <v>132</v>
      </c>
      <c r="Z117" s="36">
        <f t="shared" si="13"/>
        <v>2.0459999999999998</v>
      </c>
      <c r="AA117" s="56"/>
      <c r="AB117" s="57"/>
      <c r="AC117" s="156" t="s">
        <v>162</v>
      </c>
      <c r="AG117" s="67"/>
      <c r="AJ117" s="71" t="s">
        <v>115</v>
      </c>
      <c r="AK117" s="71">
        <v>84</v>
      </c>
      <c r="BB117" s="157" t="s">
        <v>1</v>
      </c>
      <c r="BM117" s="67">
        <f t="shared" si="14"/>
        <v>963.6</v>
      </c>
      <c r="BN117" s="67">
        <f t="shared" si="15"/>
        <v>963.6</v>
      </c>
      <c r="BO117" s="67">
        <f t="shared" si="16"/>
        <v>1.5714285714285714</v>
      </c>
      <c r="BP117" s="67">
        <f t="shared" si="17"/>
        <v>1.5714285714285714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6">
        <v>4607111038098</v>
      </c>
      <c r="E118" s="347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76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42"/>
      <c r="R118" s="342"/>
      <c r="S118" s="342"/>
      <c r="T118" s="343"/>
      <c r="U118" s="34"/>
      <c r="V118" s="34"/>
      <c r="W118" s="35" t="s">
        <v>70</v>
      </c>
      <c r="X118" s="334">
        <v>48</v>
      </c>
      <c r="Y118" s="335">
        <f t="shared" si="12"/>
        <v>48</v>
      </c>
      <c r="Z118" s="36">
        <f t="shared" si="13"/>
        <v>0.74399999999999999</v>
      </c>
      <c r="AA118" s="56"/>
      <c r="AB118" s="57"/>
      <c r="AC118" s="158" t="s">
        <v>224</v>
      </c>
      <c r="AG118" s="67"/>
      <c r="AJ118" s="71" t="s">
        <v>111</v>
      </c>
      <c r="AK118" s="71">
        <v>12</v>
      </c>
      <c r="BB118" s="159" t="s">
        <v>1</v>
      </c>
      <c r="BM118" s="67">
        <f t="shared" si="14"/>
        <v>320.928</v>
      </c>
      <c r="BN118" s="67">
        <f t="shared" si="15"/>
        <v>320.928</v>
      </c>
      <c r="BO118" s="67">
        <f t="shared" si="16"/>
        <v>0.5714285714285714</v>
      </c>
      <c r="BP118" s="67">
        <f t="shared" si="17"/>
        <v>0.5714285714285714</v>
      </c>
    </row>
    <row r="119" spans="1:68" x14ac:dyDescent="0.2">
      <c r="A119" s="365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66"/>
      <c r="P119" s="353" t="s">
        <v>73</v>
      </c>
      <c r="Q119" s="354"/>
      <c r="R119" s="354"/>
      <c r="S119" s="354"/>
      <c r="T119" s="354"/>
      <c r="U119" s="354"/>
      <c r="V119" s="355"/>
      <c r="W119" s="37" t="s">
        <v>70</v>
      </c>
      <c r="X119" s="336">
        <f>IFERROR(SUM(X112:X118),"0")</f>
        <v>444</v>
      </c>
      <c r="Y119" s="336">
        <f>IFERROR(SUM(Y112:Y118),"0")</f>
        <v>444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6.8819999999999997</v>
      </c>
      <c r="AA119" s="337"/>
      <c r="AB119" s="337"/>
      <c r="AC119" s="337"/>
    </row>
    <row r="120" spans="1:68" x14ac:dyDescent="0.2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66"/>
      <c r="P120" s="353" t="s">
        <v>73</v>
      </c>
      <c r="Q120" s="354"/>
      <c r="R120" s="354"/>
      <c r="S120" s="354"/>
      <c r="T120" s="354"/>
      <c r="U120" s="354"/>
      <c r="V120" s="355"/>
      <c r="W120" s="37" t="s">
        <v>74</v>
      </c>
      <c r="X120" s="336">
        <f>IFERROR(SUMPRODUCT(X112:X118*H112:H118),"0")</f>
        <v>3028.8</v>
      </c>
      <c r="Y120" s="336">
        <f>IFERROR(SUMPRODUCT(Y112:Y118*H112:H118),"0")</f>
        <v>3028.8</v>
      </c>
      <c r="Z120" s="37"/>
      <c r="AA120" s="337"/>
      <c r="AB120" s="337"/>
      <c r="AC120" s="337"/>
    </row>
    <row r="121" spans="1:68" ht="14.25" hidden="1" customHeight="1" x14ac:dyDescent="0.25">
      <c r="A121" s="350" t="s">
        <v>147</v>
      </c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30"/>
      <c r="AB121" s="330"/>
      <c r="AC121" s="330"/>
    </row>
    <row r="122" spans="1:68" ht="27" hidden="1" customHeight="1" x14ac:dyDescent="0.25">
      <c r="A122" s="54" t="s">
        <v>225</v>
      </c>
      <c r="B122" s="54" t="s">
        <v>226</v>
      </c>
      <c r="C122" s="31">
        <v>4301135670</v>
      </c>
      <c r="D122" s="346">
        <v>4620207490983</v>
      </c>
      <c r="E122" s="347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23" t="s">
        <v>227</v>
      </c>
      <c r="Q122" s="342"/>
      <c r="R122" s="342"/>
      <c r="S122" s="342"/>
      <c r="T122" s="343"/>
      <c r="U122" s="34"/>
      <c r="V122" s="34"/>
      <c r="W122" s="35" t="s">
        <v>70</v>
      </c>
      <c r="X122" s="334">
        <v>0</v>
      </c>
      <c r="Y122" s="335">
        <f>IFERROR(IF(X122="","",X122),"")</f>
        <v>0</v>
      </c>
      <c r="Z122" s="36">
        <f>IFERROR(IF(X122="","",X122*0.01788),"")</f>
        <v>0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idden="1" x14ac:dyDescent="0.2">
      <c r="A123" s="365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66"/>
      <c r="P123" s="353" t="s">
        <v>73</v>
      </c>
      <c r="Q123" s="354"/>
      <c r="R123" s="354"/>
      <c r="S123" s="354"/>
      <c r="T123" s="354"/>
      <c r="U123" s="354"/>
      <c r="V123" s="355"/>
      <c r="W123" s="37" t="s">
        <v>70</v>
      </c>
      <c r="X123" s="336">
        <f>IFERROR(SUM(X122:X122),"0")</f>
        <v>0</v>
      </c>
      <c r="Y123" s="336">
        <f>IFERROR(SUM(Y122:Y122),"0")</f>
        <v>0</v>
      </c>
      <c r="Z123" s="336">
        <f>IFERROR(IF(Z122="",0,Z122),"0")</f>
        <v>0</v>
      </c>
      <c r="AA123" s="337"/>
      <c r="AB123" s="337"/>
      <c r="AC123" s="337"/>
    </row>
    <row r="124" spans="1:68" hidden="1" x14ac:dyDescent="0.2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66"/>
      <c r="P124" s="353" t="s">
        <v>73</v>
      </c>
      <c r="Q124" s="354"/>
      <c r="R124" s="354"/>
      <c r="S124" s="354"/>
      <c r="T124" s="354"/>
      <c r="U124" s="354"/>
      <c r="V124" s="355"/>
      <c r="W124" s="37" t="s">
        <v>74</v>
      </c>
      <c r="X124" s="336">
        <f>IFERROR(SUMPRODUCT(X122:X122*H122:H122),"0")</f>
        <v>0</v>
      </c>
      <c r="Y124" s="336">
        <f>IFERROR(SUMPRODUCT(Y122:Y122*H122:H122),"0")</f>
        <v>0</v>
      </c>
      <c r="Z124" s="37"/>
      <c r="AA124" s="337"/>
      <c r="AB124" s="337"/>
      <c r="AC124" s="337"/>
    </row>
    <row r="125" spans="1:68" ht="16.5" hidden="1" customHeight="1" x14ac:dyDescent="0.25">
      <c r="A125" s="352" t="s">
        <v>229</v>
      </c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29"/>
      <c r="AB125" s="329"/>
      <c r="AC125" s="329"/>
    </row>
    <row r="126" spans="1:68" ht="14.25" hidden="1" customHeight="1" x14ac:dyDescent="0.25">
      <c r="A126" s="350" t="s">
        <v>147</v>
      </c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30"/>
      <c r="AB126" s="330"/>
      <c r="AC126" s="330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6">
        <v>4607111034014</v>
      </c>
      <c r="E127" s="347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114</v>
      </c>
      <c r="M127" s="33" t="s">
        <v>69</v>
      </c>
      <c r="N127" s="33"/>
      <c r="O127" s="32">
        <v>180</v>
      </c>
      <c r="P127" s="5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42"/>
      <c r="R127" s="342"/>
      <c r="S127" s="342"/>
      <c r="T127" s="343"/>
      <c r="U127" s="34"/>
      <c r="V127" s="34"/>
      <c r="W127" s="35" t="s">
        <v>70</v>
      </c>
      <c r="X127" s="334">
        <v>238</v>
      </c>
      <c r="Y127" s="335">
        <f>IFERROR(IF(X127="","",X127),"")</f>
        <v>238</v>
      </c>
      <c r="Z127" s="36">
        <f>IFERROR(IF(X127="","",X127*0.01788),"")</f>
        <v>4.2554400000000001</v>
      </c>
      <c r="AA127" s="56"/>
      <c r="AB127" s="57"/>
      <c r="AC127" s="162" t="s">
        <v>232</v>
      </c>
      <c r="AG127" s="67"/>
      <c r="AJ127" s="71" t="s">
        <v>115</v>
      </c>
      <c r="AK127" s="71">
        <v>70</v>
      </c>
      <c r="BB127" s="163" t="s">
        <v>83</v>
      </c>
      <c r="BM127" s="67">
        <f>IFERROR(X127*I127,"0")</f>
        <v>881.45679999999993</v>
      </c>
      <c r="BN127" s="67">
        <f>IFERROR(Y127*I127,"0")</f>
        <v>881.45679999999993</v>
      </c>
      <c r="BO127" s="67">
        <f>IFERROR(X127/J127,"0")</f>
        <v>3.4</v>
      </c>
      <c r="BP127" s="67">
        <f>IFERROR(Y127/J127,"0")</f>
        <v>3.4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6">
        <v>4607111033994</v>
      </c>
      <c r="E128" s="347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114</v>
      </c>
      <c r="M128" s="33" t="s">
        <v>69</v>
      </c>
      <c r="N128" s="33"/>
      <c r="O128" s="32">
        <v>180</v>
      </c>
      <c r="P128" s="5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42"/>
      <c r="R128" s="342"/>
      <c r="S128" s="342"/>
      <c r="T128" s="343"/>
      <c r="U128" s="34"/>
      <c r="V128" s="34"/>
      <c r="W128" s="35" t="s">
        <v>70</v>
      </c>
      <c r="X128" s="334">
        <v>196</v>
      </c>
      <c r="Y128" s="335">
        <f>IFERROR(IF(X128="","",X128),"")</f>
        <v>196</v>
      </c>
      <c r="Z128" s="36">
        <f>IFERROR(IF(X128="","",X128*0.01788),"")</f>
        <v>3.50448</v>
      </c>
      <c r="AA128" s="56"/>
      <c r="AB128" s="57"/>
      <c r="AC128" s="164" t="s">
        <v>169</v>
      </c>
      <c r="AG128" s="67"/>
      <c r="AJ128" s="71" t="s">
        <v>115</v>
      </c>
      <c r="AK128" s="71">
        <v>70</v>
      </c>
      <c r="BB128" s="165" t="s">
        <v>83</v>
      </c>
      <c r="BM128" s="67">
        <f>IFERROR(X128*I128,"0")</f>
        <v>725.90559999999994</v>
      </c>
      <c r="BN128" s="67">
        <f>IFERROR(Y128*I128,"0")</f>
        <v>725.90559999999994</v>
      </c>
      <c r="BO128" s="67">
        <f>IFERROR(X128/J128,"0")</f>
        <v>2.8</v>
      </c>
      <c r="BP128" s="67">
        <f>IFERROR(Y128/J128,"0")</f>
        <v>2.8</v>
      </c>
    </row>
    <row r="129" spans="1:68" x14ac:dyDescent="0.2">
      <c r="A129" s="365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66"/>
      <c r="P129" s="353" t="s">
        <v>73</v>
      </c>
      <c r="Q129" s="354"/>
      <c r="R129" s="354"/>
      <c r="S129" s="354"/>
      <c r="T129" s="354"/>
      <c r="U129" s="354"/>
      <c r="V129" s="355"/>
      <c r="W129" s="37" t="s">
        <v>70</v>
      </c>
      <c r="X129" s="336">
        <f>IFERROR(SUM(X127:X128),"0")</f>
        <v>434</v>
      </c>
      <c r="Y129" s="336">
        <f>IFERROR(SUM(Y127:Y128),"0")</f>
        <v>434</v>
      </c>
      <c r="Z129" s="336">
        <f>IFERROR(IF(Z127="",0,Z127),"0")+IFERROR(IF(Z128="",0,Z128),"0")</f>
        <v>7.7599200000000002</v>
      </c>
      <c r="AA129" s="337"/>
      <c r="AB129" s="337"/>
      <c r="AC129" s="337"/>
    </row>
    <row r="130" spans="1:68" x14ac:dyDescent="0.2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66"/>
      <c r="P130" s="353" t="s">
        <v>73</v>
      </c>
      <c r="Q130" s="354"/>
      <c r="R130" s="354"/>
      <c r="S130" s="354"/>
      <c r="T130" s="354"/>
      <c r="U130" s="354"/>
      <c r="V130" s="355"/>
      <c r="W130" s="37" t="s">
        <v>74</v>
      </c>
      <c r="X130" s="336">
        <f>IFERROR(SUMPRODUCT(X127:X128*H127:H128),"0")</f>
        <v>1302</v>
      </c>
      <c r="Y130" s="336">
        <f>IFERROR(SUMPRODUCT(Y127:Y128*H127:H128),"0")</f>
        <v>1302</v>
      </c>
      <c r="Z130" s="37"/>
      <c r="AA130" s="337"/>
      <c r="AB130" s="337"/>
      <c r="AC130" s="337"/>
    </row>
    <row r="131" spans="1:68" ht="16.5" hidden="1" customHeight="1" x14ac:dyDescent="0.25">
      <c r="A131" s="352" t="s">
        <v>235</v>
      </c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29"/>
      <c r="AB131" s="329"/>
      <c r="AC131" s="329"/>
    </row>
    <row r="132" spans="1:68" ht="14.25" hidden="1" customHeight="1" x14ac:dyDescent="0.25">
      <c r="A132" s="350" t="s">
        <v>147</v>
      </c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30"/>
      <c r="AB132" s="330"/>
      <c r="AC132" s="330"/>
    </row>
    <row r="133" spans="1:68" ht="27" customHeight="1" x14ac:dyDescent="0.25">
      <c r="A133" s="54" t="s">
        <v>236</v>
      </c>
      <c r="B133" s="54" t="s">
        <v>237</v>
      </c>
      <c r="C133" s="31">
        <v>4301135311</v>
      </c>
      <c r="D133" s="346">
        <v>4607111039095</v>
      </c>
      <c r="E133" s="347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109</v>
      </c>
      <c r="M133" s="33" t="s">
        <v>69</v>
      </c>
      <c r="N133" s="33"/>
      <c r="O133" s="32">
        <v>180</v>
      </c>
      <c r="P133" s="515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42"/>
      <c r="R133" s="342"/>
      <c r="S133" s="342"/>
      <c r="T133" s="343"/>
      <c r="U133" s="34"/>
      <c r="V133" s="34"/>
      <c r="W133" s="35" t="s">
        <v>70</v>
      </c>
      <c r="X133" s="334">
        <v>28</v>
      </c>
      <c r="Y133" s="335">
        <f>IFERROR(IF(X133="","",X133),"")</f>
        <v>28</v>
      </c>
      <c r="Z133" s="36">
        <f>IFERROR(IF(X133="","",X133*0.01788),"")</f>
        <v>0.50063999999999997</v>
      </c>
      <c r="AA133" s="56"/>
      <c r="AB133" s="57"/>
      <c r="AC133" s="166" t="s">
        <v>238</v>
      </c>
      <c r="AG133" s="67"/>
      <c r="AJ133" s="71" t="s">
        <v>111</v>
      </c>
      <c r="AK133" s="71">
        <v>14</v>
      </c>
      <c r="BB133" s="167" t="s">
        <v>83</v>
      </c>
      <c r="BM133" s="67">
        <f>IFERROR(X133*I133,"0")</f>
        <v>104.944</v>
      </c>
      <c r="BN133" s="67">
        <f>IFERROR(Y133*I133,"0")</f>
        <v>104.944</v>
      </c>
      <c r="BO133" s="67">
        <f>IFERROR(X133/J133,"0")</f>
        <v>0.4</v>
      </c>
      <c r="BP133" s="67">
        <f>IFERROR(Y133/J133,"0")</f>
        <v>0.4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6">
        <v>4607111034199</v>
      </c>
      <c r="E134" s="347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5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42"/>
      <c r="R134" s="342"/>
      <c r="S134" s="342"/>
      <c r="T134" s="343"/>
      <c r="U134" s="34"/>
      <c r="V134" s="34"/>
      <c r="W134" s="35" t="s">
        <v>70</v>
      </c>
      <c r="X134" s="334">
        <v>210</v>
      </c>
      <c r="Y134" s="335">
        <f>IFERROR(IF(X134="","",X134),"")</f>
        <v>210</v>
      </c>
      <c r="Z134" s="36">
        <f>IFERROR(IF(X134="","",X134*0.01788),"")</f>
        <v>3.7547999999999999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777.75599999999997</v>
      </c>
      <c r="BN134" s="67">
        <f>IFERROR(Y134*I134,"0")</f>
        <v>777.75599999999997</v>
      </c>
      <c r="BO134" s="67">
        <f>IFERROR(X134/J134,"0")</f>
        <v>3</v>
      </c>
      <c r="BP134" s="67">
        <f>IFERROR(Y134/J134,"0")</f>
        <v>3</v>
      </c>
    </row>
    <row r="135" spans="1:68" x14ac:dyDescent="0.2">
      <c r="A135" s="365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66"/>
      <c r="P135" s="353" t="s">
        <v>73</v>
      </c>
      <c r="Q135" s="354"/>
      <c r="R135" s="354"/>
      <c r="S135" s="354"/>
      <c r="T135" s="354"/>
      <c r="U135" s="354"/>
      <c r="V135" s="355"/>
      <c r="W135" s="37" t="s">
        <v>70</v>
      </c>
      <c r="X135" s="336">
        <f>IFERROR(SUM(X133:X134),"0")</f>
        <v>238</v>
      </c>
      <c r="Y135" s="336">
        <f>IFERROR(SUM(Y133:Y134),"0")</f>
        <v>238</v>
      </c>
      <c r="Z135" s="336">
        <f>IFERROR(IF(Z133="",0,Z133),"0")+IFERROR(IF(Z134="",0,Z134),"0")</f>
        <v>4.2554400000000001</v>
      </c>
      <c r="AA135" s="337"/>
      <c r="AB135" s="337"/>
      <c r="AC135" s="337"/>
    </row>
    <row r="136" spans="1:68" x14ac:dyDescent="0.2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66"/>
      <c r="P136" s="353" t="s">
        <v>73</v>
      </c>
      <c r="Q136" s="354"/>
      <c r="R136" s="354"/>
      <c r="S136" s="354"/>
      <c r="T136" s="354"/>
      <c r="U136" s="354"/>
      <c r="V136" s="355"/>
      <c r="W136" s="37" t="s">
        <v>74</v>
      </c>
      <c r="X136" s="336">
        <f>IFERROR(SUMPRODUCT(X133:X134*H133:H134),"0")</f>
        <v>714</v>
      </c>
      <c r="Y136" s="336">
        <f>IFERROR(SUMPRODUCT(Y133:Y134*H133:H134),"0")</f>
        <v>714</v>
      </c>
      <c r="Z136" s="37"/>
      <c r="AA136" s="337"/>
      <c r="AB136" s="337"/>
      <c r="AC136" s="337"/>
    </row>
    <row r="137" spans="1:68" ht="16.5" hidden="1" customHeight="1" x14ac:dyDescent="0.25">
      <c r="A137" s="352" t="s">
        <v>242</v>
      </c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29"/>
      <c r="AB137" s="329"/>
      <c r="AC137" s="329"/>
    </row>
    <row r="138" spans="1:68" ht="14.25" hidden="1" customHeight="1" x14ac:dyDescent="0.25">
      <c r="A138" s="350" t="s">
        <v>147</v>
      </c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30"/>
      <c r="AB138" s="330"/>
      <c r="AC138" s="330"/>
    </row>
    <row r="139" spans="1:68" ht="27" customHeight="1" x14ac:dyDescent="0.25">
      <c r="A139" s="54" t="s">
        <v>243</v>
      </c>
      <c r="B139" s="54" t="s">
        <v>244</v>
      </c>
      <c r="C139" s="31">
        <v>4301135275</v>
      </c>
      <c r="D139" s="346">
        <v>4607111034380</v>
      </c>
      <c r="E139" s="347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109</v>
      </c>
      <c r="M139" s="33" t="s">
        <v>69</v>
      </c>
      <c r="N139" s="33"/>
      <c r="O139" s="32">
        <v>180</v>
      </c>
      <c r="P139" s="536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42"/>
      <c r="R139" s="342"/>
      <c r="S139" s="342"/>
      <c r="T139" s="343"/>
      <c r="U139" s="34"/>
      <c r="V139" s="34"/>
      <c r="W139" s="35" t="s">
        <v>70</v>
      </c>
      <c r="X139" s="334">
        <v>28</v>
      </c>
      <c r="Y139" s="335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245</v>
      </c>
      <c r="AG139" s="67"/>
      <c r="AJ139" s="71" t="s">
        <v>111</v>
      </c>
      <c r="AK139" s="71">
        <v>14</v>
      </c>
      <c r="BB139" s="171" t="s">
        <v>83</v>
      </c>
      <c r="BM139" s="67">
        <f>IFERROR(X139*I139,"0")</f>
        <v>91.839999999999989</v>
      </c>
      <c r="BN139" s="67">
        <f>IFERROR(Y139*I139,"0")</f>
        <v>91.839999999999989</v>
      </c>
      <c r="BO139" s="67">
        <f>IFERROR(X139/J139,"0")</f>
        <v>0.4</v>
      </c>
      <c r="BP139" s="67">
        <f>IFERROR(Y139/J139,"0")</f>
        <v>0.4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6">
        <v>4607111034397</v>
      </c>
      <c r="E140" s="347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114</v>
      </c>
      <c r="M140" s="33" t="s">
        <v>69</v>
      </c>
      <c r="N140" s="33"/>
      <c r="O140" s="32">
        <v>180</v>
      </c>
      <c r="P140" s="444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42"/>
      <c r="R140" s="342"/>
      <c r="S140" s="342"/>
      <c r="T140" s="343"/>
      <c r="U140" s="34"/>
      <c r="V140" s="34"/>
      <c r="W140" s="35" t="s">
        <v>70</v>
      </c>
      <c r="X140" s="334">
        <v>140</v>
      </c>
      <c r="Y140" s="335">
        <f>IFERROR(IF(X140="","",X140),"")</f>
        <v>140</v>
      </c>
      <c r="Z140" s="36">
        <f>IFERROR(IF(X140="","",X140*0.01788),"")</f>
        <v>2.5032000000000001</v>
      </c>
      <c r="AA140" s="56"/>
      <c r="AB140" s="57"/>
      <c r="AC140" s="172" t="s">
        <v>232</v>
      </c>
      <c r="AG140" s="67"/>
      <c r="AJ140" s="71" t="s">
        <v>115</v>
      </c>
      <c r="AK140" s="71">
        <v>70</v>
      </c>
      <c r="BB140" s="173" t="s">
        <v>83</v>
      </c>
      <c r="BM140" s="67">
        <f>IFERROR(X140*I140,"0")</f>
        <v>459.2</v>
      </c>
      <c r="BN140" s="67">
        <f>IFERROR(Y140*I140,"0")</f>
        <v>459.2</v>
      </c>
      <c r="BO140" s="67">
        <f>IFERROR(X140/J140,"0")</f>
        <v>2</v>
      </c>
      <c r="BP140" s="67">
        <f>IFERROR(Y140/J140,"0")</f>
        <v>2</v>
      </c>
    </row>
    <row r="141" spans="1:68" x14ac:dyDescent="0.2">
      <c r="A141" s="365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66"/>
      <c r="P141" s="353" t="s">
        <v>73</v>
      </c>
      <c r="Q141" s="354"/>
      <c r="R141" s="354"/>
      <c r="S141" s="354"/>
      <c r="T141" s="354"/>
      <c r="U141" s="354"/>
      <c r="V141" s="355"/>
      <c r="W141" s="37" t="s">
        <v>70</v>
      </c>
      <c r="X141" s="336">
        <f>IFERROR(SUM(X139:X140),"0")</f>
        <v>168</v>
      </c>
      <c r="Y141" s="336">
        <f>IFERROR(SUM(Y139:Y140),"0")</f>
        <v>168</v>
      </c>
      <c r="Z141" s="336">
        <f>IFERROR(IF(Z139="",0,Z139),"0")+IFERROR(IF(Z140="",0,Z140),"0")</f>
        <v>3.0038400000000003</v>
      </c>
      <c r="AA141" s="337"/>
      <c r="AB141" s="337"/>
      <c r="AC141" s="337"/>
    </row>
    <row r="142" spans="1:68" x14ac:dyDescent="0.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66"/>
      <c r="P142" s="353" t="s">
        <v>73</v>
      </c>
      <c r="Q142" s="354"/>
      <c r="R142" s="354"/>
      <c r="S142" s="354"/>
      <c r="T142" s="354"/>
      <c r="U142" s="354"/>
      <c r="V142" s="355"/>
      <c r="W142" s="37" t="s">
        <v>74</v>
      </c>
      <c r="X142" s="336">
        <f>IFERROR(SUMPRODUCT(X139:X140*H139:H140),"0")</f>
        <v>504</v>
      </c>
      <c r="Y142" s="336">
        <f>IFERROR(SUMPRODUCT(Y139:Y140*H139:H140),"0")</f>
        <v>504</v>
      </c>
      <c r="Z142" s="37"/>
      <c r="AA142" s="337"/>
      <c r="AB142" s="337"/>
      <c r="AC142" s="337"/>
    </row>
    <row r="143" spans="1:68" ht="16.5" hidden="1" customHeight="1" x14ac:dyDescent="0.25">
      <c r="A143" s="352" t="s">
        <v>248</v>
      </c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29"/>
      <c r="AB143" s="329"/>
      <c r="AC143" s="329"/>
    </row>
    <row r="144" spans="1:68" ht="14.25" hidden="1" customHeight="1" x14ac:dyDescent="0.25">
      <c r="A144" s="350" t="s">
        <v>147</v>
      </c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30"/>
      <c r="AB144" s="330"/>
      <c r="AC144" s="330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6">
        <v>4607111035806</v>
      </c>
      <c r="E145" s="347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426" t="s">
        <v>251</v>
      </c>
      <c r="Q145" s="342"/>
      <c r="R145" s="342"/>
      <c r="S145" s="342"/>
      <c r="T145" s="343"/>
      <c r="U145" s="34"/>
      <c r="V145" s="34"/>
      <c r="W145" s="35" t="s">
        <v>70</v>
      </c>
      <c r="X145" s="334">
        <v>14</v>
      </c>
      <c r="Y145" s="335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51.850399999999993</v>
      </c>
      <c r="BN145" s="67">
        <f>IFERROR(Y145*I145,"0")</f>
        <v>51.850399999999993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365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66"/>
      <c r="P146" s="353" t="s">
        <v>73</v>
      </c>
      <c r="Q146" s="354"/>
      <c r="R146" s="354"/>
      <c r="S146" s="354"/>
      <c r="T146" s="354"/>
      <c r="U146" s="354"/>
      <c r="V146" s="355"/>
      <c r="W146" s="37" t="s">
        <v>70</v>
      </c>
      <c r="X146" s="336">
        <f>IFERROR(SUM(X145:X145),"0")</f>
        <v>14</v>
      </c>
      <c r="Y146" s="336">
        <f>IFERROR(SUM(Y145:Y145),"0")</f>
        <v>14</v>
      </c>
      <c r="Z146" s="336">
        <f>IFERROR(IF(Z145="",0,Z145),"0")</f>
        <v>0.25031999999999999</v>
      </c>
      <c r="AA146" s="337"/>
      <c r="AB146" s="337"/>
      <c r="AC146" s="337"/>
    </row>
    <row r="147" spans="1:68" x14ac:dyDescent="0.2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66"/>
      <c r="P147" s="353" t="s">
        <v>73</v>
      </c>
      <c r="Q147" s="354"/>
      <c r="R147" s="354"/>
      <c r="S147" s="354"/>
      <c r="T147" s="354"/>
      <c r="U147" s="354"/>
      <c r="V147" s="355"/>
      <c r="W147" s="37" t="s">
        <v>74</v>
      </c>
      <c r="X147" s="336">
        <f>IFERROR(SUMPRODUCT(X145:X145*H145:H145),"0")</f>
        <v>42</v>
      </c>
      <c r="Y147" s="336">
        <f>IFERROR(SUMPRODUCT(Y145:Y145*H145:H145),"0")</f>
        <v>42</v>
      </c>
      <c r="Z147" s="37"/>
      <c r="AA147" s="337"/>
      <c r="AB147" s="337"/>
      <c r="AC147" s="337"/>
    </row>
    <row r="148" spans="1:68" ht="16.5" hidden="1" customHeight="1" x14ac:dyDescent="0.25">
      <c r="A148" s="352" t="s">
        <v>253</v>
      </c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29"/>
      <c r="AB148" s="329"/>
      <c r="AC148" s="329"/>
    </row>
    <row r="149" spans="1:68" ht="14.25" hidden="1" customHeight="1" x14ac:dyDescent="0.25">
      <c r="A149" s="350" t="s">
        <v>147</v>
      </c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30"/>
      <c r="AB149" s="330"/>
      <c r="AC149" s="330"/>
    </row>
    <row r="150" spans="1:68" ht="16.5" hidden="1" customHeight="1" x14ac:dyDescent="0.25">
      <c r="A150" s="54" t="s">
        <v>254</v>
      </c>
      <c r="B150" s="54" t="s">
        <v>255</v>
      </c>
      <c r="C150" s="31">
        <v>4301135596</v>
      </c>
      <c r="D150" s="346">
        <v>4607111039613</v>
      </c>
      <c r="E150" s="347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36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42"/>
      <c r="R150" s="342"/>
      <c r="S150" s="342"/>
      <c r="T150" s="343"/>
      <c r="U150" s="34"/>
      <c r="V150" s="34"/>
      <c r="W150" s="35" t="s">
        <v>70</v>
      </c>
      <c r="X150" s="334">
        <v>0</v>
      </c>
      <c r="Y150" s="335">
        <f>IFERROR(IF(X150="","",X150),"")</f>
        <v>0</v>
      </c>
      <c r="Z150" s="36">
        <f>IFERROR(IF(X150="","",X150*0.00936),"")</f>
        <v>0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365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66"/>
      <c r="P151" s="353" t="s">
        <v>73</v>
      </c>
      <c r="Q151" s="354"/>
      <c r="R151" s="354"/>
      <c r="S151" s="354"/>
      <c r="T151" s="354"/>
      <c r="U151" s="354"/>
      <c r="V151" s="355"/>
      <c r="W151" s="37" t="s">
        <v>70</v>
      </c>
      <c r="X151" s="336">
        <f>IFERROR(SUM(X150:X150),"0")</f>
        <v>0</v>
      </c>
      <c r="Y151" s="336">
        <f>IFERROR(SUM(Y150:Y150),"0")</f>
        <v>0</v>
      </c>
      <c r="Z151" s="336">
        <f>IFERROR(IF(Z150="",0,Z150),"0")</f>
        <v>0</v>
      </c>
      <c r="AA151" s="337"/>
      <c r="AB151" s="337"/>
      <c r="AC151" s="337"/>
    </row>
    <row r="152" spans="1:68" hidden="1" x14ac:dyDescent="0.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66"/>
      <c r="P152" s="353" t="s">
        <v>73</v>
      </c>
      <c r="Q152" s="354"/>
      <c r="R152" s="354"/>
      <c r="S152" s="354"/>
      <c r="T152" s="354"/>
      <c r="U152" s="354"/>
      <c r="V152" s="355"/>
      <c r="W152" s="37" t="s">
        <v>74</v>
      </c>
      <c r="X152" s="336">
        <f>IFERROR(SUMPRODUCT(X150:X150*H150:H150),"0")</f>
        <v>0</v>
      </c>
      <c r="Y152" s="336">
        <f>IFERROR(SUMPRODUCT(Y150:Y150*H150:H150),"0")</f>
        <v>0</v>
      </c>
      <c r="Z152" s="37"/>
      <c r="AA152" s="337"/>
      <c r="AB152" s="337"/>
      <c r="AC152" s="337"/>
    </row>
    <row r="153" spans="1:68" ht="16.5" hidden="1" customHeight="1" x14ac:dyDescent="0.25">
      <c r="A153" s="352" t="s">
        <v>256</v>
      </c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29"/>
      <c r="AB153" s="329"/>
      <c r="AC153" s="329"/>
    </row>
    <row r="154" spans="1:68" ht="14.25" hidden="1" customHeight="1" x14ac:dyDescent="0.25">
      <c r="A154" s="350" t="s">
        <v>257</v>
      </c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30"/>
      <c r="AB154" s="330"/>
      <c r="AC154" s="330"/>
    </row>
    <row r="155" spans="1:68" ht="27" hidden="1" customHeight="1" x14ac:dyDescent="0.25">
      <c r="A155" s="54" t="s">
        <v>258</v>
      </c>
      <c r="B155" s="54" t="s">
        <v>259</v>
      </c>
      <c r="C155" s="31">
        <v>4301071054</v>
      </c>
      <c r="D155" s="346">
        <v>4607111035639</v>
      </c>
      <c r="E155" s="347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386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42"/>
      <c r="R155" s="342"/>
      <c r="S155" s="342"/>
      <c r="T155" s="343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262</v>
      </c>
      <c r="B156" s="54" t="s">
        <v>263</v>
      </c>
      <c r="C156" s="31">
        <v>4301135540</v>
      </c>
      <c r="D156" s="346">
        <v>4607111035646</v>
      </c>
      <c r="E156" s="347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9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42"/>
      <c r="R156" s="342"/>
      <c r="S156" s="342"/>
      <c r="T156" s="343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65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66"/>
      <c r="P157" s="353" t="s">
        <v>73</v>
      </c>
      <c r="Q157" s="354"/>
      <c r="R157" s="354"/>
      <c r="S157" s="354"/>
      <c r="T157" s="354"/>
      <c r="U157" s="354"/>
      <c r="V157" s="355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hidden="1" x14ac:dyDescent="0.2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66"/>
      <c r="P158" s="353" t="s">
        <v>73</v>
      </c>
      <c r="Q158" s="354"/>
      <c r="R158" s="354"/>
      <c r="S158" s="354"/>
      <c r="T158" s="354"/>
      <c r="U158" s="354"/>
      <c r="V158" s="355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hidden="1" customHeight="1" x14ac:dyDescent="0.25">
      <c r="A159" s="352" t="s">
        <v>264</v>
      </c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29"/>
      <c r="AB159" s="329"/>
      <c r="AC159" s="329"/>
    </row>
    <row r="160" spans="1:68" ht="14.25" hidden="1" customHeight="1" x14ac:dyDescent="0.25">
      <c r="A160" s="350" t="s">
        <v>147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30"/>
      <c r="AB160" s="330"/>
      <c r="AC160" s="330"/>
    </row>
    <row r="161" spans="1:68" ht="27" hidden="1" customHeight="1" x14ac:dyDescent="0.25">
      <c r="A161" s="54" t="s">
        <v>265</v>
      </c>
      <c r="B161" s="54" t="s">
        <v>266</v>
      </c>
      <c r="C161" s="31">
        <v>4301135281</v>
      </c>
      <c r="D161" s="346">
        <v>4607111036568</v>
      </c>
      <c r="E161" s="347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8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42"/>
      <c r="R161" s="342"/>
      <c r="S161" s="342"/>
      <c r="T161" s="343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65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66"/>
      <c r="P162" s="353" t="s">
        <v>73</v>
      </c>
      <c r="Q162" s="354"/>
      <c r="R162" s="354"/>
      <c r="S162" s="354"/>
      <c r="T162" s="354"/>
      <c r="U162" s="354"/>
      <c r="V162" s="355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hidden="1" x14ac:dyDescent="0.2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66"/>
      <c r="P163" s="353" t="s">
        <v>73</v>
      </c>
      <c r="Q163" s="354"/>
      <c r="R163" s="354"/>
      <c r="S163" s="354"/>
      <c r="T163" s="354"/>
      <c r="U163" s="354"/>
      <c r="V163" s="355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hidden="1" customHeight="1" x14ac:dyDescent="0.2">
      <c r="A164" s="421" t="s">
        <v>268</v>
      </c>
      <c r="B164" s="422"/>
      <c r="C164" s="422"/>
      <c r="D164" s="422"/>
      <c r="E164" s="422"/>
      <c r="F164" s="422"/>
      <c r="G164" s="422"/>
      <c r="H164" s="422"/>
      <c r="I164" s="422"/>
      <c r="J164" s="422"/>
      <c r="K164" s="422"/>
      <c r="L164" s="422"/>
      <c r="M164" s="422"/>
      <c r="N164" s="422"/>
      <c r="O164" s="422"/>
      <c r="P164" s="422"/>
      <c r="Q164" s="422"/>
      <c r="R164" s="422"/>
      <c r="S164" s="422"/>
      <c r="T164" s="422"/>
      <c r="U164" s="422"/>
      <c r="V164" s="422"/>
      <c r="W164" s="422"/>
      <c r="X164" s="422"/>
      <c r="Y164" s="422"/>
      <c r="Z164" s="422"/>
      <c r="AA164" s="48"/>
      <c r="AB164" s="48"/>
      <c r="AC164" s="48"/>
    </row>
    <row r="165" spans="1:68" ht="16.5" hidden="1" customHeight="1" x14ac:dyDescent="0.25">
      <c r="A165" s="352" t="s">
        <v>269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29"/>
      <c r="AB165" s="329"/>
      <c r="AC165" s="329"/>
    </row>
    <row r="166" spans="1:68" ht="14.25" hidden="1" customHeight="1" x14ac:dyDescent="0.25">
      <c r="A166" s="350" t="s">
        <v>147</v>
      </c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30"/>
      <c r="AB166" s="330"/>
      <c r="AC166" s="330"/>
    </row>
    <row r="167" spans="1:68" ht="27" hidden="1" customHeight="1" x14ac:dyDescent="0.25">
      <c r="A167" s="54" t="s">
        <v>270</v>
      </c>
      <c r="B167" s="54" t="s">
        <v>271</v>
      </c>
      <c r="C167" s="31">
        <v>4301135317</v>
      </c>
      <c r="D167" s="346">
        <v>4607111039057</v>
      </c>
      <c r="E167" s="347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161</v>
      </c>
      <c r="L167" s="32" t="s">
        <v>109</v>
      </c>
      <c r="M167" s="33" t="s">
        <v>69</v>
      </c>
      <c r="N167" s="33"/>
      <c r="O167" s="32">
        <v>180</v>
      </c>
      <c r="P167" s="477" t="s">
        <v>272</v>
      </c>
      <c r="Q167" s="342"/>
      <c r="R167" s="342"/>
      <c r="S167" s="342"/>
      <c r="T167" s="343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111</v>
      </c>
      <c r="AK167" s="71">
        <v>18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65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66"/>
      <c r="P168" s="353" t="s">
        <v>73</v>
      </c>
      <c r="Q168" s="354"/>
      <c r="R168" s="354"/>
      <c r="S168" s="354"/>
      <c r="T168" s="354"/>
      <c r="U168" s="354"/>
      <c r="V168" s="355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hidden="1" x14ac:dyDescent="0.2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66"/>
      <c r="P169" s="353" t="s">
        <v>73</v>
      </c>
      <c r="Q169" s="354"/>
      <c r="R169" s="354"/>
      <c r="S169" s="354"/>
      <c r="T169" s="354"/>
      <c r="U169" s="354"/>
      <c r="V169" s="355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hidden="1" customHeight="1" x14ac:dyDescent="0.25">
      <c r="A170" s="352" t="s">
        <v>273</v>
      </c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29"/>
      <c r="AB170" s="329"/>
      <c r="AC170" s="329"/>
    </row>
    <row r="171" spans="1:68" ht="14.25" hidden="1" customHeight="1" x14ac:dyDescent="0.25">
      <c r="A171" s="350" t="s">
        <v>64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30"/>
      <c r="AB171" s="330"/>
      <c r="AC171" s="330"/>
    </row>
    <row r="172" spans="1:68" ht="16.5" hidden="1" customHeight="1" x14ac:dyDescent="0.25">
      <c r="A172" s="54" t="s">
        <v>274</v>
      </c>
      <c r="B172" s="54" t="s">
        <v>275</v>
      </c>
      <c r="C172" s="31">
        <v>4301071062</v>
      </c>
      <c r="D172" s="346">
        <v>4607111036384</v>
      </c>
      <c r="E172" s="347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60" t="s">
        <v>276</v>
      </c>
      <c r="Q172" s="342"/>
      <c r="R172" s="342"/>
      <c r="S172" s="342"/>
      <c r="T172" s="343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customHeight="1" x14ac:dyDescent="0.25">
      <c r="A173" s="54" t="s">
        <v>278</v>
      </c>
      <c r="B173" s="54" t="s">
        <v>279</v>
      </c>
      <c r="C173" s="31">
        <v>4301071056</v>
      </c>
      <c r="D173" s="346">
        <v>4640242180250</v>
      </c>
      <c r="E173" s="347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0" t="s">
        <v>280</v>
      </c>
      <c r="Q173" s="342"/>
      <c r="R173" s="342"/>
      <c r="S173" s="342"/>
      <c r="T173" s="343"/>
      <c r="U173" s="34"/>
      <c r="V173" s="34"/>
      <c r="W173" s="35" t="s">
        <v>70</v>
      </c>
      <c r="X173" s="334">
        <v>36</v>
      </c>
      <c r="Y173" s="335">
        <f>IFERROR(IF(X173="","",X173),"")</f>
        <v>36</v>
      </c>
      <c r="Z173" s="36">
        <f>IFERROR(IF(X173="","",X173*0.00866),"")</f>
        <v>0.31175999999999998</v>
      </c>
      <c r="AA173" s="56"/>
      <c r="AB173" s="57"/>
      <c r="AC173" s="188" t="s">
        <v>281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187.67519999999999</v>
      </c>
      <c r="BN173" s="67">
        <f>IFERROR(Y173*I173,"0")</f>
        <v>187.67519999999999</v>
      </c>
      <c r="BO173" s="67">
        <f>IFERROR(X173/J173,"0")</f>
        <v>0.25</v>
      </c>
      <c r="BP173" s="67">
        <f>IFERROR(Y173/J173,"0")</f>
        <v>0.25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6">
        <v>4607111036216</v>
      </c>
      <c r="E174" s="347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54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42"/>
      <c r="R174" s="342"/>
      <c r="S174" s="342"/>
      <c r="T174" s="343"/>
      <c r="U174" s="34"/>
      <c r="V174" s="34"/>
      <c r="W174" s="35" t="s">
        <v>70</v>
      </c>
      <c r="X174" s="334">
        <v>24</v>
      </c>
      <c r="Y174" s="335">
        <f>IFERROR(IF(X174="","",X174),"")</f>
        <v>24</v>
      </c>
      <c r="Z174" s="36">
        <f>IFERROR(IF(X174="","",X174*0.00866),"")</f>
        <v>0.20783999999999997</v>
      </c>
      <c r="AA174" s="56"/>
      <c r="AB174" s="57"/>
      <c r="AC174" s="190" t="s">
        <v>284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125.11679999999998</v>
      </c>
      <c r="BN174" s="67">
        <f>IFERROR(Y174*I174,"0")</f>
        <v>125.11679999999998</v>
      </c>
      <c r="BO174" s="67">
        <f>IFERROR(X174/J174,"0")</f>
        <v>0.16666666666666666</v>
      </c>
      <c r="BP174" s="67">
        <f>IFERROR(Y174/J174,"0")</f>
        <v>0.16666666666666666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4301071061</v>
      </c>
      <c r="D175" s="346">
        <v>4607111036278</v>
      </c>
      <c r="E175" s="347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456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42"/>
      <c r="R175" s="342"/>
      <c r="S175" s="342"/>
      <c r="T175" s="343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65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66"/>
      <c r="P176" s="353" t="s">
        <v>73</v>
      </c>
      <c r="Q176" s="354"/>
      <c r="R176" s="354"/>
      <c r="S176" s="354"/>
      <c r="T176" s="354"/>
      <c r="U176" s="354"/>
      <c r="V176" s="355"/>
      <c r="W176" s="37" t="s">
        <v>70</v>
      </c>
      <c r="X176" s="336">
        <f>IFERROR(SUM(X172:X175),"0")</f>
        <v>60</v>
      </c>
      <c r="Y176" s="336">
        <f>IFERROR(SUM(Y172:Y175),"0")</f>
        <v>60</v>
      </c>
      <c r="Z176" s="336">
        <f>IFERROR(IF(Z172="",0,Z172),"0")+IFERROR(IF(Z173="",0,Z173),"0")+IFERROR(IF(Z174="",0,Z174),"0")+IFERROR(IF(Z175="",0,Z175),"0")</f>
        <v>0.51959999999999995</v>
      </c>
      <c r="AA176" s="337"/>
      <c r="AB176" s="337"/>
      <c r="AC176" s="337"/>
    </row>
    <row r="177" spans="1:68" x14ac:dyDescent="0.2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66"/>
      <c r="P177" s="353" t="s">
        <v>73</v>
      </c>
      <c r="Q177" s="354"/>
      <c r="R177" s="354"/>
      <c r="S177" s="354"/>
      <c r="T177" s="354"/>
      <c r="U177" s="354"/>
      <c r="V177" s="355"/>
      <c r="W177" s="37" t="s">
        <v>74</v>
      </c>
      <c r="X177" s="336">
        <f>IFERROR(SUMPRODUCT(X172:X175*H172:H175),"0")</f>
        <v>300</v>
      </c>
      <c r="Y177" s="336">
        <f>IFERROR(SUMPRODUCT(Y172:Y175*H172:H175),"0")</f>
        <v>300</v>
      </c>
      <c r="Z177" s="37"/>
      <c r="AA177" s="337"/>
      <c r="AB177" s="337"/>
      <c r="AC177" s="337"/>
    </row>
    <row r="178" spans="1:68" ht="14.25" hidden="1" customHeight="1" x14ac:dyDescent="0.25">
      <c r="A178" s="350" t="s">
        <v>288</v>
      </c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30"/>
      <c r="AB178" s="330"/>
      <c r="AC178" s="330"/>
    </row>
    <row r="179" spans="1:68" ht="27" hidden="1" customHeight="1" x14ac:dyDescent="0.25">
      <c r="A179" s="54" t="s">
        <v>289</v>
      </c>
      <c r="B179" s="54" t="s">
        <v>290</v>
      </c>
      <c r="C179" s="31">
        <v>4301080153</v>
      </c>
      <c r="D179" s="346">
        <v>4607111036827</v>
      </c>
      <c r="E179" s="347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7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42"/>
      <c r="R179" s="342"/>
      <c r="S179" s="342"/>
      <c r="T179" s="343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292</v>
      </c>
      <c r="B180" s="54" t="s">
        <v>293</v>
      </c>
      <c r="C180" s="31">
        <v>4301080154</v>
      </c>
      <c r="D180" s="346">
        <v>4607111036834</v>
      </c>
      <c r="E180" s="347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5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42"/>
      <c r="R180" s="342"/>
      <c r="S180" s="342"/>
      <c r="T180" s="343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365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66"/>
      <c r="P181" s="353" t="s">
        <v>73</v>
      </c>
      <c r="Q181" s="354"/>
      <c r="R181" s="354"/>
      <c r="S181" s="354"/>
      <c r="T181" s="354"/>
      <c r="U181" s="354"/>
      <c r="V181" s="355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hidden="1" x14ac:dyDescent="0.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66"/>
      <c r="P182" s="353" t="s">
        <v>73</v>
      </c>
      <c r="Q182" s="354"/>
      <c r="R182" s="354"/>
      <c r="S182" s="354"/>
      <c r="T182" s="354"/>
      <c r="U182" s="354"/>
      <c r="V182" s="355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hidden="1" customHeight="1" x14ac:dyDescent="0.2">
      <c r="A183" s="421" t="s">
        <v>294</v>
      </c>
      <c r="B183" s="422"/>
      <c r="C183" s="422"/>
      <c r="D183" s="422"/>
      <c r="E183" s="422"/>
      <c r="F183" s="422"/>
      <c r="G183" s="422"/>
      <c r="H183" s="422"/>
      <c r="I183" s="422"/>
      <c r="J183" s="422"/>
      <c r="K183" s="422"/>
      <c r="L183" s="422"/>
      <c r="M183" s="422"/>
      <c r="N183" s="422"/>
      <c r="O183" s="422"/>
      <c r="P183" s="422"/>
      <c r="Q183" s="422"/>
      <c r="R183" s="422"/>
      <c r="S183" s="422"/>
      <c r="T183" s="422"/>
      <c r="U183" s="422"/>
      <c r="V183" s="422"/>
      <c r="W183" s="422"/>
      <c r="X183" s="422"/>
      <c r="Y183" s="422"/>
      <c r="Z183" s="422"/>
      <c r="AA183" s="48"/>
      <c r="AB183" s="48"/>
      <c r="AC183" s="48"/>
    </row>
    <row r="184" spans="1:68" ht="16.5" hidden="1" customHeight="1" x14ac:dyDescent="0.25">
      <c r="A184" s="352" t="s">
        <v>295</v>
      </c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29"/>
      <c r="AB184" s="329"/>
      <c r="AC184" s="329"/>
    </row>
    <row r="185" spans="1:68" ht="14.25" hidden="1" customHeight="1" x14ac:dyDescent="0.25">
      <c r="A185" s="350" t="s">
        <v>77</v>
      </c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30"/>
      <c r="AB185" s="330"/>
      <c r="AC185" s="330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6">
        <v>4607111035721</v>
      </c>
      <c r="E186" s="347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0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42"/>
      <c r="R186" s="342"/>
      <c r="S186" s="342"/>
      <c r="T186" s="343"/>
      <c r="U186" s="34"/>
      <c r="V186" s="34"/>
      <c r="W186" s="35" t="s">
        <v>70</v>
      </c>
      <c r="X186" s="334">
        <v>98</v>
      </c>
      <c r="Y186" s="335">
        <f>IFERROR(IF(X186="","",X186),"")</f>
        <v>98</v>
      </c>
      <c r="Z186" s="36">
        <f>IFERROR(IF(X186="","",X186*0.01788),"")</f>
        <v>1.75224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332.024</v>
      </c>
      <c r="BN186" s="67">
        <f>IFERROR(Y186*I186,"0")</f>
        <v>332.024</v>
      </c>
      <c r="BO186" s="67">
        <f>IFERROR(X186/J186,"0")</f>
        <v>1.4</v>
      </c>
      <c r="BP186" s="67">
        <f>IFERROR(Y186/J186,"0")</f>
        <v>1.4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6">
        <v>4607111035691</v>
      </c>
      <c r="E187" s="347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41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42"/>
      <c r="R187" s="342"/>
      <c r="S187" s="342"/>
      <c r="T187" s="343"/>
      <c r="U187" s="34"/>
      <c r="V187" s="34"/>
      <c r="W187" s="35" t="s">
        <v>70</v>
      </c>
      <c r="X187" s="334">
        <v>140</v>
      </c>
      <c r="Y187" s="335">
        <f>IFERROR(IF(X187="","",X187),"")</f>
        <v>140</v>
      </c>
      <c r="Z187" s="36">
        <f>IFERROR(IF(X187="","",X187*0.01788),"")</f>
        <v>2.5032000000000001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474.32</v>
      </c>
      <c r="BN187" s="67">
        <f>IFERROR(Y187*I187,"0")</f>
        <v>474.32</v>
      </c>
      <c r="BO187" s="67">
        <f>IFERROR(X187/J187,"0")</f>
        <v>2</v>
      </c>
      <c r="BP187" s="67">
        <f>IFERROR(Y187/J187,"0")</f>
        <v>2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6">
        <v>4607111038487</v>
      </c>
      <c r="E188" s="347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50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42"/>
      <c r="R188" s="342"/>
      <c r="S188" s="342"/>
      <c r="T188" s="343"/>
      <c r="U188" s="34"/>
      <c r="V188" s="34"/>
      <c r="W188" s="35" t="s">
        <v>70</v>
      </c>
      <c r="X188" s="334">
        <v>112</v>
      </c>
      <c r="Y188" s="335">
        <f>IFERROR(IF(X188="","",X188),"")</f>
        <v>112</v>
      </c>
      <c r="Z188" s="36">
        <f>IFERROR(IF(X188="","",X188*0.01788),"")</f>
        <v>2.0025599999999999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418.43200000000002</v>
      </c>
      <c r="BN188" s="67">
        <f>IFERROR(Y188*I188,"0")</f>
        <v>418.43200000000002</v>
      </c>
      <c r="BO188" s="67">
        <f>IFERROR(X188/J188,"0")</f>
        <v>1.6</v>
      </c>
      <c r="BP188" s="67">
        <f>IFERROR(Y188/J188,"0")</f>
        <v>1.6</v>
      </c>
    </row>
    <row r="189" spans="1:68" x14ac:dyDescent="0.2">
      <c r="A189" s="365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66"/>
      <c r="P189" s="353" t="s">
        <v>73</v>
      </c>
      <c r="Q189" s="354"/>
      <c r="R189" s="354"/>
      <c r="S189" s="354"/>
      <c r="T189" s="354"/>
      <c r="U189" s="354"/>
      <c r="V189" s="355"/>
      <c r="W189" s="37" t="s">
        <v>70</v>
      </c>
      <c r="X189" s="336">
        <f>IFERROR(SUM(X186:X188),"0")</f>
        <v>350</v>
      </c>
      <c r="Y189" s="336">
        <f>IFERROR(SUM(Y186:Y188),"0")</f>
        <v>350</v>
      </c>
      <c r="Z189" s="336">
        <f>IFERROR(IF(Z186="",0,Z186),"0")+IFERROR(IF(Z187="",0,Z187),"0")+IFERROR(IF(Z188="",0,Z188),"0")</f>
        <v>6.258</v>
      </c>
      <c r="AA189" s="337"/>
      <c r="AB189" s="337"/>
      <c r="AC189" s="337"/>
    </row>
    <row r="190" spans="1:68" x14ac:dyDescent="0.2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66"/>
      <c r="P190" s="353" t="s">
        <v>73</v>
      </c>
      <c r="Q190" s="354"/>
      <c r="R190" s="354"/>
      <c r="S190" s="354"/>
      <c r="T190" s="354"/>
      <c r="U190" s="354"/>
      <c r="V190" s="355"/>
      <c r="W190" s="37" t="s">
        <v>74</v>
      </c>
      <c r="X190" s="336">
        <f>IFERROR(SUMPRODUCT(X186:X188*H186:H188),"0")</f>
        <v>1050</v>
      </c>
      <c r="Y190" s="336">
        <f>IFERROR(SUMPRODUCT(Y186:Y188*H186:H188),"0")</f>
        <v>1050</v>
      </c>
      <c r="Z190" s="37"/>
      <c r="AA190" s="337"/>
      <c r="AB190" s="337"/>
      <c r="AC190" s="337"/>
    </row>
    <row r="191" spans="1:68" ht="14.25" hidden="1" customHeight="1" x14ac:dyDescent="0.25">
      <c r="A191" s="350" t="s">
        <v>305</v>
      </c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30"/>
      <c r="AB191" s="330"/>
      <c r="AC191" s="330"/>
    </row>
    <row r="192" spans="1:68" ht="27" hidden="1" customHeight="1" x14ac:dyDescent="0.25">
      <c r="A192" s="54" t="s">
        <v>306</v>
      </c>
      <c r="B192" s="54" t="s">
        <v>307</v>
      </c>
      <c r="C192" s="31">
        <v>4301051855</v>
      </c>
      <c r="D192" s="346">
        <v>4680115885875</v>
      </c>
      <c r="E192" s="347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408" t="s">
        <v>310</v>
      </c>
      <c r="Q192" s="342"/>
      <c r="R192" s="342"/>
      <c r="S192" s="342"/>
      <c r="T192" s="343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365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66"/>
      <c r="P193" s="353" t="s">
        <v>73</v>
      </c>
      <c r="Q193" s="354"/>
      <c r="R193" s="354"/>
      <c r="S193" s="354"/>
      <c r="T193" s="354"/>
      <c r="U193" s="354"/>
      <c r="V193" s="355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hidden="1" x14ac:dyDescent="0.2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66"/>
      <c r="P194" s="353" t="s">
        <v>73</v>
      </c>
      <c r="Q194" s="354"/>
      <c r="R194" s="354"/>
      <c r="S194" s="354"/>
      <c r="T194" s="354"/>
      <c r="U194" s="354"/>
      <c r="V194" s="355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hidden="1" customHeight="1" x14ac:dyDescent="0.2">
      <c r="A195" s="421" t="s">
        <v>313</v>
      </c>
      <c r="B195" s="422"/>
      <c r="C195" s="422"/>
      <c r="D195" s="422"/>
      <c r="E195" s="422"/>
      <c r="F195" s="422"/>
      <c r="G195" s="422"/>
      <c r="H195" s="422"/>
      <c r="I195" s="422"/>
      <c r="J195" s="422"/>
      <c r="K195" s="422"/>
      <c r="L195" s="422"/>
      <c r="M195" s="422"/>
      <c r="N195" s="422"/>
      <c r="O195" s="422"/>
      <c r="P195" s="422"/>
      <c r="Q195" s="422"/>
      <c r="R195" s="422"/>
      <c r="S195" s="422"/>
      <c r="T195" s="422"/>
      <c r="U195" s="422"/>
      <c r="V195" s="422"/>
      <c r="W195" s="422"/>
      <c r="X195" s="422"/>
      <c r="Y195" s="422"/>
      <c r="Z195" s="422"/>
      <c r="AA195" s="48"/>
      <c r="AB195" s="48"/>
      <c r="AC195" s="48"/>
    </row>
    <row r="196" spans="1:68" ht="16.5" hidden="1" customHeight="1" x14ac:dyDescent="0.25">
      <c r="A196" s="352" t="s">
        <v>314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29"/>
      <c r="AB196" s="329"/>
      <c r="AC196" s="329"/>
    </row>
    <row r="197" spans="1:68" ht="14.25" hidden="1" customHeight="1" x14ac:dyDescent="0.25">
      <c r="A197" s="350" t="s">
        <v>147</v>
      </c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30"/>
      <c r="AB197" s="330"/>
      <c r="AC197" s="330"/>
    </row>
    <row r="198" spans="1:68" ht="27" hidden="1" customHeight="1" x14ac:dyDescent="0.25">
      <c r="A198" s="54" t="s">
        <v>315</v>
      </c>
      <c r="B198" s="54" t="s">
        <v>316</v>
      </c>
      <c r="C198" s="31">
        <v>4301135707</v>
      </c>
      <c r="D198" s="346">
        <v>4620207490198</v>
      </c>
      <c r="E198" s="347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109</v>
      </c>
      <c r="M198" s="33" t="s">
        <v>69</v>
      </c>
      <c r="N198" s="33"/>
      <c r="O198" s="32">
        <v>180</v>
      </c>
      <c r="P198" s="51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42"/>
      <c r="R198" s="342"/>
      <c r="S198" s="342"/>
      <c r="T198" s="343"/>
      <c r="U198" s="34"/>
      <c r="V198" s="34"/>
      <c r="W198" s="35" t="s">
        <v>70</v>
      </c>
      <c r="X198" s="334">
        <v>0</v>
      </c>
      <c r="Y198" s="33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317</v>
      </c>
      <c r="AG198" s="67"/>
      <c r="AJ198" s="71" t="s">
        <v>111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6">
        <v>4620207490235</v>
      </c>
      <c r="E199" s="347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109</v>
      </c>
      <c r="M199" s="33" t="s">
        <v>69</v>
      </c>
      <c r="N199" s="33"/>
      <c r="O199" s="32">
        <v>180</v>
      </c>
      <c r="P199" s="54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42"/>
      <c r="R199" s="342"/>
      <c r="S199" s="342"/>
      <c r="T199" s="343"/>
      <c r="U199" s="34"/>
      <c r="V199" s="34"/>
      <c r="W199" s="35" t="s">
        <v>70</v>
      </c>
      <c r="X199" s="334">
        <v>14</v>
      </c>
      <c r="Y199" s="335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320</v>
      </c>
      <c r="AG199" s="67"/>
      <c r="AJ199" s="71" t="s">
        <v>111</v>
      </c>
      <c r="AK199" s="71">
        <v>14</v>
      </c>
      <c r="BB199" s="209" t="s">
        <v>83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4301135697</v>
      </c>
      <c r="D200" s="346">
        <v>4620207490259</v>
      </c>
      <c r="E200" s="347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109</v>
      </c>
      <c r="M200" s="33" t="s">
        <v>69</v>
      </c>
      <c r="N200" s="33"/>
      <c r="O200" s="32">
        <v>180</v>
      </c>
      <c r="P200" s="5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42"/>
      <c r="R200" s="342"/>
      <c r="S200" s="342"/>
      <c r="T200" s="343"/>
      <c r="U200" s="34"/>
      <c r="V200" s="34"/>
      <c r="W200" s="35" t="s">
        <v>70</v>
      </c>
      <c r="X200" s="334">
        <v>0</v>
      </c>
      <c r="Y200" s="335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317</v>
      </c>
      <c r="AG200" s="67"/>
      <c r="AJ200" s="71" t="s">
        <v>111</v>
      </c>
      <c r="AK200" s="71">
        <v>14</v>
      </c>
      <c r="BB200" s="211" t="s">
        <v>83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4301135681</v>
      </c>
      <c r="D201" s="346">
        <v>4620207490143</v>
      </c>
      <c r="E201" s="347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53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42"/>
      <c r="R201" s="342"/>
      <c r="S201" s="342"/>
      <c r="T201" s="343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65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66"/>
      <c r="P202" s="353" t="s">
        <v>73</v>
      </c>
      <c r="Q202" s="354"/>
      <c r="R202" s="354"/>
      <c r="S202" s="354"/>
      <c r="T202" s="354"/>
      <c r="U202" s="354"/>
      <c r="V202" s="355"/>
      <c r="W202" s="37" t="s">
        <v>70</v>
      </c>
      <c r="X202" s="336">
        <f>IFERROR(SUM(X198:X201),"0")</f>
        <v>14</v>
      </c>
      <c r="Y202" s="336">
        <f>IFERROR(SUM(Y198:Y201),"0")</f>
        <v>14</v>
      </c>
      <c r="Z202" s="336">
        <f>IFERROR(IF(Z198="",0,Z198),"0")+IFERROR(IF(Z199="",0,Z199),"0")+IFERROR(IF(Z200="",0,Z200),"0")+IFERROR(IF(Z201="",0,Z201),"0")</f>
        <v>0.25031999999999999</v>
      </c>
      <c r="AA202" s="337"/>
      <c r="AB202" s="337"/>
      <c r="AC202" s="337"/>
    </row>
    <row r="203" spans="1:68" x14ac:dyDescent="0.2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66"/>
      <c r="P203" s="353" t="s">
        <v>73</v>
      </c>
      <c r="Q203" s="354"/>
      <c r="R203" s="354"/>
      <c r="S203" s="354"/>
      <c r="T203" s="354"/>
      <c r="U203" s="354"/>
      <c r="V203" s="355"/>
      <c r="W203" s="37" t="s">
        <v>74</v>
      </c>
      <c r="X203" s="336">
        <f>IFERROR(SUMPRODUCT(X198:X201*H198:H201),"0")</f>
        <v>33.6</v>
      </c>
      <c r="Y203" s="336">
        <f>IFERROR(SUMPRODUCT(Y198:Y201*H198:H201),"0")</f>
        <v>33.6</v>
      </c>
      <c r="Z203" s="37"/>
      <c r="AA203" s="337"/>
      <c r="AB203" s="337"/>
      <c r="AC203" s="337"/>
    </row>
    <row r="204" spans="1:68" ht="16.5" hidden="1" customHeight="1" x14ac:dyDescent="0.25">
      <c r="A204" s="352" t="s">
        <v>326</v>
      </c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29"/>
      <c r="AB204" s="329"/>
      <c r="AC204" s="329"/>
    </row>
    <row r="205" spans="1:68" ht="14.25" hidden="1" customHeight="1" x14ac:dyDescent="0.25">
      <c r="A205" s="350" t="s">
        <v>64</v>
      </c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30"/>
      <c r="AB205" s="330"/>
      <c r="AC205" s="330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6">
        <v>4607111037022</v>
      </c>
      <c r="E206" s="347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114</v>
      </c>
      <c r="M206" s="33" t="s">
        <v>69</v>
      </c>
      <c r="N206" s="33"/>
      <c r="O206" s="32">
        <v>180</v>
      </c>
      <c r="P206" s="472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42"/>
      <c r="R206" s="342"/>
      <c r="S206" s="342"/>
      <c r="T206" s="343"/>
      <c r="U206" s="34"/>
      <c r="V206" s="34"/>
      <c r="W206" s="35" t="s">
        <v>70</v>
      </c>
      <c r="X206" s="334">
        <v>120</v>
      </c>
      <c r="Y206" s="335">
        <f>IFERROR(IF(X206="","",X206),"")</f>
        <v>120</v>
      </c>
      <c r="Z206" s="36">
        <f>IFERROR(IF(X206="","",X206*0.0155),"")</f>
        <v>1.8599999999999999</v>
      </c>
      <c r="AA206" s="56"/>
      <c r="AB206" s="57"/>
      <c r="AC206" s="214" t="s">
        <v>329</v>
      </c>
      <c r="AG206" s="67"/>
      <c r="AJ206" s="71" t="s">
        <v>115</v>
      </c>
      <c r="AK206" s="71">
        <v>84</v>
      </c>
      <c r="BB206" s="215" t="s">
        <v>1</v>
      </c>
      <c r="BM206" s="67">
        <f>IFERROR(X206*I206,"0")</f>
        <v>704.4</v>
      </c>
      <c r="BN206" s="67">
        <f>IFERROR(Y206*I206,"0")</f>
        <v>704.4</v>
      </c>
      <c r="BO206" s="67">
        <f>IFERROR(X206/J206,"0")</f>
        <v>1.4285714285714286</v>
      </c>
      <c r="BP206" s="67">
        <f>IFERROR(Y206/J206,"0")</f>
        <v>1.4285714285714286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4301070990</v>
      </c>
      <c r="D207" s="346">
        <v>4607111038494</v>
      </c>
      <c r="E207" s="347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68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42"/>
      <c r="R207" s="342"/>
      <c r="S207" s="342"/>
      <c r="T207" s="343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4301070966</v>
      </c>
      <c r="D208" s="346">
        <v>4607111038135</v>
      </c>
      <c r="E208" s="347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109</v>
      </c>
      <c r="M208" s="33" t="s">
        <v>69</v>
      </c>
      <c r="N208" s="33"/>
      <c r="O208" s="32">
        <v>180</v>
      </c>
      <c r="P208" s="43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42"/>
      <c r="R208" s="342"/>
      <c r="S208" s="342"/>
      <c r="T208" s="343"/>
      <c r="U208" s="34"/>
      <c r="V208" s="34"/>
      <c r="W208" s="35" t="s">
        <v>70</v>
      </c>
      <c r="X208" s="334">
        <v>0</v>
      </c>
      <c r="Y208" s="335">
        <f>IFERROR(IF(X208="","",X208),"")</f>
        <v>0</v>
      </c>
      <c r="Z208" s="36">
        <f>IFERROR(IF(X208="","",X208*0.0155),"")</f>
        <v>0</v>
      </c>
      <c r="AA208" s="56"/>
      <c r="AB208" s="57"/>
      <c r="AC208" s="218" t="s">
        <v>335</v>
      </c>
      <c r="AG208" s="67"/>
      <c r="AJ208" s="71" t="s">
        <v>111</v>
      </c>
      <c r="AK208" s="71">
        <v>12</v>
      </c>
      <c r="BB208" s="219" t="s">
        <v>1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365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66"/>
      <c r="P209" s="353" t="s">
        <v>73</v>
      </c>
      <c r="Q209" s="354"/>
      <c r="R209" s="354"/>
      <c r="S209" s="354"/>
      <c r="T209" s="354"/>
      <c r="U209" s="354"/>
      <c r="V209" s="355"/>
      <c r="W209" s="37" t="s">
        <v>70</v>
      </c>
      <c r="X209" s="336">
        <f>IFERROR(SUM(X206:X208),"0")</f>
        <v>120</v>
      </c>
      <c r="Y209" s="336">
        <f>IFERROR(SUM(Y206:Y208),"0")</f>
        <v>120</v>
      </c>
      <c r="Z209" s="336">
        <f>IFERROR(IF(Z206="",0,Z206),"0")+IFERROR(IF(Z207="",0,Z207),"0")+IFERROR(IF(Z208="",0,Z208),"0")</f>
        <v>1.8599999999999999</v>
      </c>
      <c r="AA209" s="337"/>
      <c r="AB209" s="337"/>
      <c r="AC209" s="337"/>
    </row>
    <row r="210" spans="1:68" x14ac:dyDescent="0.2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66"/>
      <c r="P210" s="353" t="s">
        <v>73</v>
      </c>
      <c r="Q210" s="354"/>
      <c r="R210" s="354"/>
      <c r="S210" s="354"/>
      <c r="T210" s="354"/>
      <c r="U210" s="354"/>
      <c r="V210" s="355"/>
      <c r="W210" s="37" t="s">
        <v>74</v>
      </c>
      <c r="X210" s="336">
        <f>IFERROR(SUMPRODUCT(X206:X208*H206:H208),"0")</f>
        <v>672</v>
      </c>
      <c r="Y210" s="336">
        <f>IFERROR(SUMPRODUCT(Y206:Y208*H206:H208),"0")</f>
        <v>672</v>
      </c>
      <c r="Z210" s="37"/>
      <c r="AA210" s="337"/>
      <c r="AB210" s="337"/>
      <c r="AC210" s="337"/>
    </row>
    <row r="211" spans="1:68" ht="16.5" hidden="1" customHeight="1" x14ac:dyDescent="0.25">
      <c r="A211" s="352" t="s">
        <v>336</v>
      </c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29"/>
      <c r="AB211" s="329"/>
      <c r="AC211" s="329"/>
    </row>
    <row r="212" spans="1:68" ht="14.25" hidden="1" customHeight="1" x14ac:dyDescent="0.25">
      <c r="A212" s="350" t="s">
        <v>64</v>
      </c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30"/>
      <c r="AB212" s="330"/>
      <c r="AC212" s="330"/>
    </row>
    <row r="213" spans="1:68" ht="27" hidden="1" customHeight="1" x14ac:dyDescent="0.25">
      <c r="A213" s="54" t="s">
        <v>337</v>
      </c>
      <c r="B213" s="54" t="s">
        <v>338</v>
      </c>
      <c r="C213" s="31">
        <v>4301070996</v>
      </c>
      <c r="D213" s="346">
        <v>4607111038654</v>
      </c>
      <c r="E213" s="347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425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42"/>
      <c r="R213" s="342"/>
      <c r="S213" s="342"/>
      <c r="T213" s="343"/>
      <c r="U213" s="34"/>
      <c r="V213" s="34"/>
      <c r="W213" s="35" t="s">
        <v>70</v>
      </c>
      <c r="X213" s="334">
        <v>0</v>
      </c>
      <c r="Y213" s="335">
        <f t="shared" ref="Y213:Y218" si="18">IFERROR(IF(X213="","",X213),"")</f>
        <v>0</v>
      </c>
      <c r="Z213" s="36">
        <f t="shared" ref="Z213:Z218" si="19">IFERROR(IF(X213="","",X213*0.0155),"")</f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ref="BM213:BM218" si="20">IFERROR(X213*I213,"0")</f>
        <v>0</v>
      </c>
      <c r="BN213" s="67">
        <f t="shared" ref="BN213:BN218" si="21">IFERROR(Y213*I213,"0")</f>
        <v>0</v>
      </c>
      <c r="BO213" s="67">
        <f t="shared" ref="BO213:BO218" si="22">IFERROR(X213/J213,"0")</f>
        <v>0</v>
      </c>
      <c r="BP213" s="67">
        <f t="shared" ref="BP213:BP218" si="23">IFERROR(Y213/J213,"0")</f>
        <v>0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4301070997</v>
      </c>
      <c r="D214" s="346">
        <v>4607111038586</v>
      </c>
      <c r="E214" s="347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109</v>
      </c>
      <c r="M214" s="33" t="s">
        <v>69</v>
      </c>
      <c r="N214" s="33"/>
      <c r="O214" s="32">
        <v>180</v>
      </c>
      <c r="P214" s="50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42"/>
      <c r="R214" s="342"/>
      <c r="S214" s="342"/>
      <c r="T214" s="343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111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4301070962</v>
      </c>
      <c r="D215" s="346">
        <v>4607111038609</v>
      </c>
      <c r="E215" s="347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7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42"/>
      <c r="R215" s="342"/>
      <c r="S215" s="342"/>
      <c r="T215" s="343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345</v>
      </c>
      <c r="B216" s="54" t="s">
        <v>346</v>
      </c>
      <c r="C216" s="31">
        <v>4301070963</v>
      </c>
      <c r="D216" s="346">
        <v>4607111038630</v>
      </c>
      <c r="E216" s="347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60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42"/>
      <c r="R216" s="342"/>
      <c r="S216" s="342"/>
      <c r="T216" s="343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hidden="1" customHeight="1" x14ac:dyDescent="0.25">
      <c r="A217" s="54" t="s">
        <v>347</v>
      </c>
      <c r="B217" s="54" t="s">
        <v>348</v>
      </c>
      <c r="C217" s="31">
        <v>4301070959</v>
      </c>
      <c r="D217" s="346">
        <v>4607111038616</v>
      </c>
      <c r="E217" s="347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88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42"/>
      <c r="R217" s="342"/>
      <c r="S217" s="342"/>
      <c r="T217" s="343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hidden="1" customHeight="1" x14ac:dyDescent="0.25">
      <c r="A218" s="54" t="s">
        <v>349</v>
      </c>
      <c r="B218" s="54" t="s">
        <v>350</v>
      </c>
      <c r="C218" s="31">
        <v>4301070960</v>
      </c>
      <c r="D218" s="346">
        <v>4607111038623</v>
      </c>
      <c r="E218" s="347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109</v>
      </c>
      <c r="M218" s="33" t="s">
        <v>69</v>
      </c>
      <c r="N218" s="33"/>
      <c r="O218" s="32">
        <v>180</v>
      </c>
      <c r="P218" s="551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42"/>
      <c r="R218" s="342"/>
      <c r="S218" s="342"/>
      <c r="T218" s="343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111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hidden="1" x14ac:dyDescent="0.2">
      <c r="A219" s="365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66"/>
      <c r="P219" s="353" t="s">
        <v>73</v>
      </c>
      <c r="Q219" s="354"/>
      <c r="R219" s="354"/>
      <c r="S219" s="354"/>
      <c r="T219" s="354"/>
      <c r="U219" s="354"/>
      <c r="V219" s="355"/>
      <c r="W219" s="37" t="s">
        <v>70</v>
      </c>
      <c r="X219" s="336">
        <f>IFERROR(SUM(X213:X218),"0")</f>
        <v>0</v>
      </c>
      <c r="Y219" s="336">
        <f>IFERROR(SUM(Y213:Y218),"0")</f>
        <v>0</v>
      </c>
      <c r="Z219" s="336">
        <f>IFERROR(IF(Z213="",0,Z213),"0")+IFERROR(IF(Z214="",0,Z214),"0")+IFERROR(IF(Z215="",0,Z215),"0")+IFERROR(IF(Z216="",0,Z216),"0")+IFERROR(IF(Z217="",0,Z217),"0")+IFERROR(IF(Z218="",0,Z218),"0")</f>
        <v>0</v>
      </c>
      <c r="AA219" s="337"/>
      <c r="AB219" s="337"/>
      <c r="AC219" s="337"/>
    </row>
    <row r="220" spans="1:68" hidden="1" x14ac:dyDescent="0.2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66"/>
      <c r="P220" s="353" t="s">
        <v>73</v>
      </c>
      <c r="Q220" s="354"/>
      <c r="R220" s="354"/>
      <c r="S220" s="354"/>
      <c r="T220" s="354"/>
      <c r="U220" s="354"/>
      <c r="V220" s="355"/>
      <c r="W220" s="37" t="s">
        <v>74</v>
      </c>
      <c r="X220" s="336">
        <f>IFERROR(SUMPRODUCT(X213:X218*H213:H218),"0")</f>
        <v>0</v>
      </c>
      <c r="Y220" s="336">
        <f>IFERROR(SUMPRODUCT(Y213:Y218*H213:H218),"0")</f>
        <v>0</v>
      </c>
      <c r="Z220" s="37"/>
      <c r="AA220" s="337"/>
      <c r="AB220" s="337"/>
      <c r="AC220" s="337"/>
    </row>
    <row r="221" spans="1:68" ht="16.5" hidden="1" customHeight="1" x14ac:dyDescent="0.25">
      <c r="A221" s="352" t="s">
        <v>351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29"/>
      <c r="AB221" s="329"/>
      <c r="AC221" s="329"/>
    </row>
    <row r="222" spans="1:68" ht="14.25" hidden="1" customHeight="1" x14ac:dyDescent="0.25">
      <c r="A222" s="350" t="s">
        <v>64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30"/>
      <c r="AB222" s="330"/>
      <c r="AC222" s="330"/>
    </row>
    <row r="223" spans="1:68" ht="27" hidden="1" customHeight="1" x14ac:dyDescent="0.25">
      <c r="A223" s="54" t="s">
        <v>352</v>
      </c>
      <c r="B223" s="54" t="s">
        <v>353</v>
      </c>
      <c r="C223" s="31">
        <v>4301070917</v>
      </c>
      <c r="D223" s="346">
        <v>4607111035912</v>
      </c>
      <c r="E223" s="347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8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42"/>
      <c r="R223" s="342"/>
      <c r="S223" s="342"/>
      <c r="T223" s="343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6">
        <v>4607111035929</v>
      </c>
      <c r="E224" s="347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109</v>
      </c>
      <c r="M224" s="33" t="s">
        <v>69</v>
      </c>
      <c r="N224" s="33"/>
      <c r="O224" s="32">
        <v>180</v>
      </c>
      <c r="P224" s="463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42"/>
      <c r="R224" s="342"/>
      <c r="S224" s="342"/>
      <c r="T224" s="343"/>
      <c r="U224" s="34"/>
      <c r="V224" s="34"/>
      <c r="W224" s="35" t="s">
        <v>70</v>
      </c>
      <c r="X224" s="334">
        <v>48</v>
      </c>
      <c r="Y224" s="335">
        <f>IFERROR(IF(X224="","",X224),"")</f>
        <v>48</v>
      </c>
      <c r="Z224" s="36">
        <f>IFERROR(IF(X224="","",X224*0.0155),"")</f>
        <v>0.74399999999999999</v>
      </c>
      <c r="AA224" s="56"/>
      <c r="AB224" s="57"/>
      <c r="AC224" s="234" t="s">
        <v>354</v>
      </c>
      <c r="AG224" s="67"/>
      <c r="AJ224" s="71" t="s">
        <v>111</v>
      </c>
      <c r="AK224" s="71">
        <v>12</v>
      </c>
      <c r="BB224" s="235" t="s">
        <v>1</v>
      </c>
      <c r="BM224" s="67">
        <f>IFERROR(X224*I224,"0")</f>
        <v>358.56</v>
      </c>
      <c r="BN224" s="67">
        <f>IFERROR(Y224*I224,"0")</f>
        <v>358.56</v>
      </c>
      <c r="BO224" s="67">
        <f>IFERROR(X224/J224,"0")</f>
        <v>0.5714285714285714</v>
      </c>
      <c r="BP224" s="67">
        <f>IFERROR(Y224/J224,"0")</f>
        <v>0.5714285714285714</v>
      </c>
    </row>
    <row r="225" spans="1:68" ht="27" hidden="1" customHeight="1" x14ac:dyDescent="0.25">
      <c r="A225" s="54" t="s">
        <v>357</v>
      </c>
      <c r="B225" s="54" t="s">
        <v>358</v>
      </c>
      <c r="C225" s="31">
        <v>4301070915</v>
      </c>
      <c r="D225" s="346">
        <v>4607111035882</v>
      </c>
      <c r="E225" s="347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8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42"/>
      <c r="R225" s="342"/>
      <c r="S225" s="342"/>
      <c r="T225" s="343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72</v>
      </c>
      <c r="AK225" s="71">
        <v>1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hidden="1" customHeight="1" x14ac:dyDescent="0.25">
      <c r="A226" s="54" t="s">
        <v>360</v>
      </c>
      <c r="B226" s="54" t="s">
        <v>361</v>
      </c>
      <c r="C226" s="31">
        <v>4301070921</v>
      </c>
      <c r="D226" s="346">
        <v>4607111035905</v>
      </c>
      <c r="E226" s="347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1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42"/>
      <c r="R226" s="342"/>
      <c r="S226" s="342"/>
      <c r="T226" s="343"/>
      <c r="U226" s="34"/>
      <c r="V226" s="34"/>
      <c r="W226" s="35" t="s">
        <v>70</v>
      </c>
      <c r="X226" s="334">
        <v>0</v>
      </c>
      <c r="Y226" s="335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359</v>
      </c>
      <c r="AG226" s="67"/>
      <c r="AJ226" s="71" t="s">
        <v>72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65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66"/>
      <c r="P227" s="353" t="s">
        <v>73</v>
      </c>
      <c r="Q227" s="354"/>
      <c r="R227" s="354"/>
      <c r="S227" s="354"/>
      <c r="T227" s="354"/>
      <c r="U227" s="354"/>
      <c r="V227" s="355"/>
      <c r="W227" s="37" t="s">
        <v>70</v>
      </c>
      <c r="X227" s="336">
        <f>IFERROR(SUM(X223:X226),"0")</f>
        <v>48</v>
      </c>
      <c r="Y227" s="336">
        <f>IFERROR(SUM(Y223:Y226),"0")</f>
        <v>48</v>
      </c>
      <c r="Z227" s="336">
        <f>IFERROR(IF(Z223="",0,Z223),"0")+IFERROR(IF(Z224="",0,Z224),"0")+IFERROR(IF(Z225="",0,Z225),"0")+IFERROR(IF(Z226="",0,Z226),"0")</f>
        <v>0.74399999999999999</v>
      </c>
      <c r="AA227" s="337"/>
      <c r="AB227" s="337"/>
      <c r="AC227" s="337"/>
    </row>
    <row r="228" spans="1:68" x14ac:dyDescent="0.2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66"/>
      <c r="P228" s="353" t="s">
        <v>73</v>
      </c>
      <c r="Q228" s="354"/>
      <c r="R228" s="354"/>
      <c r="S228" s="354"/>
      <c r="T228" s="354"/>
      <c r="U228" s="354"/>
      <c r="V228" s="355"/>
      <c r="W228" s="37" t="s">
        <v>74</v>
      </c>
      <c r="X228" s="336">
        <f>IFERROR(SUMPRODUCT(X223:X226*H223:H226),"0")</f>
        <v>345.6</v>
      </c>
      <c r="Y228" s="336">
        <f>IFERROR(SUMPRODUCT(Y223:Y226*H223:H226),"0")</f>
        <v>345.6</v>
      </c>
      <c r="Z228" s="37"/>
      <c r="AA228" s="337"/>
      <c r="AB228" s="337"/>
      <c r="AC228" s="337"/>
    </row>
    <row r="229" spans="1:68" ht="16.5" hidden="1" customHeight="1" x14ac:dyDescent="0.25">
      <c r="A229" s="352" t="s">
        <v>362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29"/>
      <c r="AB229" s="329"/>
      <c r="AC229" s="329"/>
    </row>
    <row r="230" spans="1:68" ht="14.25" hidden="1" customHeight="1" x14ac:dyDescent="0.25">
      <c r="A230" s="350" t="s">
        <v>64</v>
      </c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30"/>
      <c r="AB230" s="330"/>
      <c r="AC230" s="330"/>
    </row>
    <row r="231" spans="1:68" ht="27" hidden="1" customHeight="1" x14ac:dyDescent="0.25">
      <c r="A231" s="54" t="s">
        <v>363</v>
      </c>
      <c r="B231" s="54" t="s">
        <v>364</v>
      </c>
      <c r="C231" s="31">
        <v>4301071093</v>
      </c>
      <c r="D231" s="346">
        <v>4620207490709</v>
      </c>
      <c r="E231" s="347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348" t="s">
        <v>365</v>
      </c>
      <c r="Q231" s="342"/>
      <c r="R231" s="342"/>
      <c r="S231" s="342"/>
      <c r="T231" s="343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65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66"/>
      <c r="P232" s="353" t="s">
        <v>73</v>
      </c>
      <c r="Q232" s="354"/>
      <c r="R232" s="354"/>
      <c r="S232" s="354"/>
      <c r="T232" s="354"/>
      <c r="U232" s="354"/>
      <c r="V232" s="355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hidden="1" x14ac:dyDescent="0.2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66"/>
      <c r="P233" s="353" t="s">
        <v>73</v>
      </c>
      <c r="Q233" s="354"/>
      <c r="R233" s="354"/>
      <c r="S233" s="354"/>
      <c r="T233" s="354"/>
      <c r="U233" s="354"/>
      <c r="V233" s="355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hidden="1" customHeight="1" x14ac:dyDescent="0.25">
      <c r="A234" s="350" t="s">
        <v>147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30"/>
      <c r="AB234" s="330"/>
      <c r="AC234" s="330"/>
    </row>
    <row r="235" spans="1:68" ht="27" hidden="1" customHeight="1" x14ac:dyDescent="0.25">
      <c r="A235" s="54" t="s">
        <v>367</v>
      </c>
      <c r="B235" s="54" t="s">
        <v>368</v>
      </c>
      <c r="C235" s="31">
        <v>4301135692</v>
      </c>
      <c r="D235" s="346">
        <v>4620207490570</v>
      </c>
      <c r="E235" s="347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5" t="s">
        <v>369</v>
      </c>
      <c r="Q235" s="342"/>
      <c r="R235" s="342"/>
      <c r="S235" s="342"/>
      <c r="T235" s="343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371</v>
      </c>
      <c r="B236" s="54" t="s">
        <v>372</v>
      </c>
      <c r="C236" s="31">
        <v>4301135691</v>
      </c>
      <c r="D236" s="346">
        <v>4620207490549</v>
      </c>
      <c r="E236" s="347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78" t="s">
        <v>373</v>
      </c>
      <c r="Q236" s="342"/>
      <c r="R236" s="342"/>
      <c r="S236" s="342"/>
      <c r="T236" s="343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hidden="1" customHeight="1" x14ac:dyDescent="0.25">
      <c r="A237" s="54" t="s">
        <v>374</v>
      </c>
      <c r="B237" s="54" t="s">
        <v>375</v>
      </c>
      <c r="C237" s="31">
        <v>4301135694</v>
      </c>
      <c r="D237" s="346">
        <v>4620207490501</v>
      </c>
      <c r="E237" s="347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391" t="s">
        <v>376</v>
      </c>
      <c r="Q237" s="342"/>
      <c r="R237" s="342"/>
      <c r="S237" s="342"/>
      <c r="T237" s="343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65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66"/>
      <c r="P238" s="353" t="s">
        <v>73</v>
      </c>
      <c r="Q238" s="354"/>
      <c r="R238" s="354"/>
      <c r="S238" s="354"/>
      <c r="T238" s="354"/>
      <c r="U238" s="354"/>
      <c r="V238" s="355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hidden="1" x14ac:dyDescent="0.2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66"/>
      <c r="P239" s="353" t="s">
        <v>73</v>
      </c>
      <c r="Q239" s="354"/>
      <c r="R239" s="354"/>
      <c r="S239" s="354"/>
      <c r="T239" s="354"/>
      <c r="U239" s="354"/>
      <c r="V239" s="355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hidden="1" customHeight="1" x14ac:dyDescent="0.25">
      <c r="A240" s="352" t="s">
        <v>377</v>
      </c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29"/>
      <c r="AB240" s="329"/>
      <c r="AC240" s="329"/>
    </row>
    <row r="241" spans="1:68" ht="14.25" hidden="1" customHeight="1" x14ac:dyDescent="0.25">
      <c r="A241" s="350" t="s">
        <v>305</v>
      </c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30"/>
      <c r="AB241" s="330"/>
      <c r="AC241" s="330"/>
    </row>
    <row r="242" spans="1:68" ht="27" hidden="1" customHeight="1" x14ac:dyDescent="0.25">
      <c r="A242" s="54" t="s">
        <v>378</v>
      </c>
      <c r="B242" s="54" t="s">
        <v>379</v>
      </c>
      <c r="C242" s="31">
        <v>4301051320</v>
      </c>
      <c r="D242" s="346">
        <v>4680115881334</v>
      </c>
      <c r="E242" s="347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42"/>
      <c r="R242" s="342"/>
      <c r="S242" s="342"/>
      <c r="T242" s="343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65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66"/>
      <c r="P243" s="353" t="s">
        <v>73</v>
      </c>
      <c r="Q243" s="354"/>
      <c r="R243" s="354"/>
      <c r="S243" s="354"/>
      <c r="T243" s="354"/>
      <c r="U243" s="354"/>
      <c r="V243" s="355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hidden="1" x14ac:dyDescent="0.2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66"/>
      <c r="P244" s="353" t="s">
        <v>73</v>
      </c>
      <c r="Q244" s="354"/>
      <c r="R244" s="354"/>
      <c r="S244" s="354"/>
      <c r="T244" s="354"/>
      <c r="U244" s="354"/>
      <c r="V244" s="355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hidden="1" customHeight="1" x14ac:dyDescent="0.25">
      <c r="A245" s="352" t="s">
        <v>381</v>
      </c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29"/>
      <c r="AB245" s="329"/>
      <c r="AC245" s="329"/>
    </row>
    <row r="246" spans="1:68" ht="14.25" hidden="1" customHeight="1" x14ac:dyDescent="0.25">
      <c r="A246" s="350" t="s">
        <v>64</v>
      </c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30"/>
      <c r="AB246" s="330"/>
      <c r="AC246" s="330"/>
    </row>
    <row r="247" spans="1:68" ht="16.5" hidden="1" customHeight="1" x14ac:dyDescent="0.25">
      <c r="A247" s="54" t="s">
        <v>382</v>
      </c>
      <c r="B247" s="54" t="s">
        <v>383</v>
      </c>
      <c r="C247" s="31">
        <v>4301071063</v>
      </c>
      <c r="D247" s="346">
        <v>4607111039019</v>
      </c>
      <c r="E247" s="347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53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42"/>
      <c r="R247" s="342"/>
      <c r="S247" s="342"/>
      <c r="T247" s="343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hidden="1" customHeight="1" x14ac:dyDescent="0.25">
      <c r="A248" s="54" t="s">
        <v>385</v>
      </c>
      <c r="B248" s="54" t="s">
        <v>386</v>
      </c>
      <c r="C248" s="31">
        <v>4301071000</v>
      </c>
      <c r="D248" s="346">
        <v>4607111038708</v>
      </c>
      <c r="E248" s="347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109</v>
      </c>
      <c r="M248" s="33" t="s">
        <v>69</v>
      </c>
      <c r="N248" s="33"/>
      <c r="O248" s="32">
        <v>180</v>
      </c>
      <c r="P248" s="47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42"/>
      <c r="R248" s="342"/>
      <c r="S248" s="342"/>
      <c r="T248" s="343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111</v>
      </c>
      <c r="AK248" s="71">
        <v>12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365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66"/>
      <c r="P249" s="353" t="s">
        <v>73</v>
      </c>
      <c r="Q249" s="354"/>
      <c r="R249" s="354"/>
      <c r="S249" s="354"/>
      <c r="T249" s="354"/>
      <c r="U249" s="354"/>
      <c r="V249" s="355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hidden="1" x14ac:dyDescent="0.2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66"/>
      <c r="P250" s="353" t="s">
        <v>73</v>
      </c>
      <c r="Q250" s="354"/>
      <c r="R250" s="354"/>
      <c r="S250" s="354"/>
      <c r="T250" s="354"/>
      <c r="U250" s="354"/>
      <c r="V250" s="355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hidden="1" customHeight="1" x14ac:dyDescent="0.2">
      <c r="A251" s="421" t="s">
        <v>387</v>
      </c>
      <c r="B251" s="422"/>
      <c r="C251" s="422"/>
      <c r="D251" s="422"/>
      <c r="E251" s="422"/>
      <c r="F251" s="422"/>
      <c r="G251" s="422"/>
      <c r="H251" s="422"/>
      <c r="I251" s="422"/>
      <c r="J251" s="422"/>
      <c r="K251" s="422"/>
      <c r="L251" s="422"/>
      <c r="M251" s="422"/>
      <c r="N251" s="422"/>
      <c r="O251" s="422"/>
      <c r="P251" s="422"/>
      <c r="Q251" s="422"/>
      <c r="R251" s="422"/>
      <c r="S251" s="422"/>
      <c r="T251" s="422"/>
      <c r="U251" s="422"/>
      <c r="V251" s="422"/>
      <c r="W251" s="422"/>
      <c r="X251" s="422"/>
      <c r="Y251" s="422"/>
      <c r="Z251" s="422"/>
      <c r="AA251" s="48"/>
      <c r="AB251" s="48"/>
      <c r="AC251" s="48"/>
    </row>
    <row r="252" spans="1:68" ht="16.5" hidden="1" customHeight="1" x14ac:dyDescent="0.25">
      <c r="A252" s="352" t="s">
        <v>388</v>
      </c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29"/>
      <c r="AB252" s="329"/>
      <c r="AC252" s="329"/>
    </row>
    <row r="253" spans="1:68" ht="14.25" hidden="1" customHeight="1" x14ac:dyDescent="0.25">
      <c r="A253" s="350" t="s">
        <v>64</v>
      </c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30"/>
      <c r="AB253" s="330"/>
      <c r="AC253" s="330"/>
    </row>
    <row r="254" spans="1:68" ht="27" hidden="1" customHeight="1" x14ac:dyDescent="0.25">
      <c r="A254" s="54" t="s">
        <v>389</v>
      </c>
      <c r="B254" s="54" t="s">
        <v>390</v>
      </c>
      <c r="C254" s="31">
        <v>4301071036</v>
      </c>
      <c r="D254" s="346">
        <v>4607111036162</v>
      </c>
      <c r="E254" s="347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9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42"/>
      <c r="R254" s="342"/>
      <c r="S254" s="342"/>
      <c r="T254" s="343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65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66"/>
      <c r="P255" s="353" t="s">
        <v>73</v>
      </c>
      <c r="Q255" s="354"/>
      <c r="R255" s="354"/>
      <c r="S255" s="354"/>
      <c r="T255" s="354"/>
      <c r="U255" s="354"/>
      <c r="V255" s="355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hidden="1" x14ac:dyDescent="0.2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66"/>
      <c r="P256" s="353" t="s">
        <v>73</v>
      </c>
      <c r="Q256" s="354"/>
      <c r="R256" s="354"/>
      <c r="S256" s="354"/>
      <c r="T256" s="354"/>
      <c r="U256" s="354"/>
      <c r="V256" s="355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hidden="1" customHeight="1" x14ac:dyDescent="0.2">
      <c r="A257" s="421" t="s">
        <v>392</v>
      </c>
      <c r="B257" s="422"/>
      <c r="C257" s="422"/>
      <c r="D257" s="422"/>
      <c r="E257" s="422"/>
      <c r="F257" s="422"/>
      <c r="G257" s="422"/>
      <c r="H257" s="422"/>
      <c r="I257" s="422"/>
      <c r="J257" s="422"/>
      <c r="K257" s="422"/>
      <c r="L257" s="422"/>
      <c r="M257" s="422"/>
      <c r="N257" s="422"/>
      <c r="O257" s="422"/>
      <c r="P257" s="422"/>
      <c r="Q257" s="422"/>
      <c r="R257" s="422"/>
      <c r="S257" s="422"/>
      <c r="T257" s="422"/>
      <c r="U257" s="422"/>
      <c r="V257" s="422"/>
      <c r="W257" s="422"/>
      <c r="X257" s="422"/>
      <c r="Y257" s="422"/>
      <c r="Z257" s="422"/>
      <c r="AA257" s="48"/>
      <c r="AB257" s="48"/>
      <c r="AC257" s="48"/>
    </row>
    <row r="258" spans="1:68" ht="16.5" hidden="1" customHeight="1" x14ac:dyDescent="0.25">
      <c r="A258" s="352" t="s">
        <v>393</v>
      </c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29"/>
      <c r="AB258" s="329"/>
      <c r="AC258" s="329"/>
    </row>
    <row r="259" spans="1:68" ht="14.25" hidden="1" customHeight="1" x14ac:dyDescent="0.25">
      <c r="A259" s="350" t="s">
        <v>64</v>
      </c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30"/>
      <c r="AB259" s="330"/>
      <c r="AC259" s="330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6">
        <v>4607111035899</v>
      </c>
      <c r="E260" s="347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114</v>
      </c>
      <c r="M260" s="33" t="s">
        <v>69</v>
      </c>
      <c r="N260" s="33"/>
      <c r="O260" s="32">
        <v>180</v>
      </c>
      <c r="P260" s="46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42"/>
      <c r="R260" s="342"/>
      <c r="S260" s="342"/>
      <c r="T260" s="343"/>
      <c r="U260" s="34"/>
      <c r="V260" s="34"/>
      <c r="W260" s="35" t="s">
        <v>70</v>
      </c>
      <c r="X260" s="334">
        <v>24</v>
      </c>
      <c r="Y260" s="335">
        <f>IFERROR(IF(X260="","",X260),"")</f>
        <v>24</v>
      </c>
      <c r="Z260" s="36">
        <f>IFERROR(IF(X260="","",X260*0.0155),"")</f>
        <v>0.372</v>
      </c>
      <c r="AA260" s="56"/>
      <c r="AB260" s="57"/>
      <c r="AC260" s="256" t="s">
        <v>284</v>
      </c>
      <c r="AG260" s="67"/>
      <c r="AJ260" s="71" t="s">
        <v>115</v>
      </c>
      <c r="AK260" s="71">
        <v>84</v>
      </c>
      <c r="BB260" s="257" t="s">
        <v>1</v>
      </c>
      <c r="BM260" s="67">
        <f>IFERROR(X260*I260,"0")</f>
        <v>126.28799999999998</v>
      </c>
      <c r="BN260" s="67">
        <f>IFERROR(Y260*I260,"0")</f>
        <v>126.28799999999998</v>
      </c>
      <c r="BO260" s="67">
        <f>IFERROR(X260/J260,"0")</f>
        <v>0.2857142857142857</v>
      </c>
      <c r="BP260" s="67">
        <f>IFERROR(Y260/J260,"0")</f>
        <v>0.2857142857142857</v>
      </c>
    </row>
    <row r="261" spans="1:68" ht="27" hidden="1" customHeight="1" x14ac:dyDescent="0.25">
      <c r="A261" s="54" t="s">
        <v>396</v>
      </c>
      <c r="B261" s="54" t="s">
        <v>397</v>
      </c>
      <c r="C261" s="31">
        <v>4301070991</v>
      </c>
      <c r="D261" s="346">
        <v>4607111038180</v>
      </c>
      <c r="E261" s="347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109</v>
      </c>
      <c r="M261" s="33" t="s">
        <v>69</v>
      </c>
      <c r="N261" s="33"/>
      <c r="O261" s="32">
        <v>180</v>
      </c>
      <c r="P261" s="46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42"/>
      <c r="R261" s="342"/>
      <c r="S261" s="342"/>
      <c r="T261" s="343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111</v>
      </c>
      <c r="AK261" s="71">
        <v>12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65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66"/>
      <c r="P262" s="353" t="s">
        <v>73</v>
      </c>
      <c r="Q262" s="354"/>
      <c r="R262" s="354"/>
      <c r="S262" s="354"/>
      <c r="T262" s="354"/>
      <c r="U262" s="354"/>
      <c r="V262" s="355"/>
      <c r="W262" s="37" t="s">
        <v>70</v>
      </c>
      <c r="X262" s="336">
        <f>IFERROR(SUM(X260:X261),"0")</f>
        <v>24</v>
      </c>
      <c r="Y262" s="336">
        <f>IFERROR(SUM(Y260:Y261),"0")</f>
        <v>24</v>
      </c>
      <c r="Z262" s="336">
        <f>IFERROR(IF(Z260="",0,Z260),"0")+IFERROR(IF(Z261="",0,Z261),"0")</f>
        <v>0.372</v>
      </c>
      <c r="AA262" s="337"/>
      <c r="AB262" s="337"/>
      <c r="AC262" s="337"/>
    </row>
    <row r="263" spans="1:68" x14ac:dyDescent="0.2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66"/>
      <c r="P263" s="353" t="s">
        <v>73</v>
      </c>
      <c r="Q263" s="354"/>
      <c r="R263" s="354"/>
      <c r="S263" s="354"/>
      <c r="T263" s="354"/>
      <c r="U263" s="354"/>
      <c r="V263" s="355"/>
      <c r="W263" s="37" t="s">
        <v>74</v>
      </c>
      <c r="X263" s="336">
        <f>IFERROR(SUMPRODUCT(X260:X261*H260:H261),"0")</f>
        <v>120</v>
      </c>
      <c r="Y263" s="336">
        <f>IFERROR(SUMPRODUCT(Y260:Y261*H260:H261),"0")</f>
        <v>120</v>
      </c>
      <c r="Z263" s="37"/>
      <c r="AA263" s="337"/>
      <c r="AB263" s="337"/>
      <c r="AC263" s="337"/>
    </row>
    <row r="264" spans="1:68" ht="27.75" hidden="1" customHeight="1" x14ac:dyDescent="0.2">
      <c r="A264" s="421" t="s">
        <v>399</v>
      </c>
      <c r="B264" s="422"/>
      <c r="C264" s="422"/>
      <c r="D264" s="422"/>
      <c r="E264" s="422"/>
      <c r="F264" s="422"/>
      <c r="G264" s="422"/>
      <c r="H264" s="422"/>
      <c r="I264" s="422"/>
      <c r="J264" s="422"/>
      <c r="K264" s="422"/>
      <c r="L264" s="422"/>
      <c r="M264" s="422"/>
      <c r="N264" s="422"/>
      <c r="O264" s="422"/>
      <c r="P264" s="422"/>
      <c r="Q264" s="422"/>
      <c r="R264" s="422"/>
      <c r="S264" s="422"/>
      <c r="T264" s="422"/>
      <c r="U264" s="422"/>
      <c r="V264" s="422"/>
      <c r="W264" s="422"/>
      <c r="X264" s="422"/>
      <c r="Y264" s="422"/>
      <c r="Z264" s="422"/>
      <c r="AA264" s="48"/>
      <c r="AB264" s="48"/>
      <c r="AC264" s="48"/>
    </row>
    <row r="265" spans="1:68" ht="16.5" hidden="1" customHeight="1" x14ac:dyDescent="0.25">
      <c r="A265" s="352" t="s">
        <v>400</v>
      </c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29"/>
      <c r="AB265" s="329"/>
      <c r="AC265" s="329"/>
    </row>
    <row r="266" spans="1:68" ht="14.25" hidden="1" customHeight="1" x14ac:dyDescent="0.25">
      <c r="A266" s="350" t="s">
        <v>401</v>
      </c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30"/>
      <c r="AB266" s="330"/>
      <c r="AC266" s="330"/>
    </row>
    <row r="267" spans="1:68" ht="27" hidden="1" customHeight="1" x14ac:dyDescent="0.25">
      <c r="A267" s="54" t="s">
        <v>402</v>
      </c>
      <c r="B267" s="54" t="s">
        <v>403</v>
      </c>
      <c r="C267" s="31">
        <v>4301133004</v>
      </c>
      <c r="D267" s="346">
        <v>4607111039774</v>
      </c>
      <c r="E267" s="347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45" t="s">
        <v>404</v>
      </c>
      <c r="Q267" s="342"/>
      <c r="R267" s="342"/>
      <c r="S267" s="342"/>
      <c r="T267" s="343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idden="1" x14ac:dyDescent="0.2">
      <c r="A268" s="365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66"/>
      <c r="P268" s="353" t="s">
        <v>73</v>
      </c>
      <c r="Q268" s="354"/>
      <c r="R268" s="354"/>
      <c r="S268" s="354"/>
      <c r="T268" s="354"/>
      <c r="U268" s="354"/>
      <c r="V268" s="355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hidden="1" x14ac:dyDescent="0.2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66"/>
      <c r="P269" s="353" t="s">
        <v>73</v>
      </c>
      <c r="Q269" s="354"/>
      <c r="R269" s="354"/>
      <c r="S269" s="354"/>
      <c r="T269" s="354"/>
      <c r="U269" s="354"/>
      <c r="V269" s="355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hidden="1" customHeight="1" x14ac:dyDescent="0.25">
      <c r="A270" s="350" t="s">
        <v>147</v>
      </c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30"/>
      <c r="AB270" s="330"/>
      <c r="AC270" s="330"/>
    </row>
    <row r="271" spans="1:68" ht="37.5" hidden="1" customHeight="1" x14ac:dyDescent="0.25">
      <c r="A271" s="54" t="s">
        <v>406</v>
      </c>
      <c r="B271" s="54" t="s">
        <v>407</v>
      </c>
      <c r="C271" s="31">
        <v>4301135400</v>
      </c>
      <c r="D271" s="346">
        <v>4607111039361</v>
      </c>
      <c r="E271" s="347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42"/>
      <c r="R271" s="342"/>
      <c r="S271" s="342"/>
      <c r="T271" s="343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65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66"/>
      <c r="P272" s="353" t="s">
        <v>73</v>
      </c>
      <c r="Q272" s="354"/>
      <c r="R272" s="354"/>
      <c r="S272" s="354"/>
      <c r="T272" s="354"/>
      <c r="U272" s="354"/>
      <c r="V272" s="355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hidden="1" x14ac:dyDescent="0.2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66"/>
      <c r="P273" s="353" t="s">
        <v>73</v>
      </c>
      <c r="Q273" s="354"/>
      <c r="R273" s="354"/>
      <c r="S273" s="354"/>
      <c r="T273" s="354"/>
      <c r="U273" s="354"/>
      <c r="V273" s="355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hidden="1" customHeight="1" x14ac:dyDescent="0.2">
      <c r="A274" s="421" t="s">
        <v>269</v>
      </c>
      <c r="B274" s="422"/>
      <c r="C274" s="422"/>
      <c r="D274" s="422"/>
      <c r="E274" s="422"/>
      <c r="F274" s="422"/>
      <c r="G274" s="422"/>
      <c r="H274" s="422"/>
      <c r="I274" s="422"/>
      <c r="J274" s="422"/>
      <c r="K274" s="422"/>
      <c r="L274" s="422"/>
      <c r="M274" s="422"/>
      <c r="N274" s="422"/>
      <c r="O274" s="422"/>
      <c r="P274" s="422"/>
      <c r="Q274" s="422"/>
      <c r="R274" s="422"/>
      <c r="S274" s="422"/>
      <c r="T274" s="422"/>
      <c r="U274" s="422"/>
      <c r="V274" s="422"/>
      <c r="W274" s="422"/>
      <c r="X274" s="422"/>
      <c r="Y274" s="422"/>
      <c r="Z274" s="422"/>
      <c r="AA274" s="48"/>
      <c r="AB274" s="48"/>
      <c r="AC274" s="48"/>
    </row>
    <row r="275" spans="1:68" ht="16.5" hidden="1" customHeight="1" x14ac:dyDescent="0.25">
      <c r="A275" s="352" t="s">
        <v>269</v>
      </c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29"/>
      <c r="AB275" s="329"/>
      <c r="AC275" s="329"/>
    </row>
    <row r="276" spans="1:68" ht="14.25" hidden="1" customHeight="1" x14ac:dyDescent="0.25">
      <c r="A276" s="350" t="s">
        <v>64</v>
      </c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30"/>
      <c r="AB276" s="330"/>
      <c r="AC276" s="330"/>
    </row>
    <row r="277" spans="1:68" ht="27" hidden="1" customHeight="1" x14ac:dyDescent="0.25">
      <c r="A277" s="54" t="s">
        <v>408</v>
      </c>
      <c r="B277" s="54" t="s">
        <v>409</v>
      </c>
      <c r="C277" s="31">
        <v>4301071014</v>
      </c>
      <c r="D277" s="346">
        <v>4640242181264</v>
      </c>
      <c r="E277" s="347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109</v>
      </c>
      <c r="M277" s="33" t="s">
        <v>69</v>
      </c>
      <c r="N277" s="33"/>
      <c r="O277" s="32">
        <v>180</v>
      </c>
      <c r="P277" s="433" t="s">
        <v>410</v>
      </c>
      <c r="Q277" s="342"/>
      <c r="R277" s="342"/>
      <c r="S277" s="342"/>
      <c r="T277" s="343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111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hidden="1" customHeight="1" x14ac:dyDescent="0.25">
      <c r="A278" s="54" t="s">
        <v>412</v>
      </c>
      <c r="B278" s="54" t="s">
        <v>413</v>
      </c>
      <c r="C278" s="31">
        <v>4301071021</v>
      </c>
      <c r="D278" s="346">
        <v>4640242181325</v>
      </c>
      <c r="E278" s="347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109</v>
      </c>
      <c r="M278" s="33" t="s">
        <v>69</v>
      </c>
      <c r="N278" s="33"/>
      <c r="O278" s="32">
        <v>180</v>
      </c>
      <c r="P278" s="510" t="s">
        <v>414</v>
      </c>
      <c r="Q278" s="342"/>
      <c r="R278" s="342"/>
      <c r="S278" s="342"/>
      <c r="T278" s="343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111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hidden="1" customHeight="1" x14ac:dyDescent="0.25">
      <c r="A279" s="54" t="s">
        <v>415</v>
      </c>
      <c r="B279" s="54" t="s">
        <v>416</v>
      </c>
      <c r="C279" s="31">
        <v>4301070993</v>
      </c>
      <c r="D279" s="346">
        <v>4640242180670</v>
      </c>
      <c r="E279" s="347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109</v>
      </c>
      <c r="M279" s="33" t="s">
        <v>69</v>
      </c>
      <c r="N279" s="33"/>
      <c r="O279" s="32">
        <v>180</v>
      </c>
      <c r="P279" s="494" t="s">
        <v>417</v>
      </c>
      <c r="Q279" s="342"/>
      <c r="R279" s="342"/>
      <c r="S279" s="342"/>
      <c r="T279" s="343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111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65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66"/>
      <c r="P280" s="353" t="s">
        <v>73</v>
      </c>
      <c r="Q280" s="354"/>
      <c r="R280" s="354"/>
      <c r="S280" s="354"/>
      <c r="T280" s="354"/>
      <c r="U280" s="354"/>
      <c r="V280" s="355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hidden="1" x14ac:dyDescent="0.2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66"/>
      <c r="P281" s="353" t="s">
        <v>73</v>
      </c>
      <c r="Q281" s="354"/>
      <c r="R281" s="354"/>
      <c r="S281" s="354"/>
      <c r="T281" s="354"/>
      <c r="U281" s="354"/>
      <c r="V281" s="355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hidden="1" customHeight="1" x14ac:dyDescent="0.25">
      <c r="A282" s="350" t="s">
        <v>171</v>
      </c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30"/>
      <c r="AB282" s="330"/>
      <c r="AC282" s="330"/>
    </row>
    <row r="283" spans="1:68" ht="27" hidden="1" customHeight="1" x14ac:dyDescent="0.25">
      <c r="A283" s="54" t="s">
        <v>419</v>
      </c>
      <c r="B283" s="54" t="s">
        <v>420</v>
      </c>
      <c r="C283" s="31">
        <v>4301131019</v>
      </c>
      <c r="D283" s="346">
        <v>4640242180427</v>
      </c>
      <c r="E283" s="347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161</v>
      </c>
      <c r="L283" s="32" t="s">
        <v>109</v>
      </c>
      <c r="M283" s="33" t="s">
        <v>69</v>
      </c>
      <c r="N283" s="33"/>
      <c r="O283" s="32">
        <v>180</v>
      </c>
      <c r="P283" s="432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42"/>
      <c r="R283" s="342"/>
      <c r="S283" s="342"/>
      <c r="T283" s="343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111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65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66"/>
      <c r="P284" s="353" t="s">
        <v>73</v>
      </c>
      <c r="Q284" s="354"/>
      <c r="R284" s="354"/>
      <c r="S284" s="354"/>
      <c r="T284" s="354"/>
      <c r="U284" s="354"/>
      <c r="V284" s="355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hidden="1" x14ac:dyDescent="0.2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66"/>
      <c r="P285" s="353" t="s">
        <v>73</v>
      </c>
      <c r="Q285" s="354"/>
      <c r="R285" s="354"/>
      <c r="S285" s="354"/>
      <c r="T285" s="354"/>
      <c r="U285" s="354"/>
      <c r="V285" s="355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hidden="1" customHeight="1" x14ac:dyDescent="0.25">
      <c r="A286" s="350" t="s">
        <v>77</v>
      </c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30"/>
      <c r="AB286" s="330"/>
      <c r="AC286" s="330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6">
        <v>4640242180397</v>
      </c>
      <c r="E287" s="347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114</v>
      </c>
      <c r="M287" s="33" t="s">
        <v>69</v>
      </c>
      <c r="N287" s="33"/>
      <c r="O287" s="32">
        <v>180</v>
      </c>
      <c r="P287" s="41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42"/>
      <c r="R287" s="342"/>
      <c r="S287" s="342"/>
      <c r="T287" s="343"/>
      <c r="U287" s="34"/>
      <c r="V287" s="34"/>
      <c r="W287" s="35" t="s">
        <v>70</v>
      </c>
      <c r="X287" s="334">
        <v>60</v>
      </c>
      <c r="Y287" s="335">
        <f>IFERROR(IF(X287="","",X287),"")</f>
        <v>60</v>
      </c>
      <c r="Z287" s="36">
        <f>IFERROR(IF(X287="","",X287*0.0155),"")</f>
        <v>0.92999999999999994</v>
      </c>
      <c r="AA287" s="56"/>
      <c r="AB287" s="57"/>
      <c r="AC287" s="272" t="s">
        <v>424</v>
      </c>
      <c r="AG287" s="67"/>
      <c r="AJ287" s="71" t="s">
        <v>115</v>
      </c>
      <c r="AK287" s="71">
        <v>84</v>
      </c>
      <c r="BB287" s="273" t="s">
        <v>83</v>
      </c>
      <c r="BM287" s="67">
        <f>IFERROR(X287*I287,"0")</f>
        <v>375.59999999999997</v>
      </c>
      <c r="BN287" s="67">
        <f>IFERROR(Y287*I287,"0")</f>
        <v>375.59999999999997</v>
      </c>
      <c r="BO287" s="67">
        <f>IFERROR(X287/J287,"0")</f>
        <v>0.7142857142857143</v>
      </c>
      <c r="BP287" s="67">
        <f>IFERROR(Y287/J287,"0")</f>
        <v>0.7142857142857143</v>
      </c>
    </row>
    <row r="288" spans="1:68" ht="27" hidden="1" customHeight="1" x14ac:dyDescent="0.25">
      <c r="A288" s="54" t="s">
        <v>425</v>
      </c>
      <c r="B288" s="54" t="s">
        <v>426</v>
      </c>
      <c r="C288" s="31">
        <v>4301132104</v>
      </c>
      <c r="D288" s="346">
        <v>4640242181219</v>
      </c>
      <c r="E288" s="347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161</v>
      </c>
      <c r="L288" s="32" t="s">
        <v>109</v>
      </c>
      <c r="M288" s="33" t="s">
        <v>69</v>
      </c>
      <c r="N288" s="33"/>
      <c r="O288" s="32">
        <v>180</v>
      </c>
      <c r="P288" s="532" t="s">
        <v>427</v>
      </c>
      <c r="Q288" s="342"/>
      <c r="R288" s="342"/>
      <c r="S288" s="342"/>
      <c r="T288" s="343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111</v>
      </c>
      <c r="AK288" s="71">
        <v>18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65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66"/>
      <c r="P289" s="353" t="s">
        <v>73</v>
      </c>
      <c r="Q289" s="354"/>
      <c r="R289" s="354"/>
      <c r="S289" s="354"/>
      <c r="T289" s="354"/>
      <c r="U289" s="354"/>
      <c r="V289" s="355"/>
      <c r="W289" s="37" t="s">
        <v>70</v>
      </c>
      <c r="X289" s="336">
        <f>IFERROR(SUM(X287:X288),"0")</f>
        <v>60</v>
      </c>
      <c r="Y289" s="336">
        <f>IFERROR(SUM(Y287:Y288),"0")</f>
        <v>60</v>
      </c>
      <c r="Z289" s="336">
        <f>IFERROR(IF(Z287="",0,Z287),"0")+IFERROR(IF(Z288="",0,Z288),"0")</f>
        <v>0.92999999999999994</v>
      </c>
      <c r="AA289" s="337"/>
      <c r="AB289" s="337"/>
      <c r="AC289" s="337"/>
    </row>
    <row r="290" spans="1:68" x14ac:dyDescent="0.2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66"/>
      <c r="P290" s="353" t="s">
        <v>73</v>
      </c>
      <c r="Q290" s="354"/>
      <c r="R290" s="354"/>
      <c r="S290" s="354"/>
      <c r="T290" s="354"/>
      <c r="U290" s="354"/>
      <c r="V290" s="355"/>
      <c r="W290" s="37" t="s">
        <v>74</v>
      </c>
      <c r="X290" s="336">
        <f>IFERROR(SUMPRODUCT(X287:X288*H287:H288),"0")</f>
        <v>360</v>
      </c>
      <c r="Y290" s="336">
        <f>IFERROR(SUMPRODUCT(Y287:Y288*H287:H288),"0")</f>
        <v>360</v>
      </c>
      <c r="Z290" s="37"/>
      <c r="AA290" s="337"/>
      <c r="AB290" s="337"/>
      <c r="AC290" s="337"/>
    </row>
    <row r="291" spans="1:68" ht="14.25" hidden="1" customHeight="1" x14ac:dyDescent="0.25">
      <c r="A291" s="350" t="s">
        <v>143</v>
      </c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30"/>
      <c r="AB291" s="330"/>
      <c r="AC291" s="330"/>
    </row>
    <row r="292" spans="1:68" ht="27" hidden="1" customHeight="1" x14ac:dyDescent="0.25">
      <c r="A292" s="54" t="s">
        <v>428</v>
      </c>
      <c r="B292" s="54" t="s">
        <v>429</v>
      </c>
      <c r="C292" s="31">
        <v>4301136028</v>
      </c>
      <c r="D292" s="346">
        <v>4640242180304</v>
      </c>
      <c r="E292" s="347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109</v>
      </c>
      <c r="M292" s="33" t="s">
        <v>69</v>
      </c>
      <c r="N292" s="33"/>
      <c r="O292" s="32">
        <v>180</v>
      </c>
      <c r="P292" s="542" t="s">
        <v>430</v>
      </c>
      <c r="Q292" s="342"/>
      <c r="R292" s="342"/>
      <c r="S292" s="342"/>
      <c r="T292" s="343"/>
      <c r="U292" s="34"/>
      <c r="V292" s="34"/>
      <c r="W292" s="35" t="s">
        <v>70</v>
      </c>
      <c r="X292" s="334">
        <v>0</v>
      </c>
      <c r="Y292" s="335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431</v>
      </c>
      <c r="AG292" s="67"/>
      <c r="AJ292" s="71" t="s">
        <v>111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t="27" hidden="1" customHeight="1" x14ac:dyDescent="0.25">
      <c r="A293" s="54" t="s">
        <v>432</v>
      </c>
      <c r="B293" s="54" t="s">
        <v>433</v>
      </c>
      <c r="C293" s="31">
        <v>4301136026</v>
      </c>
      <c r="D293" s="346">
        <v>4640242180236</v>
      </c>
      <c r="E293" s="347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114</v>
      </c>
      <c r="M293" s="33" t="s">
        <v>69</v>
      </c>
      <c r="N293" s="33"/>
      <c r="O293" s="32">
        <v>180</v>
      </c>
      <c r="P293" s="5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42"/>
      <c r="R293" s="342"/>
      <c r="S293" s="342"/>
      <c r="T293" s="343"/>
      <c r="U293" s="34"/>
      <c r="V293" s="34"/>
      <c r="W293" s="35" t="s">
        <v>70</v>
      </c>
      <c r="X293" s="334">
        <v>0</v>
      </c>
      <c r="Y293" s="335">
        <f>IFERROR(IF(X293="","",X293),"")</f>
        <v>0</v>
      </c>
      <c r="Z293" s="36">
        <f>IFERROR(IF(X293="","",X293*0.0155),"")</f>
        <v>0</v>
      </c>
      <c r="AA293" s="56"/>
      <c r="AB293" s="57"/>
      <c r="AC293" s="278" t="s">
        <v>431</v>
      </c>
      <c r="AG293" s="67"/>
      <c r="AJ293" s="71" t="s">
        <v>115</v>
      </c>
      <c r="AK293" s="71">
        <v>84</v>
      </c>
      <c r="BB293" s="279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t="27" hidden="1" customHeight="1" x14ac:dyDescent="0.25">
      <c r="A294" s="54" t="s">
        <v>434</v>
      </c>
      <c r="B294" s="54" t="s">
        <v>435</v>
      </c>
      <c r="C294" s="31">
        <v>4301136029</v>
      </c>
      <c r="D294" s="346">
        <v>4640242180410</v>
      </c>
      <c r="E294" s="347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109</v>
      </c>
      <c r="M294" s="33" t="s">
        <v>69</v>
      </c>
      <c r="N294" s="33"/>
      <c r="O294" s="32">
        <v>180</v>
      </c>
      <c r="P294" s="5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42"/>
      <c r="R294" s="342"/>
      <c r="S294" s="342"/>
      <c r="T294" s="343"/>
      <c r="U294" s="34"/>
      <c r="V294" s="34"/>
      <c r="W294" s="35" t="s">
        <v>70</v>
      </c>
      <c r="X294" s="334">
        <v>0</v>
      </c>
      <c r="Y294" s="335">
        <f>IFERROR(IF(X294="","",X294),"")</f>
        <v>0</v>
      </c>
      <c r="Z294" s="36">
        <f>IFERROR(IF(X294="","",X294*0.00936),"")</f>
        <v>0</v>
      </c>
      <c r="AA294" s="56"/>
      <c r="AB294" s="57"/>
      <c r="AC294" s="280" t="s">
        <v>431</v>
      </c>
      <c r="AG294" s="67"/>
      <c r="AJ294" s="71" t="s">
        <v>111</v>
      </c>
      <c r="AK294" s="71">
        <v>14</v>
      </c>
      <c r="BB294" s="281" t="s">
        <v>83</v>
      </c>
      <c r="BM294" s="67">
        <f>IFERROR(X294*I294,"0")</f>
        <v>0</v>
      </c>
      <c r="BN294" s="67">
        <f>IFERROR(Y294*I294,"0")</f>
        <v>0</v>
      </c>
      <c r="BO294" s="67">
        <f>IFERROR(X294/J294,"0")</f>
        <v>0</v>
      </c>
      <c r="BP294" s="67">
        <f>IFERROR(Y294/J294,"0")</f>
        <v>0</v>
      </c>
    </row>
    <row r="295" spans="1:68" hidden="1" x14ac:dyDescent="0.2">
      <c r="A295" s="365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66"/>
      <c r="P295" s="353" t="s">
        <v>73</v>
      </c>
      <c r="Q295" s="354"/>
      <c r="R295" s="354"/>
      <c r="S295" s="354"/>
      <c r="T295" s="354"/>
      <c r="U295" s="354"/>
      <c r="V295" s="355"/>
      <c r="W295" s="37" t="s">
        <v>70</v>
      </c>
      <c r="X295" s="336">
        <f>IFERROR(SUM(X292:X294),"0")</f>
        <v>0</v>
      </c>
      <c r="Y295" s="336">
        <f>IFERROR(SUM(Y292:Y294),"0")</f>
        <v>0</v>
      </c>
      <c r="Z295" s="336">
        <f>IFERROR(IF(Z292="",0,Z292),"0")+IFERROR(IF(Z293="",0,Z293),"0")+IFERROR(IF(Z294="",0,Z294),"0")</f>
        <v>0</v>
      </c>
      <c r="AA295" s="337"/>
      <c r="AB295" s="337"/>
      <c r="AC295" s="337"/>
    </row>
    <row r="296" spans="1:68" hidden="1" x14ac:dyDescent="0.2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66"/>
      <c r="P296" s="353" t="s">
        <v>73</v>
      </c>
      <c r="Q296" s="354"/>
      <c r="R296" s="354"/>
      <c r="S296" s="354"/>
      <c r="T296" s="354"/>
      <c r="U296" s="354"/>
      <c r="V296" s="355"/>
      <c r="W296" s="37" t="s">
        <v>74</v>
      </c>
      <c r="X296" s="336">
        <f>IFERROR(SUMPRODUCT(X292:X294*H292:H294),"0")</f>
        <v>0</v>
      </c>
      <c r="Y296" s="336">
        <f>IFERROR(SUMPRODUCT(Y292:Y294*H292:H294),"0")</f>
        <v>0</v>
      </c>
      <c r="Z296" s="37"/>
      <c r="AA296" s="337"/>
      <c r="AB296" s="337"/>
      <c r="AC296" s="337"/>
    </row>
    <row r="297" spans="1:68" ht="14.25" hidden="1" customHeight="1" x14ac:dyDescent="0.25">
      <c r="A297" s="350" t="s">
        <v>147</v>
      </c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30"/>
      <c r="AB297" s="330"/>
      <c r="AC297" s="330"/>
    </row>
    <row r="298" spans="1:68" ht="37.5" hidden="1" customHeight="1" x14ac:dyDescent="0.25">
      <c r="A298" s="54" t="s">
        <v>436</v>
      </c>
      <c r="B298" s="54" t="s">
        <v>437</v>
      </c>
      <c r="C298" s="31">
        <v>4301135504</v>
      </c>
      <c r="D298" s="346">
        <v>4640242181554</v>
      </c>
      <c r="E298" s="347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516" t="s">
        <v>438</v>
      </c>
      <c r="Q298" s="342"/>
      <c r="R298" s="342"/>
      <c r="S298" s="342"/>
      <c r="T298" s="343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6">
        <v>4640242181561</v>
      </c>
      <c r="E299" s="347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109</v>
      </c>
      <c r="M299" s="33" t="s">
        <v>69</v>
      </c>
      <c r="N299" s="33"/>
      <c r="O299" s="32">
        <v>180</v>
      </c>
      <c r="P299" s="469" t="s">
        <v>442</v>
      </c>
      <c r="Q299" s="342"/>
      <c r="R299" s="342"/>
      <c r="S299" s="342"/>
      <c r="T299" s="343"/>
      <c r="U299" s="34"/>
      <c r="V299" s="34"/>
      <c r="W299" s="35" t="s">
        <v>70</v>
      </c>
      <c r="X299" s="334">
        <v>42</v>
      </c>
      <c r="Y299" s="335">
        <f t="shared" si="24"/>
        <v>42</v>
      </c>
      <c r="Z299" s="36">
        <f>IFERROR(IF(X299="","",X299*0.00936),"")</f>
        <v>0.39312000000000002</v>
      </c>
      <c r="AA299" s="56"/>
      <c r="AB299" s="57"/>
      <c r="AC299" s="284" t="s">
        <v>443</v>
      </c>
      <c r="AG299" s="67"/>
      <c r="AJ299" s="71" t="s">
        <v>111</v>
      </c>
      <c r="AK299" s="71">
        <v>14</v>
      </c>
      <c r="BB299" s="285" t="s">
        <v>83</v>
      </c>
      <c r="BM299" s="67">
        <f t="shared" si="25"/>
        <v>163.464</v>
      </c>
      <c r="BN299" s="67">
        <f t="shared" si="26"/>
        <v>163.464</v>
      </c>
      <c r="BO299" s="67">
        <f t="shared" si="27"/>
        <v>0.33333333333333331</v>
      </c>
      <c r="BP299" s="67">
        <f t="shared" si="28"/>
        <v>0.33333333333333331</v>
      </c>
    </row>
    <row r="300" spans="1:68" ht="27" customHeight="1" x14ac:dyDescent="0.25">
      <c r="A300" s="54" t="s">
        <v>444</v>
      </c>
      <c r="B300" s="54" t="s">
        <v>445</v>
      </c>
      <c r="C300" s="31">
        <v>4301135374</v>
      </c>
      <c r="D300" s="346">
        <v>4640242181424</v>
      </c>
      <c r="E300" s="347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109</v>
      </c>
      <c r="M300" s="33" t="s">
        <v>69</v>
      </c>
      <c r="N300" s="33"/>
      <c r="O300" s="32">
        <v>180</v>
      </c>
      <c r="P300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42"/>
      <c r="R300" s="342"/>
      <c r="S300" s="342"/>
      <c r="T300" s="343"/>
      <c r="U300" s="34"/>
      <c r="V300" s="34"/>
      <c r="W300" s="35" t="s">
        <v>70</v>
      </c>
      <c r="X300" s="334">
        <v>12</v>
      </c>
      <c r="Y300" s="335">
        <f t="shared" si="24"/>
        <v>12</v>
      </c>
      <c r="Z300" s="36">
        <f>IFERROR(IF(X300="","",X300*0.0155),"")</f>
        <v>0.186</v>
      </c>
      <c r="AA300" s="56"/>
      <c r="AB300" s="57"/>
      <c r="AC300" s="286" t="s">
        <v>439</v>
      </c>
      <c r="AG300" s="67"/>
      <c r="AJ300" s="71" t="s">
        <v>111</v>
      </c>
      <c r="AK300" s="71">
        <v>12</v>
      </c>
      <c r="BB300" s="287" t="s">
        <v>83</v>
      </c>
      <c r="BM300" s="67">
        <f t="shared" si="25"/>
        <v>68.820000000000007</v>
      </c>
      <c r="BN300" s="67">
        <f t="shared" si="26"/>
        <v>68.820000000000007</v>
      </c>
      <c r="BO300" s="67">
        <f t="shared" si="27"/>
        <v>0.14285714285714285</v>
      </c>
      <c r="BP300" s="67">
        <f t="shared" si="28"/>
        <v>0.14285714285714285</v>
      </c>
    </row>
    <row r="301" spans="1:68" ht="27" hidden="1" customHeight="1" x14ac:dyDescent="0.25">
      <c r="A301" s="54" t="s">
        <v>446</v>
      </c>
      <c r="B301" s="54" t="s">
        <v>447</v>
      </c>
      <c r="C301" s="31">
        <v>4301135320</v>
      </c>
      <c r="D301" s="346">
        <v>4640242181592</v>
      </c>
      <c r="E301" s="347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553" t="s">
        <v>448</v>
      </c>
      <c r="Q301" s="342"/>
      <c r="R301" s="342"/>
      <c r="S301" s="342"/>
      <c r="T301" s="343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450</v>
      </c>
      <c r="B302" s="54" t="s">
        <v>451</v>
      </c>
      <c r="C302" s="31">
        <v>4301135552</v>
      </c>
      <c r="D302" s="346">
        <v>4640242181431</v>
      </c>
      <c r="E302" s="347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49" t="s">
        <v>452</v>
      </c>
      <c r="Q302" s="342"/>
      <c r="R302" s="342"/>
      <c r="S302" s="342"/>
      <c r="T302" s="343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4301135405</v>
      </c>
      <c r="D303" s="346">
        <v>4640242181523</v>
      </c>
      <c r="E303" s="347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109</v>
      </c>
      <c r="M303" s="33" t="s">
        <v>69</v>
      </c>
      <c r="N303" s="33"/>
      <c r="O303" s="32">
        <v>180</v>
      </c>
      <c r="P303" s="43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42"/>
      <c r="R303" s="342"/>
      <c r="S303" s="342"/>
      <c r="T303" s="343"/>
      <c r="U303" s="34"/>
      <c r="V303" s="34"/>
      <c r="W303" s="35" t="s">
        <v>70</v>
      </c>
      <c r="X303" s="334">
        <v>56</v>
      </c>
      <c r="Y303" s="335">
        <f t="shared" si="24"/>
        <v>56</v>
      </c>
      <c r="Z303" s="36">
        <f t="shared" si="29"/>
        <v>0.52415999999999996</v>
      </c>
      <c r="AA303" s="56"/>
      <c r="AB303" s="57"/>
      <c r="AC303" s="292" t="s">
        <v>443</v>
      </c>
      <c r="AG303" s="67"/>
      <c r="AJ303" s="71" t="s">
        <v>111</v>
      </c>
      <c r="AK303" s="71">
        <v>14</v>
      </c>
      <c r="BB303" s="293" t="s">
        <v>83</v>
      </c>
      <c r="BM303" s="67">
        <f t="shared" si="25"/>
        <v>178.75200000000001</v>
      </c>
      <c r="BN303" s="67">
        <f t="shared" si="26"/>
        <v>178.75200000000001</v>
      </c>
      <c r="BO303" s="67">
        <f t="shared" si="27"/>
        <v>0.44444444444444442</v>
      </c>
      <c r="BP303" s="67">
        <f t="shared" si="28"/>
        <v>0.44444444444444442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4301135404</v>
      </c>
      <c r="D304" s="346">
        <v>4640242181516</v>
      </c>
      <c r="E304" s="347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2" t="s">
        <v>458</v>
      </c>
      <c r="Q304" s="342"/>
      <c r="R304" s="342"/>
      <c r="S304" s="342"/>
      <c r="T304" s="343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6">
        <v>4640242181486</v>
      </c>
      <c r="E305" s="347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109</v>
      </c>
      <c r="M305" s="33" t="s">
        <v>69</v>
      </c>
      <c r="N305" s="33"/>
      <c r="O305" s="32">
        <v>180</v>
      </c>
      <c r="P305" s="43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42"/>
      <c r="R305" s="342"/>
      <c r="S305" s="342"/>
      <c r="T305" s="343"/>
      <c r="U305" s="34"/>
      <c r="V305" s="34"/>
      <c r="W305" s="35" t="s">
        <v>70</v>
      </c>
      <c r="X305" s="334">
        <v>42</v>
      </c>
      <c r="Y305" s="335">
        <f t="shared" si="24"/>
        <v>42</v>
      </c>
      <c r="Z305" s="36">
        <f t="shared" si="29"/>
        <v>0.39312000000000002</v>
      </c>
      <c r="AA305" s="56"/>
      <c r="AB305" s="57"/>
      <c r="AC305" s="296" t="s">
        <v>439</v>
      </c>
      <c r="AG305" s="67"/>
      <c r="AJ305" s="71" t="s">
        <v>111</v>
      </c>
      <c r="AK305" s="71">
        <v>14</v>
      </c>
      <c r="BB305" s="297" t="s">
        <v>83</v>
      </c>
      <c r="BM305" s="67">
        <f t="shared" si="25"/>
        <v>163.464</v>
      </c>
      <c r="BN305" s="67">
        <f t="shared" si="26"/>
        <v>163.464</v>
      </c>
      <c r="BO305" s="67">
        <f t="shared" si="27"/>
        <v>0.33333333333333331</v>
      </c>
      <c r="BP305" s="67">
        <f t="shared" si="28"/>
        <v>0.33333333333333331</v>
      </c>
    </row>
    <row r="306" spans="1:68" ht="37.5" hidden="1" customHeight="1" x14ac:dyDescent="0.25">
      <c r="A306" s="54" t="s">
        <v>461</v>
      </c>
      <c r="B306" s="54" t="s">
        <v>462</v>
      </c>
      <c r="C306" s="31">
        <v>4301135402</v>
      </c>
      <c r="D306" s="346">
        <v>4640242181493</v>
      </c>
      <c r="E306" s="347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67" t="s">
        <v>463</v>
      </c>
      <c r="Q306" s="342"/>
      <c r="R306" s="342"/>
      <c r="S306" s="342"/>
      <c r="T306" s="343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hidden="1" customHeight="1" x14ac:dyDescent="0.25">
      <c r="A307" s="54" t="s">
        <v>464</v>
      </c>
      <c r="B307" s="54" t="s">
        <v>465</v>
      </c>
      <c r="C307" s="31">
        <v>4301135403</v>
      </c>
      <c r="D307" s="346">
        <v>4640242181509</v>
      </c>
      <c r="E307" s="347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109</v>
      </c>
      <c r="M307" s="33" t="s">
        <v>69</v>
      </c>
      <c r="N307" s="33"/>
      <c r="O307" s="32">
        <v>180</v>
      </c>
      <c r="P30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42"/>
      <c r="R307" s="342"/>
      <c r="S307" s="342"/>
      <c r="T307" s="343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111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466</v>
      </c>
      <c r="B308" s="54" t="s">
        <v>467</v>
      </c>
      <c r="C308" s="31">
        <v>4301135304</v>
      </c>
      <c r="D308" s="346">
        <v>4640242181240</v>
      </c>
      <c r="E308" s="347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109</v>
      </c>
      <c r="M308" s="33" t="s">
        <v>69</v>
      </c>
      <c r="N308" s="33"/>
      <c r="O308" s="32">
        <v>180</v>
      </c>
      <c r="P308" s="431" t="s">
        <v>468</v>
      </c>
      <c r="Q308" s="342"/>
      <c r="R308" s="342"/>
      <c r="S308" s="342"/>
      <c r="T308" s="343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111</v>
      </c>
      <c r="AK308" s="71">
        <v>14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469</v>
      </c>
      <c r="B309" s="54" t="s">
        <v>470</v>
      </c>
      <c r="C309" s="31">
        <v>4301135310</v>
      </c>
      <c r="D309" s="346">
        <v>4640242181318</v>
      </c>
      <c r="E309" s="347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109</v>
      </c>
      <c r="M309" s="33" t="s">
        <v>69</v>
      </c>
      <c r="N309" s="33"/>
      <c r="O309" s="32">
        <v>180</v>
      </c>
      <c r="P309" s="466" t="s">
        <v>471</v>
      </c>
      <c r="Q309" s="342"/>
      <c r="R309" s="342"/>
      <c r="S309" s="342"/>
      <c r="T309" s="343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111</v>
      </c>
      <c r="AK309" s="71">
        <v>14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472</v>
      </c>
      <c r="B310" s="54" t="s">
        <v>473</v>
      </c>
      <c r="C310" s="31">
        <v>4301135306</v>
      </c>
      <c r="D310" s="346">
        <v>4640242181387</v>
      </c>
      <c r="E310" s="347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161</v>
      </c>
      <c r="L310" s="32" t="s">
        <v>109</v>
      </c>
      <c r="M310" s="33" t="s">
        <v>69</v>
      </c>
      <c r="N310" s="33"/>
      <c r="O310" s="32">
        <v>180</v>
      </c>
      <c r="P310" s="483" t="s">
        <v>474</v>
      </c>
      <c r="Q310" s="342"/>
      <c r="R310" s="342"/>
      <c r="S310" s="342"/>
      <c r="T310" s="343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111</v>
      </c>
      <c r="AK310" s="71">
        <v>18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475</v>
      </c>
      <c r="B311" s="54" t="s">
        <v>476</v>
      </c>
      <c r="C311" s="31">
        <v>4301135305</v>
      </c>
      <c r="D311" s="346">
        <v>4640242181394</v>
      </c>
      <c r="E311" s="347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161</v>
      </c>
      <c r="L311" s="32" t="s">
        <v>109</v>
      </c>
      <c r="M311" s="33" t="s">
        <v>69</v>
      </c>
      <c r="N311" s="33"/>
      <c r="O311" s="32">
        <v>180</v>
      </c>
      <c r="P311" s="356" t="s">
        <v>477</v>
      </c>
      <c r="Q311" s="342"/>
      <c r="R311" s="342"/>
      <c r="S311" s="342"/>
      <c r="T311" s="343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111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478</v>
      </c>
      <c r="B312" s="54" t="s">
        <v>479</v>
      </c>
      <c r="C312" s="31">
        <v>4301135309</v>
      </c>
      <c r="D312" s="346">
        <v>4640242181332</v>
      </c>
      <c r="E312" s="347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161</v>
      </c>
      <c r="L312" s="32" t="s">
        <v>68</v>
      </c>
      <c r="M312" s="33" t="s">
        <v>69</v>
      </c>
      <c r="N312" s="33"/>
      <c r="O312" s="32">
        <v>180</v>
      </c>
      <c r="P312" s="404" t="s">
        <v>480</v>
      </c>
      <c r="Q312" s="342"/>
      <c r="R312" s="342"/>
      <c r="S312" s="342"/>
      <c r="T312" s="343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481</v>
      </c>
      <c r="B313" s="54" t="s">
        <v>482</v>
      </c>
      <c r="C313" s="31">
        <v>4301135308</v>
      </c>
      <c r="D313" s="346">
        <v>4640242181349</v>
      </c>
      <c r="E313" s="347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161</v>
      </c>
      <c r="L313" s="32" t="s">
        <v>109</v>
      </c>
      <c r="M313" s="33" t="s">
        <v>69</v>
      </c>
      <c r="N313" s="33"/>
      <c r="O313" s="32">
        <v>180</v>
      </c>
      <c r="P313" s="555" t="s">
        <v>483</v>
      </c>
      <c r="Q313" s="342"/>
      <c r="R313" s="342"/>
      <c r="S313" s="342"/>
      <c r="T313" s="343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111</v>
      </c>
      <c r="AK313" s="71">
        <v>18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484</v>
      </c>
      <c r="B314" s="54" t="s">
        <v>485</v>
      </c>
      <c r="C314" s="31">
        <v>4301135307</v>
      </c>
      <c r="D314" s="346">
        <v>4640242181370</v>
      </c>
      <c r="E314" s="347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161</v>
      </c>
      <c r="L314" s="32" t="s">
        <v>68</v>
      </c>
      <c r="M314" s="33" t="s">
        <v>69</v>
      </c>
      <c r="N314" s="33"/>
      <c r="O314" s="32">
        <v>180</v>
      </c>
      <c r="P314" s="492" t="s">
        <v>486</v>
      </c>
      <c r="Q314" s="342"/>
      <c r="R314" s="342"/>
      <c r="S314" s="342"/>
      <c r="T314" s="343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488</v>
      </c>
      <c r="B315" s="54" t="s">
        <v>489</v>
      </c>
      <c r="C315" s="31">
        <v>4301135318</v>
      </c>
      <c r="D315" s="346">
        <v>4607111037480</v>
      </c>
      <c r="E315" s="347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45" t="s">
        <v>490</v>
      </c>
      <c r="Q315" s="342"/>
      <c r="R315" s="342"/>
      <c r="S315" s="342"/>
      <c r="T315" s="343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492</v>
      </c>
      <c r="B316" s="54" t="s">
        <v>493</v>
      </c>
      <c r="C316" s="31">
        <v>4301135319</v>
      </c>
      <c r="D316" s="346">
        <v>4607111037473</v>
      </c>
      <c r="E316" s="347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374" t="s">
        <v>494</v>
      </c>
      <c r="Q316" s="342"/>
      <c r="R316" s="342"/>
      <c r="S316" s="342"/>
      <c r="T316" s="343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hidden="1" customHeight="1" x14ac:dyDescent="0.25">
      <c r="A317" s="54" t="s">
        <v>496</v>
      </c>
      <c r="B317" s="54" t="s">
        <v>497</v>
      </c>
      <c r="C317" s="31">
        <v>4301135198</v>
      </c>
      <c r="D317" s="346">
        <v>4640242180663</v>
      </c>
      <c r="E317" s="347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534" t="s">
        <v>498</v>
      </c>
      <c r="Q317" s="342"/>
      <c r="R317" s="342"/>
      <c r="S317" s="342"/>
      <c r="T317" s="343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hidden="1" customHeight="1" x14ac:dyDescent="0.25">
      <c r="A318" s="54" t="s">
        <v>500</v>
      </c>
      <c r="B318" s="54" t="s">
        <v>501</v>
      </c>
      <c r="C318" s="31">
        <v>4301135723</v>
      </c>
      <c r="D318" s="346">
        <v>4640242181783</v>
      </c>
      <c r="E318" s="347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91" t="s">
        <v>502</v>
      </c>
      <c r="Q318" s="342"/>
      <c r="R318" s="342"/>
      <c r="S318" s="342"/>
      <c r="T318" s="343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65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66"/>
      <c r="P319" s="353" t="s">
        <v>73</v>
      </c>
      <c r="Q319" s="354"/>
      <c r="R319" s="354"/>
      <c r="S319" s="354"/>
      <c r="T319" s="354"/>
      <c r="U319" s="354"/>
      <c r="V319" s="355"/>
      <c r="W319" s="37" t="s">
        <v>70</v>
      </c>
      <c r="X319" s="336">
        <f>IFERROR(SUM(X298:X318),"0")</f>
        <v>152</v>
      </c>
      <c r="Y319" s="336">
        <f>IFERROR(SUM(Y298:Y318),"0")</f>
        <v>152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1.4964</v>
      </c>
      <c r="AA319" s="337"/>
      <c r="AB319" s="337"/>
      <c r="AC319" s="337"/>
    </row>
    <row r="320" spans="1:68" x14ac:dyDescent="0.2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66"/>
      <c r="P320" s="353" t="s">
        <v>73</v>
      </c>
      <c r="Q320" s="354"/>
      <c r="R320" s="354"/>
      <c r="S320" s="354"/>
      <c r="T320" s="354"/>
      <c r="U320" s="354"/>
      <c r="V320" s="355"/>
      <c r="W320" s="37" t="s">
        <v>74</v>
      </c>
      <c r="X320" s="336">
        <f>IFERROR(SUMPRODUCT(X298:X318*H298:H318),"0")</f>
        <v>544.79999999999995</v>
      </c>
      <c r="Y320" s="336">
        <f>IFERROR(SUMPRODUCT(Y298:Y318*H298:H318),"0")</f>
        <v>544.79999999999995</v>
      </c>
      <c r="Z320" s="37"/>
      <c r="AA320" s="337"/>
      <c r="AB320" s="337"/>
      <c r="AC320" s="337"/>
    </row>
    <row r="321" spans="1:68" ht="16.5" hidden="1" customHeight="1" x14ac:dyDescent="0.25">
      <c r="A321" s="352" t="s">
        <v>504</v>
      </c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29"/>
      <c r="AB321" s="329"/>
      <c r="AC321" s="329"/>
    </row>
    <row r="322" spans="1:68" ht="14.25" hidden="1" customHeight="1" x14ac:dyDescent="0.25">
      <c r="A322" s="350" t="s">
        <v>147</v>
      </c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30"/>
      <c r="AB322" s="330"/>
      <c r="AC322" s="330"/>
    </row>
    <row r="323" spans="1:68" ht="27" hidden="1" customHeight="1" x14ac:dyDescent="0.25">
      <c r="A323" s="54" t="s">
        <v>505</v>
      </c>
      <c r="B323" s="54" t="s">
        <v>506</v>
      </c>
      <c r="C323" s="31">
        <v>4301135268</v>
      </c>
      <c r="D323" s="346">
        <v>4640242181134</v>
      </c>
      <c r="E323" s="347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530" t="s">
        <v>507</v>
      </c>
      <c r="Q323" s="342"/>
      <c r="R323" s="342"/>
      <c r="S323" s="342"/>
      <c r="T323" s="343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hidden="1" x14ac:dyDescent="0.2">
      <c r="A324" s="365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66"/>
      <c r="P324" s="353" t="s">
        <v>73</v>
      </c>
      <c r="Q324" s="354"/>
      <c r="R324" s="354"/>
      <c r="S324" s="354"/>
      <c r="T324" s="354"/>
      <c r="U324" s="354"/>
      <c r="V324" s="355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hidden="1" x14ac:dyDescent="0.2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66"/>
      <c r="P325" s="353" t="s">
        <v>73</v>
      </c>
      <c r="Q325" s="354"/>
      <c r="R325" s="354"/>
      <c r="S325" s="354"/>
      <c r="T325" s="354"/>
      <c r="U325" s="354"/>
      <c r="V325" s="355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84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442"/>
      <c r="P326" s="379" t="s">
        <v>509</v>
      </c>
      <c r="Q326" s="339"/>
      <c r="R326" s="339"/>
      <c r="S326" s="339"/>
      <c r="T326" s="339"/>
      <c r="U326" s="339"/>
      <c r="V326" s="340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12042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12042</v>
      </c>
      <c r="Z326" s="37"/>
      <c r="AA326" s="337"/>
      <c r="AB326" s="337"/>
      <c r="AC326" s="337"/>
    </row>
    <row r="327" spans="1:68" x14ac:dyDescent="0.2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442"/>
      <c r="P327" s="379" t="s">
        <v>510</v>
      </c>
      <c r="Q327" s="339"/>
      <c r="R327" s="339"/>
      <c r="S327" s="339"/>
      <c r="T327" s="339"/>
      <c r="U327" s="339"/>
      <c r="V327" s="340"/>
      <c r="W327" s="37" t="s">
        <v>74</v>
      </c>
      <c r="X327" s="336">
        <f>IFERROR(SUM(BM22:BM323),"0")</f>
        <v>13342.470799999999</v>
      </c>
      <c r="Y327" s="336">
        <f>IFERROR(SUM(BN22:BN323),"0")</f>
        <v>13342.470799999999</v>
      </c>
      <c r="Z327" s="37"/>
      <c r="AA327" s="337"/>
      <c r="AB327" s="337"/>
      <c r="AC327" s="337"/>
    </row>
    <row r="328" spans="1:68" x14ac:dyDescent="0.2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442"/>
      <c r="P328" s="379" t="s">
        <v>511</v>
      </c>
      <c r="Q328" s="339"/>
      <c r="R328" s="339"/>
      <c r="S328" s="339"/>
      <c r="T328" s="339"/>
      <c r="U328" s="339"/>
      <c r="V328" s="340"/>
      <c r="W328" s="37" t="s">
        <v>512</v>
      </c>
      <c r="X328" s="38">
        <f>ROUNDUP(SUM(BO22:BO323),0)</f>
        <v>36</v>
      </c>
      <c r="Y328" s="38">
        <f>ROUNDUP(SUM(BP22:BP323),0)</f>
        <v>36</v>
      </c>
      <c r="Z328" s="37"/>
      <c r="AA328" s="337"/>
      <c r="AB328" s="337"/>
      <c r="AC328" s="337"/>
    </row>
    <row r="329" spans="1:68" x14ac:dyDescent="0.2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442"/>
      <c r="P329" s="379" t="s">
        <v>513</v>
      </c>
      <c r="Q329" s="339"/>
      <c r="R329" s="339"/>
      <c r="S329" s="339"/>
      <c r="T329" s="339"/>
      <c r="U329" s="339"/>
      <c r="V329" s="340"/>
      <c r="W329" s="37" t="s">
        <v>74</v>
      </c>
      <c r="X329" s="336">
        <f>GrossWeightTotal+PalletQtyTotal*25</f>
        <v>14242.470799999999</v>
      </c>
      <c r="Y329" s="336">
        <f>GrossWeightTotalR+PalletQtyTotalR*25</f>
        <v>14242.470799999999</v>
      </c>
      <c r="Z329" s="37"/>
      <c r="AA329" s="337"/>
      <c r="AB329" s="337"/>
      <c r="AC329" s="337"/>
    </row>
    <row r="330" spans="1:68" x14ac:dyDescent="0.2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442"/>
      <c r="P330" s="379" t="s">
        <v>514</v>
      </c>
      <c r="Q330" s="339"/>
      <c r="R330" s="339"/>
      <c r="S330" s="339"/>
      <c r="T330" s="339"/>
      <c r="U330" s="339"/>
      <c r="V330" s="340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2840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2840</v>
      </c>
      <c r="Z330" s="37"/>
      <c r="AA330" s="337"/>
      <c r="AB330" s="337"/>
      <c r="AC330" s="337"/>
    </row>
    <row r="331" spans="1:68" ht="14.25" hidden="1" customHeight="1" x14ac:dyDescent="0.2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442"/>
      <c r="P331" s="379" t="s">
        <v>515</v>
      </c>
      <c r="Q331" s="339"/>
      <c r="R331" s="339"/>
      <c r="S331" s="339"/>
      <c r="T331" s="339"/>
      <c r="U331" s="339"/>
      <c r="V331" s="340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44.799860000000002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31" t="s">
        <v>63</v>
      </c>
      <c r="C333" s="358" t="s">
        <v>75</v>
      </c>
      <c r="D333" s="394"/>
      <c r="E333" s="394"/>
      <c r="F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394"/>
      <c r="R333" s="394"/>
      <c r="S333" s="394"/>
      <c r="T333" s="395"/>
      <c r="U333" s="358" t="s">
        <v>268</v>
      </c>
      <c r="V333" s="395"/>
      <c r="W333" s="331" t="s">
        <v>294</v>
      </c>
      <c r="X333" s="358" t="s">
        <v>313</v>
      </c>
      <c r="Y333" s="394"/>
      <c r="Z333" s="394"/>
      <c r="AA333" s="394"/>
      <c r="AB333" s="394"/>
      <c r="AC333" s="394"/>
      <c r="AD333" s="395"/>
      <c r="AE333" s="331" t="s">
        <v>387</v>
      </c>
      <c r="AF333" s="331" t="s">
        <v>392</v>
      </c>
      <c r="AG333" s="331" t="s">
        <v>399</v>
      </c>
      <c r="AH333" s="358" t="s">
        <v>269</v>
      </c>
      <c r="AI333" s="395"/>
    </row>
    <row r="334" spans="1:68" ht="14.25" customHeight="1" thickTop="1" x14ac:dyDescent="0.2">
      <c r="A334" s="526" t="s">
        <v>518</v>
      </c>
      <c r="B334" s="358" t="s">
        <v>63</v>
      </c>
      <c r="C334" s="358" t="s">
        <v>76</v>
      </c>
      <c r="D334" s="358" t="s">
        <v>93</v>
      </c>
      <c r="E334" s="358" t="s">
        <v>106</v>
      </c>
      <c r="F334" s="358" t="s">
        <v>129</v>
      </c>
      <c r="G334" s="358" t="s">
        <v>158</v>
      </c>
      <c r="H334" s="358" t="s">
        <v>165</v>
      </c>
      <c r="I334" s="358" t="s">
        <v>170</v>
      </c>
      <c r="J334" s="358" t="s">
        <v>179</v>
      </c>
      <c r="K334" s="358" t="s">
        <v>196</v>
      </c>
      <c r="L334" s="358" t="s">
        <v>206</v>
      </c>
      <c r="M334" s="358" t="s">
        <v>229</v>
      </c>
      <c r="N334" s="332"/>
      <c r="O334" s="358" t="s">
        <v>235</v>
      </c>
      <c r="P334" s="358" t="s">
        <v>242</v>
      </c>
      <c r="Q334" s="358" t="s">
        <v>248</v>
      </c>
      <c r="R334" s="358" t="s">
        <v>253</v>
      </c>
      <c r="S334" s="358" t="s">
        <v>256</v>
      </c>
      <c r="T334" s="358" t="s">
        <v>264</v>
      </c>
      <c r="U334" s="358" t="s">
        <v>269</v>
      </c>
      <c r="V334" s="358" t="s">
        <v>273</v>
      </c>
      <c r="W334" s="358" t="s">
        <v>295</v>
      </c>
      <c r="X334" s="358" t="s">
        <v>314</v>
      </c>
      <c r="Y334" s="358" t="s">
        <v>326</v>
      </c>
      <c r="Z334" s="358" t="s">
        <v>336</v>
      </c>
      <c r="AA334" s="358" t="s">
        <v>351</v>
      </c>
      <c r="AB334" s="358" t="s">
        <v>362</v>
      </c>
      <c r="AC334" s="358" t="s">
        <v>377</v>
      </c>
      <c r="AD334" s="358" t="s">
        <v>381</v>
      </c>
      <c r="AE334" s="358" t="s">
        <v>388</v>
      </c>
      <c r="AF334" s="358" t="s">
        <v>393</v>
      </c>
      <c r="AG334" s="358" t="s">
        <v>400</v>
      </c>
      <c r="AH334" s="358" t="s">
        <v>269</v>
      </c>
      <c r="AI334" s="358" t="s">
        <v>504</v>
      </c>
    </row>
    <row r="335" spans="1:68" ht="13.5" customHeight="1" thickBot="1" x14ac:dyDescent="0.25">
      <c r="A335" s="527"/>
      <c r="B335" s="359"/>
      <c r="C335" s="359"/>
      <c r="D335" s="359"/>
      <c r="E335" s="359"/>
      <c r="F335" s="359"/>
      <c r="G335" s="359"/>
      <c r="H335" s="359"/>
      <c r="I335" s="359"/>
      <c r="J335" s="359"/>
      <c r="K335" s="359"/>
      <c r="L335" s="359"/>
      <c r="M335" s="359"/>
      <c r="N335" s="332"/>
      <c r="O335" s="359"/>
      <c r="P335" s="359"/>
      <c r="Q335" s="359"/>
      <c r="R335" s="359"/>
      <c r="S335" s="359"/>
      <c r="T335" s="359"/>
      <c r="U335" s="359"/>
      <c r="V335" s="359"/>
      <c r="W335" s="359"/>
      <c r="X335" s="359"/>
      <c r="Y335" s="359"/>
      <c r="Z335" s="359"/>
      <c r="AA335" s="359"/>
      <c r="AB335" s="359"/>
      <c r="AC335" s="359"/>
      <c r="AD335" s="359"/>
      <c r="AE335" s="359"/>
      <c r="AF335" s="359"/>
      <c r="AG335" s="359"/>
      <c r="AH335" s="359"/>
      <c r="AI335" s="359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105</v>
      </c>
      <c r="D336" s="46">
        <f>IFERROR(X36*H36,"0")+IFERROR(X37*H37,"0")+IFERROR(X38*H38,"0")</f>
        <v>67.199999999999989</v>
      </c>
      <c r="E336" s="46">
        <f>IFERROR(X43*H43,"0")+IFERROR(X44*H44,"0")+IFERROR(X45*H45,"0")+IFERROR(X46*H46,"0")+IFERROR(X47*H47,"0")+IFERROR(X48*H48,"0")+IFERROR(X49*H49,"0")+IFERROR(X50*H50,"0")</f>
        <v>756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828.6</v>
      </c>
      <c r="H336" s="46">
        <f>IFERROR(X84*H84,"0")</f>
        <v>50.4</v>
      </c>
      <c r="I336" s="46">
        <f>IFERROR(X89*H89,"0")+IFERROR(X90*H90,"0")</f>
        <v>151.19999999999999</v>
      </c>
      <c r="J336" s="46">
        <f>IFERROR(X95*H95,"0")+IFERROR(X96*H96,"0")+IFERROR(X97*H97,"0")+IFERROR(X98*H98,"0")+IFERROR(X99*H99,"0")+IFERROR(X100*H100,"0")</f>
        <v>1066.8</v>
      </c>
      <c r="K336" s="46">
        <f>IFERROR(X105*H105,"0")+IFERROR(X106*H106,"0")+IFERROR(X107*H107,"0")</f>
        <v>0</v>
      </c>
      <c r="L336" s="46">
        <f>IFERROR(X112*H112,"0")+IFERROR(X113*H113,"0")+IFERROR(X114*H114,"0")+IFERROR(X115*H115,"0")+IFERROR(X116*H116,"0")+IFERROR(X117*H117,"0")+IFERROR(X118*H118,"0")+IFERROR(X122*H122,"0")</f>
        <v>3028.8</v>
      </c>
      <c r="M336" s="46">
        <f>IFERROR(X127*H127,"0")+IFERROR(X128*H128,"0")</f>
        <v>1302</v>
      </c>
      <c r="N336" s="332"/>
      <c r="O336" s="46">
        <f>IFERROR(X133*H133,"0")+IFERROR(X134*H134,"0")</f>
        <v>714</v>
      </c>
      <c r="P336" s="46">
        <f>IFERROR(X139*H139,"0")+IFERROR(X140*H140,"0")</f>
        <v>504</v>
      </c>
      <c r="Q336" s="46">
        <f>IFERROR(X145*H145,"0")</f>
        <v>42</v>
      </c>
      <c r="R336" s="46">
        <f>IFERROR(X150*H150,"0")</f>
        <v>0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300</v>
      </c>
      <c r="W336" s="46">
        <f>IFERROR(X186*H186,"0")+IFERROR(X187*H187,"0")+IFERROR(X188*H188,"0")+IFERROR(X192*H192,"0")</f>
        <v>1050</v>
      </c>
      <c r="X336" s="46">
        <f>IFERROR(X198*H198,"0")+IFERROR(X199*H199,"0")+IFERROR(X200*H200,"0")+IFERROR(X201*H201,"0")</f>
        <v>33.6</v>
      </c>
      <c r="Y336" s="46">
        <f>IFERROR(X206*H206,"0")+IFERROR(X207*H207,"0")+IFERROR(X208*H208,"0")</f>
        <v>672</v>
      </c>
      <c r="Z336" s="46">
        <f>IFERROR(X213*H213,"0")+IFERROR(X214*H214,"0")+IFERROR(X215*H215,"0")+IFERROR(X216*H216,"0")+IFERROR(X217*H217,"0")+IFERROR(X218*H218,"0")</f>
        <v>0</v>
      </c>
      <c r="AA336" s="46">
        <f>IFERROR(X223*H223,"0")+IFERROR(X224*H224,"0")+IFERROR(X225*H225,"0")+IFERROR(X226*H226,"0")</f>
        <v>345.6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120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904.8</v>
      </c>
      <c r="AI336" s="46">
        <f>IFERROR(X323*H323,"0")</f>
        <v>0</v>
      </c>
    </row>
    <row r="337" spans="1:3" ht="13.5" customHeight="1" thickTop="1" x14ac:dyDescent="0.2">
      <c r="C337" s="332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6118.2000000000007</v>
      </c>
      <c r="B339" s="60">
        <f>SUMPRODUCT(--(BB:BB="ПГП"),--(W:W="кор"),H:H,Y:Y)+SUMPRODUCT(--(BB:BB="ПГП"),--(W:W="кг"),Y:Y)</f>
        <v>5923.7999999999993</v>
      </c>
      <c r="C339" s="60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066,80"/>
        <filter val="1 302,00"/>
        <filter val="105,00"/>
        <filter val="108,00"/>
        <filter val="112,00"/>
        <filter val="12 042,00"/>
        <filter val="12,00"/>
        <filter val="120,00"/>
        <filter val="13 342,47"/>
        <filter val="132,00"/>
        <filter val="14 242,47"/>
        <filter val="14,00"/>
        <filter val="140,00"/>
        <filter val="151,20"/>
        <filter val="152,00"/>
        <filter val="156,00"/>
        <filter val="168,00"/>
        <filter val="174,00"/>
        <filter val="18,00"/>
        <filter val="180,00"/>
        <filter val="182,00"/>
        <filter val="196,00"/>
        <filter val="2 840,00"/>
        <filter val="210,00"/>
        <filter val="238,00"/>
        <filter val="24,00"/>
        <filter val="28,00"/>
        <filter val="294,00"/>
        <filter val="3 028,80"/>
        <filter val="300,00"/>
        <filter val="33,60"/>
        <filter val="345,60"/>
        <filter val="350,00"/>
        <filter val="36"/>
        <filter val="36,00"/>
        <filter val="360,00"/>
        <filter val="42,00"/>
        <filter val="434,00"/>
        <filter val="444,00"/>
        <filter val="48,00"/>
        <filter val="50,40"/>
        <filter val="504,00"/>
        <filter val="544,80"/>
        <filter val="56,00"/>
        <filter val="60,00"/>
        <filter val="67,20"/>
        <filter val="672,00"/>
        <filter val="70,00"/>
        <filter val="714,00"/>
        <filter val="756,00"/>
        <filter val="828,60"/>
        <filter val="84,00"/>
        <filter val="98,00"/>
      </filters>
    </filterColumn>
    <filterColumn colId="29" showButton="0"/>
    <filterColumn colId="30" showButton="0"/>
  </autoFilter>
  <mergeCells count="591"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P210:V210"/>
    <mergeCell ref="A35:Z35"/>
    <mergeCell ref="A62:Z62"/>
    <mergeCell ref="D271:E271"/>
    <mergeCell ref="D207:E207"/>
    <mergeCell ref="P120:V120"/>
    <mergeCell ref="D299:E299"/>
    <mergeCell ref="A230:Z230"/>
    <mergeCell ref="P57:V57"/>
    <mergeCell ref="G17:G18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P174:T174"/>
    <mergeCell ref="D95:E95"/>
    <mergeCell ref="P74:V74"/>
    <mergeCell ref="U17:V17"/>
    <mergeCell ref="Y17:Y18"/>
    <mergeCell ref="D293:E293"/>
    <mergeCell ref="P163:V163"/>
    <mergeCell ref="A153:Z153"/>
    <mergeCell ref="D97:E97"/>
    <mergeCell ref="A268:O269"/>
    <mergeCell ref="P218:T218"/>
    <mergeCell ref="P293:T293"/>
    <mergeCell ref="P301:T301"/>
    <mergeCell ref="W334:W335"/>
    <mergeCell ref="X333:AD333"/>
    <mergeCell ref="A289:O290"/>
    <mergeCell ref="Q6:R6"/>
    <mergeCell ref="P200:T200"/>
    <mergeCell ref="P134:T134"/>
    <mergeCell ref="P292:T292"/>
    <mergeCell ref="A189:O190"/>
    <mergeCell ref="P81:V81"/>
    <mergeCell ref="A204:Z204"/>
    <mergeCell ref="P294:T294"/>
    <mergeCell ref="P219:V219"/>
    <mergeCell ref="P23:V23"/>
    <mergeCell ref="P272:V272"/>
    <mergeCell ref="D133:E133"/>
    <mergeCell ref="A8:C8"/>
    <mergeCell ref="A10:C10"/>
    <mergeCell ref="P69:V69"/>
    <mergeCell ref="A21:Z21"/>
    <mergeCell ref="D242:E242"/>
    <mergeCell ref="P199:T199"/>
    <mergeCell ref="P290:V290"/>
    <mergeCell ref="F17:F18"/>
    <mergeCell ref="D22:E22"/>
    <mergeCell ref="A222:Z222"/>
    <mergeCell ref="P255:V255"/>
    <mergeCell ref="P105:T105"/>
    <mergeCell ref="Q5:R5"/>
    <mergeCell ref="D278:E278"/>
    <mergeCell ref="D107:E107"/>
    <mergeCell ref="P288:T288"/>
    <mergeCell ref="A60:O61"/>
    <mergeCell ref="V11:W11"/>
    <mergeCell ref="P317:T317"/>
    <mergeCell ref="D323:E323"/>
    <mergeCell ref="D223:E223"/>
    <mergeCell ref="D279:E279"/>
    <mergeCell ref="N17:N18"/>
    <mergeCell ref="A9:C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247:T247"/>
    <mergeCell ref="P114:T114"/>
    <mergeCell ref="D84:E84"/>
    <mergeCell ref="D155:E155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A334:A335"/>
    <mergeCell ref="P239:V239"/>
    <mergeCell ref="P68:V68"/>
    <mergeCell ref="A257:Z257"/>
    <mergeCell ref="A191:Z191"/>
    <mergeCell ref="A101:O102"/>
    <mergeCell ref="D105:E105"/>
    <mergeCell ref="A178:Z178"/>
    <mergeCell ref="P72:T72"/>
    <mergeCell ref="D49:E49"/>
    <mergeCell ref="P112:T112"/>
    <mergeCell ref="D294:E294"/>
    <mergeCell ref="P273:V273"/>
    <mergeCell ref="P323:T323"/>
    <mergeCell ref="D231:E231"/>
    <mergeCell ref="P39:V39"/>
    <mergeCell ref="P2:W3"/>
    <mergeCell ref="P133:T133"/>
    <mergeCell ref="P298:T298"/>
    <mergeCell ref="AE334:AE335"/>
    <mergeCell ref="P198:T198"/>
    <mergeCell ref="P127:T127"/>
    <mergeCell ref="A170:Z170"/>
    <mergeCell ref="A23:O24"/>
    <mergeCell ref="D10:E10"/>
    <mergeCell ref="F10:G10"/>
    <mergeCell ref="D305:E305"/>
    <mergeCell ref="A181:O182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F334:AF335"/>
    <mergeCell ref="P188:T188"/>
    <mergeCell ref="D288:E288"/>
    <mergeCell ref="P123:V123"/>
    <mergeCell ref="P59:T59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278:T278"/>
    <mergeCell ref="D150:E150"/>
    <mergeCell ref="P129:V129"/>
    <mergeCell ref="P107:T107"/>
    <mergeCell ref="D215:E215"/>
    <mergeCell ref="P331:V331"/>
    <mergeCell ref="P106:T106"/>
    <mergeCell ref="P226:T226"/>
    <mergeCell ref="D314:E314"/>
    <mergeCell ref="A143:Z143"/>
    <mergeCell ref="P46:T46"/>
    <mergeCell ref="A51:O52"/>
    <mergeCell ref="P48:T48"/>
    <mergeCell ref="P49:T49"/>
    <mergeCell ref="P36:T36"/>
    <mergeCell ref="A255:O256"/>
    <mergeCell ref="P250:V250"/>
    <mergeCell ref="A246:Z246"/>
    <mergeCell ref="P194:V194"/>
    <mergeCell ref="A168:O169"/>
    <mergeCell ref="P228:V228"/>
    <mergeCell ref="A53:Z53"/>
    <mergeCell ref="P186:T186"/>
    <mergeCell ref="M17:M18"/>
    <mergeCell ref="O17:O18"/>
    <mergeCell ref="P52:V52"/>
    <mergeCell ref="AA17:AA18"/>
    <mergeCell ref="H10:M10"/>
    <mergeCell ref="AC17:AC18"/>
    <mergeCell ref="P101:V101"/>
    <mergeCell ref="P279:T279"/>
    <mergeCell ref="D89:E89"/>
    <mergeCell ref="P209:V209"/>
    <mergeCell ref="P254:T254"/>
    <mergeCell ref="P147:V147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54:Z54"/>
    <mergeCell ref="AB17:AB18"/>
    <mergeCell ref="A212:Z212"/>
    <mergeCell ref="A41:Z41"/>
    <mergeCell ref="AD334:AD335"/>
    <mergeCell ref="P161:T161"/>
    <mergeCell ref="P217:T217"/>
    <mergeCell ref="P90:T90"/>
    <mergeCell ref="D198:E198"/>
    <mergeCell ref="X334:X335"/>
    <mergeCell ref="A252:Z252"/>
    <mergeCell ref="A157:O158"/>
    <mergeCell ref="A284:O285"/>
    <mergeCell ref="D206:E206"/>
    <mergeCell ref="D298:E298"/>
    <mergeCell ref="P156:T156"/>
    <mergeCell ref="A160:Z160"/>
    <mergeCell ref="C334:C335"/>
    <mergeCell ref="P318:T318"/>
    <mergeCell ref="U334:U335"/>
    <mergeCell ref="P314:T314"/>
    <mergeCell ref="B334:B335"/>
    <mergeCell ref="P329:V329"/>
    <mergeCell ref="A154:Z154"/>
    <mergeCell ref="D334:D335"/>
    <mergeCell ref="D317:E317"/>
    <mergeCell ref="P225:T225"/>
    <mergeCell ref="P158:V158"/>
    <mergeCell ref="AH333:AI333"/>
    <mergeCell ref="A94:Z94"/>
    <mergeCell ref="P244:V244"/>
    <mergeCell ref="A196:Z196"/>
    <mergeCell ref="P115:T115"/>
    <mergeCell ref="D254:E254"/>
    <mergeCell ref="P304:T304"/>
    <mergeCell ref="P319:V319"/>
    <mergeCell ref="P310:T310"/>
    <mergeCell ref="D304:E304"/>
    <mergeCell ref="D309:E309"/>
    <mergeCell ref="A326:O331"/>
    <mergeCell ref="A324:O325"/>
    <mergeCell ref="D311:E311"/>
    <mergeCell ref="P330:V330"/>
    <mergeCell ref="P325:V325"/>
    <mergeCell ref="D260:E260"/>
    <mergeCell ref="P263:V263"/>
    <mergeCell ref="A259:Z259"/>
    <mergeCell ref="A126:Z126"/>
    <mergeCell ref="A253:Z253"/>
    <mergeCell ref="A15:M15"/>
    <mergeCell ref="A232:O233"/>
    <mergeCell ref="A183:Z183"/>
    <mergeCell ref="D48:E48"/>
    <mergeCell ref="A264:Z264"/>
    <mergeCell ref="P179:T179"/>
    <mergeCell ref="D283:E283"/>
    <mergeCell ref="D112:E112"/>
    <mergeCell ref="P206:T206"/>
    <mergeCell ref="D127:E127"/>
    <mergeCell ref="P37:T37"/>
    <mergeCell ref="A56:O57"/>
    <mergeCell ref="D114:E114"/>
    <mergeCell ref="P220:V220"/>
    <mergeCell ref="P248:T248"/>
    <mergeCell ref="A129:O130"/>
    <mergeCell ref="P235:T235"/>
    <mergeCell ref="P118:T118"/>
    <mergeCell ref="P167:T167"/>
    <mergeCell ref="P117:T117"/>
    <mergeCell ref="D115:E115"/>
    <mergeCell ref="P55:T55"/>
    <mergeCell ref="P102:V102"/>
    <mergeCell ref="A162:O163"/>
    <mergeCell ref="P334:P335"/>
    <mergeCell ref="D188:E188"/>
    <mergeCell ref="P224:T224"/>
    <mergeCell ref="A141:O142"/>
    <mergeCell ref="P89:T89"/>
    <mergeCell ref="P260:T260"/>
    <mergeCell ref="D59:E59"/>
    <mergeCell ref="P309:T309"/>
    <mergeCell ref="D172:E172"/>
    <mergeCell ref="P227:V227"/>
    <mergeCell ref="A138:Z138"/>
    <mergeCell ref="P202:V202"/>
    <mergeCell ref="V334:V335"/>
    <mergeCell ref="P306:T306"/>
    <mergeCell ref="P86:V86"/>
    <mergeCell ref="P328:V328"/>
    <mergeCell ref="P157:V157"/>
    <mergeCell ref="A274:Z274"/>
    <mergeCell ref="P249:V249"/>
    <mergeCell ref="P207:T207"/>
    <mergeCell ref="P299:T299"/>
    <mergeCell ref="P326:V326"/>
    <mergeCell ref="A211:Z211"/>
    <mergeCell ref="P152:V152"/>
    <mergeCell ref="Q10:R10"/>
    <mergeCell ref="D277:E277"/>
    <mergeCell ref="P256:V256"/>
    <mergeCell ref="P85:V85"/>
    <mergeCell ref="A137:Z137"/>
    <mergeCell ref="P60:V60"/>
    <mergeCell ref="D43:E43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A275:Z275"/>
    <mergeCell ref="D140:E140"/>
    <mergeCell ref="D267:E267"/>
    <mergeCell ref="P96:T96"/>
    <mergeCell ref="H17:H18"/>
    <mergeCell ref="P261:T261"/>
    <mergeCell ref="A66:Z66"/>
    <mergeCell ref="A19:Z19"/>
    <mergeCell ref="A14:M14"/>
    <mergeCell ref="A111:Z111"/>
    <mergeCell ref="A280:O281"/>
    <mergeCell ref="T5:U5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56:V56"/>
    <mergeCell ref="A80:O81"/>
    <mergeCell ref="V6:W9"/>
    <mergeCell ref="H5:M5"/>
    <mergeCell ref="A27:Z27"/>
    <mergeCell ref="P98:T98"/>
    <mergeCell ref="D6:M6"/>
    <mergeCell ref="P175:T175"/>
    <mergeCell ref="A6:C6"/>
    <mergeCell ref="D113:E113"/>
    <mergeCell ref="P180:T180"/>
    <mergeCell ref="AH334:AH335"/>
    <mergeCell ref="D118:E118"/>
    <mergeCell ref="D9:E9"/>
    <mergeCell ref="F9:G9"/>
    <mergeCell ref="D167:E167"/>
    <mergeCell ref="D161:E161"/>
    <mergeCell ref="A272:O273"/>
    <mergeCell ref="P238:V238"/>
    <mergeCell ref="D38:E38"/>
    <mergeCell ref="A262:O263"/>
    <mergeCell ref="P303:T303"/>
    <mergeCell ref="A265:Z265"/>
    <mergeCell ref="A121:Z121"/>
    <mergeCell ref="A249:O250"/>
    <mergeCell ref="P75:V75"/>
    <mergeCell ref="P146:V146"/>
    <mergeCell ref="O334:O335"/>
    <mergeCell ref="D63:E63"/>
    <mergeCell ref="P181:V181"/>
    <mergeCell ref="P305:T305"/>
    <mergeCell ref="D96:E96"/>
    <mergeCell ref="P208:T208"/>
    <mergeCell ref="P15:T16"/>
    <mergeCell ref="D116:E116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P300:T300"/>
    <mergeCell ref="K17:K18"/>
    <mergeCell ref="C17:C18"/>
    <mergeCell ref="Y334:Y335"/>
    <mergeCell ref="D37:E37"/>
    <mergeCell ref="D180:E180"/>
    <mergeCell ref="A164:Z164"/>
    <mergeCell ref="D156:E156"/>
    <mergeCell ref="P308:T308"/>
    <mergeCell ref="D106:E106"/>
    <mergeCell ref="A146:O147"/>
    <mergeCell ref="P283:T283"/>
    <mergeCell ref="P277:T277"/>
    <mergeCell ref="A195:Z195"/>
    <mergeCell ref="Q12:R12"/>
    <mergeCell ref="D261:E261"/>
    <mergeCell ref="D90:E90"/>
    <mergeCell ref="A251:Z251"/>
    <mergeCell ref="A322:Z322"/>
    <mergeCell ref="P122:T122"/>
    <mergeCell ref="A42:Z42"/>
    <mergeCell ref="P43:T43"/>
    <mergeCell ref="P65:V65"/>
    <mergeCell ref="P136:V136"/>
    <mergeCell ref="A135:O136"/>
    <mergeCell ref="A149:Z149"/>
    <mergeCell ref="A193:O194"/>
    <mergeCell ref="W17:W18"/>
    <mergeCell ref="A321:Z321"/>
    <mergeCell ref="A144:Z144"/>
    <mergeCell ref="D78:E78"/>
    <mergeCell ref="P213:T213"/>
    <mergeCell ref="D134:E134"/>
    <mergeCell ref="P145:T145"/>
    <mergeCell ref="P232:V232"/>
    <mergeCell ref="D47:E47"/>
    <mergeCell ref="P116:T116"/>
    <mergeCell ref="D122:E122"/>
    <mergeCell ref="AB334:AB335"/>
    <mergeCell ref="A171:Z171"/>
    <mergeCell ref="A165:Z165"/>
    <mergeCell ref="P192:T192"/>
    <mergeCell ref="D100:E100"/>
    <mergeCell ref="P113:T113"/>
    <mergeCell ref="A229:Z229"/>
    <mergeCell ref="P17:T18"/>
    <mergeCell ref="A77:Z77"/>
    <mergeCell ref="A148:Z148"/>
    <mergeCell ref="P63:T63"/>
    <mergeCell ref="P50:T50"/>
    <mergeCell ref="A166:Z166"/>
    <mergeCell ref="D31:E31"/>
    <mergeCell ref="P187:T187"/>
    <mergeCell ref="P223:T223"/>
    <mergeCell ref="I17:I18"/>
    <mergeCell ref="A319:O320"/>
    <mergeCell ref="D306:E306"/>
    <mergeCell ref="P176:V176"/>
    <mergeCell ref="A119:O120"/>
    <mergeCell ref="P287:T287"/>
    <mergeCell ref="G334:G335"/>
    <mergeCell ref="P203:V203"/>
    <mergeCell ref="E334:E335"/>
    <mergeCell ref="D224:E224"/>
    <mergeCell ref="A26:Z26"/>
    <mergeCell ref="A227:O228"/>
    <mergeCell ref="P97:T97"/>
    <mergeCell ref="P130:V130"/>
    <mergeCell ref="P190:V190"/>
    <mergeCell ref="D1:F1"/>
    <mergeCell ref="P47:T47"/>
    <mergeCell ref="A234:Z234"/>
    <mergeCell ref="J17:J18"/>
    <mergeCell ref="A91:O92"/>
    <mergeCell ref="P61:V61"/>
    <mergeCell ref="A85:O86"/>
    <mergeCell ref="L17:L18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H1:Q1"/>
    <mergeCell ref="P280:V280"/>
    <mergeCell ref="P109:V109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P242:T242"/>
    <mergeCell ref="D30:E30"/>
    <mergeCell ref="D67:E67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D300:E300"/>
    <mergeCell ref="P44:T44"/>
    <mergeCell ref="P237:T237"/>
    <mergeCell ref="P108:V108"/>
    <mergeCell ref="P31:T31"/>
    <mergeCell ref="A291:Z291"/>
    <mergeCell ref="D139:E139"/>
    <mergeCell ref="R334:R335"/>
    <mergeCell ref="A241:Z241"/>
    <mergeCell ref="A70:Z70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316:E316"/>
    <mergeCell ref="D7:M7"/>
    <mergeCell ref="P91:V91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271:T271"/>
    <mergeCell ref="P100:T100"/>
    <mergeCell ref="D145:E145"/>
    <mergeCell ref="A123:O124"/>
    <mergeCell ref="D308:E308"/>
    <mergeCell ref="A282:Z282"/>
    <mergeCell ref="D301:E301"/>
    <mergeCell ref="H9:I9"/>
    <mergeCell ref="D45:E45"/>
    <mergeCell ref="P24:V24"/>
    <mergeCell ref="P155:T155"/>
    <mergeCell ref="P324:V324"/>
    <mergeCell ref="A205:Z205"/>
    <mergeCell ref="D312:E312"/>
    <mergeCell ref="S334:S335"/>
    <mergeCell ref="P172:T172"/>
    <mergeCell ref="R1:T1"/>
    <mergeCell ref="P150:T150"/>
    <mergeCell ref="D71:E71"/>
    <mergeCell ref="P28:T28"/>
    <mergeCell ref="A74:O75"/>
    <mergeCell ref="D307:E307"/>
    <mergeCell ref="P215:T215"/>
    <mergeCell ref="D98:E98"/>
    <mergeCell ref="D73:E73"/>
    <mergeCell ref="P30:T30"/>
    <mergeCell ref="P141:V141"/>
    <mergeCell ref="A258:Z258"/>
    <mergeCell ref="P233:V233"/>
    <mergeCell ref="A58:Z58"/>
    <mergeCell ref="P168:V168"/>
    <mergeCell ref="B17:B18"/>
    <mergeCell ref="A266:Z266"/>
    <mergeCell ref="A197:Z197"/>
    <mergeCell ref="V10:W10"/>
    <mergeCell ref="P99:T99"/>
    <mergeCell ref="D287:E287"/>
    <mergeCell ref="P316:T316"/>
    <mergeCell ref="A12:M12"/>
    <mergeCell ref="P79:T79"/>
    <mergeCell ref="P73:T73"/>
    <mergeCell ref="P315:T315"/>
    <mergeCell ref="D187:E187"/>
    <mergeCell ref="P231:T231"/>
    <mergeCell ref="P302:T302"/>
    <mergeCell ref="D174:E174"/>
    <mergeCell ref="A83:Z83"/>
    <mergeCell ref="A34:Z34"/>
    <mergeCell ref="A276:Z276"/>
    <mergeCell ref="A270:Z270"/>
    <mergeCell ref="A240:Z240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 X97 X99 X106:X107 X112 X122 X134 X145 X150 X155:X156 X161 X172 X175 X179:X180 X186:X188 X192 X201 X207 X213 X215:X217 X223 X225:X226 X231 X235:X237 X242 X247 X254 X267 X271 X298 X301:X302 X304 X306 X312 X314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0 X95 X100 X105 X113 X116 X118 X133 X139 X167 X173:X174 X198:X200 X208 X214 X218 X224 X248 X261 X277:X279 X283 X288 X292 X294 X299:X300 X303 X305 X307:X311 X313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6 X98 X114:X115 X117 X127:X128 X140 X206 X260 X287 X293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