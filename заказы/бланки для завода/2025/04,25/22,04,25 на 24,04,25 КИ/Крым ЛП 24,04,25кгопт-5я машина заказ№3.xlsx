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B3B6C1-B277-4DF1-A26A-EFB9D78CE1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N174" i="1"/>
  <c r="BM174" i="1"/>
  <c r="Z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P148" i="1" s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205" i="1" l="1"/>
  <c r="BN205" i="1"/>
  <c r="Z205" i="1"/>
  <c r="BP234" i="1"/>
  <c r="BN234" i="1"/>
  <c r="Z234" i="1"/>
  <c r="BP272" i="1"/>
  <c r="BN272" i="1"/>
  <c r="Z272" i="1"/>
  <c r="BP329" i="1"/>
  <c r="BN329" i="1"/>
  <c r="Z329" i="1"/>
  <c r="BP368" i="1"/>
  <c r="BN368" i="1"/>
  <c r="Z368" i="1"/>
  <c r="BP406" i="1"/>
  <c r="BN406" i="1"/>
  <c r="Z406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511" i="1"/>
  <c r="BN511" i="1"/>
  <c r="Z511" i="1"/>
  <c r="BP515" i="1"/>
  <c r="BN515" i="1"/>
  <c r="Z515" i="1"/>
  <c r="X593" i="1"/>
  <c r="Z23" i="1"/>
  <c r="BN23" i="1"/>
  <c r="Z24" i="1"/>
  <c r="BN24" i="1"/>
  <c r="Z25" i="1"/>
  <c r="BN25" i="1"/>
  <c r="Z50" i="1"/>
  <c r="BN50" i="1"/>
  <c r="Z60" i="1"/>
  <c r="BN60" i="1"/>
  <c r="Z76" i="1"/>
  <c r="BN76" i="1"/>
  <c r="Z89" i="1"/>
  <c r="BN89" i="1"/>
  <c r="Y103" i="1"/>
  <c r="Z106" i="1"/>
  <c r="BN106" i="1"/>
  <c r="Z131" i="1"/>
  <c r="BN131" i="1"/>
  <c r="G602" i="1"/>
  <c r="Z153" i="1"/>
  <c r="Z154" i="1" s="1"/>
  <c r="BN153" i="1"/>
  <c r="BP153" i="1"/>
  <c r="Z157" i="1"/>
  <c r="BN157" i="1"/>
  <c r="BP217" i="1"/>
  <c r="BN217" i="1"/>
  <c r="Z217" i="1"/>
  <c r="BP256" i="1"/>
  <c r="BN256" i="1"/>
  <c r="Z256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BP339" i="1"/>
  <c r="BN339" i="1"/>
  <c r="Z339" i="1"/>
  <c r="BP382" i="1"/>
  <c r="BN382" i="1"/>
  <c r="Z382" i="1"/>
  <c r="BP419" i="1"/>
  <c r="BN419" i="1"/>
  <c r="Z419" i="1"/>
  <c r="BP435" i="1"/>
  <c r="BN435" i="1"/>
  <c r="Z435" i="1"/>
  <c r="BP481" i="1"/>
  <c r="BN481" i="1"/>
  <c r="Z481" i="1"/>
  <c r="BP512" i="1"/>
  <c r="BN512" i="1"/>
  <c r="Z512" i="1"/>
  <c r="BP516" i="1"/>
  <c r="BN516" i="1"/>
  <c r="Z516" i="1"/>
  <c r="BP323" i="1"/>
  <c r="BN323" i="1"/>
  <c r="Z323" i="1"/>
  <c r="BP337" i="1"/>
  <c r="BN337" i="1"/>
  <c r="Z337" i="1"/>
  <c r="BP357" i="1"/>
  <c r="BN357" i="1"/>
  <c r="Z357" i="1"/>
  <c r="BP380" i="1"/>
  <c r="BN380" i="1"/>
  <c r="Z380" i="1"/>
  <c r="BP404" i="1"/>
  <c r="BN404" i="1"/>
  <c r="Z404" i="1"/>
  <c r="BP417" i="1"/>
  <c r="BN417" i="1"/>
  <c r="Z417" i="1"/>
  <c r="BP440" i="1"/>
  <c r="BN440" i="1"/>
  <c r="Z440" i="1"/>
  <c r="Y461" i="1"/>
  <c r="BP456" i="1"/>
  <c r="BN456" i="1"/>
  <c r="Z456" i="1"/>
  <c r="BP488" i="1"/>
  <c r="BN488" i="1"/>
  <c r="Z488" i="1"/>
  <c r="Y504" i="1"/>
  <c r="Y503" i="1"/>
  <c r="BP499" i="1"/>
  <c r="BN499" i="1"/>
  <c r="Z499" i="1"/>
  <c r="BP501" i="1"/>
  <c r="BN501" i="1"/>
  <c r="Z501" i="1"/>
  <c r="B602" i="1"/>
  <c r="X594" i="1"/>
  <c r="Z27" i="1"/>
  <c r="BN27" i="1"/>
  <c r="X592" i="1"/>
  <c r="Z39" i="1"/>
  <c r="BN39" i="1"/>
  <c r="D602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Z93" i="1"/>
  <c r="BN93" i="1"/>
  <c r="BP93" i="1"/>
  <c r="Z101" i="1"/>
  <c r="BN101" i="1"/>
  <c r="Z108" i="1"/>
  <c r="BN108" i="1"/>
  <c r="Y116" i="1"/>
  <c r="Z127" i="1"/>
  <c r="BN127" i="1"/>
  <c r="Y133" i="1"/>
  <c r="Z138" i="1"/>
  <c r="BN138" i="1"/>
  <c r="Y144" i="1"/>
  <c r="Z148" i="1"/>
  <c r="BN148" i="1"/>
  <c r="Y161" i="1"/>
  <c r="Z159" i="1"/>
  <c r="BN159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BP319" i="1"/>
  <c r="BN319" i="1"/>
  <c r="Z319" i="1"/>
  <c r="BP331" i="1"/>
  <c r="BN331" i="1"/>
  <c r="Z331" i="1"/>
  <c r="Y347" i="1"/>
  <c r="BP343" i="1"/>
  <c r="BN343" i="1"/>
  <c r="Z343" i="1"/>
  <c r="BP376" i="1"/>
  <c r="BN376" i="1"/>
  <c r="Z376" i="1"/>
  <c r="BP384" i="1"/>
  <c r="BN384" i="1"/>
  <c r="Z384" i="1"/>
  <c r="BP412" i="1"/>
  <c r="BN412" i="1"/>
  <c r="Z412" i="1"/>
  <c r="BP416" i="1"/>
  <c r="BN416" i="1"/>
  <c r="Z416" i="1"/>
  <c r="BP437" i="1"/>
  <c r="BN437" i="1"/>
  <c r="Z437" i="1"/>
  <c r="Y453" i="1"/>
  <c r="BP451" i="1"/>
  <c r="BN451" i="1"/>
  <c r="Z451" i="1"/>
  <c r="BP459" i="1"/>
  <c r="BN459" i="1"/>
  <c r="Z459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22" i="1"/>
  <c r="BN522" i="1"/>
  <c r="Z522" i="1"/>
  <c r="Y310" i="1"/>
  <c r="Y341" i="1"/>
  <c r="Y390" i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38" i="1"/>
  <c r="BN338" i="1"/>
  <c r="Z338" i="1"/>
  <c r="BP405" i="1"/>
  <c r="BN405" i="1"/>
  <c r="Z405" i="1"/>
  <c r="BP418" i="1"/>
  <c r="BN418" i="1"/>
  <c r="Z418" i="1"/>
  <c r="Y422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Y447" i="1"/>
  <c r="I602" i="1"/>
  <c r="F9" i="1"/>
  <c r="J9" i="1"/>
  <c r="Z22" i="1"/>
  <c r="BN22" i="1"/>
  <c r="BP22" i="1"/>
  <c r="Z26" i="1"/>
  <c r="BN26" i="1"/>
  <c r="X596" i="1"/>
  <c r="Y29" i="1"/>
  <c r="C602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2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BN132" i="1"/>
  <c r="Z137" i="1"/>
  <c r="BN137" i="1"/>
  <c r="BP137" i="1"/>
  <c r="Y140" i="1"/>
  <c r="Z143" i="1"/>
  <c r="Z144" i="1" s="1"/>
  <c r="BN143" i="1"/>
  <c r="Z147" i="1"/>
  <c r="Z149" i="1" s="1"/>
  <c r="BN147" i="1"/>
  <c r="BP147" i="1"/>
  <c r="H602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Y311" i="1"/>
  <c r="T602" i="1"/>
  <c r="Y316" i="1"/>
  <c r="Y315" i="1"/>
  <c r="BP314" i="1"/>
  <c r="BN314" i="1"/>
  <c r="Z314" i="1"/>
  <c r="Z315" i="1" s="1"/>
  <c r="BP322" i="1"/>
  <c r="BN322" i="1"/>
  <c r="Z322" i="1"/>
  <c r="BP330" i="1"/>
  <c r="BN330" i="1"/>
  <c r="Z330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Y360" i="1"/>
  <c r="BP369" i="1"/>
  <c r="BN369" i="1"/>
  <c r="Z369" i="1"/>
  <c r="Y371" i="1"/>
  <c r="W602" i="1"/>
  <c r="Y386" i="1"/>
  <c r="BP375" i="1"/>
  <c r="BN375" i="1"/>
  <c r="Z375" i="1"/>
  <c r="Y385" i="1"/>
  <c r="BP379" i="1"/>
  <c r="BN379" i="1"/>
  <c r="Z379" i="1"/>
  <c r="BP383" i="1"/>
  <c r="BN383" i="1"/>
  <c r="Z383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110" i="1" l="1"/>
  <c r="Z408" i="1"/>
  <c r="Z370" i="1"/>
  <c r="Z346" i="1"/>
  <c r="Z340" i="1"/>
  <c r="Z310" i="1"/>
  <c r="Z133" i="1"/>
  <c r="X595" i="1"/>
  <c r="Z161" i="1"/>
  <c r="Z238" i="1"/>
  <c r="Z183" i="1"/>
  <c r="Z503" i="1"/>
  <c r="Z460" i="1"/>
  <c r="Z332" i="1"/>
  <c r="Z325" i="1"/>
  <c r="Z353" i="1"/>
  <c r="Z243" i="1"/>
  <c r="Z193" i="1"/>
  <c r="Z139" i="1"/>
  <c r="Z116" i="1"/>
  <c r="Z102" i="1"/>
  <c r="Z83" i="1"/>
  <c r="Z68" i="1"/>
  <c r="Z62" i="1"/>
  <c r="Z55" i="1"/>
  <c r="Z41" i="1"/>
  <c r="Z28" i="1"/>
  <c r="Z421" i="1"/>
  <c r="Z209" i="1"/>
  <c r="Z548" i="1"/>
  <c r="Z518" i="1"/>
  <c r="Z385" i="1"/>
  <c r="Z359" i="1"/>
  <c r="Y592" i="1"/>
  <c r="Y594" i="1"/>
  <c r="Y596" i="1"/>
  <c r="Z566" i="1"/>
  <c r="Z524" i="1"/>
  <c r="Z529" i="1"/>
  <c r="Z496" i="1"/>
  <c r="Z442" i="1"/>
  <c r="Z261" i="1"/>
  <c r="Z221" i="1"/>
  <c r="Z128" i="1"/>
  <c r="Z77" i="1"/>
  <c r="Y593" i="1"/>
  <c r="Y595" i="1" s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<sst xmlns="http://schemas.openxmlformats.org/spreadsheetml/2006/main" count="2738" uniqueCount="970">
  <si>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</si>
  <si>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</si>
  <si>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</si>
  <si>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</si>
  <si>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</si>
  <si>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</si>
  <si>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</si>
  <si>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</si>
  <si>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</si>
  <si>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</si>
  <si>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</si>
  <si>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</si>
  <si>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</si>
  <si>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</si>
  <si>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</si>
  <si>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</si>
  <si>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</si>
  <si>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</si>
  <si>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</si>
  <si>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</si>
  <si>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</si>
  <si>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</si>
  <si>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</si>
  <si>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</si>
  <si>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</si>
  <si>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</si>
  <si>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</si>
  <si>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</si>
  <si>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</si>
  <si>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</si>
  <si>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</si>
  <si>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</si>
  <si>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</si>
  <si>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</si>
  <si>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</si>
  <si>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</si>
  <si>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</si>
  <si>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</si>
  <si>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</si>
  <si>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</si>
  <si>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</si>
  <si>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</si>
  <si>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</si>
  <si>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</si>
  <si>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</si>
  <si>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</si>
  <si>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</si>
  <si>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</si>
  <si>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</si>
  <si>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</si>
  <si>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</si>
  <si>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</si>
  <si>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</si>
  <si>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</si>
  <si>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</si>
  <si>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</si>
  <si>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</si>
  <si>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</si>
  <si>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</si>
  <si>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</si>
  <si>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</si>
  <si>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</si>
  <si>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</si>
  <si>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</si>
  <si>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</si>
  <si>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</si>
  <si>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</si>
  <si>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</si>
  <si>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</si>
  <si>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</si>
  <si>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</si>
  <si>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</si>
  <si>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</si>
  <si>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</si>
  <si>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</si>
  <si>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</si>
  <si>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</si>
  <si>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</si>
  <si>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</si>
  <si>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</si>
  <si>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</si>
  <si>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</si>
  <si>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</si>
  <si>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</si>
  <si>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</si>
  <si>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</si>
  <si>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</si>
  <si>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</si>
  <si>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</si>
  <si>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</si>
  <si>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</si>
  <si>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</si>
  <si>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</si>
  <si>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</si>
  <si>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</si>
  <si>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</si>
  <si>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</si>
  <si>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</si>
  <si>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</si>
  <si>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</si>
  <si>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</si>
  <si>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</si>
  <si>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</si>
  <si>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</si>
  <si>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</si>
  <si>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</si>
  <si>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</si>
  <si>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</si>
  <si>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</si>
  <si>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</si>
  <si>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</si>
  <si>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</si>
  <si>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</si>
  <si>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</si>
  <si>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</si>
  <si>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</si>
  <si>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</si>
  <si>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</si>
  <si>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</si>
  <si>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</si>
  <si>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</si>
  <si>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</si>
  <si>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</si>
  <si>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</si>
  <si>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</si>
  <si>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</si>
  <si>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</si>
  <si>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</si>
  <si>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</si>
  <si>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</si>
  <si>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</si>
  <si>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</si>
  <si>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</si>
  <si>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</si>
  <si>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</si>
  <si>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</si>
  <si>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</si>
  <si>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</si>
  <si>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</si>
  <si>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</si>
  <si>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</si>
  <si>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</si>
  <si>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</si>
  <si>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</si>
  <si>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</si>
  <si>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</si>
  <si>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</si>
  <si>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</si>
  <si>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</si>
  <si>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</si>
  <si>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</si>
  <si>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</si>
  <si>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</si>
  <si>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</si>
  <si>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</si>
  <si>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</si>
  <si>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</si>
  <si>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</si>
  <si>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</si>
  <si>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</si>
  <si>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</si>
  <si>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</si>
  <si>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</si>
  <si>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</si>
  <si>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</si>
  <si>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</si>
  <si>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</si>
  <si>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</si>
  <si>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</si>
  <si>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</si>
  <si>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</si>
  <si>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</si>
  <si>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</si>
  <si>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</si>
  <si>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</si>
  <si>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</si>
  <si>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</si>
  <si>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</si>
  <si>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</si>
  <si>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</si>
  <si>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</si>
  <si>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</si>
  <si>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</si>
  <si>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</si>
  <si>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</si>
  <si>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</si>
  <si>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</si>
  <si>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</si>
  <si>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</si>
  <si>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</si>
  <si>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</si>
  <si>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</si>
  <si>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</si>
  <si>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</si>
  <si>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</si>
  <si>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</si>
  <si>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</si>
  <si>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</si>
  <si>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</si>
  <si>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</si>
  <si>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</si>
  <si>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</si>
  <si>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</si>
  <si>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</si>
  <si>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</si>
  <si>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</si>
  <si>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</si>
  <si>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</si>
  <si>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</si>
  <si>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</si>
  <si>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</si>
  <si>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</si>
  <si>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</si>
  <si>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</si>
  <si>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</si>
  <si>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</si>
  <si>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</si>
  <si>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</si>
  <si>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</si>
  <si>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</si>
  <si>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</si>
  <si>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</si>
  <si>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</si>
  <si>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</si>
  <si>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</si>
  <si>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</si>
  <si>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</si>
  <si>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</si>
  <si>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</si>
  <si>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</si>
  <si>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</si>
  <si>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</si>
  <si>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</si>
  <si>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</si>
  <si>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</si>
  <si>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</si>
  <si>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</si>
  <si>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</si>
  <si>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</si>
  <si>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</si>
  <si>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</si>
  <si>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</si>
  <si>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</si>
  <si>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</si>
  <si>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</si>
  <si>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</si>
  <si>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</si>
  <si>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</si>
  <si>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</si>
  <si>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</si>
  <si>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</si>
  <si>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</si>
  <si>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</si>
  <si>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</si>
  <si>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</si>
  <si>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</si>
  <si>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</si>
  <si>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</si>
  <si>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</si>
  <si>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</si>
  <si>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</si>
  <si>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</si>
  <si>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</si>
  <si>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</si>
  <si>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</si>
  <si>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</si>
  <si>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</si>
  <si>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</si>
  <si>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</si>
  <si>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</si>
  <si>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</si>
  <si>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</si>
  <si>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</si>
  <si>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</si>
  <si>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</si>
  <si>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</si>
  <si>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</si>
  <si>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</si>
  <si>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</si>
  <si>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</si>
  <si>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</si>
  <si>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</si>
  <si>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</si>
  <si>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</si>
  <si>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</si>
  <si>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</si>
  <si>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</si>
  <si>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</si>
  <si>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</si>
  <si>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</si>
  <si>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</si>
  <si>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</si>
  <si>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</si>
  <si>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</si>
  <si>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</si>
  <si>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</si>
  <si>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</si>
  <si>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</si>
  <si>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</si>
  <si>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</si>
  <si>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</si>
  <si>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</si>
  <si>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</si>
  <si>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</si>
  <si>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</si>
  <si>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</si>
  <si>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</si>
  <si>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</si>
  <si>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</si>
  <si>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</si>
  <si>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</si>
  <si>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</si>
  <si>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</si>
  <si>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</si>
  <si>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</si>
  <si>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</si>
  <si>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</si>
  <si>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</si>
  <si>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</si>
  <si>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</si>
  <si>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</si>
  <si>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</si>
  <si>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</si>
  <si>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</si>
  <si>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</si>
  <si>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</si>
  <si>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</si>
  <si>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</si>
  <si>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</si>
  <si>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</si>
  <si>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</si>
  <si>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</si>
  <si>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</si>
  <si>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</si>
  <si>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</si>
  <si>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</si>
  <si>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</si>
  <si>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</si>
  <si>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</si>
  <si>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</si>
  <si>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</si>
  <si>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</si>
  <si>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</si>
  <si>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</si>
  <si>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</si>
  <si>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</si>
  <si>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</si>
  <si>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</si>
  <si>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</si>
  <si>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</si>
  <si>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</si>
  <si>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</si>
  <si>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</si>
  <si>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</si>
  <si>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</si>
  <si>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</si>
  <si>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</si>
  <si>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</si>
  <si>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</si>
  <si>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</si>
  <si>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</si>
  <si>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</si>
  <si>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</si>
  <si>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</si>
  <si>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</si>
  <si>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</si>
  <si>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</si>
  <si>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</si>
  <si>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</si>
  <si>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</si>
  <si>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</si>
  <si>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</si>
  <si>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</si>
  <si>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</si>
  <si>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</si>
  <si>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</si>
  <si>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</si>
  <si>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</si>
  <si>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</si>
  <si>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</si>
  <si>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</si>
  <si>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</si>
  <si>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</si>
  <si>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</si>
  <si>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</si>
  <si>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</si>
  <si>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</si>
  <si>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</si>
  <si>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</si>
  <si>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</si>
  <si>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</si>
  <si>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</si>
  <si>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</si>
  <si>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</si>
  <si>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</si>
  <si>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</si>
  <si>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</si>
  <si>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</si>
  <si>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</si>
  <si>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</si>
  <si>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</si>
  <si>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</si>
  <si>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</si>
  <si>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</si>
  <si>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</si>
  <si>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</si>
  <si>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</si>
  <si>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</si>
  <si>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</si>
  <si>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</si>
  <si>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</si>
  <si>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</si>
  <si>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</si>
  <si>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</si>
  <si>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</si>
  <si>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</si>
  <si>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</si>
  <si>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</si>
  <si>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</si>
  <si>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</si>
  <si>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</si>
  <si>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</si>
  <si>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</si>
  <si>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</si>
  <si>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</si>
  <si>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</si>
  <si>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</si>
  <si>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</si>
  <si>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</si>
  <si>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</si>
  <si>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</si>
  <si>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</si>
  <si>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</si>
  <si>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</si>
  <si>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</si>
  <si>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</si>
  <si>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</si>
  <si>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</si>
  <si>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</si>
  <si>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</si>
  <si>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</si>
  <si>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</si>
  <si>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</si>
  <si>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</si>
  <si>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</si>
  <si>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</si>
  <si>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</si>
  <si>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</si>
  <si>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</si>
  <si>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</si>
  <si>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</si>
  <si>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</si>
  <si>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</si>
  <si>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</si>
  <si>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</si>
  <si>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</si>
  <si>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</si>
  <si>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</si>
  <si>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</si>
  <si>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</si>
  <si>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</si>
  <si>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</si>
  <si>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</si>
  <si>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</si>
  <si>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</si>
  <si>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</si>
  <si>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</si>
  <si>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</si>
  <si>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</si>
  <si>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</si>
  <si>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</si>
  <si>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</si>
  <si>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</si>
  <si>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</si>
  <si>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</si>
  <si>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</si>
  <si>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</si>
  <si>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</si>
  <si>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</si>
  <si>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</si>
  <si>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</si>
  <si>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</si>
  <si>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</si>
  <si>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</si>
  <si>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</si>
  <si>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</si>
  <si>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</si>
  <si>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</si>
  <si>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</si>
  <si>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</si>
  <si>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</si>
  <si>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</si>
  <si>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</si>
  <si>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</si>
  <si>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</si>
  <si>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</si>
  <si>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</si>
  <si>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</si>
  <si>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</si>
  <si>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</si>
  <si>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</si>
  <si>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</si>
  <si>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</si>
  <si>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</si>
  <si>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</si>
  <si>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</si>
  <si>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</si>
  <si>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</si>
  <si>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</si>
  <si>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</si>
  <si>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</si>
  <si>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</si>
  <si>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</si>
  <si>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</si>
  <si>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</si>
  <si>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</si>
  <si>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</si>
  <si>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</si>
  <si>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</si>
  <si>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</si>
  <si>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</si>
  <si>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</si>
  <si>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</si>
  <si>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</si>
  <si>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</si>
  <si>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</si>
  <si>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</si>
  <si>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</si>
  <si>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</si>
  <si>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</si>
  <si>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</si>
  <si>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</si>
  <si>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</si>
  <si>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</si>
  <si>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</si>
  <si>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</si>
  <si>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</si>
  <si>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</si>
  <si>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</si>
  <si>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</si>
  <si>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</si>
  <si>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</si>
  <si>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</si>
  <si>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</si>
  <si>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</si>
  <si>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</si>
  <si>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</si>
  <si>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</si>
  <si>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</si>
  <si>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</si>
  <si>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</si>
  <si>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</si>
  <si>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</si>
  <si>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</si>
  <si>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</si>
  <si>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</si>
  <si>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</si>
  <si>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</si>
  <si>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</si>
  <si>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</si>
  <si>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</si>
  <si>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</si>
  <si>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</si>
  <si>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</si>
  <si>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</si>
  <si>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</si>
  <si>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</si>
  <si>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</si>
  <si>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</si>
  <si>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</si>
  <si>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</si>
  <si>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</si>
  <si>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</si>
  <si>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</si>
  <si>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</si>
  <si>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</si>
  <si>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</si>
  <si>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</si>
  <si>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</si>
  <si>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</si>
  <si>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</si>
  <si>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</si>
  <si>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</si>
  <si>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</si>
  <si>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</si>
  <si>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</si>
  <si>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</si>
  <si>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</si>
  <si>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</si>
  <si>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</si>
  <si>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</si>
  <si>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</si>
  <si>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</si>
  <si>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</si>
  <si>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</si>
  <si>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</si>
  <si>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</si>
  <si>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</si>
  <si>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</si>
  <si>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</si>
  <si>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</si>
  <si>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</si>
  <si>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</si>
  <si>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</si>
  <si>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</si>
  <si>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</si>
  <si>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</si>
  <si>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</si>
  <si>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</si>
  <si>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</si>
  <si>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</si>
  <si>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</si>
  <si>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</si>
  <si>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</si>
  <si>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</si>
  <si>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</si>
  <si>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</si>
  <si>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</si>
  <si>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</si>
  <si>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</si>
  <si>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</si>
  <si>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</si>
  <si>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</si>
  <si>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</si>
  <si>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</si>
  <si>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</si>
  <si>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</si>
  <si>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</si>
  <si>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</si>
  <si>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</si>
  <si>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</si>
  <si>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</si>
  <si>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</si>
  <si>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</si>
  <si>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</si>
  <si>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</si>
  <si>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</si>
  <si>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</si>
  <si>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</si>
  <si>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</si>
  <si>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</si>
  <si>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</si>
  <si>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</si>
  <si>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</si>
  <si>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</si>
  <si>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</si>
  <si>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</si>
  <si>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</si>
  <si>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</si>
  <si>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</si>
  <si>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</si>
  <si>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</si>
  <si>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</si>
  <si>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</si>
  <si>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</si>
  <si>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</si>
  <si>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</si>
  <si>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</si>
  <si>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</si>
  <si>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</si>
  <si>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</si>
  <si>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</si>
  <si>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</si>
  <si>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</si>
  <si>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</si>
  <si>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</si>
  <si>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</si>
  <si>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</si>
  <si>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</si>
  <si>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</si>
  <si>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</si>
  <si>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</si>
  <si>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</si>
  <si>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</si>
  <si>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</si>
  <si>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</si>
  <si>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</si>
  <si>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</si>
  <si>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</si>
  <si>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</si>
  <si>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</si>
  <si>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</si>
  <si>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</si>
  <si>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</si>
  <si>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</si>
  <si>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</si>
  <si>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</si>
  <si>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</si>
  <si>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</si>
  <si>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</si>
  <si>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</si>
  <si>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</si>
  <si>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</si>
  <si>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</si>
  <si>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</si>
  <si>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</si>
  <si>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</si>
  <si>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</si>
  <si>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</si>
  <si>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</si>
  <si>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</si>
  <si>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</si>
  <si>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</si>
  <si>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</si>
  <si>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</si>
  <si>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</si>
  <si>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</si>
  <si>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</si>
  <si>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</si>
  <si>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</si>
  <si>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</si>
  <si>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</si>
  <si>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</si>
  <si>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</si>
  <si>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</si>
  <si>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</si>
  <si>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</si>
  <si>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</si>
  <si>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</si>
  <si>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</si>
  <si>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</si>
  <si>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</si>
  <si>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</si>
  <si>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</si>
  <si>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</si>
  <si>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</si>
  <si>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</si>
  <si>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</si>
  <si>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</si>
  <si>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</si>
  <si>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</si>
  <si>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</si>
  <si>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</si>
  <si>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</si>
  <si>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</si>
  <si>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</si>
  <si>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</si>
  <si>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</si>
  <si>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</si>
  <si>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</si>
  <si>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</si>
  <si>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</si>
  <si>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</si>
  <si>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</si>
  <si>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</si>
  <si>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</si>
  <si>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</si>
  <si>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</si>
  <si>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</si>
  <si>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</si>
  <si>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</si>
  <si>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</si>
  <si>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</si>
  <si>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</si>
  <si>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</si>
  <si>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</si>
  <si>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</si>
  <si>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</si>
  <si>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</si>
  <si>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</si>
  <si>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</si>
  <si>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</si>
  <si>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</si>
  <si>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</si>
  <si>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</si>
  <si>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</si>
  <si>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</si>
  <si>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</si>
  <si>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</si>
  <si>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</si>
  <si>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</si>
  <si>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</si>
  <si>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</si>
  <si>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</si>
  <si>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</si>
  <si>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</si>
  <si>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</si>
  <si>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</si>
  <si>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</si>
  <si>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</si>
  <si>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</si>
  <si>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</si>
  <si>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</si>
  <si>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</si>
  <si>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</si>
  <si>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</si>
  <si>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</si>
  <si>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</si>
  <si>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</si>
  <si>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</si>
  <si>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</si>
  <si>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</si>
  <si>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</si>
  <si>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</si>
  <si>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</si>
  <si>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</si>
  <si>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</si>
  <si>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</si>
  <si>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</si>
  <si>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</si>
  <si>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</si>
  <si>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</si>
  <si>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</si>
  <si>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</si>
  <si>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</si>
  <si>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</si>
  <si>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</si>
  <si>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</si>
  <si>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</si>
  <si>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</si>
  <si>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</si>
  <si>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</si>
  <si>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</si>
  <si>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</si>
  <si>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</si>
  <si>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</si>
  <si>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</si>
  <si>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</si>
  <si>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</si>
  <si>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</si>
  <si>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</si>
  <si>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</si>
  <si>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</si>
  <si>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</si>
  <si>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</si>
  <si>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</si>
  <si>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</si>
  <si>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</si>
  <si>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</si>
  <si>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</si>
  <si>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</si>
  <si>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</si>
  <si>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</si>
  <si>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</si>
  <si>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</si>
  <si>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</si>
  <si>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</si>
  <si>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</si>
  <si>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</si>
  <si>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</si>
  <si>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</si>
  <si>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</si>
  <si>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</si>
  <si>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</si>
  <si>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</si>
  <si>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</si>
  <si>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</si>
  <si>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</si>
  <si>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</si>
  <si>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</si>
  <si>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</si>
  <si>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</si>
  <si>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</si>
  <si>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</si>
  <si>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</si>
  <si>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</si>
  <si>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</si>
  <si>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</si>
  <si>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</si>
  <si>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</si>
  <si>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</si>
  <si>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</si>
  <si>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</si>
  <si>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</si>
  <si>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</si>
  <si>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</si>
  <si>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</si>
  <si>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</si>
  <si>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</si>
  <si>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</si>
  <si>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</si>
  <si>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</si>
  <si>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</si>
  <si>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</si>
  <si>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</si>
  <si>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</si>
  <si>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</si>
  <si>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</si>
  <si>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</si>
  <si>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</si>
  <si>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</si>
  <si>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</si>
  <si>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</si>
  <si>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</si>
  <si>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</si>
  <si>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</si>
  <si>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</si>
  <si>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</si>
  <si>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</si>
  <si>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</si>
  <si>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</si>
  <si>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</si>
  <si>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</si>
  <si>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</si>
  <si>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</si>
  <si>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</si>
  <si>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</si>
  <si>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</si>
  <si>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</si>
  <si>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</si>
  <si>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</si>
  <si>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</si>
  <si>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</si>
  <si>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</si>
  <si>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</si>
  <si>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</si>
  <si>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</si>
  <si>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</si>
  <si>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</si>
  <si>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</si>
  <si>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</si>
  <si>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</si>
  <si>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</si>
  <si>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</si>
  <si>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</si>
  <si>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</si>
  <si>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</si>
  <si>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</si>
  <si>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</si>
  <si>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</si>
  <si>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</si>
  <si>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</si>
  <si>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</si>
  <si>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</si>
  <si>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</si>
  <si>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</si>
  <si>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</si>
  <si>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</si>
  <si>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</si>
  <si>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</si>
  <si>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</si>
  <si>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</si>
  <si>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</si>
  <si>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</si>
  <si>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</si>
  <si>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</si>
  <si>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</si>
  <si>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</si>
  <si>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</si>
  <si>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</si>
  <si>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</si>
  <si>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</si>
  <si>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</si>
  <si>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</si>
  <si>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</si>
  <si>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</si>
  <si>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</si>
  <si>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</si>
  <si>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</si>
  <si>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</si>
  <si>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</si>
  <si>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</si>
  <si>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</si>
  <si>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</si>
  <si>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</si>
  <si>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</si>
  <si>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</si>
  <si>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</si>
  <si>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</si>
  <si>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</si>
  <si>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</si>
  <si>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</si>
  <si>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</si>
  <si>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</si>
  <si>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</si>
  <si>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</si>
  <si>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</si>
  <si>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</si>
  <si>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</si>
  <si>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отдщельно,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</si>
</sst>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45771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0.58333333333333337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120</v>
      </c>
      <c r="Y37" s="666">
        <f>IFERROR(IF(X37="",0,CEILING((X37/$H37),1)*$H37),"")</f>
        <v>129.60000000000002</v>
      </c>
      <c r="Z37" s="36">
        <f>IFERROR(IF(Y37=0,"",ROUNDUP(Y37/H37,0)*0.01898),"")</f>
        <v>0.22776000000000002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124.83333333333331</v>
      </c>
      <c r="BN37" s="64">
        <f>IFERROR(Y37*I37/H37,"0")</f>
        <v>134.82000000000002</v>
      </c>
      <c r="BO37" s="64">
        <f>IFERROR(1/J37*(X37/H37),"0")</f>
        <v>0.1736111111111111</v>
      </c>
      <c r="BP37" s="64">
        <f>IFERROR(1/J37*(Y37/H37),"0")</f>
        <v>0.18750000000000003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16</v>
      </c>
      <c r="Y38" s="666">
        <f>IFERROR(IF(X38="",0,CEILING((X38/$H38),1)*$H38),"")</f>
        <v>16</v>
      </c>
      <c r="Z38" s="36">
        <f>IFERROR(IF(Y38=0,"",ROUNDUP(Y38/H38,0)*0.00902),"")</f>
        <v>3.6080000000000001E-2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16.84</v>
      </c>
      <c r="BN38" s="64">
        <f>IFERROR(Y38*I38/H38,"0")</f>
        <v>16.84</v>
      </c>
      <c r="BO38" s="64">
        <f>IFERROR(1/J38*(X38/H38),"0")</f>
        <v>3.0303030303030304E-2</v>
      </c>
      <c r="BP38" s="64">
        <f>IFERROR(1/J38*(Y38/H38),"0")</f>
        <v>3.0303030303030304E-2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15.111111111111111</v>
      </c>
      <c r="Y41" s="667">
        <f>IFERROR(Y37/H37,"0")+IFERROR(Y38/H38,"0")+IFERROR(Y39/H39,"0")+IFERROR(Y40/H40,"0")</f>
        <v>16</v>
      </c>
      <c r="Z41" s="667">
        <f>IFERROR(IF(Z37="",0,Z37),"0")+IFERROR(IF(Z38="",0,Z38),"0")+IFERROR(IF(Z39="",0,Z39),"0")+IFERROR(IF(Z40="",0,Z40),"0")</f>
        <v>0.26384000000000002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136</v>
      </c>
      <c r="Y42" s="667">
        <f>IFERROR(SUM(Y37:Y40),"0")</f>
        <v>145.60000000000002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80</v>
      </c>
      <c r="Y50" s="666">
        <f t="shared" si="6"/>
        <v>86.4</v>
      </c>
      <c r="Z50" s="36">
        <f>IFERROR(IF(Y50=0,"",ROUNDUP(Y50/H50,0)*0.01898),"")</f>
        <v>0.15184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83.222222222222214</v>
      </c>
      <c r="BN50" s="64">
        <f t="shared" si="8"/>
        <v>89.88</v>
      </c>
      <c r="BO50" s="64">
        <f t="shared" si="9"/>
        <v>0.11574074074074073</v>
      </c>
      <c r="BP50" s="64">
        <f t="shared" si="10"/>
        <v>0.125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7.4074074074074066</v>
      </c>
      <c r="Y55" s="667">
        <f>IFERROR(Y49/H49,"0")+IFERROR(Y50/H50,"0")+IFERROR(Y51/H51,"0")+IFERROR(Y52/H52,"0")+IFERROR(Y53/H53,"0")+IFERROR(Y54/H54,"0")</f>
        <v>8</v>
      </c>
      <c r="Z55" s="667">
        <f>IFERROR(IF(Z49="",0,Z49),"0")+IFERROR(IF(Z50="",0,Z50),"0")+IFERROR(IF(Z51="",0,Z51),"0")+IFERROR(IF(Z52="",0,Z52),"0")+IFERROR(IF(Z53="",0,Z53),"0")+IFERROR(IF(Z54="",0,Z54),"0")</f>
        <v>0.15184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80</v>
      </c>
      <c r="Y56" s="667">
        <f>IFERROR(SUM(Y49:Y54),"0")</f>
        <v>86.4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140</v>
      </c>
      <c r="Y58" s="666">
        <f>IFERROR(IF(X58="",0,CEILING((X58/$H58),1)*$H58),"")</f>
        <v>140.4</v>
      </c>
      <c r="Z58" s="36">
        <f>IFERROR(IF(Y58=0,"",ROUNDUP(Y58/H58,0)*0.01898),"")</f>
        <v>0.24674000000000001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145.63888888888886</v>
      </c>
      <c r="BN58" s="64">
        <f>IFERROR(Y58*I58/H58,"0")</f>
        <v>146.05499999999998</v>
      </c>
      <c r="BO58" s="64">
        <f>IFERROR(1/J58*(X58/H58),"0")</f>
        <v>0.20254629629629628</v>
      </c>
      <c r="BP58" s="64">
        <f>IFERROR(1/J58*(Y58/H58),"0")</f>
        <v>0.203125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12.962962962962962</v>
      </c>
      <c r="Y62" s="667">
        <f>IFERROR(Y58/H58,"0")+IFERROR(Y59/H59,"0")+IFERROR(Y60/H60,"0")+IFERROR(Y61/H61,"0")</f>
        <v>13</v>
      </c>
      <c r="Z62" s="667">
        <f>IFERROR(IF(Z58="",0,Z58),"0")+IFERROR(IF(Z59="",0,Z59),"0")+IFERROR(IF(Z60="",0,Z60),"0")+IFERROR(IF(Z61="",0,Z61),"0")</f>
        <v>0.24674000000000001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140</v>
      </c>
      <c r="Y63" s="667">
        <f>IFERROR(SUM(Y58:Y61),"0")</f>
        <v>140.4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180</v>
      </c>
      <c r="Y87" s="666">
        <f>IFERROR(IF(X87="",0,CEILING((X87/$H87),1)*$H87),"")</f>
        <v>183.60000000000002</v>
      </c>
      <c r="Z87" s="36">
        <f>IFERROR(IF(Y87=0,"",ROUNDUP(Y87/H87,0)*0.01898),"")</f>
        <v>0.32266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187.24999999999997</v>
      </c>
      <c r="BN87" s="64">
        <f>IFERROR(Y87*I87/H87,"0")</f>
        <v>190.995</v>
      </c>
      <c r="BO87" s="64">
        <f>IFERROR(1/J87*(X87/H87),"0")</f>
        <v>0.26041666666666663</v>
      </c>
      <c r="BP87" s="64">
        <f>IFERROR(1/J87*(Y87/H87),"0")</f>
        <v>0.265625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16.666666666666664</v>
      </c>
      <c r="Y90" s="667">
        <f>IFERROR(Y87/H87,"0")+IFERROR(Y88/H88,"0")+IFERROR(Y89/H89,"0")</f>
        <v>17</v>
      </c>
      <c r="Z90" s="667">
        <f>IFERROR(IF(Z87="",0,Z87),"0")+IFERROR(IF(Z88="",0,Z88),"0")+IFERROR(IF(Z89="",0,Z89),"0")</f>
        <v>0.32266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180</v>
      </c>
      <c r="Y91" s="667">
        <f>IFERROR(SUM(Y87:Y89),"0")</f>
        <v>183.60000000000002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120</v>
      </c>
      <c r="Y121" s="666">
        <f t="shared" si="21"/>
        <v>126</v>
      </c>
      <c r="Z121" s="36">
        <f>IFERROR(IF(Y121=0,"",ROUNDUP(Y121/H121,0)*0.01898),"")</f>
        <v>0.28470000000000001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127.32857142857142</v>
      </c>
      <c r="BN121" s="64">
        <f t="shared" si="23"/>
        <v>133.69499999999999</v>
      </c>
      <c r="BO121" s="64">
        <f t="shared" si="24"/>
        <v>0.2232142857142857</v>
      </c>
      <c r="BP121" s="64">
        <f t="shared" si="25"/>
        <v>0.234375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14.285714285714285</v>
      </c>
      <c r="Y128" s="667">
        <f>IFERROR(Y119/H119,"0")+IFERROR(Y120/H120,"0")+IFERROR(Y121/H121,"0")+IFERROR(Y122/H122,"0")+IFERROR(Y123/H123,"0")+IFERROR(Y124/H124,"0")+IFERROR(Y125/H125,"0")+IFERROR(Y126/H126,"0")+IFERROR(Y127/H127,"0")</f>
        <v>15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0.28470000000000001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120</v>
      </c>
      <c r="Y129" s="667">
        <f>IFERROR(SUM(Y119:Y127),"0")</f>
        <v>126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120</v>
      </c>
      <c r="Y320" s="666">
        <f t="shared" si="53"/>
        <v>129.60000000000002</v>
      </c>
      <c r="Z320" s="36">
        <f>IFERROR(IF(Y320=0,"",ROUNDUP(Y320/H320,0)*0.01898),"")</f>
        <v>0.22776000000000002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124.83333333333331</v>
      </c>
      <c r="BN320" s="64">
        <f t="shared" si="55"/>
        <v>134.82000000000002</v>
      </c>
      <c r="BO320" s="64">
        <f t="shared" si="56"/>
        <v>0.1736111111111111</v>
      </c>
      <c r="BP320" s="64">
        <f t="shared" si="57"/>
        <v>0.18750000000000003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11.111111111111111</v>
      </c>
      <c r="Y325" s="667">
        <f>IFERROR(Y319/H319,"0")+IFERROR(Y320/H320,"0")+IFERROR(Y321/H321,"0")+IFERROR(Y322/H322,"0")+IFERROR(Y323/H323,"0")+IFERROR(Y324/H324,"0")</f>
        <v>12.000000000000002</v>
      </c>
      <c r="Z325" s="667">
        <f>IFERROR(IF(Z319="",0,Z319),"0")+IFERROR(IF(Z320="",0,Z320),"0")+IFERROR(IF(Z321="",0,Z321),"0")+IFERROR(IF(Z322="",0,Z322),"0")+IFERROR(IF(Z323="",0,Z323),"0")+IFERROR(IF(Z324="",0,Z324),"0")</f>
        <v>0.22776000000000002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120</v>
      </c>
      <c r="Y326" s="667">
        <f>IFERROR(SUM(Y319:Y324),"0")</f>
        <v>129.60000000000002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90</v>
      </c>
      <c r="Y328" s="666">
        <f>IFERROR(IF(X328="",0,CEILING((X328/$H328),1)*$H328),"")</f>
        <v>92.4</v>
      </c>
      <c r="Z328" s="36">
        <f>IFERROR(IF(Y328=0,"",ROUNDUP(Y328/H328,0)*0.00902),"")</f>
        <v>0.19844000000000001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95.785714285714278</v>
      </c>
      <c r="BN328" s="64">
        <f>IFERROR(Y328*I328/H328,"0")</f>
        <v>98.34</v>
      </c>
      <c r="BO328" s="64">
        <f>IFERROR(1/J328*(X328/H328),"0")</f>
        <v>0.16233766233766234</v>
      </c>
      <c r="BP328" s="64">
        <f>IFERROR(1/J328*(Y328/H328),"0")</f>
        <v>0.16666666666666669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100</v>
      </c>
      <c r="Y329" s="666">
        <f>IFERROR(IF(X329="",0,CEILING((X329/$H329),1)*$H329),"")</f>
        <v>100.80000000000001</v>
      </c>
      <c r="Z329" s="36">
        <f>IFERROR(IF(Y329=0,"",ROUNDUP(Y329/H329,0)*0.00902),"")</f>
        <v>0.21648000000000001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106.42857142857143</v>
      </c>
      <c r="BN329" s="64">
        <f>IFERROR(Y329*I329/H329,"0")</f>
        <v>107.28</v>
      </c>
      <c r="BO329" s="64">
        <f>IFERROR(1/J329*(X329/H329),"0")</f>
        <v>0.18037518037518038</v>
      </c>
      <c r="BP329" s="64">
        <f>IFERROR(1/J329*(Y329/H329),"0")</f>
        <v>0.18181818181818182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45.238095238095241</v>
      </c>
      <c r="Y332" s="667">
        <f>IFERROR(Y328/H328,"0")+IFERROR(Y329/H329,"0")+IFERROR(Y330/H330,"0")+IFERROR(Y331/H331,"0")</f>
        <v>46</v>
      </c>
      <c r="Z332" s="667">
        <f>IFERROR(IF(Z328="",0,Z328),"0")+IFERROR(IF(Z329="",0,Z329),"0")+IFERROR(IF(Z330="",0,Z330),"0")+IFERROR(IF(Z331="",0,Z331),"0")</f>
        <v>0.41492000000000001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190</v>
      </c>
      <c r="Y333" s="667">
        <f>IFERROR(SUM(Y328:Y331),"0")</f>
        <v>193.20000000000002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1300</v>
      </c>
      <c r="Y335" s="666">
        <f>IFERROR(IF(X335="",0,CEILING((X335/$H335),1)*$H335),"")</f>
        <v>1302.5999999999999</v>
      </c>
      <c r="Z335" s="36">
        <f>IFERROR(IF(Y335=0,"",ROUNDUP(Y335/H335,0)*0.01898),"")</f>
        <v>3.1696599999999999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1385.5000000000002</v>
      </c>
      <c r="BN335" s="64">
        <f>IFERROR(Y335*I335/H335,"0")</f>
        <v>1388.2710000000002</v>
      </c>
      <c r="BO335" s="64">
        <f>IFERROR(1/J335*(X335/H335),"0")</f>
        <v>2.6041666666666665</v>
      </c>
      <c r="BP335" s="64">
        <f>IFERROR(1/J335*(Y335/H335),"0")</f>
        <v>2.609375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166.66666666666666</v>
      </c>
      <c r="Y340" s="667">
        <f>IFERROR(Y335/H335,"0")+IFERROR(Y336/H336,"0")+IFERROR(Y337/H337,"0")+IFERROR(Y338/H338,"0")+IFERROR(Y339/H339,"0")</f>
        <v>167</v>
      </c>
      <c r="Z340" s="667">
        <f>IFERROR(IF(Z335="",0,Z335),"0")+IFERROR(IF(Z336="",0,Z336),"0")+IFERROR(IF(Z337="",0,Z337),"0")+IFERROR(IF(Z338="",0,Z338),"0")+IFERROR(IF(Z339="",0,Z339),"0")</f>
        <v>3.1696599999999999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1300</v>
      </c>
      <c r="Y341" s="667">
        <f>IFERROR(SUM(Y335:Y339),"0")</f>
        <v>1302.5999999999999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80</v>
      </c>
      <c r="Y367" s="666">
        <f>IFERROR(IF(X367="",0,CEILING((X367/$H367),1)*$H367),"")</f>
        <v>81</v>
      </c>
      <c r="Z367" s="36">
        <f>IFERROR(IF(Y367=0,"",ROUNDUP(Y367/H367,0)*0.01898),"")</f>
        <v>0.1898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85.125925925925927</v>
      </c>
      <c r="BN367" s="64">
        <f>IFERROR(Y367*I367/H367,"0")</f>
        <v>86.190000000000012</v>
      </c>
      <c r="BO367" s="64">
        <f>IFERROR(1/J367*(X367/H367),"0")</f>
        <v>0.15432098765432101</v>
      </c>
      <c r="BP367" s="64">
        <f>IFERROR(1/J367*(Y367/H367),"0")</f>
        <v>0.15625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9.8765432098765444</v>
      </c>
      <c r="Y370" s="667">
        <f>IFERROR(Y367/H367,"0")+IFERROR(Y368/H368,"0")+IFERROR(Y369/H369,"0")</f>
        <v>10</v>
      </c>
      <c r="Z370" s="667">
        <f>IFERROR(IF(Z367="",0,Z367),"0")+IFERROR(IF(Z368="",0,Z368),"0")+IFERROR(IF(Z369="",0,Z369),"0")</f>
        <v>0.1898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80</v>
      </c>
      <c r="Y371" s="667">
        <f>IFERROR(SUM(Y367:Y369),"0")</f>
        <v>81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120</v>
      </c>
      <c r="Y375" s="666">
        <f t="shared" ref="Y375:Y384" si="58">IFERROR(IF(X375="",0,CEILING((X375/$H375),1)*$H375),"")</f>
        <v>120</v>
      </c>
      <c r="Z375" s="36">
        <f>IFERROR(IF(Y375=0,"",ROUNDUP(Y375/H375,0)*0.02175),"")</f>
        <v>0.17399999999999999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123.84</v>
      </c>
      <c r="BN375" s="64">
        <f t="shared" ref="BN375:BN384" si="60">IFERROR(Y375*I375/H375,"0")</f>
        <v>123.84</v>
      </c>
      <c r="BO375" s="64">
        <f t="shared" ref="BO375:BO384" si="61">IFERROR(1/J375*(X375/H375),"0")</f>
        <v>0.16666666666666666</v>
      </c>
      <c r="BP375" s="64">
        <f t="shared" ref="BP375:BP384" si="62">IFERROR(1/J375*(Y375/H375),"0")</f>
        <v>0.16666666666666666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150</v>
      </c>
      <c r="Y377" s="666">
        <f t="shared" si="58"/>
        <v>150</v>
      </c>
      <c r="Z377" s="36">
        <f>IFERROR(IF(Y377=0,"",ROUNDUP(Y377/H377,0)*0.02175),"")</f>
        <v>0.21749999999999997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154.80000000000001</v>
      </c>
      <c r="BN377" s="64">
        <f t="shared" si="60"/>
        <v>154.80000000000001</v>
      </c>
      <c r="BO377" s="64">
        <f t="shared" si="61"/>
        <v>0.20833333333333331</v>
      </c>
      <c r="BP377" s="64">
        <f t="shared" si="62"/>
        <v>0.20833333333333331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600</v>
      </c>
      <c r="Y379" s="666">
        <f t="shared" si="58"/>
        <v>600</v>
      </c>
      <c r="Z379" s="36">
        <f>IFERROR(IF(Y379=0,"",ROUNDUP(Y379/H379,0)*0.02175),"")</f>
        <v>0.86999999999999988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619.20000000000005</v>
      </c>
      <c r="BN379" s="64">
        <f t="shared" si="60"/>
        <v>619.20000000000005</v>
      </c>
      <c r="BO379" s="64">
        <f t="shared" si="61"/>
        <v>0.83333333333333326</v>
      </c>
      <c r="BP379" s="64">
        <f t="shared" si="62"/>
        <v>0.83333333333333326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58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58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1.2614999999999998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870</v>
      </c>
      <c r="Y386" s="667">
        <f>IFERROR(SUM(Y375:Y384),"0")</f>
        <v>870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900</v>
      </c>
      <c r="Y388" s="666">
        <f>IFERROR(IF(X388="",0,CEILING((X388/$H388),1)*$H388),"")</f>
        <v>900</v>
      </c>
      <c r="Z388" s="36">
        <f>IFERROR(IF(Y388=0,"",ROUNDUP(Y388/H388,0)*0.02175),"")</f>
        <v>1.3049999999999999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928.8</v>
      </c>
      <c r="BN388" s="64">
        <f>IFERROR(Y388*I388/H388,"0")</f>
        <v>928.8</v>
      </c>
      <c r="BO388" s="64">
        <f>IFERROR(1/J388*(X388/H388),"0")</f>
        <v>1.25</v>
      </c>
      <c r="BP388" s="64">
        <f>IFERROR(1/J388*(Y388/H388),"0")</f>
        <v>1.25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60</v>
      </c>
      <c r="Y390" s="667">
        <f>IFERROR(Y388/H388,"0")+IFERROR(Y389/H389,"0")</f>
        <v>60</v>
      </c>
      <c r="Z390" s="667">
        <f>IFERROR(IF(Z388="",0,Z388),"0")+IFERROR(IF(Z389="",0,Z389),"0")</f>
        <v>1.3049999999999999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900</v>
      </c>
      <c r="Y391" s="667">
        <f>IFERROR(SUM(Y388:Y389),"0")</f>
        <v>900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40</v>
      </c>
      <c r="Y411" s="666">
        <f>IFERROR(IF(X411="",0,CEILING((X411/$H411),1)*$H411),"")</f>
        <v>43.8</v>
      </c>
      <c r="Z411" s="36">
        <f>IFERROR(IF(Y411=0,"",ROUNDUP(Y411/H411,0)*0.00902),"")</f>
        <v>9.0200000000000002E-2</v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42.465753424657535</v>
      </c>
      <c r="BN411" s="64">
        <f>IFERROR(Y411*I411/H411,"0")</f>
        <v>46.500000000000007</v>
      </c>
      <c r="BO411" s="64">
        <f>IFERROR(1/J411*(X411/H411),"0")</f>
        <v>6.9185000691850018E-2</v>
      </c>
      <c r="BP411" s="64">
        <f>IFERROR(1/J411*(Y411/H411),"0")</f>
        <v>7.575757575757576E-2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9.1324200913242013</v>
      </c>
      <c r="Y413" s="667">
        <f>IFERROR(Y411/H411,"0")+IFERROR(Y412/H412,"0")</f>
        <v>10</v>
      </c>
      <c r="Z413" s="667">
        <f>IFERROR(IF(Z411="",0,Z411),"0")+IFERROR(IF(Z412="",0,Z412),"0")</f>
        <v>9.0200000000000002E-2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40</v>
      </c>
      <c r="Y414" s="667">
        <f>IFERROR(SUM(Y411:Y412),"0")</f>
        <v>43.8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200</v>
      </c>
      <c r="Y416" s="666">
        <f>IFERROR(IF(X416="",0,CEILING((X416/$H416),1)*$H416),"")</f>
        <v>207</v>
      </c>
      <c r="Z416" s="36">
        <f>IFERROR(IF(Y416=0,"",ROUNDUP(Y416/H416,0)*0.01898),"")</f>
        <v>0.43653999999999998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211.53333333333333</v>
      </c>
      <c r="BN416" s="64">
        <f>IFERROR(Y416*I416/H416,"0")</f>
        <v>218.93700000000001</v>
      </c>
      <c r="BO416" s="64">
        <f>IFERROR(1/J416*(X416/H416),"0")</f>
        <v>0.34722222222222221</v>
      </c>
      <c r="BP416" s="64">
        <f>IFERROR(1/J416*(Y416/H416),"0")</f>
        <v>0.359375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22.222222222222221</v>
      </c>
      <c r="Y421" s="667">
        <f>IFERROR(Y416/H416,"0")+IFERROR(Y417/H417,"0")+IFERROR(Y418/H418,"0")+IFERROR(Y419/H419,"0")+IFERROR(Y420/H420,"0")</f>
        <v>23</v>
      </c>
      <c r="Z421" s="667">
        <f>IFERROR(IF(Z416="",0,Z416),"0")+IFERROR(IF(Z417="",0,Z417),"0")+IFERROR(IF(Z418="",0,Z418),"0")+IFERROR(IF(Z419="",0,Z419),"0")+IFERROR(IF(Z420="",0,Z420),"0")</f>
        <v>0.43653999999999998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200</v>
      </c>
      <c r="Y422" s="667">
        <f>IFERROR(SUM(Y416:Y420),"0")</f>
        <v>207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12</v>
      </c>
      <c r="Y431" s="666">
        <f t="shared" si="63"/>
        <v>16.200000000000003</v>
      </c>
      <c r="Z431" s="36">
        <f>IFERROR(IF(Y431=0,"",ROUNDUP(Y431/H431,0)*0.00902),"")</f>
        <v>2.7060000000000001E-2</v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12.466666666666667</v>
      </c>
      <c r="BN431" s="64">
        <f t="shared" si="65"/>
        <v>16.830000000000002</v>
      </c>
      <c r="BO431" s="64">
        <f t="shared" si="66"/>
        <v>1.6835016835016831E-2</v>
      </c>
      <c r="BP431" s="64">
        <f t="shared" si="67"/>
        <v>2.2727272727272731E-2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12</v>
      </c>
      <c r="Y433" s="666">
        <f t="shared" si="63"/>
        <v>16.200000000000003</v>
      </c>
      <c r="Z433" s="36">
        <f>IFERROR(IF(Y433=0,"",ROUNDUP(Y433/H433,0)*0.00902),"")</f>
        <v>2.7060000000000001E-2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12.466666666666667</v>
      </c>
      <c r="BN433" s="64">
        <f t="shared" si="65"/>
        <v>16.830000000000002</v>
      </c>
      <c r="BO433" s="64">
        <f t="shared" si="66"/>
        <v>1.6835016835016831E-2</v>
      </c>
      <c r="BP433" s="64">
        <f t="shared" si="67"/>
        <v>2.2727272727272731E-2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4.4444444444444438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6.0000000000000009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5.4120000000000001E-2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24</v>
      </c>
      <c r="Y443" s="667">
        <f>IFERROR(SUM(Y430:Y441),"0")</f>
        <v>32.400000000000006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30</v>
      </c>
      <c r="Y456" s="666">
        <f>IFERROR(IF(X456="",0,CEILING((X456/$H456),1)*$H456),"")</f>
        <v>32.400000000000006</v>
      </c>
      <c r="Z456" s="36">
        <f>IFERROR(IF(Y456=0,"",ROUNDUP(Y456/H456,0)*0.00902),"")</f>
        <v>5.4120000000000001E-2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31.166666666666668</v>
      </c>
      <c r="BN456" s="64">
        <f>IFERROR(Y456*I456/H456,"0")</f>
        <v>33.660000000000004</v>
      </c>
      <c r="BO456" s="64">
        <f>IFERROR(1/J456*(X456/H456),"0")</f>
        <v>4.208754208754209E-2</v>
      </c>
      <c r="BP456" s="64">
        <f>IFERROR(1/J456*(Y456/H456),"0")</f>
        <v>4.5454545454545463E-2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5.5555555555555554</v>
      </c>
      <c r="Y460" s="667">
        <f>IFERROR(Y456/H456,"0")+IFERROR(Y457/H457,"0")+IFERROR(Y458/H458,"0")+IFERROR(Y459/H459,"0")</f>
        <v>6.0000000000000009</v>
      </c>
      <c r="Z460" s="667">
        <f>IFERROR(IF(Z456="",0,Z456),"0")+IFERROR(IF(Z457="",0,Z457),"0")+IFERROR(IF(Z458="",0,Z458),"0")+IFERROR(IF(Z459="",0,Z459),"0")</f>
        <v>5.4120000000000001E-2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30</v>
      </c>
      <c r="Y461" s="667">
        <f>IFERROR(SUM(Y456:Y459),"0")</f>
        <v>32.400000000000006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250</v>
      </c>
      <c r="Y482" s="666">
        <f t="shared" si="69"/>
        <v>253.44</v>
      </c>
      <c r="Z482" s="36">
        <f t="shared" si="70"/>
        <v>0.57408000000000003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267.04545454545456</v>
      </c>
      <c r="BN482" s="64">
        <f t="shared" si="72"/>
        <v>270.71999999999997</v>
      </c>
      <c r="BO482" s="64">
        <f t="shared" si="73"/>
        <v>0.45527389277389274</v>
      </c>
      <c r="BP482" s="64">
        <f t="shared" si="74"/>
        <v>0.46153846153846156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120</v>
      </c>
      <c r="Y484" s="666">
        <f t="shared" si="69"/>
        <v>121.44000000000001</v>
      </c>
      <c r="Z484" s="36">
        <f t="shared" si="70"/>
        <v>0.27507999999999999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128.18181818181816</v>
      </c>
      <c r="BN484" s="64">
        <f t="shared" si="72"/>
        <v>129.72</v>
      </c>
      <c r="BO484" s="64">
        <f t="shared" si="73"/>
        <v>0.21853146853146854</v>
      </c>
      <c r="BP484" s="64">
        <f t="shared" si="74"/>
        <v>0.22115384615384617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70.075757575757564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71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0.84916000000000003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370</v>
      </c>
      <c r="Y497" s="667">
        <f>IFERROR(SUM(Y480:Y495),"0")</f>
        <v>374.88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250</v>
      </c>
      <c r="Y499" s="666">
        <f>IFERROR(IF(X499="",0,CEILING((X499/$H499),1)*$H499),"")</f>
        <v>253.44</v>
      </c>
      <c r="Z499" s="36">
        <f>IFERROR(IF(Y499=0,"",ROUNDUP(Y499/H499,0)*0.01196),"")</f>
        <v>0.57408000000000003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267.04545454545456</v>
      </c>
      <c r="BN499" s="64">
        <f>IFERROR(Y499*I499/H499,"0")</f>
        <v>270.71999999999997</v>
      </c>
      <c r="BO499" s="64">
        <f>IFERROR(1/J499*(X499/H499),"0")</f>
        <v>0.45527389277389274</v>
      </c>
      <c r="BP499" s="64">
        <f>IFERROR(1/J499*(Y499/H499),"0")</f>
        <v>0.46153846153846156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47.348484848484844</v>
      </c>
      <c r="Y503" s="667">
        <f>IFERROR(Y499/H499,"0")+IFERROR(Y500/H500,"0")+IFERROR(Y501/H501,"0")+IFERROR(Y502/H502,"0")</f>
        <v>48</v>
      </c>
      <c r="Z503" s="667">
        <f>IFERROR(IF(Z499="",0,Z499),"0")+IFERROR(IF(Z500="",0,Z500),"0")+IFERROR(IF(Z501="",0,Z501),"0")+IFERROR(IF(Z502="",0,Z502),"0")</f>
        <v>0.57408000000000003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250</v>
      </c>
      <c r="Y504" s="667">
        <f>IFERROR(SUM(Y499:Y502),"0")</f>
        <v>253.44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120</v>
      </c>
      <c r="Y506" s="666">
        <f t="shared" ref="Y506:Y517" si="75">IFERROR(IF(X506="",0,CEILING((X506/$H506),1)*$H506),"")</f>
        <v>121.44000000000001</v>
      </c>
      <c r="Z506" s="36">
        <f>IFERROR(IF(Y506=0,"",ROUNDUP(Y506/H506,0)*0.01196),"")</f>
        <v>0.27507999999999999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128.18181818181816</v>
      </c>
      <c r="BN506" s="64">
        <f t="shared" ref="BN506:BN517" si="77">IFERROR(Y506*I506/H506,"0")</f>
        <v>129.72</v>
      </c>
      <c r="BO506" s="64">
        <f t="shared" ref="BO506:BO517" si="78">IFERROR(1/J506*(X506/H506),"0")</f>
        <v>0.21853146853146854</v>
      </c>
      <c r="BP506" s="64">
        <f t="shared" ref="BP506:BP517" si="79">IFERROR(1/J506*(Y506/H506),"0")</f>
        <v>0.22115384615384617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120</v>
      </c>
      <c r="Y507" s="666">
        <f t="shared" si="75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128.18181818181816</v>
      </c>
      <c r="BN507" s="64">
        <f t="shared" si="77"/>
        <v>129.72</v>
      </c>
      <c r="BO507" s="64">
        <f t="shared" si="78"/>
        <v>0.21853146853146854</v>
      </c>
      <c r="BP507" s="64">
        <f t="shared" si="79"/>
        <v>0.22115384615384617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120</v>
      </c>
      <c r="Y508" s="666">
        <f t="shared" si="75"/>
        <v>121.44000000000001</v>
      </c>
      <c r="Z508" s="36">
        <f>IFERROR(IF(Y508=0,"",ROUNDUP(Y508/H508,0)*0.01196),"")</f>
        <v>0.27507999999999999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128.18181818181816</v>
      </c>
      <c r="BN508" s="64">
        <f t="shared" si="77"/>
        <v>129.72</v>
      </c>
      <c r="BO508" s="64">
        <f t="shared" si="78"/>
        <v>0.21853146853146854</v>
      </c>
      <c r="BP508" s="64">
        <f t="shared" si="79"/>
        <v>0.22115384615384617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68.181818181818187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69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0.82523999999999997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360</v>
      </c>
      <c r="Y519" s="667">
        <f>IFERROR(SUM(Y506:Y517),"0")</f>
        <v>364.32000000000005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24</v>
      </c>
      <c r="Y536" s="666">
        <f t="shared" si="80"/>
        <v>24</v>
      </c>
      <c r="Z536" s="36">
        <f>IFERROR(IF(Y536=0,"",ROUNDUP(Y536/H536,0)*0.01898),"")</f>
        <v>3.7960000000000001E-2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24.87</v>
      </c>
      <c r="BN536" s="64">
        <f t="shared" si="82"/>
        <v>24.87</v>
      </c>
      <c r="BO536" s="64">
        <f t="shared" si="83"/>
        <v>3.125E-2</v>
      </c>
      <c r="BP536" s="64">
        <f t="shared" si="84"/>
        <v>3.125E-2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2</v>
      </c>
      <c r="Y540" s="667">
        <f>IFERROR(Y534/H534,"0")+IFERROR(Y535/H535,"0")+IFERROR(Y536/H536,"0")+IFERROR(Y537/H537,"0")+IFERROR(Y538/H538,"0")+IFERROR(Y539/H539,"0")</f>
        <v>2</v>
      </c>
      <c r="Z540" s="667">
        <f>IFERROR(IF(Z534="",0,Z534),"0")+IFERROR(IF(Z535="",0,Z535),"0")+IFERROR(IF(Z536="",0,Z536),"0")+IFERROR(IF(Z537="",0,Z537),"0")+IFERROR(IF(Z538="",0,Z538),"0")+IFERROR(IF(Z539="",0,Z539),"0")</f>
        <v>3.7960000000000001E-2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24</v>
      </c>
      <c r="Y541" s="667">
        <f>IFERROR(SUM(Y534:Y539),"0")</f>
        <v>24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50</v>
      </c>
      <c r="Y552" s="666">
        <f t="shared" si="85"/>
        <v>50.400000000000006</v>
      </c>
      <c r="Z552" s="36">
        <f>IFERROR(IF(Y552=0,"",ROUNDUP(Y552/H552,0)*0.00902),"")</f>
        <v>0.10824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53.214285714285715</v>
      </c>
      <c r="BN552" s="64">
        <f t="shared" si="87"/>
        <v>53.64</v>
      </c>
      <c r="BO552" s="64">
        <f t="shared" si="88"/>
        <v>9.0187590187590191E-2</v>
      </c>
      <c r="BP552" s="64">
        <f t="shared" si="89"/>
        <v>9.0909090909090912E-2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11.904761904761905</v>
      </c>
      <c r="Y558" s="667">
        <f>IFERROR(Y551/H551,"0")+IFERROR(Y552/H552,"0")+IFERROR(Y553/H553,"0")+IFERROR(Y554/H554,"0")+IFERROR(Y555/H555,"0")+IFERROR(Y556/H556,"0")+IFERROR(Y557/H557,"0")</f>
        <v>12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0.10824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50</v>
      </c>
      <c r="Y559" s="667">
        <f>IFERROR(SUM(Y551:Y557),"0")</f>
        <v>50.400000000000006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5464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5541.0399999999981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5744.4281151370187</v>
      </c>
      <c r="Y593" s="667">
        <f>IFERROR(SUM(BN22:BN589),"0")</f>
        <v>5825.4130000000023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10</v>
      </c>
      <c r="Y594" s="38">
        <f>ROUNDUP(SUM(BP22:BP589),0)</f>
        <v>10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5994.4281151370187</v>
      </c>
      <c r="Y595" s="667">
        <f>GrossWeightTotalR+PalletQtyTotalR*25</f>
        <v>6075.4130000000023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658.19174348398087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669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10.868079999999999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145.60000000000002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226.8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183.60000000000002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1625.4</v>
      </c>
      <c r="V602" s="46">
        <f>IFERROR(Y363*1,"0")+IFERROR(Y367*1,"0")+IFERROR(Y368*1,"0")+IFERROR(Y369*1,"0")</f>
        <v>81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1770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250.8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32.400000000000006</v>
      </c>
      <c r="Z602" s="46">
        <f>IFERROR(Y451*1,"0")+IFERROR(Y452*1,"0")+IFERROR(Y456*1,"0")+IFERROR(Y457*1,"0")+IFERROR(Y458*1,"0")+IFERROR(Y459*1,"0")</f>
        <v>32.400000000000006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992.6400000000001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74.400000000000006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0"/>
        <filter val="100,00"/>
        <filter val="11,11"/>
        <filter val="11,90"/>
        <filter val="12,00"/>
        <filter val="12,96"/>
        <filter val="120,00"/>
        <filter val="136,00"/>
        <filter val="14,29"/>
        <filter val="140,00"/>
        <filter val="15,11"/>
        <filter val="150,00"/>
        <filter val="16,00"/>
        <filter val="16,67"/>
        <filter val="166,67"/>
        <filter val="180,00"/>
        <filter val="190,00"/>
        <filter val="2,00"/>
        <filter val="200,00"/>
        <filter val="22,22"/>
        <filter val="24,00"/>
        <filter val="250,00"/>
        <filter val="30,00"/>
        <filter val="360,00"/>
        <filter val="370,00"/>
        <filter val="4,44"/>
        <filter val="40,00"/>
        <filter val="45,24"/>
        <filter val="47,35"/>
        <filter val="5 464,00"/>
        <filter val="5 744,43"/>
        <filter val="5 994,43"/>
        <filter val="5,56"/>
        <filter val="50,00"/>
        <filter val="58,00"/>
        <filter val="60,00"/>
        <filter val="600,00"/>
        <filter val="658,19"/>
        <filter val="68,18"/>
        <filter val="7,41"/>
        <filter val="70,08"/>
        <filter val="80,00"/>
        <filter val="870,00"/>
        <filter val="9,13"/>
        <filter val="9,88"/>
        <filter val="90,00"/>
        <filter val="90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