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00F539D-4095-45B4-8422-4E9FD87C4B5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Y472" i="1" s="1"/>
  <c r="P470" i="1"/>
  <c r="X467" i="1"/>
  <c r="X466" i="1"/>
  <c r="BO465" i="1"/>
  <c r="BM465" i="1"/>
  <c r="Y465" i="1"/>
  <c r="BP465" i="1" s="1"/>
  <c r="BO464" i="1"/>
  <c r="BM464" i="1"/>
  <c r="Y464" i="1"/>
  <c r="AA602" i="1" s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BP378" i="1" s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BP351" i="1" s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Y346" i="1" s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BP335" i="1" s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O272" i="1"/>
  <c r="BM272" i="1"/>
  <c r="Y272" i="1"/>
  <c r="P272" i="1"/>
  <c r="BO271" i="1"/>
  <c r="BM271" i="1"/>
  <c r="Y271" i="1"/>
  <c r="P271" i="1"/>
  <c r="BO270" i="1"/>
  <c r="BM270" i="1"/>
  <c r="Y270" i="1"/>
  <c r="BP270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P242" i="1"/>
  <c r="BO241" i="1"/>
  <c r="BM241" i="1"/>
  <c r="Y241" i="1"/>
  <c r="Y243" i="1" s="1"/>
  <c r="X239" i="1"/>
  <c r="X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BP191" i="1" s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N174" i="1"/>
  <c r="BM174" i="1"/>
  <c r="Z174" i="1"/>
  <c r="Y174" i="1"/>
  <c r="BP174" i="1" s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BP160" i="1" s="1"/>
  <c r="P160" i="1"/>
  <c r="BO159" i="1"/>
  <c r="BM159" i="1"/>
  <c r="Y159" i="1"/>
  <c r="BP159" i="1" s="1"/>
  <c r="P159" i="1"/>
  <c r="BO158" i="1"/>
  <c r="BM158" i="1"/>
  <c r="Y158" i="1"/>
  <c r="BP158" i="1" s="1"/>
  <c r="P158" i="1"/>
  <c r="BO157" i="1"/>
  <c r="BM157" i="1"/>
  <c r="Y157" i="1"/>
  <c r="BP157" i="1" s="1"/>
  <c r="P157" i="1"/>
  <c r="X155" i="1"/>
  <c r="X154" i="1"/>
  <c r="BO153" i="1"/>
  <c r="BM153" i="1"/>
  <c r="Y153" i="1"/>
  <c r="Y154" i="1" s="1"/>
  <c r="P153" i="1"/>
  <c r="X150" i="1"/>
  <c r="X149" i="1"/>
  <c r="BO148" i="1"/>
  <c r="BM148" i="1"/>
  <c r="Y148" i="1"/>
  <c r="BP148" i="1" s="1"/>
  <c r="P148" i="1"/>
  <c r="BO147" i="1"/>
  <c r="BM147" i="1"/>
  <c r="Y147" i="1"/>
  <c r="Y150" i="1" s="1"/>
  <c r="P147" i="1"/>
  <c r="X145" i="1"/>
  <c r="X144" i="1"/>
  <c r="BO143" i="1"/>
  <c r="BM143" i="1"/>
  <c r="Y143" i="1"/>
  <c r="BP143" i="1" s="1"/>
  <c r="P143" i="1"/>
  <c r="BO142" i="1"/>
  <c r="BM142" i="1"/>
  <c r="Y142" i="1"/>
  <c r="BP142" i="1" s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BP131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BP125" i="1" s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P120" i="1" s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BP81" i="1" s="1"/>
  <c r="P81" i="1"/>
  <c r="BO80" i="1"/>
  <c r="BM80" i="1"/>
  <c r="Y80" i="1"/>
  <c r="Y84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8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P37" i="1" s="1"/>
  <c r="P37" i="1"/>
  <c r="X33" i="1"/>
  <c r="X32" i="1"/>
  <c r="BO31" i="1"/>
  <c r="BM31" i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Z54" i="1" l="1"/>
  <c r="BN54" i="1"/>
  <c r="Z114" i="1"/>
  <c r="BN114" i="1"/>
  <c r="Y129" i="1"/>
  <c r="Z121" i="1"/>
  <c r="BN121" i="1"/>
  <c r="Z124" i="1"/>
  <c r="BN124" i="1"/>
  <c r="Z125" i="1"/>
  <c r="BN125" i="1"/>
  <c r="Z225" i="1"/>
  <c r="BN225" i="1"/>
  <c r="Z230" i="1"/>
  <c r="BN230" i="1"/>
  <c r="Z260" i="1"/>
  <c r="BN260" i="1"/>
  <c r="Z345" i="1"/>
  <c r="BN345" i="1"/>
  <c r="Z351" i="1"/>
  <c r="BN351" i="1"/>
  <c r="Z31" i="1"/>
  <c r="Z32" i="1" s="1"/>
  <c r="BN31" i="1"/>
  <c r="BP31" i="1"/>
  <c r="Y32" i="1"/>
  <c r="Z37" i="1"/>
  <c r="BN37" i="1"/>
  <c r="Z72" i="1"/>
  <c r="BN72" i="1"/>
  <c r="Z99" i="1"/>
  <c r="BN99" i="1"/>
  <c r="Z142" i="1"/>
  <c r="BN142" i="1"/>
  <c r="Z213" i="1"/>
  <c r="BN213" i="1"/>
  <c r="Z279" i="1"/>
  <c r="BN279" i="1"/>
  <c r="Z335" i="1"/>
  <c r="BN335" i="1"/>
  <c r="Z378" i="1"/>
  <c r="BN378" i="1"/>
  <c r="Z464" i="1"/>
  <c r="Z466" i="1" s="1"/>
  <c r="BN464" i="1"/>
  <c r="BP464" i="1"/>
  <c r="Z465" i="1"/>
  <c r="BN465" i="1"/>
  <c r="Y466" i="1"/>
  <c r="Z470" i="1"/>
  <c r="Z471" i="1" s="1"/>
  <c r="BN470" i="1"/>
  <c r="BP470" i="1"/>
  <c r="BP205" i="1"/>
  <c r="BN205" i="1"/>
  <c r="Z205" i="1"/>
  <c r="BP234" i="1"/>
  <c r="BN234" i="1"/>
  <c r="Z234" i="1"/>
  <c r="BP272" i="1"/>
  <c r="BN272" i="1"/>
  <c r="Z272" i="1"/>
  <c r="BP329" i="1"/>
  <c r="BN329" i="1"/>
  <c r="Z329" i="1"/>
  <c r="BP368" i="1"/>
  <c r="BN368" i="1"/>
  <c r="Z368" i="1"/>
  <c r="BP406" i="1"/>
  <c r="BN406" i="1"/>
  <c r="Z406" i="1"/>
  <c r="Y426" i="1"/>
  <c r="Y425" i="1"/>
  <c r="BP424" i="1"/>
  <c r="BN424" i="1"/>
  <c r="Z424" i="1"/>
  <c r="Z425" i="1" s="1"/>
  <c r="BP434" i="1"/>
  <c r="BN434" i="1"/>
  <c r="Z434" i="1"/>
  <c r="BP446" i="1"/>
  <c r="BN446" i="1"/>
  <c r="Z446" i="1"/>
  <c r="BP511" i="1"/>
  <c r="BN511" i="1"/>
  <c r="Z511" i="1"/>
  <c r="BP515" i="1"/>
  <c r="BN515" i="1"/>
  <c r="Z515" i="1"/>
  <c r="X593" i="1"/>
  <c r="Z23" i="1"/>
  <c r="BN23" i="1"/>
  <c r="Z24" i="1"/>
  <c r="BN24" i="1"/>
  <c r="Z25" i="1"/>
  <c r="BN25" i="1"/>
  <c r="Z50" i="1"/>
  <c r="BN50" i="1"/>
  <c r="Z60" i="1"/>
  <c r="BN60" i="1"/>
  <c r="Z76" i="1"/>
  <c r="BN76" i="1"/>
  <c r="Z89" i="1"/>
  <c r="BN89" i="1"/>
  <c r="Y103" i="1"/>
  <c r="Z106" i="1"/>
  <c r="BN106" i="1"/>
  <c r="Z131" i="1"/>
  <c r="BN131" i="1"/>
  <c r="G602" i="1"/>
  <c r="Z153" i="1"/>
  <c r="Z154" i="1" s="1"/>
  <c r="BN153" i="1"/>
  <c r="BP153" i="1"/>
  <c r="Z157" i="1"/>
  <c r="BN157" i="1"/>
  <c r="BP217" i="1"/>
  <c r="BN217" i="1"/>
  <c r="Z217" i="1"/>
  <c r="BP256" i="1"/>
  <c r="BN256" i="1"/>
  <c r="Z256" i="1"/>
  <c r="Q602" i="1"/>
  <c r="Y287" i="1"/>
  <c r="BP286" i="1"/>
  <c r="BN286" i="1"/>
  <c r="Z286" i="1"/>
  <c r="Z287" i="1" s="1"/>
  <c r="Y292" i="1"/>
  <c r="Y291" i="1"/>
  <c r="BP290" i="1"/>
  <c r="BN290" i="1"/>
  <c r="Z290" i="1"/>
  <c r="Z291" i="1" s="1"/>
  <c r="Y296" i="1"/>
  <c r="Y295" i="1"/>
  <c r="BP294" i="1"/>
  <c r="BN294" i="1"/>
  <c r="Z294" i="1"/>
  <c r="Z295" i="1" s="1"/>
  <c r="R602" i="1"/>
  <c r="Y300" i="1"/>
  <c r="BP299" i="1"/>
  <c r="BN299" i="1"/>
  <c r="Z299" i="1"/>
  <c r="Z300" i="1" s="1"/>
  <c r="Y305" i="1"/>
  <c r="BP304" i="1"/>
  <c r="BN304" i="1"/>
  <c r="Z304" i="1"/>
  <c r="Z305" i="1" s="1"/>
  <c r="BP308" i="1"/>
  <c r="BN308" i="1"/>
  <c r="Z308" i="1"/>
  <c r="BP339" i="1"/>
  <c r="BN339" i="1"/>
  <c r="Z339" i="1"/>
  <c r="BP382" i="1"/>
  <c r="BN382" i="1"/>
  <c r="Z382" i="1"/>
  <c r="BP419" i="1"/>
  <c r="BN419" i="1"/>
  <c r="Z419" i="1"/>
  <c r="BP435" i="1"/>
  <c r="BN435" i="1"/>
  <c r="Z435" i="1"/>
  <c r="BP481" i="1"/>
  <c r="BN481" i="1"/>
  <c r="Z481" i="1"/>
  <c r="BP512" i="1"/>
  <c r="BN512" i="1"/>
  <c r="Z512" i="1"/>
  <c r="BP516" i="1"/>
  <c r="BN516" i="1"/>
  <c r="Z516" i="1"/>
  <c r="BP323" i="1"/>
  <c r="BN323" i="1"/>
  <c r="Z323" i="1"/>
  <c r="BP337" i="1"/>
  <c r="BN337" i="1"/>
  <c r="Z337" i="1"/>
  <c r="BP357" i="1"/>
  <c r="BN357" i="1"/>
  <c r="Z357" i="1"/>
  <c r="BP380" i="1"/>
  <c r="BN380" i="1"/>
  <c r="Z380" i="1"/>
  <c r="BP404" i="1"/>
  <c r="BN404" i="1"/>
  <c r="Z404" i="1"/>
  <c r="BP417" i="1"/>
  <c r="BN417" i="1"/>
  <c r="Z417" i="1"/>
  <c r="BP440" i="1"/>
  <c r="BN440" i="1"/>
  <c r="Z440" i="1"/>
  <c r="Y461" i="1"/>
  <c r="BP456" i="1"/>
  <c r="BN456" i="1"/>
  <c r="Z456" i="1"/>
  <c r="Z460" i="1" s="1"/>
  <c r="BP488" i="1"/>
  <c r="BN488" i="1"/>
  <c r="Z488" i="1"/>
  <c r="Y504" i="1"/>
  <c r="Y503" i="1"/>
  <c r="BP499" i="1"/>
  <c r="BN499" i="1"/>
  <c r="Z499" i="1"/>
  <c r="BP501" i="1"/>
  <c r="BN501" i="1"/>
  <c r="Z501" i="1"/>
  <c r="B602" i="1"/>
  <c r="X594" i="1"/>
  <c r="Z27" i="1"/>
  <c r="BN27" i="1"/>
  <c r="X592" i="1"/>
  <c r="Z39" i="1"/>
  <c r="BN39" i="1"/>
  <c r="D602" i="1"/>
  <c r="Z52" i="1"/>
  <c r="BN52" i="1"/>
  <c r="Z58" i="1"/>
  <c r="BN58" i="1"/>
  <c r="BP58" i="1"/>
  <c r="Z66" i="1"/>
  <c r="BN66" i="1"/>
  <c r="Y78" i="1"/>
  <c r="Z74" i="1"/>
  <c r="BN74" i="1"/>
  <c r="Z80" i="1"/>
  <c r="BN80" i="1"/>
  <c r="BP80" i="1"/>
  <c r="Z87" i="1"/>
  <c r="BN87" i="1"/>
  <c r="Z93" i="1"/>
  <c r="BN93" i="1"/>
  <c r="BP93" i="1"/>
  <c r="Z101" i="1"/>
  <c r="BN101" i="1"/>
  <c r="Z108" i="1"/>
  <c r="BN108" i="1"/>
  <c r="Y116" i="1"/>
  <c r="Z127" i="1"/>
  <c r="BN127" i="1"/>
  <c r="Y133" i="1"/>
  <c r="Z138" i="1"/>
  <c r="BN138" i="1"/>
  <c r="Y144" i="1"/>
  <c r="Z148" i="1"/>
  <c r="BN148" i="1"/>
  <c r="Y161" i="1"/>
  <c r="Z159" i="1"/>
  <c r="BN159" i="1"/>
  <c r="Z176" i="1"/>
  <c r="BN176" i="1"/>
  <c r="Z181" i="1"/>
  <c r="BN181" i="1"/>
  <c r="Z186" i="1"/>
  <c r="Z187" i="1" s="1"/>
  <c r="BN186" i="1"/>
  <c r="BP186" i="1"/>
  <c r="Y187" i="1"/>
  <c r="Z191" i="1"/>
  <c r="BN191" i="1"/>
  <c r="Z203" i="1"/>
  <c r="BN203" i="1"/>
  <c r="Z207" i="1"/>
  <c r="BN207" i="1"/>
  <c r="Z215" i="1"/>
  <c r="BN215" i="1"/>
  <c r="Z219" i="1"/>
  <c r="BN219" i="1"/>
  <c r="Z232" i="1"/>
  <c r="BN232" i="1"/>
  <c r="Z236" i="1"/>
  <c r="BN236" i="1"/>
  <c r="Z241" i="1"/>
  <c r="BN241" i="1"/>
  <c r="BP241" i="1"/>
  <c r="Z246" i="1"/>
  <c r="Z247" i="1" s="1"/>
  <c r="BN246" i="1"/>
  <c r="BP246" i="1"/>
  <c r="Y247" i="1"/>
  <c r="Z258" i="1"/>
  <c r="BN258" i="1"/>
  <c r="Z265" i="1"/>
  <c r="Z266" i="1" s="1"/>
  <c r="BN265" i="1"/>
  <c r="BP265" i="1"/>
  <c r="Y266" i="1"/>
  <c r="Z270" i="1"/>
  <c r="BN270" i="1"/>
  <c r="Z277" i="1"/>
  <c r="BN277" i="1"/>
  <c r="Z281" i="1"/>
  <c r="BN281" i="1"/>
  <c r="BP319" i="1"/>
  <c r="BN319" i="1"/>
  <c r="Z319" i="1"/>
  <c r="BP331" i="1"/>
  <c r="BN331" i="1"/>
  <c r="Z331" i="1"/>
  <c r="Y347" i="1"/>
  <c r="BP343" i="1"/>
  <c r="BN343" i="1"/>
  <c r="Z343" i="1"/>
  <c r="Z346" i="1" s="1"/>
  <c r="BP376" i="1"/>
  <c r="BN376" i="1"/>
  <c r="Z376" i="1"/>
  <c r="BP384" i="1"/>
  <c r="BN384" i="1"/>
  <c r="Z384" i="1"/>
  <c r="BP412" i="1"/>
  <c r="BN412" i="1"/>
  <c r="Z412" i="1"/>
  <c r="BP416" i="1"/>
  <c r="BN416" i="1"/>
  <c r="Z416" i="1"/>
  <c r="BP437" i="1"/>
  <c r="BN437" i="1"/>
  <c r="Z437" i="1"/>
  <c r="Y453" i="1"/>
  <c r="BP451" i="1"/>
  <c r="BN451" i="1"/>
  <c r="Z451" i="1"/>
  <c r="BP459" i="1"/>
  <c r="BN459" i="1"/>
  <c r="Z459" i="1"/>
  <c r="BP483" i="1"/>
  <c r="BN483" i="1"/>
  <c r="Z483" i="1"/>
  <c r="BP493" i="1"/>
  <c r="BN493" i="1"/>
  <c r="Z493" i="1"/>
  <c r="BP500" i="1"/>
  <c r="BN500" i="1"/>
  <c r="Z500" i="1"/>
  <c r="BP502" i="1"/>
  <c r="BN502" i="1"/>
  <c r="Z502" i="1"/>
  <c r="BP522" i="1"/>
  <c r="BN522" i="1"/>
  <c r="Z522" i="1"/>
  <c r="Y310" i="1"/>
  <c r="Y341" i="1"/>
  <c r="Y390" i="1"/>
  <c r="H9" i="1"/>
  <c r="A10" i="1"/>
  <c r="Y28" i="1"/>
  <c r="Y42" i="1"/>
  <c r="Y46" i="1"/>
  <c r="Y55" i="1"/>
  <c r="Y63" i="1"/>
  <c r="Y69" i="1"/>
  <c r="Y77" i="1"/>
  <c r="Y83" i="1"/>
  <c r="Y90" i="1"/>
  <c r="Y102" i="1"/>
  <c r="Y111" i="1"/>
  <c r="Y117" i="1"/>
  <c r="Y128" i="1"/>
  <c r="Y134" i="1"/>
  <c r="Y139" i="1"/>
  <c r="Y145" i="1"/>
  <c r="Y149" i="1"/>
  <c r="Y162" i="1"/>
  <c r="Y166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57" i="1"/>
  <c r="BN257" i="1"/>
  <c r="Z257" i="1"/>
  <c r="Y261" i="1"/>
  <c r="BP271" i="1"/>
  <c r="BN271" i="1"/>
  <c r="Z271" i="1"/>
  <c r="Z273" i="1" s="1"/>
  <c r="BP280" i="1"/>
  <c r="BN280" i="1"/>
  <c r="Z280" i="1"/>
  <c r="BP338" i="1"/>
  <c r="BN338" i="1"/>
  <c r="Z338" i="1"/>
  <c r="BP405" i="1"/>
  <c r="BN405" i="1"/>
  <c r="Z405" i="1"/>
  <c r="BP418" i="1"/>
  <c r="BN418" i="1"/>
  <c r="Z418" i="1"/>
  <c r="Y422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3" i="1"/>
  <c r="Y448" i="1"/>
  <c r="BP445" i="1"/>
  <c r="BN445" i="1"/>
  <c r="Z445" i="1"/>
  <c r="Z447" i="1" s="1"/>
  <c r="Y447" i="1"/>
  <c r="I602" i="1"/>
  <c r="F9" i="1"/>
  <c r="J9" i="1"/>
  <c r="Z22" i="1"/>
  <c r="BN22" i="1"/>
  <c r="BP22" i="1"/>
  <c r="Z26" i="1"/>
  <c r="BN26" i="1"/>
  <c r="X596" i="1"/>
  <c r="Y29" i="1"/>
  <c r="C602" i="1"/>
  <c r="Z38" i="1"/>
  <c r="BN38" i="1"/>
  <c r="Z40" i="1"/>
  <c r="BN40" i="1"/>
  <c r="Y41" i="1"/>
  <c r="Z44" i="1"/>
  <c r="Z45" i="1" s="1"/>
  <c r="BN44" i="1"/>
  <c r="BP44" i="1"/>
  <c r="Z49" i="1"/>
  <c r="BN49" i="1"/>
  <c r="BP49" i="1"/>
  <c r="Z51" i="1"/>
  <c r="BN51" i="1"/>
  <c r="Z53" i="1"/>
  <c r="BN53" i="1"/>
  <c r="Y56" i="1"/>
  <c r="Z59" i="1"/>
  <c r="BN59" i="1"/>
  <c r="Z61" i="1"/>
  <c r="BN61" i="1"/>
  <c r="Z65" i="1"/>
  <c r="BN65" i="1"/>
  <c r="BP65" i="1"/>
  <c r="Z67" i="1"/>
  <c r="BN67" i="1"/>
  <c r="Z71" i="1"/>
  <c r="BN71" i="1"/>
  <c r="BP71" i="1"/>
  <c r="Z73" i="1"/>
  <c r="BN73" i="1"/>
  <c r="Z75" i="1"/>
  <c r="BN75" i="1"/>
  <c r="Z81" i="1"/>
  <c r="BN81" i="1"/>
  <c r="E602" i="1"/>
  <c r="Z88" i="1"/>
  <c r="Z90" i="1" s="1"/>
  <c r="BN88" i="1"/>
  <c r="Y91" i="1"/>
  <c r="Z94" i="1"/>
  <c r="BN94" i="1"/>
  <c r="Z95" i="1"/>
  <c r="BN95" i="1"/>
  <c r="Z96" i="1"/>
  <c r="BN96" i="1"/>
  <c r="Z97" i="1"/>
  <c r="BN97" i="1"/>
  <c r="Z98" i="1"/>
  <c r="BN98" i="1"/>
  <c r="Z100" i="1"/>
  <c r="BN100" i="1"/>
  <c r="F602" i="1"/>
  <c r="Z107" i="1"/>
  <c r="BN107" i="1"/>
  <c r="Z109" i="1"/>
  <c r="BN109" i="1"/>
  <c r="Y110" i="1"/>
  <c r="Z113" i="1"/>
  <c r="BN113" i="1"/>
  <c r="BP113" i="1"/>
  <c r="Z115" i="1"/>
  <c r="BN115" i="1"/>
  <c r="Z119" i="1"/>
  <c r="BN119" i="1"/>
  <c r="BP119" i="1"/>
  <c r="Z120" i="1"/>
  <c r="BN120" i="1"/>
  <c r="Z122" i="1"/>
  <c r="BN122" i="1"/>
  <c r="Z123" i="1"/>
  <c r="BN123" i="1"/>
  <c r="Z126" i="1"/>
  <c r="BN126" i="1"/>
  <c r="Z132" i="1"/>
  <c r="BN132" i="1"/>
  <c r="Z137" i="1"/>
  <c r="BN137" i="1"/>
  <c r="BP137" i="1"/>
  <c r="Y140" i="1"/>
  <c r="Z143" i="1"/>
  <c r="BN143" i="1"/>
  <c r="Z147" i="1"/>
  <c r="Z149" i="1" s="1"/>
  <c r="BN147" i="1"/>
  <c r="BP147" i="1"/>
  <c r="H602" i="1"/>
  <c r="Y155" i="1"/>
  <c r="Z158" i="1"/>
  <c r="BN158" i="1"/>
  <c r="Z160" i="1"/>
  <c r="BN160" i="1"/>
  <c r="Z164" i="1"/>
  <c r="Z165" i="1" s="1"/>
  <c r="BN164" i="1"/>
  <c r="BP164" i="1"/>
  <c r="Z170" i="1"/>
  <c r="Z171" i="1" s="1"/>
  <c r="BN170" i="1"/>
  <c r="BP170" i="1"/>
  <c r="Y171" i="1"/>
  <c r="Y183" i="1"/>
  <c r="BP177" i="1"/>
  <c r="BN177" i="1"/>
  <c r="Z177" i="1"/>
  <c r="BP182" i="1"/>
  <c r="BN182" i="1"/>
  <c r="Z182" i="1"/>
  <c r="Y184" i="1"/>
  <c r="BP192" i="1"/>
  <c r="BN192" i="1"/>
  <c r="Z192" i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BP233" i="1"/>
  <c r="BN233" i="1"/>
  <c r="Z233" i="1"/>
  <c r="BP237" i="1"/>
  <c r="BN237" i="1"/>
  <c r="Z237" i="1"/>
  <c r="Y239" i="1"/>
  <c r="BP242" i="1"/>
  <c r="BN242" i="1"/>
  <c r="Z242" i="1"/>
  <c r="Y244" i="1"/>
  <c r="Y251" i="1"/>
  <c r="BP250" i="1"/>
  <c r="BN250" i="1"/>
  <c r="Z250" i="1"/>
  <c r="Z251" i="1" s="1"/>
  <c r="Y252" i="1"/>
  <c r="L602" i="1"/>
  <c r="Y262" i="1"/>
  <c r="BP255" i="1"/>
  <c r="BN255" i="1"/>
  <c r="Z255" i="1"/>
  <c r="BP259" i="1"/>
  <c r="BN259" i="1"/>
  <c r="Z259" i="1"/>
  <c r="Y273" i="1"/>
  <c r="BP278" i="1"/>
  <c r="BN278" i="1"/>
  <c r="Z278" i="1"/>
  <c r="Y282" i="1"/>
  <c r="BP309" i="1"/>
  <c r="BN309" i="1"/>
  <c r="Z309" i="1"/>
  <c r="Y311" i="1"/>
  <c r="T602" i="1"/>
  <c r="Y316" i="1"/>
  <c r="Y315" i="1"/>
  <c r="BP314" i="1"/>
  <c r="BN314" i="1"/>
  <c r="Z314" i="1"/>
  <c r="Z315" i="1" s="1"/>
  <c r="BP322" i="1"/>
  <c r="BN322" i="1"/>
  <c r="Z322" i="1"/>
  <c r="BP330" i="1"/>
  <c r="BN330" i="1"/>
  <c r="Z330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Y360" i="1"/>
  <c r="BP369" i="1"/>
  <c r="BN369" i="1"/>
  <c r="Z369" i="1"/>
  <c r="Y371" i="1"/>
  <c r="W602" i="1"/>
  <c r="Y386" i="1"/>
  <c r="BP375" i="1"/>
  <c r="BN375" i="1"/>
  <c r="Z375" i="1"/>
  <c r="Y385" i="1"/>
  <c r="BP379" i="1"/>
  <c r="BN379" i="1"/>
  <c r="Z379" i="1"/>
  <c r="BP383" i="1"/>
  <c r="BN383" i="1"/>
  <c r="Z383" i="1"/>
  <c r="BP458" i="1"/>
  <c r="BN458" i="1"/>
  <c r="Z458" i="1"/>
  <c r="BP507" i="1"/>
  <c r="BN507" i="1"/>
  <c r="Z507" i="1"/>
  <c r="BP509" i="1"/>
  <c r="BN509" i="1"/>
  <c r="Z509" i="1"/>
  <c r="BP513" i="1"/>
  <c r="BN513" i="1"/>
  <c r="Z513" i="1"/>
  <c r="BP517" i="1"/>
  <c r="BN517" i="1"/>
  <c r="Z517" i="1"/>
  <c r="Z602" i="1"/>
  <c r="J602" i="1"/>
  <c r="Y193" i="1"/>
  <c r="K602" i="1"/>
  <c r="Y238" i="1"/>
  <c r="Y267" i="1"/>
  <c r="O602" i="1"/>
  <c r="Y274" i="1"/>
  <c r="P602" i="1"/>
  <c r="Y283" i="1"/>
  <c r="Y288" i="1"/>
  <c r="Y301" i="1"/>
  <c r="S602" i="1"/>
  <c r="Y306" i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BP350" i="1"/>
  <c r="BN350" i="1"/>
  <c r="Z350" i="1"/>
  <c r="BP358" i="1"/>
  <c r="BN358" i="1"/>
  <c r="Z358" i="1"/>
  <c r="V602" i="1"/>
  <c r="Y364" i="1"/>
  <c r="BP363" i="1"/>
  <c r="BN363" i="1"/>
  <c r="Z363" i="1"/>
  <c r="Z364" i="1" s="1"/>
  <c r="Y365" i="1"/>
  <c r="Y370" i="1"/>
  <c r="BP367" i="1"/>
  <c r="BN367" i="1"/>
  <c r="Z367" i="1"/>
  <c r="Z370" i="1" s="1"/>
  <c r="BP377" i="1"/>
  <c r="BN377" i="1"/>
  <c r="Z377" i="1"/>
  <c r="BP381" i="1"/>
  <c r="BN381" i="1"/>
  <c r="Z381" i="1"/>
  <c r="BP389" i="1"/>
  <c r="BN389" i="1"/>
  <c r="Z389" i="1"/>
  <c r="Z390" i="1" s="1"/>
  <c r="Y391" i="1"/>
  <c r="Y399" i="1"/>
  <c r="BP398" i="1"/>
  <c r="BN398" i="1"/>
  <c r="Z398" i="1"/>
  <c r="Z399" i="1" s="1"/>
  <c r="Y400" i="1"/>
  <c r="X602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21" i="1"/>
  <c r="BP420" i="1"/>
  <c r="BN420" i="1"/>
  <c r="Z420" i="1"/>
  <c r="Z421" i="1" s="1"/>
  <c r="Y602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Y475" i="1"/>
  <c r="BP474" i="1"/>
  <c r="BN474" i="1"/>
  <c r="Z474" i="1"/>
  <c r="Z475" i="1" s="1"/>
  <c r="Y476" i="1"/>
  <c r="AC602" i="1"/>
  <c r="Y497" i="1"/>
  <c r="BP480" i="1"/>
  <c r="BN480" i="1"/>
  <c r="Z480" i="1"/>
  <c r="Y496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U602" i="1"/>
  <c r="Y325" i="1"/>
  <c r="Y467" i="1"/>
  <c r="AB602" i="1"/>
  <c r="Y47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524" i="1" l="1"/>
  <c r="Z529" i="1"/>
  <c r="Z340" i="1"/>
  <c r="Z332" i="1"/>
  <c r="Z325" i="1"/>
  <c r="Z310" i="1"/>
  <c r="Z282" i="1"/>
  <c r="Z226" i="1"/>
  <c r="Z193" i="1"/>
  <c r="Z144" i="1"/>
  <c r="Z139" i="1"/>
  <c r="Z133" i="1"/>
  <c r="Z102" i="1"/>
  <c r="Z41" i="1"/>
  <c r="Z243" i="1"/>
  <c r="Z83" i="1"/>
  <c r="X595" i="1"/>
  <c r="Z62" i="1"/>
  <c r="Z503" i="1"/>
  <c r="Z261" i="1"/>
  <c r="Z161" i="1"/>
  <c r="Z128" i="1"/>
  <c r="Z110" i="1"/>
  <c r="Z77" i="1"/>
  <c r="Z238" i="1"/>
  <c r="Z209" i="1"/>
  <c r="Z183" i="1"/>
  <c r="Z566" i="1"/>
  <c r="Z496" i="1"/>
  <c r="Z442" i="1"/>
  <c r="Z221" i="1"/>
  <c r="Y593" i="1"/>
  <c r="Z548" i="1"/>
  <c r="Z518" i="1"/>
  <c r="Z408" i="1"/>
  <c r="Z385" i="1"/>
  <c r="Z359" i="1"/>
  <c r="Z353" i="1"/>
  <c r="Z116" i="1"/>
  <c r="Z68" i="1"/>
  <c r="Z55" i="1"/>
  <c r="Y592" i="1"/>
  <c r="Y594" i="1"/>
  <c r="Z28" i="1"/>
  <c r="Y596" i="1"/>
  <c r="Z597" i="1" l="1"/>
  <c r="Y595" i="1"/>
</calcChain>
</file>

<file path=xl/sharedStrings.xml><?xml version="1.0" encoding="utf-8"?>
<sst xmlns="http://schemas.openxmlformats.org/spreadsheetml/2006/main" count="2738" uniqueCount="970">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</sst>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73" sqref="AA73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51" t="s">
        <v>0</v>
      </c>
      <c r="E1" s="698"/>
      <c r="F1" s="698"/>
      <c r="G1" s="12" t="s">
        <v>1</v>
      </c>
      <c r="H1" s="751" t="s">
        <v>2</v>
      </c>
      <c r="I1" s="698"/>
      <c r="J1" s="698"/>
      <c r="K1" s="698"/>
      <c r="L1" s="698"/>
      <c r="M1" s="698"/>
      <c r="N1" s="698"/>
      <c r="O1" s="698"/>
      <c r="P1" s="698"/>
      <c r="Q1" s="698"/>
      <c r="R1" s="697" t="s">
        <v>3</v>
      </c>
      <c r="S1" s="698"/>
      <c r="T1" s="6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7" t="s">
        <v>8</v>
      </c>
      <c r="B5" s="808"/>
      <c r="C5" s="809"/>
      <c r="D5" s="755"/>
      <c r="E5" s="756"/>
      <c r="F5" s="1009" t="s">
        <v>9</v>
      </c>
      <c r="G5" s="809"/>
      <c r="H5" s="755" t="s">
        <v>969</v>
      </c>
      <c r="I5" s="947"/>
      <c r="J5" s="947"/>
      <c r="K5" s="947"/>
      <c r="L5" s="947"/>
      <c r="M5" s="756"/>
      <c r="N5" s="58"/>
      <c r="P5" s="24" t="s">
        <v>10</v>
      </c>
      <c r="Q5" s="1023">
        <v>45771</v>
      </c>
      <c r="R5" s="806"/>
      <c r="T5" s="854" t="s">
        <v>11</v>
      </c>
      <c r="U5" s="761"/>
      <c r="V5" s="856" t="s">
        <v>12</v>
      </c>
      <c r="W5" s="806"/>
      <c r="AB5" s="51"/>
      <c r="AC5" s="51"/>
      <c r="AD5" s="51"/>
      <c r="AE5" s="51"/>
    </row>
    <row r="6" spans="1:32" s="659" customFormat="1" ht="24" customHeight="1" x14ac:dyDescent="0.2">
      <c r="A6" s="807" t="s">
        <v>13</v>
      </c>
      <c r="B6" s="808"/>
      <c r="C6" s="809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806"/>
      <c r="N6" s="59"/>
      <c r="P6" s="24" t="s">
        <v>15</v>
      </c>
      <c r="Q6" s="1030" t="str">
        <f>IF(Q5=0," ",CHOOSE(WEEKDAY(Q5,2),"Понедельник","Вторник","Среда","Четверг","Пятница","Суббота","Воскресенье"))</f>
        <v>Четверг</v>
      </c>
      <c r="R6" s="670"/>
      <c r="T6" s="859" t="s">
        <v>16</v>
      </c>
      <c r="U6" s="761"/>
      <c r="V6" s="929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761"/>
      <c r="V7" s="930"/>
      <c r="W7" s="931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7"/>
      <c r="C8" s="688"/>
      <c r="D8" s="738" t="s">
        <v>19</v>
      </c>
      <c r="E8" s="739"/>
      <c r="F8" s="739"/>
      <c r="G8" s="739"/>
      <c r="H8" s="739"/>
      <c r="I8" s="739"/>
      <c r="J8" s="739"/>
      <c r="K8" s="739"/>
      <c r="L8" s="739"/>
      <c r="M8" s="740"/>
      <c r="N8" s="61"/>
      <c r="P8" s="24" t="s">
        <v>20</v>
      </c>
      <c r="Q8" s="818">
        <v>0.58333333333333337</v>
      </c>
      <c r="R8" s="727"/>
      <c r="T8" s="679"/>
      <c r="U8" s="761"/>
      <c r="V8" s="930"/>
      <c r="W8" s="931"/>
      <c r="AB8" s="51"/>
      <c r="AC8" s="51"/>
      <c r="AD8" s="51"/>
      <c r="AE8" s="51"/>
    </row>
    <row r="9" spans="1:32" s="659" customFormat="1" ht="39.950000000000003" customHeight="1" x14ac:dyDescent="0.2">
      <c r="A9" s="8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38"/>
      <c r="E9" s="685"/>
      <c r="F9" s="8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801"/>
      <c r="R9" s="802"/>
      <c r="T9" s="679"/>
      <c r="U9" s="761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38"/>
      <c r="E10" s="685"/>
      <c r="F10" s="8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21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60"/>
      <c r="R10" s="861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5"/>
      <c r="R11" s="806"/>
      <c r="U11" s="24" t="s">
        <v>27</v>
      </c>
      <c r="V11" s="968" t="s">
        <v>28</v>
      </c>
      <c r="W11" s="802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9"/>
      <c r="N12" s="62"/>
      <c r="P12" s="24" t="s">
        <v>30</v>
      </c>
      <c r="Q12" s="818"/>
      <c r="R12" s="727"/>
      <c r="S12" s="23"/>
      <c r="U12" s="24"/>
      <c r="V12" s="698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8"/>
      <c r="C13" s="808"/>
      <c r="D13" s="808"/>
      <c r="E13" s="808"/>
      <c r="F13" s="808"/>
      <c r="G13" s="808"/>
      <c r="H13" s="808"/>
      <c r="I13" s="808"/>
      <c r="J13" s="808"/>
      <c r="K13" s="808"/>
      <c r="L13" s="808"/>
      <c r="M13" s="809"/>
      <c r="N13" s="62"/>
      <c r="O13" s="26"/>
      <c r="P13" s="26" t="s">
        <v>32</v>
      </c>
      <c r="Q13" s="968"/>
      <c r="R13" s="8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8"/>
      <c r="C14" s="808"/>
      <c r="D14" s="808"/>
      <c r="E14" s="808"/>
      <c r="F14" s="808"/>
      <c r="G14" s="808"/>
      <c r="H14" s="808"/>
      <c r="I14" s="808"/>
      <c r="J14" s="808"/>
      <c r="K14" s="808"/>
      <c r="L14" s="808"/>
      <c r="M14" s="80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9"/>
      <c r="N15" s="63"/>
      <c r="P15" s="844" t="s">
        <v>35</v>
      </c>
      <c r="Q15" s="698"/>
      <c r="R15" s="698"/>
      <c r="S15" s="698"/>
      <c r="T15" s="6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5"/>
      <c r="Q16" s="845"/>
      <c r="R16" s="845"/>
      <c r="S16" s="845"/>
      <c r="T16" s="84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36</v>
      </c>
      <c r="B17" s="692" t="s">
        <v>37</v>
      </c>
      <c r="C17" s="831" t="s">
        <v>38</v>
      </c>
      <c r="D17" s="692" t="s">
        <v>39</v>
      </c>
      <c r="E17" s="782"/>
      <c r="F17" s="692" t="s">
        <v>40</v>
      </c>
      <c r="G17" s="692" t="s">
        <v>41</v>
      </c>
      <c r="H17" s="692" t="s">
        <v>42</v>
      </c>
      <c r="I17" s="692" t="s">
        <v>43</v>
      </c>
      <c r="J17" s="692" t="s">
        <v>44</v>
      </c>
      <c r="K17" s="692" t="s">
        <v>45</v>
      </c>
      <c r="L17" s="692" t="s">
        <v>46</v>
      </c>
      <c r="M17" s="692" t="s">
        <v>47</v>
      </c>
      <c r="N17" s="692" t="s">
        <v>48</v>
      </c>
      <c r="O17" s="692" t="s">
        <v>49</v>
      </c>
      <c r="P17" s="692" t="s">
        <v>50</v>
      </c>
      <c r="Q17" s="781"/>
      <c r="R17" s="781"/>
      <c r="S17" s="781"/>
      <c r="T17" s="782"/>
      <c r="U17" s="1040" t="s">
        <v>51</v>
      </c>
      <c r="V17" s="809"/>
      <c r="W17" s="692" t="s">
        <v>52</v>
      </c>
      <c r="X17" s="692" t="s">
        <v>53</v>
      </c>
      <c r="Y17" s="1041" t="s">
        <v>54</v>
      </c>
      <c r="Z17" s="944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693"/>
      <c r="B18" s="693"/>
      <c r="C18" s="693"/>
      <c r="D18" s="783"/>
      <c r="E18" s="78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93"/>
      <c r="X18" s="693"/>
      <c r="Y18" s="1042"/>
      <c r="Z18" s="945"/>
      <c r="AA18" s="919"/>
      <c r="AB18" s="919"/>
      <c r="AC18" s="919"/>
      <c r="AD18" s="1006"/>
      <c r="AE18" s="1007"/>
      <c r="AF18" s="1008"/>
      <c r="AG18" s="66"/>
      <c r="BD18" s="65"/>
    </row>
    <row r="19" spans="1:68" ht="27.75" hidden="1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hidden="1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hidden="1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hidden="1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hidden="1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hidden="1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hidden="1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hidden="1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hidden="1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hidden="1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0</v>
      </c>
      <c r="Y41" s="667">
        <f>IFERROR(Y37/H37,"0")+IFERROR(Y38/H38,"0")+IFERROR(Y39/H39,"0")+IFERROR(Y40/H40,"0")</f>
        <v>0</v>
      </c>
      <c r="Z41" s="667">
        <f>IFERROR(IF(Z37="",0,Z37),"0")+IFERROR(IF(Z38="",0,Z38),"0")+IFERROR(IF(Z39="",0,Z39),"0")+IFERROR(IF(Z40="",0,Z40),"0")</f>
        <v>0</v>
      </c>
      <c r="AA41" s="668"/>
      <c r="AB41" s="668"/>
      <c r="AC41" s="668"/>
    </row>
    <row r="42" spans="1:68" hidden="1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0</v>
      </c>
      <c r="Y42" s="667">
        <f>IFERROR(SUM(Y37:Y40),"0")</f>
        <v>0</v>
      </c>
      <c r="Z42" s="37"/>
      <c r="AA42" s="668"/>
      <c r="AB42" s="668"/>
      <c r="AC42" s="668"/>
    </row>
    <row r="43" spans="1:68" ht="14.25" hidden="1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hidden="1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hidden="1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hidden="1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3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136</v>
      </c>
      <c r="B54" s="54" t="s">
        <v>137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0</v>
      </c>
      <c r="Y54" s="666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0</v>
      </c>
      <c r="Y55" s="667">
        <f>IFERROR(Y49/H49,"0")+IFERROR(Y50/H50,"0")+IFERROR(Y51/H51,"0")+IFERROR(Y52/H52,"0")+IFERROR(Y53/H53,"0")+IFERROR(Y54/H54,"0")</f>
        <v>0</v>
      </c>
      <c r="Z55" s="667">
        <f>IFERROR(IF(Z49="",0,Z49),"0")+IFERROR(IF(Z50="",0,Z50),"0")+IFERROR(IF(Z51="",0,Z51),"0")+IFERROR(IF(Z52="",0,Z52),"0")+IFERROR(IF(Z53="",0,Z53),"0")+IFERROR(IF(Z54="",0,Z54),"0")</f>
        <v>0</v>
      </c>
      <c r="AA55" s="668"/>
      <c r="AB55" s="668"/>
      <c r="AC55" s="668"/>
    </row>
    <row r="56" spans="1:68" hidden="1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0</v>
      </c>
      <c r="Y56" s="667">
        <f>IFERROR(SUM(Y49:Y54),"0")</f>
        <v>0</v>
      </c>
      <c r="Z56" s="37"/>
      <c r="AA56" s="668"/>
      <c r="AB56" s="668"/>
      <c r="AC56" s="668"/>
    </row>
    <row r="57" spans="1:68" ht="14.25" hidden="1" customHeight="1" x14ac:dyDescent="0.25">
      <c r="A57" s="683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hidden="1" customHeight="1" x14ac:dyDescent="0.25">
      <c r="A58" s="54" t="s">
        <v>139</v>
      </c>
      <c r="B58" s="54" t="s">
        <v>140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147</v>
      </c>
      <c r="B61" s="54" t="s">
        <v>148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0</v>
      </c>
      <c r="Y62" s="667">
        <f>IFERROR(Y58/H58,"0")+IFERROR(Y59/H59,"0")+IFERROR(Y60/H60,"0")+IFERROR(Y61/H61,"0")</f>
        <v>0</v>
      </c>
      <c r="Z62" s="667">
        <f>IFERROR(IF(Z58="",0,Z58),"0")+IFERROR(IF(Z59="",0,Z59),"0")+IFERROR(IF(Z60="",0,Z60),"0")+IFERROR(IF(Z61="",0,Z61),"0")</f>
        <v>0</v>
      </c>
      <c r="AA62" s="668"/>
      <c r="AB62" s="668"/>
      <c r="AC62" s="668"/>
    </row>
    <row r="63" spans="1:68" hidden="1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0</v>
      </c>
      <c r="Y63" s="667">
        <f>IFERROR(SUM(Y58:Y61),"0")</f>
        <v>0</v>
      </c>
      <c r="Z63" s="37"/>
      <c r="AA63" s="668"/>
      <c r="AB63" s="668"/>
      <c r="AC63" s="668"/>
    </row>
    <row r="64" spans="1:68" ht="14.25" hidden="1" customHeight="1" x14ac:dyDescent="0.25">
      <c r="A64" s="683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hidden="1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hidden="1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1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100</v>
      </c>
      <c r="Y73" s="666">
        <f t="shared" si="11"/>
        <v>100.80000000000001</v>
      </c>
      <c r="Z73" s="36">
        <f>IFERROR(IF(Y73=0,"",ROUNDUP(Y73/H73,0)*0.01898),"")</f>
        <v>0.22776000000000002</v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106.03571428571429</v>
      </c>
      <c r="BN73" s="64">
        <f t="shared" si="13"/>
        <v>106.88400000000001</v>
      </c>
      <c r="BO73" s="64">
        <f t="shared" si="14"/>
        <v>0.18601190476190477</v>
      </c>
      <c r="BP73" s="64">
        <f t="shared" si="15"/>
        <v>0.1875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11.904761904761905</v>
      </c>
      <c r="Y77" s="667">
        <f>IFERROR(Y71/H71,"0")+IFERROR(Y72/H72,"0")+IFERROR(Y73/H73,"0")+IFERROR(Y74/H74,"0")+IFERROR(Y75/H75,"0")+IFERROR(Y76/H76,"0")</f>
        <v>12</v>
      </c>
      <c r="Z77" s="667">
        <f>IFERROR(IF(Z71="",0,Z71),"0")+IFERROR(IF(Z72="",0,Z72),"0")+IFERROR(IF(Z73="",0,Z73),"0")+IFERROR(IF(Z74="",0,Z74),"0")+IFERROR(IF(Z75="",0,Z75),"0")+IFERROR(IF(Z76="",0,Z76),"0")</f>
        <v>0.22776000000000002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100</v>
      </c>
      <c r="Y78" s="667">
        <f>IFERROR(SUM(Y71:Y76),"0")</f>
        <v>100.80000000000001</v>
      </c>
      <c r="Z78" s="37"/>
      <c r="AA78" s="668"/>
      <c r="AB78" s="668"/>
      <c r="AC78" s="668"/>
    </row>
    <row r="79" spans="1:68" ht="14.25" hidden="1" customHeight="1" x14ac:dyDescent="0.25">
      <c r="A79" s="683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hidden="1" customHeight="1" x14ac:dyDescent="0.25">
      <c r="A80" s="54" t="s">
        <v>176</v>
      </c>
      <c r="B80" s="54" t="s">
        <v>177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hidden="1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hidden="1" customHeight="1" x14ac:dyDescent="0.25">
      <c r="A85" s="718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hidden="1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hidden="1" customHeight="1" x14ac:dyDescent="0.25">
      <c r="A87" s="54" t="s">
        <v>184</v>
      </c>
      <c r="B87" s="54" t="s">
        <v>185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189</v>
      </c>
      <c r="B89" s="54" t="s">
        <v>190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0</v>
      </c>
      <c r="Y90" s="667">
        <f>IFERROR(Y87/H87,"0")+IFERROR(Y88/H88,"0")+IFERROR(Y89/H89,"0")</f>
        <v>0</v>
      </c>
      <c r="Z90" s="667">
        <f>IFERROR(IF(Z87="",0,Z87),"0")+IFERROR(IF(Z88="",0,Z88),"0")+IFERROR(IF(Z89="",0,Z89),"0")</f>
        <v>0</v>
      </c>
      <c r="AA90" s="668"/>
      <c r="AB90" s="668"/>
      <c r="AC90" s="668"/>
    </row>
    <row r="91" spans="1:68" hidden="1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0</v>
      </c>
      <c r="Y91" s="667">
        <f>IFERROR(SUM(Y87:Y89),"0")</f>
        <v>0</v>
      </c>
      <c r="Z91" s="37"/>
      <c r="AA91" s="668"/>
      <c r="AB91" s="668"/>
      <c r="AC91" s="668"/>
    </row>
    <row r="92" spans="1:68" ht="14.25" hidden="1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hidden="1" customHeight="1" x14ac:dyDescent="0.25">
      <c r="A93" s="54" t="s">
        <v>192</v>
      </c>
      <c r="B93" s="54" t="s">
        <v>193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5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7" t="s">
        <v>197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201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203</v>
      </c>
      <c r="B97" s="54" t="s">
        <v>204</v>
      </c>
      <c r="C97" s="31">
        <v>4301051718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774" t="s">
        <v>205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198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203</v>
      </c>
      <c r="B98" s="54" t="s">
        <v>206</v>
      </c>
      <c r="C98" s="31">
        <v>4301052039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8" t="s">
        <v>207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194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0</v>
      </c>
      <c r="Y102" s="667">
        <f>IFERROR(Y93/H93,"0")+IFERROR(Y94/H94,"0")+IFERROR(Y95/H95,"0")+IFERROR(Y96/H96,"0")+IFERROR(Y97/H97,"0")+IFERROR(Y98/H98,"0")+IFERROR(Y99/H99,"0")+IFERROR(Y100/H100,"0")+IFERROR(Y101/H101,"0")</f>
        <v>0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8"/>
      <c r="AB102" s="668"/>
      <c r="AC102" s="668"/>
    </row>
    <row r="103" spans="1:68" hidden="1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0</v>
      </c>
      <c r="Y103" s="667">
        <f>IFERROR(SUM(Y93:Y101),"0")</f>
        <v>0</v>
      </c>
      <c r="Z103" s="37"/>
      <c r="AA103" s="668"/>
      <c r="AB103" s="668"/>
      <c r="AC103" s="668"/>
    </row>
    <row r="104" spans="1:68" ht="16.5" hidden="1" customHeight="1" x14ac:dyDescent="0.25">
      <c r="A104" s="718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hidden="1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218</v>
      </c>
      <c r="B107" s="54" t="s">
        <v>219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220</v>
      </c>
      <c r="B108" s="54" t="s">
        <v>221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0</v>
      </c>
      <c r="Y110" s="667">
        <f>IFERROR(Y106/H106,"0")+IFERROR(Y107/H107,"0")+IFERROR(Y108/H108,"0")+IFERROR(Y109/H109,"0")</f>
        <v>0</v>
      </c>
      <c r="Z110" s="667">
        <f>IFERROR(IF(Z106="",0,Z106),"0")+IFERROR(IF(Z107="",0,Z107),"0")+IFERROR(IF(Z108="",0,Z108),"0")+IFERROR(IF(Z109="",0,Z109),"0")</f>
        <v>0</v>
      </c>
      <c r="AA110" s="668"/>
      <c r="AB110" s="668"/>
      <c r="AC110" s="668"/>
    </row>
    <row r="111" spans="1:68" hidden="1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0</v>
      </c>
      <c r="Y111" s="667">
        <f>IFERROR(SUM(Y106:Y109),"0")</f>
        <v>0</v>
      </c>
      <c r="Z111" s="37"/>
      <c r="AA111" s="668"/>
      <c r="AB111" s="668"/>
      <c r="AC111" s="668"/>
    </row>
    <row r="112" spans="1:68" ht="14.25" hidden="1" customHeight="1" x14ac:dyDescent="0.25">
      <c r="A112" s="683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hidden="1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hidden="1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20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231</v>
      </c>
      <c r="B120" s="54" t="s">
        <v>234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53" t="s">
        <v>235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hidden="1" customHeight="1" x14ac:dyDescent="0.25">
      <c r="A121" s="54" t="s">
        <v>231</v>
      </c>
      <c r="B121" s="54" t="s">
        <v>237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977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37.5" hidden="1" customHeight="1" x14ac:dyDescent="0.25">
      <c r="A122" s="54" t="s">
        <v>239</v>
      </c>
      <c r="B122" s="54" t="s">
        <v>240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79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239</v>
      </c>
      <c r="B123" s="54" t="s">
        <v>241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9" t="s">
        <v>242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hidden="1" customHeight="1" x14ac:dyDescent="0.25">
      <c r="A124" s="54" t="s">
        <v>243</v>
      </c>
      <c r="B124" s="54" t="s">
        <v>244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27" hidden="1" customHeight="1" x14ac:dyDescent="0.25">
      <c r="A125" s="54" t="s">
        <v>243</v>
      </c>
      <c r="B125" s="54" t="s">
        <v>245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7" t="s">
        <v>246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247</v>
      </c>
      <c r="B126" s="54" t="s">
        <v>248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250</v>
      </c>
      <c r="B127" s="54" t="s">
        <v>251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hidden="1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0</v>
      </c>
      <c r="Y128" s="667">
        <f>IFERROR(Y119/H119,"0")+IFERROR(Y120/H120,"0")+IFERROR(Y121/H121,"0")+IFERROR(Y122/H122,"0")+IFERROR(Y123/H123,"0")+IFERROR(Y124/H124,"0")+IFERROR(Y125/H125,"0")+IFERROR(Y126/H126,"0")+IFERROR(Y127/H127,"0")</f>
        <v>0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8"/>
      <c r="AB128" s="668"/>
      <c r="AC128" s="668"/>
    </row>
    <row r="129" spans="1:68" hidden="1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0</v>
      </c>
      <c r="Y129" s="667">
        <f>IFERROR(SUM(Y119:Y127),"0")</f>
        <v>0</v>
      </c>
      <c r="Z129" s="37"/>
      <c r="AA129" s="668"/>
      <c r="AB129" s="668"/>
      <c r="AC129" s="668"/>
    </row>
    <row r="130" spans="1:68" ht="14.25" hidden="1" customHeight="1" x14ac:dyDescent="0.25">
      <c r="A130" s="683" t="s">
        <v>175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hidden="1" customHeight="1" x14ac:dyDescent="0.25">
      <c r="A131" s="54" t="s">
        <v>253</v>
      </c>
      <c r="B131" s="54" t="s">
        <v>254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7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256</v>
      </c>
      <c r="B132" s="54" t="s">
        <v>257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hidden="1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hidden="1" customHeight="1" x14ac:dyDescent="0.25">
      <c r="A135" s="718" t="s">
        <v>259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hidden="1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hidden="1" customHeight="1" x14ac:dyDescent="0.25">
      <c r="A137" s="54" t="s">
        <v>260</v>
      </c>
      <c r="B137" s="54" t="s">
        <v>261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260</v>
      </c>
      <c r="B138" s="54" t="s">
        <v>263</v>
      </c>
      <c r="C138" s="31">
        <v>4301011564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hidden="1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hidden="1" customHeight="1" x14ac:dyDescent="0.25">
      <c r="A141" s="683" t="s">
        <v>149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hidden="1" customHeight="1" x14ac:dyDescent="0.25">
      <c r="A142" s="54" t="s">
        <v>264</v>
      </c>
      <c r="B142" s="54" t="s">
        <v>265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264</v>
      </c>
      <c r="B143" s="54" t="s">
        <v>267</v>
      </c>
      <c r="C143" s="31">
        <v>4301031234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hidden="1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hidden="1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hidden="1" customHeight="1" x14ac:dyDescent="0.25">
      <c r="A147" s="54" t="s">
        <v>268</v>
      </c>
      <c r="B147" s="54" t="s">
        <v>269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268</v>
      </c>
      <c r="B148" s="54" t="s">
        <v>270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hidden="1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hidden="1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hidden="1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hidden="1" customHeight="1" x14ac:dyDescent="0.25">
      <c r="A153" s="54" t="s">
        <v>271</v>
      </c>
      <c r="B153" s="54" t="s">
        <v>272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hidden="1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hidden="1" customHeight="1" x14ac:dyDescent="0.25">
      <c r="A156" s="683" t="s">
        <v>149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hidden="1" customHeight="1" x14ac:dyDescent="0.25">
      <c r="A157" s="54" t="s">
        <v>274</v>
      </c>
      <c r="B157" s="54" t="s">
        <v>275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277</v>
      </c>
      <c r="B158" s="54" t="s">
        <v>278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50</v>
      </c>
      <c r="Y159" s="666">
        <f>IFERROR(IF(X159="",0,CEILING((X159/$H159),1)*$H159),"")</f>
        <v>54</v>
      </c>
      <c r="Z159" s="36">
        <f>IFERROR(IF(Y159=0,"",ROUNDUP(Y159/H159,0)*0.01898),"")</f>
        <v>0.11388000000000001</v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53.250000000000007</v>
      </c>
      <c r="BN159" s="64">
        <f>IFERROR(Y159*I159/H159,"0")</f>
        <v>57.510000000000005</v>
      </c>
      <c r="BO159" s="64">
        <f>IFERROR(1/J159*(X159/H159),"0")</f>
        <v>8.6805555555555552E-2</v>
      </c>
      <c r="BP159" s="64">
        <f>IFERROR(1/J159*(Y159/H159),"0")</f>
        <v>9.375E-2</v>
      </c>
    </row>
    <row r="160" spans="1:68" ht="27" hidden="1" customHeight="1" x14ac:dyDescent="0.25">
      <c r="A160" s="54" t="s">
        <v>283</v>
      </c>
      <c r="B160" s="54" t="s">
        <v>284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5.5555555555555554</v>
      </c>
      <c r="Y161" s="667">
        <f>IFERROR(Y157/H157,"0")+IFERROR(Y158/H158,"0")+IFERROR(Y159/H159,"0")+IFERROR(Y160/H160,"0")</f>
        <v>6</v>
      </c>
      <c r="Z161" s="667">
        <f>IFERROR(IF(Z157="",0,Z157),"0")+IFERROR(IF(Z158="",0,Z158),"0")+IFERROR(IF(Z159="",0,Z159),"0")+IFERROR(IF(Z160="",0,Z160),"0")</f>
        <v>0.11388000000000001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50</v>
      </c>
      <c r="Y162" s="667">
        <f>IFERROR(SUM(Y157:Y160),"0")</f>
        <v>54</v>
      </c>
      <c r="Z162" s="37"/>
      <c r="AA162" s="668"/>
      <c r="AB162" s="668"/>
      <c r="AC162" s="668"/>
    </row>
    <row r="163" spans="1:68" ht="14.25" hidden="1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hidden="1" customHeight="1" x14ac:dyDescent="0.25">
      <c r="A164" s="54" t="s">
        <v>285</v>
      </c>
      <c r="B164" s="54" t="s">
        <v>286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hidden="1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681" t="s">
        <v>288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hidden="1" customHeight="1" x14ac:dyDescent="0.25">
      <c r="A168" s="718" t="s">
        <v>289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hidden="1" customHeight="1" x14ac:dyDescent="0.25">
      <c r="A169" s="683" t="s">
        <v>138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hidden="1" customHeight="1" x14ac:dyDescent="0.25">
      <c r="A170" s="54" t="s">
        <v>290</v>
      </c>
      <c r="B170" s="54" t="s">
        <v>291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3" t="s">
        <v>149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hidden="1" customHeight="1" x14ac:dyDescent="0.25">
      <c r="A174" s="54" t="s">
        <v>293</v>
      </c>
      <c r="B174" s="54" t="s">
        <v>294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296</v>
      </c>
      <c r="B175" s="54" t="s">
        <v>297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306</v>
      </c>
      <c r="B179" s="54" t="s">
        <v>307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7" t="s">
        <v>308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310</v>
      </c>
      <c r="B180" s="54" t="s">
        <v>311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312</v>
      </c>
      <c r="B181" s="54" t="s">
        <v>313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hidden="1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hidden="1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hidden="1" customHeight="1" x14ac:dyDescent="0.25">
      <c r="A186" s="54" t="s">
        <v>317</v>
      </c>
      <c r="B186" s="54" t="s">
        <v>318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12" t="s">
        <v>321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322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18" t="s">
        <v>323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hidden="1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hidden="1" customHeight="1" x14ac:dyDescent="0.25">
      <c r="A191" s="54" t="s">
        <v>324</v>
      </c>
      <c r="B191" s="54" t="s">
        <v>325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326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327</v>
      </c>
      <c r="B192" s="54" t="s">
        <v>328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3" t="s">
        <v>138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hidden="1" customHeight="1" x14ac:dyDescent="0.25">
      <c r="A196" s="54" t="s">
        <v>329</v>
      </c>
      <c r="B196" s="54" t="s">
        <v>330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331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332</v>
      </c>
      <c r="B197" s="54" t="s">
        <v>333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3" t="s">
        <v>149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hidden="1" customHeight="1" x14ac:dyDescent="0.25">
      <c r="A201" s="54" t="s">
        <v>334</v>
      </c>
      <c r="B201" s="54" t="s">
        <v>335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336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4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339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340</v>
      </c>
      <c r="B203" s="54" t="s">
        <v>341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342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345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336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348</v>
      </c>
      <c r="B206" s="54" t="s">
        <v>349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339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350</v>
      </c>
      <c r="B207" s="54" t="s">
        <v>351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342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352</v>
      </c>
      <c r="B208" s="54" t="s">
        <v>353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345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hidden="1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hidden="1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hidden="1" customHeight="1" x14ac:dyDescent="0.25">
      <c r="A212" s="54" t="s">
        <v>354</v>
      </c>
      <c r="B212" s="54" t="s">
        <v>355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356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357</v>
      </c>
      <c r="B213" s="54" t="s">
        <v>358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359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360</v>
      </c>
      <c r="B214" s="54" t="s">
        <v>361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362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363</v>
      </c>
      <c r="B215" s="54" t="s">
        <v>364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356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367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368</v>
      </c>
      <c r="B217" s="54" t="s">
        <v>369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370</v>
      </c>
      <c r="B218" s="54" t="s">
        <v>371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362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372</v>
      </c>
      <c r="B219" s="54" t="s">
        <v>373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374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375</v>
      </c>
      <c r="B220" s="54" t="s">
        <v>376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377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hidden="1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hidden="1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hidden="1" customHeight="1" x14ac:dyDescent="0.25">
      <c r="A223" s="683" t="s">
        <v>175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hidden="1" customHeight="1" x14ac:dyDescent="0.25">
      <c r="A224" s="54" t="s">
        <v>378</v>
      </c>
      <c r="B224" s="54" t="s">
        <v>379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383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18" t="s">
        <v>384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hidden="1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hidden="1" customHeight="1" x14ac:dyDescent="0.25">
      <c r="A230" s="54" t="s">
        <v>385</v>
      </c>
      <c r="B230" s="54" t="s">
        <v>386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385</v>
      </c>
      <c r="B231" s="54" t="s">
        <v>388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389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390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391</v>
      </c>
      <c r="B232" s="54" t="s">
        <v>392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393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396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394</v>
      </c>
      <c r="B234" s="54" t="s">
        <v>397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389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390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398</v>
      </c>
      <c r="B235" s="54" t="s">
        <v>399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387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400</v>
      </c>
      <c r="B236" s="54" t="s">
        <v>401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393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402</v>
      </c>
      <c r="B237" s="54" t="s">
        <v>403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3" t="s">
        <v>138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hidden="1" customHeight="1" x14ac:dyDescent="0.25">
      <c r="A241" s="54" t="s">
        <v>404</v>
      </c>
      <c r="B241" s="54" t="s">
        <v>405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2" t="s">
        <v>406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407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404</v>
      </c>
      <c r="B242" s="54" t="s">
        <v>408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2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407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3" t="s">
        <v>409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hidden="1" customHeight="1" x14ac:dyDescent="0.25">
      <c r="A246" s="54" t="s">
        <v>410</v>
      </c>
      <c r="B246" s="54" t="s">
        <v>411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21" t="s">
        <v>412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413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3" t="s">
        <v>414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hidden="1" customHeight="1" x14ac:dyDescent="0.25">
      <c r="A250" s="54" t="s">
        <v>415</v>
      </c>
      <c r="B250" s="54" t="s">
        <v>416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6" t="s">
        <v>417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18" t="s">
        <v>419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hidden="1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hidden="1" customHeight="1" x14ac:dyDescent="0.25">
      <c r="A255" s="54" t="s">
        <v>420</v>
      </c>
      <c r="B255" s="54" t="s">
        <v>421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422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423</v>
      </c>
      <c r="B256" s="54" t="s">
        <v>424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425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423</v>
      </c>
      <c r="B257" s="54" t="s">
        <v>426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389</v>
      </c>
      <c r="N257" s="33"/>
      <c r="O257" s="32">
        <v>55</v>
      </c>
      <c r="P257" s="94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427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428</v>
      </c>
      <c r="B258" s="54" t="s">
        <v>429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430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431</v>
      </c>
      <c r="B259" s="54" t="s">
        <v>432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433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434</v>
      </c>
      <c r="B260" s="54" t="s">
        <v>435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436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718" t="s">
        <v>437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hidden="1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hidden="1" customHeight="1" x14ac:dyDescent="0.25">
      <c r="A265" s="54" t="s">
        <v>438</v>
      </c>
      <c r="B265" s="54" t="s">
        <v>439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440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18" t="s">
        <v>441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hidden="1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hidden="1" customHeight="1" x14ac:dyDescent="0.25">
      <c r="A270" s="54" t="s">
        <v>442</v>
      </c>
      <c r="B270" s="54" t="s">
        <v>443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3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446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447</v>
      </c>
      <c r="B272" s="54" t="s">
        <v>448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449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18" t="s">
        <v>450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hidden="1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hidden="1" customHeight="1" x14ac:dyDescent="0.25">
      <c r="A277" s="54" t="s">
        <v>451</v>
      </c>
      <c r="B277" s="54" t="s">
        <v>452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79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453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456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457</v>
      </c>
      <c r="B279" s="54" t="s">
        <v>458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453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459</v>
      </c>
      <c r="B280" s="54" t="s">
        <v>460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461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462</v>
      </c>
      <c r="B281" s="54" t="s">
        <v>463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456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718" t="s">
        <v>464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hidden="1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hidden="1" customHeight="1" x14ac:dyDescent="0.25">
      <c r="A286" s="54" t="s">
        <v>465</v>
      </c>
      <c r="B286" s="54" t="s">
        <v>466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467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3" t="s">
        <v>149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hidden="1" customHeight="1" x14ac:dyDescent="0.25">
      <c r="A290" s="54" t="s">
        <v>468</v>
      </c>
      <c r="B290" s="54" t="s">
        <v>469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470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hidden="1" customHeight="1" x14ac:dyDescent="0.25">
      <c r="A294" s="54" t="s">
        <v>471</v>
      </c>
      <c r="B294" s="54" t="s">
        <v>472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473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18" t="s">
        <v>474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hidden="1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hidden="1" customHeight="1" x14ac:dyDescent="0.25">
      <c r="A299" s="54" t="s">
        <v>475</v>
      </c>
      <c r="B299" s="54" t="s">
        <v>476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477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18" t="s">
        <v>478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hidden="1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hidden="1" customHeight="1" x14ac:dyDescent="0.25">
      <c r="A304" s="54" t="s">
        <v>479</v>
      </c>
      <c r="B304" s="54" t="s">
        <v>480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440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3" t="s">
        <v>149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hidden="1" customHeight="1" x14ac:dyDescent="0.25">
      <c r="A308" s="54" t="s">
        <v>481</v>
      </c>
      <c r="B308" s="54" t="s">
        <v>482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2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483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484</v>
      </c>
      <c r="B309" s="54" t="s">
        <v>485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483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18" t="s">
        <v>486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hidden="1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hidden="1" customHeight="1" x14ac:dyDescent="0.25">
      <c r="A314" s="54" t="s">
        <v>487</v>
      </c>
      <c r="B314" s="54" t="s">
        <v>488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489</v>
      </c>
      <c r="AB314" s="57"/>
      <c r="AC314" s="357" t="s">
        <v>490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18" t="s">
        <v>491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hidden="1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hidden="1" customHeight="1" x14ac:dyDescent="0.25">
      <c r="A319" s="54" t="s">
        <v>492</v>
      </c>
      <c r="B319" s="54" t="s">
        <v>493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494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495</v>
      </c>
      <c r="B320" s="54" t="s">
        <v>496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497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495</v>
      </c>
      <c r="B321" s="54" t="s">
        <v>498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389</v>
      </c>
      <c r="N321" s="33"/>
      <c r="O321" s="32">
        <v>55</v>
      </c>
      <c r="P321" s="96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2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497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hidden="1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hidden="1" customHeight="1" x14ac:dyDescent="0.25">
      <c r="A327" s="683" t="s">
        <v>149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hidden="1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hidden="1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hidden="1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1500</v>
      </c>
      <c r="Y335" s="666">
        <f>IFERROR(IF(X335="",0,CEILING((X335/$H335),1)*$H335),"")</f>
        <v>1505.3999999999999</v>
      </c>
      <c r="Z335" s="36">
        <f>IFERROR(IF(Y335=0,"",ROUNDUP(Y335/H335,0)*0.01898),"")</f>
        <v>3.6631400000000003</v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1598.6538461538464</v>
      </c>
      <c r="BN335" s="64">
        <f>IFERROR(Y335*I335/H335,"0")</f>
        <v>1604.4090000000001</v>
      </c>
      <c r="BO335" s="64">
        <f>IFERROR(1/J335*(X335/H335),"0")</f>
        <v>3.0048076923076925</v>
      </c>
      <c r="BP335" s="64">
        <f>IFERROR(1/J335*(Y335/H335),"0")</f>
        <v>3.015625</v>
      </c>
    </row>
    <row r="336" spans="1:68" ht="27" hidden="1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7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192.30769230769232</v>
      </c>
      <c r="Y340" s="667">
        <f>IFERROR(Y335/H335,"0")+IFERROR(Y336/H336,"0")+IFERROR(Y337/H337,"0")+IFERROR(Y338/H338,"0")+IFERROR(Y339/H339,"0")</f>
        <v>193</v>
      </c>
      <c r="Z340" s="667">
        <f>IFERROR(IF(Z335="",0,Z335),"0")+IFERROR(IF(Z336="",0,Z336),"0")+IFERROR(IF(Z337="",0,Z337),"0")+IFERROR(IF(Z338="",0,Z338),"0")+IFERROR(IF(Z339="",0,Z339),"0")</f>
        <v>3.6631400000000003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1500</v>
      </c>
      <c r="Y341" s="667">
        <f>IFERROR(SUM(Y335:Y339),"0")</f>
        <v>1505.3999999999999</v>
      </c>
      <c r="Z341" s="37"/>
      <c r="AA341" s="668"/>
      <c r="AB341" s="668"/>
      <c r="AC341" s="668"/>
    </row>
    <row r="342" spans="1:68" ht="14.25" hidden="1" customHeight="1" x14ac:dyDescent="0.25">
      <c r="A342" s="683" t="s">
        <v>175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hidden="1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hidden="1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hidden="1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hidden="1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hidden="1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hidden="1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hidden="1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6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9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hidden="1" customHeight="1" x14ac:dyDescent="0.25">
      <c r="A362" s="683" t="s">
        <v>149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hidden="1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hidden="1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hidden="1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hidden="1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hidden="1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hidden="1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hidden="1" customHeight="1" x14ac:dyDescent="0.25">
      <c r="A375" s="54" t="s">
        <v>580</v>
      </c>
      <c r="B375" s="54" t="s">
        <v>581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582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hidden="1" customHeight="1" x14ac:dyDescent="0.25">
      <c r="A376" s="54" t="s">
        <v>580</v>
      </c>
      <c r="B376" s="54" t="s">
        <v>583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389</v>
      </c>
      <c r="N376" s="33"/>
      <c r="O376" s="32">
        <v>60</v>
      </c>
      <c r="P376" s="80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585</v>
      </c>
      <c r="B377" s="54" t="s">
        <v>586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587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585</v>
      </c>
      <c r="B378" s="54" t="s">
        <v>588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389</v>
      </c>
      <c r="N378" s="33"/>
      <c r="O378" s="32">
        <v>60</v>
      </c>
      <c r="P378" s="81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hidden="1" customHeight="1" x14ac:dyDescent="0.25">
      <c r="A379" s="54" t="s">
        <v>589</v>
      </c>
      <c r="B379" s="54" t="s">
        <v>590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0</v>
      </c>
      <c r="Y379" s="666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37.5" hidden="1" customHeight="1" x14ac:dyDescent="0.25">
      <c r="A380" s="54" t="s">
        <v>592</v>
      </c>
      <c r="B380" s="54" t="s">
        <v>593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594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592</v>
      </c>
      <c r="B381" s="54" t="s">
        <v>595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389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hidden="1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0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0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</v>
      </c>
      <c r="AA385" s="668"/>
      <c r="AB385" s="668"/>
      <c r="AC385" s="668"/>
    </row>
    <row r="386" spans="1:68" hidden="1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0</v>
      </c>
      <c r="Y386" s="667">
        <f>IFERROR(SUM(Y375:Y384),"0")</f>
        <v>0</v>
      </c>
      <c r="Z386" s="37"/>
      <c r="AA386" s="668"/>
      <c r="AB386" s="668"/>
      <c r="AC386" s="668"/>
    </row>
    <row r="387" spans="1:68" ht="14.25" hidden="1" customHeight="1" x14ac:dyDescent="0.25">
      <c r="A387" s="683" t="s">
        <v>138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hidden="1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0</v>
      </c>
      <c r="Y388" s="666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605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0</v>
      </c>
      <c r="Y390" s="667">
        <f>IFERROR(Y388/H388,"0")+IFERROR(Y389/H389,"0")</f>
        <v>0</v>
      </c>
      <c r="Z390" s="667">
        <f>IFERROR(IF(Z388="",0,Z388),"0")+IFERROR(IF(Z389="",0,Z389),"0")</f>
        <v>0</v>
      </c>
      <c r="AA390" s="668"/>
      <c r="AB390" s="668"/>
      <c r="AC390" s="668"/>
    </row>
    <row r="391" spans="1:68" hidden="1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0</v>
      </c>
      <c r="Y391" s="667">
        <f>IFERROR(SUM(Y388:Y389),"0")</f>
        <v>0</v>
      </c>
      <c r="Z391" s="37"/>
      <c r="AA391" s="668"/>
      <c r="AB391" s="668"/>
      <c r="AC391" s="668"/>
    </row>
    <row r="392" spans="1:68" ht="14.25" hidden="1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hidden="1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9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3" t="s">
        <v>175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hidden="1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hidden="1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hidden="1" customHeight="1" x14ac:dyDescent="0.25">
      <c r="A403" s="54" t="s">
        <v>621</v>
      </c>
      <c r="B403" s="54" t="s">
        <v>622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13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621</v>
      </c>
      <c r="B404" s="54" t="s">
        <v>624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hidden="1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hidden="1" customHeight="1" x14ac:dyDescent="0.25">
      <c r="A410" s="683" t="s">
        <v>149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hidden="1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hidden="1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hidden="1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hidden="1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0</v>
      </c>
      <c r="Y416" s="666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1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100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0</v>
      </c>
      <c r="Y421" s="667">
        <f>IFERROR(Y416/H416,"0")+IFERROR(Y417/H417,"0")+IFERROR(Y418/H418,"0")+IFERROR(Y419/H419,"0")+IFERROR(Y420/H420,"0")</f>
        <v>0</v>
      </c>
      <c r="Z421" s="667">
        <f>IFERROR(IF(Z416="",0,Z416),"0")+IFERROR(IF(Z417="",0,Z417),"0")+IFERROR(IF(Z418="",0,Z418),"0")+IFERROR(IF(Z419="",0,Z419),"0")+IFERROR(IF(Z420="",0,Z420),"0")</f>
        <v>0</v>
      </c>
      <c r="AA421" s="668"/>
      <c r="AB421" s="668"/>
      <c r="AC421" s="668"/>
    </row>
    <row r="422" spans="1:68" hidden="1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0</v>
      </c>
      <c r="Y422" s="667">
        <f>IFERROR(SUM(Y416:Y420),"0")</f>
        <v>0</v>
      </c>
      <c r="Z422" s="37"/>
      <c r="AA422" s="668"/>
      <c r="AB422" s="668"/>
      <c r="AC422" s="668"/>
    </row>
    <row r="423" spans="1:68" ht="14.25" hidden="1" customHeight="1" x14ac:dyDescent="0.25">
      <c r="A423" s="683" t="s">
        <v>175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hidden="1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hidden="1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hidden="1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hidden="1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hidden="1" customHeight="1" x14ac:dyDescent="0.25">
      <c r="A429" s="683" t="s">
        <v>149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hidden="1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90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662</v>
      </c>
      <c r="B431" s="54" t="s">
        <v>663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3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662</v>
      </c>
      <c r="B432" s="54" t="s">
        <v>666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3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1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671</v>
      </c>
      <c r="B434" s="54" t="s">
        <v>672</v>
      </c>
      <c r="C434" s="31">
        <v>4301031335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671</v>
      </c>
      <c r="B435" s="54" t="s">
        <v>673</v>
      </c>
      <c r="C435" s="31">
        <v>4301031366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4" t="s">
        <v>674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680</v>
      </c>
      <c r="B438" s="54" t="s">
        <v>681</v>
      </c>
      <c r="C438" s="31">
        <v>4301031337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682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680</v>
      </c>
      <c r="B439" s="54" t="s">
        <v>683</v>
      </c>
      <c r="C439" s="31">
        <v>4301031364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20" t="s">
        <v>684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682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8"/>
      <c r="AB442" s="668"/>
      <c r="AC442" s="668"/>
    </row>
    <row r="443" spans="1:68" hidden="1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0</v>
      </c>
      <c r="Y443" s="667">
        <f>IFERROR(SUM(Y430:Y441),"0")</f>
        <v>0</v>
      </c>
      <c r="Z443" s="37"/>
      <c r="AA443" s="668"/>
      <c r="AB443" s="668"/>
      <c r="AC443" s="668"/>
    </row>
    <row r="444" spans="1:68" ht="14.25" hidden="1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hidden="1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hidden="1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hidden="1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hidden="1" customHeight="1" x14ac:dyDescent="0.25">
      <c r="A450" s="683" t="s">
        <v>138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hidden="1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hidden="1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hidden="1" customHeight="1" x14ac:dyDescent="0.25">
      <c r="A455" s="683" t="s">
        <v>149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hidden="1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6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0</v>
      </c>
      <c r="Y460" s="667">
        <f>IFERROR(Y456/H456,"0")+IFERROR(Y457/H457,"0")+IFERROR(Y458/H458,"0")+IFERROR(Y459/H459,"0")</f>
        <v>0</v>
      </c>
      <c r="Z460" s="667">
        <f>IFERROR(IF(Z456="",0,Z456),"0")+IFERROR(IF(Z457="",0,Z457),"0")+IFERROR(IF(Z458="",0,Z458),"0")+IFERROR(IF(Z459="",0,Z459),"0")</f>
        <v>0</v>
      </c>
      <c r="AA460" s="668"/>
      <c r="AB460" s="668"/>
      <c r="AC460" s="668"/>
    </row>
    <row r="461" spans="1:68" hidden="1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0</v>
      </c>
      <c r="Y461" s="667">
        <f>IFERROR(SUM(Y456:Y459),"0")</f>
        <v>0</v>
      </c>
      <c r="Z461" s="37"/>
      <c r="AA461" s="668"/>
      <c r="AB461" s="668"/>
      <c r="AC461" s="668"/>
    </row>
    <row r="462" spans="1:68" ht="16.5" hidden="1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hidden="1" customHeight="1" x14ac:dyDescent="0.25">
      <c r="A463" s="683" t="s">
        <v>149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hidden="1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8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hidden="1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hidden="1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hidden="1" customHeight="1" x14ac:dyDescent="0.25">
      <c r="A469" s="683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hidden="1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hidden="1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hidden="1" customHeight="1" x14ac:dyDescent="0.25">
      <c r="A473" s="683" t="s">
        <v>175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hidden="1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7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hidden="1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hidden="1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hidden="1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hidden="1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hidden="1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0</v>
      </c>
      <c r="Y480" s="666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hidden="1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hidden="1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9"/>
        <v>0</v>
      </c>
      <c r="Z482" s="36" t="str">
        <f t="shared" si="70"/>
        <v/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16.5" hidden="1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hidden="1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0</v>
      </c>
      <c r="Y484" s="666">
        <f t="shared" si="69"/>
        <v>0</v>
      </c>
      <c r="Z484" s="36" t="str">
        <f t="shared" si="70"/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16.5" hidden="1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5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hidden="1" customHeight="1" x14ac:dyDescent="0.25">
      <c r="A487" s="54" t="s">
        <v>754</v>
      </c>
      <c r="B487" s="54" t="s">
        <v>755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hidden="1" customHeight="1" x14ac:dyDescent="0.25">
      <c r="A488" s="54" t="s">
        <v>754</v>
      </c>
      <c r="B488" s="54" t="s">
        <v>756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hidden="1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5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hidden="1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hidden="1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8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hidden="1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7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hidden="1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0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0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</v>
      </c>
      <c r="AA496" s="668"/>
      <c r="AB496" s="668"/>
      <c r="AC496" s="668"/>
    </row>
    <row r="497" spans="1:68" hidden="1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0</v>
      </c>
      <c r="Y497" s="667">
        <f>IFERROR(SUM(Y480:Y495),"0")</f>
        <v>0</v>
      </c>
      <c r="Z497" s="37"/>
      <c r="AA497" s="668"/>
      <c r="AB497" s="668"/>
      <c r="AC497" s="668"/>
    </row>
    <row r="498" spans="1:68" ht="14.25" hidden="1" customHeight="1" x14ac:dyDescent="0.25">
      <c r="A498" s="683" t="s">
        <v>138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hidden="1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913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00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9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hidden="1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hidden="1" customHeight="1" x14ac:dyDescent="0.25">
      <c r="A505" s="683" t="s">
        <v>149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hidden="1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9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0</v>
      </c>
      <c r="Y506" s="666">
        <f t="shared" ref="Y506:Y517" si="75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0</v>
      </c>
      <c r="BN506" s="64">
        <f t="shared" ref="BN506:BN517" si="77">IFERROR(Y506*I506/H506,"0")</f>
        <v>0</v>
      </c>
      <c r="BO506" s="64">
        <f t="shared" ref="BO506:BO517" si="78">IFERROR(1/J506*(X506/H506),"0")</f>
        <v>0</v>
      </c>
      <c r="BP506" s="64">
        <f t="shared" ref="BP506:BP517" si="79">IFERROR(1/J506*(Y506/H506),"0")</f>
        <v>0</v>
      </c>
    </row>
    <row r="507" spans="1:68" ht="27" hidden="1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5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0</v>
      </c>
      <c r="BN507" s="64">
        <f t="shared" si="77"/>
        <v>0</v>
      </c>
      <c r="BO507" s="64">
        <f t="shared" si="78"/>
        <v>0</v>
      </c>
      <c r="BP507" s="64">
        <f t="shared" si="79"/>
        <v>0</v>
      </c>
    </row>
    <row r="508" spans="1:68" ht="27" hidden="1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7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0</v>
      </c>
      <c r="Y508" s="666">
        <f t="shared" si="75"/>
        <v>0</v>
      </c>
      <c r="Z508" s="36" t="str">
        <f>IFERROR(IF(Y508=0,"",ROUNDUP(Y508/H508,0)*0.01196),"")</f>
        <v/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0</v>
      </c>
      <c r="BN508" s="64">
        <f t="shared" si="77"/>
        <v>0</v>
      </c>
      <c r="BO508" s="64">
        <f t="shared" si="78"/>
        <v>0</v>
      </c>
      <c r="BP508" s="64">
        <f t="shared" si="79"/>
        <v>0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1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917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106</v>
      </c>
      <c r="L512" s="32"/>
      <c r="M512" s="33" t="s">
        <v>102</v>
      </c>
      <c r="N512" s="33"/>
      <c r="O512" s="32">
        <v>70</v>
      </c>
      <c r="P512" s="924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4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5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hidden="1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5" t="s">
        <v>816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812</v>
      </c>
      <c r="B517" s="54" t="s">
        <v>817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hidden="1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68"/>
      <c r="AB518" s="668"/>
      <c r="AC518" s="668"/>
    </row>
    <row r="519" spans="1:68" hidden="1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0</v>
      </c>
      <c r="Y519" s="667">
        <f>IFERROR(SUM(Y506:Y517),"0")</f>
        <v>0</v>
      </c>
      <c r="Z519" s="37"/>
      <c r="AA519" s="668"/>
      <c r="AB519" s="668"/>
      <c r="AC519" s="668"/>
    </row>
    <row r="520" spans="1:68" ht="14.25" hidden="1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3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3" t="s">
        <v>175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8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2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hidden="1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hidden="1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hidden="1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45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6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90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5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hidden="1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3" t="s">
        <v>138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27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24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6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3" t="s">
        <v>149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hidden="1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hidden="1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4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4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7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152</v>
      </c>
      <c r="L557" s="32"/>
      <c r="M557" s="33" t="s">
        <v>68</v>
      </c>
      <c r="N557" s="33"/>
      <c r="O557" s="32">
        <v>40</v>
      </c>
      <c r="P557" s="946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hidden="1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hidden="1" customHeight="1" x14ac:dyDescent="0.25">
      <c r="A561" s="54" t="s">
        <v>899</v>
      </c>
      <c r="B561" s="54" t="s">
        <v>900</v>
      </c>
      <c r="C561" s="31">
        <v>4301051887</v>
      </c>
      <c r="D561" s="669">
        <v>4640242180533</v>
      </c>
      <c r="E561" s="670"/>
      <c r="F561" s="664">
        <v>1.3</v>
      </c>
      <c r="G561" s="32">
        <v>6</v>
      </c>
      <c r="H561" s="664">
        <v>7.8</v>
      </c>
      <c r="I561" s="664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4301052046</v>
      </c>
      <c r="D562" s="669">
        <v>4640242180533</v>
      </c>
      <c r="E562" s="670"/>
      <c r="F562" s="664">
        <v>1.5</v>
      </c>
      <c r="G562" s="32">
        <v>6</v>
      </c>
      <c r="H562" s="664">
        <v>9</v>
      </c>
      <c r="I562" s="664">
        <v>9.5190000000000001</v>
      </c>
      <c r="J562" s="32">
        <v>64</v>
      </c>
      <c r="K562" s="32" t="s">
        <v>101</v>
      </c>
      <c r="L562" s="32"/>
      <c r="M562" s="33" t="s">
        <v>134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7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889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134</v>
      </c>
      <c r="N565" s="33"/>
      <c r="O565" s="32">
        <v>45</v>
      </c>
      <c r="P565" s="720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3" t="s">
        <v>175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hidden="1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134</v>
      </c>
      <c r="N569" s="33"/>
      <c r="O569" s="32">
        <v>40</v>
      </c>
      <c r="P569" s="95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30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134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771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hidden="1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83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3" t="s">
        <v>138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797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3" t="s">
        <v>149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134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0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61"/>
      <c r="P592" s="841" t="s">
        <v>943</v>
      </c>
      <c r="Q592" s="808"/>
      <c r="R592" s="808"/>
      <c r="S592" s="808"/>
      <c r="T592" s="808"/>
      <c r="U592" s="808"/>
      <c r="V592" s="809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1650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1660.1999999999998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61"/>
      <c r="P593" s="841" t="s">
        <v>944</v>
      </c>
      <c r="Q593" s="808"/>
      <c r="R593" s="808"/>
      <c r="S593" s="808"/>
      <c r="T593" s="808"/>
      <c r="U593" s="808"/>
      <c r="V593" s="809"/>
      <c r="W593" s="37" t="s">
        <v>69</v>
      </c>
      <c r="X593" s="667">
        <f>IFERROR(SUM(BM22:BM589),"0")</f>
        <v>1757.9395604395606</v>
      </c>
      <c r="Y593" s="667">
        <f>IFERROR(SUM(BN22:BN589),"0")</f>
        <v>1768.8030000000001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61"/>
      <c r="P594" s="841" t="s">
        <v>945</v>
      </c>
      <c r="Q594" s="808"/>
      <c r="R594" s="808"/>
      <c r="S594" s="808"/>
      <c r="T594" s="808"/>
      <c r="U594" s="808"/>
      <c r="V594" s="809"/>
      <c r="W594" s="37" t="s">
        <v>946</v>
      </c>
      <c r="X594" s="38">
        <f>ROUNDUP(SUM(BO22:BO589),0)</f>
        <v>4</v>
      </c>
      <c r="Y594" s="38">
        <f>ROUNDUP(SUM(BP22:BP589),0)</f>
        <v>4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61"/>
      <c r="P595" s="841" t="s">
        <v>947</v>
      </c>
      <c r="Q595" s="808"/>
      <c r="R595" s="808"/>
      <c r="S595" s="808"/>
      <c r="T595" s="808"/>
      <c r="U595" s="808"/>
      <c r="V595" s="809"/>
      <c r="W595" s="37" t="s">
        <v>69</v>
      </c>
      <c r="X595" s="667">
        <f>GrossWeightTotal+PalletQtyTotal*25</f>
        <v>1857.9395604395606</v>
      </c>
      <c r="Y595" s="667">
        <f>GrossWeightTotalR+PalletQtyTotalR*25</f>
        <v>1868.8030000000001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61"/>
      <c r="P596" s="841" t="s">
        <v>948</v>
      </c>
      <c r="Q596" s="808"/>
      <c r="R596" s="808"/>
      <c r="S596" s="808"/>
      <c r="T596" s="808"/>
      <c r="U596" s="808"/>
      <c r="V596" s="809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209.76800976800979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211</v>
      </c>
      <c r="Z596" s="37"/>
      <c r="AA596" s="668"/>
      <c r="AB596" s="668"/>
      <c r="AC596" s="668"/>
    </row>
    <row r="597" spans="1:32" ht="14.25" hidden="1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61"/>
      <c r="P597" s="841" t="s">
        <v>949</v>
      </c>
      <c r="Q597" s="808"/>
      <c r="R597" s="808"/>
      <c r="S597" s="808"/>
      <c r="T597" s="808"/>
      <c r="U597" s="808"/>
      <c r="V597" s="809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4.0047800000000002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700"/>
      <c r="E599" s="700"/>
      <c r="F599" s="700"/>
      <c r="G599" s="700"/>
      <c r="H599" s="701"/>
      <c r="I599" s="675" t="s">
        <v>288</v>
      </c>
      <c r="J599" s="700"/>
      <c r="K599" s="700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1"/>
      <c r="W599" s="675" t="s">
        <v>578</v>
      </c>
      <c r="X599" s="701"/>
      <c r="Y599" s="675" t="s">
        <v>656</v>
      </c>
      <c r="Z599" s="700"/>
      <c r="AA599" s="700"/>
      <c r="AB599" s="701"/>
      <c r="AC599" s="662" t="s">
        <v>731</v>
      </c>
      <c r="AD599" s="675" t="s">
        <v>833</v>
      </c>
      <c r="AE599" s="701"/>
      <c r="AF599" s="663"/>
    </row>
    <row r="600" spans="1:32" ht="14.25" customHeight="1" thickTop="1" x14ac:dyDescent="0.2">
      <c r="A600" s="992" t="s">
        <v>952</v>
      </c>
      <c r="B600" s="675" t="s">
        <v>63</v>
      </c>
      <c r="C600" s="675" t="s">
        <v>97</v>
      </c>
      <c r="D600" s="675" t="s">
        <v>118</v>
      </c>
      <c r="E600" s="675" t="s">
        <v>183</v>
      </c>
      <c r="F600" s="675" t="s">
        <v>214</v>
      </c>
      <c r="G600" s="675" t="s">
        <v>259</v>
      </c>
      <c r="H600" s="675" t="s">
        <v>96</v>
      </c>
      <c r="I600" s="675" t="s">
        <v>289</v>
      </c>
      <c r="J600" s="675" t="s">
        <v>323</v>
      </c>
      <c r="K600" s="675" t="s">
        <v>384</v>
      </c>
      <c r="L600" s="675" t="s">
        <v>419</v>
      </c>
      <c r="M600" s="675" t="s">
        <v>437</v>
      </c>
      <c r="N600" s="663"/>
      <c r="O600" s="675" t="s">
        <v>441</v>
      </c>
      <c r="P600" s="675" t="s">
        <v>450</v>
      </c>
      <c r="Q600" s="675" t="s">
        <v>464</v>
      </c>
      <c r="R600" s="675" t="s">
        <v>474</v>
      </c>
      <c r="S600" s="675" t="s">
        <v>478</v>
      </c>
      <c r="T600" s="675" t="s">
        <v>486</v>
      </c>
      <c r="U600" s="675" t="s">
        <v>491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93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0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100.80000000000001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54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1505.3999999999999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0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46">
        <f>IFERROR(Y451*1,"0")+IFERROR(Y452*1,"0")+IFERROR(Y456*1,"0")+IFERROR(Y457*1,"0")+IFERROR(Y458*1,"0")+IFERROR(Y459*1,"0")</f>
        <v>0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0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650,00"/>
        <filter val="1 757,94"/>
        <filter val="1 857,94"/>
        <filter val="100,00"/>
        <filter val="11,90"/>
        <filter val="192,31"/>
        <filter val="209,77"/>
        <filter val="4"/>
        <filter val="5,56"/>
        <filter val="50,00"/>
      </filters>
    </filterColumn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2025-04-22T11:32:23Z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