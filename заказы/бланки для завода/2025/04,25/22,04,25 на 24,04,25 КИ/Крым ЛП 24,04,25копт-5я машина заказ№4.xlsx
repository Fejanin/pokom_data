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A0A7757-B8DA-4D5A-892F-F07D92C8AC5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X587" i="1"/>
  <c r="X586" i="1"/>
  <c r="BO585" i="1"/>
  <c r="BM585" i="1"/>
  <c r="Y585" i="1"/>
  <c r="X583" i="1"/>
  <c r="X582" i="1"/>
  <c r="BO581" i="1"/>
  <c r="BM581" i="1"/>
  <c r="Y581" i="1"/>
  <c r="X579" i="1"/>
  <c r="X578" i="1"/>
  <c r="BO577" i="1"/>
  <c r="BM577" i="1"/>
  <c r="Y577" i="1"/>
  <c r="X574" i="1"/>
  <c r="X573" i="1"/>
  <c r="BO572" i="1"/>
  <c r="BM572" i="1"/>
  <c r="Y572" i="1"/>
  <c r="BO571" i="1"/>
  <c r="BM571" i="1"/>
  <c r="Y571" i="1"/>
  <c r="BO570" i="1"/>
  <c r="BM570" i="1"/>
  <c r="Y570" i="1"/>
  <c r="BO569" i="1"/>
  <c r="BM569" i="1"/>
  <c r="Y569" i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X558" i="1"/>
  <c r="BO557" i="1"/>
  <c r="BM557" i="1"/>
  <c r="Y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P506" i="1" s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BP404" i="1" s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Y365" i="1" s="1"/>
  <c r="P363" i="1"/>
  <c r="X360" i="1"/>
  <c r="X359" i="1"/>
  <c r="BO358" i="1"/>
  <c r="BM358" i="1"/>
  <c r="Y358" i="1"/>
  <c r="BP358" i="1" s="1"/>
  <c r="P358" i="1"/>
  <c r="BO357" i="1"/>
  <c r="BM357" i="1"/>
  <c r="Y357" i="1"/>
  <c r="BP357" i="1" s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Y346" i="1" s="1"/>
  <c r="P343" i="1"/>
  <c r="X341" i="1"/>
  <c r="X340" i="1"/>
  <c r="BO339" i="1"/>
  <c r="BM339" i="1"/>
  <c r="Y339" i="1"/>
  <c r="BP339" i="1" s="1"/>
  <c r="P339" i="1"/>
  <c r="BO338" i="1"/>
  <c r="BM338" i="1"/>
  <c r="Y338" i="1"/>
  <c r="BP338" i="1" s="1"/>
  <c r="P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Y251" i="1" s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P242" i="1"/>
  <c r="BO241" i="1"/>
  <c r="BM241" i="1"/>
  <c r="Y241" i="1"/>
  <c r="BP241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BP201" i="1" s="1"/>
  <c r="P201" i="1"/>
  <c r="X199" i="1"/>
  <c r="X198" i="1"/>
  <c r="BO197" i="1"/>
  <c r="BM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BP137" i="1" s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BO50" i="1"/>
  <c r="BM50" i="1"/>
  <c r="Y50" i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P31" i="1"/>
  <c r="X29" i="1"/>
  <c r="X28" i="1"/>
  <c r="BO27" i="1"/>
  <c r="BM27" i="1"/>
  <c r="Y27" i="1"/>
  <c r="P27" i="1"/>
  <c r="BO26" i="1"/>
  <c r="BM26" i="1"/>
  <c r="Y26" i="1"/>
  <c r="BP26" i="1" s="1"/>
  <c r="P26" i="1"/>
  <c r="BO25" i="1"/>
  <c r="BM25" i="1"/>
  <c r="Y25" i="1"/>
  <c r="BO24" i="1"/>
  <c r="BM24" i="1"/>
  <c r="Y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Z61" i="1" l="1"/>
  <c r="BN61" i="1"/>
  <c r="Z213" i="1"/>
  <c r="BN213" i="1"/>
  <c r="Z281" i="1"/>
  <c r="BN281" i="1"/>
  <c r="Y227" i="1"/>
  <c r="Z22" i="1"/>
  <c r="BN22" i="1"/>
  <c r="Z88" i="1"/>
  <c r="BN88" i="1"/>
  <c r="Y102" i="1"/>
  <c r="Z160" i="1"/>
  <c r="BN160" i="1"/>
  <c r="Z236" i="1"/>
  <c r="BN236" i="1"/>
  <c r="Z241" i="1"/>
  <c r="BN241" i="1"/>
  <c r="Z246" i="1"/>
  <c r="Z247" i="1" s="1"/>
  <c r="BN246" i="1"/>
  <c r="BP246" i="1"/>
  <c r="Y247" i="1"/>
  <c r="Z338" i="1"/>
  <c r="BN338" i="1"/>
  <c r="Z44" i="1"/>
  <c r="Z45" i="1" s="1"/>
  <c r="BN44" i="1"/>
  <c r="BP44" i="1"/>
  <c r="Y45" i="1"/>
  <c r="Z49" i="1"/>
  <c r="BN49" i="1"/>
  <c r="Z71" i="1"/>
  <c r="BN71" i="1"/>
  <c r="Z109" i="1"/>
  <c r="BN109" i="1"/>
  <c r="Z137" i="1"/>
  <c r="BN137" i="1"/>
  <c r="Z201" i="1"/>
  <c r="BN201" i="1"/>
  <c r="Z225" i="1"/>
  <c r="BN225" i="1"/>
  <c r="Z265" i="1"/>
  <c r="Z266" i="1" s="1"/>
  <c r="BN265" i="1"/>
  <c r="BP265" i="1"/>
  <c r="Y266" i="1"/>
  <c r="Z270" i="1"/>
  <c r="BN270" i="1"/>
  <c r="Z324" i="1"/>
  <c r="BN324" i="1"/>
  <c r="Z358" i="1"/>
  <c r="BN358" i="1"/>
  <c r="Z384" i="1"/>
  <c r="BN384" i="1"/>
  <c r="Z404" i="1"/>
  <c r="BN404" i="1"/>
  <c r="Z506" i="1"/>
  <c r="BN506" i="1"/>
  <c r="BP181" i="1"/>
  <c r="BN181" i="1"/>
  <c r="Y188" i="1"/>
  <c r="Y187" i="1"/>
  <c r="BP186" i="1"/>
  <c r="BN186" i="1"/>
  <c r="Z186" i="1"/>
  <c r="Z187" i="1" s="1"/>
  <c r="BP191" i="1"/>
  <c r="BN191" i="1"/>
  <c r="Z191" i="1"/>
  <c r="BP217" i="1"/>
  <c r="BN217" i="1"/>
  <c r="Z217" i="1"/>
  <c r="BP258" i="1"/>
  <c r="BN258" i="1"/>
  <c r="Z258" i="1"/>
  <c r="BP320" i="1"/>
  <c r="BN320" i="1"/>
  <c r="Z320" i="1"/>
  <c r="BP352" i="1"/>
  <c r="BN352" i="1"/>
  <c r="Z352" i="1"/>
  <c r="BP380" i="1"/>
  <c r="BN380" i="1"/>
  <c r="Z380" i="1"/>
  <c r="BP419" i="1"/>
  <c r="BN419" i="1"/>
  <c r="Z419" i="1"/>
  <c r="BP435" i="1"/>
  <c r="BN435" i="1"/>
  <c r="Z435" i="1"/>
  <c r="BP456" i="1"/>
  <c r="BN456" i="1"/>
  <c r="Z456" i="1"/>
  <c r="BP482" i="1"/>
  <c r="BN482" i="1"/>
  <c r="Z482" i="1"/>
  <c r="BP490" i="1"/>
  <c r="BN490" i="1"/>
  <c r="Z490" i="1"/>
  <c r="BP492" i="1"/>
  <c r="BN492" i="1"/>
  <c r="Z492" i="1"/>
  <c r="X596" i="1"/>
  <c r="Z38" i="1"/>
  <c r="BN38" i="1"/>
  <c r="Z53" i="1"/>
  <c r="BN53" i="1"/>
  <c r="Z67" i="1"/>
  <c r="BN67" i="1"/>
  <c r="Z75" i="1"/>
  <c r="BN75" i="1"/>
  <c r="Z100" i="1"/>
  <c r="BN100" i="1"/>
  <c r="F602" i="1"/>
  <c r="Z115" i="1"/>
  <c r="BN115" i="1"/>
  <c r="Y128" i="1"/>
  <c r="Z122" i="1"/>
  <c r="BN122" i="1"/>
  <c r="Z123" i="1"/>
  <c r="BN123" i="1"/>
  <c r="Z126" i="1"/>
  <c r="BN126" i="1"/>
  <c r="Z147" i="1"/>
  <c r="BN147" i="1"/>
  <c r="H602" i="1"/>
  <c r="Z176" i="1"/>
  <c r="BN176" i="1"/>
  <c r="Z181" i="1"/>
  <c r="BP205" i="1"/>
  <c r="BN205" i="1"/>
  <c r="Z205" i="1"/>
  <c r="BP232" i="1"/>
  <c r="BN232" i="1"/>
  <c r="Z232" i="1"/>
  <c r="BP277" i="1"/>
  <c r="BN277" i="1"/>
  <c r="Z277" i="1"/>
  <c r="BP330" i="1"/>
  <c r="BN330" i="1"/>
  <c r="Z330" i="1"/>
  <c r="BP412" i="1"/>
  <c r="BN412" i="1"/>
  <c r="Z412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51" i="1"/>
  <c r="BN451" i="1"/>
  <c r="Z451" i="1"/>
  <c r="BP459" i="1"/>
  <c r="BN459" i="1"/>
  <c r="Z459" i="1"/>
  <c r="BP489" i="1"/>
  <c r="BN489" i="1"/>
  <c r="Z489" i="1"/>
  <c r="BP491" i="1"/>
  <c r="BN491" i="1"/>
  <c r="Z491" i="1"/>
  <c r="BP522" i="1"/>
  <c r="BN522" i="1"/>
  <c r="Z522" i="1"/>
  <c r="Y340" i="1"/>
  <c r="Y68" i="1"/>
  <c r="BP158" i="1"/>
  <c r="BN158" i="1"/>
  <c r="Z158" i="1"/>
  <c r="BP178" i="1"/>
  <c r="BN178" i="1"/>
  <c r="Z178" i="1"/>
  <c r="BP197" i="1"/>
  <c r="BN197" i="1"/>
  <c r="Z197" i="1"/>
  <c r="BP207" i="1"/>
  <c r="BN207" i="1"/>
  <c r="Z207" i="1"/>
  <c r="BP219" i="1"/>
  <c r="BN219" i="1"/>
  <c r="Z219" i="1"/>
  <c r="BP234" i="1"/>
  <c r="BN234" i="1"/>
  <c r="Z234" i="1"/>
  <c r="BP260" i="1"/>
  <c r="BN260" i="1"/>
  <c r="Z260" i="1"/>
  <c r="BP279" i="1"/>
  <c r="BN279" i="1"/>
  <c r="Z279" i="1"/>
  <c r="BP322" i="1"/>
  <c r="BN322" i="1"/>
  <c r="Z322" i="1"/>
  <c r="BP336" i="1"/>
  <c r="BN336" i="1"/>
  <c r="Z336" i="1"/>
  <c r="Y354" i="1"/>
  <c r="BP349" i="1"/>
  <c r="BN349" i="1"/>
  <c r="Z349" i="1"/>
  <c r="Y360" i="1"/>
  <c r="BP356" i="1"/>
  <c r="BN356" i="1"/>
  <c r="Z356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2" i="1"/>
  <c r="Y466" i="1"/>
  <c r="BP464" i="1"/>
  <c r="BN464" i="1"/>
  <c r="Z464" i="1"/>
  <c r="BP484" i="1"/>
  <c r="BN484" i="1"/>
  <c r="Z484" i="1"/>
  <c r="BP494" i="1"/>
  <c r="BN494" i="1"/>
  <c r="Z494" i="1"/>
  <c r="Z26" i="1"/>
  <c r="BN26" i="1"/>
  <c r="Z40" i="1"/>
  <c r="BN40" i="1"/>
  <c r="Z51" i="1"/>
  <c r="BN51" i="1"/>
  <c r="Z59" i="1"/>
  <c r="BN59" i="1"/>
  <c r="Z65" i="1"/>
  <c r="BN65" i="1"/>
  <c r="BP65" i="1"/>
  <c r="Z73" i="1"/>
  <c r="BN73" i="1"/>
  <c r="Z81" i="1"/>
  <c r="BN81" i="1"/>
  <c r="Z94" i="1"/>
  <c r="BN94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Z119" i="1"/>
  <c r="BN119" i="1"/>
  <c r="BP119" i="1"/>
  <c r="Z120" i="1"/>
  <c r="BN120" i="1"/>
  <c r="Z132" i="1"/>
  <c r="BN132" i="1"/>
  <c r="Z143" i="1"/>
  <c r="BN143" i="1"/>
  <c r="Y166" i="1"/>
  <c r="Y165" i="1"/>
  <c r="BP164" i="1"/>
  <c r="BN164" i="1"/>
  <c r="Z164" i="1"/>
  <c r="Z165" i="1" s="1"/>
  <c r="Y171" i="1"/>
  <c r="BP170" i="1"/>
  <c r="BN170" i="1"/>
  <c r="Z170" i="1"/>
  <c r="Z171" i="1" s="1"/>
  <c r="Y183" i="1"/>
  <c r="BP174" i="1"/>
  <c r="BN174" i="1"/>
  <c r="Z174" i="1"/>
  <c r="BP179" i="1"/>
  <c r="BN179" i="1"/>
  <c r="Z179" i="1"/>
  <c r="BP203" i="1"/>
  <c r="BN203" i="1"/>
  <c r="Z203" i="1"/>
  <c r="BP215" i="1"/>
  <c r="BN215" i="1"/>
  <c r="Z215" i="1"/>
  <c r="BP230" i="1"/>
  <c r="BN230" i="1"/>
  <c r="Z230" i="1"/>
  <c r="L602" i="1"/>
  <c r="BP256" i="1"/>
  <c r="BN256" i="1"/>
  <c r="Z256" i="1"/>
  <c r="BP272" i="1"/>
  <c r="BN272" i="1"/>
  <c r="Z272" i="1"/>
  <c r="Q602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2" i="1"/>
  <c r="Y300" i="1"/>
  <c r="BP299" i="1"/>
  <c r="BN299" i="1"/>
  <c r="Z299" i="1"/>
  <c r="Z300" i="1" s="1"/>
  <c r="Y305" i="1"/>
  <c r="BP304" i="1"/>
  <c r="BN304" i="1"/>
  <c r="Z304" i="1"/>
  <c r="Z305" i="1" s="1"/>
  <c r="Y310" i="1"/>
  <c r="BP308" i="1"/>
  <c r="BN308" i="1"/>
  <c r="Z308" i="1"/>
  <c r="Y332" i="1"/>
  <c r="BP328" i="1"/>
  <c r="BN328" i="1"/>
  <c r="Z328" i="1"/>
  <c r="BP344" i="1"/>
  <c r="BN344" i="1"/>
  <c r="Z344" i="1"/>
  <c r="BP350" i="1"/>
  <c r="BN350" i="1"/>
  <c r="Z350" i="1"/>
  <c r="BP363" i="1"/>
  <c r="BN363" i="1"/>
  <c r="Z363" i="1"/>
  <c r="Z364" i="1" s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2" i="1"/>
  <c r="AB602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7" i="1"/>
  <c r="BN487" i="1"/>
  <c r="Z487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BP535" i="1"/>
  <c r="BN535" i="1"/>
  <c r="Z535" i="1"/>
  <c r="BP537" i="1"/>
  <c r="BN537" i="1"/>
  <c r="Z537" i="1"/>
  <c r="BP539" i="1"/>
  <c r="BN539" i="1"/>
  <c r="Z539" i="1"/>
  <c r="Y559" i="1"/>
  <c r="Y558" i="1"/>
  <c r="BP551" i="1"/>
  <c r="BN551" i="1"/>
  <c r="Z551" i="1"/>
  <c r="BP553" i="1"/>
  <c r="BN553" i="1"/>
  <c r="Z553" i="1"/>
  <c r="BP555" i="1"/>
  <c r="BN555" i="1"/>
  <c r="Z555" i="1"/>
  <c r="BP557" i="1"/>
  <c r="BN557" i="1"/>
  <c r="Z557" i="1"/>
  <c r="Y574" i="1"/>
  <c r="Y573" i="1"/>
  <c r="BP569" i="1"/>
  <c r="BN569" i="1"/>
  <c r="Z569" i="1"/>
  <c r="BP571" i="1"/>
  <c r="BN571" i="1"/>
  <c r="Z571" i="1"/>
  <c r="Y149" i="1"/>
  <c r="Y209" i="1"/>
  <c r="Y221" i="1"/>
  <c r="Y243" i="1"/>
  <c r="U602" i="1"/>
  <c r="BP508" i="1"/>
  <c r="BN508" i="1"/>
  <c r="Z508" i="1"/>
  <c r="BP510" i="1"/>
  <c r="BN510" i="1"/>
  <c r="Z510" i="1"/>
  <c r="BP514" i="1"/>
  <c r="BN514" i="1"/>
  <c r="Z514" i="1"/>
  <c r="Y541" i="1"/>
  <c r="Y540" i="1"/>
  <c r="BP534" i="1"/>
  <c r="BN534" i="1"/>
  <c r="Z534" i="1"/>
  <c r="BP536" i="1"/>
  <c r="BN536" i="1"/>
  <c r="Z536" i="1"/>
  <c r="BP538" i="1"/>
  <c r="BN538" i="1"/>
  <c r="Z538" i="1"/>
  <c r="BP552" i="1"/>
  <c r="BN552" i="1"/>
  <c r="Z552" i="1"/>
  <c r="BP554" i="1"/>
  <c r="BN554" i="1"/>
  <c r="Z554" i="1"/>
  <c r="BP556" i="1"/>
  <c r="BN556" i="1"/>
  <c r="Z556" i="1"/>
  <c r="BP570" i="1"/>
  <c r="BN570" i="1"/>
  <c r="Z570" i="1"/>
  <c r="BP572" i="1"/>
  <c r="BN572" i="1"/>
  <c r="Z572" i="1"/>
  <c r="Y583" i="1"/>
  <c r="Y582" i="1"/>
  <c r="BP581" i="1"/>
  <c r="BN581" i="1"/>
  <c r="Z581" i="1"/>
  <c r="Z582" i="1" s="1"/>
  <c r="Y591" i="1"/>
  <c r="Y590" i="1"/>
  <c r="BP589" i="1"/>
  <c r="BN589" i="1"/>
  <c r="Z589" i="1"/>
  <c r="Z590" i="1" s="1"/>
  <c r="H9" i="1"/>
  <c r="A10" i="1"/>
  <c r="B602" i="1"/>
  <c r="Y28" i="1"/>
  <c r="X593" i="1"/>
  <c r="BP24" i="1"/>
  <c r="BN24" i="1"/>
  <c r="Z24" i="1"/>
  <c r="BP27" i="1"/>
  <c r="BN27" i="1"/>
  <c r="Z27" i="1"/>
  <c r="Y29" i="1"/>
  <c r="Y32" i="1"/>
  <c r="BP31" i="1"/>
  <c r="BN31" i="1"/>
  <c r="Z31" i="1"/>
  <c r="Z32" i="1" s="1"/>
  <c r="Y33" i="1"/>
  <c r="C602" i="1"/>
  <c r="Y42" i="1"/>
  <c r="BP37" i="1"/>
  <c r="BN37" i="1"/>
  <c r="Z37" i="1"/>
  <c r="Y41" i="1"/>
  <c r="BP50" i="1"/>
  <c r="BN50" i="1"/>
  <c r="Z50" i="1"/>
  <c r="BP54" i="1"/>
  <c r="BN54" i="1"/>
  <c r="Z54" i="1"/>
  <c r="Y56" i="1"/>
  <c r="Y63" i="1"/>
  <c r="BP58" i="1"/>
  <c r="BN58" i="1"/>
  <c r="Z58" i="1"/>
  <c r="Y62" i="1"/>
  <c r="BP66" i="1"/>
  <c r="BN66" i="1"/>
  <c r="Z66" i="1"/>
  <c r="Z68" i="1" s="1"/>
  <c r="Y77" i="1"/>
  <c r="BP74" i="1"/>
  <c r="BN74" i="1"/>
  <c r="Z74" i="1"/>
  <c r="BP82" i="1"/>
  <c r="BN82" i="1"/>
  <c r="Z82" i="1"/>
  <c r="E602" i="1"/>
  <c r="Y90" i="1"/>
  <c r="BP87" i="1"/>
  <c r="BN87" i="1"/>
  <c r="Z87" i="1"/>
  <c r="Y91" i="1"/>
  <c r="F9" i="1"/>
  <c r="J9" i="1"/>
  <c r="BP23" i="1"/>
  <c r="BN23" i="1"/>
  <c r="Z23" i="1"/>
  <c r="BP25" i="1"/>
  <c r="BN25" i="1"/>
  <c r="Z25" i="1"/>
  <c r="BP39" i="1"/>
  <c r="BN39" i="1"/>
  <c r="Z39" i="1"/>
  <c r="BP52" i="1"/>
  <c r="BN52" i="1"/>
  <c r="Z52" i="1"/>
  <c r="BP60" i="1"/>
  <c r="BN60" i="1"/>
  <c r="Z60" i="1"/>
  <c r="BP72" i="1"/>
  <c r="BN72" i="1"/>
  <c r="Z72" i="1"/>
  <c r="BP76" i="1"/>
  <c r="BN76" i="1"/>
  <c r="Z76" i="1"/>
  <c r="Y78" i="1"/>
  <c r="Y83" i="1"/>
  <c r="BP80" i="1"/>
  <c r="BN80" i="1"/>
  <c r="Z80" i="1"/>
  <c r="Y103" i="1"/>
  <c r="Y110" i="1"/>
  <c r="Y116" i="1"/>
  <c r="Y129" i="1"/>
  <c r="Y133" i="1"/>
  <c r="Y140" i="1"/>
  <c r="Y144" i="1"/>
  <c r="Y150" i="1"/>
  <c r="Y155" i="1"/>
  <c r="Y161" i="1"/>
  <c r="Y184" i="1"/>
  <c r="Y194" i="1"/>
  <c r="Y198" i="1"/>
  <c r="Y210" i="1"/>
  <c r="Y222" i="1"/>
  <c r="Y226" i="1"/>
  <c r="Y239" i="1"/>
  <c r="Y244" i="1"/>
  <c r="Y252" i="1"/>
  <c r="Y261" i="1"/>
  <c r="Y273" i="1"/>
  <c r="Y282" i="1"/>
  <c r="Y311" i="1"/>
  <c r="Y316" i="1"/>
  <c r="Y325" i="1"/>
  <c r="Y333" i="1"/>
  <c r="Y341" i="1"/>
  <c r="Y347" i="1"/>
  <c r="Y353" i="1"/>
  <c r="Y359" i="1"/>
  <c r="Y370" i="1"/>
  <c r="BP367" i="1"/>
  <c r="BN367" i="1"/>
  <c r="Z367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Y408" i="1"/>
  <c r="BP403" i="1"/>
  <c r="BN403" i="1"/>
  <c r="Z403" i="1"/>
  <c r="X602" i="1"/>
  <c r="BP407" i="1"/>
  <c r="BN407" i="1"/>
  <c r="Z407" i="1"/>
  <c r="Y409" i="1"/>
  <c r="Y414" i="1"/>
  <c r="BP411" i="1"/>
  <c r="BN411" i="1"/>
  <c r="Z411" i="1"/>
  <c r="BP420" i="1"/>
  <c r="BN420" i="1"/>
  <c r="Z420" i="1"/>
  <c r="Y422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Y454" i="1"/>
  <c r="BP457" i="1"/>
  <c r="BN457" i="1"/>
  <c r="Z457" i="1"/>
  <c r="Y460" i="1"/>
  <c r="BP481" i="1"/>
  <c r="BN481" i="1"/>
  <c r="Z481" i="1"/>
  <c r="BP485" i="1"/>
  <c r="BN485" i="1"/>
  <c r="Z485" i="1"/>
  <c r="BP488" i="1"/>
  <c r="BN488" i="1"/>
  <c r="Z488" i="1"/>
  <c r="BP495" i="1"/>
  <c r="BN495" i="1"/>
  <c r="Z495" i="1"/>
  <c r="Y497" i="1"/>
  <c r="Y503" i="1"/>
  <c r="BP499" i="1"/>
  <c r="BN499" i="1"/>
  <c r="Z499" i="1"/>
  <c r="BP501" i="1"/>
  <c r="BN501" i="1"/>
  <c r="Z501" i="1"/>
  <c r="X594" i="1"/>
  <c r="X592" i="1"/>
  <c r="D602" i="1"/>
  <c r="Y55" i="1"/>
  <c r="Z89" i="1"/>
  <c r="BN89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1" i="1"/>
  <c r="BN121" i="1"/>
  <c r="Z124" i="1"/>
  <c r="BN124" i="1"/>
  <c r="Z125" i="1"/>
  <c r="BN125" i="1"/>
  <c r="Z127" i="1"/>
  <c r="BN127" i="1"/>
  <c r="Z131" i="1"/>
  <c r="BN131" i="1"/>
  <c r="BP131" i="1"/>
  <c r="G602" i="1"/>
  <c r="Z138" i="1"/>
  <c r="BN138" i="1"/>
  <c r="Y139" i="1"/>
  <c r="Z142" i="1"/>
  <c r="BN142" i="1"/>
  <c r="BP142" i="1"/>
  <c r="Z148" i="1"/>
  <c r="BN148" i="1"/>
  <c r="Z153" i="1"/>
  <c r="Z154" i="1" s="1"/>
  <c r="BN153" i="1"/>
  <c r="BP153" i="1"/>
  <c r="Y154" i="1"/>
  <c r="Z157" i="1"/>
  <c r="BN157" i="1"/>
  <c r="BP157" i="1"/>
  <c r="Z159" i="1"/>
  <c r="BN159" i="1"/>
  <c r="I602" i="1"/>
  <c r="Y172" i="1"/>
  <c r="Z175" i="1"/>
  <c r="BN175" i="1"/>
  <c r="Z177" i="1"/>
  <c r="BN177" i="1"/>
  <c r="Z180" i="1"/>
  <c r="BN180" i="1"/>
  <c r="Z182" i="1"/>
  <c r="BN182" i="1"/>
  <c r="J602" i="1"/>
  <c r="Z192" i="1"/>
  <c r="BN192" i="1"/>
  <c r="Y193" i="1"/>
  <c r="Z196" i="1"/>
  <c r="BN196" i="1"/>
  <c r="BP196" i="1"/>
  <c r="Z202" i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Z224" i="1"/>
  <c r="BN224" i="1"/>
  <c r="BP224" i="1"/>
  <c r="K602" i="1"/>
  <c r="Z231" i="1"/>
  <c r="BN231" i="1"/>
  <c r="Z233" i="1"/>
  <c r="BN233" i="1"/>
  <c r="Z235" i="1"/>
  <c r="BN235" i="1"/>
  <c r="Z237" i="1"/>
  <c r="BN237" i="1"/>
  <c r="Y238" i="1"/>
  <c r="Z242" i="1"/>
  <c r="Z243" i="1" s="1"/>
  <c r="BN242" i="1"/>
  <c r="Z250" i="1"/>
  <c r="Z251" i="1" s="1"/>
  <c r="BN250" i="1"/>
  <c r="BP250" i="1"/>
  <c r="Z255" i="1"/>
  <c r="BN255" i="1"/>
  <c r="BP255" i="1"/>
  <c r="Z257" i="1"/>
  <c r="BN257" i="1"/>
  <c r="Z259" i="1"/>
  <c r="BN259" i="1"/>
  <c r="Y262" i="1"/>
  <c r="Y267" i="1"/>
  <c r="O602" i="1"/>
  <c r="Z271" i="1"/>
  <c r="BN271" i="1"/>
  <c r="Y274" i="1"/>
  <c r="P602" i="1"/>
  <c r="Z278" i="1"/>
  <c r="BN278" i="1"/>
  <c r="Z280" i="1"/>
  <c r="BN280" i="1"/>
  <c r="Y283" i="1"/>
  <c r="Y288" i="1"/>
  <c r="Y301" i="1"/>
  <c r="S602" i="1"/>
  <c r="Y306" i="1"/>
  <c r="Z309" i="1"/>
  <c r="BN309" i="1"/>
  <c r="Z314" i="1"/>
  <c r="Z315" i="1" s="1"/>
  <c r="BN314" i="1"/>
  <c r="BP314" i="1"/>
  <c r="Y315" i="1"/>
  <c r="Z319" i="1"/>
  <c r="BN319" i="1"/>
  <c r="BP319" i="1"/>
  <c r="Z321" i="1"/>
  <c r="BN321" i="1"/>
  <c r="Z323" i="1"/>
  <c r="BN323" i="1"/>
  <c r="Y326" i="1"/>
  <c r="Z329" i="1"/>
  <c r="BN329" i="1"/>
  <c r="Z331" i="1"/>
  <c r="BN331" i="1"/>
  <c r="Z335" i="1"/>
  <c r="BN335" i="1"/>
  <c r="BP335" i="1"/>
  <c r="Z337" i="1"/>
  <c r="BN337" i="1"/>
  <c r="Z339" i="1"/>
  <c r="BN339" i="1"/>
  <c r="Z343" i="1"/>
  <c r="BN343" i="1"/>
  <c r="BP343" i="1"/>
  <c r="Z345" i="1"/>
  <c r="BN345" i="1"/>
  <c r="Z351" i="1"/>
  <c r="BN351" i="1"/>
  <c r="Z357" i="1"/>
  <c r="BN357" i="1"/>
  <c r="V602" i="1"/>
  <c r="Y364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Y413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602" i="1"/>
  <c r="Y461" i="1"/>
  <c r="BP458" i="1"/>
  <c r="BN458" i="1"/>
  <c r="Z458" i="1"/>
  <c r="BP483" i="1"/>
  <c r="BN483" i="1"/>
  <c r="Z483" i="1"/>
  <c r="BP486" i="1"/>
  <c r="BN486" i="1"/>
  <c r="Z486" i="1"/>
  <c r="BP493" i="1"/>
  <c r="BN493" i="1"/>
  <c r="Z493" i="1"/>
  <c r="BP500" i="1"/>
  <c r="BN500" i="1"/>
  <c r="Z500" i="1"/>
  <c r="BP502" i="1"/>
  <c r="BN502" i="1"/>
  <c r="Z502" i="1"/>
  <c r="Y504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453" i="1"/>
  <c r="Y467" i="1"/>
  <c r="AC602" i="1"/>
  <c r="Y496" i="1"/>
  <c r="Y518" i="1"/>
  <c r="Z511" i="1"/>
  <c r="BN511" i="1"/>
  <c r="Z512" i="1"/>
  <c r="BN512" i="1"/>
  <c r="Z515" i="1"/>
  <c r="BN515" i="1"/>
  <c r="Z516" i="1"/>
  <c r="BN516" i="1"/>
  <c r="BP523" i="1"/>
  <c r="BN523" i="1"/>
  <c r="Z523" i="1"/>
  <c r="Y525" i="1"/>
  <c r="Y529" i="1"/>
  <c r="BP527" i="1"/>
  <c r="BN527" i="1"/>
  <c r="Z527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273" i="1" l="1"/>
  <c r="Z226" i="1"/>
  <c r="Z453" i="1"/>
  <c r="Z447" i="1"/>
  <c r="Z346" i="1"/>
  <c r="Z261" i="1"/>
  <c r="Z198" i="1"/>
  <c r="Z144" i="1"/>
  <c r="Z102" i="1"/>
  <c r="Z460" i="1"/>
  <c r="Z390" i="1"/>
  <c r="Z353" i="1"/>
  <c r="Z149" i="1"/>
  <c r="Z139" i="1"/>
  <c r="Z413" i="1"/>
  <c r="Z116" i="1"/>
  <c r="Z83" i="1"/>
  <c r="Z193" i="1"/>
  <c r="Z133" i="1"/>
  <c r="Z28" i="1"/>
  <c r="Z310" i="1"/>
  <c r="Z282" i="1"/>
  <c r="Z238" i="1"/>
  <c r="Z183" i="1"/>
  <c r="Z496" i="1"/>
  <c r="Y593" i="1"/>
  <c r="Y594" i="1"/>
  <c r="Z518" i="1"/>
  <c r="Z421" i="1"/>
  <c r="Z359" i="1"/>
  <c r="Z332" i="1"/>
  <c r="Z209" i="1"/>
  <c r="Z128" i="1"/>
  <c r="Z77" i="1"/>
  <c r="Z55" i="1"/>
  <c r="Z540" i="1"/>
  <c r="Z573" i="1"/>
  <c r="Z558" i="1"/>
  <c r="Z466" i="1"/>
  <c r="Z395" i="1"/>
  <c r="Z566" i="1"/>
  <c r="Z503" i="1"/>
  <c r="Z90" i="1"/>
  <c r="X595" i="1"/>
  <c r="Z529" i="1"/>
  <c r="Z548" i="1"/>
  <c r="Z524" i="1"/>
  <c r="Z385" i="1"/>
  <c r="Z340" i="1"/>
  <c r="Z325" i="1"/>
  <c r="Z221" i="1"/>
  <c r="Z161" i="1"/>
  <c r="Z110" i="1"/>
  <c r="Z442" i="1"/>
  <c r="Z408" i="1"/>
  <c r="Z370" i="1"/>
  <c r="Z62" i="1"/>
  <c r="Z41" i="1"/>
  <c r="Y592" i="1"/>
  <c r="Y596" i="1"/>
  <c r="Z597" i="1" l="1"/>
  <c r="Y595" i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<sst xmlns="http://schemas.openxmlformats.org/spreadsheetml/2006/main" count="2738" uniqueCount="970">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</sst>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969</v>
      </c>
      <c r="I5" s="947"/>
      <c r="J5" s="947"/>
      <c r="K5" s="947"/>
      <c r="L5" s="947"/>
      <c r="M5" s="756"/>
      <c r="N5" s="58"/>
      <c r="P5" s="24" t="s">
        <v>10</v>
      </c>
      <c r="Q5" s="1023">
        <v>45771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0.58333333333333337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800</v>
      </c>
      <c r="Y37" s="666">
        <f>IFERROR(IF(X37="",0,CEILING((X37/$H37),1)*$H37),"")</f>
        <v>810</v>
      </c>
      <c r="Z37" s="36">
        <f>IFERROR(IF(Y37=0,"",ROUNDUP(Y37/H37,0)*0.01898),"")</f>
        <v>1.4235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832.22222222222217</v>
      </c>
      <c r="BN37" s="64">
        <f>IFERROR(Y37*I37/H37,"0")</f>
        <v>842.625</v>
      </c>
      <c r="BO37" s="64">
        <f>IFERROR(1/J37*(X37/H37),"0")</f>
        <v>1.1574074074074074</v>
      </c>
      <c r="BP37" s="64">
        <f>IFERROR(1/J37*(Y37/H37),"0")</f>
        <v>1.171875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60</v>
      </c>
      <c r="Y38" s="666">
        <f>IFERROR(IF(X38="",0,CEILING((X38/$H38),1)*$H38),"")</f>
        <v>60</v>
      </c>
      <c r="Z38" s="36">
        <f>IFERROR(IF(Y38=0,"",ROUNDUP(Y38/H38,0)*0.00902),"")</f>
        <v>0.1353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63.15</v>
      </c>
      <c r="BN38" s="64">
        <f>IFERROR(Y38*I38/H38,"0")</f>
        <v>63.15</v>
      </c>
      <c r="BO38" s="64">
        <f>IFERROR(1/J38*(X38/H38),"0")</f>
        <v>0.11363636363636365</v>
      </c>
      <c r="BP38" s="64">
        <f>IFERROR(1/J38*(Y38/H38),"0")</f>
        <v>0.11363636363636365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89.074074074074076</v>
      </c>
      <c r="Y41" s="667">
        <f>IFERROR(Y37/H37,"0")+IFERROR(Y38/H38,"0")+IFERROR(Y39/H39,"0")+IFERROR(Y40/H40,"0")</f>
        <v>90</v>
      </c>
      <c r="Z41" s="667">
        <f>IFERROR(IF(Z37="",0,Z37),"0")+IFERROR(IF(Z38="",0,Z38),"0")+IFERROR(IF(Z39="",0,Z39),"0")+IFERROR(IF(Z40="",0,Z40),"0")</f>
        <v>1.5588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860</v>
      </c>
      <c r="Y42" s="667">
        <f>IFERROR(SUM(Y37:Y40),"0")</f>
        <v>870</v>
      </c>
      <c r="Z42" s="37"/>
      <c r="AA42" s="668"/>
      <c r="AB42" s="668"/>
      <c r="AC42" s="668"/>
    </row>
    <row r="43" spans="1:68" ht="14.25" hidden="1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50</v>
      </c>
      <c r="Y49" s="666">
        <f t="shared" ref="Y49:Y54" si="6">IFERROR(IF(X49="",0,CEILING((X49/$H49),1)*$H49),"")</f>
        <v>56</v>
      </c>
      <c r="Z49" s="36">
        <f>IFERROR(IF(Y49=0,"",ROUNDUP(Y49/H49,0)*0.01898),"")</f>
        <v>9.4899999999999998E-2</v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51.941964285714292</v>
      </c>
      <c r="BN49" s="64">
        <f t="shared" ref="BN49:BN54" si="8">IFERROR(Y49*I49/H49,"0")</f>
        <v>58.174999999999997</v>
      </c>
      <c r="BO49" s="64">
        <f t="shared" ref="BO49:BO54" si="9">IFERROR(1/J49*(X49/H49),"0")</f>
        <v>6.9754464285714288E-2</v>
      </c>
      <c r="BP49" s="64">
        <f t="shared" ref="BP49:BP54" si="10">IFERROR(1/J49*(Y49/H49),"0")</f>
        <v>7.8125E-2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100</v>
      </c>
      <c r="Y50" s="666">
        <f t="shared" si="6"/>
        <v>108</v>
      </c>
      <c r="Z50" s="36">
        <f>IFERROR(IF(Y50=0,"",ROUNDUP(Y50/H50,0)*0.01898),"")</f>
        <v>0.1898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104.02777777777777</v>
      </c>
      <c r="BN50" s="64">
        <f t="shared" si="8"/>
        <v>112.34999999999998</v>
      </c>
      <c r="BO50" s="64">
        <f t="shared" si="9"/>
        <v>0.14467592592592593</v>
      </c>
      <c r="BP50" s="64">
        <f t="shared" si="10"/>
        <v>0.15625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45</v>
      </c>
      <c r="Y54" s="666">
        <f t="shared" si="6"/>
        <v>45</v>
      </c>
      <c r="Z54" s="36">
        <f>IFERROR(IF(Y54=0,"",ROUNDUP(Y54/H54,0)*0.00902),"")</f>
        <v>9.0200000000000002E-2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47.099999999999994</v>
      </c>
      <c r="BN54" s="64">
        <f t="shared" si="8"/>
        <v>47.099999999999994</v>
      </c>
      <c r="BO54" s="64">
        <f t="shared" si="9"/>
        <v>7.575757575757576E-2</v>
      </c>
      <c r="BP54" s="64">
        <f t="shared" si="10"/>
        <v>7.575757575757576E-2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23.723544973544975</v>
      </c>
      <c r="Y55" s="667">
        <f>IFERROR(Y49/H49,"0")+IFERROR(Y50/H50,"0")+IFERROR(Y51/H51,"0")+IFERROR(Y52/H52,"0")+IFERROR(Y53/H53,"0")+IFERROR(Y54/H54,"0")</f>
        <v>25</v>
      </c>
      <c r="Z55" s="667">
        <f>IFERROR(IF(Z49="",0,Z49),"0")+IFERROR(IF(Z50="",0,Z50),"0")+IFERROR(IF(Z51="",0,Z51),"0")+IFERROR(IF(Z52="",0,Z52),"0")+IFERROR(IF(Z53="",0,Z53),"0")+IFERROR(IF(Z54="",0,Z54),"0")</f>
        <v>0.37490000000000001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195</v>
      </c>
      <c r="Y56" s="667">
        <f>IFERROR(SUM(Y49:Y54),"0")</f>
        <v>209</v>
      </c>
      <c r="Z56" s="37"/>
      <c r="AA56" s="668"/>
      <c r="AB56" s="668"/>
      <c r="AC56" s="668"/>
    </row>
    <row r="57" spans="1:68" ht="14.25" hidden="1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100</v>
      </c>
      <c r="Y58" s="666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104.02777777777777</v>
      </c>
      <c r="BN58" s="64">
        <f>IFERROR(Y58*I58/H58,"0")</f>
        <v>112.34999999999998</v>
      </c>
      <c r="BO58" s="64">
        <f>IFERROR(1/J58*(X58/H58),"0")</f>
        <v>0.14467592592592593</v>
      </c>
      <c r="BP58" s="64">
        <f>IFERROR(1/J58*(Y58/H58),"0")</f>
        <v>0.15625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40.5</v>
      </c>
      <c r="Y61" s="666">
        <f>IFERROR(IF(X61="",0,CEILING((X61/$H61),1)*$H61),"")</f>
        <v>40.5</v>
      </c>
      <c r="Z61" s="36">
        <f>IFERROR(IF(Y61=0,"",ROUNDUP(Y61/H61,0)*0.00651),"")</f>
        <v>9.7650000000000001E-2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43.199999999999996</v>
      </c>
      <c r="BN61" s="64">
        <f>IFERROR(Y61*I61/H61,"0")</f>
        <v>43.199999999999996</v>
      </c>
      <c r="BO61" s="64">
        <f>IFERROR(1/J61*(X61/H61),"0")</f>
        <v>8.2417582417582416E-2</v>
      </c>
      <c r="BP61" s="64">
        <f>IFERROR(1/J61*(Y61/H61),"0")</f>
        <v>8.2417582417582416E-2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24.25925925925926</v>
      </c>
      <c r="Y62" s="667">
        <f>IFERROR(Y58/H58,"0")+IFERROR(Y59/H59,"0")+IFERROR(Y60/H60,"0")+IFERROR(Y61/H61,"0")</f>
        <v>25</v>
      </c>
      <c r="Z62" s="667">
        <f>IFERROR(IF(Z58="",0,Z58),"0")+IFERROR(IF(Z59="",0,Z59),"0")+IFERROR(IF(Z60="",0,Z60),"0")+IFERROR(IF(Z61="",0,Z61),"0")</f>
        <v>0.28744999999999998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140.5</v>
      </c>
      <c r="Y63" s="667">
        <f>IFERROR(SUM(Y58:Y61),"0")</f>
        <v>148.5</v>
      </c>
      <c r="Z63" s="37"/>
      <c r="AA63" s="668"/>
      <c r="AB63" s="668"/>
      <c r="AC63" s="668"/>
    </row>
    <row r="64" spans="1:68" ht="14.25" hidden="1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100</v>
      </c>
      <c r="Y87" s="666">
        <f>IFERROR(IF(X87="",0,CEILING((X87/$H87),1)*$H87),"")</f>
        <v>108</v>
      </c>
      <c r="Z87" s="36">
        <f>IFERROR(IF(Y87=0,"",ROUNDUP(Y87/H87,0)*0.01898),"")</f>
        <v>0.1898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104.02777777777777</v>
      </c>
      <c r="BN87" s="64">
        <f>IFERROR(Y87*I87/H87,"0")</f>
        <v>112.34999999999998</v>
      </c>
      <c r="BO87" s="64">
        <f>IFERROR(1/J87*(X87/H87),"0")</f>
        <v>0.14467592592592593</v>
      </c>
      <c r="BP87" s="64">
        <f>IFERROR(1/J87*(Y87/H87),"0")</f>
        <v>0.15625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40</v>
      </c>
      <c r="Y89" s="666">
        <f>IFERROR(IF(X89="",0,CEILING((X89/$H89),1)*$H89),"")</f>
        <v>40.5</v>
      </c>
      <c r="Z89" s="36">
        <f>IFERROR(IF(Y89=0,"",ROUNDUP(Y89/H89,0)*0.00902),"")</f>
        <v>8.1180000000000002E-2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41.866666666666667</v>
      </c>
      <c r="BN89" s="64">
        <f>IFERROR(Y89*I89/H89,"0")</f>
        <v>42.39</v>
      </c>
      <c r="BO89" s="64">
        <f>IFERROR(1/J89*(X89/H89),"0")</f>
        <v>6.7340067340067339E-2</v>
      </c>
      <c r="BP89" s="64">
        <f>IFERROR(1/J89*(Y89/H89),"0")</f>
        <v>6.8181818181818177E-2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18.148148148148149</v>
      </c>
      <c r="Y90" s="667">
        <f>IFERROR(Y87/H87,"0")+IFERROR(Y88/H88,"0")+IFERROR(Y89/H89,"0")</f>
        <v>19</v>
      </c>
      <c r="Z90" s="667">
        <f>IFERROR(IF(Z87="",0,Z87),"0")+IFERROR(IF(Z88="",0,Z88),"0")+IFERROR(IF(Z89="",0,Z89),"0")</f>
        <v>0.27098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140</v>
      </c>
      <c r="Y91" s="667">
        <f>IFERROR(SUM(Y87:Y89),"0")</f>
        <v>148.5</v>
      </c>
      <c r="Z91" s="37"/>
      <c r="AA91" s="668"/>
      <c r="AB91" s="668"/>
      <c r="AC91" s="668"/>
    </row>
    <row r="92" spans="1:68" ht="14.25" hidden="1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100</v>
      </c>
      <c r="Y93" s="666">
        <f t="shared" ref="Y93:Y101" si="16">IFERROR(IF(X93="",0,CEILING((X93/$H93),1)*$H93),"")</f>
        <v>100.80000000000001</v>
      </c>
      <c r="Z93" s="36">
        <f>IFERROR(IF(Y93=0,"",ROUNDUP(Y93/H93,0)*0.01898),"")</f>
        <v>0.22776000000000002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106.17857142857143</v>
      </c>
      <c r="BN93" s="64">
        <f t="shared" ref="BN93:BN101" si="18">IFERROR(Y93*I93/H93,"0")</f>
        <v>107.02800000000001</v>
      </c>
      <c r="BO93" s="64">
        <f t="shared" ref="BO93:BO101" si="19">IFERROR(1/J93*(X93/H93),"0")</f>
        <v>0.18601190476190477</v>
      </c>
      <c r="BP93" s="64">
        <f t="shared" ref="BP93:BP101" si="20">IFERROR(1/J93*(Y93/H93),"0")</f>
        <v>0.1875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7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4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9</v>
      </c>
      <c r="Y98" s="666">
        <f t="shared" si="16"/>
        <v>10.8</v>
      </c>
      <c r="Z98" s="36">
        <f>IFERROR(IF(Y98=0,"",ROUNDUP(Y98/H98,0)*0.00651),"")</f>
        <v>2.6040000000000001E-2</v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9.8399999999999981</v>
      </c>
      <c r="BN98" s="64">
        <f t="shared" si="18"/>
        <v>11.808</v>
      </c>
      <c r="BO98" s="64">
        <f t="shared" si="19"/>
        <v>1.8315018315018316E-2</v>
      </c>
      <c r="BP98" s="64">
        <f t="shared" si="20"/>
        <v>2.197802197802198E-2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15.238095238095237</v>
      </c>
      <c r="Y102" s="667">
        <f>IFERROR(Y93/H93,"0")+IFERROR(Y94/H94,"0")+IFERROR(Y95/H95,"0")+IFERROR(Y96/H96,"0")+IFERROR(Y97/H97,"0")+IFERROR(Y98/H98,"0")+IFERROR(Y99/H99,"0")+IFERROR(Y100/H100,"0")+IFERROR(Y101/H101,"0")</f>
        <v>16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0.25380000000000003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109</v>
      </c>
      <c r="Y103" s="667">
        <f>IFERROR(SUM(Y93:Y101),"0")</f>
        <v>111.60000000000001</v>
      </c>
      <c r="Z103" s="37"/>
      <c r="AA103" s="668"/>
      <c r="AB103" s="668"/>
      <c r="AC103" s="668"/>
    </row>
    <row r="104" spans="1:68" ht="16.5" hidden="1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hidden="1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53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300</v>
      </c>
      <c r="Y121" s="666">
        <f t="shared" si="21"/>
        <v>302.40000000000003</v>
      </c>
      <c r="Z121" s="36">
        <f>IFERROR(IF(Y121=0,"",ROUNDUP(Y121/H121,0)*0.01898),"")</f>
        <v>0.68328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318.32142857142856</v>
      </c>
      <c r="BN121" s="64">
        <f t="shared" si="23"/>
        <v>320.86800000000005</v>
      </c>
      <c r="BO121" s="64">
        <f t="shared" si="24"/>
        <v>0.5580357142857143</v>
      </c>
      <c r="BP121" s="64">
        <f t="shared" si="25"/>
        <v>0.5625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9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6.75</v>
      </c>
      <c r="Y124" s="666">
        <f t="shared" si="21"/>
        <v>8.1000000000000014</v>
      </c>
      <c r="Z124" s="36">
        <f t="shared" si="26"/>
        <v>1.9529999999999999E-2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7.379999999999999</v>
      </c>
      <c r="BN124" s="64">
        <f t="shared" si="23"/>
        <v>8.8560000000000016</v>
      </c>
      <c r="BO124" s="64">
        <f t="shared" si="24"/>
        <v>1.3736263736263738E-2</v>
      </c>
      <c r="BP124" s="64">
        <f t="shared" si="25"/>
        <v>1.6483516483516487E-2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7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38.214285714285715</v>
      </c>
      <c r="Y128" s="667">
        <f>IFERROR(Y119/H119,"0")+IFERROR(Y120/H120,"0")+IFERROR(Y121/H121,"0")+IFERROR(Y122/H122,"0")+IFERROR(Y123/H123,"0")+IFERROR(Y124/H124,"0")+IFERROR(Y125/H125,"0")+IFERROR(Y126/H126,"0")+IFERROR(Y127/H127,"0")</f>
        <v>39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0.70281000000000005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306.75</v>
      </c>
      <c r="Y129" s="667">
        <f>IFERROR(SUM(Y119:Y127),"0")</f>
        <v>310.50000000000006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12</v>
      </c>
      <c r="Y137" s="666">
        <f>IFERROR(IF(X137="",0,CEILING((X137/$H137),1)*$H137),"")</f>
        <v>12.8</v>
      </c>
      <c r="Z137" s="36">
        <f>IFERROR(IF(Y137=0,"",ROUNDUP(Y137/H137,0)*0.00651),"")</f>
        <v>2.6040000000000001E-2</v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12.675000000000001</v>
      </c>
      <c r="BN137" s="64">
        <f>IFERROR(Y137*I137/H137,"0")</f>
        <v>13.52</v>
      </c>
      <c r="BO137" s="64">
        <f>IFERROR(1/J137*(X137/H137),"0")</f>
        <v>2.0604395604395608E-2</v>
      </c>
      <c r="BP137" s="64">
        <f>IFERROR(1/J137*(Y137/H137),"0")</f>
        <v>2.197802197802198E-2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3.75</v>
      </c>
      <c r="Y139" s="667">
        <f>IFERROR(Y137/H137,"0")+IFERROR(Y138/H138,"0")</f>
        <v>4</v>
      </c>
      <c r="Z139" s="667">
        <f>IFERROR(IF(Z137="",0,Z137),"0")+IFERROR(IF(Z138="",0,Z138),"0")</f>
        <v>2.6040000000000001E-2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12</v>
      </c>
      <c r="Y140" s="667">
        <f>IFERROR(SUM(Y137:Y138),"0")</f>
        <v>12.8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6.6000000000000014</v>
      </c>
      <c r="Y148" s="666">
        <f>IFERROR(IF(X148="",0,CEILING((X148/$H148),1)*$H148),"")</f>
        <v>7.92</v>
      </c>
      <c r="Z148" s="36">
        <f>IFERROR(IF(Y148=0,"",ROUNDUP(Y148/H148,0)*0.00651),"")</f>
        <v>1.9529999999999999E-2</v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7.2700000000000005</v>
      </c>
      <c r="BN148" s="64">
        <f>IFERROR(Y148*I148/H148,"0")</f>
        <v>8.7240000000000002</v>
      </c>
      <c r="BO148" s="64">
        <f>IFERROR(1/J148*(X148/H148),"0")</f>
        <v>1.373626373626374E-2</v>
      </c>
      <c r="BP148" s="64">
        <f>IFERROR(1/J148*(Y148/H148),"0")</f>
        <v>1.6483516483516484E-2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2.5000000000000004</v>
      </c>
      <c r="Y149" s="667">
        <f>IFERROR(Y147/H147,"0")+IFERROR(Y148/H148,"0")</f>
        <v>3</v>
      </c>
      <c r="Z149" s="667">
        <f>IFERROR(IF(Z147="",0,Z147),"0")+IFERROR(IF(Z148="",0,Z148),"0")</f>
        <v>1.9529999999999999E-2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6.6000000000000014</v>
      </c>
      <c r="Y150" s="667">
        <f>IFERROR(SUM(Y147:Y148),"0")</f>
        <v>7.92</v>
      </c>
      <c r="Z150" s="37"/>
      <c r="AA150" s="668"/>
      <c r="AB150" s="668"/>
      <c r="AC150" s="668"/>
    </row>
    <row r="151" spans="1:68" ht="16.5" hidden="1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20</v>
      </c>
      <c r="Y158" s="666">
        <f>IFERROR(IF(X158="",0,CEILING((X158/$H158),1)*$H158),"")</f>
        <v>21</v>
      </c>
      <c r="Z158" s="36">
        <f>IFERROR(IF(Y158=0,"",ROUNDUP(Y158/H158,0)*0.00651),"")</f>
        <v>3.2550000000000003E-2</v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21.285714285714281</v>
      </c>
      <c r="BN158" s="64">
        <f>IFERROR(Y158*I158/H158,"0")</f>
        <v>22.349999999999998</v>
      </c>
      <c r="BO158" s="64">
        <f>IFERROR(1/J158*(X158/H158),"0")</f>
        <v>2.6164311878597593E-2</v>
      </c>
      <c r="BP158" s="64">
        <f>IFERROR(1/J158*(Y158/H158),"0")</f>
        <v>2.7472527472527476E-2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40</v>
      </c>
      <c r="Y159" s="666">
        <f>IFERROR(IF(X159="",0,CEILING((X159/$H159),1)*$H159),"")</f>
        <v>45</v>
      </c>
      <c r="Z159" s="36">
        <f>IFERROR(IF(Y159=0,"",ROUNDUP(Y159/H159,0)*0.01898),"")</f>
        <v>9.4899999999999998E-2</v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42.6</v>
      </c>
      <c r="BN159" s="64">
        <f>IFERROR(Y159*I159/H159,"0")</f>
        <v>47.925000000000004</v>
      </c>
      <c r="BO159" s="64">
        <f>IFERROR(1/J159*(X159/H159),"0")</f>
        <v>6.9444444444444448E-2</v>
      </c>
      <c r="BP159" s="64">
        <f>IFERROR(1/J159*(Y159/H159),"0")</f>
        <v>7.8125E-2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9.2063492063492056</v>
      </c>
      <c r="Y161" s="667">
        <f>IFERROR(Y157/H157,"0")+IFERROR(Y158/H158,"0")+IFERROR(Y159/H159,"0")+IFERROR(Y160/H160,"0")</f>
        <v>10</v>
      </c>
      <c r="Z161" s="667">
        <f>IFERROR(IF(Z157="",0,Z157),"0")+IFERROR(IF(Z158="",0,Z158),"0")+IFERROR(IF(Z159="",0,Z159),"0")+IFERROR(IF(Z160="",0,Z160),"0")</f>
        <v>0.12745000000000001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60</v>
      </c>
      <c r="Y162" s="667">
        <f>IFERROR(SUM(Y157:Y160),"0")</f>
        <v>66</v>
      </c>
      <c r="Z162" s="37"/>
      <c r="AA162" s="668"/>
      <c r="AB162" s="668"/>
      <c r="AC162" s="668"/>
    </row>
    <row r="163" spans="1:68" ht="14.25" hidden="1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21</v>
      </c>
      <c r="Y177" s="666">
        <f t="shared" si="27"/>
        <v>21</v>
      </c>
      <c r="Z177" s="36">
        <f>IFERROR(IF(Y177=0,"",ROUNDUP(Y177/H177,0)*0.00502),"")</f>
        <v>5.0200000000000002E-2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22.299999999999997</v>
      </c>
      <c r="BN177" s="64">
        <f t="shared" si="29"/>
        <v>22.299999999999997</v>
      </c>
      <c r="BO177" s="64">
        <f t="shared" si="30"/>
        <v>4.2735042735042736E-2</v>
      </c>
      <c r="BP177" s="64">
        <f t="shared" si="31"/>
        <v>4.2735042735042736E-2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10</v>
      </c>
      <c r="Y183" s="667">
        <f>IFERROR(Y174/H174,"0")+IFERROR(Y175/H175,"0")+IFERROR(Y176/H176,"0")+IFERROR(Y177/H177,"0")+IFERROR(Y178/H178,"0")+IFERROR(Y179/H179,"0")+IFERROR(Y180/H180,"0")+IFERROR(Y181/H181,"0")+IFERROR(Y182/H182,"0")</f>
        <v>10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5.0200000000000002E-2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21</v>
      </c>
      <c r="Y184" s="667">
        <f>IFERROR(SUM(Y174:Y182),"0")</f>
        <v>21</v>
      </c>
      <c r="Z184" s="37"/>
      <c r="AA184" s="668"/>
      <c r="AB184" s="668"/>
      <c r="AC184" s="668"/>
    </row>
    <row r="185" spans="1:68" ht="14.25" hidden="1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2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50</v>
      </c>
      <c r="Y201" s="666">
        <f t="shared" ref="Y201:Y208" si="32">IFERROR(IF(X201="",0,CEILING((X201/$H201),1)*$H201),"")</f>
        <v>54</v>
      </c>
      <c r="Z201" s="36">
        <f>IFERROR(IF(Y201=0,"",ROUNDUP(Y201/H201,0)*0.00902),"")</f>
        <v>9.0200000000000002E-2</v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51.944444444444443</v>
      </c>
      <c r="BN201" s="64">
        <f t="shared" ref="BN201:BN208" si="34">IFERROR(Y201*I201/H201,"0")</f>
        <v>56.099999999999994</v>
      </c>
      <c r="BO201" s="64">
        <f t="shared" ref="BO201:BO208" si="35">IFERROR(1/J201*(X201/H201),"0")</f>
        <v>7.0145903479236812E-2</v>
      </c>
      <c r="BP201" s="64">
        <f t="shared" ref="BP201:BP208" si="36">IFERROR(1/J201*(Y201/H201),"0")</f>
        <v>7.575757575757576E-2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50</v>
      </c>
      <c r="Y202" s="666">
        <f t="shared" si="32"/>
        <v>54</v>
      </c>
      <c r="Z202" s="36">
        <f>IFERROR(IF(Y202=0,"",ROUNDUP(Y202/H202,0)*0.00902),"")</f>
        <v>9.0200000000000002E-2</v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51.944444444444443</v>
      </c>
      <c r="BN202" s="64">
        <f t="shared" si="34"/>
        <v>56.099999999999994</v>
      </c>
      <c r="BO202" s="64">
        <f t="shared" si="35"/>
        <v>7.0145903479236812E-2</v>
      </c>
      <c r="BP202" s="64">
        <f t="shared" si="36"/>
        <v>7.575757575757576E-2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22.5</v>
      </c>
      <c r="Y203" s="666">
        <f t="shared" si="32"/>
        <v>27</v>
      </c>
      <c r="Z203" s="36">
        <f>IFERROR(IF(Y203=0,"",ROUNDUP(Y203/H203,0)*0.00902),"")</f>
        <v>4.5100000000000001E-2</v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23.375</v>
      </c>
      <c r="BN203" s="64">
        <f t="shared" si="34"/>
        <v>28.049999999999997</v>
      </c>
      <c r="BO203" s="64">
        <f t="shared" si="35"/>
        <v>3.1565656565656561E-2</v>
      </c>
      <c r="BP203" s="64">
        <f t="shared" si="36"/>
        <v>3.787878787878788E-2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15</v>
      </c>
      <c r="Y204" s="666">
        <f t="shared" si="32"/>
        <v>16.200000000000003</v>
      </c>
      <c r="Z204" s="36">
        <f>IFERROR(IF(Y204=0,"",ROUNDUP(Y204/H204,0)*0.00902),"")</f>
        <v>2.7060000000000001E-2</v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15.583333333333334</v>
      </c>
      <c r="BN204" s="64">
        <f t="shared" si="34"/>
        <v>16.830000000000002</v>
      </c>
      <c r="BO204" s="64">
        <f t="shared" si="35"/>
        <v>2.1043771043771045E-2</v>
      </c>
      <c r="BP204" s="64">
        <f t="shared" si="36"/>
        <v>2.2727272727272731E-2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25.462962962962962</v>
      </c>
      <c r="Y209" s="667">
        <f>IFERROR(Y201/H201,"0")+IFERROR(Y202/H202,"0")+IFERROR(Y203/H203,"0")+IFERROR(Y204/H204,"0")+IFERROR(Y205/H205,"0")+IFERROR(Y206/H206,"0")+IFERROR(Y207/H207,"0")+IFERROR(Y208/H208,"0")</f>
        <v>28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0.25256000000000001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137.5</v>
      </c>
      <c r="Y210" s="667">
        <f>IFERROR(SUM(Y201:Y208),"0")</f>
        <v>151.19999999999999</v>
      </c>
      <c r="Z210" s="37"/>
      <c r="AA210" s="668"/>
      <c r="AB210" s="668"/>
      <c r="AC210" s="668"/>
    </row>
    <row r="211" spans="1:68" ht="14.25" hidden="1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2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21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6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21</v>
      </c>
      <c r="Y308" s="666">
        <f>IFERROR(IF(X308="",0,CEILING((X308/$H308),1)*$H308),"")</f>
        <v>21</v>
      </c>
      <c r="Z308" s="36">
        <f>IFERROR(IF(Y308=0,"",ROUNDUP(Y308/H308,0)*0.00502),"")</f>
        <v>5.0200000000000002E-2</v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22</v>
      </c>
      <c r="BN308" s="64">
        <f>IFERROR(Y308*I308/H308,"0")</f>
        <v>22</v>
      </c>
      <c r="BO308" s="64">
        <f>IFERROR(1/J308*(X308/H308),"0")</f>
        <v>4.2735042735042736E-2</v>
      </c>
      <c r="BP308" s="64">
        <f>IFERROR(1/J308*(Y308/H308),"0")</f>
        <v>4.2735042735042736E-2</v>
      </c>
    </row>
    <row r="309" spans="1:68" ht="27" hidden="1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10</v>
      </c>
      <c r="Y310" s="667">
        <f>IFERROR(Y308/H308,"0")+IFERROR(Y309/H309,"0")</f>
        <v>10</v>
      </c>
      <c r="Z310" s="667">
        <f>IFERROR(IF(Z308="",0,Z308),"0")+IFERROR(IF(Z309="",0,Z309),"0")</f>
        <v>5.0200000000000002E-2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21</v>
      </c>
      <c r="Y311" s="667">
        <f>IFERROR(SUM(Y308:Y309),"0")</f>
        <v>21</v>
      </c>
      <c r="Z311" s="37"/>
      <c r="AA311" s="668"/>
      <c r="AB311" s="668"/>
      <c r="AC311" s="668"/>
    </row>
    <row r="312" spans="1:68" ht="16.5" hidden="1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50</v>
      </c>
      <c r="Y329" s="666">
        <f>IFERROR(IF(X329="",0,CEILING((X329/$H329),1)*$H329),"")</f>
        <v>50.400000000000006</v>
      </c>
      <c r="Z329" s="36">
        <f>IFERROR(IF(Y329=0,"",ROUNDUP(Y329/H329,0)*0.00902),"")</f>
        <v>0.10824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53.214285714285715</v>
      </c>
      <c r="BN329" s="64">
        <f>IFERROR(Y329*I329/H329,"0")</f>
        <v>53.64</v>
      </c>
      <c r="BO329" s="64">
        <f>IFERROR(1/J329*(X329/H329),"0")</f>
        <v>9.0187590187590191E-2</v>
      </c>
      <c r="BP329" s="64">
        <f>IFERROR(1/J329*(Y329/H329),"0")</f>
        <v>9.0909090909090912E-2</v>
      </c>
    </row>
    <row r="330" spans="1:68" ht="27" hidden="1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11.904761904761905</v>
      </c>
      <c r="Y332" s="667">
        <f>IFERROR(Y328/H328,"0")+IFERROR(Y329/H329,"0")+IFERROR(Y330/H330,"0")+IFERROR(Y331/H331,"0")</f>
        <v>12</v>
      </c>
      <c r="Z332" s="667">
        <f>IFERROR(IF(Z328="",0,Z328),"0")+IFERROR(IF(Z329="",0,Z329),"0")+IFERROR(IF(Z330="",0,Z330),"0")+IFERROR(IF(Z331="",0,Z331),"0")</f>
        <v>0.10824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50</v>
      </c>
      <c r="Y333" s="667">
        <f>IFERROR(SUM(Y328:Y331),"0")</f>
        <v>50.400000000000006</v>
      </c>
      <c r="Z333" s="37"/>
      <c r="AA333" s="668"/>
      <c r="AB333" s="668"/>
      <c r="AC333" s="668"/>
    </row>
    <row r="334" spans="1:68" ht="14.25" hidden="1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150</v>
      </c>
      <c r="Y335" s="666">
        <f>IFERROR(IF(X335="",0,CEILING((X335/$H335),1)*$H335),"")</f>
        <v>156</v>
      </c>
      <c r="Z335" s="36">
        <f>IFERROR(IF(Y335=0,"",ROUNDUP(Y335/H335,0)*0.01898),"")</f>
        <v>0.37959999999999999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159.86538461538461</v>
      </c>
      <c r="BN335" s="64">
        <f>IFERROR(Y335*I335/H335,"0")</f>
        <v>166.26000000000002</v>
      </c>
      <c r="BO335" s="64">
        <f>IFERROR(1/J335*(X335/H335),"0")</f>
        <v>0.30048076923076922</v>
      </c>
      <c r="BP335" s="64">
        <f>IFERROR(1/J335*(Y335/H335),"0")</f>
        <v>0.3125</v>
      </c>
    </row>
    <row r="336" spans="1:68" ht="27" hidden="1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19.23076923076923</v>
      </c>
      <c r="Y340" s="667">
        <f>IFERROR(Y335/H335,"0")+IFERROR(Y336/H336,"0")+IFERROR(Y337/H337,"0")+IFERROR(Y338/H338,"0")+IFERROR(Y339/H339,"0")</f>
        <v>20</v>
      </c>
      <c r="Z340" s="667">
        <f>IFERROR(IF(Z335="",0,Z335),"0")+IFERROR(IF(Z336="",0,Z336),"0")+IFERROR(IF(Z337="",0,Z337),"0")+IFERROR(IF(Z338="",0,Z338),"0")+IFERROR(IF(Z339="",0,Z339),"0")</f>
        <v>0.37959999999999999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150</v>
      </c>
      <c r="Y341" s="667">
        <f>IFERROR(SUM(Y335:Y339),"0")</f>
        <v>156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10.5</v>
      </c>
      <c r="Y369" s="666">
        <f>IFERROR(IF(X369="",0,CEILING((X369/$H369),1)*$H369),"")</f>
        <v>10.5</v>
      </c>
      <c r="Z369" s="36">
        <f>IFERROR(IF(Y369=0,"",ROUNDUP(Y369/H369,0)*0.00651),"")</f>
        <v>3.2550000000000003E-2</v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11.7</v>
      </c>
      <c r="BN369" s="64">
        <f>IFERROR(Y369*I369/H369,"0")</f>
        <v>11.7</v>
      </c>
      <c r="BO369" s="64">
        <f>IFERROR(1/J369*(X369/H369),"0")</f>
        <v>2.7472527472527476E-2</v>
      </c>
      <c r="BP369" s="64">
        <f>IFERROR(1/J369*(Y369/H369),"0")</f>
        <v>2.7472527472527476E-2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5</v>
      </c>
      <c r="Y370" s="667">
        <f>IFERROR(Y367/H367,"0")+IFERROR(Y368/H368,"0")+IFERROR(Y369/H369,"0")</f>
        <v>5</v>
      </c>
      <c r="Z370" s="667">
        <f>IFERROR(IF(Z367="",0,Z367),"0")+IFERROR(IF(Z368="",0,Z368),"0")+IFERROR(IF(Z369="",0,Z369),"0")</f>
        <v>3.2550000000000003E-2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10.5</v>
      </c>
      <c r="Y371" s="667">
        <f>IFERROR(SUM(Y367:Y369),"0")</f>
        <v>10.5</v>
      </c>
      <c r="Z371" s="37"/>
      <c r="AA371" s="668"/>
      <c r="AB371" s="668"/>
      <c r="AC371" s="668"/>
    </row>
    <row r="372" spans="1:68" ht="27.75" hidden="1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100</v>
      </c>
      <c r="Y375" s="666">
        <f t="shared" ref="Y375:Y384" si="58">IFERROR(IF(X375="",0,CEILING((X375/$H375),1)*$H375),"")</f>
        <v>105</v>
      </c>
      <c r="Z375" s="36">
        <f>IFERROR(IF(Y375=0,"",ROUNDUP(Y375/H375,0)*0.02175),"")</f>
        <v>0.15225</v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103.2</v>
      </c>
      <c r="BN375" s="64">
        <f t="shared" ref="BN375:BN384" si="60">IFERROR(Y375*I375/H375,"0")</f>
        <v>108.36</v>
      </c>
      <c r="BO375" s="64">
        <f t="shared" ref="BO375:BO384" si="61">IFERROR(1/J375*(X375/H375),"0")</f>
        <v>0.1388888888888889</v>
      </c>
      <c r="BP375" s="64">
        <f t="shared" ref="BP375:BP384" si="62">IFERROR(1/J375*(Y375/H375),"0")</f>
        <v>0.14583333333333331</v>
      </c>
    </row>
    <row r="376" spans="1:68" ht="27" hidden="1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600</v>
      </c>
      <c r="Y377" s="666">
        <f t="shared" si="58"/>
        <v>600</v>
      </c>
      <c r="Z377" s="36">
        <f>IFERROR(IF(Y377=0,"",ROUNDUP(Y377/H377,0)*0.02175),"")</f>
        <v>0.86999999999999988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619.20000000000005</v>
      </c>
      <c r="BN377" s="64">
        <f t="shared" si="60"/>
        <v>619.20000000000005</v>
      </c>
      <c r="BO377" s="64">
        <f t="shared" si="61"/>
        <v>0.83333333333333326</v>
      </c>
      <c r="BP377" s="64">
        <f t="shared" si="62"/>
        <v>0.83333333333333326</v>
      </c>
    </row>
    <row r="378" spans="1:68" ht="27" hidden="1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900</v>
      </c>
      <c r="Y380" s="666">
        <f t="shared" si="58"/>
        <v>900</v>
      </c>
      <c r="Z380" s="36">
        <f>IFERROR(IF(Y380=0,"",ROUNDUP(Y380/H380,0)*0.02175),"")</f>
        <v>1.3049999999999999</v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928.8</v>
      </c>
      <c r="BN380" s="64">
        <f t="shared" si="60"/>
        <v>928.8</v>
      </c>
      <c r="BO380" s="64">
        <f t="shared" si="61"/>
        <v>1.25</v>
      </c>
      <c r="BP380" s="64">
        <f t="shared" si="62"/>
        <v>1.25</v>
      </c>
    </row>
    <row r="381" spans="1:68" ht="27" hidden="1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106.66666666666666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107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2.3272499999999998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1600</v>
      </c>
      <c r="Y386" s="667">
        <f>IFERROR(SUM(Y375:Y384),"0")</f>
        <v>1605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600</v>
      </c>
      <c r="Y388" s="666">
        <f>IFERROR(IF(X388="",0,CEILING((X388/$H388),1)*$H388),"")</f>
        <v>600</v>
      </c>
      <c r="Z388" s="36">
        <f>IFERROR(IF(Y388=0,"",ROUNDUP(Y388/H388,0)*0.02175),"")</f>
        <v>0.86999999999999988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619.20000000000005</v>
      </c>
      <c r="BN388" s="64">
        <f>IFERROR(Y388*I388/H388,"0")</f>
        <v>619.20000000000005</v>
      </c>
      <c r="BO388" s="64">
        <f>IFERROR(1/J388*(X388/H388),"0")</f>
        <v>0.83333333333333326</v>
      </c>
      <c r="BP388" s="64">
        <f>IFERROR(1/J388*(Y388/H388),"0")</f>
        <v>0.83333333333333326</v>
      </c>
    </row>
    <row r="389" spans="1:68" ht="27" hidden="1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40</v>
      </c>
      <c r="Y390" s="667">
        <f>IFERROR(Y388/H388,"0")+IFERROR(Y389/H389,"0")</f>
        <v>40</v>
      </c>
      <c r="Z390" s="667">
        <f>IFERROR(IF(Z388="",0,Z388),"0")+IFERROR(IF(Z389="",0,Z389),"0")</f>
        <v>0.86999999999999988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600</v>
      </c>
      <c r="Y391" s="667">
        <f>IFERROR(SUM(Y388:Y389),"0")</f>
        <v>600</v>
      </c>
      <c r="Z391" s="37"/>
      <c r="AA391" s="668"/>
      <c r="AB391" s="668"/>
      <c r="AC391" s="668"/>
    </row>
    <row r="392" spans="1:68" ht="14.25" hidden="1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50</v>
      </c>
      <c r="Y405" s="666">
        <f>IFERROR(IF(X405="",0,CEILING((X405/$H405),1)*$H405),"")</f>
        <v>54</v>
      </c>
      <c r="Z405" s="36">
        <f>IFERROR(IF(Y405=0,"",ROUNDUP(Y405/H405,0)*0.01898),"")</f>
        <v>9.4899999999999998E-2</v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52.013888888888886</v>
      </c>
      <c r="BN405" s="64">
        <f>IFERROR(Y405*I405/H405,"0")</f>
        <v>56.17499999999999</v>
      </c>
      <c r="BO405" s="64">
        <f>IFERROR(1/J405*(X405/H405),"0")</f>
        <v>7.2337962962962965E-2</v>
      </c>
      <c r="BP405" s="64">
        <f>IFERROR(1/J405*(Y405/H405),"0")</f>
        <v>7.8125E-2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200</v>
      </c>
      <c r="Y406" s="666">
        <f>IFERROR(IF(X406="",0,CEILING((X406/$H406),1)*$H406),"")</f>
        <v>204</v>
      </c>
      <c r="Z406" s="36">
        <f>IFERROR(IF(Y406=0,"",ROUNDUP(Y406/H406,0)*0.01898),"")</f>
        <v>0.32266</v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207.25</v>
      </c>
      <c r="BN406" s="64">
        <f>IFERROR(Y406*I406/H406,"0")</f>
        <v>211.39500000000001</v>
      </c>
      <c r="BO406" s="64">
        <f>IFERROR(1/J406*(X406/H406),"0")</f>
        <v>0.26041666666666669</v>
      </c>
      <c r="BP406" s="64">
        <f>IFERROR(1/J406*(Y406/H406),"0")</f>
        <v>0.265625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21.296296296296298</v>
      </c>
      <c r="Y408" s="667">
        <f>IFERROR(Y403/H403,"0")+IFERROR(Y404/H404,"0")+IFERROR(Y405/H405,"0")+IFERROR(Y406/H406,"0")+IFERROR(Y407/H407,"0")</f>
        <v>22</v>
      </c>
      <c r="Z408" s="667">
        <f>IFERROR(IF(Z403="",0,Z403),"0")+IFERROR(IF(Z404="",0,Z404),"0")+IFERROR(IF(Z405="",0,Z405),"0")+IFERROR(IF(Z406="",0,Z406),"0")+IFERROR(IF(Z407="",0,Z407),"0")</f>
        <v>0.41755999999999999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250</v>
      </c>
      <c r="Y409" s="667">
        <f>IFERROR(SUM(Y403:Y407),"0")</f>
        <v>258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30</v>
      </c>
      <c r="Y411" s="666">
        <f>IFERROR(IF(X411="",0,CEILING((X411/$H411),1)*$H411),"")</f>
        <v>30.66</v>
      </c>
      <c r="Z411" s="36">
        <f>IFERROR(IF(Y411=0,"",ROUNDUP(Y411/H411,0)*0.00902),"")</f>
        <v>6.3140000000000002E-2</v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31.849315068493151</v>
      </c>
      <c r="BN411" s="64">
        <f>IFERROR(Y411*I411/H411,"0")</f>
        <v>32.550000000000004</v>
      </c>
      <c r="BO411" s="64">
        <f>IFERROR(1/J411*(X411/H411),"0")</f>
        <v>5.1888750518887507E-2</v>
      </c>
      <c r="BP411" s="64">
        <f>IFERROR(1/J411*(Y411/H411),"0")</f>
        <v>5.3030303030303032E-2</v>
      </c>
    </row>
    <row r="412" spans="1:68" ht="27" hidden="1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6.8493150684931505</v>
      </c>
      <c r="Y413" s="667">
        <f>IFERROR(Y411/H411,"0")+IFERROR(Y412/H412,"0")</f>
        <v>7</v>
      </c>
      <c r="Z413" s="667">
        <f>IFERROR(IF(Z411="",0,Z411),"0")+IFERROR(IF(Z412="",0,Z412),"0")</f>
        <v>6.3140000000000002E-2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30</v>
      </c>
      <c r="Y414" s="667">
        <f>IFERROR(SUM(Y411:Y412),"0")</f>
        <v>30.66</v>
      </c>
      <c r="Z414" s="37"/>
      <c r="AA414" s="668"/>
      <c r="AB414" s="668"/>
      <c r="AC414" s="668"/>
    </row>
    <row r="415" spans="1:68" ht="14.25" hidden="1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1200</v>
      </c>
      <c r="Y416" s="666">
        <f>IFERROR(IF(X416="",0,CEILING((X416/$H416),1)*$H416),"")</f>
        <v>1206</v>
      </c>
      <c r="Z416" s="36">
        <f>IFERROR(IF(Y416=0,"",ROUNDUP(Y416/H416,0)*0.01898),"")</f>
        <v>2.54332</v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1269.1999999999998</v>
      </c>
      <c r="BN416" s="64">
        <f>IFERROR(Y416*I416/H416,"0")</f>
        <v>1275.546</v>
      </c>
      <c r="BO416" s="64">
        <f>IFERROR(1/J416*(X416/H416),"0")</f>
        <v>2.0833333333333335</v>
      </c>
      <c r="BP416" s="64">
        <f>IFERROR(1/J416*(Y416/H416),"0")</f>
        <v>2.09375</v>
      </c>
    </row>
    <row r="417" spans="1:68" ht="37.5" hidden="1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100</v>
      </c>
      <c r="Y418" s="666">
        <f>IFERROR(IF(X418="",0,CEILING((X418/$H418),1)*$H418),"")</f>
        <v>100.8</v>
      </c>
      <c r="Z418" s="36">
        <f>IFERROR(IF(Y418=0,"",ROUNDUP(Y418/H418,0)*0.00651),"")</f>
        <v>0.27342</v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111.00000000000001</v>
      </c>
      <c r="BN418" s="64">
        <f>IFERROR(Y418*I418/H418,"0")</f>
        <v>111.88800000000001</v>
      </c>
      <c r="BO418" s="64">
        <f>IFERROR(1/J418*(X418/H418),"0")</f>
        <v>0.22893772893772898</v>
      </c>
      <c r="BP418" s="64">
        <f>IFERROR(1/J418*(Y418/H418),"0")</f>
        <v>0.23076923076923078</v>
      </c>
    </row>
    <row r="419" spans="1:68" ht="27" hidden="1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175</v>
      </c>
      <c r="Y421" s="667">
        <f>IFERROR(Y416/H416,"0")+IFERROR(Y417/H417,"0")+IFERROR(Y418/H418,"0")+IFERROR(Y419/H419,"0")+IFERROR(Y420/H420,"0")</f>
        <v>176</v>
      </c>
      <c r="Z421" s="667">
        <f>IFERROR(IF(Z416="",0,Z416),"0")+IFERROR(IF(Z417="",0,Z417),"0")+IFERROR(IF(Z418="",0,Z418),"0")+IFERROR(IF(Z419="",0,Z419),"0")+IFERROR(IF(Z420="",0,Z420),"0")</f>
        <v>2.8167400000000002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1300</v>
      </c>
      <c r="Y422" s="667">
        <f>IFERROR(SUM(Y416:Y420),"0")</f>
        <v>1306.8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20</v>
      </c>
      <c r="Y430" s="666">
        <f t="shared" ref="Y430:Y441" si="63">IFERROR(IF(X430="",0,CEILING((X430/$H430),1)*$H430),"")</f>
        <v>21.6</v>
      </c>
      <c r="Z430" s="36">
        <f>IFERROR(IF(Y430=0,"",ROUNDUP(Y430/H430,0)*0.00902),"")</f>
        <v>3.6080000000000001E-2</v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20.777777777777779</v>
      </c>
      <c r="BN430" s="64">
        <f t="shared" ref="BN430:BN441" si="65">IFERROR(Y430*I430/H430,"0")</f>
        <v>22.44</v>
      </c>
      <c r="BO430" s="64">
        <f t="shared" ref="BO430:BO441" si="66">IFERROR(1/J430*(X430/H430),"0")</f>
        <v>2.8058361391694722E-2</v>
      </c>
      <c r="BP430" s="64">
        <f t="shared" ref="BP430:BP441" si="67">IFERROR(1/J430*(Y430/H430),"0")</f>
        <v>3.0303030303030304E-2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20</v>
      </c>
      <c r="Y433" s="666">
        <f t="shared" si="63"/>
        <v>21.6</v>
      </c>
      <c r="Z433" s="36">
        <f>IFERROR(IF(Y433=0,"",ROUNDUP(Y433/H433,0)*0.00902),"")</f>
        <v>3.6080000000000001E-2</v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20.777777777777779</v>
      </c>
      <c r="BN433" s="64">
        <f t="shared" si="65"/>
        <v>22.44</v>
      </c>
      <c r="BO433" s="64">
        <f t="shared" si="66"/>
        <v>2.8058361391694722E-2</v>
      </c>
      <c r="BP433" s="64">
        <f t="shared" si="67"/>
        <v>3.0303030303030304E-2</v>
      </c>
    </row>
    <row r="434" spans="1:68" ht="27" hidden="1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4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7</v>
      </c>
      <c r="Y436" s="666">
        <f t="shared" si="63"/>
        <v>8.4</v>
      </c>
      <c r="Z436" s="36">
        <f t="shared" si="68"/>
        <v>2.0080000000000001E-2</v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7.4333333333333327</v>
      </c>
      <c r="BN436" s="64">
        <f t="shared" si="65"/>
        <v>8.92</v>
      </c>
      <c r="BO436" s="64">
        <f t="shared" si="66"/>
        <v>1.4245014245014245E-2</v>
      </c>
      <c r="BP436" s="64">
        <f t="shared" si="67"/>
        <v>1.7094017094017096E-2</v>
      </c>
    </row>
    <row r="437" spans="1:68" ht="37.5" hidden="1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0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10.74074074074074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12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9.2240000000000003E-2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47</v>
      </c>
      <c r="Y443" s="667">
        <f>IFERROR(SUM(Y430:Y441),"0")</f>
        <v>51.6</v>
      </c>
      <c r="Z443" s="37"/>
      <c r="AA443" s="668"/>
      <c r="AB443" s="668"/>
      <c r="AC443" s="668"/>
    </row>
    <row r="444" spans="1:68" ht="14.25" hidden="1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20</v>
      </c>
      <c r="Y456" s="666">
        <f>IFERROR(IF(X456="",0,CEILING((X456/$H456),1)*$H456),"")</f>
        <v>21.6</v>
      </c>
      <c r="Z456" s="36">
        <f>IFERROR(IF(Y456=0,"",ROUNDUP(Y456/H456,0)*0.00902),"")</f>
        <v>3.6080000000000001E-2</v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20.777777777777779</v>
      </c>
      <c r="BN456" s="64">
        <f>IFERROR(Y456*I456/H456,"0")</f>
        <v>22.44</v>
      </c>
      <c r="BO456" s="64">
        <f>IFERROR(1/J456*(X456/H456),"0")</f>
        <v>2.8058361391694722E-2</v>
      </c>
      <c r="BP456" s="64">
        <f>IFERROR(1/J456*(Y456/H456),"0")</f>
        <v>3.0303030303030304E-2</v>
      </c>
    </row>
    <row r="457" spans="1:68" ht="27" hidden="1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3.7037037037037033</v>
      </c>
      <c r="Y460" s="667">
        <f>IFERROR(Y456/H456,"0")+IFERROR(Y457/H457,"0")+IFERROR(Y458/H458,"0")+IFERROR(Y459/H459,"0")</f>
        <v>4</v>
      </c>
      <c r="Z460" s="667">
        <f>IFERROR(IF(Z456="",0,Z456),"0")+IFERROR(IF(Z457="",0,Z457),"0")+IFERROR(IF(Z458="",0,Z458),"0")+IFERROR(IF(Z459="",0,Z459),"0")</f>
        <v>3.6080000000000001E-2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20</v>
      </c>
      <c r="Y461" s="667">
        <f>IFERROR(SUM(Y456:Y459),"0")</f>
        <v>21.6</v>
      </c>
      <c r="Z461" s="37"/>
      <c r="AA461" s="668"/>
      <c r="AB461" s="668"/>
      <c r="AC461" s="668"/>
    </row>
    <row r="462" spans="1:68" ht="16.5" hidden="1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40</v>
      </c>
      <c r="Y480" s="666">
        <f t="shared" ref="Y480:Y495" si="69">IFERROR(IF(X480="",0,CEILING((X480/$H480),1)*$H480),"")</f>
        <v>42.24</v>
      </c>
      <c r="Z480" s="36">
        <f t="shared" ref="Z480:Z485" si="70">IFERROR(IF(Y480=0,"",ROUNDUP(Y480/H480,0)*0.01196),"")</f>
        <v>9.5680000000000001E-2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42.727272727272727</v>
      </c>
      <c r="BN480" s="64">
        <f t="shared" ref="BN480:BN495" si="72">IFERROR(Y480*I480/H480,"0")</f>
        <v>45.12</v>
      </c>
      <c r="BO480" s="64">
        <f t="shared" ref="BO480:BO495" si="73">IFERROR(1/J480*(X480/H480),"0")</f>
        <v>7.2843822843822847E-2</v>
      </c>
      <c r="BP480" s="64">
        <f t="shared" ref="BP480:BP495" si="74">IFERROR(1/J480*(Y480/H480),"0")</f>
        <v>7.6923076923076927E-2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20</v>
      </c>
      <c r="Y481" s="666">
        <f t="shared" si="69"/>
        <v>21.12</v>
      </c>
      <c r="Z481" s="36">
        <f t="shared" si="70"/>
        <v>4.7840000000000001E-2</v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21.363636363636363</v>
      </c>
      <c r="BN481" s="64">
        <f t="shared" si="72"/>
        <v>22.56</v>
      </c>
      <c r="BO481" s="64">
        <f t="shared" si="73"/>
        <v>3.6421911421911424E-2</v>
      </c>
      <c r="BP481" s="64">
        <f t="shared" si="74"/>
        <v>3.8461538461538464E-2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30</v>
      </c>
      <c r="Y482" s="666">
        <f t="shared" si="69"/>
        <v>31.68</v>
      </c>
      <c r="Z482" s="36">
        <f t="shared" si="70"/>
        <v>7.1760000000000004E-2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32.04545454545454</v>
      </c>
      <c r="BN482" s="64">
        <f t="shared" si="72"/>
        <v>33.839999999999996</v>
      </c>
      <c r="BO482" s="64">
        <f t="shared" si="73"/>
        <v>5.4632867132867136E-2</v>
      </c>
      <c r="BP482" s="64">
        <f t="shared" si="74"/>
        <v>5.7692307692307696E-2</v>
      </c>
    </row>
    <row r="483" spans="1:68" ht="16.5" hidden="1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15</v>
      </c>
      <c r="Y484" s="666">
        <f t="shared" si="69"/>
        <v>15.84</v>
      </c>
      <c r="Z484" s="36">
        <f t="shared" si="70"/>
        <v>3.5880000000000002E-2</v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16.02272727272727</v>
      </c>
      <c r="BN484" s="64">
        <f t="shared" si="72"/>
        <v>16.919999999999998</v>
      </c>
      <c r="BO484" s="64">
        <f t="shared" si="73"/>
        <v>2.7316433566433568E-2</v>
      </c>
      <c r="BP484" s="64">
        <f t="shared" si="74"/>
        <v>2.8846153846153848E-2</v>
      </c>
    </row>
    <row r="485" spans="1:68" ht="16.5" hidden="1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19.886363636363637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21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0.25116000000000005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105</v>
      </c>
      <c r="Y497" s="667">
        <f>IFERROR(SUM(Y480:Y495),"0")</f>
        <v>110.88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20</v>
      </c>
      <c r="Y499" s="666">
        <f>IFERROR(IF(X499="",0,CEILING((X499/$H499),1)*$H499),"")</f>
        <v>21.12</v>
      </c>
      <c r="Z499" s="36">
        <f>IFERROR(IF(Y499=0,"",ROUNDUP(Y499/H499,0)*0.01196),"")</f>
        <v>4.7840000000000001E-2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21.363636363636363</v>
      </c>
      <c r="BN499" s="64">
        <f>IFERROR(Y499*I499/H499,"0")</f>
        <v>22.56</v>
      </c>
      <c r="BO499" s="64">
        <f>IFERROR(1/J499*(X499/H499),"0")</f>
        <v>3.6421911421911424E-2</v>
      </c>
      <c r="BP499" s="64">
        <f>IFERROR(1/J499*(Y499/H499),"0")</f>
        <v>3.8461538461538464E-2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3.7878787878787876</v>
      </c>
      <c r="Y503" s="667">
        <f>IFERROR(Y499/H499,"0")+IFERROR(Y500/H500,"0")+IFERROR(Y501/H501,"0")+IFERROR(Y502/H502,"0")</f>
        <v>4</v>
      </c>
      <c r="Z503" s="667">
        <f>IFERROR(IF(Z499="",0,Z499),"0")+IFERROR(IF(Z500="",0,Z500),"0")+IFERROR(IF(Z501="",0,Z501),"0")+IFERROR(IF(Z502="",0,Z502),"0")</f>
        <v>4.7840000000000001E-2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20</v>
      </c>
      <c r="Y504" s="667">
        <f>IFERROR(SUM(Y499:Y502),"0")</f>
        <v>21.12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15</v>
      </c>
      <c r="Y506" s="666">
        <f t="shared" ref="Y506:Y517" si="75">IFERROR(IF(X506="",0,CEILING((X506/$H506),1)*$H506),"")</f>
        <v>15.84</v>
      </c>
      <c r="Z506" s="36">
        <f>IFERROR(IF(Y506=0,"",ROUNDUP(Y506/H506,0)*0.01196),"")</f>
        <v>3.5880000000000002E-2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16.02272727272727</v>
      </c>
      <c r="BN506" s="64">
        <f t="shared" ref="BN506:BN517" si="77">IFERROR(Y506*I506/H506,"0")</f>
        <v>16.919999999999998</v>
      </c>
      <c r="BO506" s="64">
        <f t="shared" ref="BO506:BO517" si="78">IFERROR(1/J506*(X506/H506),"0")</f>
        <v>2.7316433566433568E-2</v>
      </c>
      <c r="BP506" s="64">
        <f t="shared" ref="BP506:BP517" si="79">IFERROR(1/J506*(Y506/H506),"0")</f>
        <v>2.8846153846153848E-2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30</v>
      </c>
      <c r="Y507" s="666">
        <f t="shared" si="75"/>
        <v>31.68</v>
      </c>
      <c r="Z507" s="36">
        <f>IFERROR(IF(Y507=0,"",ROUNDUP(Y507/H507,0)*0.01196),"")</f>
        <v>7.1760000000000004E-2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32.04545454545454</v>
      </c>
      <c r="BN507" s="64">
        <f t="shared" si="77"/>
        <v>33.839999999999996</v>
      </c>
      <c r="BO507" s="64">
        <f t="shared" si="78"/>
        <v>5.4632867132867136E-2</v>
      </c>
      <c r="BP507" s="64">
        <f t="shared" si="79"/>
        <v>5.7692307692307696E-2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30</v>
      </c>
      <c r="Y508" s="666">
        <f t="shared" si="75"/>
        <v>31.68</v>
      </c>
      <c r="Z508" s="36">
        <f>IFERROR(IF(Y508=0,"",ROUNDUP(Y508/H508,0)*0.01196),"")</f>
        <v>7.1760000000000004E-2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32.04545454545454</v>
      </c>
      <c r="BN508" s="64">
        <f t="shared" si="77"/>
        <v>33.839999999999996</v>
      </c>
      <c r="BO508" s="64">
        <f t="shared" si="78"/>
        <v>5.4632867132867136E-2</v>
      </c>
      <c r="BP508" s="64">
        <f t="shared" si="79"/>
        <v>5.7692307692307696E-2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14.204545454545455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15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0.1794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75</v>
      </c>
      <c r="Y519" s="667">
        <f>IFERROR(SUM(Y506:Y517),"0")</f>
        <v>79.199999999999989</v>
      </c>
      <c r="Z519" s="37"/>
      <c r="AA519" s="668"/>
      <c r="AB519" s="668"/>
      <c r="AC519" s="668"/>
    </row>
    <row r="520" spans="1:68" ht="14.25" hidden="1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6266.85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6379.7800000000007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6554.158027605954</v>
      </c>
      <c r="Y593" s="667">
        <f>IFERROR(SUM(BN22:BN589),"0")</f>
        <v>6672.7030000000004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10</v>
      </c>
      <c r="Y594" s="38">
        <f>ROUNDUP(SUM(BP22:BP589),0)</f>
        <v>10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6804.158027605954</v>
      </c>
      <c r="Y595" s="667">
        <f>GrossWeightTotalR+PalletQtyTotalR*25</f>
        <v>6922.7030000000004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707.84776106693926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724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11.59652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288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870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357.5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260.10000000000002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310.50000000000006</v>
      </c>
      <c r="G602" s="46">
        <f>IFERROR(Y137*1,"0")+IFERROR(Y138*1,"0")+IFERROR(Y142*1,"0")+IFERROR(Y143*1,"0")+IFERROR(Y147*1,"0")+IFERROR(Y148*1,"0")</f>
        <v>20.72</v>
      </c>
      <c r="H602" s="46">
        <f>IFERROR(Y153*1,"0")+IFERROR(Y157*1,"0")+IFERROR(Y158*1,"0")+IFERROR(Y159*1,"0")+IFERROR(Y160*1,"0")+IFERROR(Y164*1,"0")</f>
        <v>66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21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151.19999999999999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21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206.4</v>
      </c>
      <c r="V602" s="46">
        <f>IFERROR(Y363*1,"0")+IFERROR(Y367*1,"0")+IFERROR(Y368*1,"0")+IFERROR(Y369*1,"0")</f>
        <v>10.5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2205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1595.46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51.6</v>
      </c>
      <c r="Z602" s="46">
        <f>IFERROR(Y451*1,"0")+IFERROR(Y452*1,"0")+IFERROR(Y456*1,"0")+IFERROR(Y457*1,"0")+IFERROR(Y458*1,"0")+IFERROR(Y459*1,"0")</f>
        <v>21.6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211.20000000000002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300,00"/>
        <filter val="1 600,00"/>
        <filter val="10"/>
        <filter val="10,00"/>
        <filter val="10,50"/>
        <filter val="10,74"/>
        <filter val="100,00"/>
        <filter val="105,00"/>
        <filter val="106,67"/>
        <filter val="109,00"/>
        <filter val="11,90"/>
        <filter val="12,00"/>
        <filter val="137,50"/>
        <filter val="14,20"/>
        <filter val="140,00"/>
        <filter val="140,50"/>
        <filter val="15,00"/>
        <filter val="15,24"/>
        <filter val="150,00"/>
        <filter val="175,00"/>
        <filter val="18,15"/>
        <filter val="19,23"/>
        <filter val="19,89"/>
        <filter val="195,00"/>
        <filter val="2,50"/>
        <filter val="20,00"/>
        <filter val="200,00"/>
        <filter val="21,00"/>
        <filter val="21,30"/>
        <filter val="22,50"/>
        <filter val="23,72"/>
        <filter val="24,26"/>
        <filter val="25,46"/>
        <filter val="250,00"/>
        <filter val="3,70"/>
        <filter val="3,75"/>
        <filter val="3,79"/>
        <filter val="30,00"/>
        <filter val="300,00"/>
        <filter val="306,75"/>
        <filter val="38,21"/>
        <filter val="40,00"/>
        <filter val="40,50"/>
        <filter val="45,00"/>
        <filter val="47,00"/>
        <filter val="5,00"/>
        <filter val="50,00"/>
        <filter val="6 266,85"/>
        <filter val="6 554,16"/>
        <filter val="6 804,16"/>
        <filter val="6,60"/>
        <filter val="6,75"/>
        <filter val="6,85"/>
        <filter val="60,00"/>
        <filter val="600,00"/>
        <filter val="7,00"/>
        <filter val="707,85"/>
        <filter val="75,00"/>
        <filter val="800,00"/>
        <filter val="860,00"/>
        <filter val="89,07"/>
        <filter val="9,00"/>
        <filter val="9,21"/>
        <filter val="900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2025-04-22T11:33:31Z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