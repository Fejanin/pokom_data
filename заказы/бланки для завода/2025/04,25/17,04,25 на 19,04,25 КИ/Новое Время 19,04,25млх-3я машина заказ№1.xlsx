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403F0E0-490D-4F11-91C9-5222B04FF2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N96" i="1"/>
  <c r="BM96" i="1"/>
  <c r="Z96" i="1"/>
  <c r="Y96" i="1"/>
  <c r="BP96" i="1" s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61" i="1" l="1"/>
  <c r="BN61" i="1"/>
  <c r="Z61" i="1"/>
  <c r="BP109" i="1"/>
  <c r="BN109" i="1"/>
  <c r="Z109" i="1"/>
  <c r="BP158" i="1"/>
  <c r="BN158" i="1"/>
  <c r="Z158" i="1"/>
  <c r="BP179" i="1"/>
  <c r="BN179" i="1"/>
  <c r="Z179" i="1"/>
  <c r="BP213" i="1"/>
  <c r="BN213" i="1"/>
  <c r="Z213" i="1"/>
  <c r="BP260" i="1"/>
  <c r="BN260" i="1"/>
  <c r="Z26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BP73" i="1"/>
  <c r="BN73" i="1"/>
  <c r="Z73" i="1"/>
  <c r="BP132" i="1"/>
  <c r="BN132" i="1"/>
  <c r="Z132" i="1"/>
  <c r="BP178" i="1"/>
  <c r="BN178" i="1"/>
  <c r="Z178" i="1"/>
  <c r="BP197" i="1"/>
  <c r="BN197" i="1"/>
  <c r="Z197" i="1"/>
  <c r="BP201" i="1"/>
  <c r="BN201" i="1"/>
  <c r="Z201" i="1"/>
  <c r="BP225" i="1"/>
  <c r="BN225" i="1"/>
  <c r="Z225" i="1"/>
  <c r="BP230" i="1"/>
  <c r="BN230" i="1"/>
  <c r="Z230" i="1"/>
  <c r="BP279" i="1"/>
  <c r="BN279" i="1"/>
  <c r="Z279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Y102" i="1"/>
  <c r="BP126" i="1"/>
  <c r="BN126" i="1"/>
  <c r="Z126" i="1"/>
  <c r="BP191" i="1"/>
  <c r="BN191" i="1"/>
  <c r="Z191" i="1"/>
  <c r="BP97" i="1"/>
  <c r="BN97" i="1"/>
  <c r="Z97" i="1"/>
  <c r="BP107" i="1"/>
  <c r="BN107" i="1"/>
  <c r="Z107" i="1"/>
  <c r="BP147" i="1"/>
  <c r="BN147" i="1"/>
  <c r="Z147" i="1"/>
  <c r="BP176" i="1"/>
  <c r="BN176" i="1"/>
  <c r="Z176" i="1"/>
  <c r="Y188" i="1"/>
  <c r="Y187" i="1"/>
  <c r="BP186" i="1"/>
  <c r="BN186" i="1"/>
  <c r="Z186" i="1"/>
  <c r="Z187" i="1" s="1"/>
  <c r="BP207" i="1"/>
  <c r="BN207" i="1"/>
  <c r="Z207" i="1"/>
  <c r="BP219" i="1"/>
  <c r="BN219" i="1"/>
  <c r="Z219" i="1"/>
  <c r="BP236" i="1"/>
  <c r="BN236" i="1"/>
  <c r="Z236" i="1"/>
  <c r="Y248" i="1"/>
  <c r="Y247" i="1"/>
  <c r="BP246" i="1"/>
  <c r="BN246" i="1"/>
  <c r="Z246" i="1"/>
  <c r="Z247" i="1" s="1"/>
  <c r="BP258" i="1"/>
  <c r="BN258" i="1"/>
  <c r="Z258" i="1"/>
  <c r="BP277" i="1"/>
  <c r="BN277" i="1"/>
  <c r="Z277" i="1"/>
  <c r="T601" i="1"/>
  <c r="Y315" i="1"/>
  <c r="BP314" i="1"/>
  <c r="BN314" i="1"/>
  <c r="Z314" i="1"/>
  <c r="Z315" i="1" s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BP98" i="1"/>
  <c r="BN98" i="1"/>
  <c r="Z98" i="1"/>
  <c r="Y117" i="1"/>
  <c r="BP113" i="1"/>
  <c r="BN113" i="1"/>
  <c r="Z113" i="1"/>
  <c r="BP137" i="1"/>
  <c r="BN137" i="1"/>
  <c r="Z137" i="1"/>
  <c r="BP160" i="1"/>
  <c r="BN160" i="1"/>
  <c r="Z160" i="1"/>
  <c r="BP181" i="1"/>
  <c r="BN181" i="1"/>
  <c r="Z181" i="1"/>
  <c r="BP203" i="1"/>
  <c r="BN203" i="1"/>
  <c r="Z203" i="1"/>
  <c r="BP215" i="1"/>
  <c r="BN215" i="1"/>
  <c r="Z215" i="1"/>
  <c r="BP232" i="1"/>
  <c r="BN232" i="1"/>
  <c r="Z232" i="1"/>
  <c r="Y243" i="1"/>
  <c r="BP241" i="1"/>
  <c r="BN241" i="1"/>
  <c r="Z241" i="1"/>
  <c r="M601" i="1"/>
  <c r="Y266" i="1"/>
  <c r="BP265" i="1"/>
  <c r="BN265" i="1"/>
  <c r="Z265" i="1"/>
  <c r="Z266" i="1" s="1"/>
  <c r="BP270" i="1"/>
  <c r="BN270" i="1"/>
  <c r="Z270" i="1"/>
  <c r="BP281" i="1"/>
  <c r="BN281" i="1"/>
  <c r="Z281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128" i="1"/>
  <c r="BP319" i="1"/>
  <c r="BN319" i="1"/>
  <c r="Z319" i="1"/>
  <c r="BP331" i="1"/>
  <c r="BN331" i="1"/>
  <c r="Z331" i="1"/>
  <c r="BP343" i="1"/>
  <c r="BN343" i="1"/>
  <c r="Z343" i="1"/>
  <c r="Z346" i="1" s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02" i="1" l="1"/>
  <c r="Z523" i="1"/>
  <c r="Z528" i="1"/>
  <c r="Z353" i="1"/>
  <c r="Z261" i="1"/>
  <c r="Z198" i="1"/>
  <c r="Z128" i="1"/>
  <c r="Z110" i="1"/>
  <c r="Z90" i="1"/>
  <c r="Z62" i="1"/>
  <c r="Z41" i="1"/>
  <c r="Z466" i="1"/>
  <c r="Z395" i="1"/>
  <c r="Z495" i="1"/>
  <c r="Z340" i="1"/>
  <c r="Z325" i="1"/>
  <c r="Z102" i="1"/>
  <c r="Y592" i="1"/>
  <c r="Z238" i="1"/>
  <c r="Z209" i="1"/>
  <c r="Z183" i="1"/>
  <c r="Z77" i="1"/>
  <c r="Z55" i="1"/>
  <c r="Y593" i="1"/>
  <c r="Z28" i="1"/>
  <c r="Z547" i="1"/>
  <c r="Z517" i="1"/>
  <c r="Z442" i="1"/>
  <c r="Z332" i="1"/>
  <c r="Z83" i="1"/>
  <c r="Y595" i="1"/>
  <c r="Z408" i="1"/>
  <c r="Z370" i="1"/>
  <c r="Y591" i="1"/>
  <c r="Z565" i="1"/>
  <c r="Z385" i="1"/>
  <c r="Z221" i="1"/>
  <c r="Z161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<sst xmlns="http://schemas.openxmlformats.org/spreadsheetml/2006/main" count="2721" uniqueCount="976">
  <si>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</si>
  <si>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</si>
  <si>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</si>
  <si>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</si>
  <si>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</si>
  <si>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</si>
  <si>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</si>
  <si>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</si>
  <si>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</si>
  <si>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</si>
  <si>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</si>
  <si>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</si>
  <si>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</si>
  <si>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</si>
  <si>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</si>
  <si>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</si>
  <si>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</si>
  <si>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</si>
  <si>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</si>
  <si>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</si>
  <si>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</si>
  <si>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</si>
  <si>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</si>
  <si>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</si>
  <si>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</si>
  <si>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</si>
  <si>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</si>
  <si>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</si>
  <si>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</si>
  <si>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</si>
  <si>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</si>
  <si>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</si>
  <si>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</si>
  <si>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</si>
  <si>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</si>
  <si>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</si>
  <si>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</si>
  <si>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</si>
  <si>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</si>
  <si>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</si>
  <si>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</si>
  <si>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</si>
  <si>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</si>
  <si>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</si>
  <si>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</si>
  <si>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</si>
  <si>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</si>
  <si>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</si>
  <si>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</si>
  <si>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</si>
  <si>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</si>
  <si>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</si>
  <si>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</si>
  <si>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</si>
  <si>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</si>
  <si>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</si>
  <si>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</si>
  <si>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</si>
  <si>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</si>
  <si>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</si>
  <si>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</si>
  <si>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</si>
  <si>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</si>
  <si>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</si>
  <si>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</si>
  <si>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</si>
  <si>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</si>
  <si>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</si>
  <si>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</si>
  <si>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</si>
  <si>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</si>
  <si>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</si>
  <si>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</si>
  <si>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</si>
  <si>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</si>
  <si>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</si>
  <si>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</si>
  <si>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</si>
  <si>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</si>
  <si>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</si>
  <si>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</si>
  <si>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</si>
  <si>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</si>
  <si>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</si>
  <si>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</si>
  <si>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</si>
  <si>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</si>
  <si>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</si>
  <si>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</si>
  <si>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</si>
  <si>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</si>
  <si>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</si>
  <si>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</si>
  <si>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</si>
  <si>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</si>
  <si>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</si>
  <si>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</si>
  <si>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</si>
  <si>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</si>
  <si>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</si>
  <si>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</si>
  <si>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</si>
  <si>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</si>
  <si>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</si>
  <si>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</si>
  <si>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</si>
  <si>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</si>
  <si>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</si>
  <si>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</si>
  <si>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</si>
  <si>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</si>
  <si>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</si>
  <si>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</si>
  <si>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</si>
  <si>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</si>
  <si>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</si>
  <si>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</si>
  <si>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</si>
  <si>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</si>
  <si>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</si>
  <si>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</si>
  <si>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</si>
  <si>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</si>
  <si>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</si>
  <si>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</si>
  <si>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</si>
  <si>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</si>
  <si>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</si>
  <si>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</si>
  <si>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</si>
  <si>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</si>
  <si>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</si>
  <si>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</si>
  <si>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</si>
  <si>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</si>
  <si>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</si>
  <si>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</si>
  <si>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</si>
  <si>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</si>
  <si>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</si>
  <si>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</si>
  <si>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</si>
  <si>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</si>
  <si>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</si>
  <si>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</si>
  <si>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</si>
  <si>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</si>
  <si>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</si>
  <si>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</si>
  <si>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</si>
  <si>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</si>
  <si>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</si>
  <si>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</si>
  <si>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</si>
  <si>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</si>
  <si>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</si>
  <si>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</si>
  <si>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</si>
  <si>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</si>
  <si>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</si>
  <si>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</si>
  <si>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</si>
  <si>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</si>
  <si>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</si>
  <si>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</si>
  <si>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</si>
  <si>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</si>
  <si>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</si>
  <si>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</si>
  <si>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</si>
  <si>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</si>
  <si>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</si>
  <si>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</si>
  <si>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</si>
  <si>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</si>
  <si>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</si>
  <si>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</si>
  <si>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</si>
  <si>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</si>
  <si>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</si>
  <si>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</si>
  <si>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</si>
  <si>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</si>
  <si>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</si>
  <si>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</si>
  <si>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</si>
  <si>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</si>
  <si>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</si>
  <si>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</si>
  <si>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</si>
  <si>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</si>
  <si>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</si>
  <si>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</si>
  <si>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</si>
  <si>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</si>
  <si>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</si>
  <si>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</si>
  <si>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</si>
  <si>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</si>
  <si>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</si>
  <si>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</si>
  <si>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</si>
  <si>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</si>
  <si>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</si>
  <si>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</si>
  <si>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</si>
  <si>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</si>
  <si>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</si>
  <si>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</si>
  <si>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</si>
  <si>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</si>
  <si>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</si>
  <si>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</si>
  <si>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</si>
  <si>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</si>
  <si>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</si>
  <si>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</si>
  <si>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</si>
  <si>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</si>
  <si>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</si>
  <si>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</si>
  <si>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</si>
  <si>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</si>
  <si>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</si>
  <si>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</si>
  <si>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</si>
  <si>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</si>
  <si>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</si>
  <si>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</si>
  <si>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</si>
  <si>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</si>
  <si>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</si>
  <si>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</si>
  <si>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</si>
  <si>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</si>
  <si>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</si>
  <si>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</si>
  <si>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</si>
  <si>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</si>
  <si>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</si>
  <si>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</si>
  <si>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</si>
  <si>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</si>
  <si>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</si>
  <si>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</si>
  <si>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</si>
  <si>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</si>
  <si>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</si>
  <si>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</si>
  <si>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</si>
  <si>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</si>
  <si>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</si>
  <si>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</si>
  <si>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</si>
  <si>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</si>
  <si>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</si>
  <si>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</si>
  <si>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</si>
  <si>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</si>
  <si>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</si>
  <si>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</si>
  <si>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</si>
  <si>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</si>
  <si>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</si>
  <si>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</si>
  <si>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</si>
  <si>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</si>
  <si>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</si>
  <si>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</si>
  <si>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</si>
  <si>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</si>
  <si>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</si>
  <si>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</si>
  <si>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</si>
  <si>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</si>
  <si>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</si>
  <si>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</si>
  <si>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</si>
  <si>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</si>
  <si>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</si>
  <si>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</si>
  <si>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</si>
  <si>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</si>
  <si>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</si>
  <si>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</si>
  <si>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</si>
  <si>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</si>
  <si>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</si>
  <si>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</si>
  <si>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</si>
  <si>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</si>
  <si>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</si>
  <si>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</si>
  <si>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</si>
  <si>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</si>
  <si>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</si>
  <si>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</si>
  <si>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</si>
  <si>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</si>
  <si>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</si>
  <si>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</si>
  <si>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</si>
  <si>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</si>
  <si>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</si>
  <si>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</si>
  <si>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</si>
  <si>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</si>
  <si>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</si>
  <si>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</si>
  <si>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</si>
  <si>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</si>
  <si>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</si>
  <si>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</si>
  <si>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</si>
  <si>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</si>
  <si>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</si>
  <si>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</si>
  <si>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</si>
  <si>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</si>
  <si>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</si>
  <si>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</si>
  <si>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</si>
  <si>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</si>
  <si>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</si>
  <si>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</si>
  <si>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</si>
  <si>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</si>
  <si>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</si>
  <si>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</si>
  <si>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</si>
  <si>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</si>
  <si>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</si>
  <si>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</si>
  <si>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</si>
  <si>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</si>
  <si>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</si>
  <si>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</si>
  <si>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</si>
  <si>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</si>
  <si>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</si>
  <si>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</si>
  <si>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</si>
  <si>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</si>
  <si>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</si>
  <si>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</si>
  <si>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</si>
  <si>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</si>
  <si>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</si>
  <si>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</si>
  <si>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</si>
  <si>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</si>
  <si>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</si>
  <si>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</si>
  <si>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</si>
  <si>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</si>
  <si>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</si>
  <si>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</si>
  <si>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</si>
  <si>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</si>
  <si>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</si>
  <si>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</si>
  <si>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</si>
  <si>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</si>
  <si>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</si>
  <si>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</si>
  <si>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</si>
  <si>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</si>
  <si>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</si>
  <si>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</si>
  <si>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</si>
  <si>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</si>
  <si>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</si>
  <si>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</si>
  <si>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</si>
  <si>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</si>
  <si>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</si>
  <si>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</si>
  <si>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</si>
  <si>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</si>
  <si>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</si>
  <si>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</si>
  <si>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</si>
  <si>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</si>
  <si>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</si>
  <si>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</si>
  <si>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</si>
  <si>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</si>
  <si>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</si>
  <si>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</si>
  <si>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</si>
  <si>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</si>
  <si>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</si>
  <si>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</si>
  <si>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</si>
  <si>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</si>
  <si>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</si>
  <si>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</si>
  <si>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</si>
  <si>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</si>
  <si>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</si>
  <si>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</si>
  <si>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</si>
  <si>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</si>
  <si>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</si>
  <si>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</si>
  <si>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</si>
  <si>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</si>
  <si>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</si>
  <si>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</si>
  <si>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</si>
  <si>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</si>
  <si>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</si>
  <si>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</si>
  <si>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</si>
  <si>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</si>
  <si>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</si>
  <si>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</si>
  <si>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</si>
  <si>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</si>
  <si>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</si>
  <si>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</si>
  <si>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</si>
  <si>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</si>
  <si>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</si>
  <si>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</si>
  <si>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</si>
  <si>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</si>
  <si>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</si>
  <si>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</si>
  <si>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</si>
  <si>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</si>
  <si>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</si>
  <si>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</si>
  <si>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</si>
  <si>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</si>
  <si>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</si>
  <si>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</si>
  <si>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</si>
  <si>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</si>
  <si>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</si>
  <si>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</si>
  <si>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</si>
  <si>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</si>
  <si>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</si>
  <si>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</si>
  <si>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</si>
  <si>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</si>
  <si>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</si>
  <si>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</si>
  <si>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</si>
  <si>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</si>
  <si>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</si>
  <si>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</si>
  <si>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</si>
  <si>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</si>
  <si>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</si>
  <si>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</si>
  <si>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</si>
  <si>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</si>
  <si>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</si>
  <si>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</si>
  <si>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</si>
  <si>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</si>
  <si>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</si>
  <si>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</si>
  <si>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</si>
  <si>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</si>
  <si>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</si>
  <si>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</si>
  <si>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</si>
  <si>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</si>
  <si>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</si>
  <si>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</si>
  <si>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</si>
  <si>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</si>
  <si>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</si>
  <si>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</si>
  <si>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</si>
  <si>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</si>
  <si>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</si>
  <si>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</si>
  <si>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</si>
  <si>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</si>
  <si>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</si>
  <si>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</si>
  <si>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</si>
  <si>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</si>
  <si>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</si>
  <si>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</si>
  <si>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</si>
  <si>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</si>
  <si>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</si>
  <si>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</si>
  <si>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</si>
  <si>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</si>
  <si>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</si>
  <si>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</si>
  <si>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</si>
  <si>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</si>
  <si>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</si>
  <si>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</si>
  <si>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</si>
  <si>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</si>
  <si>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</si>
  <si>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</si>
  <si>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</si>
  <si>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</si>
  <si>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</si>
  <si>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</si>
  <si>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</si>
  <si>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</si>
  <si>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</si>
  <si>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</si>
  <si>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</si>
  <si>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</si>
  <si>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</si>
  <si>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</si>
  <si>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</si>
  <si>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</si>
  <si>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</si>
  <si>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</si>
  <si>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</si>
  <si>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</si>
  <si>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</si>
  <si>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</si>
  <si>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</si>
  <si>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</si>
  <si>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</si>
  <si>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</si>
  <si>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</si>
  <si>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</si>
  <si>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</si>
  <si>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</si>
  <si>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</si>
  <si>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</si>
  <si>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</si>
  <si>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</si>
  <si>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</si>
  <si>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</si>
  <si>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</si>
  <si>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</si>
  <si>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</si>
  <si>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</si>
  <si>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</si>
  <si>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</si>
  <si>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</si>
  <si>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</si>
  <si>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</si>
  <si>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</si>
  <si>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</si>
  <si>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</si>
  <si>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</si>
  <si>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</si>
  <si>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</si>
  <si>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</si>
  <si>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</si>
  <si>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</si>
  <si>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</si>
  <si>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</si>
  <si>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</si>
  <si>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</si>
  <si>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</si>
  <si>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</si>
  <si>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</si>
  <si>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</si>
  <si>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</si>
  <si>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</si>
  <si>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</si>
  <si>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</si>
  <si>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</si>
  <si>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</si>
  <si>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</si>
  <si>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</si>
  <si>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</si>
  <si>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</si>
  <si>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</si>
  <si>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</si>
  <si>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</si>
  <si>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</si>
  <si>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</si>
  <si>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</si>
  <si>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</si>
  <si>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</si>
  <si>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</si>
  <si>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</si>
  <si>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</si>
  <si>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</si>
  <si>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</si>
  <si>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</si>
  <si>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</si>
  <si>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</si>
  <si>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</si>
  <si>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</si>
  <si>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</si>
  <si>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</si>
  <si>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</si>
  <si>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</si>
  <si>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</si>
  <si>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</si>
  <si>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</si>
  <si>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</si>
  <si>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</si>
  <si>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</si>
  <si>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</si>
  <si>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</si>
  <si>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</si>
  <si>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</si>
  <si>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</si>
  <si>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</si>
  <si>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</si>
  <si>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</si>
  <si>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</si>
  <si>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</si>
  <si>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</si>
  <si>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</si>
  <si>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</si>
  <si>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</si>
  <si>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</si>
  <si>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</si>
  <si>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</si>
  <si>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</si>
  <si>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</si>
  <si>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</si>
  <si>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</si>
  <si>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</si>
  <si>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</si>
  <si>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</si>
  <si>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</si>
  <si>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</si>
  <si>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</si>
  <si>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</si>
  <si>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</si>
  <si>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</si>
  <si>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</si>
  <si>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</si>
  <si>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</si>
  <si>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</si>
  <si>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</si>
  <si>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</si>
  <si>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</si>
  <si>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</si>
  <si>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</si>
  <si>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</si>
  <si>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</si>
  <si>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</si>
  <si>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</si>
  <si>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</si>
  <si>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</si>
  <si>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</si>
  <si>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</si>
  <si>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</si>
  <si>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</si>
  <si>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</si>
  <si>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</si>
  <si>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</si>
  <si>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</si>
  <si>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</si>
  <si>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</si>
  <si>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</si>
  <si>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</si>
  <si>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</si>
  <si>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</si>
  <si>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</si>
  <si>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</si>
  <si>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</si>
  <si>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</si>
  <si>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</si>
  <si>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</si>
  <si>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</si>
  <si>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</si>
  <si>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</si>
  <si>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</si>
  <si>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</si>
  <si>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</si>
  <si>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</si>
  <si>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</si>
  <si>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</si>
  <si>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</si>
  <si>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</si>
  <si>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</si>
  <si>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</si>
  <si>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</si>
  <si>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</si>
  <si>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</si>
  <si>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</si>
  <si>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</si>
  <si>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</si>
  <si>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</si>
  <si>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</si>
  <si>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</si>
  <si>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</si>
  <si>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</si>
  <si>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</si>
  <si>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</si>
  <si>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</si>
  <si>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</si>
  <si>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</si>
  <si>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</si>
  <si>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</si>
  <si>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</si>
  <si>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</si>
  <si>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</si>
  <si>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</si>
  <si>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</si>
  <si>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</si>
  <si>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</si>
  <si>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</si>
  <si>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</si>
  <si>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</si>
  <si>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</si>
  <si>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</si>
  <si>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</si>
  <si>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</si>
  <si>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</si>
  <si>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</si>
  <si>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</si>
  <si>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</si>
  <si>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</si>
  <si>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</si>
  <si>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</si>
  <si>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</si>
  <si>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</si>
  <si>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</si>
  <si>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</si>
  <si>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</si>
  <si>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</si>
  <si>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</si>
  <si>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</si>
  <si>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</si>
  <si>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</si>
  <si>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</si>
  <si>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</si>
  <si>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</si>
  <si>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</si>
  <si>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</si>
  <si>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</si>
  <si>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</si>
  <si>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</si>
  <si>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</si>
  <si>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</si>
  <si>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</si>
  <si>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</si>
  <si>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</si>
  <si>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</si>
  <si>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</si>
  <si>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</si>
  <si>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</si>
  <si>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</si>
  <si>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</si>
  <si>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</si>
  <si>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</si>
  <si>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</si>
  <si>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</si>
  <si>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</si>
  <si>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</si>
  <si>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</si>
  <si>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</si>
  <si>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</si>
  <si>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</si>
  <si>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</si>
  <si>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</si>
  <si>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</si>
  <si>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</si>
  <si>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</si>
  <si>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</si>
  <si>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</si>
  <si>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</si>
  <si>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</si>
  <si>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</si>
  <si>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</si>
  <si>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</si>
  <si>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</si>
  <si>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</si>
  <si>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</si>
  <si>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</si>
  <si>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</si>
  <si>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</si>
  <si>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</si>
  <si>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</si>
  <si>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</si>
  <si>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</si>
  <si>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</si>
  <si>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</si>
  <si>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</si>
  <si>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</si>
  <si>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</si>
  <si>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</si>
  <si>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</si>
  <si>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</si>
  <si>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</si>
  <si>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</si>
  <si>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</si>
  <si>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</si>
  <si>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</si>
  <si>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</si>
  <si>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</si>
  <si>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</si>
  <si>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</si>
  <si>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</si>
  <si>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</si>
  <si>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</si>
  <si>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</si>
  <si>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</si>
  <si>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</si>
  <si>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</si>
  <si>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</si>
  <si>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</si>
  <si>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</si>
  <si>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</si>
  <si>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</si>
  <si>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</si>
  <si>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</si>
  <si>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</si>
  <si>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</si>
  <si>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</si>
  <si>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</si>
  <si>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</si>
  <si>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</si>
  <si>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</si>
  <si>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</si>
  <si>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</si>
  <si>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</si>
  <si>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</si>
  <si>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</si>
  <si>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</si>
  <si>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</si>
  <si>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</si>
  <si>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</si>
  <si>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</si>
  <si>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</si>
  <si>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</si>
  <si>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</si>
  <si>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</si>
  <si>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</si>
  <si>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</si>
  <si>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</si>
  <si>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</si>
  <si>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</si>
  <si>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</si>
  <si>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</si>
  <si>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</si>
  <si>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</si>
  <si>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</si>
  <si>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</si>
  <si>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</si>
  <si>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</si>
  <si>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</si>
  <si>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</si>
  <si>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</si>
  <si>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</si>
  <si>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</si>
  <si>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</si>
  <si>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</si>
  <si>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</si>
  <si>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</si>
  <si>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</si>
  <si>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</si>
  <si>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</si>
  <si>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</si>
  <si>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</si>
  <si>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</si>
  <si>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</si>
  <si>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</si>
  <si>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</si>
  <si>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</si>
  <si>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</si>
  <si>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</si>
  <si>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</si>
  <si>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</si>
  <si>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</si>
  <si>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</si>
  <si>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</si>
  <si>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</si>
  <si>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</si>
  <si>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</si>
  <si>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</si>
  <si>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</si>
  <si>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</si>
  <si>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</si>
  <si>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</si>
  <si>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</si>
  <si>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</si>
  <si>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</si>
  <si>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</si>
  <si>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</si>
  <si>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</si>
  <si>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</si>
  <si>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</si>
  <si>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</si>
  <si>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</si>
  <si>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</si>
  <si>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</si>
  <si>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</si>
  <si>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</si>
  <si>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</si>
  <si>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</si>
  <si>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</si>
  <si>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</si>
  <si>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</si>
  <si>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</si>
  <si>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</si>
  <si>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</si>
  <si>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</si>
  <si>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</si>
  <si>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</si>
  <si>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</si>
  <si>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</si>
  <si>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</si>
  <si>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</si>
  <si>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</si>
  <si>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</si>
  <si>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</si>
  <si>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</si>
  <si>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</si>
  <si>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</si>
  <si>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</si>
  <si>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</si>
  <si>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</si>
  <si>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</si>
  <si>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</si>
  <si>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</si>
  <si>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</si>
  <si>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</si>
  <si>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</si>
  <si>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</si>
  <si>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</si>
  <si>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</si>
  <si>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</si>
  <si>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</si>
  <si>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</si>
  <si>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</si>
  <si>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</si>
  <si>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</si>
  <si>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</si>
  <si>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</si>
  <si>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</si>
  <si>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</si>
  <si>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</si>
  <si>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</si>
  <si>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</si>
  <si>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</si>
  <si>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</si>
  <si>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</si>
  <si>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</si>
  <si>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</si>
  <si>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</si>
  <si>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</si>
  <si>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</si>
  <si>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</si>
  <si>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</si>
  <si>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</si>
  <si>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</si>
  <si>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</si>
  <si>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</si>
  <si>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</si>
  <si>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</si>
  <si>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</si>
  <si>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</si>
  <si>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</si>
  <si>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</si>
  <si>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</si>
  <si>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</si>
  <si>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</si>
  <si>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</si>
  <si>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</si>
  <si>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</si>
  <si>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</si>
  <si>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</si>
  <si>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</si>
  <si>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</si>
  <si>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</si>
  <si>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</si>
  <si>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</si>
  <si>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</si>
  <si>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</si>
  <si>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Мелитополь,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</si>
</sst>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1" sqref="AA31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45766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0.45833333333333331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2</v>
      </c>
      <c r="Y31" s="664">
        <f>IFERROR(IF(X31="",0,CEILING((X31/$H31),1)*$H31),"")</f>
        <v>2.4</v>
      </c>
      <c r="Z31" s="36">
        <f>IFERROR(IF(Y31=0,"",ROUNDUP(Y31/H31,0)*0.00651),"")</f>
        <v>2.6040000000000001E-2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2.7399999999999998</v>
      </c>
      <c r="BN31" s="64">
        <f>IFERROR(Y31*I31/H31,"0")</f>
        <v>3.2879999999999998</v>
      </c>
      <c r="BO31" s="64">
        <f>IFERROR(1/J31*(X31/H31),"0")</f>
        <v>1.8315018315018316E-2</v>
      </c>
      <c r="BP31" s="64">
        <f>IFERROR(1/J31*(Y31/H31),"0")</f>
        <v>2.197802197802198E-2</v>
      </c>
    </row>
    <row r="32" spans="1:68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3.3333333333333335</v>
      </c>
      <c r="Y32" s="665">
        <f>IFERROR(Y31/H31,"0")</f>
        <v>4</v>
      </c>
      <c r="Z32" s="665">
        <f>IFERROR(IF(Z31="",0,Z31),"0")</f>
        <v>2.6040000000000001E-2</v>
      </c>
      <c r="AA32" s="666"/>
      <c r="AB32" s="666"/>
      <c r="AC32" s="666"/>
    </row>
    <row r="33" spans="1:68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2</v>
      </c>
      <c r="Y33" s="665">
        <f>IFERROR(SUM(Y31:Y31),"0")</f>
        <v>2.4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124</v>
      </c>
      <c r="Y37" s="664">
        <f>IFERROR(IF(X37="",0,CEILING((X37/$H37),1)*$H37),"")</f>
        <v>129.60000000000002</v>
      </c>
      <c r="Z37" s="36">
        <f>IFERROR(IF(Y37=0,"",ROUNDUP(Y37/H37,0)*0.01898),"")</f>
        <v>0.22776000000000002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128.99444444444441</v>
      </c>
      <c r="BN37" s="64">
        <f>IFERROR(Y37*I37/H37,"0")</f>
        <v>134.82000000000002</v>
      </c>
      <c r="BO37" s="64">
        <f>IFERROR(1/J37*(X37/H37),"0")</f>
        <v>0.17939814814814814</v>
      </c>
      <c r="BP37" s="64">
        <f>IFERROR(1/J37*(Y37/H37),"0")</f>
        <v>0.18750000000000003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11.481481481481481</v>
      </c>
      <c r="Y41" s="665">
        <f>IFERROR(Y37/H37,"0")+IFERROR(Y38/H38,"0")+IFERROR(Y39/H39,"0")+IFERROR(Y40/H40,"0")</f>
        <v>12.000000000000002</v>
      </c>
      <c r="Z41" s="665">
        <f>IFERROR(IF(Z37="",0,Z37),"0")+IFERROR(IF(Z38="",0,Z38),"0")+IFERROR(IF(Z39="",0,Z39),"0")+IFERROR(IF(Z40="",0,Z40),"0")</f>
        <v>0.22776000000000002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124</v>
      </c>
      <c r="Y42" s="665">
        <f>IFERROR(SUM(Y37:Y40),"0")</f>
        <v>129.60000000000002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15</v>
      </c>
      <c r="Y49" s="664">
        <f t="shared" ref="Y49:Y54" si="6">IFERROR(IF(X49="",0,CEILING((X49/$H49),1)*$H49),"")</f>
        <v>22.4</v>
      </c>
      <c r="Z49" s="36">
        <f>IFERROR(IF(Y49=0,"",ROUNDUP(Y49/H49,0)*0.01898),"")</f>
        <v>3.7960000000000001E-2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15.582589285714286</v>
      </c>
      <c r="BN49" s="64">
        <f t="shared" ref="BN49:BN54" si="8">IFERROR(Y49*I49/H49,"0")</f>
        <v>23.27</v>
      </c>
      <c r="BO49" s="64">
        <f t="shared" ref="BO49:BO54" si="9">IFERROR(1/J49*(X49/H49),"0")</f>
        <v>2.0926339285714288E-2</v>
      </c>
      <c r="BP49" s="64">
        <f t="shared" ref="BP49:BP54" si="10">IFERROR(1/J49*(Y49/H49),"0")</f>
        <v>3.125E-2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1.3392857142857144</v>
      </c>
      <c r="Y55" s="665">
        <f>IFERROR(Y49/H49,"0")+IFERROR(Y50/H50,"0")+IFERROR(Y51/H51,"0")+IFERROR(Y52/H52,"0")+IFERROR(Y53/H53,"0")+IFERROR(Y54/H54,"0")</f>
        <v>2</v>
      </c>
      <c r="Z55" s="665">
        <f>IFERROR(IF(Z49="",0,Z49),"0")+IFERROR(IF(Z50="",0,Z50),"0")+IFERROR(IF(Z51="",0,Z51),"0")+IFERROR(IF(Z52="",0,Z52),"0")+IFERROR(IF(Z53="",0,Z53),"0")+IFERROR(IF(Z54="",0,Z54),"0")</f>
        <v>3.7960000000000001E-2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15</v>
      </c>
      <c r="Y56" s="665">
        <f>IFERROR(SUM(Y49:Y54),"0")</f>
        <v>22.4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24</v>
      </c>
      <c r="Y66" s="664">
        <f>IFERROR(IF(X66="",0,CEILING((X66/$H66),1)*$H66),"")</f>
        <v>25.2</v>
      </c>
      <c r="Z66" s="36">
        <f>IFERROR(IF(Y66=0,"",ROUNDUP(Y66/H66,0)*0.00502),"")</f>
        <v>7.0280000000000009E-2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25.333333333333329</v>
      </c>
      <c r="BN66" s="64">
        <f>IFERROR(Y66*I66/H66,"0")</f>
        <v>26.599999999999998</v>
      </c>
      <c r="BO66" s="64">
        <f>IFERROR(1/J66*(X66/H66),"0")</f>
        <v>5.6980056980056981E-2</v>
      </c>
      <c r="BP66" s="64">
        <f>IFERROR(1/J66*(Y66/H66),"0")</f>
        <v>5.9829059829059839E-2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13.333333333333332</v>
      </c>
      <c r="Y68" s="665">
        <f>IFERROR(Y65/H65,"0")+IFERROR(Y66/H66,"0")+IFERROR(Y67/H67,"0")</f>
        <v>14</v>
      </c>
      <c r="Z68" s="665">
        <f>IFERROR(IF(Z65="",0,Z65),"0")+IFERROR(IF(Z66="",0,Z66),"0")+IFERROR(IF(Z67="",0,Z67),"0")</f>
        <v>7.0280000000000009E-2</v>
      </c>
      <c r="AA68" s="666"/>
      <c r="AB68" s="666"/>
      <c r="AC68" s="666"/>
    </row>
    <row r="69" spans="1:68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24</v>
      </c>
      <c r="Y69" s="665">
        <f>IFERROR(SUM(Y65:Y67),"0")</f>
        <v>25.2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12</v>
      </c>
      <c r="Y72" s="664">
        <f t="shared" si="11"/>
        <v>16.8</v>
      </c>
      <c r="Z72" s="36">
        <f>IFERROR(IF(Y72=0,"",ROUNDUP(Y72/H72,0)*0.01898),"")</f>
        <v>3.7960000000000001E-2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12.621428571428572</v>
      </c>
      <c r="BN72" s="64">
        <f t="shared" si="13"/>
        <v>17.670000000000002</v>
      </c>
      <c r="BO72" s="64">
        <f t="shared" si="14"/>
        <v>2.2321428571428572E-2</v>
      </c>
      <c r="BP72" s="64">
        <f t="shared" si="15"/>
        <v>3.125E-2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1.4285714285714286</v>
      </c>
      <c r="Y77" s="665">
        <f>IFERROR(Y71/H71,"0")+IFERROR(Y72/H72,"0")+IFERROR(Y73/H73,"0")+IFERROR(Y74/H74,"0")+IFERROR(Y75/H75,"0")+IFERROR(Y76/H76,"0")</f>
        <v>2</v>
      </c>
      <c r="Z77" s="665">
        <f>IFERROR(IF(Z71="",0,Z71),"0")+IFERROR(IF(Z72="",0,Z72),"0")+IFERROR(IF(Z73="",0,Z73),"0")+IFERROR(IF(Z74="",0,Z74),"0")+IFERROR(IF(Z75="",0,Z75),"0")+IFERROR(IF(Z76="",0,Z76),"0")</f>
        <v>3.7960000000000001E-2</v>
      </c>
      <c r="AA77" s="666"/>
      <c r="AB77" s="666"/>
      <c r="AC77" s="666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12</v>
      </c>
      <c r="Y78" s="665">
        <f>IFERROR(SUM(Y71:Y76),"0")</f>
        <v>16.8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28</v>
      </c>
      <c r="Y80" s="664">
        <f>IFERROR(IF(X80="",0,CEILING((X80/$H80),1)*$H80),"")</f>
        <v>33.6</v>
      </c>
      <c r="Z80" s="36">
        <f>IFERROR(IF(Y80=0,"",ROUNDUP(Y80/H80,0)*0.01898),"")</f>
        <v>7.5920000000000001E-2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29.73</v>
      </c>
      <c r="BN80" s="64">
        <f>IFERROR(Y80*I80/H80,"0")</f>
        <v>35.676000000000002</v>
      </c>
      <c r="BO80" s="64">
        <f>IFERROR(1/J80*(X80/H80),"0")</f>
        <v>5.2083333333333329E-2</v>
      </c>
      <c r="BP80" s="64">
        <f>IFERROR(1/J80*(Y80/H80),"0")</f>
        <v>6.25E-2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3.333333333333333</v>
      </c>
      <c r="Y83" s="665">
        <f>IFERROR(Y80/H80,"0")+IFERROR(Y81/H81,"0")+IFERROR(Y82/H82,"0")</f>
        <v>4</v>
      </c>
      <c r="Z83" s="665">
        <f>IFERROR(IF(Z80="",0,Z80),"0")+IFERROR(IF(Z81="",0,Z81),"0")+IFERROR(IF(Z82="",0,Z82),"0")</f>
        <v>7.5920000000000001E-2</v>
      </c>
      <c r="AA83" s="666"/>
      <c r="AB83" s="666"/>
      <c r="AC83" s="666"/>
    </row>
    <row r="84" spans="1:68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28</v>
      </c>
      <c r="Y84" s="665">
        <f>IFERROR(SUM(Y80:Y82),"0")</f>
        <v>33.6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149</v>
      </c>
      <c r="Y87" s="664">
        <f>IFERROR(IF(X87="",0,CEILING((X87/$H87),1)*$H87),"")</f>
        <v>151.20000000000002</v>
      </c>
      <c r="Z87" s="36">
        <f>IFERROR(IF(Y87=0,"",ROUNDUP(Y87/H87,0)*0.01898),"")</f>
        <v>0.26572000000000001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155.00138888888887</v>
      </c>
      <c r="BN87" s="64">
        <f>IFERROR(Y87*I87/H87,"0")</f>
        <v>157.29000000000002</v>
      </c>
      <c r="BO87" s="64">
        <f>IFERROR(1/J87*(X87/H87),"0")</f>
        <v>0.21556712962962962</v>
      </c>
      <c r="BP87" s="64">
        <f>IFERROR(1/J87*(Y87/H87),"0")</f>
        <v>0.21875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90</v>
      </c>
      <c r="Y89" s="664">
        <f>IFERROR(IF(X89="",0,CEILING((X89/$H89),1)*$H89),"")</f>
        <v>90</v>
      </c>
      <c r="Z89" s="36">
        <f>IFERROR(IF(Y89=0,"",ROUNDUP(Y89/H89,0)*0.00902),"")</f>
        <v>0.1804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94.199999999999989</v>
      </c>
      <c r="BN89" s="64">
        <f>IFERROR(Y89*I89/H89,"0")</f>
        <v>94.199999999999989</v>
      </c>
      <c r="BO89" s="64">
        <f>IFERROR(1/J89*(X89/H89),"0")</f>
        <v>0.15151515151515152</v>
      </c>
      <c r="BP89" s="64">
        <f>IFERROR(1/J89*(Y89/H89),"0")</f>
        <v>0.15151515151515152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33.796296296296298</v>
      </c>
      <c r="Y90" s="665">
        <f>IFERROR(Y87/H87,"0")+IFERROR(Y88/H88,"0")+IFERROR(Y89/H89,"0")</f>
        <v>34</v>
      </c>
      <c r="Z90" s="665">
        <f>IFERROR(IF(Z87="",0,Z87),"0")+IFERROR(IF(Z88="",0,Z88),"0")+IFERROR(IF(Z89="",0,Z89),"0")</f>
        <v>0.44612000000000002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239</v>
      </c>
      <c r="Y91" s="665">
        <f>IFERROR(SUM(Y87:Y89),"0")</f>
        <v>241.20000000000002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75</v>
      </c>
      <c r="Y106" s="664">
        <f>IFERROR(IF(X106="",0,CEILING((X106/$H106),1)*$H106),"")</f>
        <v>75.600000000000009</v>
      </c>
      <c r="Z106" s="36">
        <f>IFERROR(IF(Y106=0,"",ROUNDUP(Y106/H106,0)*0.01898),"")</f>
        <v>0.13286000000000001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78.020833333333329</v>
      </c>
      <c r="BN106" s="64">
        <f>IFERROR(Y106*I106/H106,"0")</f>
        <v>78.64500000000001</v>
      </c>
      <c r="BO106" s="64">
        <f>IFERROR(1/J106*(X106/H106),"0")</f>
        <v>0.10850694444444443</v>
      </c>
      <c r="BP106" s="64">
        <f>IFERROR(1/J106*(Y106/H106),"0")</f>
        <v>0.109375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67</v>
      </c>
      <c r="Y108" s="664">
        <f>IFERROR(IF(X108="",0,CEILING((X108/$H108),1)*$H108),"")</f>
        <v>67.5</v>
      </c>
      <c r="Z108" s="36">
        <f>IFERROR(IF(Y108=0,"",ROUNDUP(Y108/H108,0)*0.00902),"")</f>
        <v>0.1353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70.126666666666665</v>
      </c>
      <c r="BN108" s="64">
        <f>IFERROR(Y108*I108/H108,"0")</f>
        <v>70.650000000000006</v>
      </c>
      <c r="BO108" s="64">
        <f>IFERROR(1/J108*(X108/H108),"0")</f>
        <v>0.11279461279461279</v>
      </c>
      <c r="BP108" s="64">
        <f>IFERROR(1/J108*(Y108/H108),"0")</f>
        <v>0.11363636363636365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21.833333333333332</v>
      </c>
      <c r="Y110" s="665">
        <f>IFERROR(Y106/H106,"0")+IFERROR(Y107/H107,"0")+IFERROR(Y108/H108,"0")+IFERROR(Y109/H109,"0")</f>
        <v>22</v>
      </c>
      <c r="Z110" s="665">
        <f>IFERROR(IF(Z106="",0,Z106),"0")+IFERROR(IF(Z107="",0,Z107),"0")+IFERROR(IF(Z108="",0,Z108),"0")+IFERROR(IF(Z109="",0,Z109),"0")</f>
        <v>0.26816000000000001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142</v>
      </c>
      <c r="Y111" s="665">
        <f>IFERROR(SUM(Y106:Y109),"0")</f>
        <v>143.10000000000002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30</v>
      </c>
      <c r="Y113" s="664">
        <f>IFERROR(IF(X113="",0,CEILING((X113/$H113),1)*$H113),"")</f>
        <v>32.400000000000006</v>
      </c>
      <c r="Z113" s="36">
        <f>IFERROR(IF(Y113=0,"",ROUNDUP(Y113/H113,0)*0.01898),"")</f>
        <v>5.6940000000000004E-2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31.208333333333329</v>
      </c>
      <c r="BN113" s="64">
        <f>IFERROR(Y113*I113/H113,"0")</f>
        <v>33.705000000000005</v>
      </c>
      <c r="BO113" s="64">
        <f>IFERROR(1/J113*(X113/H113),"0")</f>
        <v>4.3402777777777776E-2</v>
      </c>
      <c r="BP113" s="64">
        <f>IFERROR(1/J113*(Y113/H113),"0")</f>
        <v>4.6875000000000007E-2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32</v>
      </c>
      <c r="Y115" s="664">
        <f>IFERROR(IF(X115="",0,CEILING((X115/$H115),1)*$H115),"")</f>
        <v>33.6</v>
      </c>
      <c r="Z115" s="36">
        <f>IFERROR(IF(Y115=0,"",ROUNDUP(Y115/H115,0)*0.00651),"")</f>
        <v>9.1139999999999999E-2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34.400000000000006</v>
      </c>
      <c r="BN115" s="64">
        <f>IFERROR(Y115*I115/H115,"0")</f>
        <v>36.120000000000005</v>
      </c>
      <c r="BO115" s="64">
        <f>IFERROR(1/J115*(X115/H115),"0")</f>
        <v>7.3260073260073263E-2</v>
      </c>
      <c r="BP115" s="64">
        <f>IFERROR(1/J115*(Y115/H115),"0")</f>
        <v>7.6923076923076941E-2</v>
      </c>
    </row>
    <row r="116" spans="1:68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16.111111111111111</v>
      </c>
      <c r="Y116" s="665">
        <f>IFERROR(Y113/H113,"0")+IFERROR(Y114/H114,"0")+IFERROR(Y115/H115,"0")</f>
        <v>17.000000000000004</v>
      </c>
      <c r="Z116" s="665">
        <f>IFERROR(IF(Z113="",0,Z113),"0")+IFERROR(IF(Z114="",0,Z114),"0")+IFERROR(IF(Z115="",0,Z115),"0")</f>
        <v>0.14807999999999999</v>
      </c>
      <c r="AA116" s="666"/>
      <c r="AB116" s="666"/>
      <c r="AC116" s="666"/>
    </row>
    <row r="117" spans="1:68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62</v>
      </c>
      <c r="Y117" s="665">
        <f>IFERROR(SUM(Y113:Y115),"0")</f>
        <v>66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224</v>
      </c>
      <c r="Y120" s="664">
        <f t="shared" si="21"/>
        <v>226.8</v>
      </c>
      <c r="Z120" s="36">
        <f>IFERROR(IF(Y120=0,"",ROUNDUP(Y120/H120,0)*0.01898),"")</f>
        <v>0.51246000000000003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237.68</v>
      </c>
      <c r="BN120" s="64">
        <f t="shared" si="23"/>
        <v>240.65100000000001</v>
      </c>
      <c r="BO120" s="64">
        <f t="shared" si="24"/>
        <v>0.41666666666666663</v>
      </c>
      <c r="BP120" s="64">
        <f t="shared" si="25"/>
        <v>0.421875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26.666666666666664</v>
      </c>
      <c r="Y128" s="665">
        <f>IFERROR(Y119/H119,"0")+IFERROR(Y120/H120,"0")+IFERROR(Y121/H121,"0")+IFERROR(Y122/H122,"0")+IFERROR(Y123/H123,"0")+IFERROR(Y124/H124,"0")+IFERROR(Y125/H125,"0")+IFERROR(Y126/H126,"0")+IFERROR(Y127/H127,"0")</f>
        <v>27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0.51246000000000003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224</v>
      </c>
      <c r="Y129" s="665">
        <f>IFERROR(SUM(Y119:Y127),"0")</f>
        <v>226.8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19</v>
      </c>
      <c r="Y170" s="664">
        <f>IFERROR(IF(X170="",0,CEILING((X170/$H170),1)*$H170),"")</f>
        <v>19.8</v>
      </c>
      <c r="Z170" s="36">
        <f>IFERROR(IF(Y170=0,"",ROUNDUP(Y170/H170,0)*0.00502),"")</f>
        <v>5.0200000000000002E-2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19.959595959595962</v>
      </c>
      <c r="BN170" s="64">
        <f>IFERROR(Y170*I170/H170,"0")</f>
        <v>20.800000000000004</v>
      </c>
      <c r="BO170" s="64">
        <f>IFERROR(1/J170*(X170/H170),"0")</f>
        <v>4.1008374341707683E-2</v>
      </c>
      <c r="BP170" s="64">
        <f>IFERROR(1/J170*(Y170/H170),"0")</f>
        <v>4.2735042735042736E-2</v>
      </c>
    </row>
    <row r="171" spans="1:68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9.5959595959595969</v>
      </c>
      <c r="Y171" s="665">
        <f>IFERROR(Y170/H170,"0")</f>
        <v>10</v>
      </c>
      <c r="Z171" s="665">
        <f>IFERROR(IF(Z170="",0,Z170),"0")</f>
        <v>5.0200000000000002E-2</v>
      </c>
      <c r="AA171" s="666"/>
      <c r="AB171" s="666"/>
      <c r="AC171" s="666"/>
    </row>
    <row r="172" spans="1:68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19</v>
      </c>
      <c r="Y172" s="665">
        <f>IFERROR(SUM(Y170:Y170),"0")</f>
        <v>19.8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144</v>
      </c>
      <c r="Y174" s="664">
        <f t="shared" ref="Y174:Y182" si="27">IFERROR(IF(X174="",0,CEILING((X174/$H174),1)*$H174),"")</f>
        <v>147</v>
      </c>
      <c r="Z174" s="36">
        <f>IFERROR(IF(Y174=0,"",ROUNDUP(Y174/H174,0)*0.00902),"")</f>
        <v>0.31569999999999998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153.25714285714284</v>
      </c>
      <c r="BN174" s="64">
        <f t="shared" ref="BN174:BN182" si="29">IFERROR(Y174*I174/H174,"0")</f>
        <v>156.44999999999996</v>
      </c>
      <c r="BO174" s="64">
        <f t="shared" ref="BO174:BO182" si="30">IFERROR(1/J174*(X174/H174),"0")</f>
        <v>0.25974025974025972</v>
      </c>
      <c r="BP174" s="64">
        <f t="shared" ref="BP174:BP182" si="31">IFERROR(1/J174*(Y174/H174),"0")</f>
        <v>0.26515151515151514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150</v>
      </c>
      <c r="Y176" s="664">
        <f t="shared" si="27"/>
        <v>151.20000000000002</v>
      </c>
      <c r="Z176" s="36">
        <f>IFERROR(IF(Y176=0,"",ROUNDUP(Y176/H176,0)*0.00902),"")</f>
        <v>0.32472000000000001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157.5</v>
      </c>
      <c r="BN176" s="64">
        <f t="shared" si="29"/>
        <v>158.76000000000002</v>
      </c>
      <c r="BO176" s="64">
        <f t="shared" si="30"/>
        <v>0.27056277056277056</v>
      </c>
      <c r="BP176" s="64">
        <f t="shared" si="31"/>
        <v>0.27272727272727271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11</v>
      </c>
      <c r="Y179" s="664">
        <f t="shared" si="27"/>
        <v>12.6</v>
      </c>
      <c r="Z179" s="36">
        <f>IFERROR(IF(Y179=0,"",ROUNDUP(Y179/H179,0)*0.00502),"")</f>
        <v>3.5140000000000005E-2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11.794444444444444</v>
      </c>
      <c r="BN179" s="64">
        <f t="shared" si="29"/>
        <v>13.509999999999998</v>
      </c>
      <c r="BO179" s="64">
        <f t="shared" si="30"/>
        <v>2.6115859449192782E-2</v>
      </c>
      <c r="BP179" s="64">
        <f t="shared" si="31"/>
        <v>2.9914529914529919E-2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76.111111111111114</v>
      </c>
      <c r="Y183" s="665">
        <f>IFERROR(Y174/H174,"0")+IFERROR(Y175/H175,"0")+IFERROR(Y176/H176,"0")+IFERROR(Y177/H177,"0")+IFERROR(Y178/H178,"0")+IFERROR(Y179/H179,"0")+IFERROR(Y180/H180,"0")+IFERROR(Y181/H181,"0")+IFERROR(Y182/H182,"0")</f>
        <v>78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0.67555999999999994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305</v>
      </c>
      <c r="Y184" s="665">
        <f>IFERROR(SUM(Y174:Y182),"0")</f>
        <v>310.80000000000007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43</v>
      </c>
      <c r="Y201" s="664">
        <f t="shared" ref="Y201:Y208" si="32">IFERROR(IF(X201="",0,CEILING((X201/$H201),1)*$H201),"")</f>
        <v>43.2</v>
      </c>
      <c r="Z201" s="36">
        <f>IFERROR(IF(Y201=0,"",ROUNDUP(Y201/H201,0)*0.00902),"")</f>
        <v>7.2160000000000002E-2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44.672222222222224</v>
      </c>
      <c r="BN201" s="64">
        <f t="shared" ref="BN201:BN208" si="34">IFERROR(Y201*I201/H201,"0")</f>
        <v>44.88</v>
      </c>
      <c r="BO201" s="64">
        <f t="shared" ref="BO201:BO208" si="35">IFERROR(1/J201*(X201/H201),"0")</f>
        <v>6.0325476992143662E-2</v>
      </c>
      <c r="BP201" s="64">
        <f t="shared" ref="BP201:BP208" si="36">IFERROR(1/J201*(Y201/H201),"0")</f>
        <v>6.0606060606060608E-2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123</v>
      </c>
      <c r="Y202" s="664">
        <f t="shared" si="32"/>
        <v>124.2</v>
      </c>
      <c r="Z202" s="36">
        <f>IFERROR(IF(Y202=0,"",ROUNDUP(Y202/H202,0)*0.00902),"")</f>
        <v>0.20746000000000001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127.78333333333335</v>
      </c>
      <c r="BN202" s="64">
        <f t="shared" si="34"/>
        <v>129.03</v>
      </c>
      <c r="BO202" s="64">
        <f t="shared" si="35"/>
        <v>0.17255892255892255</v>
      </c>
      <c r="BP202" s="64">
        <f t="shared" si="36"/>
        <v>0.17424242424242425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31</v>
      </c>
      <c r="Y205" s="664">
        <f t="shared" si="32"/>
        <v>32.4</v>
      </c>
      <c r="Z205" s="36">
        <f>IFERROR(IF(Y205=0,"",ROUNDUP(Y205/H205,0)*0.00502),"")</f>
        <v>9.0359999999999996E-2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33.238888888888887</v>
      </c>
      <c r="BN205" s="64">
        <f t="shared" si="34"/>
        <v>34.739999999999995</v>
      </c>
      <c r="BO205" s="64">
        <f t="shared" si="35"/>
        <v>7.3599240265906932E-2</v>
      </c>
      <c r="BP205" s="64">
        <f t="shared" si="36"/>
        <v>7.6923076923076927E-2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8</v>
      </c>
      <c r="Y206" s="664">
        <f t="shared" si="32"/>
        <v>9</v>
      </c>
      <c r="Z206" s="36">
        <f>IFERROR(IF(Y206=0,"",ROUNDUP(Y206/H206,0)*0.00502),"")</f>
        <v>2.5100000000000001E-2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8.4444444444444446</v>
      </c>
      <c r="BN206" s="64">
        <f t="shared" si="34"/>
        <v>9.4999999999999982</v>
      </c>
      <c r="BO206" s="64">
        <f t="shared" si="35"/>
        <v>1.8993352326685663E-2</v>
      </c>
      <c r="BP206" s="64">
        <f t="shared" si="36"/>
        <v>2.1367521367521368E-2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13</v>
      </c>
      <c r="Y208" s="664">
        <f t="shared" si="32"/>
        <v>14.4</v>
      </c>
      <c r="Z208" s="36">
        <f>IFERROR(IF(Y208=0,"",ROUNDUP(Y208/H208,0)*0.00502),"")</f>
        <v>4.0160000000000001E-2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13.722222222222221</v>
      </c>
      <c r="BN208" s="64">
        <f t="shared" si="34"/>
        <v>15.2</v>
      </c>
      <c r="BO208" s="64">
        <f t="shared" si="35"/>
        <v>3.0864197530864203E-2</v>
      </c>
      <c r="BP208" s="64">
        <f t="shared" si="36"/>
        <v>3.4188034188034191E-2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59.629629629629626</v>
      </c>
      <c r="Y209" s="665">
        <f>IFERROR(Y201/H201,"0")+IFERROR(Y202/H202,"0")+IFERROR(Y203/H203,"0")+IFERROR(Y204/H204,"0")+IFERROR(Y205/H205,"0")+IFERROR(Y206/H206,"0")+IFERROR(Y207/H207,"0")+IFERROR(Y208/H208,"0")</f>
        <v>62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0.43523999999999996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218</v>
      </c>
      <c r="Y210" s="665">
        <f>IFERROR(SUM(Y201:Y208),"0")</f>
        <v>223.20000000000002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198</v>
      </c>
      <c r="Y215" s="664">
        <f t="shared" si="37"/>
        <v>199.2</v>
      </c>
      <c r="Z215" s="36">
        <f t="shared" ref="Z215:Z220" si="42">IFERROR(IF(Y215=0,"",ROUNDUP(Y215/H215,0)*0.00651),"")</f>
        <v>0.54032999999999998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220.27500000000001</v>
      </c>
      <c r="BN215" s="64">
        <f t="shared" si="39"/>
        <v>221.60999999999999</v>
      </c>
      <c r="BO215" s="64">
        <f t="shared" si="40"/>
        <v>0.45329670329670335</v>
      </c>
      <c r="BP215" s="64">
        <f t="shared" si="41"/>
        <v>0.45604395604395609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82.5</v>
      </c>
      <c r="Y221" s="665">
        <f>IFERROR(Y212/H212,"0")+IFERROR(Y213/H213,"0")+IFERROR(Y214/H214,"0")+IFERROR(Y215/H215,"0")+IFERROR(Y216/H216,"0")+IFERROR(Y217/H217,"0")+IFERROR(Y218/H218,"0")+IFERROR(Y219/H219,"0")+IFERROR(Y220/H220,"0")</f>
        <v>83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0.54032999999999998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198</v>
      </c>
      <c r="Y222" s="665">
        <f>IFERROR(SUM(Y212:Y220),"0")</f>
        <v>199.2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93</v>
      </c>
      <c r="Y224" s="664">
        <f>IFERROR(IF(X224="",0,CEILING((X224/$H224),1)*$H224),"")</f>
        <v>93.6</v>
      </c>
      <c r="Z224" s="36">
        <f>IFERROR(IF(Y224=0,"",ROUNDUP(Y224/H224,0)*0.00651),"")</f>
        <v>0.25389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102.76500000000001</v>
      </c>
      <c r="BN224" s="64">
        <f>IFERROR(Y224*I224/H224,"0")</f>
        <v>103.42800000000001</v>
      </c>
      <c r="BO224" s="64">
        <f>IFERROR(1/J224*(X224/H224),"0")</f>
        <v>0.21291208791208793</v>
      </c>
      <c r="BP224" s="64">
        <f>IFERROR(1/J224*(Y224/H224),"0")</f>
        <v>0.2142857142857143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102</v>
      </c>
      <c r="Y225" s="664">
        <f>IFERROR(IF(X225="",0,CEILING((X225/$H225),1)*$H225),"")</f>
        <v>103.2</v>
      </c>
      <c r="Z225" s="36">
        <f>IFERROR(IF(Y225=0,"",ROUNDUP(Y225/H225,0)*0.00651),"")</f>
        <v>0.27993000000000001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112.71000000000001</v>
      </c>
      <c r="BN225" s="64">
        <f>IFERROR(Y225*I225/H225,"0")</f>
        <v>114.03600000000003</v>
      </c>
      <c r="BO225" s="64">
        <f>IFERROR(1/J225*(X225/H225),"0")</f>
        <v>0.23351648351648355</v>
      </c>
      <c r="BP225" s="64">
        <f>IFERROR(1/J225*(Y225/H225),"0")</f>
        <v>0.23626373626373628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81.25</v>
      </c>
      <c r="Y226" s="665">
        <f>IFERROR(Y224/H224,"0")+IFERROR(Y225/H225,"0")</f>
        <v>82</v>
      </c>
      <c r="Z226" s="665">
        <f>IFERROR(IF(Z224="",0,Z224),"0")+IFERROR(IF(Z225="",0,Z225),"0")</f>
        <v>0.53381999999999996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195</v>
      </c>
      <c r="Y227" s="665">
        <f>IFERROR(SUM(Y224:Y225),"0")</f>
        <v>196.8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27</v>
      </c>
      <c r="Y230" s="664">
        <f t="shared" ref="Y230:Y237" si="43">IFERROR(IF(X230="",0,CEILING((X230/$H230),1)*$H230),"")</f>
        <v>34.799999999999997</v>
      </c>
      <c r="Z230" s="36">
        <f>IFERROR(IF(Y230=0,"",ROUNDUP(Y230/H230,0)*0.01898),"")</f>
        <v>5.6940000000000004E-2</v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28.012499999999999</v>
      </c>
      <c r="BN230" s="64">
        <f t="shared" ref="BN230:BN237" si="45">IFERROR(Y230*I230/H230,"0")</f>
        <v>36.104999999999997</v>
      </c>
      <c r="BO230" s="64">
        <f t="shared" ref="BO230:BO237" si="46">IFERROR(1/J230*(X230/H230),"0")</f>
        <v>3.6368534482758619E-2</v>
      </c>
      <c r="BP230" s="64">
        <f t="shared" ref="BP230:BP237" si="47">IFERROR(1/J230*(Y230/H230),"0")</f>
        <v>4.6875E-2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54</v>
      </c>
      <c r="Y235" s="664">
        <f t="shared" si="43"/>
        <v>56</v>
      </c>
      <c r="Z235" s="36">
        <f>IFERROR(IF(Y235=0,"",ROUNDUP(Y235/H235,0)*0.00902),"")</f>
        <v>0.12628</v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56.835000000000001</v>
      </c>
      <c r="BN235" s="64">
        <f t="shared" si="45"/>
        <v>58.94</v>
      </c>
      <c r="BO235" s="64">
        <f t="shared" si="46"/>
        <v>0.10227272727272728</v>
      </c>
      <c r="BP235" s="64">
        <f t="shared" si="47"/>
        <v>0.10606060606060606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15.827586206896552</v>
      </c>
      <c r="Y238" s="665">
        <f>IFERROR(Y230/H230,"0")+IFERROR(Y231/H231,"0")+IFERROR(Y232/H232,"0")+IFERROR(Y233/H233,"0")+IFERROR(Y234/H234,"0")+IFERROR(Y235/H235,"0")+IFERROR(Y236/H236,"0")+IFERROR(Y237/H237,"0")</f>
        <v>17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0.18321999999999999</v>
      </c>
      <c r="AA238" s="666"/>
      <c r="AB238" s="666"/>
      <c r="AC238" s="666"/>
    </row>
    <row r="239" spans="1:68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81</v>
      </c>
      <c r="Y239" s="665">
        <f>IFERROR(SUM(Y230:Y237),"0")</f>
        <v>90.8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21</v>
      </c>
      <c r="Y279" s="664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23.205000000000002</v>
      </c>
      <c r="BN279" s="64">
        <f>IFERROR(Y279*I279/H279,"0")</f>
        <v>23.868000000000002</v>
      </c>
      <c r="BO279" s="64">
        <f>IFERROR(1/J279*(X279/H279),"0")</f>
        <v>4.807692307692308E-2</v>
      </c>
      <c r="BP279" s="64">
        <f>IFERROR(1/J279*(Y279/H279),"0")</f>
        <v>4.9450549450549455E-2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90</v>
      </c>
      <c r="Y280" s="664">
        <f>IFERROR(IF(X280="",0,CEILING((X280/$H280),1)*$H280),"")</f>
        <v>91.2</v>
      </c>
      <c r="Z280" s="36">
        <f>IFERROR(IF(Y280=0,"",ROUNDUP(Y280/H280,0)*0.00651),"")</f>
        <v>0.24738000000000002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96.750000000000014</v>
      </c>
      <c r="BN280" s="64">
        <f>IFERROR(Y280*I280/H280,"0")</f>
        <v>98.04</v>
      </c>
      <c r="BO280" s="64">
        <f>IFERROR(1/J280*(X280/H280),"0")</f>
        <v>0.20604395604395606</v>
      </c>
      <c r="BP280" s="64">
        <f>IFERROR(1/J280*(Y280/H280),"0")</f>
        <v>0.2087912087912088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46.25</v>
      </c>
      <c r="Y282" s="665">
        <f>IFERROR(Y277/H277,"0")+IFERROR(Y278/H278,"0")+IFERROR(Y279/H279,"0")+IFERROR(Y280/H280,"0")+IFERROR(Y281/H281,"0")</f>
        <v>47</v>
      </c>
      <c r="Z282" s="665">
        <f>IFERROR(IF(Z277="",0,Z277),"0")+IFERROR(IF(Z278="",0,Z278),"0")+IFERROR(IF(Z279="",0,Z279),"0")+IFERROR(IF(Z280="",0,Z280),"0")+IFERROR(IF(Z281="",0,Z281),"0")</f>
        <v>0.30597000000000002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111</v>
      </c>
      <c r="Y283" s="665">
        <f>IFERROR(SUM(Y277:Y281),"0")</f>
        <v>112.8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4</v>
      </c>
      <c r="Y322" s="664">
        <f t="shared" si="53"/>
        <v>10.8</v>
      </c>
      <c r="Z322" s="36">
        <f>IFERROR(IF(Y322=0,"",ROUNDUP(Y322/H322,0)*0.01898),"")</f>
        <v>1.898E-2</v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4.1611111111111105</v>
      </c>
      <c r="BN322" s="64">
        <f t="shared" si="55"/>
        <v>11.234999999999999</v>
      </c>
      <c r="BO322" s="64">
        <f t="shared" si="56"/>
        <v>5.7870370370370367E-3</v>
      </c>
      <c r="BP322" s="64">
        <f t="shared" si="57"/>
        <v>1.5625E-2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0.37037037037037035</v>
      </c>
      <c r="Y325" s="665">
        <f>IFERROR(Y319/H319,"0")+IFERROR(Y320/H320,"0")+IFERROR(Y321/H321,"0")+IFERROR(Y322/H322,"0")+IFERROR(Y323/H323,"0")+IFERROR(Y324/H324,"0")</f>
        <v>1</v>
      </c>
      <c r="Z325" s="665">
        <f>IFERROR(IF(Z319="",0,Z319),"0")+IFERROR(IF(Z320="",0,Z320),"0")+IFERROR(IF(Z321="",0,Z321),"0")+IFERROR(IF(Z322="",0,Z322),"0")+IFERROR(IF(Z323="",0,Z323),"0")+IFERROR(IF(Z324="",0,Z324),"0")</f>
        <v>1.898E-2</v>
      </c>
      <c r="AA325" s="666"/>
      <c r="AB325" s="666"/>
      <c r="AC325" s="666"/>
    </row>
    <row r="326" spans="1:68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4</v>
      </c>
      <c r="Y326" s="665">
        <f>IFERROR(SUM(Y319:Y324),"0")</f>
        <v>10.8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150</v>
      </c>
      <c r="Y344" s="664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159.98076923076925</v>
      </c>
      <c r="BN344" s="64">
        <f>IFERROR(Y344*I344/H344,"0")</f>
        <v>166.38000000000002</v>
      </c>
      <c r="BO344" s="64">
        <f>IFERROR(1/J344*(X344/H344),"0")</f>
        <v>0.30048076923076922</v>
      </c>
      <c r="BP344" s="64">
        <f>IFERROR(1/J344*(Y344/H344),"0")</f>
        <v>0.3125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55</v>
      </c>
      <c r="Y345" s="664">
        <f>IFERROR(IF(X345="",0,CEILING((X345/$H345),1)*$H345),"")</f>
        <v>58.800000000000004</v>
      </c>
      <c r="Z345" s="36">
        <f>IFERROR(IF(Y345=0,"",ROUNDUP(Y345/H345,0)*0.01898),"")</f>
        <v>0.13286000000000001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58.398214285714282</v>
      </c>
      <c r="BN345" s="64">
        <f>IFERROR(Y345*I345/H345,"0")</f>
        <v>62.433000000000007</v>
      </c>
      <c r="BO345" s="64">
        <f>IFERROR(1/J345*(X345/H345),"0")</f>
        <v>0.10230654761904762</v>
      </c>
      <c r="BP345" s="64">
        <f>IFERROR(1/J345*(Y345/H345),"0")</f>
        <v>0.109375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25.778388278388277</v>
      </c>
      <c r="Y346" s="665">
        <f>IFERROR(Y343/H343,"0")+IFERROR(Y344/H344,"0")+IFERROR(Y345/H345,"0")</f>
        <v>27</v>
      </c>
      <c r="Z346" s="665">
        <f>IFERROR(IF(Z343="",0,Z343),"0")+IFERROR(IF(Z344="",0,Z344),"0")+IFERROR(IF(Z345="",0,Z345),"0")</f>
        <v>0.51246000000000003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205</v>
      </c>
      <c r="Y347" s="665">
        <f>IFERROR(SUM(Y343:Y345),"0")</f>
        <v>214.8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6</v>
      </c>
      <c r="Y352" s="664">
        <f>IFERROR(IF(X352="",0,CEILING((X352/$H352),1)*$H352),"")</f>
        <v>7.6499999999999995</v>
      </c>
      <c r="Z352" s="36">
        <f>IFERROR(IF(Y352=0,"",ROUNDUP(Y352/H352,0)*0.00651),"")</f>
        <v>1.9529999999999999E-2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6.7764705882352949</v>
      </c>
      <c r="BN352" s="64">
        <f>IFERROR(Y352*I352/H352,"0")</f>
        <v>8.6399999999999988</v>
      </c>
      <c r="BO352" s="64">
        <f>IFERROR(1/J352*(X352/H352),"0")</f>
        <v>1.292824822236587E-2</v>
      </c>
      <c r="BP352" s="64">
        <f>IFERROR(1/J352*(Y352/H352),"0")</f>
        <v>1.6483516483516484E-2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2.3529411764705883</v>
      </c>
      <c r="Y353" s="665">
        <f>IFERROR(Y349/H349,"0")+IFERROR(Y350/H350,"0")+IFERROR(Y351/H351,"0")+IFERROR(Y352/H352,"0")</f>
        <v>3</v>
      </c>
      <c r="Z353" s="665">
        <f>IFERROR(IF(Z349="",0,Z349),"0")+IFERROR(IF(Z350="",0,Z350),"0")+IFERROR(IF(Z351="",0,Z351),"0")+IFERROR(IF(Z352="",0,Z352),"0")</f>
        <v>1.9529999999999999E-2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6</v>
      </c>
      <c r="Y354" s="665">
        <f>IFERROR(SUM(Y349:Y352),"0")</f>
        <v>7.6499999999999995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1011</v>
      </c>
      <c r="Y375" s="664">
        <f t="shared" ref="Y375:Y384" si="58">IFERROR(IF(X375="",0,CEILING((X375/$H375),1)*$H375),"")</f>
        <v>1020</v>
      </c>
      <c r="Z375" s="36">
        <f>IFERROR(IF(Y375=0,"",ROUNDUP(Y375/H375,0)*0.02175),"")</f>
        <v>1.4789999999999999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1043.3520000000001</v>
      </c>
      <c r="BN375" s="64">
        <f t="shared" ref="BN375:BN384" si="60">IFERROR(Y375*I375/H375,"0")</f>
        <v>1052.6400000000001</v>
      </c>
      <c r="BO375" s="64">
        <f t="shared" ref="BO375:BO384" si="61">IFERROR(1/J375*(X375/H375),"0")</f>
        <v>1.4041666666666668</v>
      </c>
      <c r="BP375" s="64">
        <f t="shared" ref="BP375:BP384" si="62">IFERROR(1/J375*(Y375/H375),"0")</f>
        <v>1.4166666666666665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500</v>
      </c>
      <c r="Y377" s="664">
        <f t="shared" si="58"/>
        <v>510</v>
      </c>
      <c r="Z377" s="36">
        <f>IFERROR(IF(Y377=0,"",ROUNDUP(Y377/H377,0)*0.02175),"")</f>
        <v>0.73949999999999994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516</v>
      </c>
      <c r="BN377" s="64">
        <f t="shared" si="60"/>
        <v>526.32000000000005</v>
      </c>
      <c r="BO377" s="64">
        <f t="shared" si="61"/>
        <v>0.69444444444444442</v>
      </c>
      <c r="BP377" s="64">
        <f t="shared" si="62"/>
        <v>0.70833333333333326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683</v>
      </c>
      <c r="Y379" s="664">
        <f t="shared" si="58"/>
        <v>690</v>
      </c>
      <c r="Z379" s="36">
        <f>IFERROR(IF(Y379=0,"",ROUNDUP(Y379/H379,0)*0.02175),"")</f>
        <v>1.0004999999999999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704.85599999999999</v>
      </c>
      <c r="BN379" s="64">
        <f t="shared" si="60"/>
        <v>712.08</v>
      </c>
      <c r="BO379" s="64">
        <f t="shared" si="61"/>
        <v>0.94861111111111107</v>
      </c>
      <c r="BP379" s="64">
        <f t="shared" si="62"/>
        <v>0.95833333333333326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490</v>
      </c>
      <c r="Y380" s="664">
        <f t="shared" si="58"/>
        <v>495</v>
      </c>
      <c r="Z380" s="36">
        <f>IFERROR(IF(Y380=0,"",ROUNDUP(Y380/H380,0)*0.02175),"")</f>
        <v>0.71775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505.68</v>
      </c>
      <c r="BN380" s="64">
        <f t="shared" si="60"/>
        <v>510.84000000000003</v>
      </c>
      <c r="BO380" s="64">
        <f t="shared" si="61"/>
        <v>0.68055555555555547</v>
      </c>
      <c r="BP380" s="64">
        <f t="shared" si="62"/>
        <v>0.6875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178.93333333333334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181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3.9367499999999995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2684</v>
      </c>
      <c r="Y386" s="665">
        <f>IFERROR(SUM(Y375:Y384),"0")</f>
        <v>2715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1000</v>
      </c>
      <c r="Y388" s="664">
        <f>IFERROR(IF(X388="",0,CEILING((X388/$H388),1)*$H388),"")</f>
        <v>1005</v>
      </c>
      <c r="Z388" s="36">
        <f>IFERROR(IF(Y388=0,"",ROUNDUP(Y388/H388,0)*0.02175),"")</f>
        <v>1.4572499999999999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1032</v>
      </c>
      <c r="BN388" s="64">
        <f>IFERROR(Y388*I388/H388,"0")</f>
        <v>1037.1600000000001</v>
      </c>
      <c r="BO388" s="64">
        <f>IFERROR(1/J388*(X388/H388),"0")</f>
        <v>1.3888888888888888</v>
      </c>
      <c r="BP388" s="64">
        <f>IFERROR(1/J388*(Y388/H388),"0")</f>
        <v>1.3958333333333333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66.666666666666671</v>
      </c>
      <c r="Y390" s="665">
        <f>IFERROR(Y388/H388,"0")+IFERROR(Y389/H389,"0")</f>
        <v>67</v>
      </c>
      <c r="Z390" s="665">
        <f>IFERROR(IF(Z388="",0,Z388),"0")+IFERROR(IF(Z389="",0,Z389),"0")</f>
        <v>1.4572499999999999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1000</v>
      </c>
      <c r="Y391" s="665">
        <f>IFERROR(SUM(Y388:Y389),"0")</f>
        <v>1005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80</v>
      </c>
      <c r="Y394" s="664">
        <f>IFERROR(IF(X394="",0,CEILING((X394/$H394),1)*$H394),"")</f>
        <v>81</v>
      </c>
      <c r="Z394" s="36">
        <f>IFERROR(IF(Y394=0,"",ROUNDUP(Y394/H394,0)*0.01898),"")</f>
        <v>0.17082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84.61333333333333</v>
      </c>
      <c r="BN394" s="64">
        <f>IFERROR(Y394*I394/H394,"0")</f>
        <v>85.670999999999992</v>
      </c>
      <c r="BO394" s="64">
        <f>IFERROR(1/J394*(X394/H394),"0")</f>
        <v>0.1388888888888889</v>
      </c>
      <c r="BP394" s="64">
        <f>IFERROR(1/J394*(Y394/H394),"0")</f>
        <v>0.140625</v>
      </c>
    </row>
    <row r="395" spans="1:68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8.8888888888888893</v>
      </c>
      <c r="Y395" s="665">
        <f>IFERROR(Y393/H393,"0")+IFERROR(Y394/H394,"0")</f>
        <v>9</v>
      </c>
      <c r="Z395" s="665">
        <f>IFERROR(IF(Z393="",0,Z393),"0")+IFERROR(IF(Z394="",0,Z394),"0")</f>
        <v>0.17082</v>
      </c>
      <c r="AA395" s="666"/>
      <c r="AB395" s="666"/>
      <c r="AC395" s="666"/>
    </row>
    <row r="396" spans="1:68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80</v>
      </c>
      <c r="Y396" s="665">
        <f>IFERROR(SUM(Y393:Y394),"0")</f>
        <v>81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62</v>
      </c>
      <c r="Y398" s="664">
        <f>IFERROR(IF(X398="",0,CEILING((X398/$H398),1)*$H398),"")</f>
        <v>63</v>
      </c>
      <c r="Z398" s="36">
        <f>IFERROR(IF(Y398=0,"",ROUNDUP(Y398/H398,0)*0.01898),"")</f>
        <v>0.13286000000000001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65.575333333333333</v>
      </c>
      <c r="BN398" s="64">
        <f>IFERROR(Y398*I398/H398,"0")</f>
        <v>66.632999999999996</v>
      </c>
      <c r="BO398" s="64">
        <f>IFERROR(1/J398*(X398/H398),"0")</f>
        <v>0.1076388888888889</v>
      </c>
      <c r="BP398" s="64">
        <f>IFERROR(1/J398*(Y398/H398),"0")</f>
        <v>0.109375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6.8888888888888893</v>
      </c>
      <c r="Y399" s="665">
        <f>IFERROR(Y398/H398,"0")</f>
        <v>7</v>
      </c>
      <c r="Z399" s="665">
        <f>IFERROR(IF(Z398="",0,Z398),"0")</f>
        <v>0.13286000000000001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62</v>
      </c>
      <c r="Y400" s="665">
        <f>IFERROR(SUM(Y398:Y398),"0")</f>
        <v>63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600</v>
      </c>
      <c r="Y416" s="664">
        <f>IFERROR(IF(X416="",0,CEILING((X416/$H416),1)*$H416),"")</f>
        <v>603</v>
      </c>
      <c r="Z416" s="36">
        <f>IFERROR(IF(Y416=0,"",ROUNDUP(Y416/H416,0)*0.01898),"")</f>
        <v>1.27166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634.59999999999991</v>
      </c>
      <c r="BN416" s="64">
        <f>IFERROR(Y416*I416/H416,"0")</f>
        <v>637.77300000000002</v>
      </c>
      <c r="BO416" s="64">
        <f>IFERROR(1/J416*(X416/H416),"0")</f>
        <v>1.0416666666666667</v>
      </c>
      <c r="BP416" s="64">
        <f>IFERROR(1/J416*(Y416/H416),"0")</f>
        <v>1.046875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66.666666666666671</v>
      </c>
      <c r="Y421" s="665">
        <f>IFERROR(Y416/H416,"0")+IFERROR(Y417/H417,"0")+IFERROR(Y418/H418,"0")+IFERROR(Y419/H419,"0")+IFERROR(Y420/H420,"0")</f>
        <v>67</v>
      </c>
      <c r="Z421" s="665">
        <f>IFERROR(IF(Z416="",0,Z416),"0")+IFERROR(IF(Z417="",0,Z417),"0")+IFERROR(IF(Z418="",0,Z418),"0")+IFERROR(IF(Z419="",0,Z419),"0")+IFERROR(IF(Z420="",0,Z420),"0")</f>
        <v>1.27166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600</v>
      </c>
      <c r="Y422" s="665">
        <f>IFERROR(SUM(Y416:Y420),"0")</f>
        <v>603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120</v>
      </c>
      <c r="Y456" s="664">
        <f>IFERROR(IF(X456="",0,CEILING((X456/$H456),1)*$H456),"")</f>
        <v>124.2</v>
      </c>
      <c r="Z456" s="36">
        <f>IFERROR(IF(Y456=0,"",ROUNDUP(Y456/H456,0)*0.00902),"")</f>
        <v>0.20746000000000001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124.66666666666667</v>
      </c>
      <c r="BN456" s="64">
        <f>IFERROR(Y456*I456/H456,"0")</f>
        <v>129.03</v>
      </c>
      <c r="BO456" s="64">
        <f>IFERROR(1/J456*(X456/H456),"0")</f>
        <v>0.16835016835016836</v>
      </c>
      <c r="BP456" s="64">
        <f>IFERROR(1/J456*(Y456/H456),"0")</f>
        <v>0.17424242424242425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22.222222222222221</v>
      </c>
      <c r="Y460" s="665">
        <f>IFERROR(Y456/H456,"0")+IFERROR(Y457/H457,"0")+IFERROR(Y458/H458,"0")+IFERROR(Y459/H459,"0")</f>
        <v>23</v>
      </c>
      <c r="Z460" s="665">
        <f>IFERROR(IF(Z456="",0,Z456),"0")+IFERROR(IF(Z457="",0,Z457),"0")+IFERROR(IF(Z458="",0,Z458),"0")+IFERROR(IF(Z459="",0,Z459),"0")</f>
        <v>0.20746000000000001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120</v>
      </c>
      <c r="Y461" s="665">
        <f>IFERROR(SUM(Y456:Y459),"0")</f>
        <v>124.2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71</v>
      </c>
      <c r="Y480" s="664">
        <f t="shared" ref="Y480:Y494" si="69">IFERROR(IF(X480="",0,CEILING((X480/$H480),1)*$H480),"")</f>
        <v>73.92</v>
      </c>
      <c r="Z480" s="36">
        <f>IFERROR(IF(Y480=0,"",ROUNDUP(Y480/H480,0)*0.01196),"")</f>
        <v>0.16744000000000001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75.840909090909093</v>
      </c>
      <c r="BN480" s="64">
        <f t="shared" ref="BN480:BN494" si="71">IFERROR(Y480*I480/H480,"0")</f>
        <v>78.959999999999994</v>
      </c>
      <c r="BO480" s="64">
        <f t="shared" ref="BO480:BO494" si="72">IFERROR(1/J480*(X480/H480),"0")</f>
        <v>0.12929778554778554</v>
      </c>
      <c r="BP480" s="64">
        <f t="shared" ref="BP480:BP494" si="73">IFERROR(1/J480*(Y480/H480),"0")</f>
        <v>0.13461538461538464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83</v>
      </c>
      <c r="Y482" s="664">
        <f t="shared" si="69"/>
        <v>84.48</v>
      </c>
      <c r="Z482" s="36">
        <f>IFERROR(IF(Y482=0,"",ROUNDUP(Y482/H482,0)*0.01196),"")</f>
        <v>0.19136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88.659090909090892</v>
      </c>
      <c r="BN482" s="64">
        <f t="shared" si="71"/>
        <v>90.24</v>
      </c>
      <c r="BO482" s="64">
        <f t="shared" si="72"/>
        <v>0.15115093240093241</v>
      </c>
      <c r="BP482" s="64">
        <f t="shared" si="73"/>
        <v>0.15384615384615385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300</v>
      </c>
      <c r="Y483" s="664">
        <f t="shared" si="69"/>
        <v>300.96000000000004</v>
      </c>
      <c r="Z483" s="36">
        <f>IFERROR(IF(Y483=0,"",ROUNDUP(Y483/H483,0)*0.01196),"")</f>
        <v>0.68171999999999999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320.45454545454544</v>
      </c>
      <c r="BN483" s="64">
        <f t="shared" si="71"/>
        <v>321.48</v>
      </c>
      <c r="BO483" s="64">
        <f t="shared" si="72"/>
        <v>0.54632867132867136</v>
      </c>
      <c r="BP483" s="64">
        <f t="shared" si="73"/>
        <v>0.54807692307692313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85.98484848484847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87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1.0405199999999999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454</v>
      </c>
      <c r="Y496" s="665">
        <f>IFERROR(SUM(Y480:Y494),"0")</f>
        <v>459.36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100</v>
      </c>
      <c r="Y498" s="664">
        <f>IFERROR(IF(X498="",0,CEILING((X498/$H498),1)*$H498),"")</f>
        <v>100.32000000000001</v>
      </c>
      <c r="Z498" s="36">
        <f>IFERROR(IF(Y498=0,"",ROUNDUP(Y498/H498,0)*0.01196),"")</f>
        <v>0.22724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106.81818181818181</v>
      </c>
      <c r="BN498" s="64">
        <f>IFERROR(Y498*I498/H498,"0")</f>
        <v>107.16</v>
      </c>
      <c r="BO498" s="64">
        <f>IFERROR(1/J498*(X498/H498),"0")</f>
        <v>0.18210955710955709</v>
      </c>
      <c r="BP498" s="64">
        <f>IFERROR(1/J498*(Y498/H498),"0")</f>
        <v>0.18269230769230771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18.939393939393938</v>
      </c>
      <c r="Y502" s="665">
        <f>IFERROR(Y498/H498,"0")+IFERROR(Y499/H499,"0")+IFERROR(Y500/H500,"0")+IFERROR(Y501/H501,"0")</f>
        <v>19</v>
      </c>
      <c r="Z502" s="665">
        <f>IFERROR(IF(Z498="",0,Z498),"0")+IFERROR(IF(Z499="",0,Z499),"0")+IFERROR(IF(Z500="",0,Z500),"0")+IFERROR(IF(Z501="",0,Z501),"0")</f>
        <v>0.22724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100</v>
      </c>
      <c r="Y503" s="665">
        <f>IFERROR(SUM(Y498:Y501),"0")</f>
        <v>100.32000000000001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100</v>
      </c>
      <c r="Y505" s="664">
        <f t="shared" ref="Y505:Y516" si="74">IFERROR(IF(X505="",0,CEILING((X505/$H505),1)*$H505),"")</f>
        <v>100.32000000000001</v>
      </c>
      <c r="Z505" s="36">
        <f>IFERROR(IF(Y505=0,"",ROUNDUP(Y505/H505,0)*0.01196),"")</f>
        <v>0.22724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106.81818181818181</v>
      </c>
      <c r="BN505" s="64">
        <f t="shared" ref="BN505:BN516" si="76">IFERROR(Y505*I505/H505,"0")</f>
        <v>107.16</v>
      </c>
      <c r="BO505" s="64">
        <f t="shared" ref="BO505:BO516" si="77">IFERROR(1/J505*(X505/H505),"0")</f>
        <v>0.18210955710955709</v>
      </c>
      <c r="BP505" s="64">
        <f t="shared" ref="BP505:BP516" si="78">IFERROR(1/J505*(Y505/H505),"0")</f>
        <v>0.18269230769230771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50</v>
      </c>
      <c r="Y506" s="664">
        <f t="shared" si="74"/>
        <v>52.800000000000004</v>
      </c>
      <c r="Z506" s="36">
        <f>IFERROR(IF(Y506=0,"",ROUNDUP(Y506/H506,0)*0.01196),"")</f>
        <v>0.1196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53.409090909090907</v>
      </c>
      <c r="BN506" s="64">
        <f t="shared" si="76"/>
        <v>56.400000000000006</v>
      </c>
      <c r="BO506" s="64">
        <f t="shared" si="77"/>
        <v>9.1054778554778545E-2</v>
      </c>
      <c r="BP506" s="64">
        <f t="shared" si="78"/>
        <v>9.6153846153846159E-2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100</v>
      </c>
      <c r="Y507" s="664">
        <f t="shared" si="74"/>
        <v>100.32000000000001</v>
      </c>
      <c r="Z507" s="36">
        <f>IFERROR(IF(Y507=0,"",ROUNDUP(Y507/H507,0)*0.01196),"")</f>
        <v>0.22724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106.81818181818181</v>
      </c>
      <c r="BN507" s="64">
        <f t="shared" si="76"/>
        <v>107.16</v>
      </c>
      <c r="BO507" s="64">
        <f t="shared" si="77"/>
        <v>0.18210955710955709</v>
      </c>
      <c r="BP507" s="64">
        <f t="shared" si="78"/>
        <v>0.18269230769230771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47.348484848484844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48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0.57407999999999992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250</v>
      </c>
      <c r="Y518" s="665">
        <f>IFERROR(SUM(Y505:Y516),"0")</f>
        <v>253.44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40</v>
      </c>
      <c r="Y560" s="664">
        <f>IFERROR(IF(X560="",0,CEILING((X560/$H560),1)*$H560),"")</f>
        <v>45</v>
      </c>
      <c r="Z560" s="36">
        <f>IFERROR(IF(Y560=0,"",ROUNDUP(Y560/H560,0)*0.01898),"")</f>
        <v>9.4899999999999998E-2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42.306666666666665</v>
      </c>
      <c r="BN560" s="64">
        <f>IFERROR(Y560*I560/H560,"0")</f>
        <v>47.594999999999999</v>
      </c>
      <c r="BO560" s="64">
        <f>IFERROR(1/J560*(X560/H560),"0")</f>
        <v>6.9444444444444448E-2</v>
      </c>
      <c r="BP560" s="64">
        <f>IFERROR(1/J560*(Y560/H560),"0")</f>
        <v>7.8125E-2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4.4444444444444446</v>
      </c>
      <c r="Y565" s="665">
        <f>IFERROR(Y560/H560,"0")+IFERROR(Y561/H561,"0")+IFERROR(Y562/H562,"0")+IFERROR(Y563/H563,"0")+IFERROR(Y564/H564,"0")</f>
        <v>5</v>
      </c>
      <c r="Z565" s="665">
        <f>IFERROR(IF(Z560="",0,Z560),"0")+IFERROR(IF(Z561="",0,Z561),"0")+IFERROR(IF(Z562="",0,Z562),"0")+IFERROR(IF(Z563="",0,Z563),"0")+IFERROR(IF(Z564="",0,Z564),"0")</f>
        <v>9.4899999999999998E-2</v>
      </c>
      <c r="AA565" s="666"/>
      <c r="AB565" s="666"/>
      <c r="AC565" s="666"/>
    </row>
    <row r="566" spans="1:68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40</v>
      </c>
      <c r="Y566" s="665">
        <f>IFERROR(SUM(Y560:Y564),"0")</f>
        <v>45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7604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7743.07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7968.3485592634497</v>
      </c>
      <c r="Y592" s="665">
        <f>IFERROR(SUM(BN22:BN588),"0")</f>
        <v>8114.4720000000007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8293.3485592634497</v>
      </c>
      <c r="Y594" s="665">
        <f>GrossWeightTotalR+PalletQtyTotalR*25</f>
        <v>8439.4720000000016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1039.3065707844105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1061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14.239590000000002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2.4</v>
      </c>
      <c r="C601" s="46">
        <f>IFERROR(Y37*1,"0")+IFERROR(Y38*1,"0")+IFERROR(Y39*1,"0")+IFERROR(Y40*1,"0")+IFERROR(Y44*1,"0")</f>
        <v>129.60000000000002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98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241.20000000000002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435.90000000000003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330.6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619.20000000000005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90.8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112.8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233.25000000000003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3864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603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124.2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813.12000000000012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45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000,00"/>
        <filter val="1 011,00"/>
        <filter val="1 039,31"/>
        <filter val="1,34"/>
        <filter val="1,43"/>
        <filter val="100,00"/>
        <filter val="102,00"/>
        <filter val="11,00"/>
        <filter val="11,48"/>
        <filter val="111,00"/>
        <filter val="12,00"/>
        <filter val="120,00"/>
        <filter val="123,00"/>
        <filter val="124,00"/>
        <filter val="13"/>
        <filter val="13,00"/>
        <filter val="13,33"/>
        <filter val="142,00"/>
        <filter val="144,00"/>
        <filter val="149,00"/>
        <filter val="15,00"/>
        <filter val="15,83"/>
        <filter val="150,00"/>
        <filter val="16,11"/>
        <filter val="178,93"/>
        <filter val="18,94"/>
        <filter val="19,00"/>
        <filter val="195,00"/>
        <filter val="198,00"/>
        <filter val="2 684,00"/>
        <filter val="2,00"/>
        <filter val="2,35"/>
        <filter val="205,00"/>
        <filter val="21,00"/>
        <filter val="21,83"/>
        <filter val="218,00"/>
        <filter val="22,22"/>
        <filter val="224,00"/>
        <filter val="239,00"/>
        <filter val="24,00"/>
        <filter val="25,78"/>
        <filter val="250,00"/>
        <filter val="26,67"/>
        <filter val="27,00"/>
        <filter val="28,00"/>
        <filter val="3,33"/>
        <filter val="30,00"/>
        <filter val="300,00"/>
        <filter val="305,00"/>
        <filter val="31,00"/>
        <filter val="32,00"/>
        <filter val="33,80"/>
        <filter val="4,00"/>
        <filter val="4,44"/>
        <filter val="40,00"/>
        <filter val="43,00"/>
        <filter val="454,00"/>
        <filter val="46,25"/>
        <filter val="47,35"/>
        <filter val="490,00"/>
        <filter val="50,00"/>
        <filter val="500,00"/>
        <filter val="54,00"/>
        <filter val="55,00"/>
        <filter val="59,63"/>
        <filter val="6,00"/>
        <filter val="6,89"/>
        <filter val="600,00"/>
        <filter val="62,00"/>
        <filter val="66,67"/>
        <filter val="67,00"/>
        <filter val="683,00"/>
        <filter val="7 604,00"/>
        <filter val="7 968,35"/>
        <filter val="71,00"/>
        <filter val="75,00"/>
        <filter val="76,11"/>
        <filter val="8 293,35"/>
        <filter val="8,00"/>
        <filter val="8,89"/>
        <filter val="80,00"/>
        <filter val="81,00"/>
        <filter val="81,25"/>
        <filter val="82,50"/>
        <filter val="83,00"/>
        <filter val="85,98"/>
        <filter val="9,60"/>
        <filter val="90,00"/>
        <filter val="93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