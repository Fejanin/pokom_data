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BDC9AA1-518B-47D5-98A3-1EBBF9E0A41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Y273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Y252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Y244" i="1" s="1"/>
  <c r="P242" i="1"/>
  <c r="BP241" i="1"/>
  <c r="BO241" i="1"/>
  <c r="BN241" i="1"/>
  <c r="BM241" i="1"/>
  <c r="Z241" i="1"/>
  <c r="Y241" i="1"/>
  <c r="X239" i="1"/>
  <c r="X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BP142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O82" i="1"/>
  <c r="BM82" i="1"/>
  <c r="Y82" i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N72" i="1"/>
  <c r="BM72" i="1"/>
  <c r="Z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82" i="1" l="1"/>
  <c r="BN82" i="1"/>
  <c r="Z82" i="1"/>
  <c r="BP127" i="1"/>
  <c r="BN127" i="1"/>
  <c r="Z127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7" i="1"/>
  <c r="BN217" i="1"/>
  <c r="Z217" i="1"/>
  <c r="BP258" i="1"/>
  <c r="BN258" i="1"/>
  <c r="Z258" i="1"/>
  <c r="BN314" i="1"/>
  <c r="Z314" i="1"/>
  <c r="Z315" i="1" s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X592" i="1"/>
  <c r="Z23" i="1"/>
  <c r="BN23" i="1"/>
  <c r="Z24" i="1"/>
  <c r="BN24" i="1"/>
  <c r="Z25" i="1"/>
  <c r="BN25" i="1"/>
  <c r="Z50" i="1"/>
  <c r="BN50" i="1"/>
  <c r="Z60" i="1"/>
  <c r="BN60" i="1"/>
  <c r="BP106" i="1"/>
  <c r="BN106" i="1"/>
  <c r="Z106" i="1"/>
  <c r="BP147" i="1"/>
  <c r="BN147" i="1"/>
  <c r="Z147" i="1"/>
  <c r="BP181" i="1"/>
  <c r="BN181" i="1"/>
  <c r="Z181" i="1"/>
  <c r="BP205" i="1"/>
  <c r="BN205" i="1"/>
  <c r="Z205" i="1"/>
  <c r="BP232" i="1"/>
  <c r="BN232" i="1"/>
  <c r="Z232" i="1"/>
  <c r="BP277" i="1"/>
  <c r="BN277" i="1"/>
  <c r="Z277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Y194" i="1"/>
  <c r="Y282" i="1"/>
  <c r="B601" i="1"/>
  <c r="X593" i="1"/>
  <c r="Z27" i="1"/>
  <c r="BN27" i="1"/>
  <c r="X591" i="1"/>
  <c r="Y42" i="1"/>
  <c r="Z39" i="1"/>
  <c r="BN39" i="1"/>
  <c r="D601" i="1"/>
  <c r="Z52" i="1"/>
  <c r="BN52" i="1"/>
  <c r="Z58" i="1"/>
  <c r="BN58" i="1"/>
  <c r="BP58" i="1"/>
  <c r="Z66" i="1"/>
  <c r="BN66" i="1"/>
  <c r="Y78" i="1"/>
  <c r="Z74" i="1"/>
  <c r="BN74" i="1"/>
  <c r="Z80" i="1"/>
  <c r="BN80" i="1"/>
  <c r="BP80" i="1"/>
  <c r="Z87" i="1"/>
  <c r="BN87" i="1"/>
  <c r="Y103" i="1"/>
  <c r="Z101" i="1"/>
  <c r="BN101" i="1"/>
  <c r="Z108" i="1"/>
  <c r="BN108" i="1"/>
  <c r="Y116" i="1"/>
  <c r="Y129" i="1"/>
  <c r="Z121" i="1"/>
  <c r="BN121" i="1"/>
  <c r="Z122" i="1"/>
  <c r="BN122" i="1"/>
  <c r="Z125" i="1"/>
  <c r="BN125" i="1"/>
  <c r="Z131" i="1"/>
  <c r="BN131" i="1"/>
  <c r="BP131" i="1"/>
  <c r="G601" i="1"/>
  <c r="Z142" i="1"/>
  <c r="BN142" i="1"/>
  <c r="Y149" i="1"/>
  <c r="Y166" i="1"/>
  <c r="Y165" i="1"/>
  <c r="BP164" i="1"/>
  <c r="BN164" i="1"/>
  <c r="Z164" i="1"/>
  <c r="Z165" i="1" s="1"/>
  <c r="I601" i="1"/>
  <c r="Y171" i="1"/>
  <c r="BP170" i="1"/>
  <c r="BN170" i="1"/>
  <c r="Z170" i="1"/>
  <c r="Z171" i="1" s="1"/>
  <c r="Y184" i="1"/>
  <c r="BP174" i="1"/>
  <c r="BN174" i="1"/>
  <c r="Z174" i="1"/>
  <c r="BP179" i="1"/>
  <c r="BN179" i="1"/>
  <c r="Z179" i="1"/>
  <c r="BP203" i="1"/>
  <c r="BN203" i="1"/>
  <c r="Z203" i="1"/>
  <c r="BP215" i="1"/>
  <c r="BN215" i="1"/>
  <c r="Z215" i="1"/>
  <c r="BP230" i="1"/>
  <c r="BN230" i="1"/>
  <c r="Z230" i="1"/>
  <c r="L601" i="1"/>
  <c r="BP256" i="1"/>
  <c r="BN256" i="1"/>
  <c r="Z256" i="1"/>
  <c r="BP272" i="1"/>
  <c r="BN272" i="1"/>
  <c r="Z272" i="1"/>
  <c r="Q601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1" i="1"/>
  <c r="Y300" i="1"/>
  <c r="BP299" i="1"/>
  <c r="BN299" i="1"/>
  <c r="Z299" i="1"/>
  <c r="Z300" i="1" s="1"/>
  <c r="Y305" i="1"/>
  <c r="BP304" i="1"/>
  <c r="BN304" i="1"/>
  <c r="Z304" i="1"/>
  <c r="Z305" i="1" s="1"/>
  <c r="BP308" i="1"/>
  <c r="BN308" i="1"/>
  <c r="Z308" i="1"/>
  <c r="X594" i="1"/>
  <c r="BP158" i="1"/>
  <c r="BN158" i="1"/>
  <c r="Z158" i="1"/>
  <c r="BP178" i="1"/>
  <c r="BN178" i="1"/>
  <c r="Z178" i="1"/>
  <c r="BP197" i="1"/>
  <c r="BN197" i="1"/>
  <c r="Z197" i="1"/>
  <c r="BP207" i="1"/>
  <c r="BN207" i="1"/>
  <c r="Z207" i="1"/>
  <c r="BP219" i="1"/>
  <c r="BN219" i="1"/>
  <c r="Z219" i="1"/>
  <c r="BP234" i="1"/>
  <c r="BN234" i="1"/>
  <c r="Z234" i="1"/>
  <c r="BP260" i="1"/>
  <c r="BN260" i="1"/>
  <c r="Z260" i="1"/>
  <c r="BP279" i="1"/>
  <c r="BN279" i="1"/>
  <c r="Z279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Y210" i="1"/>
  <c r="Y222" i="1"/>
  <c r="Y239" i="1"/>
  <c r="Y243" i="1"/>
  <c r="T601" i="1"/>
  <c r="Y315" i="1"/>
  <c r="BP314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Z395" i="1" s="1"/>
  <c r="Y421" i="1"/>
  <c r="BP416" i="1"/>
  <c r="BN416" i="1"/>
  <c r="Z416" i="1"/>
  <c r="Y443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BP521" i="1"/>
  <c r="BN521" i="1"/>
  <c r="Z521" i="1"/>
  <c r="Y346" i="1"/>
  <c r="H9" i="1"/>
  <c r="A10" i="1"/>
  <c r="Y28" i="1"/>
  <c r="Y46" i="1"/>
  <c r="Y55" i="1"/>
  <c r="Y63" i="1"/>
  <c r="Y69" i="1"/>
  <c r="Y77" i="1"/>
  <c r="Y83" i="1"/>
  <c r="Y90" i="1"/>
  <c r="Y102" i="1"/>
  <c r="Y111" i="1"/>
  <c r="Y117" i="1"/>
  <c r="Y128" i="1"/>
  <c r="Y134" i="1"/>
  <c r="Y139" i="1"/>
  <c r="F9" i="1"/>
  <c r="J9" i="1"/>
  <c r="Z22" i="1"/>
  <c r="BN22" i="1"/>
  <c r="BP22" i="1"/>
  <c r="Z26" i="1"/>
  <c r="BN26" i="1"/>
  <c r="Y29" i="1"/>
  <c r="C601" i="1"/>
  <c r="Z38" i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Z83" i="1" s="1"/>
  <c r="BN81" i="1"/>
  <c r="E601" i="1"/>
  <c r="Z88" i="1"/>
  <c r="Z90" i="1" s="1"/>
  <c r="BN88" i="1"/>
  <c r="Y91" i="1"/>
  <c r="Z93" i="1"/>
  <c r="BN93" i="1"/>
  <c r="BP93" i="1"/>
  <c r="Z95" i="1"/>
  <c r="BN95" i="1"/>
  <c r="Z96" i="1"/>
  <c r="BN96" i="1"/>
  <c r="Z97" i="1"/>
  <c r="BN97" i="1"/>
  <c r="Z98" i="1"/>
  <c r="BN98" i="1"/>
  <c r="Z100" i="1"/>
  <c r="BN100" i="1"/>
  <c r="F601" i="1"/>
  <c r="Z107" i="1"/>
  <c r="BN107" i="1"/>
  <c r="Z109" i="1"/>
  <c r="BN109" i="1"/>
  <c r="Y110" i="1"/>
  <c r="Z113" i="1"/>
  <c r="BN113" i="1"/>
  <c r="BP113" i="1"/>
  <c r="Z115" i="1"/>
  <c r="BN115" i="1"/>
  <c r="Z120" i="1"/>
  <c r="BN120" i="1"/>
  <c r="Z123" i="1"/>
  <c r="BN123" i="1"/>
  <c r="Z124" i="1"/>
  <c r="BN124" i="1"/>
  <c r="Z126" i="1"/>
  <c r="BN126" i="1"/>
  <c r="Z132" i="1"/>
  <c r="Z133" i="1" s="1"/>
  <c r="BN132" i="1"/>
  <c r="Z137" i="1"/>
  <c r="Z139" i="1" s="1"/>
  <c r="BN137" i="1"/>
  <c r="BP137" i="1"/>
  <c r="Y140" i="1"/>
  <c r="Y145" i="1"/>
  <c r="Z143" i="1"/>
  <c r="Z144" i="1" s="1"/>
  <c r="BN143" i="1"/>
  <c r="Y144" i="1"/>
  <c r="BP148" i="1"/>
  <c r="BN148" i="1"/>
  <c r="Z148" i="1"/>
  <c r="Y150" i="1"/>
  <c r="H601" i="1"/>
  <c r="Y154" i="1"/>
  <c r="BP153" i="1"/>
  <c r="BN153" i="1"/>
  <c r="Z153" i="1"/>
  <c r="Z154" i="1" s="1"/>
  <c r="Y155" i="1"/>
  <c r="Y161" i="1"/>
  <c r="Y162" i="1"/>
  <c r="BP157" i="1"/>
  <c r="BN157" i="1"/>
  <c r="Z157" i="1"/>
  <c r="Z159" i="1"/>
  <c r="BN159" i="1"/>
  <c r="Y172" i="1"/>
  <c r="Z175" i="1"/>
  <c r="BN175" i="1"/>
  <c r="Z177" i="1"/>
  <c r="BN177" i="1"/>
  <c r="Z180" i="1"/>
  <c r="BN180" i="1"/>
  <c r="Z182" i="1"/>
  <c r="BN182" i="1"/>
  <c r="Y183" i="1"/>
  <c r="J601" i="1"/>
  <c r="Z192" i="1"/>
  <c r="Z193" i="1" s="1"/>
  <c r="BN192" i="1"/>
  <c r="BP192" i="1"/>
  <c r="Y193" i="1"/>
  <c r="Z196" i="1"/>
  <c r="Z198" i="1" s="1"/>
  <c r="BN196" i="1"/>
  <c r="BP196" i="1"/>
  <c r="Y199" i="1"/>
  <c r="Z202" i="1"/>
  <c r="BN202" i="1"/>
  <c r="Z204" i="1"/>
  <c r="BN204" i="1"/>
  <c r="Z206" i="1"/>
  <c r="BN206" i="1"/>
  <c r="Z208" i="1"/>
  <c r="BN208" i="1"/>
  <c r="Y209" i="1"/>
  <c r="Z212" i="1"/>
  <c r="BN212" i="1"/>
  <c r="BP212" i="1"/>
  <c r="Z214" i="1"/>
  <c r="BN214" i="1"/>
  <c r="Z216" i="1"/>
  <c r="BN216" i="1"/>
  <c r="Z218" i="1"/>
  <c r="BN218" i="1"/>
  <c r="Z220" i="1"/>
  <c r="BN220" i="1"/>
  <c r="Y221" i="1"/>
  <c r="Z224" i="1"/>
  <c r="Z226" i="1" s="1"/>
  <c r="BN224" i="1"/>
  <c r="BP224" i="1"/>
  <c r="Y227" i="1"/>
  <c r="K601" i="1"/>
  <c r="Z231" i="1"/>
  <c r="BN231" i="1"/>
  <c r="BP231" i="1"/>
  <c r="Z233" i="1"/>
  <c r="BN233" i="1"/>
  <c r="Z235" i="1"/>
  <c r="BN235" i="1"/>
  <c r="Z237" i="1"/>
  <c r="BN237" i="1"/>
  <c r="Y238" i="1"/>
  <c r="Z242" i="1"/>
  <c r="Z243" i="1" s="1"/>
  <c r="BN242" i="1"/>
  <c r="BP242" i="1"/>
  <c r="Z250" i="1"/>
  <c r="Z251" i="1" s="1"/>
  <c r="BN250" i="1"/>
  <c r="BP250" i="1"/>
  <c r="Y251" i="1"/>
  <c r="Z255" i="1"/>
  <c r="BN255" i="1"/>
  <c r="BP255" i="1"/>
  <c r="Z257" i="1"/>
  <c r="BN257" i="1"/>
  <c r="Z259" i="1"/>
  <c r="BN259" i="1"/>
  <c r="Y262" i="1"/>
  <c r="Y267" i="1"/>
  <c r="O601" i="1"/>
  <c r="Z271" i="1"/>
  <c r="BN271" i="1"/>
  <c r="BP271" i="1"/>
  <c r="Y274" i="1"/>
  <c r="P601" i="1"/>
  <c r="Z278" i="1"/>
  <c r="BN278" i="1"/>
  <c r="BP278" i="1"/>
  <c r="Z280" i="1"/>
  <c r="BN280" i="1"/>
  <c r="Y283" i="1"/>
  <c r="Y288" i="1"/>
  <c r="Y301" i="1"/>
  <c r="S601" i="1"/>
  <c r="Y306" i="1"/>
  <c r="Y311" i="1"/>
  <c r="Z309" i="1"/>
  <c r="Z310" i="1" s="1"/>
  <c r="BN309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261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1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370" i="1" l="1"/>
  <c r="Z340" i="1"/>
  <c r="Z282" i="1"/>
  <c r="Z209" i="1"/>
  <c r="Z149" i="1"/>
  <c r="Z502" i="1"/>
  <c r="Z183" i="1"/>
  <c r="Z523" i="1"/>
  <c r="Z528" i="1"/>
  <c r="Z495" i="1"/>
  <c r="Z325" i="1"/>
  <c r="Z273" i="1"/>
  <c r="Z261" i="1"/>
  <c r="Z238" i="1"/>
  <c r="Z221" i="1"/>
  <c r="Z128" i="1"/>
  <c r="Z110" i="1"/>
  <c r="Z102" i="1"/>
  <c r="Z68" i="1"/>
  <c r="Z62" i="1"/>
  <c r="Z55" i="1"/>
  <c r="Z41" i="1"/>
  <c r="Z466" i="1"/>
  <c r="Z565" i="1"/>
  <c r="Z442" i="1"/>
  <c r="Z421" i="1"/>
  <c r="Z161" i="1"/>
  <c r="Y591" i="1"/>
  <c r="Y592" i="1"/>
  <c r="Y595" i="1"/>
  <c r="Z547" i="1"/>
  <c r="Z517" i="1"/>
  <c r="Z408" i="1"/>
  <c r="Z332" i="1"/>
  <c r="Z385" i="1"/>
  <c r="Z359" i="1"/>
  <c r="Z353" i="1"/>
  <c r="Z116" i="1"/>
  <c r="Z77" i="1"/>
  <c r="Y593" i="1"/>
  <c r="Z28" i="1"/>
  <c r="Z596" i="1" l="1"/>
  <c r="Y594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<sst xmlns="http://schemas.openxmlformats.org/spreadsheetml/2006/main" count="2721" uniqueCount="976">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</sst>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45766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Суббота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0.54166666666666663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777.6</v>
      </c>
      <c r="Y37" s="664">
        <f>IFERROR(IF(X37="",0,CEILING((X37/$H37),1)*$H37),"")</f>
        <v>777.6</v>
      </c>
      <c r="Z37" s="36">
        <f>IFERROR(IF(Y37=0,"",ROUNDUP(Y37/H37,0)*0.01898),"")</f>
        <v>1.36656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808.91999999999985</v>
      </c>
      <c r="BN37" s="64">
        <f>IFERROR(Y37*I37/H37,"0")</f>
        <v>808.91999999999985</v>
      </c>
      <c r="BO37" s="64">
        <f>IFERROR(1/J37*(X37/H37),"0")</f>
        <v>1.125</v>
      </c>
      <c r="BP37" s="64">
        <f>IFERROR(1/J37*(Y37/H37),"0")</f>
        <v>1.125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72</v>
      </c>
      <c r="Y41" s="665">
        <f>IFERROR(Y37/H37,"0")+IFERROR(Y38/H38,"0")+IFERROR(Y39/H39,"0")+IFERROR(Y40/H40,"0")</f>
        <v>72</v>
      </c>
      <c r="Z41" s="665">
        <f>IFERROR(IF(Z37="",0,Z37),"0")+IFERROR(IF(Z38="",0,Z38),"0")+IFERROR(IF(Z39="",0,Z39),"0")+IFERROR(IF(Z40="",0,Z40),"0")</f>
        <v>1.36656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777.6</v>
      </c>
      <c r="Y42" s="665">
        <f>IFERROR(SUM(Y37:Y40),"0")</f>
        <v>777.6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537.6</v>
      </c>
      <c r="Y49" s="664">
        <f t="shared" ref="Y49:Y54" si="6">IFERROR(IF(X49="",0,CEILING((X49/$H49),1)*$H49),"")</f>
        <v>537.59999999999991</v>
      </c>
      <c r="Z49" s="36">
        <f>IFERROR(IF(Y49=0,"",ROUNDUP(Y49/H49,0)*0.01898),"")</f>
        <v>0.91104000000000007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558.48000000000013</v>
      </c>
      <c r="BN49" s="64">
        <f t="shared" ref="BN49:BN54" si="8">IFERROR(Y49*I49/H49,"0")</f>
        <v>558.4799999999999</v>
      </c>
      <c r="BO49" s="64">
        <f t="shared" ref="BO49:BO54" si="9">IFERROR(1/J49*(X49/H49),"0")</f>
        <v>0.75000000000000011</v>
      </c>
      <c r="BP49" s="64">
        <f t="shared" ref="BP49:BP54" si="10">IFERROR(1/J49*(Y49/H49),"0")</f>
        <v>0.74999999999999989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1036.8</v>
      </c>
      <c r="Y50" s="664">
        <f t="shared" si="6"/>
        <v>1036.8000000000002</v>
      </c>
      <c r="Z50" s="36">
        <f>IFERROR(IF(Y50=0,"",ROUNDUP(Y50/H50,0)*0.01898),"")</f>
        <v>1.8220800000000001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1078.5599999999997</v>
      </c>
      <c r="BN50" s="64">
        <f t="shared" si="8"/>
        <v>1078.5600000000002</v>
      </c>
      <c r="BO50" s="64">
        <f t="shared" si="9"/>
        <v>1.4999999999999998</v>
      </c>
      <c r="BP50" s="64">
        <f t="shared" si="10"/>
        <v>1.5000000000000002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144</v>
      </c>
      <c r="Y55" s="665">
        <f>IFERROR(Y49/H49,"0")+IFERROR(Y50/H50,"0")+IFERROR(Y51/H51,"0")+IFERROR(Y52/H52,"0")+IFERROR(Y53/H53,"0")+IFERROR(Y54/H54,"0")</f>
        <v>144</v>
      </c>
      <c r="Z55" s="665">
        <f>IFERROR(IF(Z49="",0,Z49),"0")+IFERROR(IF(Z50="",0,Z50),"0")+IFERROR(IF(Z51="",0,Z51),"0")+IFERROR(IF(Z52="",0,Z52),"0")+IFERROR(IF(Z53="",0,Z53),"0")+IFERROR(IF(Z54="",0,Z54),"0")</f>
        <v>2.7331200000000004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1574.4</v>
      </c>
      <c r="Y56" s="665">
        <f>IFERROR(SUM(Y49:Y54),"0")</f>
        <v>1574.4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172.8</v>
      </c>
      <c r="Y58" s="664">
        <f>IFERROR(IF(X58="",0,CEILING((X58/$H58),1)*$H58),"")</f>
        <v>172.8</v>
      </c>
      <c r="Z58" s="36">
        <f>IFERROR(IF(Y58=0,"",ROUNDUP(Y58/H58,0)*0.01898),"")</f>
        <v>0.30368000000000001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179.76</v>
      </c>
      <c r="BN58" s="64">
        <f>IFERROR(Y58*I58/H58,"0")</f>
        <v>179.76</v>
      </c>
      <c r="BO58" s="64">
        <f>IFERROR(1/J58*(X58/H58),"0")</f>
        <v>0.25</v>
      </c>
      <c r="BP58" s="64">
        <f>IFERROR(1/J58*(Y58/H58),"0")</f>
        <v>0.25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16</v>
      </c>
      <c r="Y62" s="665">
        <f>IFERROR(Y58/H58,"0")+IFERROR(Y59/H59,"0")+IFERROR(Y60/H60,"0")+IFERROR(Y61/H61,"0")</f>
        <v>16</v>
      </c>
      <c r="Z62" s="665">
        <f>IFERROR(IF(Z58="",0,Z58),"0")+IFERROR(IF(Z59="",0,Z59),"0")+IFERROR(IF(Z60="",0,Z60),"0")+IFERROR(IF(Z61="",0,Z61),"0")</f>
        <v>0.30368000000000001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172.8</v>
      </c>
      <c r="Y63" s="665">
        <f>IFERROR(SUM(Y58:Y61),"0")</f>
        <v>172.8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67.2</v>
      </c>
      <c r="Y73" s="664">
        <f t="shared" si="11"/>
        <v>67.2</v>
      </c>
      <c r="Z73" s="36">
        <f>IFERROR(IF(Y73=0,"",ROUNDUP(Y73/H73,0)*0.01898),"")</f>
        <v>0.15184</v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71.256</v>
      </c>
      <c r="BN73" s="64">
        <f t="shared" si="13"/>
        <v>71.256</v>
      </c>
      <c r="BO73" s="64">
        <f t="shared" si="14"/>
        <v>0.125</v>
      </c>
      <c r="BP73" s="64">
        <f t="shared" si="15"/>
        <v>0.125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8</v>
      </c>
      <c r="Y77" s="665">
        <f>IFERROR(Y71/H71,"0")+IFERROR(Y72/H72,"0")+IFERROR(Y73/H73,"0")+IFERROR(Y74/H74,"0")+IFERROR(Y75/H75,"0")+IFERROR(Y76/H76,"0")</f>
        <v>8</v>
      </c>
      <c r="Z77" s="665">
        <f>IFERROR(IF(Z71="",0,Z71),"0")+IFERROR(IF(Z72="",0,Z72),"0")+IFERROR(IF(Z73="",0,Z73),"0")+IFERROR(IF(Z74="",0,Z74),"0")+IFERROR(IF(Z75="",0,Z75),"0")+IFERROR(IF(Z76="",0,Z76),"0")</f>
        <v>0.15184</v>
      </c>
      <c r="AA77" s="666"/>
      <c r="AB77" s="666"/>
      <c r="AC77" s="666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67.2</v>
      </c>
      <c r="Y78" s="665">
        <f>IFERROR(SUM(Y71:Y76),"0")</f>
        <v>67.2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62.4</v>
      </c>
      <c r="Y81" s="664">
        <f>IFERROR(IF(X81="",0,CEILING((X81/$H81),1)*$H81),"")</f>
        <v>62.4</v>
      </c>
      <c r="Z81" s="36">
        <f>IFERROR(IF(Y81=0,"",ROUNDUP(Y81/H81,0)*0.01898),"")</f>
        <v>0.15184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65.88</v>
      </c>
      <c r="BN81" s="64">
        <f>IFERROR(Y81*I81/H81,"0")</f>
        <v>65.88</v>
      </c>
      <c r="BO81" s="64">
        <f>IFERROR(1/J81*(X81/H81),"0")</f>
        <v>0.125</v>
      </c>
      <c r="BP81" s="64">
        <f>IFERROR(1/J81*(Y81/H81),"0")</f>
        <v>0.125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8</v>
      </c>
      <c r="Y83" s="665">
        <f>IFERROR(Y80/H80,"0")+IFERROR(Y81/H81,"0")+IFERROR(Y82/H82,"0")</f>
        <v>8</v>
      </c>
      <c r="Z83" s="665">
        <f>IFERROR(IF(Z80="",0,Z80),"0")+IFERROR(IF(Z81="",0,Z81),"0")+IFERROR(IF(Z82="",0,Z82),"0")</f>
        <v>0.15184</v>
      </c>
      <c r="AA83" s="666"/>
      <c r="AB83" s="666"/>
      <c r="AC83" s="666"/>
    </row>
    <row r="84" spans="1:68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62.4</v>
      </c>
      <c r="Y84" s="665">
        <f>IFERROR(SUM(Y80:Y82),"0")</f>
        <v>62.4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324</v>
      </c>
      <c r="Y95" s="664">
        <f t="shared" si="16"/>
        <v>324</v>
      </c>
      <c r="Z95" s="36">
        <f>IFERROR(IF(Y95=0,"",ROUNDUP(Y95/H95,0)*0.01898),"")</f>
        <v>0.75919999999999999</v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344.76000000000005</v>
      </c>
      <c r="BN95" s="64">
        <f t="shared" si="18"/>
        <v>344.76000000000005</v>
      </c>
      <c r="BO95" s="64">
        <f t="shared" si="19"/>
        <v>0.625</v>
      </c>
      <c r="BP95" s="64">
        <f t="shared" si="20"/>
        <v>0.625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113.4</v>
      </c>
      <c r="Y98" s="664">
        <f t="shared" si="16"/>
        <v>113.4</v>
      </c>
      <c r="Z98" s="36">
        <f>IFERROR(IF(Y98=0,"",ROUNDUP(Y98/H98,0)*0.00651),"")</f>
        <v>0.27342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123.98399999999999</v>
      </c>
      <c r="BN98" s="64">
        <f t="shared" si="18"/>
        <v>123.98399999999999</v>
      </c>
      <c r="BO98" s="64">
        <f t="shared" si="19"/>
        <v>0.23076923076923078</v>
      </c>
      <c r="BP98" s="64">
        <f t="shared" si="20"/>
        <v>0.23076923076923078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82</v>
      </c>
      <c r="Y102" s="665">
        <f>IFERROR(Y93/H93,"0")+IFERROR(Y94/H94,"0")+IFERROR(Y95/H95,"0")+IFERROR(Y96/H96,"0")+IFERROR(Y97/H97,"0")+IFERROR(Y98/H98,"0")+IFERROR(Y99/H99,"0")+IFERROR(Y100/H100,"0")+IFERROR(Y101/H101,"0")</f>
        <v>82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1.0326200000000001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437.4</v>
      </c>
      <c r="Y103" s="665">
        <f>IFERROR(SUM(Y93:Y101),"0")</f>
        <v>437.4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604.79999999999995</v>
      </c>
      <c r="Y106" s="664">
        <f>IFERROR(IF(X106="",0,CEILING((X106/$H106),1)*$H106),"")</f>
        <v>604.80000000000007</v>
      </c>
      <c r="Z106" s="36">
        <f>IFERROR(IF(Y106=0,"",ROUNDUP(Y106/H106,0)*0.01898),"")</f>
        <v>1.06288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629.15999999999985</v>
      </c>
      <c r="BN106" s="64">
        <f>IFERROR(Y106*I106/H106,"0")</f>
        <v>629.16000000000008</v>
      </c>
      <c r="BO106" s="64">
        <f>IFERROR(1/J106*(X106/H106),"0")</f>
        <v>0.87499999999999989</v>
      </c>
      <c r="BP106" s="64">
        <f>IFERROR(1/J106*(Y106/H106),"0")</f>
        <v>0.875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55.999999999999993</v>
      </c>
      <c r="Y110" s="665">
        <f>IFERROR(Y106/H106,"0")+IFERROR(Y107/H107,"0")+IFERROR(Y108/H108,"0")+IFERROR(Y109/H109,"0")</f>
        <v>56</v>
      </c>
      <c r="Z110" s="665">
        <f>IFERROR(IF(Z106="",0,Z106),"0")+IFERROR(IF(Z107="",0,Z107),"0")+IFERROR(IF(Z108="",0,Z108),"0")+IFERROR(IF(Z109="",0,Z109),"0")</f>
        <v>1.06288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604.79999999999995</v>
      </c>
      <c r="Y111" s="665">
        <f>IFERROR(SUM(Y106:Y109),"0")</f>
        <v>604.80000000000007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712.8</v>
      </c>
      <c r="Y121" s="664">
        <f t="shared" si="21"/>
        <v>712.8</v>
      </c>
      <c r="Z121" s="36">
        <f>IFERROR(IF(Y121=0,"",ROUNDUP(Y121/H121,0)*0.01898),"")</f>
        <v>1.6702399999999999</v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757.94399999999996</v>
      </c>
      <c r="BN121" s="64">
        <f t="shared" si="23"/>
        <v>757.94399999999996</v>
      </c>
      <c r="BO121" s="64">
        <f t="shared" si="24"/>
        <v>1.375</v>
      </c>
      <c r="BP121" s="64">
        <f t="shared" si="25"/>
        <v>1.375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129.6</v>
      </c>
      <c r="Y125" s="664">
        <f t="shared" si="21"/>
        <v>129.60000000000002</v>
      </c>
      <c r="Z125" s="36">
        <f t="shared" si="26"/>
        <v>0.31247999999999998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141.69599999999997</v>
      </c>
      <c r="BN125" s="64">
        <f t="shared" si="23"/>
        <v>141.69600000000003</v>
      </c>
      <c r="BO125" s="64">
        <f t="shared" si="24"/>
        <v>0.26373626373626374</v>
      </c>
      <c r="BP125" s="64">
        <f t="shared" si="25"/>
        <v>0.2637362637362638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136</v>
      </c>
      <c r="Y128" s="665">
        <f>IFERROR(Y119/H119,"0")+IFERROR(Y120/H120,"0")+IFERROR(Y121/H121,"0")+IFERROR(Y122/H122,"0")+IFERROR(Y123/H123,"0")+IFERROR(Y124/H124,"0")+IFERROR(Y125/H125,"0")+IFERROR(Y126/H126,"0")+IFERROR(Y127/H127,"0")</f>
        <v>136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1.98272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842.4</v>
      </c>
      <c r="Y129" s="665">
        <f>IFERROR(SUM(Y119:Y127),"0")</f>
        <v>842.4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201.6</v>
      </c>
      <c r="Y176" s="664">
        <f t="shared" si="27"/>
        <v>201.60000000000002</v>
      </c>
      <c r="Z176" s="36">
        <f>IFERROR(IF(Y176=0,"",ROUNDUP(Y176/H176,0)*0.00902),"")</f>
        <v>0.43296000000000001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211.68</v>
      </c>
      <c r="BN176" s="64">
        <f t="shared" si="29"/>
        <v>211.68000000000004</v>
      </c>
      <c r="BO176" s="64">
        <f t="shared" si="30"/>
        <v>0.36363636363636365</v>
      </c>
      <c r="BP176" s="64">
        <f t="shared" si="31"/>
        <v>0.36363636363636365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37.799999999999997</v>
      </c>
      <c r="Y177" s="664">
        <f t="shared" si="27"/>
        <v>37.800000000000004</v>
      </c>
      <c r="Z177" s="36">
        <f>IFERROR(IF(Y177=0,"",ROUNDUP(Y177/H177,0)*0.00502),"")</f>
        <v>9.0359999999999996E-2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40.139999999999993</v>
      </c>
      <c r="BN177" s="64">
        <f t="shared" si="29"/>
        <v>40.14</v>
      </c>
      <c r="BO177" s="64">
        <f t="shared" si="30"/>
        <v>7.6923076923076913E-2</v>
      </c>
      <c r="BP177" s="64">
        <f t="shared" si="31"/>
        <v>7.6923076923076927E-2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378</v>
      </c>
      <c r="Y180" s="664">
        <f t="shared" si="27"/>
        <v>378</v>
      </c>
      <c r="Z180" s="36">
        <f>IFERROR(IF(Y180=0,"",ROUNDUP(Y180/H180,0)*0.00502),"")</f>
        <v>0.90360000000000007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396</v>
      </c>
      <c r="BN180" s="64">
        <f t="shared" si="29"/>
        <v>396</v>
      </c>
      <c r="BO180" s="64">
        <f t="shared" si="30"/>
        <v>0.76923076923076927</v>
      </c>
      <c r="BP180" s="64">
        <f t="shared" si="31"/>
        <v>0.76923076923076927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246</v>
      </c>
      <c r="Y183" s="665">
        <f>IFERROR(Y174/H174,"0")+IFERROR(Y175/H175,"0")+IFERROR(Y176/H176,"0")+IFERROR(Y177/H177,"0")+IFERROR(Y178/H178,"0")+IFERROR(Y179/H179,"0")+IFERROR(Y180/H180,"0")+IFERROR(Y181/H181,"0")+IFERROR(Y182/H182,"0")</f>
        <v>246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1.42692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617.4</v>
      </c>
      <c r="Y184" s="665">
        <f>IFERROR(SUM(Y174:Y182),"0")</f>
        <v>617.40000000000009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129.6</v>
      </c>
      <c r="Y201" s="664">
        <f t="shared" ref="Y201:Y208" si="32">IFERROR(IF(X201="",0,CEILING((X201/$H201),1)*$H201),"")</f>
        <v>129.60000000000002</v>
      </c>
      <c r="Z201" s="36">
        <f>IFERROR(IF(Y201=0,"",ROUNDUP(Y201/H201,0)*0.00902),"")</f>
        <v>0.21648000000000001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134.63999999999999</v>
      </c>
      <c r="BN201" s="64">
        <f t="shared" ref="BN201:BN208" si="34">IFERROR(Y201*I201/H201,"0")</f>
        <v>134.64000000000001</v>
      </c>
      <c r="BO201" s="64">
        <f t="shared" ref="BO201:BO208" si="35">IFERROR(1/J201*(X201/H201),"0")</f>
        <v>0.1818181818181818</v>
      </c>
      <c r="BP201" s="64">
        <f t="shared" ref="BP201:BP208" si="36">IFERROR(1/J201*(Y201/H201),"0")</f>
        <v>0.18181818181818185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23.999999999999996</v>
      </c>
      <c r="Y209" s="665">
        <f>IFERROR(Y201/H201,"0")+IFERROR(Y202/H202,"0")+IFERROR(Y203/H203,"0")+IFERROR(Y204/H204,"0")+IFERROR(Y205/H205,"0")+IFERROR(Y206/H206,"0")+IFERROR(Y207/H207,"0")+IFERROR(Y208/H208,"0")</f>
        <v>24.000000000000004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0.21648000000000001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129.6</v>
      </c>
      <c r="Y210" s="665">
        <f>IFERROR(SUM(Y201:Y208),"0")</f>
        <v>129.60000000000002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1113.5999999999999</v>
      </c>
      <c r="Y214" s="664">
        <f t="shared" si="37"/>
        <v>1113.5999999999999</v>
      </c>
      <c r="Z214" s="36">
        <f>IFERROR(IF(Y214=0,"",ROUNDUP(Y214/H214,0)*0.01898),"")</f>
        <v>2.42944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1180.0319999999999</v>
      </c>
      <c r="BN214" s="64">
        <f t="shared" si="39"/>
        <v>1180.0319999999999</v>
      </c>
      <c r="BO214" s="64">
        <f t="shared" si="40"/>
        <v>2</v>
      </c>
      <c r="BP214" s="64">
        <f t="shared" si="41"/>
        <v>2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28.8</v>
      </c>
      <c r="Y215" s="664">
        <f t="shared" si="37"/>
        <v>28.799999999999997</v>
      </c>
      <c r="Z215" s="36">
        <f t="shared" ref="Z215:Z220" si="42">IFERROR(IF(Y215=0,"",ROUNDUP(Y215/H215,0)*0.00651),"")</f>
        <v>7.8119999999999995E-2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32.04</v>
      </c>
      <c r="BN215" s="64">
        <f t="shared" si="39"/>
        <v>32.039999999999992</v>
      </c>
      <c r="BO215" s="64">
        <f t="shared" si="40"/>
        <v>6.5934065934065936E-2</v>
      </c>
      <c r="BP215" s="64">
        <f t="shared" si="41"/>
        <v>6.5934065934065936E-2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115.2</v>
      </c>
      <c r="Y217" s="664">
        <f t="shared" si="37"/>
        <v>115.19999999999999</v>
      </c>
      <c r="Z217" s="36">
        <f t="shared" si="42"/>
        <v>0.31247999999999998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127.29600000000001</v>
      </c>
      <c r="BN217" s="64">
        <f t="shared" si="39"/>
        <v>127.29600000000001</v>
      </c>
      <c r="BO217" s="64">
        <f t="shared" si="40"/>
        <v>0.26373626373626374</v>
      </c>
      <c r="BP217" s="64">
        <f t="shared" si="41"/>
        <v>0.26373626373626374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86.4</v>
      </c>
      <c r="Y218" s="664">
        <f t="shared" si="37"/>
        <v>86.399999999999991</v>
      </c>
      <c r="Z218" s="36">
        <f t="shared" si="42"/>
        <v>0.23436000000000001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95.472000000000023</v>
      </c>
      <c r="BN218" s="64">
        <f t="shared" si="39"/>
        <v>95.472000000000008</v>
      </c>
      <c r="BO218" s="64">
        <f t="shared" si="40"/>
        <v>0.19780219780219785</v>
      </c>
      <c r="BP218" s="64">
        <f t="shared" si="41"/>
        <v>0.19780219780219782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224</v>
      </c>
      <c r="Y221" s="665">
        <f>IFERROR(Y212/H212,"0")+IFERROR(Y213/H213,"0")+IFERROR(Y214/H214,"0")+IFERROR(Y215/H215,"0")+IFERROR(Y216/H216,"0")+IFERROR(Y217/H217,"0")+IFERROR(Y218/H218,"0")+IFERROR(Y219/H219,"0")+IFERROR(Y220/H220,"0")</f>
        <v>224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3.0544000000000002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1344</v>
      </c>
      <c r="Y222" s="665">
        <f>IFERROR(SUM(Y212:Y220),"0")</f>
        <v>1344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28.8</v>
      </c>
      <c r="Y224" s="664">
        <f>IFERROR(IF(X224="",0,CEILING((X224/$H224),1)*$H224),"")</f>
        <v>28.799999999999997</v>
      </c>
      <c r="Z224" s="36">
        <f>IFERROR(IF(Y224=0,"",ROUNDUP(Y224/H224,0)*0.00651),"")</f>
        <v>7.8119999999999995E-2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31.824000000000002</v>
      </c>
      <c r="BN224" s="64">
        <f>IFERROR(Y224*I224/H224,"0")</f>
        <v>31.824000000000002</v>
      </c>
      <c r="BO224" s="64">
        <f>IFERROR(1/J224*(X224/H224),"0")</f>
        <v>6.5934065934065936E-2</v>
      </c>
      <c r="BP224" s="64">
        <f>IFERROR(1/J224*(Y224/H224),"0")</f>
        <v>6.5934065934065936E-2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28.8</v>
      </c>
      <c r="Y225" s="664">
        <f>IFERROR(IF(X225="",0,CEILING((X225/$H225),1)*$H225),"")</f>
        <v>28.799999999999997</v>
      </c>
      <c r="Z225" s="36">
        <f>IFERROR(IF(Y225=0,"",ROUNDUP(Y225/H225,0)*0.00651),"")</f>
        <v>7.8119999999999995E-2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31.824000000000002</v>
      </c>
      <c r="BN225" s="64">
        <f>IFERROR(Y225*I225/H225,"0")</f>
        <v>31.824000000000002</v>
      </c>
      <c r="BO225" s="64">
        <f>IFERROR(1/J225*(X225/H225),"0")</f>
        <v>6.5934065934065936E-2</v>
      </c>
      <c r="BP225" s="64">
        <f>IFERROR(1/J225*(Y225/H225),"0")</f>
        <v>6.5934065934065936E-2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24</v>
      </c>
      <c r="Y226" s="665">
        <f>IFERROR(Y224/H224,"0")+IFERROR(Y225/H225,"0")</f>
        <v>24</v>
      </c>
      <c r="Z226" s="665">
        <f>IFERROR(IF(Z224="",0,Z224),"0")+IFERROR(IF(Z225="",0,Z225),"0")</f>
        <v>0.15623999999999999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57.6</v>
      </c>
      <c r="Y227" s="665">
        <f>IFERROR(SUM(Y224:Y225),"0")</f>
        <v>57.599999999999994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288</v>
      </c>
      <c r="Y279" s="664">
        <f>IFERROR(IF(X279="",0,CEILING((X279/$H279),1)*$H279),"")</f>
        <v>288</v>
      </c>
      <c r="Z279" s="36">
        <f>IFERROR(IF(Y279=0,"",ROUNDUP(Y279/H279,0)*0.00651),"")</f>
        <v>0.78120000000000001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318.24000000000007</v>
      </c>
      <c r="BN279" s="64">
        <f>IFERROR(Y279*I279/H279,"0")</f>
        <v>318.24000000000007</v>
      </c>
      <c r="BO279" s="64">
        <f>IFERROR(1/J279*(X279/H279),"0")</f>
        <v>0.65934065934065944</v>
      </c>
      <c r="BP279" s="64">
        <f>IFERROR(1/J279*(Y279/H279),"0")</f>
        <v>0.65934065934065944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460.8</v>
      </c>
      <c r="Y280" s="664">
        <f>IFERROR(IF(X280="",0,CEILING((X280/$H280),1)*$H280),"")</f>
        <v>460.79999999999995</v>
      </c>
      <c r="Z280" s="36">
        <f>IFERROR(IF(Y280=0,"",ROUNDUP(Y280/H280,0)*0.00651),"")</f>
        <v>1.2499199999999999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495.36</v>
      </c>
      <c r="BN280" s="64">
        <f>IFERROR(Y280*I280/H280,"0")</f>
        <v>495.35999999999996</v>
      </c>
      <c r="BO280" s="64">
        <f>IFERROR(1/J280*(X280/H280),"0")</f>
        <v>1.054945054945055</v>
      </c>
      <c r="BP280" s="64">
        <f>IFERROR(1/J280*(Y280/H280),"0")</f>
        <v>1.054945054945055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312</v>
      </c>
      <c r="Y282" s="665">
        <f>IFERROR(Y277/H277,"0")+IFERROR(Y278/H278,"0")+IFERROR(Y279/H279,"0")+IFERROR(Y280/H280,"0")+IFERROR(Y281/H281,"0")</f>
        <v>312</v>
      </c>
      <c r="Z282" s="665">
        <f>IFERROR(IF(Z277="",0,Z277),"0")+IFERROR(IF(Z278="",0,Z278),"0")+IFERROR(IF(Z279="",0,Z279),"0")+IFERROR(IF(Z280="",0,Z280),"0")+IFERROR(IF(Z281="",0,Z281),"0")</f>
        <v>2.03112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748.8</v>
      </c>
      <c r="Y283" s="665">
        <f>IFERROR(SUM(Y277:Y281),"0")</f>
        <v>748.8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201.6</v>
      </c>
      <c r="Y343" s="664">
        <f>IFERROR(IF(X343="",0,CEILING((X343/$H343),1)*$H343),"")</f>
        <v>201.60000000000002</v>
      </c>
      <c r="Z343" s="36">
        <f>IFERROR(IF(Y343=0,"",ROUNDUP(Y343/H343,0)*0.01898),"")</f>
        <v>0.45552000000000004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214.05600000000001</v>
      </c>
      <c r="BN343" s="64">
        <f>IFERROR(Y343*I343/H343,"0")</f>
        <v>214.05600000000001</v>
      </c>
      <c r="BO343" s="64">
        <f>IFERROR(1/J343*(X343/H343),"0")</f>
        <v>0.375</v>
      </c>
      <c r="BP343" s="64">
        <f>IFERROR(1/J343*(Y343/H343),"0")</f>
        <v>0.375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187.2</v>
      </c>
      <c r="Y344" s="664">
        <f>IFERROR(IF(X344="",0,CEILING((X344/$H344),1)*$H344),"")</f>
        <v>187.2</v>
      </c>
      <c r="Z344" s="36">
        <f>IFERROR(IF(Y344=0,"",ROUNDUP(Y344/H344,0)*0.01898),"")</f>
        <v>0.45552000000000004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199.65600000000001</v>
      </c>
      <c r="BN344" s="64">
        <f>IFERROR(Y344*I344/H344,"0")</f>
        <v>199.65600000000001</v>
      </c>
      <c r="BO344" s="64">
        <f>IFERROR(1/J344*(X344/H344),"0")</f>
        <v>0.375</v>
      </c>
      <c r="BP344" s="64">
        <f>IFERROR(1/J344*(Y344/H344),"0")</f>
        <v>0.375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67.2</v>
      </c>
      <c r="Y345" s="664">
        <f>IFERROR(IF(X345="",0,CEILING((X345/$H345),1)*$H345),"")</f>
        <v>67.2</v>
      </c>
      <c r="Z345" s="36">
        <f>IFERROR(IF(Y345=0,"",ROUNDUP(Y345/H345,0)*0.01898),"")</f>
        <v>0.15184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71.352000000000004</v>
      </c>
      <c r="BN345" s="64">
        <f>IFERROR(Y345*I345/H345,"0")</f>
        <v>71.352000000000004</v>
      </c>
      <c r="BO345" s="64">
        <f>IFERROR(1/J345*(X345/H345),"0")</f>
        <v>0.125</v>
      </c>
      <c r="BP345" s="64">
        <f>IFERROR(1/J345*(Y345/H345),"0")</f>
        <v>0.125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56</v>
      </c>
      <c r="Y346" s="665">
        <f>IFERROR(Y343/H343,"0")+IFERROR(Y344/H344,"0")+IFERROR(Y345/H345,"0")</f>
        <v>56</v>
      </c>
      <c r="Z346" s="665">
        <f>IFERROR(IF(Z343="",0,Z343),"0")+IFERROR(IF(Z344="",0,Z344),"0")+IFERROR(IF(Z345="",0,Z345),"0")</f>
        <v>1.06288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455.99999999999994</v>
      </c>
      <c r="Y347" s="665">
        <f>IFERROR(SUM(Y343:Y345),"0")</f>
        <v>456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129.6</v>
      </c>
      <c r="Y367" s="664">
        <f>IFERROR(IF(X367="",0,CEILING((X367/$H367),1)*$H367),"")</f>
        <v>129.6</v>
      </c>
      <c r="Z367" s="36">
        <f>IFERROR(IF(Y367=0,"",ROUNDUP(Y367/H367,0)*0.01898),"")</f>
        <v>0.30368000000000001</v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137.904</v>
      </c>
      <c r="BN367" s="64">
        <f>IFERROR(Y367*I367/H367,"0")</f>
        <v>137.904</v>
      </c>
      <c r="BO367" s="64">
        <f>IFERROR(1/J367*(X367/H367),"0")</f>
        <v>0.25</v>
      </c>
      <c r="BP367" s="64">
        <f>IFERROR(1/J367*(Y367/H367),"0")</f>
        <v>0.25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16</v>
      </c>
      <c r="Y370" s="665">
        <f>IFERROR(Y367/H367,"0")+IFERROR(Y368/H368,"0")+IFERROR(Y369/H369,"0")</f>
        <v>16</v>
      </c>
      <c r="Z370" s="665">
        <f>IFERROR(IF(Z367="",0,Z367),"0")+IFERROR(IF(Z368="",0,Z368),"0")+IFERROR(IF(Z369="",0,Z369),"0")</f>
        <v>0.30368000000000001</v>
      </c>
      <c r="AA370" s="666"/>
      <c r="AB370" s="666"/>
      <c r="AC370" s="666"/>
    </row>
    <row r="371" spans="1:68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129.6</v>
      </c>
      <c r="Y371" s="665">
        <f>IFERROR(SUM(Y367:Y369),"0")</f>
        <v>129.6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360</v>
      </c>
      <c r="Y375" s="664">
        <f t="shared" ref="Y375:Y384" si="58">IFERROR(IF(X375="",0,CEILING((X375/$H375),1)*$H375),"")</f>
        <v>360</v>
      </c>
      <c r="Z375" s="36">
        <f>IFERROR(IF(Y375=0,"",ROUNDUP(Y375/H375,0)*0.02175),"")</f>
        <v>0.52200000000000002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371.52000000000004</v>
      </c>
      <c r="BN375" s="64">
        <f t="shared" ref="BN375:BN384" si="60">IFERROR(Y375*I375/H375,"0")</f>
        <v>371.52000000000004</v>
      </c>
      <c r="BO375" s="64">
        <f t="shared" ref="BO375:BO384" si="61">IFERROR(1/J375*(X375/H375),"0")</f>
        <v>0.5</v>
      </c>
      <c r="BP375" s="64">
        <f t="shared" ref="BP375:BP384" si="62">IFERROR(1/J375*(Y375/H375),"0")</f>
        <v>0.5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360</v>
      </c>
      <c r="Y377" s="664">
        <f t="shared" si="58"/>
        <v>360</v>
      </c>
      <c r="Z377" s="36">
        <f>IFERROR(IF(Y377=0,"",ROUNDUP(Y377/H377,0)*0.02175),"")</f>
        <v>0.52200000000000002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371.52000000000004</v>
      </c>
      <c r="BN377" s="64">
        <f t="shared" si="60"/>
        <v>371.52000000000004</v>
      </c>
      <c r="BO377" s="64">
        <f t="shared" si="61"/>
        <v>0.5</v>
      </c>
      <c r="BP377" s="64">
        <f t="shared" si="62"/>
        <v>0.5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540</v>
      </c>
      <c r="Y379" s="664">
        <f t="shared" si="58"/>
        <v>540</v>
      </c>
      <c r="Z379" s="36">
        <f>IFERROR(IF(Y379=0,"",ROUNDUP(Y379/H379,0)*0.02175),"")</f>
        <v>0.78299999999999992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557.28000000000009</v>
      </c>
      <c r="BN379" s="64">
        <f t="shared" si="60"/>
        <v>557.28000000000009</v>
      </c>
      <c r="BO379" s="64">
        <f t="shared" si="61"/>
        <v>0.75</v>
      </c>
      <c r="BP379" s="64">
        <f t="shared" si="62"/>
        <v>0.75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84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84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1.827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1260</v>
      </c>
      <c r="Y386" s="665">
        <f>IFERROR(SUM(Y375:Y384),"0")</f>
        <v>1260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360</v>
      </c>
      <c r="Y388" s="664">
        <f>IFERROR(IF(X388="",0,CEILING((X388/$H388),1)*$H388),"")</f>
        <v>360</v>
      </c>
      <c r="Z388" s="36">
        <f>IFERROR(IF(Y388=0,"",ROUNDUP(Y388/H388,0)*0.02175),"")</f>
        <v>0.52200000000000002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371.52000000000004</v>
      </c>
      <c r="BN388" s="64">
        <f>IFERROR(Y388*I388/H388,"0")</f>
        <v>371.52000000000004</v>
      </c>
      <c r="BO388" s="64">
        <f>IFERROR(1/J388*(X388/H388),"0")</f>
        <v>0.5</v>
      </c>
      <c r="BP388" s="64">
        <f>IFERROR(1/J388*(Y388/H388),"0")</f>
        <v>0.5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24</v>
      </c>
      <c r="Y390" s="665">
        <f>IFERROR(Y388/H388,"0")+IFERROR(Y389/H389,"0")</f>
        <v>24</v>
      </c>
      <c r="Z390" s="665">
        <f>IFERROR(IF(Z388="",0,Z388),"0")+IFERROR(IF(Z389="",0,Z389),"0")</f>
        <v>0.52200000000000002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360</v>
      </c>
      <c r="Y391" s="665">
        <f>IFERROR(SUM(Y388:Y389),"0")</f>
        <v>360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216</v>
      </c>
      <c r="Y398" s="664">
        <f>IFERROR(IF(X398="",0,CEILING((X398/$H398),1)*$H398),"")</f>
        <v>216</v>
      </c>
      <c r="Z398" s="36">
        <f>IFERROR(IF(Y398=0,"",ROUNDUP(Y398/H398,0)*0.01898),"")</f>
        <v>0.45552000000000004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228.45599999999999</v>
      </c>
      <c r="BN398" s="64">
        <f>IFERROR(Y398*I398/H398,"0")</f>
        <v>228.45599999999999</v>
      </c>
      <c r="BO398" s="64">
        <f>IFERROR(1/J398*(X398/H398),"0")</f>
        <v>0.375</v>
      </c>
      <c r="BP398" s="64">
        <f>IFERROR(1/J398*(Y398/H398),"0")</f>
        <v>0.375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24</v>
      </c>
      <c r="Y399" s="665">
        <f>IFERROR(Y398/H398,"0")</f>
        <v>24</v>
      </c>
      <c r="Z399" s="665">
        <f>IFERROR(IF(Z398="",0,Z398),"0")</f>
        <v>0.45552000000000004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216</v>
      </c>
      <c r="Y400" s="665">
        <f>IFERROR(SUM(Y398:Y398),"0")</f>
        <v>216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604.79999999999995</v>
      </c>
      <c r="Y405" s="664">
        <f>IFERROR(IF(X405="",0,CEILING((X405/$H405),1)*$H405),"")</f>
        <v>604.80000000000007</v>
      </c>
      <c r="Z405" s="36">
        <f>IFERROR(IF(Y405=0,"",ROUNDUP(Y405/H405,0)*0.01898),"")</f>
        <v>1.06288</v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629.15999999999985</v>
      </c>
      <c r="BN405" s="64">
        <f>IFERROR(Y405*I405/H405,"0")</f>
        <v>629.16000000000008</v>
      </c>
      <c r="BO405" s="64">
        <f>IFERROR(1/J405*(X405/H405),"0")</f>
        <v>0.87499999999999989</v>
      </c>
      <c r="BP405" s="64">
        <f>IFERROR(1/J405*(Y405/H405),"0")</f>
        <v>0.875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55.999999999999993</v>
      </c>
      <c r="Y408" s="665">
        <f>IFERROR(Y403/H403,"0")+IFERROR(Y404/H404,"0")+IFERROR(Y405/H405,"0")+IFERROR(Y406/H406,"0")+IFERROR(Y407/H407,"0")</f>
        <v>56</v>
      </c>
      <c r="Z408" s="665">
        <f>IFERROR(IF(Z403="",0,Z403),"0")+IFERROR(IF(Z404="",0,Z404),"0")+IFERROR(IF(Z405="",0,Z405),"0")+IFERROR(IF(Z406="",0,Z406),"0")+IFERROR(IF(Z407="",0,Z407),"0")</f>
        <v>1.06288</v>
      </c>
      <c r="AA408" s="666"/>
      <c r="AB408" s="666"/>
      <c r="AC408" s="666"/>
    </row>
    <row r="409" spans="1:68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604.79999999999995</v>
      </c>
      <c r="Y409" s="665">
        <f>IFERROR(SUM(Y403:Y407),"0")</f>
        <v>604.80000000000007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504</v>
      </c>
      <c r="Y416" s="664">
        <f>IFERROR(IF(X416="",0,CEILING((X416/$H416),1)*$H416),"")</f>
        <v>504</v>
      </c>
      <c r="Z416" s="36">
        <f>IFERROR(IF(Y416=0,"",ROUNDUP(Y416/H416,0)*0.01898),"")</f>
        <v>1.06288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533.06399999999996</v>
      </c>
      <c r="BN416" s="64">
        <f>IFERROR(Y416*I416/H416,"0")</f>
        <v>533.06399999999996</v>
      </c>
      <c r="BO416" s="64">
        <f>IFERROR(1/J416*(X416/H416),"0")</f>
        <v>0.875</v>
      </c>
      <c r="BP416" s="64">
        <f>IFERROR(1/J416*(Y416/H416),"0")</f>
        <v>0.875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115.2</v>
      </c>
      <c r="Y418" s="664">
        <f>IFERROR(IF(X418="",0,CEILING((X418/$H418),1)*$H418),"")</f>
        <v>115.19999999999999</v>
      </c>
      <c r="Z418" s="36">
        <f>IFERROR(IF(Y418=0,"",ROUNDUP(Y418/H418,0)*0.00651),"")</f>
        <v>0.31247999999999998</v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127.87200000000001</v>
      </c>
      <c r="BN418" s="64">
        <f>IFERROR(Y418*I418/H418,"0")</f>
        <v>127.87199999999999</v>
      </c>
      <c r="BO418" s="64">
        <f>IFERROR(1/J418*(X418/H418),"0")</f>
        <v>0.26373626373626374</v>
      </c>
      <c r="BP418" s="64">
        <f>IFERROR(1/J418*(Y418/H418),"0")</f>
        <v>0.26373626373626374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104</v>
      </c>
      <c r="Y421" s="665">
        <f>IFERROR(Y416/H416,"0")+IFERROR(Y417/H417,"0")+IFERROR(Y418/H418,"0")+IFERROR(Y419/H419,"0")+IFERROR(Y420/H420,"0")</f>
        <v>104</v>
      </c>
      <c r="Z421" s="665">
        <f>IFERROR(IF(Z416="",0,Z416),"0")+IFERROR(IF(Z417="",0,Z417),"0")+IFERROR(IF(Z418="",0,Z418),"0")+IFERROR(IF(Z419="",0,Z419),"0")+IFERROR(IF(Z420="",0,Z420),"0")</f>
        <v>1.3753600000000001</v>
      </c>
      <c r="AA421" s="666"/>
      <c r="AB421" s="666"/>
      <c r="AC421" s="666"/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619.20000000000005</v>
      </c>
      <c r="Y422" s="665">
        <f>IFERROR(SUM(Y416:Y420),"0")</f>
        <v>619.20000000000005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295.68</v>
      </c>
      <c r="Y482" s="664">
        <f t="shared" si="69"/>
        <v>295.68</v>
      </c>
      <c r="Z482" s="36">
        <f>IFERROR(IF(Y482=0,"",ROUNDUP(Y482/H482,0)*0.01196),"")</f>
        <v>0.66976000000000002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315.83999999999997</v>
      </c>
      <c r="BN482" s="64">
        <f t="shared" si="71"/>
        <v>315.83999999999997</v>
      </c>
      <c r="BO482" s="64">
        <f t="shared" si="72"/>
        <v>0.53846153846153855</v>
      </c>
      <c r="BP482" s="64">
        <f t="shared" si="73"/>
        <v>0.53846153846153855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802.56</v>
      </c>
      <c r="Y483" s="664">
        <f t="shared" si="69"/>
        <v>802.56000000000006</v>
      </c>
      <c r="Z483" s="36">
        <f>IFERROR(IF(Y483=0,"",ROUNDUP(Y483/H483,0)*0.01196),"")</f>
        <v>1.81792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857.27999999999975</v>
      </c>
      <c r="BN483" s="64">
        <f t="shared" si="71"/>
        <v>857.28</v>
      </c>
      <c r="BO483" s="64">
        <f t="shared" si="72"/>
        <v>1.4615384615384615</v>
      </c>
      <c r="BP483" s="64">
        <f t="shared" si="73"/>
        <v>1.4615384615384617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207.99999999999997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208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2.4876800000000001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1098.24</v>
      </c>
      <c r="Y496" s="665">
        <f>IFERROR(SUM(Y480:Y494),"0")</f>
        <v>1098.24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211.2</v>
      </c>
      <c r="Y505" s="664">
        <f t="shared" ref="Y505:Y516" si="74">IFERROR(IF(X505="",0,CEILING((X505/$H505),1)*$H505),"")</f>
        <v>211.20000000000002</v>
      </c>
      <c r="Z505" s="36">
        <f>IFERROR(IF(Y505=0,"",ROUNDUP(Y505/H505,0)*0.01196),"")</f>
        <v>0.47839999999999999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225.59999999999997</v>
      </c>
      <c r="BN505" s="64">
        <f t="shared" ref="BN505:BN516" si="76">IFERROR(Y505*I505/H505,"0")</f>
        <v>225.60000000000002</v>
      </c>
      <c r="BO505" s="64">
        <f t="shared" ref="BO505:BO516" si="77">IFERROR(1/J505*(X505/H505),"0")</f>
        <v>0.38461538461538458</v>
      </c>
      <c r="BP505" s="64">
        <f t="shared" ref="BP505:BP516" si="78">IFERROR(1/J505*(Y505/H505),"0")</f>
        <v>0.38461538461538464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84.48</v>
      </c>
      <c r="Y506" s="664">
        <f t="shared" si="74"/>
        <v>84.48</v>
      </c>
      <c r="Z506" s="36">
        <f>IFERROR(IF(Y506=0,"",ROUNDUP(Y506/H506,0)*0.01196),"")</f>
        <v>0.19136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90.24</v>
      </c>
      <c r="BN506" s="64">
        <f t="shared" si="76"/>
        <v>90.24</v>
      </c>
      <c r="BO506" s="64">
        <f t="shared" si="77"/>
        <v>0.15384615384615385</v>
      </c>
      <c r="BP506" s="64">
        <f t="shared" si="78"/>
        <v>0.15384615384615385</v>
      </c>
    </row>
    <row r="507" spans="1:68" ht="27" hidden="1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55.999999999999993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56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0.66976000000000002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295.68</v>
      </c>
      <c r="Y518" s="665">
        <f>IFERROR(SUM(Y505:Y516),"0")</f>
        <v>295.68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12475.92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12475.92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13157.268000000004</v>
      </c>
      <c r="Y592" s="665">
        <f>IFERROR(SUM(BN22:BN588),"0")</f>
        <v>13157.268000000004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22</v>
      </c>
      <c r="Y593" s="38">
        <f>ROUNDUP(SUM(BP22:BP588),0)</f>
        <v>22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13707.268000000004</v>
      </c>
      <c r="Y594" s="665">
        <f>GrossWeightTotalR+PalletQtyTotalR*25</f>
        <v>13707.268000000004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1980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1980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25.437180000000005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777.6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1876.8000000000002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437.4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1447.1999999999998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617.40000000000009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1531.1999999999998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748.8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456</v>
      </c>
      <c r="V601" s="46">
        <f>IFERROR(Y363*1,"0")+IFERROR(Y367*1,"0")+IFERROR(Y368*1,"0")+IFERROR(Y369*1,"0")</f>
        <v>129.6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1836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1224.0000000000002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1393.92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6,80"/>
        <filter val="1 098,24"/>
        <filter val="1 113,60"/>
        <filter val="1 260,00"/>
        <filter val="1 344,00"/>
        <filter val="1 574,40"/>
        <filter val="1 980,00"/>
        <filter val="104,00"/>
        <filter val="113,40"/>
        <filter val="115,20"/>
        <filter val="12 475,92"/>
        <filter val="129,60"/>
        <filter val="13 157,27"/>
        <filter val="13 707,27"/>
        <filter val="136,00"/>
        <filter val="144,00"/>
        <filter val="16,00"/>
        <filter val="172,80"/>
        <filter val="187,20"/>
        <filter val="201,60"/>
        <filter val="208,00"/>
        <filter val="211,20"/>
        <filter val="216,00"/>
        <filter val="22"/>
        <filter val="224,00"/>
        <filter val="24,00"/>
        <filter val="246,00"/>
        <filter val="28,80"/>
        <filter val="288,00"/>
        <filter val="295,68"/>
        <filter val="312,00"/>
        <filter val="324,00"/>
        <filter val="360,00"/>
        <filter val="37,80"/>
        <filter val="378,00"/>
        <filter val="437,40"/>
        <filter val="456,00"/>
        <filter val="460,80"/>
        <filter val="504,00"/>
        <filter val="537,60"/>
        <filter val="540,00"/>
        <filter val="56,00"/>
        <filter val="57,60"/>
        <filter val="604,80"/>
        <filter val="617,40"/>
        <filter val="619,20"/>
        <filter val="62,40"/>
        <filter val="67,20"/>
        <filter val="712,80"/>
        <filter val="72,00"/>
        <filter val="748,80"/>
        <filter val="777,60"/>
        <filter val="8,00"/>
        <filter val="802,56"/>
        <filter val="82,00"/>
        <filter val="84,00"/>
        <filter val="84,48"/>
        <filter val="842,40"/>
        <filter val="86,4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