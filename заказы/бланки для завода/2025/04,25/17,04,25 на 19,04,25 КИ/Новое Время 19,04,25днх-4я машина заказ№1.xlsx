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0788122-D332-4567-A29D-ECBB3AFC52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X557" i="1"/>
  <c r="BO556" i="1"/>
  <c r="BM556" i="1"/>
  <c r="Y556" i="1"/>
  <c r="BO555" i="1"/>
  <c r="BM555" i="1"/>
  <c r="Y555" i="1"/>
  <c r="BO554" i="1"/>
  <c r="BM554" i="1"/>
  <c r="Y554" i="1"/>
  <c r="BP554" i="1" s="1"/>
  <c r="BO553" i="1"/>
  <c r="BM553" i="1"/>
  <c r="Y553" i="1"/>
  <c r="BP553" i="1" s="1"/>
  <c r="BO552" i="1"/>
  <c r="BM552" i="1"/>
  <c r="Y552" i="1"/>
  <c r="BP552" i="1" s="1"/>
  <c r="BO551" i="1"/>
  <c r="BM551" i="1"/>
  <c r="Y551" i="1"/>
  <c r="BP551" i="1" s="1"/>
  <c r="BO550" i="1"/>
  <c r="BM550" i="1"/>
  <c r="Y550" i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X539" i="1"/>
  <c r="BO538" i="1"/>
  <c r="BM538" i="1"/>
  <c r="Y538" i="1"/>
  <c r="BP538" i="1" s="1"/>
  <c r="BO537" i="1"/>
  <c r="BM537" i="1"/>
  <c r="Y537" i="1"/>
  <c r="BP537" i="1" s="1"/>
  <c r="BO536" i="1"/>
  <c r="BM536" i="1"/>
  <c r="Y536" i="1"/>
  <c r="BP536" i="1" s="1"/>
  <c r="BO535" i="1"/>
  <c r="BM535" i="1"/>
  <c r="Y535" i="1"/>
  <c r="BP535" i="1" s="1"/>
  <c r="BO534" i="1"/>
  <c r="BM534" i="1"/>
  <c r="Y534" i="1"/>
  <c r="BP534" i="1" s="1"/>
  <c r="BO533" i="1"/>
  <c r="BM533" i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BP487" i="1" s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N419" i="1"/>
  <c r="BM419" i="1"/>
  <c r="Z419" i="1"/>
  <c r="Y419" i="1"/>
  <c r="BP419" i="1" s="1"/>
  <c r="P419" i="1"/>
  <c r="BO418" i="1"/>
  <c r="BM418" i="1"/>
  <c r="Y418" i="1"/>
  <c r="P418" i="1"/>
  <c r="BO417" i="1"/>
  <c r="BM417" i="1"/>
  <c r="Y417" i="1"/>
  <c r="BP417" i="1" s="1"/>
  <c r="BO416" i="1"/>
  <c r="BM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P394" i="1" s="1"/>
  <c r="BO393" i="1"/>
  <c r="BM393" i="1"/>
  <c r="Y393" i="1"/>
  <c r="Y396" i="1" s="1"/>
  <c r="X391" i="1"/>
  <c r="X390" i="1"/>
  <c r="BO389" i="1"/>
  <c r="BM389" i="1"/>
  <c r="Y389" i="1"/>
  <c r="P389" i="1"/>
  <c r="BO388" i="1"/>
  <c r="BM388" i="1"/>
  <c r="Y388" i="1"/>
  <c r="BP388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BP382" i="1" s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BP343" i="1" s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Z337" i="1"/>
  <c r="Y337" i="1"/>
  <c r="BP337" i="1" s="1"/>
  <c r="P337" i="1"/>
  <c r="BO336" i="1"/>
  <c r="BM336" i="1"/>
  <c r="Y336" i="1"/>
  <c r="P336" i="1"/>
  <c r="BO335" i="1"/>
  <c r="BM335" i="1"/>
  <c r="Y335" i="1"/>
  <c r="BP335" i="1" s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BP319" i="1" s="1"/>
  <c r="P319" i="1"/>
  <c r="X316" i="1"/>
  <c r="X315" i="1"/>
  <c r="BO314" i="1"/>
  <c r="BM314" i="1"/>
  <c r="Y314" i="1"/>
  <c r="T601" i="1" s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O123" i="1"/>
  <c r="BM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N71" i="1"/>
  <c r="BM71" i="1"/>
  <c r="Z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88" i="1" l="1"/>
  <c r="BN88" i="1"/>
  <c r="Z88" i="1"/>
  <c r="BP100" i="1"/>
  <c r="BN100" i="1"/>
  <c r="Z100" i="1"/>
  <c r="BP120" i="1"/>
  <c r="BN120" i="1"/>
  <c r="Z120" i="1"/>
  <c r="BP124" i="1"/>
  <c r="BN124" i="1"/>
  <c r="Z124" i="1"/>
  <c r="Y166" i="1"/>
  <c r="Y165" i="1"/>
  <c r="BP164" i="1"/>
  <c r="BN164" i="1"/>
  <c r="Z164" i="1"/>
  <c r="Z165" i="1" s="1"/>
  <c r="Y172" i="1"/>
  <c r="Y171" i="1"/>
  <c r="BP170" i="1"/>
  <c r="BN170" i="1"/>
  <c r="Z170" i="1"/>
  <c r="Z171" i="1" s="1"/>
  <c r="BP174" i="1"/>
  <c r="BN174" i="1"/>
  <c r="Z174" i="1"/>
  <c r="BP217" i="1"/>
  <c r="BN217" i="1"/>
  <c r="Z217" i="1"/>
  <c r="BP331" i="1"/>
  <c r="Z331" i="1"/>
  <c r="BP384" i="1"/>
  <c r="BN384" i="1"/>
  <c r="Z384" i="1"/>
  <c r="Y426" i="1"/>
  <c r="Y425" i="1"/>
  <c r="BP424" i="1"/>
  <c r="BN424" i="1"/>
  <c r="Z424" i="1"/>
  <c r="Z425" i="1" s="1"/>
  <c r="AA601" i="1"/>
  <c r="Y466" i="1"/>
  <c r="BP464" i="1"/>
  <c r="BN464" i="1"/>
  <c r="Z464" i="1"/>
  <c r="BP555" i="1"/>
  <c r="BN555" i="1"/>
  <c r="Z555" i="1"/>
  <c r="Z22" i="1"/>
  <c r="BN22" i="1"/>
  <c r="C601" i="1"/>
  <c r="Z51" i="1"/>
  <c r="BN51" i="1"/>
  <c r="Y63" i="1"/>
  <c r="Z65" i="1"/>
  <c r="BN65" i="1"/>
  <c r="BP93" i="1"/>
  <c r="BN93" i="1"/>
  <c r="Z93" i="1"/>
  <c r="BP115" i="1"/>
  <c r="BN115" i="1"/>
  <c r="Z115" i="1"/>
  <c r="BP123" i="1"/>
  <c r="BN123" i="1"/>
  <c r="Z123" i="1"/>
  <c r="BP143" i="1"/>
  <c r="BN143" i="1"/>
  <c r="Z143" i="1"/>
  <c r="BP205" i="1"/>
  <c r="BN205" i="1"/>
  <c r="Z205" i="1"/>
  <c r="BP234" i="1"/>
  <c r="BN234" i="1"/>
  <c r="Z234" i="1"/>
  <c r="BP376" i="1"/>
  <c r="BN376" i="1"/>
  <c r="Z376" i="1"/>
  <c r="BP404" i="1"/>
  <c r="BN404" i="1"/>
  <c r="Z404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556" i="1"/>
  <c r="BN556" i="1"/>
  <c r="Z556" i="1"/>
  <c r="F601" i="1"/>
  <c r="Y558" i="1"/>
  <c r="F9" i="1"/>
  <c r="F10" i="1"/>
  <c r="Z38" i="1"/>
  <c r="BN38" i="1"/>
  <c r="Z44" i="1"/>
  <c r="Z45" i="1" s="1"/>
  <c r="BN44" i="1"/>
  <c r="BP44" i="1"/>
  <c r="Y45" i="1"/>
  <c r="Z49" i="1"/>
  <c r="BN49" i="1"/>
  <c r="Z53" i="1"/>
  <c r="BN53" i="1"/>
  <c r="Z61" i="1"/>
  <c r="BN61" i="1"/>
  <c r="Y69" i="1"/>
  <c r="Z67" i="1"/>
  <c r="BN67" i="1"/>
  <c r="Y77" i="1"/>
  <c r="Z73" i="1"/>
  <c r="BN73" i="1"/>
  <c r="Z81" i="1"/>
  <c r="BN81" i="1"/>
  <c r="E601" i="1"/>
  <c r="Y102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Y128" i="1"/>
  <c r="Z126" i="1"/>
  <c r="BN126" i="1"/>
  <c r="Z137" i="1"/>
  <c r="BN137" i="1"/>
  <c r="Z147" i="1"/>
  <c r="BN147" i="1"/>
  <c r="Z160" i="1"/>
  <c r="BN160" i="1"/>
  <c r="Z176" i="1"/>
  <c r="BN176" i="1"/>
  <c r="Z181" i="1"/>
  <c r="BN181" i="1"/>
  <c r="Z186" i="1"/>
  <c r="Z187" i="1" s="1"/>
  <c r="BN186" i="1"/>
  <c r="BP186" i="1"/>
  <c r="Y187" i="1"/>
  <c r="Z191" i="1"/>
  <c r="BN19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1" i="1"/>
  <c r="BN241" i="1"/>
  <c r="BP241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Z314" i="1"/>
  <c r="Z315" i="1" s="1"/>
  <c r="BN314" i="1"/>
  <c r="BP314" i="1"/>
  <c r="Y315" i="1"/>
  <c r="Z319" i="1"/>
  <c r="BN319" i="1"/>
  <c r="Z323" i="1"/>
  <c r="BN323" i="1"/>
  <c r="BN331" i="1"/>
  <c r="BN337" i="1"/>
  <c r="Z343" i="1"/>
  <c r="BN343" i="1"/>
  <c r="Z351" i="1"/>
  <c r="BN351" i="1"/>
  <c r="Z368" i="1"/>
  <c r="BN368" i="1"/>
  <c r="Z378" i="1"/>
  <c r="BN378" i="1"/>
  <c r="Z382" i="1"/>
  <c r="BN382" i="1"/>
  <c r="Z388" i="1"/>
  <c r="BN388" i="1"/>
  <c r="Z393" i="1"/>
  <c r="BN393" i="1"/>
  <c r="BP393" i="1"/>
  <c r="Z394" i="1"/>
  <c r="BN394" i="1"/>
  <c r="Y395" i="1"/>
  <c r="Z406" i="1"/>
  <c r="BN406" i="1"/>
  <c r="Z416" i="1"/>
  <c r="BN416" i="1"/>
  <c r="BP416" i="1"/>
  <c r="Z417" i="1"/>
  <c r="BN417" i="1"/>
  <c r="BP434" i="1"/>
  <c r="BN434" i="1"/>
  <c r="Z434" i="1"/>
  <c r="BP446" i="1"/>
  <c r="BN446" i="1"/>
  <c r="Z446" i="1"/>
  <c r="BP451" i="1"/>
  <c r="BN451" i="1"/>
  <c r="Z451" i="1"/>
  <c r="BP459" i="1"/>
  <c r="BN459" i="1"/>
  <c r="Z459" i="1"/>
  <c r="J9" i="1"/>
  <c r="X592" i="1"/>
  <c r="Z26" i="1"/>
  <c r="BN26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Z321" i="1"/>
  <c r="BN321" i="1"/>
  <c r="Z329" i="1"/>
  <c r="BN329" i="1"/>
  <c r="Z335" i="1"/>
  <c r="BN335" i="1"/>
  <c r="Z339" i="1"/>
  <c r="BN339" i="1"/>
  <c r="Z345" i="1"/>
  <c r="BN345" i="1"/>
  <c r="Z357" i="1"/>
  <c r="BN357" i="1"/>
  <c r="BP435" i="1"/>
  <c r="BN435" i="1"/>
  <c r="Z435" i="1"/>
  <c r="BP456" i="1"/>
  <c r="BN456" i="1"/>
  <c r="Z456" i="1"/>
  <c r="BP482" i="1"/>
  <c r="BN482" i="1"/>
  <c r="Z482" i="1"/>
  <c r="Z487" i="1"/>
  <c r="BN487" i="1"/>
  <c r="Z492" i="1"/>
  <c r="BN492" i="1"/>
  <c r="Z498" i="1"/>
  <c r="BN498" i="1"/>
  <c r="BP498" i="1"/>
  <c r="Z499" i="1"/>
  <c r="BN499" i="1"/>
  <c r="Z500" i="1"/>
  <c r="BN500" i="1"/>
  <c r="Z501" i="1"/>
  <c r="BN501" i="1"/>
  <c r="Y502" i="1"/>
  <c r="Z511" i="1"/>
  <c r="BN511" i="1"/>
  <c r="Z512" i="1"/>
  <c r="BN512" i="1"/>
  <c r="Z515" i="1"/>
  <c r="BN515" i="1"/>
  <c r="Z533" i="1"/>
  <c r="BN533" i="1"/>
  <c r="BP533" i="1"/>
  <c r="Z534" i="1"/>
  <c r="BN534" i="1"/>
  <c r="Z535" i="1"/>
  <c r="BN535" i="1"/>
  <c r="Z536" i="1"/>
  <c r="BN536" i="1"/>
  <c r="Z537" i="1"/>
  <c r="BN537" i="1"/>
  <c r="Z538" i="1"/>
  <c r="BN538" i="1"/>
  <c r="Y539" i="1"/>
  <c r="Z550" i="1"/>
  <c r="BN550" i="1"/>
  <c r="BP550" i="1"/>
  <c r="Z551" i="1"/>
  <c r="BN551" i="1"/>
  <c r="Z552" i="1"/>
  <c r="BN552" i="1"/>
  <c r="Z553" i="1"/>
  <c r="BN553" i="1"/>
  <c r="Z554" i="1"/>
  <c r="BN554" i="1"/>
  <c r="Y557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Y282" i="1"/>
  <c r="BP309" i="1"/>
  <c r="BN309" i="1"/>
  <c r="Z30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447" i="1" l="1"/>
  <c r="Z421" i="1"/>
  <c r="Z310" i="1"/>
  <c r="Z282" i="1"/>
  <c r="Z77" i="1"/>
  <c r="Z68" i="1"/>
  <c r="Z55" i="1"/>
  <c r="Z466" i="1"/>
  <c r="Z495" i="1"/>
  <c r="Z102" i="1"/>
  <c r="Y593" i="1"/>
  <c r="Y592" i="1"/>
  <c r="Y594" i="1" s="1"/>
  <c r="Z238" i="1"/>
  <c r="Z209" i="1"/>
  <c r="Z183" i="1"/>
  <c r="Z395" i="1"/>
  <c r="Z28" i="1"/>
  <c r="Z557" i="1"/>
  <c r="Z539" i="1"/>
  <c r="Z502" i="1"/>
  <c r="Z565" i="1"/>
  <c r="Z385" i="1"/>
  <c r="Z221" i="1"/>
  <c r="Z161" i="1"/>
  <c r="Z547" i="1"/>
  <c r="Z517" i="1"/>
  <c r="Z442" i="1"/>
  <c r="Z332" i="1"/>
  <c r="Z83" i="1"/>
  <c r="Y595" i="1"/>
  <c r="Z408" i="1"/>
  <c r="Z370" i="1"/>
  <c r="Y591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<sst xmlns="http://schemas.openxmlformats.org/spreadsheetml/2006/main" count="2721" uniqueCount="976">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</sst>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1" sqref="AA31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61" t="s">
        <v>0</v>
      </c>
      <c r="E1" s="695"/>
      <c r="F1" s="695"/>
      <c r="G1" s="12" t="s">
        <v>1</v>
      </c>
      <c r="H1" s="961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8"/>
      <c r="E5" s="800"/>
      <c r="F5" s="742" t="s">
        <v>9</v>
      </c>
      <c r="G5" s="675"/>
      <c r="H5" s="798" t="s">
        <v>975</v>
      </c>
      <c r="I5" s="799"/>
      <c r="J5" s="799"/>
      <c r="K5" s="799"/>
      <c r="L5" s="799"/>
      <c r="M5" s="800"/>
      <c r="N5" s="58"/>
      <c r="P5" s="24" t="s">
        <v>10</v>
      </c>
      <c r="Q5" s="714">
        <v>45766</v>
      </c>
      <c r="R5" s="715"/>
      <c r="T5" s="888" t="s">
        <v>11</v>
      </c>
      <c r="U5" s="882"/>
      <c r="V5" s="890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3" t="s">
        <v>14</v>
      </c>
      <c r="E6" s="804"/>
      <c r="F6" s="804"/>
      <c r="G6" s="804"/>
      <c r="H6" s="804"/>
      <c r="I6" s="804"/>
      <c r="J6" s="804"/>
      <c r="K6" s="804"/>
      <c r="L6" s="804"/>
      <c r="M6" s="715"/>
      <c r="N6" s="59"/>
      <c r="P6" s="24" t="s">
        <v>15</v>
      </c>
      <c r="Q6" s="795" t="str">
        <f>IF(Q5=0," ",CHOOSE(WEEKDAY(Q5,2),"Понедельник","Вторник","Среда","Четверг","Пятница","Суббота","Воскресенье"))</f>
        <v>Суббота</v>
      </c>
      <c r="R6" s="677"/>
      <c r="T6" s="895" t="s">
        <v>16</v>
      </c>
      <c r="U6" s="882"/>
      <c r="V6" s="816" t="s">
        <v>17</v>
      </c>
      <c r="W6" s="81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1009" t="str">
        <f>IFERROR(VLOOKUP(DeliveryAddress,Table,3,0),1)</f>
        <v>4</v>
      </c>
      <c r="E7" s="1010"/>
      <c r="F7" s="1010"/>
      <c r="G7" s="1010"/>
      <c r="H7" s="1010"/>
      <c r="I7" s="1010"/>
      <c r="J7" s="1010"/>
      <c r="K7" s="1010"/>
      <c r="L7" s="1010"/>
      <c r="M7" s="893"/>
      <c r="N7" s="60"/>
      <c r="P7" s="24"/>
      <c r="Q7" s="42"/>
      <c r="R7" s="42"/>
      <c r="T7" s="671"/>
      <c r="U7" s="882"/>
      <c r="V7" s="818"/>
      <c r="W7" s="819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994"/>
      <c r="E8" s="995"/>
      <c r="F8" s="995"/>
      <c r="G8" s="995"/>
      <c r="H8" s="995"/>
      <c r="I8" s="995"/>
      <c r="J8" s="995"/>
      <c r="K8" s="995"/>
      <c r="L8" s="995"/>
      <c r="M8" s="996"/>
      <c r="N8" s="61"/>
      <c r="P8" s="24" t="s">
        <v>19</v>
      </c>
      <c r="Q8" s="892">
        <v>0.5</v>
      </c>
      <c r="R8" s="893"/>
      <c r="T8" s="671"/>
      <c r="U8" s="882"/>
      <c r="V8" s="818"/>
      <c r="W8" s="819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9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20</v>
      </c>
      <c r="Q9" s="963"/>
      <c r="R9" s="724"/>
      <c r="T9" s="671"/>
      <c r="U9" s="882"/>
      <c r="V9" s="820"/>
      <c r="W9" s="821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07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21</v>
      </c>
      <c r="Q10" s="896"/>
      <c r="R10" s="897"/>
      <c r="U10" s="24" t="s">
        <v>22</v>
      </c>
      <c r="V10" s="1046" t="s">
        <v>23</v>
      </c>
      <c r="W10" s="81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66"/>
      <c r="R11" s="715"/>
      <c r="U11" s="24" t="s">
        <v>26</v>
      </c>
      <c r="V11" s="723" t="s">
        <v>27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4" t="s">
        <v>28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29</v>
      </c>
      <c r="Q12" s="892"/>
      <c r="R12" s="893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4" t="s">
        <v>30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31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4" t="s">
        <v>32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6" t="s">
        <v>33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49" t="s">
        <v>34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0"/>
      <c r="Q16" s="950"/>
      <c r="R16" s="950"/>
      <c r="S16" s="950"/>
      <c r="T16" s="9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35</v>
      </c>
      <c r="B17" s="691" t="s">
        <v>36</v>
      </c>
      <c r="C17" s="931" t="s">
        <v>37</v>
      </c>
      <c r="D17" s="691" t="s">
        <v>38</v>
      </c>
      <c r="E17" s="692"/>
      <c r="F17" s="691" t="s">
        <v>39</v>
      </c>
      <c r="G17" s="691" t="s">
        <v>40</v>
      </c>
      <c r="H17" s="691" t="s">
        <v>41</v>
      </c>
      <c r="I17" s="691" t="s">
        <v>42</v>
      </c>
      <c r="J17" s="691" t="s">
        <v>43</v>
      </c>
      <c r="K17" s="691" t="s">
        <v>44</v>
      </c>
      <c r="L17" s="691" t="s">
        <v>45</v>
      </c>
      <c r="M17" s="691" t="s">
        <v>46</v>
      </c>
      <c r="N17" s="691" t="s">
        <v>47</v>
      </c>
      <c r="O17" s="691" t="s">
        <v>48</v>
      </c>
      <c r="P17" s="691" t="s">
        <v>49</v>
      </c>
      <c r="Q17" s="952"/>
      <c r="R17" s="952"/>
      <c r="S17" s="952"/>
      <c r="T17" s="692"/>
      <c r="U17" s="704" t="s">
        <v>50</v>
      </c>
      <c r="V17" s="675"/>
      <c r="W17" s="691" t="s">
        <v>51</v>
      </c>
      <c r="X17" s="691" t="s">
        <v>52</v>
      </c>
      <c r="Y17" s="705" t="s">
        <v>53</v>
      </c>
      <c r="Z17" s="814" t="s">
        <v>54</v>
      </c>
      <c r="AA17" s="736" t="s">
        <v>55</v>
      </c>
      <c r="AB17" s="736" t="s">
        <v>56</v>
      </c>
      <c r="AC17" s="736" t="s">
        <v>57</v>
      </c>
      <c r="AD17" s="736" t="s">
        <v>58</v>
      </c>
      <c r="AE17" s="737"/>
      <c r="AF17" s="73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53"/>
      <c r="R18" s="953"/>
      <c r="S18" s="953"/>
      <c r="T18" s="694"/>
      <c r="U18" s="67" t="s">
        <v>60</v>
      </c>
      <c r="V18" s="67" t="s">
        <v>61</v>
      </c>
      <c r="W18" s="713"/>
      <c r="X18" s="713"/>
      <c r="Y18" s="706"/>
      <c r="Z18" s="815"/>
      <c r="AA18" s="797"/>
      <c r="AB18" s="797"/>
      <c r="AC18" s="797"/>
      <c r="AD18" s="739"/>
      <c r="AE18" s="740"/>
      <c r="AF18" s="741"/>
      <c r="AG18" s="66"/>
      <c r="BD18" s="65"/>
    </row>
    <row r="19" spans="1:68" ht="27.75" hidden="1" customHeight="1" x14ac:dyDescent="0.2">
      <c r="A19" s="790" t="s">
        <v>62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hidden="1" customHeight="1" x14ac:dyDescent="0.25">
      <c r="A20" s="686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hidden="1" customHeight="1" x14ac:dyDescent="0.25">
      <c r="A21" s="68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29" t="s">
        <v>75</v>
      </c>
      <c r="Q24" s="682"/>
      <c r="R24" s="682"/>
      <c r="S24" s="682"/>
      <c r="T24" s="683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698" t="s">
        <v>79</v>
      </c>
      <c r="Q25" s="682"/>
      <c r="R25" s="682"/>
      <c r="S25" s="682"/>
      <c r="T25" s="683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8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68</v>
      </c>
      <c r="X31" s="663">
        <v>2</v>
      </c>
      <c r="Y31" s="664">
        <f>IFERROR(IF(X31="",0,CEILING((X31/$H31),1)*$H31),"")</f>
        <v>2.4</v>
      </c>
      <c r="Z31" s="36">
        <f>IFERROR(IF(Y31=0,"",ROUNDUP(Y31/H31,0)*0.00651),"")</f>
        <v>2.6040000000000001E-2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2.7399999999999998</v>
      </c>
      <c r="BN31" s="64">
        <f>IFERROR(Y31*I31/H31,"0")</f>
        <v>3.2879999999999998</v>
      </c>
      <c r="BO31" s="64">
        <f>IFERROR(1/J31*(X31/H31),"0")</f>
        <v>1.8315018315018316E-2</v>
      </c>
      <c r="BP31" s="64">
        <f>IFERROR(1/J31*(Y31/H31),"0")</f>
        <v>2.197802197802198E-2</v>
      </c>
    </row>
    <row r="32" spans="1:68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3.3333333333333335</v>
      </c>
      <c r="Y32" s="665">
        <f>IFERROR(Y31/H31,"0")</f>
        <v>4</v>
      </c>
      <c r="Z32" s="665">
        <f>IFERROR(IF(Z31="",0,Z31),"0")</f>
        <v>2.6040000000000001E-2</v>
      </c>
      <c r="AA32" s="666"/>
      <c r="AB32" s="666"/>
      <c r="AC32" s="666"/>
    </row>
    <row r="33" spans="1:68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2</v>
      </c>
      <c r="Y33" s="665">
        <f>IFERROR(SUM(Y31:Y31),"0")</f>
        <v>2.4</v>
      </c>
      <c r="Z33" s="37"/>
      <c r="AA33" s="666"/>
      <c r="AB33" s="666"/>
      <c r="AC33" s="666"/>
    </row>
    <row r="34" spans="1:68" ht="27.75" hidden="1" customHeight="1" x14ac:dyDescent="0.2">
      <c r="A34" s="790" t="s">
        <v>95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hidden="1" customHeight="1" x14ac:dyDescent="0.25">
      <c r="A35" s="686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hidden="1" customHeight="1" x14ac:dyDescent="0.25">
      <c r="A36" s="68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68</v>
      </c>
      <c r="X37" s="663">
        <v>165</v>
      </c>
      <c r="Y37" s="664">
        <f>IFERROR(IF(X37="",0,CEILING((X37/$H37),1)*$H37),"")</f>
        <v>172.8</v>
      </c>
      <c r="Z37" s="36">
        <f>IFERROR(IF(Y37=0,"",ROUNDUP(Y37/H37,0)*0.01898),"")</f>
        <v>0.30368000000000001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171.64583333333331</v>
      </c>
      <c r="BN37" s="64">
        <f>IFERROR(Y37*I37/H37,"0")</f>
        <v>179.76</v>
      </c>
      <c r="BO37" s="64">
        <f>IFERROR(1/J37*(X37/H37),"0")</f>
        <v>0.23871527777777776</v>
      </c>
      <c r="BP37" s="64">
        <f>IFERROR(1/J37*(Y37/H37),"0")</f>
        <v>0.25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35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15.277777777777777</v>
      </c>
      <c r="Y41" s="665">
        <f>IFERROR(Y37/H37,"0")+IFERROR(Y38/H38,"0")+IFERROR(Y39/H39,"0")+IFERROR(Y40/H40,"0")</f>
        <v>16</v>
      </c>
      <c r="Z41" s="665">
        <f>IFERROR(IF(Z37="",0,Z37),"0")+IFERROR(IF(Z38="",0,Z38),"0")+IFERROR(IF(Z39="",0,Z39),"0")+IFERROR(IF(Z40="",0,Z40),"0")</f>
        <v>0.30368000000000001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165</v>
      </c>
      <c r="Y42" s="665">
        <f>IFERROR(SUM(Y37:Y40),"0")</f>
        <v>172.8</v>
      </c>
      <c r="Z42" s="37"/>
      <c r="AA42" s="666"/>
      <c r="AB42" s="666"/>
      <c r="AC42" s="666"/>
    </row>
    <row r="43" spans="1:68" ht="14.25" hidden="1" customHeight="1" x14ac:dyDescent="0.25">
      <c r="A43" s="68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9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686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hidden="1" customHeight="1" x14ac:dyDescent="0.25">
      <c r="A48" s="68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68</v>
      </c>
      <c r="X50" s="663">
        <v>85</v>
      </c>
      <c r="Y50" s="664">
        <f t="shared" si="6"/>
        <v>86.4</v>
      </c>
      <c r="Z50" s="36">
        <f>IFERROR(IF(Y50=0,"",ROUNDUP(Y50/H50,0)*0.01898),"")</f>
        <v>0.15184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88.4236111111111</v>
      </c>
      <c r="BN50" s="64">
        <f t="shared" si="8"/>
        <v>89.88</v>
      </c>
      <c r="BO50" s="64">
        <f t="shared" si="9"/>
        <v>0.12297453703703703</v>
      </c>
      <c r="BP50" s="64">
        <f t="shared" si="10"/>
        <v>0.125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68</v>
      </c>
      <c r="X52" s="663">
        <v>35</v>
      </c>
      <c r="Y52" s="664">
        <f t="shared" si="6"/>
        <v>36</v>
      </c>
      <c r="Z52" s="36">
        <f>IFERROR(IF(Y52=0,"",ROUNDUP(Y52/H52,0)*0.00902),"")</f>
        <v>8.1180000000000002E-2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36.837499999999999</v>
      </c>
      <c r="BN52" s="64">
        <f t="shared" si="8"/>
        <v>37.89</v>
      </c>
      <c r="BO52" s="64">
        <f t="shared" si="9"/>
        <v>6.6287878787878785E-2</v>
      </c>
      <c r="BP52" s="64">
        <f t="shared" si="10"/>
        <v>6.8181818181818177E-2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16.62037037037037</v>
      </c>
      <c r="Y55" s="665">
        <f>IFERROR(Y49/H49,"0")+IFERROR(Y50/H50,"0")+IFERROR(Y51/H51,"0")+IFERROR(Y52/H52,"0")+IFERROR(Y53/H53,"0")+IFERROR(Y54/H54,"0")</f>
        <v>17</v>
      </c>
      <c r="Z55" s="665">
        <f>IFERROR(IF(Z49="",0,Z49),"0")+IFERROR(IF(Z50="",0,Z50),"0")+IFERROR(IF(Z51="",0,Z51),"0")+IFERROR(IF(Z52="",0,Z52),"0")+IFERROR(IF(Z53="",0,Z53),"0")+IFERROR(IF(Z54="",0,Z54),"0")</f>
        <v>0.23302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120</v>
      </c>
      <c r="Y56" s="665">
        <f>IFERROR(SUM(Y49:Y54),"0")</f>
        <v>122.4</v>
      </c>
      <c r="Z56" s="37"/>
      <c r="AA56" s="666"/>
      <c r="AB56" s="666"/>
      <c r="AC56" s="666"/>
    </row>
    <row r="57" spans="1:68" ht="14.25" hidden="1" customHeight="1" x14ac:dyDescent="0.25">
      <c r="A57" s="68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68</v>
      </c>
      <c r="X58" s="663">
        <v>108</v>
      </c>
      <c r="Y58" s="664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112.34999999999998</v>
      </c>
      <c r="BN58" s="64">
        <f>IFERROR(Y58*I58/H58,"0")</f>
        <v>112.34999999999998</v>
      </c>
      <c r="BO58" s="64">
        <f>IFERROR(1/J58*(X58/H58),"0")</f>
        <v>0.15625</v>
      </c>
      <c r="BP58" s="64">
        <f>IFERROR(1/J58*(Y58/H58),"0")</f>
        <v>0.15625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10</v>
      </c>
      <c r="Y62" s="665">
        <f>IFERROR(Y58/H58,"0")+IFERROR(Y59/H59,"0")+IFERROR(Y60/H60,"0")+IFERROR(Y61/H61,"0")</f>
        <v>10</v>
      </c>
      <c r="Z62" s="665">
        <f>IFERROR(IF(Z58="",0,Z58),"0")+IFERROR(IF(Z59="",0,Z59),"0")+IFERROR(IF(Z60="",0,Z60),"0")+IFERROR(IF(Z61="",0,Z61),"0")</f>
        <v>0.1898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108</v>
      </c>
      <c r="Y63" s="665">
        <f>IFERROR(SUM(Y58:Y61),"0")</f>
        <v>108</v>
      </c>
      <c r="Z63" s="37"/>
      <c r="AA63" s="666"/>
      <c r="AB63" s="666"/>
      <c r="AC63" s="666"/>
    </row>
    <row r="64" spans="1:68" ht="14.25" hidden="1" customHeight="1" x14ac:dyDescent="0.25">
      <c r="A64" s="68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8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8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8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6">
        <v>4680115881532</v>
      </c>
      <c r="E80" s="677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3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2"/>
      <c r="R80" s="682"/>
      <c r="S80" s="682"/>
      <c r="T80" s="683"/>
      <c r="U80" s="34"/>
      <c r="V80" s="34"/>
      <c r="W80" s="35" t="s">
        <v>68</v>
      </c>
      <c r="X80" s="663">
        <v>27</v>
      </c>
      <c r="Y80" s="664">
        <f>IFERROR(IF(X80="",0,CEILING((X80/$H80),1)*$H80),"")</f>
        <v>33.6</v>
      </c>
      <c r="Z80" s="36">
        <f>IFERROR(IF(Y80=0,"",ROUNDUP(Y80/H80,0)*0.01898),"")</f>
        <v>7.5920000000000001E-2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28.668214285714285</v>
      </c>
      <c r="BN80" s="64">
        <f>IFERROR(Y80*I80/H80,"0")</f>
        <v>35.676000000000002</v>
      </c>
      <c r="BO80" s="64">
        <f>IFERROR(1/J80*(X80/H80),"0")</f>
        <v>5.0223214285714281E-2</v>
      </c>
      <c r="BP80" s="64">
        <f>IFERROR(1/J80*(Y80/H80),"0")</f>
        <v>6.25E-2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6">
        <v>4680115881532</v>
      </c>
      <c r="E81" s="677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2"/>
      <c r="R81" s="682"/>
      <c r="S81" s="682"/>
      <c r="T81" s="683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3.214285714285714</v>
      </c>
      <c r="Y83" s="665">
        <f>IFERROR(Y80/H80,"0")+IFERROR(Y81/H81,"0")+IFERROR(Y82/H82,"0")</f>
        <v>4</v>
      </c>
      <c r="Z83" s="665">
        <f>IFERROR(IF(Z80="",0,Z80),"0")+IFERROR(IF(Z81="",0,Z81),"0")+IFERROR(IF(Z82="",0,Z82),"0")</f>
        <v>7.5920000000000001E-2</v>
      </c>
      <c r="AA83" s="666"/>
      <c r="AB83" s="666"/>
      <c r="AC83" s="666"/>
    </row>
    <row r="84" spans="1:68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27</v>
      </c>
      <c r="Y84" s="665">
        <f>IFERROR(SUM(Y80:Y82),"0")</f>
        <v>33.6</v>
      </c>
      <c r="Z84" s="37"/>
      <c r="AA84" s="666"/>
      <c r="AB84" s="666"/>
      <c r="AC84" s="666"/>
    </row>
    <row r="85" spans="1:68" ht="16.5" hidden="1" customHeight="1" x14ac:dyDescent="0.25">
      <c r="A85" s="686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hidden="1" customHeight="1" x14ac:dyDescent="0.25">
      <c r="A86" s="68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68</v>
      </c>
      <c r="X87" s="663">
        <v>238</v>
      </c>
      <c r="Y87" s="664">
        <f>IFERROR(IF(X87="",0,CEILING((X87/$H87),1)*$H87),"")</f>
        <v>248.4</v>
      </c>
      <c r="Z87" s="36">
        <f>IFERROR(IF(Y87=0,"",ROUNDUP(Y87/H87,0)*0.01898),"")</f>
        <v>0.43653999999999998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247.58611111111108</v>
      </c>
      <c r="BN87" s="64">
        <f>IFERROR(Y87*I87/H87,"0")</f>
        <v>258.40499999999997</v>
      </c>
      <c r="BO87" s="64">
        <f>IFERROR(1/J87*(X87/H87),"0")</f>
        <v>0.34432870370370366</v>
      </c>
      <c r="BP87" s="64">
        <f>IFERROR(1/J87*(Y87/H87),"0")</f>
        <v>0.359375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22.037037037037035</v>
      </c>
      <c r="Y90" s="665">
        <f>IFERROR(Y87/H87,"0")+IFERROR(Y88/H88,"0")+IFERROR(Y89/H89,"0")</f>
        <v>23</v>
      </c>
      <c r="Z90" s="665">
        <f>IFERROR(IF(Z87="",0,Z87),"0")+IFERROR(IF(Z88="",0,Z88),"0")+IFERROR(IF(Z89="",0,Z89),"0")</f>
        <v>0.43653999999999998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238</v>
      </c>
      <c r="Y91" s="665">
        <f>IFERROR(SUM(Y87:Y89),"0")</f>
        <v>248.4</v>
      </c>
      <c r="Z91" s="37"/>
      <c r="AA91" s="666"/>
      <c r="AB91" s="666"/>
      <c r="AC91" s="666"/>
    </row>
    <row r="92" spans="1:68" ht="14.25" hidden="1" customHeight="1" x14ac:dyDescent="0.25">
      <c r="A92" s="68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6">
        <v>4607091386967</v>
      </c>
      <c r="E93" s="677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711" t="s">
        <v>189</v>
      </c>
      <c r="Q93" s="682"/>
      <c r="R93" s="682"/>
      <c r="S93" s="682"/>
      <c r="T93" s="683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6">
        <v>4607091386967</v>
      </c>
      <c r="E94" s="677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99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2"/>
      <c r="R94" s="682"/>
      <c r="S94" s="682"/>
      <c r="T94" s="683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100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82"/>
      <c r="R95" s="682"/>
      <c r="S95" s="682"/>
      <c r="T95" s="683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17" t="s">
        <v>196</v>
      </c>
      <c r="Q96" s="682"/>
      <c r="R96" s="682"/>
      <c r="S96" s="682"/>
      <c r="T96" s="683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6" t="s">
        <v>200</v>
      </c>
      <c r="Q97" s="682"/>
      <c r="R97" s="682"/>
      <c r="S97" s="682"/>
      <c r="T97" s="683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01" t="s">
        <v>202</v>
      </c>
      <c r="Q98" s="682"/>
      <c r="R98" s="682"/>
      <c r="S98" s="682"/>
      <c r="T98" s="683"/>
      <c r="U98" s="34"/>
      <c r="V98" s="34"/>
      <c r="W98" s="35" t="s">
        <v>68</v>
      </c>
      <c r="X98" s="663">
        <v>248</v>
      </c>
      <c r="Y98" s="664">
        <f t="shared" si="16"/>
        <v>248.4</v>
      </c>
      <c r="Z98" s="36">
        <f>IFERROR(IF(Y98=0,"",ROUNDUP(Y98/H98,0)*0.00651),"")</f>
        <v>0.59892000000000001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271.14666666666665</v>
      </c>
      <c r="BN98" s="64">
        <f t="shared" si="18"/>
        <v>271.584</v>
      </c>
      <c r="BO98" s="64">
        <f t="shared" si="19"/>
        <v>0.50468050468050474</v>
      </c>
      <c r="BP98" s="64">
        <f t="shared" si="20"/>
        <v>0.50549450549450559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6">
        <v>4680115880214</v>
      </c>
      <c r="E100" s="677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1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2"/>
      <c r="R100" s="682"/>
      <c r="S100" s="682"/>
      <c r="T100" s="683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6">
        <v>4680115880214</v>
      </c>
      <c r="E101" s="677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82"/>
      <c r="R101" s="682"/>
      <c r="S101" s="682"/>
      <c r="T101" s="683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91.851851851851848</v>
      </c>
      <c r="Y102" s="665">
        <f>IFERROR(Y93/H93,"0")+IFERROR(Y94/H94,"0")+IFERROR(Y95/H95,"0")+IFERROR(Y96/H96,"0")+IFERROR(Y97/H97,"0")+IFERROR(Y98/H98,"0")+IFERROR(Y99/H99,"0")+IFERROR(Y100/H100,"0")+IFERROR(Y101/H101,"0")</f>
        <v>92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0.59892000000000001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248</v>
      </c>
      <c r="Y103" s="665">
        <f>IFERROR(SUM(Y93:Y101),"0")</f>
        <v>248.4</v>
      </c>
      <c r="Z103" s="37"/>
      <c r="AA103" s="666"/>
      <c r="AB103" s="666"/>
      <c r="AC103" s="666"/>
    </row>
    <row r="104" spans="1:68" ht="16.5" hidden="1" customHeight="1" x14ac:dyDescent="0.25">
      <c r="A104" s="686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hidden="1" customHeight="1" x14ac:dyDescent="0.25">
      <c r="A105" s="68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68</v>
      </c>
      <c r="X106" s="663">
        <v>230</v>
      </c>
      <c r="Y106" s="664">
        <f>IFERROR(IF(X106="",0,CEILING((X106/$H106),1)*$H106),"")</f>
        <v>237.60000000000002</v>
      </c>
      <c r="Z106" s="36">
        <f>IFERROR(IF(Y106=0,"",ROUNDUP(Y106/H106,0)*0.01898),"")</f>
        <v>0.41755999999999999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239.26388888888886</v>
      </c>
      <c r="BN106" s="64">
        <f>IFERROR(Y106*I106/H106,"0")</f>
        <v>247.17</v>
      </c>
      <c r="BO106" s="64">
        <f>IFERROR(1/J106*(X106/H106),"0")</f>
        <v>0.33275462962962959</v>
      </c>
      <c r="BP106" s="64">
        <f>IFERROR(1/J106*(Y106/H106),"0")</f>
        <v>0.34375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68</v>
      </c>
      <c r="X108" s="663">
        <v>68</v>
      </c>
      <c r="Y108" s="664">
        <f>IFERROR(IF(X108="",0,CEILING((X108/$H108),1)*$H108),"")</f>
        <v>72</v>
      </c>
      <c r="Z108" s="36">
        <f>IFERROR(IF(Y108=0,"",ROUNDUP(Y108/H108,0)*0.00902),"")</f>
        <v>0.14432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71.173333333333332</v>
      </c>
      <c r="BN108" s="64">
        <f>IFERROR(Y108*I108/H108,"0")</f>
        <v>75.36</v>
      </c>
      <c r="BO108" s="64">
        <f>IFERROR(1/J108*(X108/H108),"0")</f>
        <v>0.11447811447811448</v>
      </c>
      <c r="BP108" s="64">
        <f>IFERROR(1/J108*(Y108/H108),"0")</f>
        <v>0.12121212121212122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36.407407407407405</v>
      </c>
      <c r="Y110" s="665">
        <f>IFERROR(Y106/H106,"0")+IFERROR(Y107/H107,"0")+IFERROR(Y108/H108,"0")+IFERROR(Y109/H109,"0")</f>
        <v>38</v>
      </c>
      <c r="Z110" s="665">
        <f>IFERROR(IF(Z106="",0,Z106),"0")+IFERROR(IF(Z107="",0,Z107),"0")+IFERROR(IF(Z108="",0,Z108),"0")+IFERROR(IF(Z109="",0,Z109),"0")</f>
        <v>0.56187999999999994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298</v>
      </c>
      <c r="Y111" s="665">
        <f>IFERROR(SUM(Y106:Y109),"0")</f>
        <v>309.60000000000002</v>
      </c>
      <c r="Z111" s="37"/>
      <c r="AA111" s="666"/>
      <c r="AB111" s="666"/>
      <c r="AC111" s="666"/>
    </row>
    <row r="112" spans="1:68" ht="14.25" hidden="1" customHeight="1" x14ac:dyDescent="0.25">
      <c r="A112" s="68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5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68</v>
      </c>
      <c r="X115" s="663">
        <v>39</v>
      </c>
      <c r="Y115" s="664">
        <f>IFERROR(IF(X115="",0,CEILING((X115/$H115),1)*$H115),"")</f>
        <v>40.799999999999997</v>
      </c>
      <c r="Z115" s="36">
        <f>IFERROR(IF(Y115=0,"",ROUNDUP(Y115/H115,0)*0.00651),"")</f>
        <v>0.11067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41.925000000000004</v>
      </c>
      <c r="BN115" s="64">
        <f>IFERROR(Y115*I115/H115,"0")</f>
        <v>43.86</v>
      </c>
      <c r="BO115" s="64">
        <f>IFERROR(1/J115*(X115/H115),"0")</f>
        <v>8.9285714285714288E-2</v>
      </c>
      <c r="BP115" s="64">
        <f>IFERROR(1/J115*(Y115/H115),"0")</f>
        <v>9.3406593406593408E-2</v>
      </c>
    </row>
    <row r="116" spans="1:68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16.25</v>
      </c>
      <c r="Y116" s="665">
        <f>IFERROR(Y113/H113,"0")+IFERROR(Y114/H114,"0")+IFERROR(Y115/H115,"0")</f>
        <v>17</v>
      </c>
      <c r="Z116" s="665">
        <f>IFERROR(IF(Z113="",0,Z113),"0")+IFERROR(IF(Z114="",0,Z114),"0")+IFERROR(IF(Z115="",0,Z115),"0")</f>
        <v>0.11067</v>
      </c>
      <c r="AA116" s="666"/>
      <c r="AB116" s="666"/>
      <c r="AC116" s="666"/>
    </row>
    <row r="117" spans="1:68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39</v>
      </c>
      <c r="Y117" s="665">
        <f>IFERROR(SUM(Y113:Y115),"0")</f>
        <v>40.799999999999997</v>
      </c>
      <c r="Z117" s="37"/>
      <c r="AA117" s="666"/>
      <c r="AB117" s="666"/>
      <c r="AC117" s="666"/>
    </row>
    <row r="118" spans="1:68" ht="14.25" hidden="1" customHeight="1" x14ac:dyDescent="0.25">
      <c r="A118" s="68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56" t="s">
        <v>228</v>
      </c>
      <c r="Q119" s="682"/>
      <c r="R119" s="682"/>
      <c r="S119" s="682"/>
      <c r="T119" s="683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6">
        <v>4607091385168</v>
      </c>
      <c r="E120" s="677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2"/>
      <c r="R120" s="682"/>
      <c r="S120" s="682"/>
      <c r="T120" s="683"/>
      <c r="U120" s="34"/>
      <c r="V120" s="34"/>
      <c r="W120" s="35" t="s">
        <v>68</v>
      </c>
      <c r="X120" s="663">
        <v>530</v>
      </c>
      <c r="Y120" s="664">
        <f t="shared" si="21"/>
        <v>537.6</v>
      </c>
      <c r="Z120" s="36">
        <f>IFERROR(IF(Y120=0,"",ROUNDUP(Y120/H120,0)*0.01898),"")</f>
        <v>1.21472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562.36785714285713</v>
      </c>
      <c r="BN120" s="64">
        <f t="shared" si="23"/>
        <v>570.43200000000002</v>
      </c>
      <c r="BO120" s="64">
        <f t="shared" si="24"/>
        <v>0.98586309523809523</v>
      </c>
      <c r="BP120" s="64">
        <f t="shared" si="25"/>
        <v>1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6">
        <v>4607091385168</v>
      </c>
      <c r="E121" s="677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2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82"/>
      <c r="R121" s="682"/>
      <c r="S121" s="682"/>
      <c r="T121" s="683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3" t="s">
        <v>236</v>
      </c>
      <c r="Q122" s="682"/>
      <c r="R122" s="682"/>
      <c r="S122" s="682"/>
      <c r="T122" s="683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3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82"/>
      <c r="R123" s="682"/>
      <c r="S123" s="682"/>
      <c r="T123" s="683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7" t="s">
        <v>240</v>
      </c>
      <c r="Q124" s="682"/>
      <c r="R124" s="682"/>
      <c r="S124" s="682"/>
      <c r="T124" s="683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8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82"/>
      <c r="R125" s="682"/>
      <c r="S125" s="682"/>
      <c r="T125" s="683"/>
      <c r="U125" s="34"/>
      <c r="V125" s="34"/>
      <c r="W125" s="35" t="s">
        <v>68</v>
      </c>
      <c r="X125" s="663">
        <v>257</v>
      </c>
      <c r="Y125" s="664">
        <f t="shared" si="21"/>
        <v>259.20000000000005</v>
      </c>
      <c r="Z125" s="36">
        <f t="shared" si="26"/>
        <v>0.62495999999999996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280.98666666666662</v>
      </c>
      <c r="BN125" s="64">
        <f t="shared" si="23"/>
        <v>283.39200000000005</v>
      </c>
      <c r="BO125" s="64">
        <f t="shared" si="24"/>
        <v>0.52299552299552299</v>
      </c>
      <c r="BP125" s="64">
        <f t="shared" si="25"/>
        <v>0.5274725274725276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158.28042328042326</v>
      </c>
      <c r="Y128" s="665">
        <f>IFERROR(Y119/H119,"0")+IFERROR(Y120/H120,"0")+IFERROR(Y121/H121,"0")+IFERROR(Y122/H122,"0")+IFERROR(Y123/H123,"0")+IFERROR(Y124/H124,"0")+IFERROR(Y125/H125,"0")+IFERROR(Y126/H126,"0")+IFERROR(Y127/H127,"0")</f>
        <v>160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1.83968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787</v>
      </c>
      <c r="Y129" s="665">
        <f>IFERROR(SUM(Y119:Y127),"0")</f>
        <v>796.80000000000007</v>
      </c>
      <c r="Z129" s="37"/>
      <c r="AA129" s="666"/>
      <c r="AB129" s="666"/>
      <c r="AC129" s="666"/>
    </row>
    <row r="130" spans="1:68" ht="14.25" hidden="1" customHeight="1" x14ac:dyDescent="0.25">
      <c r="A130" s="68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686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hidden="1" customHeight="1" x14ac:dyDescent="0.25">
      <c r="A136" s="68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2"/>
      <c r="R137" s="682"/>
      <c r="S137" s="682"/>
      <c r="T137" s="683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2"/>
      <c r="R138" s="682"/>
      <c r="S138" s="682"/>
      <c r="T138" s="683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8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8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10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686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hidden="1" customHeight="1" x14ac:dyDescent="0.25">
      <c r="A152" s="68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8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8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90" t="s">
        <v>283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hidden="1" customHeight="1" x14ac:dyDescent="0.25">
      <c r="A168" s="686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hidden="1" customHeight="1" x14ac:dyDescent="0.25">
      <c r="A169" s="68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68</v>
      </c>
      <c r="X170" s="663">
        <v>2</v>
      </c>
      <c r="Y170" s="664">
        <f>IFERROR(IF(X170="",0,CEILING((X170/$H170),1)*$H170),"")</f>
        <v>3.96</v>
      </c>
      <c r="Z170" s="36">
        <f>IFERROR(IF(Y170=0,"",ROUNDUP(Y170/H170,0)*0.00502),"")</f>
        <v>1.004E-2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2.1010101010101012</v>
      </c>
      <c r="BN170" s="64">
        <f>IFERROR(Y170*I170/H170,"0")</f>
        <v>4.16</v>
      </c>
      <c r="BO170" s="64">
        <f>IFERROR(1/J170*(X170/H170),"0")</f>
        <v>4.3166709833376508E-3</v>
      </c>
      <c r="BP170" s="64">
        <f>IFERROR(1/J170*(Y170/H170),"0")</f>
        <v>8.5470085470085479E-3</v>
      </c>
    </row>
    <row r="171" spans="1:68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1.0101010101010102</v>
      </c>
      <c r="Y171" s="665">
        <f>IFERROR(Y170/H170,"0")</f>
        <v>2</v>
      </c>
      <c r="Z171" s="665">
        <f>IFERROR(IF(Z170="",0,Z170),"0")</f>
        <v>1.004E-2</v>
      </c>
      <c r="AA171" s="666"/>
      <c r="AB171" s="666"/>
      <c r="AC171" s="666"/>
    </row>
    <row r="172" spans="1:68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2</v>
      </c>
      <c r="Y172" s="665">
        <f>IFERROR(SUM(Y170:Y170),"0")</f>
        <v>3.96</v>
      </c>
      <c r="Z172" s="37"/>
      <c r="AA172" s="666"/>
      <c r="AB172" s="666"/>
      <c r="AC172" s="666"/>
    </row>
    <row r="173" spans="1:68" ht="14.25" hidden="1" customHeight="1" x14ac:dyDescent="0.25">
      <c r="A173" s="68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68</v>
      </c>
      <c r="X174" s="663">
        <v>41</v>
      </c>
      <c r="Y174" s="664">
        <f t="shared" ref="Y174:Y182" si="27">IFERROR(IF(X174="",0,CEILING((X174/$H174),1)*$H174),"")</f>
        <v>42</v>
      </c>
      <c r="Z174" s="36">
        <f>IFERROR(IF(Y174=0,"",ROUNDUP(Y174/H174,0)*0.00902),"")</f>
        <v>9.0200000000000002E-2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43.635714285714279</v>
      </c>
      <c r="BN174" s="64">
        <f t="shared" ref="BN174:BN182" si="29">IFERROR(Y174*I174/H174,"0")</f>
        <v>44.699999999999996</v>
      </c>
      <c r="BO174" s="64">
        <f t="shared" ref="BO174:BO182" si="30">IFERROR(1/J174*(X174/H174),"0")</f>
        <v>7.3953823953823952E-2</v>
      </c>
      <c r="BP174" s="64">
        <f t="shared" ref="BP174:BP182" si="31">IFERROR(1/J174*(Y174/H174),"0")</f>
        <v>7.575757575757576E-2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68</v>
      </c>
      <c r="X176" s="663">
        <v>150</v>
      </c>
      <c r="Y176" s="664">
        <f t="shared" si="27"/>
        <v>151.20000000000002</v>
      </c>
      <c r="Z176" s="36">
        <f>IFERROR(IF(Y176=0,"",ROUNDUP(Y176/H176,0)*0.00902),"")</f>
        <v>0.32472000000000001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157.5</v>
      </c>
      <c r="BN176" s="64">
        <f t="shared" si="29"/>
        <v>158.76000000000002</v>
      </c>
      <c r="BO176" s="64">
        <f t="shared" si="30"/>
        <v>0.27056277056277056</v>
      </c>
      <c r="BP176" s="64">
        <f t="shared" si="31"/>
        <v>0.27272727272727271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68</v>
      </c>
      <c r="X177" s="663">
        <v>225</v>
      </c>
      <c r="Y177" s="664">
        <f t="shared" si="27"/>
        <v>226.8</v>
      </c>
      <c r="Z177" s="36">
        <f>IFERROR(IF(Y177=0,"",ROUNDUP(Y177/H177,0)*0.00502),"")</f>
        <v>0.54215999999999998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238.92857142857142</v>
      </c>
      <c r="BN177" s="64">
        <f t="shared" si="29"/>
        <v>240.84</v>
      </c>
      <c r="BO177" s="64">
        <f t="shared" si="30"/>
        <v>0.45787545787545791</v>
      </c>
      <c r="BP177" s="64">
        <f t="shared" si="31"/>
        <v>0.46153846153846156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0" t="s">
        <v>303</v>
      </c>
      <c r="Q179" s="682"/>
      <c r="R179" s="682"/>
      <c r="S179" s="682"/>
      <c r="T179" s="683"/>
      <c r="U179" s="34"/>
      <c r="V179" s="34"/>
      <c r="W179" s="35" t="s">
        <v>68</v>
      </c>
      <c r="X179" s="663">
        <v>9</v>
      </c>
      <c r="Y179" s="664">
        <f t="shared" si="27"/>
        <v>9</v>
      </c>
      <c r="Z179" s="36">
        <f>IFERROR(IF(Y179=0,"",ROUNDUP(Y179/H179,0)*0.00502),"")</f>
        <v>2.5100000000000001E-2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9.65</v>
      </c>
      <c r="BN179" s="64">
        <f t="shared" si="29"/>
        <v>9.65</v>
      </c>
      <c r="BO179" s="64">
        <f t="shared" si="30"/>
        <v>2.1367521367521368E-2</v>
      </c>
      <c r="BP179" s="64">
        <f t="shared" si="31"/>
        <v>2.1367521367521368E-2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68</v>
      </c>
      <c r="X180" s="663">
        <v>127</v>
      </c>
      <c r="Y180" s="664">
        <f t="shared" si="27"/>
        <v>128.1</v>
      </c>
      <c r="Z180" s="36">
        <f>IFERROR(IF(Y180=0,"",ROUNDUP(Y180/H180,0)*0.00502),"")</f>
        <v>0.30621999999999999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133.04761904761907</v>
      </c>
      <c r="BN180" s="64">
        <f t="shared" si="29"/>
        <v>134.19999999999999</v>
      </c>
      <c r="BO180" s="64">
        <f t="shared" si="30"/>
        <v>0.25844525844525845</v>
      </c>
      <c r="BP180" s="64">
        <f t="shared" si="31"/>
        <v>0.2606837606837607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218.0952380952381</v>
      </c>
      <c r="Y183" s="665">
        <f>IFERROR(Y174/H174,"0")+IFERROR(Y175/H175,"0")+IFERROR(Y176/H176,"0")+IFERROR(Y177/H177,"0")+IFERROR(Y178/H178,"0")+IFERROR(Y179/H179,"0")+IFERROR(Y180/H180,"0")+IFERROR(Y181/H181,"0")+IFERROR(Y182/H182,"0")</f>
        <v>220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1.2884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552</v>
      </c>
      <c r="Y184" s="665">
        <f>IFERROR(SUM(Y174:Y182),"0")</f>
        <v>557.1</v>
      </c>
      <c r="Z184" s="37"/>
      <c r="AA184" s="666"/>
      <c r="AB184" s="666"/>
      <c r="AC184" s="666"/>
    </row>
    <row r="185" spans="1:68" ht="14.25" hidden="1" customHeight="1" x14ac:dyDescent="0.25">
      <c r="A185" s="68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5" t="s">
        <v>316</v>
      </c>
      <c r="Q186" s="682"/>
      <c r="R186" s="682"/>
      <c r="S186" s="682"/>
      <c r="T186" s="683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686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hidden="1" customHeight="1" x14ac:dyDescent="0.25">
      <c r="A190" s="68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4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8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8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68</v>
      </c>
      <c r="X201" s="663">
        <v>18</v>
      </c>
      <c r="Y201" s="664">
        <f t="shared" ref="Y201:Y208" si="32">IFERROR(IF(X201="",0,CEILING((X201/$H201),1)*$H201),"")</f>
        <v>21.6</v>
      </c>
      <c r="Z201" s="36">
        <f>IFERROR(IF(Y201=0,"",ROUNDUP(Y201/H201,0)*0.00902),"")</f>
        <v>3.6080000000000001E-2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18.7</v>
      </c>
      <c r="BN201" s="64">
        <f t="shared" ref="BN201:BN208" si="34">IFERROR(Y201*I201/H201,"0")</f>
        <v>22.44</v>
      </c>
      <c r="BO201" s="64">
        <f t="shared" ref="BO201:BO208" si="35">IFERROR(1/J201*(X201/H201),"0")</f>
        <v>2.5252525252525252E-2</v>
      </c>
      <c r="BP201" s="64">
        <f t="shared" ref="BP201:BP208" si="36">IFERROR(1/J201*(Y201/H201),"0")</f>
        <v>3.0303030303030304E-2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68</v>
      </c>
      <c r="X202" s="663">
        <v>122</v>
      </c>
      <c r="Y202" s="664">
        <f t="shared" si="32"/>
        <v>124.2</v>
      </c>
      <c r="Z202" s="36">
        <f>IFERROR(IF(Y202=0,"",ROUNDUP(Y202/H202,0)*0.00902),"")</f>
        <v>0.20746000000000001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126.74444444444445</v>
      </c>
      <c r="BN202" s="64">
        <f t="shared" si="34"/>
        <v>129.03</v>
      </c>
      <c r="BO202" s="64">
        <f t="shared" si="35"/>
        <v>0.17115600448933782</v>
      </c>
      <c r="BP202" s="64">
        <f t="shared" si="36"/>
        <v>0.17424242424242425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68</v>
      </c>
      <c r="X204" s="663">
        <v>191</v>
      </c>
      <c r="Y204" s="664">
        <f t="shared" si="32"/>
        <v>194.4</v>
      </c>
      <c r="Z204" s="36">
        <f>IFERROR(IF(Y204=0,"",ROUNDUP(Y204/H204,0)*0.00902),"")</f>
        <v>0.32472000000000001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198.42777777777778</v>
      </c>
      <c r="BN204" s="64">
        <f t="shared" si="34"/>
        <v>201.96</v>
      </c>
      <c r="BO204" s="64">
        <f t="shared" si="35"/>
        <v>0.2679573512906846</v>
      </c>
      <c r="BP204" s="64">
        <f t="shared" si="36"/>
        <v>0.27272727272727271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68</v>
      </c>
      <c r="X205" s="663">
        <v>70</v>
      </c>
      <c r="Y205" s="664">
        <f t="shared" si="32"/>
        <v>70.2</v>
      </c>
      <c r="Z205" s="36">
        <f>IFERROR(IF(Y205=0,"",ROUNDUP(Y205/H205,0)*0.00502),"")</f>
        <v>0.19578000000000001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75.055555555555557</v>
      </c>
      <c r="BN205" s="64">
        <f t="shared" si="34"/>
        <v>75.27</v>
      </c>
      <c r="BO205" s="64">
        <f t="shared" si="35"/>
        <v>0.16619183285849953</v>
      </c>
      <c r="BP205" s="64">
        <f t="shared" si="36"/>
        <v>0.16666666666666669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68</v>
      </c>
      <c r="X206" s="663">
        <v>30</v>
      </c>
      <c r="Y206" s="664">
        <f t="shared" si="32"/>
        <v>30.6</v>
      </c>
      <c r="Z206" s="36">
        <f>IFERROR(IF(Y206=0,"",ROUNDUP(Y206/H206,0)*0.00502),"")</f>
        <v>8.5339999999999999E-2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31.666666666666664</v>
      </c>
      <c r="BN206" s="64">
        <f t="shared" si="34"/>
        <v>32.299999999999997</v>
      </c>
      <c r="BO206" s="64">
        <f t="shared" si="35"/>
        <v>7.122507122507124E-2</v>
      </c>
      <c r="BP206" s="64">
        <f t="shared" si="36"/>
        <v>7.2649572649572655E-2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116.85185185185185</v>
      </c>
      <c r="Y209" s="665">
        <f>IFERROR(Y201/H201,"0")+IFERROR(Y202/H202,"0")+IFERROR(Y203/H203,"0")+IFERROR(Y204/H204,"0")+IFERROR(Y205/H205,"0")+IFERROR(Y206/H206,"0")+IFERROR(Y207/H207,"0")+IFERROR(Y208/H208,"0")</f>
        <v>119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0.84938000000000002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431</v>
      </c>
      <c r="Y210" s="665">
        <f>IFERROR(SUM(Y201:Y208),"0")</f>
        <v>441.00000000000006</v>
      </c>
      <c r="Z210" s="37"/>
      <c r="AA210" s="666"/>
      <c r="AB210" s="666"/>
      <c r="AC210" s="666"/>
    </row>
    <row r="211" spans="1:68" ht="14.25" hidden="1" customHeight="1" x14ac:dyDescent="0.25">
      <c r="A211" s="68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68</v>
      </c>
      <c r="X214" s="663">
        <v>188</v>
      </c>
      <c r="Y214" s="664">
        <f t="shared" si="37"/>
        <v>191.39999999999998</v>
      </c>
      <c r="Z214" s="36">
        <f>IFERROR(IF(Y214=0,"",ROUNDUP(Y214/H214,0)*0.01898),"")</f>
        <v>0.41755999999999999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199.21517241379308</v>
      </c>
      <c r="BN214" s="64">
        <f t="shared" si="39"/>
        <v>202.81799999999998</v>
      </c>
      <c r="BO214" s="64">
        <f t="shared" si="40"/>
        <v>0.33764367816091956</v>
      </c>
      <c r="BP214" s="64">
        <f t="shared" si="41"/>
        <v>0.34375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68</v>
      </c>
      <c r="X215" s="663">
        <v>357</v>
      </c>
      <c r="Y215" s="664">
        <f t="shared" si="37"/>
        <v>357.59999999999997</v>
      </c>
      <c r="Z215" s="36">
        <f t="shared" ref="Z215:Z220" si="42">IFERROR(IF(Y215=0,"",ROUNDUP(Y215/H215,0)*0.00651),"")</f>
        <v>0.96999000000000002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397.16249999999997</v>
      </c>
      <c r="BN215" s="64">
        <f t="shared" si="39"/>
        <v>397.83</v>
      </c>
      <c r="BO215" s="64">
        <f t="shared" si="40"/>
        <v>0.8173076923076924</v>
      </c>
      <c r="BP215" s="64">
        <f t="shared" si="41"/>
        <v>0.81868131868131877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68</v>
      </c>
      <c r="X217" s="663">
        <v>220</v>
      </c>
      <c r="Y217" s="664">
        <f t="shared" si="37"/>
        <v>220.79999999999998</v>
      </c>
      <c r="Z217" s="36">
        <f t="shared" si="42"/>
        <v>0.59892000000000001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243.10000000000002</v>
      </c>
      <c r="BN217" s="64">
        <f t="shared" si="39"/>
        <v>243.98400000000001</v>
      </c>
      <c r="BO217" s="64">
        <f t="shared" si="40"/>
        <v>0.50366300366300376</v>
      </c>
      <c r="BP217" s="64">
        <f t="shared" si="41"/>
        <v>0.50549450549450559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68</v>
      </c>
      <c r="X218" s="663">
        <v>281</v>
      </c>
      <c r="Y218" s="664">
        <f t="shared" si="37"/>
        <v>283.2</v>
      </c>
      <c r="Z218" s="36">
        <f t="shared" si="42"/>
        <v>0.76817999999999997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310.505</v>
      </c>
      <c r="BN218" s="64">
        <f t="shared" si="39"/>
        <v>312.93600000000004</v>
      </c>
      <c r="BO218" s="64">
        <f t="shared" si="40"/>
        <v>0.64331501831501847</v>
      </c>
      <c r="BP218" s="64">
        <f t="shared" si="41"/>
        <v>0.64835164835164838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68</v>
      </c>
      <c r="X220" s="663">
        <v>89</v>
      </c>
      <c r="Y220" s="664">
        <f t="shared" si="37"/>
        <v>91.2</v>
      </c>
      <c r="Z220" s="36">
        <f t="shared" si="42"/>
        <v>0.24738000000000002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98.567499999999995</v>
      </c>
      <c r="BN220" s="64">
        <f t="shared" si="39"/>
        <v>101.004</v>
      </c>
      <c r="BO220" s="64">
        <f t="shared" si="40"/>
        <v>0.20375457875457878</v>
      </c>
      <c r="BP220" s="64">
        <f t="shared" si="41"/>
        <v>0.2087912087912088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416.19252873563215</v>
      </c>
      <c r="Y221" s="665">
        <f>IFERROR(Y212/H212,"0")+IFERROR(Y213/H213,"0")+IFERROR(Y214/H214,"0")+IFERROR(Y215/H215,"0")+IFERROR(Y216/H216,"0")+IFERROR(Y217/H217,"0")+IFERROR(Y218/H218,"0")+IFERROR(Y219/H219,"0")+IFERROR(Y220/H220,"0")</f>
        <v>419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3.0020300000000004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1135</v>
      </c>
      <c r="Y222" s="665">
        <f>IFERROR(SUM(Y212:Y220),"0")</f>
        <v>1144.2</v>
      </c>
      <c r="Z222" s="37"/>
      <c r="AA222" s="666"/>
      <c r="AB222" s="666"/>
      <c r="AC222" s="666"/>
    </row>
    <row r="223" spans="1:68" ht="14.25" hidden="1" customHeight="1" x14ac:dyDescent="0.25">
      <c r="A223" s="68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1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68</v>
      </c>
      <c r="X224" s="663">
        <v>17</v>
      </c>
      <c r="Y224" s="664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18.785000000000004</v>
      </c>
      <c r="BN224" s="64">
        <f>IFERROR(Y224*I224/H224,"0")</f>
        <v>21.216000000000001</v>
      </c>
      <c r="BO224" s="64">
        <f>IFERROR(1/J224*(X224/H224),"0")</f>
        <v>3.8919413919413927E-2</v>
      </c>
      <c r="BP224" s="64">
        <f>IFERROR(1/J224*(Y224/H224),"0")</f>
        <v>4.3956043956043959E-2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80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68</v>
      </c>
      <c r="X225" s="663">
        <v>22</v>
      </c>
      <c r="Y225" s="664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24.310000000000002</v>
      </c>
      <c r="BN225" s="64">
        <f>IFERROR(Y225*I225/H225,"0")</f>
        <v>26.520000000000003</v>
      </c>
      <c r="BO225" s="64">
        <f>IFERROR(1/J225*(X225/H225),"0")</f>
        <v>5.0366300366300375E-2</v>
      </c>
      <c r="BP225" s="64">
        <f>IFERROR(1/J225*(Y225/H225),"0")</f>
        <v>5.4945054945054951E-2</v>
      </c>
    </row>
    <row r="226" spans="1:68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16.25</v>
      </c>
      <c r="Y226" s="665">
        <f>IFERROR(Y224/H224,"0")+IFERROR(Y225/H225,"0")</f>
        <v>18</v>
      </c>
      <c r="Z226" s="665">
        <f>IFERROR(IF(Z224="",0,Z224),"0")+IFERROR(IF(Z225="",0,Z225),"0")</f>
        <v>0.11718000000000001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39</v>
      </c>
      <c r="Y227" s="665">
        <f>IFERROR(SUM(Y224:Y225),"0")</f>
        <v>43.2</v>
      </c>
      <c r="Z227" s="37"/>
      <c r="AA227" s="666"/>
      <c r="AB227" s="666"/>
      <c r="AC227" s="666"/>
    </row>
    <row r="228" spans="1:68" ht="16.5" hidden="1" customHeight="1" x14ac:dyDescent="0.25">
      <c r="A228" s="686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hidden="1" customHeight="1" x14ac:dyDescent="0.25">
      <c r="A229" s="68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1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9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8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6">
        <v>4680115885981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770" t="s">
        <v>402</v>
      </c>
      <c r="Q241" s="682"/>
      <c r="R241" s="682"/>
      <c r="S241" s="682"/>
      <c r="T241" s="683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6">
        <v>4680115885721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84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2"/>
      <c r="R242" s="682"/>
      <c r="S242" s="682"/>
      <c r="T242" s="683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8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57" t="s">
        <v>408</v>
      </c>
      <c r="Q246" s="682"/>
      <c r="R246" s="682"/>
      <c r="S246" s="682"/>
      <c r="T246" s="683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8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54" t="s">
        <v>413</v>
      </c>
      <c r="Q250" s="682"/>
      <c r="R250" s="682"/>
      <c r="S250" s="682"/>
      <c r="T250" s="683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686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hidden="1" customHeight="1" x14ac:dyDescent="0.25">
      <c r="A254" s="68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3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10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686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hidden="1" customHeight="1" x14ac:dyDescent="0.25">
      <c r="A264" s="68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99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686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hidden="1" customHeight="1" x14ac:dyDescent="0.25">
      <c r="A269" s="68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1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686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hidden="1" customHeight="1" x14ac:dyDescent="0.25">
      <c r="A276" s="68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686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hidden="1" customHeight="1" x14ac:dyDescent="0.25">
      <c r="A285" s="68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6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8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8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686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hidden="1" customHeight="1" x14ac:dyDescent="0.25">
      <c r="A298" s="68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2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686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hidden="1" customHeight="1" x14ac:dyDescent="0.25">
      <c r="A303" s="68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8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686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hidden="1" customHeight="1" x14ac:dyDescent="0.25">
      <c r="A313" s="68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686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hidden="1" customHeight="1" x14ac:dyDescent="0.25">
      <c r="A318" s="68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8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8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10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8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9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8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68</v>
      </c>
      <c r="X344" s="663">
        <v>813</v>
      </c>
      <c r="Y344" s="664">
        <f>IFERROR(IF(X344="",0,CEILING((X344/$H344),1)*$H344),"")</f>
        <v>819</v>
      </c>
      <c r="Z344" s="36">
        <f>IFERROR(IF(Y344=0,"",ROUNDUP(Y344/H344,0)*0.01898),"")</f>
        <v>1.9929000000000001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867.09576923076929</v>
      </c>
      <c r="BN344" s="64">
        <f>IFERROR(Y344*I344/H344,"0")</f>
        <v>873.49500000000012</v>
      </c>
      <c r="BO344" s="64">
        <f>IFERROR(1/J344*(X344/H344),"0")</f>
        <v>1.6286057692307692</v>
      </c>
      <c r="BP344" s="64">
        <f>IFERROR(1/J344*(Y344/H344),"0")</f>
        <v>1.640625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104.23076923076923</v>
      </c>
      <c r="Y346" s="665">
        <f>IFERROR(Y343/H343,"0")+IFERROR(Y344/H344,"0")+IFERROR(Y345/H345,"0")</f>
        <v>105</v>
      </c>
      <c r="Z346" s="665">
        <f>IFERROR(IF(Z343="",0,Z343),"0")+IFERROR(IF(Z344="",0,Z344),"0")+IFERROR(IF(Z345="",0,Z345),"0")</f>
        <v>1.9929000000000001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813</v>
      </c>
      <c r="Y347" s="665">
        <f>IFERROR(SUM(Y343:Y345),"0")</f>
        <v>819</v>
      </c>
      <c r="Z347" s="37"/>
      <c r="AA347" s="666"/>
      <c r="AB347" s="666"/>
      <c r="AC347" s="666"/>
    </row>
    <row r="348" spans="1:68" ht="14.25" hidden="1" customHeight="1" x14ac:dyDescent="0.25">
      <c r="A348" s="68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58" t="s">
        <v>541</v>
      </c>
      <c r="Q349" s="682"/>
      <c r="R349" s="682"/>
      <c r="S349" s="682"/>
      <c r="T349" s="683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1023" t="s">
        <v>545</v>
      </c>
      <c r="Q350" s="682"/>
      <c r="R350" s="682"/>
      <c r="S350" s="682"/>
      <c r="T350" s="683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68</v>
      </c>
      <c r="X351" s="663">
        <v>3</v>
      </c>
      <c r="Y351" s="664">
        <f>IFERROR(IF(X351="",0,CEILING((X351/$H351),1)*$H351),"")</f>
        <v>5.0999999999999996</v>
      </c>
      <c r="Z351" s="36">
        <f>IFERROR(IF(Y351=0,"",ROUNDUP(Y351/H351,0)*0.00651),"")</f>
        <v>1.302E-2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3.4764705882352946</v>
      </c>
      <c r="BN351" s="64">
        <f>IFERROR(Y351*I351/H351,"0")</f>
        <v>5.91</v>
      </c>
      <c r="BO351" s="64">
        <f>IFERROR(1/J351*(X351/H351),"0")</f>
        <v>6.4641241111829352E-3</v>
      </c>
      <c r="BP351" s="64">
        <f>IFERROR(1/J351*(Y351/H351),"0")</f>
        <v>1.098901098901099E-2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68</v>
      </c>
      <c r="X352" s="663">
        <v>45</v>
      </c>
      <c r="Y352" s="664">
        <f>IFERROR(IF(X352="",0,CEILING((X352/$H352),1)*$H352),"")</f>
        <v>45.9</v>
      </c>
      <c r="Z352" s="36">
        <f>IFERROR(IF(Y352=0,"",ROUNDUP(Y352/H352,0)*0.00651),"")</f>
        <v>0.11718000000000001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50.82352941176471</v>
      </c>
      <c r="BN352" s="64">
        <f>IFERROR(Y352*I352/H352,"0")</f>
        <v>51.839999999999996</v>
      </c>
      <c r="BO352" s="64">
        <f>IFERROR(1/J352*(X352/H352),"0")</f>
        <v>9.6961861667744037E-2</v>
      </c>
      <c r="BP352" s="64">
        <f>IFERROR(1/J352*(Y352/H352),"0")</f>
        <v>9.8901098901098911E-2</v>
      </c>
    </row>
    <row r="353" spans="1:68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18.823529411764707</v>
      </c>
      <c r="Y353" s="665">
        <f>IFERROR(Y349/H349,"0")+IFERROR(Y350/H350,"0")+IFERROR(Y351/H351,"0")+IFERROR(Y352/H352,"0")</f>
        <v>20</v>
      </c>
      <c r="Z353" s="665">
        <f>IFERROR(IF(Z349="",0,Z349),"0")+IFERROR(IF(Z350="",0,Z350),"0")+IFERROR(IF(Z351="",0,Z351),"0")+IFERROR(IF(Z352="",0,Z352),"0")</f>
        <v>0.13020000000000001</v>
      </c>
      <c r="AA353" s="666"/>
      <c r="AB353" s="666"/>
      <c r="AC353" s="666"/>
    </row>
    <row r="354" spans="1:68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48</v>
      </c>
      <c r="Y354" s="665">
        <f>IFERROR(SUM(Y349:Y352),"0")</f>
        <v>51</v>
      </c>
      <c r="Z354" s="37"/>
      <c r="AA354" s="666"/>
      <c r="AB354" s="666"/>
      <c r="AC354" s="666"/>
    </row>
    <row r="355" spans="1:68" ht="14.25" hidden="1" customHeight="1" x14ac:dyDescent="0.25">
      <c r="A355" s="68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686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hidden="1" customHeight="1" x14ac:dyDescent="0.25">
      <c r="A362" s="68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8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790" t="s">
        <v>574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hidden="1" customHeight="1" x14ac:dyDescent="0.25">
      <c r="A373" s="686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hidden="1" customHeight="1" x14ac:dyDescent="0.25">
      <c r="A374" s="68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2"/>
      <c r="R375" s="682"/>
      <c r="S375" s="682"/>
      <c r="T375" s="683"/>
      <c r="U375" s="34"/>
      <c r="V375" s="34"/>
      <c r="W375" s="35" t="s">
        <v>68</v>
      </c>
      <c r="X375" s="663">
        <v>982</v>
      </c>
      <c r="Y375" s="664">
        <f t="shared" ref="Y375:Y384" si="58">IFERROR(IF(X375="",0,CEILING((X375/$H375),1)*$H375),"")</f>
        <v>990</v>
      </c>
      <c r="Z375" s="36">
        <f>IFERROR(IF(Y375=0,"",ROUNDUP(Y375/H375,0)*0.02175),"")</f>
        <v>1.4355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1013.4240000000001</v>
      </c>
      <c r="BN375" s="64">
        <f t="shared" ref="BN375:BN384" si="60">IFERROR(Y375*I375/H375,"0")</f>
        <v>1021.6800000000001</v>
      </c>
      <c r="BO375" s="64">
        <f t="shared" ref="BO375:BO384" si="61">IFERROR(1/J375*(X375/H375),"0")</f>
        <v>1.3638888888888889</v>
      </c>
      <c r="BP375" s="64">
        <f t="shared" ref="BP375:BP384" si="62">IFERROR(1/J375*(Y375/H375),"0")</f>
        <v>1.375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6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2"/>
      <c r="R376" s="682"/>
      <c r="S376" s="682"/>
      <c r="T376" s="683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68</v>
      </c>
      <c r="X377" s="663">
        <v>864</v>
      </c>
      <c r="Y377" s="664">
        <f t="shared" si="58"/>
        <v>870</v>
      </c>
      <c r="Z377" s="36">
        <f>IFERROR(IF(Y377=0,"",ROUNDUP(Y377/H377,0)*0.02175),"")</f>
        <v>1.2614999999999998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891.64800000000002</v>
      </c>
      <c r="BN377" s="64">
        <f t="shared" si="60"/>
        <v>897.84</v>
      </c>
      <c r="BO377" s="64">
        <f t="shared" si="61"/>
        <v>1.2</v>
      </c>
      <c r="BP377" s="64">
        <f t="shared" si="62"/>
        <v>1.2083333333333333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4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68</v>
      </c>
      <c r="X379" s="663">
        <v>785</v>
      </c>
      <c r="Y379" s="664">
        <f t="shared" si="58"/>
        <v>795</v>
      </c>
      <c r="Z379" s="36">
        <f>IFERROR(IF(Y379=0,"",ROUNDUP(Y379/H379,0)*0.02175),"")</f>
        <v>1.1527499999999999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810.12000000000012</v>
      </c>
      <c r="BN379" s="64">
        <f t="shared" si="60"/>
        <v>820.44</v>
      </c>
      <c r="BO379" s="64">
        <f t="shared" si="61"/>
        <v>1.0902777777777777</v>
      </c>
      <c r="BP379" s="64">
        <f t="shared" si="62"/>
        <v>1.1041666666666665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68</v>
      </c>
      <c r="X380" s="663">
        <v>1241</v>
      </c>
      <c r="Y380" s="664">
        <f t="shared" si="58"/>
        <v>1245</v>
      </c>
      <c r="Z380" s="36">
        <f>IFERROR(IF(Y380=0,"",ROUNDUP(Y380/H380,0)*0.02175),"")</f>
        <v>1.8052499999999998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1280.712</v>
      </c>
      <c r="BN380" s="64">
        <f t="shared" si="60"/>
        <v>1284.8400000000001</v>
      </c>
      <c r="BO380" s="64">
        <f t="shared" si="61"/>
        <v>1.723611111111111</v>
      </c>
      <c r="BP380" s="64">
        <f t="shared" si="62"/>
        <v>1.7291666666666665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258.13333333333333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260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5.6550000000000002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3872</v>
      </c>
      <c r="Y386" s="665">
        <f>IFERROR(SUM(Y375:Y384),"0")</f>
        <v>3900</v>
      </c>
      <c r="Z386" s="37"/>
      <c r="AA386" s="666"/>
      <c r="AB386" s="666"/>
      <c r="AC386" s="666"/>
    </row>
    <row r="387" spans="1:68" ht="14.25" hidden="1" customHeight="1" x14ac:dyDescent="0.25">
      <c r="A387" s="68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68</v>
      </c>
      <c r="X388" s="663">
        <v>1027</v>
      </c>
      <c r="Y388" s="664">
        <f>IFERROR(IF(X388="",0,CEILING((X388/$H388),1)*$H388),"")</f>
        <v>1035</v>
      </c>
      <c r="Z388" s="36">
        <f>IFERROR(IF(Y388=0,"",ROUNDUP(Y388/H388,0)*0.02175),"")</f>
        <v>1.5007499999999998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1059.864</v>
      </c>
      <c r="BN388" s="64">
        <f>IFERROR(Y388*I388/H388,"0")</f>
        <v>1068.1200000000001</v>
      </c>
      <c r="BO388" s="64">
        <f>IFERROR(1/J388*(X388/H388),"0")</f>
        <v>1.4263888888888889</v>
      </c>
      <c r="BP388" s="64">
        <f>IFERROR(1/J388*(Y388/H388),"0")</f>
        <v>1.4375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68.466666666666669</v>
      </c>
      <c r="Y390" s="665">
        <f>IFERROR(Y388/H388,"0")+IFERROR(Y389/H389,"0")</f>
        <v>69</v>
      </c>
      <c r="Z390" s="665">
        <f>IFERROR(IF(Z388="",0,Z388),"0")+IFERROR(IF(Z389="",0,Z389),"0")</f>
        <v>1.5007499999999998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1027</v>
      </c>
      <c r="Y391" s="665">
        <f>IFERROR(SUM(Y388:Y389),"0")</f>
        <v>1035</v>
      </c>
      <c r="Z391" s="37"/>
      <c r="AA391" s="666"/>
      <c r="AB391" s="666"/>
      <c r="AC391" s="666"/>
    </row>
    <row r="392" spans="1:68" ht="14.25" hidden="1" customHeight="1" x14ac:dyDescent="0.25">
      <c r="A392" s="68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4" t="s">
        <v>606</v>
      </c>
      <c r="Q393" s="682"/>
      <c r="R393" s="682"/>
      <c r="S393" s="682"/>
      <c r="T393" s="683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12" t="s">
        <v>610</v>
      </c>
      <c r="Q394" s="682"/>
      <c r="R394" s="682"/>
      <c r="S394" s="682"/>
      <c r="T394" s="683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8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838" t="s">
        <v>614</v>
      </c>
      <c r="Q398" s="682"/>
      <c r="R398" s="682"/>
      <c r="S398" s="682"/>
      <c r="T398" s="683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686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hidden="1" customHeight="1" x14ac:dyDescent="0.25">
      <c r="A402" s="68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83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8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8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68</v>
      </c>
      <c r="X416" s="663">
        <v>1248</v>
      </c>
      <c r="Y416" s="664">
        <f>IFERROR(IF(X416="",0,CEILING((X416/$H416),1)*$H416),"")</f>
        <v>1251</v>
      </c>
      <c r="Z416" s="36">
        <f>IFERROR(IF(Y416=0,"",ROUNDUP(Y416/H416,0)*0.01898),"")</f>
        <v>2.63822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1319.9679999999998</v>
      </c>
      <c r="BN416" s="64">
        <f>IFERROR(Y416*I416/H416,"0")</f>
        <v>1323.1410000000001</v>
      </c>
      <c r="BO416" s="64">
        <f>IFERROR(1/J416*(X416/H416),"0")</f>
        <v>2.1666666666666665</v>
      </c>
      <c r="BP416" s="64">
        <f>IFERROR(1/J416*(Y416/H416),"0")</f>
        <v>2.171875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47" t="s">
        <v>639</v>
      </c>
      <c r="Q417" s="682"/>
      <c r="R417" s="682"/>
      <c r="S417" s="682"/>
      <c r="T417" s="683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82"/>
      <c r="R418" s="682"/>
      <c r="S418" s="682"/>
      <c r="T418" s="683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0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2"/>
      <c r="R419" s="682"/>
      <c r="S419" s="682"/>
      <c r="T419" s="683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138.66666666666666</v>
      </c>
      <c r="Y421" s="665">
        <f>IFERROR(Y416/H416,"0")+IFERROR(Y417/H417,"0")+IFERROR(Y418/H418,"0")+IFERROR(Y419/H419,"0")+IFERROR(Y420/H420,"0")</f>
        <v>139</v>
      </c>
      <c r="Z421" s="665">
        <f>IFERROR(IF(Z416="",0,Z416),"0")+IFERROR(IF(Z417="",0,Z417),"0")+IFERROR(IF(Z418="",0,Z418),"0")+IFERROR(IF(Z419="",0,Z419),"0")+IFERROR(IF(Z420="",0,Z420),"0")</f>
        <v>2.63822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1248</v>
      </c>
      <c r="Y422" s="665">
        <f>IFERROR(SUM(Y416:Y420),"0")</f>
        <v>1251</v>
      </c>
      <c r="Z422" s="37"/>
      <c r="AA422" s="666"/>
      <c r="AB422" s="666"/>
      <c r="AC422" s="666"/>
    </row>
    <row r="423" spans="1:68" ht="14.25" hidden="1" customHeight="1" x14ac:dyDescent="0.25">
      <c r="A423" s="68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0" t="s">
        <v>650</v>
      </c>
      <c r="Q424" s="682"/>
      <c r="R424" s="682"/>
      <c r="S424" s="682"/>
      <c r="T424" s="683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90" t="s">
        <v>652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hidden="1" customHeight="1" x14ac:dyDescent="0.25">
      <c r="A428" s="686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hidden="1" customHeight="1" x14ac:dyDescent="0.25">
      <c r="A429" s="68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63" t="s">
        <v>656</v>
      </c>
      <c r="Q430" s="682"/>
      <c r="R430" s="682"/>
      <c r="S430" s="682"/>
      <c r="T430" s="683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30" t="s">
        <v>660</v>
      </c>
      <c r="Q431" s="682"/>
      <c r="R431" s="682"/>
      <c r="S431" s="682"/>
      <c r="T431" s="683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27" t="s">
        <v>660</v>
      </c>
      <c r="Q432" s="682"/>
      <c r="R432" s="682"/>
      <c r="S432" s="682"/>
      <c r="T432" s="683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0" t="s">
        <v>665</v>
      </c>
      <c r="Q433" s="682"/>
      <c r="R433" s="682"/>
      <c r="S433" s="682"/>
      <c r="T433" s="683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17" t="s">
        <v>670</v>
      </c>
      <c r="Q435" s="682"/>
      <c r="R435" s="682"/>
      <c r="S435" s="682"/>
      <c r="T435" s="683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09" t="s">
        <v>680</v>
      </c>
      <c r="Q439" s="682"/>
      <c r="R439" s="682"/>
      <c r="S439" s="682"/>
      <c r="T439" s="683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8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686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hidden="1" customHeight="1" x14ac:dyDescent="0.25">
      <c r="A450" s="68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8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72" t="s">
        <v>701</v>
      </c>
      <c r="Q456" s="682"/>
      <c r="R456" s="682"/>
      <c r="S456" s="682"/>
      <c r="T456" s="683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991" t="s">
        <v>708</v>
      </c>
      <c r="Q458" s="682"/>
      <c r="R458" s="682"/>
      <c r="S458" s="682"/>
      <c r="T458" s="683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686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hidden="1" customHeight="1" x14ac:dyDescent="0.25">
      <c r="A463" s="68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98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60" t="s">
        <v>718</v>
      </c>
      <c r="Q465" s="682"/>
      <c r="R465" s="682"/>
      <c r="S465" s="682"/>
      <c r="T465" s="683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686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hidden="1" customHeight="1" x14ac:dyDescent="0.25">
      <c r="A469" s="68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8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90" t="s">
        <v>727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hidden="1" customHeight="1" x14ac:dyDescent="0.25">
      <c r="A478" s="686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hidden="1" customHeight="1" x14ac:dyDescent="0.25">
      <c r="A479" s="68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10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68</v>
      </c>
      <c r="X482" s="663">
        <v>1007</v>
      </c>
      <c r="Y482" s="664">
        <f t="shared" si="69"/>
        <v>1008.48</v>
      </c>
      <c r="Z482" s="36">
        <f>IFERROR(IF(Y482=0,"",ROUNDUP(Y482/H482,0)*0.01196),"")</f>
        <v>2.2843599999999999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1075.6590909090908</v>
      </c>
      <c r="BN482" s="64">
        <f t="shared" si="71"/>
        <v>1077.24</v>
      </c>
      <c r="BO482" s="64">
        <f t="shared" si="72"/>
        <v>1.8338432400932403</v>
      </c>
      <c r="BP482" s="64">
        <f t="shared" si="73"/>
        <v>1.8365384615384617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68</v>
      </c>
      <c r="X483" s="663">
        <v>920</v>
      </c>
      <c r="Y483" s="664">
        <f t="shared" si="69"/>
        <v>924</v>
      </c>
      <c r="Z483" s="36">
        <f>IFERROR(IF(Y483=0,"",ROUNDUP(Y483/H483,0)*0.01196),"")</f>
        <v>2.093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982.72727272727252</v>
      </c>
      <c r="BN483" s="64">
        <f t="shared" si="71"/>
        <v>986.99999999999989</v>
      </c>
      <c r="BO483" s="64">
        <f t="shared" si="72"/>
        <v>1.6754079254079253</v>
      </c>
      <c r="BP483" s="64">
        <f t="shared" si="73"/>
        <v>1.6826923076923077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34" t="s">
        <v>745</v>
      </c>
      <c r="Q485" s="682"/>
      <c r="R485" s="682"/>
      <c r="S485" s="682"/>
      <c r="T485" s="683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6">
        <v>4680115880603</v>
      </c>
      <c r="E486" s="677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2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82"/>
      <c r="R486" s="682"/>
      <c r="S486" s="682"/>
      <c r="T486" s="683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6">
        <v>4680115880603</v>
      </c>
      <c r="E487" s="677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2"/>
      <c r="R487" s="682"/>
      <c r="S487" s="682"/>
      <c r="T487" s="683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4" t="s">
        <v>753</v>
      </c>
      <c r="Q489" s="682"/>
      <c r="R489" s="682"/>
      <c r="S489" s="682"/>
      <c r="T489" s="683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83" t="s">
        <v>756</v>
      </c>
      <c r="Q490" s="682"/>
      <c r="R490" s="682"/>
      <c r="S490" s="682"/>
      <c r="T490" s="683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916" t="s">
        <v>760</v>
      </c>
      <c r="Q491" s="682"/>
      <c r="R491" s="682"/>
      <c r="S491" s="682"/>
      <c r="T491" s="683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6">
        <v>4607091389982</v>
      </c>
      <c r="E492" s="677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7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6">
        <v>4607091389982</v>
      </c>
      <c r="E493" s="677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102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364.96212121212119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366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4.3773599999999995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1927</v>
      </c>
      <c r="Y496" s="665">
        <f>IFERROR(SUM(Y480:Y494),"0")</f>
        <v>1932.48</v>
      </c>
      <c r="Z496" s="37"/>
      <c r="AA496" s="666"/>
      <c r="AB496" s="666"/>
      <c r="AC496" s="666"/>
    </row>
    <row r="497" spans="1:68" ht="14.25" hidden="1" customHeight="1" x14ac:dyDescent="0.25">
      <c r="A497" s="68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7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82"/>
      <c r="R498" s="682"/>
      <c r="S498" s="682"/>
      <c r="T498" s="683"/>
      <c r="U498" s="34"/>
      <c r="V498" s="34"/>
      <c r="W498" s="35" t="s">
        <v>68</v>
      </c>
      <c r="X498" s="663">
        <v>608</v>
      </c>
      <c r="Y498" s="664">
        <f>IFERROR(IF(X498="",0,CEILING((X498/$H498),1)*$H498),"")</f>
        <v>612.48</v>
      </c>
      <c r="Z498" s="36">
        <f>IFERROR(IF(Y498=0,"",ROUNDUP(Y498/H498,0)*0.01196),"")</f>
        <v>1.3873599999999999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649.45454545454538</v>
      </c>
      <c r="BN498" s="64">
        <f>IFERROR(Y498*I498/H498,"0")</f>
        <v>654.24</v>
      </c>
      <c r="BO498" s="64">
        <f>IFERROR(1/J498*(X498/H498),"0")</f>
        <v>1.1072261072261071</v>
      </c>
      <c r="BP498" s="64">
        <f>IFERROR(1/J498*(Y498/H498),"0")</f>
        <v>1.1153846153846154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1" t="s">
        <v>770</v>
      </c>
      <c r="Q499" s="682"/>
      <c r="R499" s="682"/>
      <c r="S499" s="682"/>
      <c r="T499" s="683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31" t="s">
        <v>774</v>
      </c>
      <c r="Q500" s="682"/>
      <c r="R500" s="682"/>
      <c r="S500" s="682"/>
      <c r="T500" s="683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19" t="s">
        <v>777</v>
      </c>
      <c r="Q501" s="682"/>
      <c r="R501" s="682"/>
      <c r="S501" s="682"/>
      <c r="T501" s="683"/>
      <c r="U501" s="34"/>
      <c r="V501" s="34"/>
      <c r="W501" s="35" t="s">
        <v>68</v>
      </c>
      <c r="X501" s="663">
        <v>65</v>
      </c>
      <c r="Y501" s="664">
        <f>IFERROR(IF(X501="",0,CEILING((X501/$H501),1)*$H501),"")</f>
        <v>67.2</v>
      </c>
      <c r="Z501" s="36">
        <f>IFERROR(IF(Y501=0,"",ROUNDUP(Y501/H501,0)*0.00902),"")</f>
        <v>0.12628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93.84375</v>
      </c>
      <c r="BN501" s="64">
        <f>IFERROR(Y501*I501/H501,"0")</f>
        <v>97.02000000000001</v>
      </c>
      <c r="BO501" s="64">
        <f>IFERROR(1/J501*(X501/H501),"0")</f>
        <v>0.10258838383838385</v>
      </c>
      <c r="BP501" s="64">
        <f>IFERROR(1/J501*(Y501/H501),"0")</f>
        <v>0.10606060606060608</v>
      </c>
    </row>
    <row r="502" spans="1:68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128.69318181818181</v>
      </c>
      <c r="Y502" s="665">
        <f>IFERROR(Y498/H498,"0")+IFERROR(Y499/H499,"0")+IFERROR(Y500/H500,"0")+IFERROR(Y501/H501,"0")</f>
        <v>130</v>
      </c>
      <c r="Z502" s="665">
        <f>IFERROR(IF(Z498="",0,Z498),"0")+IFERROR(IF(Z499="",0,Z499),"0")+IFERROR(IF(Z500="",0,Z500),"0")+IFERROR(IF(Z501="",0,Z501),"0")</f>
        <v>1.5136399999999999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673</v>
      </c>
      <c r="Y503" s="665">
        <f>IFERROR(SUM(Y498:Y501),"0")</f>
        <v>679.68000000000006</v>
      </c>
      <c r="Z503" s="37"/>
      <c r="AA503" s="666"/>
      <c r="AB503" s="666"/>
      <c r="AC503" s="666"/>
    </row>
    <row r="504" spans="1:68" ht="14.25" hidden="1" customHeight="1" x14ac:dyDescent="0.25">
      <c r="A504" s="68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685" t="s">
        <v>780</v>
      </c>
      <c r="Q505" s="682"/>
      <c r="R505" s="682"/>
      <c r="S505" s="682"/>
      <c r="T505" s="683"/>
      <c r="U505" s="34"/>
      <c r="V505" s="34"/>
      <c r="W505" s="35" t="s">
        <v>68</v>
      </c>
      <c r="X505" s="663">
        <v>546</v>
      </c>
      <c r="Y505" s="664">
        <f t="shared" ref="Y505:Y516" si="74">IFERROR(IF(X505="",0,CEILING((X505/$H505),1)*$H505),"")</f>
        <v>549.12</v>
      </c>
      <c r="Z505" s="36">
        <f>IFERROR(IF(Y505=0,"",ROUNDUP(Y505/H505,0)*0.01196),"")</f>
        <v>1.2438400000000001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583.22727272727263</v>
      </c>
      <c r="BN505" s="64">
        <f t="shared" ref="BN505:BN516" si="76">IFERROR(Y505*I505/H505,"0")</f>
        <v>586.55999999999995</v>
      </c>
      <c r="BO505" s="64">
        <f t="shared" ref="BO505:BO516" si="77">IFERROR(1/J505*(X505/H505),"0")</f>
        <v>0.99431818181818188</v>
      </c>
      <c r="BP505" s="64">
        <f t="shared" ref="BP505:BP516" si="78">IFERROR(1/J505*(Y505/H505),"0")</f>
        <v>1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59" t="s">
        <v>784</v>
      </c>
      <c r="Q506" s="682"/>
      <c r="R506" s="682"/>
      <c r="S506" s="682"/>
      <c r="T506" s="683"/>
      <c r="U506" s="34"/>
      <c r="V506" s="34"/>
      <c r="W506" s="35" t="s">
        <v>68</v>
      </c>
      <c r="X506" s="663">
        <v>546</v>
      </c>
      <c r="Y506" s="664">
        <f t="shared" si="74"/>
        <v>549.12</v>
      </c>
      <c r="Z506" s="36">
        <f>IFERROR(IF(Y506=0,"",ROUNDUP(Y506/H506,0)*0.01196),"")</f>
        <v>1.2438400000000001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583.22727272727263</v>
      </c>
      <c r="BN506" s="64">
        <f t="shared" si="76"/>
        <v>586.55999999999995</v>
      </c>
      <c r="BO506" s="64">
        <f t="shared" si="77"/>
        <v>0.99431818181818188</v>
      </c>
      <c r="BP506" s="64">
        <f t="shared" si="78"/>
        <v>1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87" t="s">
        <v>788</v>
      </c>
      <c r="Q507" s="682"/>
      <c r="R507" s="682"/>
      <c r="S507" s="682"/>
      <c r="T507" s="683"/>
      <c r="U507" s="34"/>
      <c r="V507" s="34"/>
      <c r="W507" s="35" t="s">
        <v>68</v>
      </c>
      <c r="X507" s="663">
        <v>575</v>
      </c>
      <c r="Y507" s="664">
        <f t="shared" si="74"/>
        <v>575.52</v>
      </c>
      <c r="Z507" s="36">
        <f>IFERROR(IF(Y507=0,"",ROUNDUP(Y507/H507,0)*0.01196),"")</f>
        <v>1.3036399999999999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614.20454545454538</v>
      </c>
      <c r="BN507" s="64">
        <f t="shared" si="76"/>
        <v>614.75999999999988</v>
      </c>
      <c r="BO507" s="64">
        <f t="shared" si="77"/>
        <v>1.0471299533799534</v>
      </c>
      <c r="BP507" s="64">
        <f t="shared" si="78"/>
        <v>1.0480769230769229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71" t="s">
        <v>792</v>
      </c>
      <c r="Q508" s="682"/>
      <c r="R508" s="682"/>
      <c r="S508" s="682"/>
      <c r="T508" s="683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6">
        <v>4680115882072</v>
      </c>
      <c r="E509" s="677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44" t="s">
        <v>795</v>
      </c>
      <c r="Q509" s="682"/>
      <c r="R509" s="682"/>
      <c r="S509" s="682"/>
      <c r="T509" s="683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6">
        <v>4680115882072</v>
      </c>
      <c r="E510" s="677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796" t="s">
        <v>797</v>
      </c>
      <c r="Q510" s="682"/>
      <c r="R510" s="682"/>
      <c r="S510" s="682"/>
      <c r="T510" s="683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2"/>
      <c r="R511" s="682"/>
      <c r="S511" s="682"/>
      <c r="T511" s="683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6">
        <v>4680115882102</v>
      </c>
      <c r="E512" s="677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10" t="s">
        <v>802</v>
      </c>
      <c r="Q512" s="682"/>
      <c r="R512" s="682"/>
      <c r="S512" s="682"/>
      <c r="T512" s="683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6">
        <v>4680115882102</v>
      </c>
      <c r="E513" s="677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2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2"/>
      <c r="R513" s="682"/>
      <c r="S513" s="682"/>
      <c r="T513" s="683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3" t="s">
        <v>807</v>
      </c>
      <c r="Q514" s="682"/>
      <c r="R514" s="682"/>
      <c r="S514" s="682"/>
      <c r="T514" s="683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6">
        <v>4680115882096</v>
      </c>
      <c r="E515" s="677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3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2"/>
      <c r="R515" s="682"/>
      <c r="S515" s="682"/>
      <c r="T515" s="683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6">
        <v>4680115882096</v>
      </c>
      <c r="E516" s="677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6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82"/>
      <c r="R516" s="682"/>
      <c r="S516" s="682"/>
      <c r="T516" s="683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315.71969696969694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317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3.7913199999999998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1667</v>
      </c>
      <c r="Y518" s="665">
        <f>IFERROR(SUM(Y505:Y516),"0")</f>
        <v>1673.76</v>
      </c>
      <c r="Z518" s="37"/>
      <c r="AA518" s="666"/>
      <c r="AB518" s="666"/>
      <c r="AC518" s="666"/>
    </row>
    <row r="519" spans="1:68" ht="14.25" hidden="1" customHeight="1" x14ac:dyDescent="0.25">
      <c r="A519" s="68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10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10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8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1007" t="s">
        <v>825</v>
      </c>
      <c r="Q527" s="682"/>
      <c r="R527" s="682"/>
      <c r="S527" s="682"/>
      <c r="T527" s="683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90" t="s">
        <v>826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hidden="1" customHeight="1" x14ac:dyDescent="0.25">
      <c r="A531" s="686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hidden="1" customHeight="1" x14ac:dyDescent="0.25">
      <c r="A532" s="68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60" t="s">
        <v>829</v>
      </c>
      <c r="Q533" s="682"/>
      <c r="R533" s="682"/>
      <c r="S533" s="682"/>
      <c r="T533" s="683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8" t="s">
        <v>833</v>
      </c>
      <c r="Q534" s="682"/>
      <c r="R534" s="682"/>
      <c r="S534" s="682"/>
      <c r="T534" s="683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32" t="s">
        <v>837</v>
      </c>
      <c r="Q535" s="682"/>
      <c r="R535" s="682"/>
      <c r="S535" s="682"/>
      <c r="T535" s="683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844" t="s">
        <v>841</v>
      </c>
      <c r="Q536" s="682"/>
      <c r="R536" s="682"/>
      <c r="S536" s="682"/>
      <c r="T536" s="683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970" t="s">
        <v>845</v>
      </c>
      <c r="Q537" s="682"/>
      <c r="R537" s="682"/>
      <c r="S537" s="682"/>
      <c r="T537" s="683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50" t="s">
        <v>848</v>
      </c>
      <c r="Q538" s="682"/>
      <c r="R538" s="682"/>
      <c r="S538" s="682"/>
      <c r="T538" s="683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8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6">
        <v>4640242180519</v>
      </c>
      <c r="E542" s="677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1016" t="s">
        <v>851</v>
      </c>
      <c r="Q542" s="682"/>
      <c r="R542" s="682"/>
      <c r="S542" s="682"/>
      <c r="T542" s="683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6">
        <v>4640242180519</v>
      </c>
      <c r="E543" s="677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14" t="s">
        <v>854</v>
      </c>
      <c r="Q543" s="682"/>
      <c r="R543" s="682"/>
      <c r="S543" s="682"/>
      <c r="T543" s="683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1" t="s">
        <v>858</v>
      </c>
      <c r="Q544" s="682"/>
      <c r="R544" s="682"/>
      <c r="S544" s="682"/>
      <c r="T544" s="683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861</v>
      </c>
      <c r="Q545" s="682"/>
      <c r="R545" s="682"/>
      <c r="S545" s="682"/>
      <c r="T545" s="683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1022" t="s">
        <v>865</v>
      </c>
      <c r="Q546" s="682"/>
      <c r="R546" s="682"/>
      <c r="S546" s="682"/>
      <c r="T546" s="683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8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997" t="s">
        <v>868</v>
      </c>
      <c r="Q550" s="682"/>
      <c r="R550" s="682"/>
      <c r="S550" s="682"/>
      <c r="T550" s="683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92" t="s">
        <v>872</v>
      </c>
      <c r="Q551" s="682"/>
      <c r="R551" s="682"/>
      <c r="S551" s="682"/>
      <c r="T551" s="683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7" t="s">
        <v>876</v>
      </c>
      <c r="Q552" s="682"/>
      <c r="R552" s="682"/>
      <c r="S552" s="682"/>
      <c r="T552" s="683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86" t="s">
        <v>880</v>
      </c>
      <c r="Q553" s="682"/>
      <c r="R553" s="682"/>
      <c r="S553" s="682"/>
      <c r="T553" s="683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22" t="s">
        <v>884</v>
      </c>
      <c r="Q554" s="682"/>
      <c r="R554" s="682"/>
      <c r="S554" s="682"/>
      <c r="T554" s="683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82" t="s">
        <v>888</v>
      </c>
      <c r="Q555" s="682"/>
      <c r="R555" s="682"/>
      <c r="S555" s="682"/>
      <c r="T555" s="683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45" t="s">
        <v>891</v>
      </c>
      <c r="Q556" s="682"/>
      <c r="R556" s="682"/>
      <c r="S556" s="682"/>
      <c r="T556" s="683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8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6">
        <v>4640242180533</v>
      </c>
      <c r="E560" s="677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767" t="s">
        <v>894</v>
      </c>
      <c r="Q560" s="682"/>
      <c r="R560" s="682"/>
      <c r="S560" s="682"/>
      <c r="T560" s="683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6">
        <v>4640242180533</v>
      </c>
      <c r="E561" s="677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3" t="s">
        <v>894</v>
      </c>
      <c r="Q561" s="682"/>
      <c r="R561" s="682"/>
      <c r="S561" s="682"/>
      <c r="T561" s="683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1" t="s">
        <v>899</v>
      </c>
      <c r="Q562" s="682"/>
      <c r="R562" s="682"/>
      <c r="S562" s="682"/>
      <c r="T562" s="683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992" t="s">
        <v>903</v>
      </c>
      <c r="Q563" s="682"/>
      <c r="R563" s="682"/>
      <c r="S563" s="682"/>
      <c r="T563" s="683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3" t="s">
        <v>906</v>
      </c>
      <c r="Q564" s="682"/>
      <c r="R564" s="682"/>
      <c r="S564" s="682"/>
      <c r="T564" s="683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8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6">
        <v>4640242180120</v>
      </c>
      <c r="E568" s="677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16" t="s">
        <v>909</v>
      </c>
      <c r="Q568" s="682"/>
      <c r="R568" s="682"/>
      <c r="S568" s="682"/>
      <c r="T568" s="683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6">
        <v>4640242180120</v>
      </c>
      <c r="E569" s="677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6" t="s">
        <v>912</v>
      </c>
      <c r="Q569" s="682"/>
      <c r="R569" s="682"/>
      <c r="S569" s="682"/>
      <c r="T569" s="683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6">
        <v>4640242180137</v>
      </c>
      <c r="E570" s="677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1019" t="s">
        <v>915</v>
      </c>
      <c r="Q570" s="682"/>
      <c r="R570" s="682"/>
      <c r="S570" s="682"/>
      <c r="T570" s="683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6">
        <v>4640242180137</v>
      </c>
      <c r="E571" s="677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1020" t="s">
        <v>918</v>
      </c>
      <c r="Q571" s="682"/>
      <c r="R571" s="682"/>
      <c r="S571" s="682"/>
      <c r="T571" s="683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686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hidden="1" customHeight="1" x14ac:dyDescent="0.25">
      <c r="A575" s="68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759" t="s">
        <v>922</v>
      </c>
      <c r="Q576" s="682"/>
      <c r="R576" s="682"/>
      <c r="S576" s="682"/>
      <c r="T576" s="683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8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80" t="s">
        <v>926</v>
      </c>
      <c r="Q580" s="682"/>
      <c r="R580" s="682"/>
      <c r="S580" s="682"/>
      <c r="T580" s="683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8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44" t="s">
        <v>930</v>
      </c>
      <c r="Q584" s="682"/>
      <c r="R584" s="682"/>
      <c r="S584" s="682"/>
      <c r="T584" s="683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8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46" t="s">
        <v>934</v>
      </c>
      <c r="Q588" s="682"/>
      <c r="R588" s="682"/>
      <c r="S588" s="682"/>
      <c r="T588" s="683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1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2"/>
      <c r="P591" s="673" t="s">
        <v>936</v>
      </c>
      <c r="Q591" s="674"/>
      <c r="R591" s="674"/>
      <c r="S591" s="674"/>
      <c r="T591" s="674"/>
      <c r="U591" s="674"/>
      <c r="V591" s="675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15466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15614.58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2"/>
      <c r="P592" s="673" t="s">
        <v>937</v>
      </c>
      <c r="Q592" s="674"/>
      <c r="R592" s="674"/>
      <c r="S592" s="674"/>
      <c r="T592" s="674"/>
      <c r="U592" s="674"/>
      <c r="V592" s="675"/>
      <c r="W592" s="37" t="s">
        <v>68</v>
      </c>
      <c r="X592" s="665">
        <f>IFERROR(SUM(BM22:BM588),"0")</f>
        <v>16361.692733491602</v>
      </c>
      <c r="Y592" s="665">
        <f>IFERROR(SUM(BN22:BN588),"0")</f>
        <v>16519.350999999999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2"/>
      <c r="P593" s="673" t="s">
        <v>938</v>
      </c>
      <c r="Q593" s="674"/>
      <c r="R593" s="674"/>
      <c r="S593" s="674"/>
      <c r="T593" s="674"/>
      <c r="U593" s="674"/>
      <c r="V593" s="675"/>
      <c r="W593" s="37" t="s">
        <v>939</v>
      </c>
      <c r="X593" s="38">
        <f>ROUNDUP(SUM(BO22:BO588),0)</f>
        <v>27</v>
      </c>
      <c r="Y593" s="38">
        <f>ROUNDUP(SUM(BP22:BP588),0)</f>
        <v>27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2"/>
      <c r="P594" s="673" t="s">
        <v>940</v>
      </c>
      <c r="Q594" s="674"/>
      <c r="R594" s="674"/>
      <c r="S594" s="674"/>
      <c r="T594" s="674"/>
      <c r="U594" s="674"/>
      <c r="V594" s="675"/>
      <c r="W594" s="37" t="s">
        <v>68</v>
      </c>
      <c r="X594" s="665">
        <f>GrossWeightTotal+PalletQtyTotal*25</f>
        <v>17036.692733491604</v>
      </c>
      <c r="Y594" s="665">
        <f>GrossWeightTotalR+PalletQtyTotalR*25</f>
        <v>17194.350999999999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2"/>
      <c r="P595" s="673" t="s">
        <v>941</v>
      </c>
      <c r="Q595" s="674"/>
      <c r="R595" s="674"/>
      <c r="S595" s="674"/>
      <c r="T595" s="674"/>
      <c r="U595" s="674"/>
      <c r="V595" s="675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2539.3681717745108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2565</v>
      </c>
      <c r="Z595" s="37"/>
      <c r="AA595" s="666"/>
      <c r="AB595" s="666"/>
      <c r="AC595" s="666"/>
    </row>
    <row r="596" spans="1:32" ht="14.25" hidden="1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2"/>
      <c r="P596" s="673" t="s">
        <v>942</v>
      </c>
      <c r="Q596" s="674"/>
      <c r="R596" s="674"/>
      <c r="S596" s="674"/>
      <c r="T596" s="674"/>
      <c r="U596" s="674"/>
      <c r="V596" s="675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31.242569999999997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9" t="s">
        <v>95</v>
      </c>
      <c r="D598" s="735"/>
      <c r="E598" s="735"/>
      <c r="F598" s="735"/>
      <c r="G598" s="735"/>
      <c r="H598" s="726"/>
      <c r="I598" s="699" t="s">
        <v>283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574</v>
      </c>
      <c r="X598" s="726"/>
      <c r="Y598" s="699" t="s">
        <v>652</v>
      </c>
      <c r="Z598" s="735"/>
      <c r="AA598" s="735"/>
      <c r="AB598" s="726"/>
      <c r="AC598" s="660" t="s">
        <v>727</v>
      </c>
      <c r="AD598" s="699" t="s">
        <v>826</v>
      </c>
      <c r="AE598" s="726"/>
      <c r="AF598" s="661"/>
    </row>
    <row r="599" spans="1:32" ht="14.25" customHeight="1" thickTop="1" x14ac:dyDescent="0.2">
      <c r="A599" s="920" t="s">
        <v>945</v>
      </c>
      <c r="B599" s="699" t="s">
        <v>62</v>
      </c>
      <c r="C599" s="699" t="s">
        <v>96</v>
      </c>
      <c r="D599" s="699" t="s">
        <v>115</v>
      </c>
      <c r="E599" s="699" t="s">
        <v>178</v>
      </c>
      <c r="F599" s="699" t="s">
        <v>209</v>
      </c>
      <c r="G599" s="699" t="s">
        <v>254</v>
      </c>
      <c r="H599" s="699" t="s">
        <v>95</v>
      </c>
      <c r="I599" s="699" t="s">
        <v>284</v>
      </c>
      <c r="J599" s="699" t="s">
        <v>319</v>
      </c>
      <c r="K599" s="699" t="s">
        <v>380</v>
      </c>
      <c r="L599" s="699" t="s">
        <v>415</v>
      </c>
      <c r="M599" s="699" t="s">
        <v>433</v>
      </c>
      <c r="N599" s="661"/>
      <c r="O599" s="699" t="s">
        <v>437</v>
      </c>
      <c r="P599" s="699" t="s">
        <v>446</v>
      </c>
      <c r="Q599" s="699" t="s">
        <v>460</v>
      </c>
      <c r="R599" s="699" t="s">
        <v>470</v>
      </c>
      <c r="S599" s="699" t="s">
        <v>474</v>
      </c>
      <c r="T599" s="699" t="s">
        <v>482</v>
      </c>
      <c r="U599" s="699" t="s">
        <v>487</v>
      </c>
      <c r="V599" s="699" t="s">
        <v>561</v>
      </c>
      <c r="W599" s="699" t="s">
        <v>575</v>
      </c>
      <c r="X599" s="699" t="s">
        <v>616</v>
      </c>
      <c r="Y599" s="699" t="s">
        <v>653</v>
      </c>
      <c r="Z599" s="699" t="s">
        <v>692</v>
      </c>
      <c r="AA599" s="699" t="s">
        <v>712</v>
      </c>
      <c r="AB599" s="699" t="s">
        <v>720</v>
      </c>
      <c r="AC599" s="699" t="s">
        <v>727</v>
      </c>
      <c r="AD599" s="699" t="s">
        <v>826</v>
      </c>
      <c r="AE599" s="699" t="s">
        <v>919</v>
      </c>
      <c r="AF599" s="661"/>
    </row>
    <row r="600" spans="1:32" ht="13.5" customHeight="1" thickBot="1" x14ac:dyDescent="0.25">
      <c r="A600" s="921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2.4</v>
      </c>
      <c r="C601" s="46">
        <f>IFERROR(Y37*1,"0")+IFERROR(Y38*1,"0")+IFERROR(Y39*1,"0")+IFERROR(Y40*1,"0")+IFERROR(Y44*1,"0")</f>
        <v>172.8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264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496.8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1147.2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561.06000000000006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1628.4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870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4935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1251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4285.92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7,00"/>
        <filter val="1 027,00"/>
        <filter val="1 135,00"/>
        <filter val="1 241,00"/>
        <filter val="1 248,00"/>
        <filter val="1 667,00"/>
        <filter val="1 927,00"/>
        <filter val="1,01"/>
        <filter val="10,00"/>
        <filter val="104,23"/>
        <filter val="108,00"/>
        <filter val="116,85"/>
        <filter val="120,00"/>
        <filter val="122,00"/>
        <filter val="127,00"/>
        <filter val="128,69"/>
        <filter val="138,67"/>
        <filter val="15 466,00"/>
        <filter val="15,28"/>
        <filter val="150,00"/>
        <filter val="158,28"/>
        <filter val="16 361,69"/>
        <filter val="16,25"/>
        <filter val="16,62"/>
        <filter val="165,00"/>
        <filter val="17 036,69"/>
        <filter val="17,00"/>
        <filter val="18,00"/>
        <filter val="18,82"/>
        <filter val="188,00"/>
        <filter val="191,00"/>
        <filter val="2 539,37"/>
        <filter val="2,00"/>
        <filter val="218,10"/>
        <filter val="22,00"/>
        <filter val="22,04"/>
        <filter val="220,00"/>
        <filter val="225,00"/>
        <filter val="230,00"/>
        <filter val="238,00"/>
        <filter val="248,00"/>
        <filter val="257,00"/>
        <filter val="258,13"/>
        <filter val="27"/>
        <filter val="27,00"/>
        <filter val="281,00"/>
        <filter val="298,00"/>
        <filter val="3 872,00"/>
        <filter val="3,00"/>
        <filter val="3,21"/>
        <filter val="3,33"/>
        <filter val="30,00"/>
        <filter val="315,72"/>
        <filter val="35,00"/>
        <filter val="357,00"/>
        <filter val="36,41"/>
        <filter val="364,96"/>
        <filter val="39,00"/>
        <filter val="41,00"/>
        <filter val="416,19"/>
        <filter val="431,00"/>
        <filter val="45,00"/>
        <filter val="48,00"/>
        <filter val="530,00"/>
        <filter val="546,00"/>
        <filter val="552,00"/>
        <filter val="575,00"/>
        <filter val="608,00"/>
        <filter val="65,00"/>
        <filter val="673,00"/>
        <filter val="68,00"/>
        <filter val="68,47"/>
        <filter val="70,00"/>
        <filter val="785,00"/>
        <filter val="787,00"/>
        <filter val="813,00"/>
        <filter val="85,00"/>
        <filter val="864,00"/>
        <filter val="89,00"/>
        <filter val="9,00"/>
        <filter val="91,85"/>
        <filter val="920,00"/>
        <filter val="982,00"/>
      </filters>
    </filterColumn>
    <filterColumn colId="29" showButton="0"/>
    <filterColumn colId="30" showButton="0"/>
  </autoFilter>
  <mergeCells count="1054"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D378:E378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A579:Z579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A353:O354"/>
    <mergeCell ref="P494:T494"/>
    <mergeCell ref="P546:T546"/>
    <mergeCell ref="P350:T350"/>
    <mergeCell ref="A168:Z168"/>
    <mergeCell ref="P347:V347"/>
    <mergeCell ref="P288:V288"/>
    <mergeCell ref="P73:T73"/>
    <mergeCell ref="P437:T43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F599:F600"/>
    <mergeCell ref="P265:T265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P39:T39"/>
    <mergeCell ref="P537:T53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W598:X598"/>
    <mergeCell ref="D309:E30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P419:T41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P89:T89"/>
    <mergeCell ref="P219:T219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