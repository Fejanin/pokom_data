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B42FD6D-E667-4710-BB93-248CC620150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Y590" i="1" s="1"/>
  <c r="X586" i="1"/>
  <c r="X585" i="1"/>
  <c r="BO584" i="1"/>
  <c r="BM584" i="1"/>
  <c r="Y584" i="1"/>
  <c r="X582" i="1"/>
  <c r="X581" i="1"/>
  <c r="BO580" i="1"/>
  <c r="BM580" i="1"/>
  <c r="Y580" i="1"/>
  <c r="X578" i="1"/>
  <c r="X577" i="1"/>
  <c r="BO576" i="1"/>
  <c r="BM576" i="1"/>
  <c r="Y576" i="1"/>
  <c r="X573" i="1"/>
  <c r="X572" i="1"/>
  <c r="BO571" i="1"/>
  <c r="BM571" i="1"/>
  <c r="Y571" i="1"/>
  <c r="BO570" i="1"/>
  <c r="BM570" i="1"/>
  <c r="Y570" i="1"/>
  <c r="BO569" i="1"/>
  <c r="BM569" i="1"/>
  <c r="Y569" i="1"/>
  <c r="BO568" i="1"/>
  <c r="BM568" i="1"/>
  <c r="Y568" i="1"/>
  <c r="X566" i="1"/>
  <c r="Y565" i="1"/>
  <c r="X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Y561" i="1"/>
  <c r="BP560" i="1"/>
  <c r="BO560" i="1"/>
  <c r="BN560" i="1"/>
  <c r="BM560" i="1"/>
  <c r="Z560" i="1"/>
  <c r="Z565" i="1" s="1"/>
  <c r="Y560" i="1"/>
  <c r="Y566" i="1" s="1"/>
  <c r="X558" i="1"/>
  <c r="X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P534" i="1" s="1"/>
  <c r="BO533" i="1"/>
  <c r="BM533" i="1"/>
  <c r="Y533" i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BP522" i="1" s="1"/>
  <c r="P522" i="1"/>
  <c r="BO521" i="1"/>
  <c r="BM521" i="1"/>
  <c r="Y521" i="1"/>
  <c r="BP521" i="1" s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Y601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O417" i="1"/>
  <c r="BM417" i="1"/>
  <c r="Y417" i="1"/>
  <c r="BO416" i="1"/>
  <c r="BM416" i="1"/>
  <c r="Y416" i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BP407" i="1" s="1"/>
  <c r="P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BP404" i="1" s="1"/>
  <c r="P404" i="1"/>
  <c r="BO403" i="1"/>
  <c r="BM403" i="1"/>
  <c r="Y403" i="1"/>
  <c r="P403" i="1"/>
  <c r="X400" i="1"/>
  <c r="X399" i="1"/>
  <c r="BO398" i="1"/>
  <c r="BM398" i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BP384" i="1" s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O378" i="1"/>
  <c r="BM378" i="1"/>
  <c r="Y378" i="1"/>
  <c r="P378" i="1"/>
  <c r="BO377" i="1"/>
  <c r="BM377" i="1"/>
  <c r="Y377" i="1"/>
  <c r="BP377" i="1" s="1"/>
  <c r="P377" i="1"/>
  <c r="BO376" i="1"/>
  <c r="BM376" i="1"/>
  <c r="Y376" i="1"/>
  <c r="BP376" i="1" s="1"/>
  <c r="P376" i="1"/>
  <c r="BO375" i="1"/>
  <c r="BM375" i="1"/>
  <c r="Y375" i="1"/>
  <c r="P375" i="1"/>
  <c r="X371" i="1"/>
  <c r="X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V601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X347" i="1"/>
  <c r="X346" i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BP335" i="1" s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BP321" i="1" s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BN299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BP212" i="1" s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P158" i="1"/>
  <c r="BO157" i="1"/>
  <c r="BM157" i="1"/>
  <c r="Y157" i="1"/>
  <c r="BP157" i="1" s="1"/>
  <c r="P157" i="1"/>
  <c r="X155" i="1"/>
  <c r="X154" i="1"/>
  <c r="BO153" i="1"/>
  <c r="BM153" i="1"/>
  <c r="Y153" i="1"/>
  <c r="Y154" i="1" s="1"/>
  <c r="P153" i="1"/>
  <c r="X150" i="1"/>
  <c r="X149" i="1"/>
  <c r="BO148" i="1"/>
  <c r="BM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40" i="1"/>
  <c r="X139" i="1"/>
  <c r="BO138" i="1"/>
  <c r="BM138" i="1"/>
  <c r="Y138" i="1"/>
  <c r="P138" i="1"/>
  <c r="BO137" i="1"/>
  <c r="BM137" i="1"/>
  <c r="Y137" i="1"/>
  <c r="P137" i="1"/>
  <c r="X134" i="1"/>
  <c r="X133" i="1"/>
  <c r="BO132" i="1"/>
  <c r="BM132" i="1"/>
  <c r="Y132" i="1"/>
  <c r="P132" i="1"/>
  <c r="BO131" i="1"/>
  <c r="BM131" i="1"/>
  <c r="Y131" i="1"/>
  <c r="BP131" i="1" s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Y124" i="1"/>
  <c r="BP124" i="1" s="1"/>
  <c r="BO123" i="1"/>
  <c r="BM123" i="1"/>
  <c r="Y123" i="1"/>
  <c r="BP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P120" i="1"/>
  <c r="BO119" i="1"/>
  <c r="BM119" i="1"/>
  <c r="Y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X91" i="1"/>
  <c r="X90" i="1"/>
  <c r="BO89" i="1"/>
  <c r="BM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P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P50" i="1"/>
  <c r="BO49" i="1"/>
  <c r="BM49" i="1"/>
  <c r="Y49" i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P38" i="1"/>
  <c r="BO37" i="1"/>
  <c r="BM37" i="1"/>
  <c r="Y37" i="1"/>
  <c r="P37" i="1"/>
  <c r="X33" i="1"/>
  <c r="X32" i="1"/>
  <c r="BO31" i="1"/>
  <c r="BM31" i="1"/>
  <c r="Y31" i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O24" i="1"/>
  <c r="BM24" i="1"/>
  <c r="Y24" i="1"/>
  <c r="BP24" i="1" s="1"/>
  <c r="BO23" i="1"/>
  <c r="BM23" i="1"/>
  <c r="Y23" i="1"/>
  <c r="BP23" i="1" s="1"/>
  <c r="P23" i="1"/>
  <c r="BO22" i="1"/>
  <c r="X593" i="1" s="1"/>
  <c r="BM22" i="1"/>
  <c r="Y22" i="1"/>
  <c r="B601" i="1" s="1"/>
  <c r="P22" i="1"/>
  <c r="H10" i="1"/>
  <c r="A9" i="1"/>
  <c r="A10" i="1" s="1"/>
  <c r="D7" i="1"/>
  <c r="Q6" i="1"/>
  <c r="P2" i="1"/>
  <c r="Z27" i="1" l="1"/>
  <c r="BN27" i="1"/>
  <c r="X591" i="1"/>
  <c r="Z52" i="1"/>
  <c r="BN52" i="1"/>
  <c r="Z66" i="1"/>
  <c r="BN66" i="1"/>
  <c r="Y77" i="1"/>
  <c r="Z80" i="1"/>
  <c r="BN80" i="1"/>
  <c r="Y83" i="1"/>
  <c r="Y102" i="1"/>
  <c r="Z101" i="1"/>
  <c r="BN101" i="1"/>
  <c r="Z131" i="1"/>
  <c r="BN131" i="1"/>
  <c r="Y134" i="1"/>
  <c r="G601" i="1"/>
  <c r="Z153" i="1"/>
  <c r="Z154" i="1" s="1"/>
  <c r="BN153" i="1"/>
  <c r="BP153" i="1"/>
  <c r="Z157" i="1"/>
  <c r="BN157" i="1"/>
  <c r="Y162" i="1"/>
  <c r="Z202" i="1"/>
  <c r="BN202" i="1"/>
  <c r="Z212" i="1"/>
  <c r="BN212" i="1"/>
  <c r="Z220" i="1"/>
  <c r="BN220" i="1"/>
  <c r="Z235" i="1"/>
  <c r="BN235" i="1"/>
  <c r="Z250" i="1"/>
  <c r="Z251" i="1" s="1"/>
  <c r="BN250" i="1"/>
  <c r="BP250" i="1"/>
  <c r="Y251" i="1"/>
  <c r="Z255" i="1"/>
  <c r="BN255" i="1"/>
  <c r="Z278" i="1"/>
  <c r="BN278" i="1"/>
  <c r="Z321" i="1"/>
  <c r="BN321" i="1"/>
  <c r="Z335" i="1"/>
  <c r="BN335" i="1"/>
  <c r="Y340" i="1"/>
  <c r="Z345" i="1"/>
  <c r="BN345" i="1"/>
  <c r="Z376" i="1"/>
  <c r="BN376" i="1"/>
  <c r="Z384" i="1"/>
  <c r="BN384" i="1"/>
  <c r="Z404" i="1"/>
  <c r="BN404" i="1"/>
  <c r="Z522" i="1"/>
  <c r="BN522" i="1"/>
  <c r="BP25" i="1"/>
  <c r="BN25" i="1"/>
  <c r="Y33" i="1"/>
  <c r="Y32" i="1"/>
  <c r="BP31" i="1"/>
  <c r="BN31" i="1"/>
  <c r="Z31" i="1"/>
  <c r="Z32" i="1" s="1"/>
  <c r="BP37" i="1"/>
  <c r="BN37" i="1"/>
  <c r="Z37" i="1"/>
  <c r="BP54" i="1"/>
  <c r="BN54" i="1"/>
  <c r="Z54" i="1"/>
  <c r="BP72" i="1"/>
  <c r="BN72" i="1"/>
  <c r="Z72" i="1"/>
  <c r="BP82" i="1"/>
  <c r="BN82" i="1"/>
  <c r="Z82" i="1"/>
  <c r="BP94" i="1"/>
  <c r="BN94" i="1"/>
  <c r="Z94" i="1"/>
  <c r="BP106" i="1"/>
  <c r="BN106" i="1"/>
  <c r="Z106" i="1"/>
  <c r="Y129" i="1"/>
  <c r="BP119" i="1"/>
  <c r="BN119" i="1"/>
  <c r="Z119" i="1"/>
  <c r="BP138" i="1"/>
  <c r="BN138" i="1"/>
  <c r="Z138" i="1"/>
  <c r="BP159" i="1"/>
  <c r="BN159" i="1"/>
  <c r="Z159" i="1"/>
  <c r="BP180" i="1"/>
  <c r="BN180" i="1"/>
  <c r="Z180" i="1"/>
  <c r="BP204" i="1"/>
  <c r="BN204" i="1"/>
  <c r="Z204" i="1"/>
  <c r="BP214" i="1"/>
  <c r="BN214" i="1"/>
  <c r="Z214" i="1"/>
  <c r="Y226" i="1"/>
  <c r="BP224" i="1"/>
  <c r="BN224" i="1"/>
  <c r="Z224" i="1"/>
  <c r="BP237" i="1"/>
  <c r="BN237" i="1"/>
  <c r="Z237" i="1"/>
  <c r="BP257" i="1"/>
  <c r="BN257" i="1"/>
  <c r="Z257" i="1"/>
  <c r="BP280" i="1"/>
  <c r="BN280" i="1"/>
  <c r="Z280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Y390" i="1"/>
  <c r="BP388" i="1"/>
  <c r="BN388" i="1"/>
  <c r="Z388" i="1"/>
  <c r="BP394" i="1"/>
  <c r="BN394" i="1"/>
  <c r="Z394" i="1"/>
  <c r="BP406" i="1"/>
  <c r="BN406" i="1"/>
  <c r="Z406" i="1"/>
  <c r="X592" i="1"/>
  <c r="X594" i="1" s="1"/>
  <c r="Z23" i="1"/>
  <c r="BN23" i="1"/>
  <c r="Z24" i="1"/>
  <c r="BN24" i="1"/>
  <c r="Z25" i="1"/>
  <c r="D601" i="1"/>
  <c r="BP50" i="1"/>
  <c r="BN50" i="1"/>
  <c r="Z50" i="1"/>
  <c r="BP60" i="1"/>
  <c r="BN60" i="1"/>
  <c r="Z60" i="1"/>
  <c r="BP76" i="1"/>
  <c r="BN76" i="1"/>
  <c r="Z76" i="1"/>
  <c r="BP89" i="1"/>
  <c r="BN89" i="1"/>
  <c r="Z89" i="1"/>
  <c r="BP99" i="1"/>
  <c r="BN99" i="1"/>
  <c r="Z99" i="1"/>
  <c r="BP114" i="1"/>
  <c r="BN114" i="1"/>
  <c r="Z114" i="1"/>
  <c r="BP127" i="1"/>
  <c r="BN127" i="1"/>
  <c r="Z127" i="1"/>
  <c r="BP148" i="1"/>
  <c r="BN148" i="1"/>
  <c r="Z148" i="1"/>
  <c r="BP177" i="1"/>
  <c r="BN177" i="1"/>
  <c r="Z177" i="1"/>
  <c r="Y198" i="1"/>
  <c r="BP196" i="1"/>
  <c r="BN196" i="1"/>
  <c r="Z196" i="1"/>
  <c r="BP208" i="1"/>
  <c r="BN208" i="1"/>
  <c r="Z208" i="1"/>
  <c r="BP218" i="1"/>
  <c r="BN218" i="1"/>
  <c r="Z218" i="1"/>
  <c r="BP233" i="1"/>
  <c r="BN233" i="1"/>
  <c r="Z233" i="1"/>
  <c r="BP242" i="1"/>
  <c r="BN242" i="1"/>
  <c r="Z242" i="1"/>
  <c r="BP271" i="1"/>
  <c r="BN271" i="1"/>
  <c r="Z271" i="1"/>
  <c r="T601" i="1"/>
  <c r="Y315" i="1"/>
  <c r="BP314" i="1"/>
  <c r="BN314" i="1"/>
  <c r="Z314" i="1"/>
  <c r="Z315" i="1" s="1"/>
  <c r="BP319" i="1"/>
  <c r="BN319" i="1"/>
  <c r="Z319" i="1"/>
  <c r="BP331" i="1"/>
  <c r="BN331" i="1"/>
  <c r="Z331" i="1"/>
  <c r="Y347" i="1"/>
  <c r="BP343" i="1"/>
  <c r="BN343" i="1"/>
  <c r="Z343" i="1"/>
  <c r="Z346" i="1" s="1"/>
  <c r="BP368" i="1"/>
  <c r="BN368" i="1"/>
  <c r="Z368" i="1"/>
  <c r="BP382" i="1"/>
  <c r="BN382" i="1"/>
  <c r="Z382" i="1"/>
  <c r="Y396" i="1"/>
  <c r="Y395" i="1"/>
  <c r="BP393" i="1"/>
  <c r="BN393" i="1"/>
  <c r="Z393" i="1"/>
  <c r="Z395" i="1" s="1"/>
  <c r="Y421" i="1"/>
  <c r="BP416" i="1"/>
  <c r="BN416" i="1"/>
  <c r="Z416" i="1"/>
  <c r="BP437" i="1"/>
  <c r="BN437" i="1"/>
  <c r="Z437" i="1"/>
  <c r="BP451" i="1"/>
  <c r="BN451" i="1"/>
  <c r="Z451" i="1"/>
  <c r="BP458" i="1"/>
  <c r="BN458" i="1"/>
  <c r="Z458" i="1"/>
  <c r="BP488" i="1"/>
  <c r="BN488" i="1"/>
  <c r="Z488" i="1"/>
  <c r="BP490" i="1"/>
  <c r="BN490" i="1"/>
  <c r="Z490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Y524" i="1"/>
  <c r="BP520" i="1"/>
  <c r="BN520" i="1"/>
  <c r="Z520" i="1"/>
  <c r="BP527" i="1"/>
  <c r="BN527" i="1"/>
  <c r="Z527" i="1"/>
  <c r="AE601" i="1"/>
  <c r="Y577" i="1"/>
  <c r="BP576" i="1"/>
  <c r="BN576" i="1"/>
  <c r="Z576" i="1"/>
  <c r="Z577" i="1" s="1"/>
  <c r="Y586" i="1"/>
  <c r="Y585" i="1"/>
  <c r="BP584" i="1"/>
  <c r="BN584" i="1"/>
  <c r="Z584" i="1"/>
  <c r="Z585" i="1" s="1"/>
  <c r="Y42" i="1"/>
  <c r="Y62" i="1"/>
  <c r="Y69" i="1"/>
  <c r="Y84" i="1"/>
  <c r="Y111" i="1"/>
  <c r="Y128" i="1"/>
  <c r="Y133" i="1"/>
  <c r="Y144" i="1"/>
  <c r="Y161" i="1"/>
  <c r="I601" i="1"/>
  <c r="Y183" i="1"/>
  <c r="J601" i="1"/>
  <c r="Y199" i="1"/>
  <c r="Y209" i="1"/>
  <c r="Y221" i="1"/>
  <c r="Y227" i="1"/>
  <c r="K601" i="1"/>
  <c r="P601" i="1"/>
  <c r="Y341" i="1"/>
  <c r="Y346" i="1"/>
  <c r="Y354" i="1"/>
  <c r="Y360" i="1"/>
  <c r="W601" i="1"/>
  <c r="Y391" i="1"/>
  <c r="X601" i="1"/>
  <c r="BP417" i="1"/>
  <c r="BN417" i="1"/>
  <c r="Z417" i="1"/>
  <c r="BP440" i="1"/>
  <c r="BN440" i="1"/>
  <c r="Z440" i="1"/>
  <c r="BN456" i="1"/>
  <c r="Z456" i="1"/>
  <c r="BP457" i="1"/>
  <c r="BN457" i="1"/>
  <c r="Z457" i="1"/>
  <c r="BP481" i="1"/>
  <c r="BN481" i="1"/>
  <c r="Z481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Y529" i="1"/>
  <c r="Y528" i="1"/>
  <c r="BP526" i="1"/>
  <c r="BN526" i="1"/>
  <c r="Z526" i="1"/>
  <c r="Z528" i="1" s="1"/>
  <c r="Y422" i="1"/>
  <c r="Y454" i="1"/>
  <c r="Y467" i="1"/>
  <c r="F9" i="1"/>
  <c r="J9" i="1"/>
  <c r="F10" i="1"/>
  <c r="Z22" i="1"/>
  <c r="BN22" i="1"/>
  <c r="BP22" i="1"/>
  <c r="Z26" i="1"/>
  <c r="BN26" i="1"/>
  <c r="X595" i="1"/>
  <c r="Y29" i="1"/>
  <c r="C601" i="1"/>
  <c r="Z38" i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BN59" i="1"/>
  <c r="BP59" i="1"/>
  <c r="Z61" i="1"/>
  <c r="BN61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BN81" i="1"/>
  <c r="BP81" i="1"/>
  <c r="E601" i="1"/>
  <c r="Z88" i="1"/>
  <c r="Z90" i="1" s="1"/>
  <c r="BN88" i="1"/>
  <c r="BP88" i="1"/>
  <c r="Y91" i="1"/>
  <c r="Z93" i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BN107" i="1"/>
  <c r="BP107" i="1"/>
  <c r="Z109" i="1"/>
  <c r="BN109" i="1"/>
  <c r="Y110" i="1"/>
  <c r="Z113" i="1"/>
  <c r="BN113" i="1"/>
  <c r="BP113" i="1"/>
  <c r="Z115" i="1"/>
  <c r="BN115" i="1"/>
  <c r="Y116" i="1"/>
  <c r="Z120" i="1"/>
  <c r="BN120" i="1"/>
  <c r="BP120" i="1"/>
  <c r="Z123" i="1"/>
  <c r="BN123" i="1"/>
  <c r="Z124" i="1"/>
  <c r="BN124" i="1"/>
  <c r="Z126" i="1"/>
  <c r="BN126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Z158" i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BN241" i="1"/>
  <c r="BP241" i="1"/>
  <c r="Y244" i="1"/>
  <c r="Z246" i="1"/>
  <c r="Z247" i="1" s="1"/>
  <c r="BN246" i="1"/>
  <c r="BP246" i="1"/>
  <c r="Y247" i="1"/>
  <c r="L601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P320" i="1"/>
  <c r="BN320" i="1"/>
  <c r="Z320" i="1"/>
  <c r="BP324" i="1"/>
  <c r="BN324" i="1"/>
  <c r="Z324" i="1"/>
  <c r="Y326" i="1"/>
  <c r="Y333" i="1"/>
  <c r="BP328" i="1"/>
  <c r="BN328" i="1"/>
  <c r="Z328" i="1"/>
  <c r="Y332" i="1"/>
  <c r="H9" i="1"/>
  <c r="Y28" i="1"/>
  <c r="Y55" i="1"/>
  <c r="Y139" i="1"/>
  <c r="Y172" i="1"/>
  <c r="Y193" i="1"/>
  <c r="Y238" i="1"/>
  <c r="Y262" i="1"/>
  <c r="Y267" i="1"/>
  <c r="Y274" i="1"/>
  <c r="Y283" i="1"/>
  <c r="Y288" i="1"/>
  <c r="R601" i="1"/>
  <c r="Y300" i="1"/>
  <c r="BP299" i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Z460" i="1"/>
  <c r="Y316" i="1"/>
  <c r="U601" i="1"/>
  <c r="Y325" i="1"/>
  <c r="Z336" i="1"/>
  <c r="Z340" i="1" s="1"/>
  <c r="BN336" i="1"/>
  <c r="BP336" i="1"/>
  <c r="Z338" i="1"/>
  <c r="BN338" i="1"/>
  <c r="Z344" i="1"/>
  <c r="BN344" i="1"/>
  <c r="BP344" i="1"/>
  <c r="Z349" i="1"/>
  <c r="Z353" i="1" s="1"/>
  <c r="BN349" i="1"/>
  <c r="BP349" i="1"/>
  <c r="Z350" i="1"/>
  <c r="BN350" i="1"/>
  <c r="Z352" i="1"/>
  <c r="BN352" i="1"/>
  <c r="Y353" i="1"/>
  <c r="Z356" i="1"/>
  <c r="Z359" i="1" s="1"/>
  <c r="BN356" i="1"/>
  <c r="BP356" i="1"/>
  <c r="Z358" i="1"/>
  <c r="BN358" i="1"/>
  <c r="Y359" i="1"/>
  <c r="Z363" i="1"/>
  <c r="Z364" i="1" s="1"/>
  <c r="BN363" i="1"/>
  <c r="BP363" i="1"/>
  <c r="Y364" i="1"/>
  <c r="Z367" i="1"/>
  <c r="Z370" i="1" s="1"/>
  <c r="BN367" i="1"/>
  <c r="BP367" i="1"/>
  <c r="Z369" i="1"/>
  <c r="BN369" i="1"/>
  <c r="Y370" i="1"/>
  <c r="Z375" i="1"/>
  <c r="Z385" i="1" s="1"/>
  <c r="BN375" i="1"/>
  <c r="BP375" i="1"/>
  <c r="Z377" i="1"/>
  <c r="BN377" i="1"/>
  <c r="Z379" i="1"/>
  <c r="BN379" i="1"/>
  <c r="Z381" i="1"/>
  <c r="BN381" i="1"/>
  <c r="Z383" i="1"/>
  <c r="BN383" i="1"/>
  <c r="Y386" i="1"/>
  <c r="Z389" i="1"/>
  <c r="Z390" i="1" s="1"/>
  <c r="BN389" i="1"/>
  <c r="BP389" i="1"/>
  <c r="Z398" i="1"/>
  <c r="Z399" i="1" s="1"/>
  <c r="BN398" i="1"/>
  <c r="BP398" i="1"/>
  <c r="Y399" i="1"/>
  <c r="Z403" i="1"/>
  <c r="BN403" i="1"/>
  <c r="BP403" i="1"/>
  <c r="Z405" i="1"/>
  <c r="BN405" i="1"/>
  <c r="Z407" i="1"/>
  <c r="BN407" i="1"/>
  <c r="Y408" i="1"/>
  <c r="Z411" i="1"/>
  <c r="Z413" i="1" s="1"/>
  <c r="BN411" i="1"/>
  <c r="BP411" i="1"/>
  <c r="Y414" i="1"/>
  <c r="Z418" i="1"/>
  <c r="BN418" i="1"/>
  <c r="BP418" i="1"/>
  <c r="Z420" i="1"/>
  <c r="Z421" i="1" s="1"/>
  <c r="BN420" i="1"/>
  <c r="Z430" i="1"/>
  <c r="Z442" i="1" s="1"/>
  <c r="BN430" i="1"/>
  <c r="BP430" i="1"/>
  <c r="Z431" i="1"/>
  <c r="BN431" i="1"/>
  <c r="Z432" i="1"/>
  <c r="BN432" i="1"/>
  <c r="Z433" i="1"/>
  <c r="BN433" i="1"/>
  <c r="Z436" i="1"/>
  <c r="BN436" i="1"/>
  <c r="Z438" i="1"/>
  <c r="BN438" i="1"/>
  <c r="Z439" i="1"/>
  <c r="BN439" i="1"/>
  <c r="Z441" i="1"/>
  <c r="BN441" i="1"/>
  <c r="Y442" i="1"/>
  <c r="Z445" i="1"/>
  <c r="Z447" i="1" s="1"/>
  <c r="BN445" i="1"/>
  <c r="BP445" i="1"/>
  <c r="Y448" i="1"/>
  <c r="Z601" i="1"/>
  <c r="Z452" i="1"/>
  <c r="Z453" i="1" s="1"/>
  <c r="BN452" i="1"/>
  <c r="BP452" i="1"/>
  <c r="Y453" i="1"/>
  <c r="Y460" i="1"/>
  <c r="BP456" i="1"/>
  <c r="BP465" i="1"/>
  <c r="BN465" i="1"/>
  <c r="Z465" i="1"/>
  <c r="AB601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Y365" i="1"/>
  <c r="Y385" i="1"/>
  <c r="Y409" i="1"/>
  <c r="Y443" i="1"/>
  <c r="BP459" i="1"/>
  <c r="BN459" i="1"/>
  <c r="Z459" i="1"/>
  <c r="Y461" i="1"/>
  <c r="AA601" i="1"/>
  <c r="Y466" i="1"/>
  <c r="BP464" i="1"/>
  <c r="BN464" i="1"/>
  <c r="Z464" i="1"/>
  <c r="Z466" i="1" s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Y517" i="1"/>
  <c r="Y523" i="1"/>
  <c r="AD601" i="1"/>
  <c r="Y539" i="1"/>
  <c r="BP536" i="1"/>
  <c r="BN536" i="1"/>
  <c r="Z536" i="1"/>
  <c r="BP538" i="1"/>
  <c r="BN538" i="1"/>
  <c r="Z538" i="1"/>
  <c r="Y540" i="1"/>
  <c r="Y557" i="1"/>
  <c r="BP550" i="1"/>
  <c r="BN550" i="1"/>
  <c r="Z550" i="1"/>
  <c r="BP552" i="1"/>
  <c r="BN552" i="1"/>
  <c r="Z552" i="1"/>
  <c r="BP554" i="1"/>
  <c r="BN554" i="1"/>
  <c r="Z554" i="1"/>
  <c r="BP556" i="1"/>
  <c r="BN556" i="1"/>
  <c r="Z556" i="1"/>
  <c r="Y558" i="1"/>
  <c r="Y572" i="1"/>
  <c r="BP568" i="1"/>
  <c r="BN568" i="1"/>
  <c r="Z568" i="1"/>
  <c r="BP570" i="1"/>
  <c r="BN570" i="1"/>
  <c r="Z570" i="1"/>
  <c r="Z511" i="1"/>
  <c r="BN511" i="1"/>
  <c r="Z512" i="1"/>
  <c r="BN512" i="1"/>
  <c r="Z515" i="1"/>
  <c r="BN515" i="1"/>
  <c r="Z521" i="1"/>
  <c r="Z523" i="1" s="1"/>
  <c r="BN521" i="1"/>
  <c r="Z533" i="1"/>
  <c r="BN533" i="1"/>
  <c r="BP533" i="1"/>
  <c r="Z534" i="1"/>
  <c r="BN534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BP555" i="1"/>
  <c r="BN555" i="1"/>
  <c r="Z555" i="1"/>
  <c r="BP569" i="1"/>
  <c r="BN569" i="1"/>
  <c r="Z569" i="1"/>
  <c r="BP571" i="1"/>
  <c r="BN571" i="1"/>
  <c r="Z571" i="1"/>
  <c r="Y573" i="1"/>
  <c r="Y581" i="1"/>
  <c r="BP580" i="1"/>
  <c r="BN580" i="1"/>
  <c r="Z580" i="1"/>
  <c r="Z581" i="1" s="1"/>
  <c r="Y582" i="1"/>
  <c r="Y578" i="1"/>
  <c r="Z588" i="1"/>
  <c r="Z589" i="1" s="1"/>
  <c r="BN588" i="1"/>
  <c r="BP588" i="1"/>
  <c r="Y589" i="1"/>
  <c r="Z282" i="1" l="1"/>
  <c r="Z273" i="1"/>
  <c r="Z243" i="1"/>
  <c r="Z238" i="1"/>
  <c r="Z209" i="1"/>
  <c r="Z161" i="1"/>
  <c r="Z102" i="1"/>
  <c r="Z83" i="1"/>
  <c r="Z77" i="1"/>
  <c r="Z68" i="1"/>
  <c r="Z62" i="1"/>
  <c r="Z41" i="1"/>
  <c r="Z517" i="1"/>
  <c r="Z221" i="1"/>
  <c r="Z128" i="1"/>
  <c r="Z325" i="1"/>
  <c r="Z261" i="1"/>
  <c r="Z198" i="1"/>
  <c r="Z110" i="1"/>
  <c r="Z539" i="1"/>
  <c r="Z572" i="1"/>
  <c r="Z557" i="1"/>
  <c r="Y592" i="1"/>
  <c r="Z502" i="1"/>
  <c r="Z495" i="1"/>
  <c r="Z408" i="1"/>
  <c r="Y595" i="1"/>
  <c r="Z332" i="1"/>
  <c r="Z183" i="1"/>
  <c r="Z116" i="1"/>
  <c r="Z55" i="1"/>
  <c r="Y591" i="1"/>
  <c r="Y593" i="1"/>
  <c r="Z28" i="1"/>
  <c r="Y594" i="1" l="1"/>
  <c r="Z596" i="1"/>
</calcChain>
</file>

<file path=xl/sharedStrings.xml><?xml version="1.0" encoding="utf-8"?>
<sst xmlns="http://schemas.openxmlformats.org/spreadsheetml/2006/main" count="2721" uniqueCount="976">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</sst>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174" sqref="AA174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975</v>
      </c>
      <c r="I5" s="947"/>
      <c r="J5" s="947"/>
      <c r="K5" s="947"/>
      <c r="L5" s="947"/>
      <c r="M5" s="750"/>
      <c r="N5" s="58"/>
      <c r="P5" s="24" t="s">
        <v>10</v>
      </c>
      <c r="Q5" s="1026">
        <v>45766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Суббота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4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789">
        <v>0.41666666666666669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21</v>
      </c>
      <c r="Q10" s="865"/>
      <c r="R10" s="866"/>
      <c r="U10" s="24" t="s">
        <v>22</v>
      </c>
      <c r="V10" s="686" t="s">
        <v>23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3"/>
      <c r="R11" s="774"/>
      <c r="U11" s="24" t="s">
        <v>26</v>
      </c>
      <c r="V11" s="970" t="s">
        <v>27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28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29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30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31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32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33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34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35</v>
      </c>
      <c r="B17" s="713" t="s">
        <v>36</v>
      </c>
      <c r="C17" s="825" t="s">
        <v>37</v>
      </c>
      <c r="D17" s="713" t="s">
        <v>38</v>
      </c>
      <c r="E17" s="783"/>
      <c r="F17" s="713" t="s">
        <v>39</v>
      </c>
      <c r="G17" s="713" t="s">
        <v>40</v>
      </c>
      <c r="H17" s="713" t="s">
        <v>41</v>
      </c>
      <c r="I17" s="713" t="s">
        <v>42</v>
      </c>
      <c r="J17" s="713" t="s">
        <v>43</v>
      </c>
      <c r="K17" s="713" t="s">
        <v>44</v>
      </c>
      <c r="L17" s="713" t="s">
        <v>45</v>
      </c>
      <c r="M17" s="713" t="s">
        <v>46</v>
      </c>
      <c r="N17" s="713" t="s">
        <v>47</v>
      </c>
      <c r="O17" s="713" t="s">
        <v>48</v>
      </c>
      <c r="P17" s="713" t="s">
        <v>49</v>
      </c>
      <c r="Q17" s="782"/>
      <c r="R17" s="782"/>
      <c r="S17" s="782"/>
      <c r="T17" s="783"/>
      <c r="U17" s="1039" t="s">
        <v>50</v>
      </c>
      <c r="V17" s="820"/>
      <c r="W17" s="713" t="s">
        <v>51</v>
      </c>
      <c r="X17" s="713" t="s">
        <v>52</v>
      </c>
      <c r="Y17" s="1040" t="s">
        <v>53</v>
      </c>
      <c r="Z17" s="928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3"/>
      <c r="AF17" s="1004"/>
      <c r="AG17" s="66"/>
      <c r="BD17" s="65" t="s">
        <v>59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60</v>
      </c>
      <c r="V18" s="67" t="s">
        <v>61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62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63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913" t="s">
        <v>75</v>
      </c>
      <c r="Q24" s="668"/>
      <c r="R24" s="668"/>
      <c r="S24" s="668"/>
      <c r="T24" s="669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5" t="s">
        <v>79</v>
      </c>
      <c r="Q25" s="668"/>
      <c r="R25" s="668"/>
      <c r="S25" s="668"/>
      <c r="T25" s="669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89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96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97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hidden="1" customHeight="1" x14ac:dyDescent="0.25">
      <c r="A43" s="679" t="s">
        <v>63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115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97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0</v>
      </c>
      <c r="Y55" s="665">
        <f>IFERROR(Y49/H49,"0")+IFERROR(Y50/H50,"0")+IFERROR(Y51/H51,"0")+IFERROR(Y52/H52,"0")+IFERROR(Y53/H53,"0")+IFERROR(Y54/H54,"0")</f>
        <v>0</v>
      </c>
      <c r="Z55" s="665">
        <f>IFERROR(IF(Z49="",0,Z49),"0")+IFERROR(IF(Z50="",0,Z50),"0")+IFERROR(IF(Z51="",0,Z51),"0")+IFERROR(IF(Z52="",0,Z52),"0")+IFERROR(IF(Z53="",0,Z53),"0")+IFERROR(IF(Z54="",0,Z54),"0")</f>
        <v>0</v>
      </c>
      <c r="AA55" s="666"/>
      <c r="AB55" s="666"/>
      <c r="AC55" s="666"/>
    </row>
    <row r="56" spans="1:68" hidden="1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0</v>
      </c>
      <c r="Y56" s="665">
        <f>IFERROR(SUM(Y49:Y54),"0")</f>
        <v>0</v>
      </c>
      <c r="Z56" s="37"/>
      <c r="AA56" s="666"/>
      <c r="AB56" s="666"/>
      <c r="AC56" s="666"/>
    </row>
    <row r="57" spans="1:68" ht="14.25" hidden="1" customHeight="1" x14ac:dyDescent="0.25">
      <c r="A57" s="679" t="s">
        <v>133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hidden="1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hidden="1" customHeight="1" x14ac:dyDescent="0.25">
      <c r="A64" s="679" t="s">
        <v>144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63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170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75">
        <v>4680115881532</v>
      </c>
      <c r="E80" s="676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68"/>
      <c r="R80" s="668"/>
      <c r="S80" s="668"/>
      <c r="T80" s="669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75">
        <v>4680115881532</v>
      </c>
      <c r="E81" s="676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8"/>
      <c r="R81" s="668"/>
      <c r="S81" s="668"/>
      <c r="T81" s="669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178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97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0</v>
      </c>
      <c r="Y90" s="665">
        <f>IFERROR(Y87/H87,"0")+IFERROR(Y88/H88,"0")+IFERROR(Y89/H89,"0")</f>
        <v>0</v>
      </c>
      <c r="Z90" s="665">
        <f>IFERROR(IF(Z87="",0,Z87),"0")+IFERROR(IF(Z88="",0,Z88),"0")+IFERROR(IF(Z89="",0,Z89),"0")</f>
        <v>0</v>
      </c>
      <c r="AA90" s="666"/>
      <c r="AB90" s="666"/>
      <c r="AC90" s="666"/>
    </row>
    <row r="91" spans="1:68" hidden="1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0</v>
      </c>
      <c r="Y91" s="665">
        <f>IFERROR(SUM(Y87:Y89),"0")</f>
        <v>0</v>
      </c>
      <c r="Z91" s="37"/>
      <c r="AA91" s="666"/>
      <c r="AB91" s="666"/>
      <c r="AC91" s="666"/>
    </row>
    <row r="92" spans="1:68" ht="14.25" hidden="1" customHeight="1" x14ac:dyDescent="0.25">
      <c r="A92" s="679" t="s">
        <v>63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75">
        <v>4607091386967</v>
      </c>
      <c r="E93" s="676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24" t="s">
        <v>189</v>
      </c>
      <c r="Q93" s="668"/>
      <c r="R93" s="668"/>
      <c r="S93" s="668"/>
      <c r="T93" s="669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75">
        <v>4607091386967</v>
      </c>
      <c r="E94" s="676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68"/>
      <c r="R94" s="668"/>
      <c r="S94" s="668"/>
      <c r="T94" s="669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1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68"/>
      <c r="R95" s="668"/>
      <c r="S95" s="668"/>
      <c r="T95" s="669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849" t="s">
        <v>196</v>
      </c>
      <c r="Q96" s="668"/>
      <c r="R96" s="668"/>
      <c r="S96" s="668"/>
      <c r="T96" s="669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198</v>
      </c>
      <c r="B97" s="54" t="s">
        <v>199</v>
      </c>
      <c r="C97" s="31">
        <v>4301051718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7" t="s">
        <v>200</v>
      </c>
      <c r="Q97" s="668"/>
      <c r="R97" s="668"/>
      <c r="S97" s="668"/>
      <c r="T97" s="669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hidden="1" customHeight="1" x14ac:dyDescent="0.25">
      <c r="A98" s="54" t="s">
        <v>198</v>
      </c>
      <c r="B98" s="54" t="s">
        <v>201</v>
      </c>
      <c r="C98" s="31">
        <v>4301052039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8" t="s">
        <v>202</v>
      </c>
      <c r="Q98" s="668"/>
      <c r="R98" s="668"/>
      <c r="S98" s="668"/>
      <c r="T98" s="669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75">
        <v>4680115880214</v>
      </c>
      <c r="E100" s="676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68"/>
      <c r="R100" s="668"/>
      <c r="S100" s="668"/>
      <c r="T100" s="669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75">
        <v>4680115880214</v>
      </c>
      <c r="E101" s="676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68"/>
      <c r="R101" s="668"/>
      <c r="S101" s="668"/>
      <c r="T101" s="669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hidden="1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hidden="1" customHeight="1" x14ac:dyDescent="0.25">
      <c r="A104" s="716" t="s">
        <v>209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97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68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133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63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791" t="s">
        <v>228</v>
      </c>
      <c r="Q119" s="668"/>
      <c r="R119" s="668"/>
      <c r="S119" s="668"/>
      <c r="T119" s="669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75">
        <v>4607091385168</v>
      </c>
      <c r="E120" s="676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68"/>
      <c r="R120" s="668"/>
      <c r="S120" s="668"/>
      <c r="T120" s="669"/>
      <c r="U120" s="34"/>
      <c r="V120" s="34"/>
      <c r="W120" s="35" t="s">
        <v>68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75">
        <v>4607091385168</v>
      </c>
      <c r="E121" s="676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6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68"/>
      <c r="R121" s="668"/>
      <c r="S121" s="668"/>
      <c r="T121" s="669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68"/>
      <c r="R122" s="668"/>
      <c r="S122" s="668"/>
      <c r="T122" s="669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68"/>
      <c r="R123" s="668"/>
      <c r="S123" s="668"/>
      <c r="T123" s="669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2" t="s">
        <v>240</v>
      </c>
      <c r="Q124" s="668"/>
      <c r="R124" s="668"/>
      <c r="S124" s="668"/>
      <c r="T124" s="669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8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68"/>
      <c r="R125" s="668"/>
      <c r="S125" s="668"/>
      <c r="T125" s="669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0</v>
      </c>
      <c r="Y128" s="665">
        <f>IFERROR(Y119/H119,"0")+IFERROR(Y120/H120,"0")+IFERROR(Y121/H121,"0")+IFERROR(Y122/H122,"0")+IFERROR(Y123/H123,"0")+IFERROR(Y124/H124,"0")+IFERROR(Y125/H125,"0")+IFERROR(Y126/H126,"0")+IFERROR(Y127/H127,"0")</f>
        <v>0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6"/>
      <c r="AB128" s="666"/>
      <c r="AC128" s="666"/>
    </row>
    <row r="129" spans="1:68" hidden="1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0</v>
      </c>
      <c r="Y129" s="665">
        <f>IFERROR(SUM(Y119:Y127),"0")</f>
        <v>0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170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254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97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255</v>
      </c>
      <c r="B137" s="54" t="s">
        <v>256</v>
      </c>
      <c r="C137" s="31">
        <v>4301011562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68"/>
      <c r="R137" s="668"/>
      <c r="S137" s="668"/>
      <c r="T137" s="669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4301011564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68"/>
      <c r="R138" s="668"/>
      <c r="S138" s="668"/>
      <c r="T138" s="669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144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259</v>
      </c>
      <c r="B142" s="54" t="s">
        <v>260</v>
      </c>
      <c r="C142" s="31">
        <v>4301031235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4301031234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63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95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97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144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63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284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133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144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68</v>
      </c>
      <c r="X174" s="663">
        <v>50</v>
      </c>
      <c r="Y174" s="664">
        <f t="shared" ref="Y174:Y182" si="27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53.214285714285715</v>
      </c>
      <c r="BN174" s="64">
        <f t="shared" ref="BN174:BN182" si="29">IFERROR(Y174*I174/H174,"0")</f>
        <v>53.64</v>
      </c>
      <c r="BO174" s="64">
        <f t="shared" ref="BO174:BO182" si="30">IFERROR(1/J174*(X174/H174),"0")</f>
        <v>9.0187590187590191E-2</v>
      </c>
      <c r="BP174" s="64">
        <f t="shared" ref="BP174:BP182" si="31">IFERROR(1/J174*(Y174/H174),"0")</f>
        <v>9.0909090909090912E-2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68</v>
      </c>
      <c r="X176" s="663">
        <v>50</v>
      </c>
      <c r="Y176" s="664">
        <f t="shared" si="27"/>
        <v>50.400000000000006</v>
      </c>
      <c r="Z176" s="36">
        <f>IFERROR(IF(Y176=0,"",ROUNDUP(Y176/H176,0)*0.00902),"")</f>
        <v>0.10824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52.5</v>
      </c>
      <c r="BN176" s="64">
        <f t="shared" si="29"/>
        <v>52.920000000000009</v>
      </c>
      <c r="BO176" s="64">
        <f t="shared" si="30"/>
        <v>9.0187590187590191E-2</v>
      </c>
      <c r="BP176" s="64">
        <f t="shared" si="31"/>
        <v>9.0909090909090912E-2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">
        <v>303</v>
      </c>
      <c r="Q179" s="668"/>
      <c r="R179" s="668"/>
      <c r="S179" s="668"/>
      <c r="T179" s="669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23.80952380952381</v>
      </c>
      <c r="Y183" s="665">
        <f>IFERROR(Y174/H174,"0")+IFERROR(Y175/H175,"0")+IFERROR(Y176/H176,"0")+IFERROR(Y177/H177,"0")+IFERROR(Y178/H178,"0")+IFERROR(Y179/H179,"0")+IFERROR(Y180/H180,"0")+IFERROR(Y181/H181,"0")+IFERROR(Y182/H182,"0")</f>
        <v>24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0.21648000000000001</v>
      </c>
      <c r="AA183" s="666"/>
      <c r="AB183" s="666"/>
      <c r="AC183" s="666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100</v>
      </c>
      <c r="Y184" s="665">
        <f>IFERROR(SUM(Y174:Y182),"0")</f>
        <v>100.80000000000001</v>
      </c>
      <c r="Z184" s="37"/>
      <c r="AA184" s="666"/>
      <c r="AB184" s="666"/>
      <c r="AC184" s="666"/>
    </row>
    <row r="185" spans="1:68" ht="14.25" hidden="1" customHeight="1" x14ac:dyDescent="0.25">
      <c r="A185" s="679" t="s">
        <v>89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1" t="s">
        <v>316</v>
      </c>
      <c r="Q186" s="668"/>
      <c r="R186" s="668"/>
      <c r="S186" s="668"/>
      <c r="T186" s="669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319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97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320</v>
      </c>
      <c r="B191" s="54" t="s">
        <v>321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133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325</v>
      </c>
      <c r="B196" s="54" t="s">
        <v>326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328</v>
      </c>
      <c r="B197" s="54" t="s">
        <v>329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144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68</v>
      </c>
      <c r="X201" s="663">
        <v>100</v>
      </c>
      <c r="Y201" s="664">
        <f t="shared" ref="Y201:Y208" si="32">IFERROR(IF(X201="",0,CEILING((X201/$H201),1)*$H201),"")</f>
        <v>102.60000000000001</v>
      </c>
      <c r="Z201" s="36">
        <f>IFERROR(IF(Y201=0,"",ROUNDUP(Y201/H201,0)*0.00902),"")</f>
        <v>0.17138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103.88888888888889</v>
      </c>
      <c r="BN201" s="64">
        <f t="shared" ref="BN201:BN208" si="34">IFERROR(Y201*I201/H201,"0")</f>
        <v>106.59000000000002</v>
      </c>
      <c r="BO201" s="64">
        <f t="shared" ref="BO201:BO208" si="35">IFERROR(1/J201*(X201/H201),"0")</f>
        <v>0.14029180695847362</v>
      </c>
      <c r="BP201" s="64">
        <f t="shared" ref="BP201:BP208" si="36">IFERROR(1/J201*(Y201/H201),"0")</f>
        <v>0.14393939393939395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68</v>
      </c>
      <c r="X202" s="663">
        <v>60</v>
      </c>
      <c r="Y202" s="664">
        <f t="shared" si="32"/>
        <v>64.800000000000011</v>
      </c>
      <c r="Z202" s="36">
        <f>IFERROR(IF(Y202=0,"",ROUNDUP(Y202/H202,0)*0.00902),"")</f>
        <v>0.10824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62.333333333333336</v>
      </c>
      <c r="BN202" s="64">
        <f t="shared" si="34"/>
        <v>67.320000000000007</v>
      </c>
      <c r="BO202" s="64">
        <f t="shared" si="35"/>
        <v>8.4175084175084181E-2</v>
      </c>
      <c r="BP202" s="64">
        <f t="shared" si="36"/>
        <v>9.0909090909090925E-2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68</v>
      </c>
      <c r="X203" s="663">
        <v>60</v>
      </c>
      <c r="Y203" s="664">
        <f t="shared" si="32"/>
        <v>64.800000000000011</v>
      </c>
      <c r="Z203" s="36">
        <f>IFERROR(IF(Y203=0,"",ROUNDUP(Y203/H203,0)*0.00902),"")</f>
        <v>0.10824</v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62.333333333333336</v>
      </c>
      <c r="BN203" s="64">
        <f t="shared" si="34"/>
        <v>67.320000000000007</v>
      </c>
      <c r="BO203" s="64">
        <f t="shared" si="35"/>
        <v>8.4175084175084181E-2</v>
      </c>
      <c r="BP203" s="64">
        <f t="shared" si="36"/>
        <v>9.0909090909090925E-2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68</v>
      </c>
      <c r="X204" s="663">
        <v>60</v>
      </c>
      <c r="Y204" s="664">
        <f t="shared" si="32"/>
        <v>64.800000000000011</v>
      </c>
      <c r="Z204" s="36">
        <f>IFERROR(IF(Y204=0,"",ROUNDUP(Y204/H204,0)*0.00902),"")</f>
        <v>0.10824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62.333333333333336</v>
      </c>
      <c r="BN204" s="64">
        <f t="shared" si="34"/>
        <v>67.320000000000007</v>
      </c>
      <c r="BO204" s="64">
        <f t="shared" si="35"/>
        <v>8.4175084175084181E-2</v>
      </c>
      <c r="BP204" s="64">
        <f t="shared" si="36"/>
        <v>9.0909090909090925E-2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51.851851851851848</v>
      </c>
      <c r="Y209" s="665">
        <f>IFERROR(Y201/H201,"0")+IFERROR(Y202/H202,"0")+IFERROR(Y203/H203,"0")+IFERROR(Y204/H204,"0")+IFERROR(Y205/H205,"0")+IFERROR(Y206/H206,"0")+IFERROR(Y207/H207,"0")+IFERROR(Y208/H208,"0")</f>
        <v>55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0.49609999999999999</v>
      </c>
      <c r="AA209" s="666"/>
      <c r="AB209" s="666"/>
      <c r="AC209" s="666"/>
    </row>
    <row r="210" spans="1:68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280</v>
      </c>
      <c r="Y210" s="665">
        <f>IFERROR(SUM(Y201:Y208),"0")</f>
        <v>297.00000000000006</v>
      </c>
      <c r="Z210" s="37"/>
      <c r="AA210" s="666"/>
      <c r="AB210" s="666"/>
      <c r="AC210" s="666"/>
    </row>
    <row r="211" spans="1:68" ht="14.25" hidden="1" customHeight="1" x14ac:dyDescent="0.25">
      <c r="A211" s="679" t="s">
        <v>63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68</v>
      </c>
      <c r="X212" s="663">
        <v>120</v>
      </c>
      <c r="Y212" s="664">
        <f t="shared" ref="Y212:Y220" si="37">IFERROR(IF(X212="",0,CEILING((X212/$H212),1)*$H212),"")</f>
        <v>121.5</v>
      </c>
      <c r="Z212" s="36">
        <f>IFERROR(IF(Y212=0,"",ROUNDUP(Y212/H212,0)*0.01898),"")</f>
        <v>0.28470000000000001</v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127.6888888888889</v>
      </c>
      <c r="BN212" s="64">
        <f t="shared" ref="BN212:BN220" si="39">IFERROR(Y212*I212/H212,"0")</f>
        <v>129.285</v>
      </c>
      <c r="BO212" s="64">
        <f t="shared" ref="BO212:BO220" si="40">IFERROR(1/J212*(X212/H212),"0")</f>
        <v>0.23148148148148148</v>
      </c>
      <c r="BP212" s="64">
        <f t="shared" ref="BP212:BP220" si="41">IFERROR(1/J212*(Y212/H212),"0")</f>
        <v>0.234375</v>
      </c>
    </row>
    <row r="213" spans="1:68" ht="27" hidden="1" customHeight="1" x14ac:dyDescent="0.25">
      <c r="A213" s="54" t="s">
        <v>353</v>
      </c>
      <c r="B213" s="54" t="s">
        <v>354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68</v>
      </c>
      <c r="X214" s="663">
        <v>130</v>
      </c>
      <c r="Y214" s="664">
        <f t="shared" si="37"/>
        <v>130.5</v>
      </c>
      <c r="Z214" s="36">
        <f>IFERROR(IF(Y214=0,"",ROUNDUP(Y214/H214,0)*0.01898),"")</f>
        <v>0.28470000000000001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137.7551724137931</v>
      </c>
      <c r="BN214" s="64">
        <f t="shared" si="39"/>
        <v>138.285</v>
      </c>
      <c r="BO214" s="64">
        <f t="shared" si="40"/>
        <v>0.2334770114942529</v>
      </c>
      <c r="BP214" s="64">
        <f t="shared" si="41"/>
        <v>0.23437500000000003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68</v>
      </c>
      <c r="X215" s="663">
        <v>288</v>
      </c>
      <c r="Y215" s="664">
        <f t="shared" si="37"/>
        <v>288</v>
      </c>
      <c r="Z215" s="36">
        <f t="shared" ref="Z215:Z220" si="42">IFERROR(IF(Y215=0,"",ROUNDUP(Y215/H215,0)*0.00651),"")</f>
        <v>0.78120000000000001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320.40000000000003</v>
      </c>
      <c r="BN215" s="64">
        <f t="shared" si="39"/>
        <v>320.40000000000003</v>
      </c>
      <c r="BO215" s="64">
        <f t="shared" si="40"/>
        <v>0.65934065934065944</v>
      </c>
      <c r="BP215" s="64">
        <f t="shared" si="41"/>
        <v>0.65934065934065944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68</v>
      </c>
      <c r="X217" s="663">
        <v>240</v>
      </c>
      <c r="Y217" s="664">
        <f t="shared" si="37"/>
        <v>240</v>
      </c>
      <c r="Z217" s="36">
        <f t="shared" si="42"/>
        <v>0.65100000000000002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265.20000000000005</v>
      </c>
      <c r="BN217" s="64">
        <f t="shared" si="39"/>
        <v>265.20000000000005</v>
      </c>
      <c r="BO217" s="64">
        <f t="shared" si="40"/>
        <v>0.5494505494505495</v>
      </c>
      <c r="BP217" s="64">
        <f t="shared" si="41"/>
        <v>0.5494505494505495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68</v>
      </c>
      <c r="X218" s="663">
        <v>240</v>
      </c>
      <c r="Y218" s="664">
        <f t="shared" si="37"/>
        <v>240</v>
      </c>
      <c r="Z218" s="36">
        <f t="shared" si="42"/>
        <v>0.65100000000000002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265.20000000000005</v>
      </c>
      <c r="BN218" s="64">
        <f t="shared" si="39"/>
        <v>265.20000000000005</v>
      </c>
      <c r="BO218" s="64">
        <f t="shared" si="40"/>
        <v>0.5494505494505495</v>
      </c>
      <c r="BP218" s="64">
        <f t="shared" si="41"/>
        <v>0.5494505494505495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68</v>
      </c>
      <c r="X219" s="663">
        <v>216</v>
      </c>
      <c r="Y219" s="664">
        <f t="shared" si="37"/>
        <v>216</v>
      </c>
      <c r="Z219" s="36">
        <f t="shared" si="42"/>
        <v>0.58589999999999998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238.68</v>
      </c>
      <c r="BN219" s="64">
        <f t="shared" si="39"/>
        <v>238.68</v>
      </c>
      <c r="BO219" s="64">
        <f t="shared" si="40"/>
        <v>0.49450549450549453</v>
      </c>
      <c r="BP219" s="64">
        <f t="shared" si="41"/>
        <v>0.49450549450549453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68</v>
      </c>
      <c r="X220" s="663">
        <v>240</v>
      </c>
      <c r="Y220" s="664">
        <f t="shared" si="37"/>
        <v>240</v>
      </c>
      <c r="Z220" s="36">
        <f t="shared" si="42"/>
        <v>0.65100000000000002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265.8</v>
      </c>
      <c r="BN220" s="64">
        <f t="shared" si="39"/>
        <v>265.8</v>
      </c>
      <c r="BO220" s="64">
        <f t="shared" si="40"/>
        <v>0.5494505494505495</v>
      </c>
      <c r="BP220" s="64">
        <f t="shared" si="41"/>
        <v>0.5494505494505495</v>
      </c>
    </row>
    <row r="221" spans="1:68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539.75734355044699</v>
      </c>
      <c r="Y221" s="665">
        <f>IFERROR(Y212/H212,"0")+IFERROR(Y213/H213,"0")+IFERROR(Y214/H214,"0")+IFERROR(Y215/H215,"0")+IFERROR(Y216/H216,"0")+IFERROR(Y217/H217,"0")+IFERROR(Y218/H218,"0")+IFERROR(Y219/H219,"0")+IFERROR(Y220/H220,"0")</f>
        <v>540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3.8895</v>
      </c>
      <c r="AA221" s="666"/>
      <c r="AB221" s="666"/>
      <c r="AC221" s="666"/>
    </row>
    <row r="222" spans="1:68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1474</v>
      </c>
      <c r="Y222" s="665">
        <f>IFERROR(SUM(Y212:Y220),"0")</f>
        <v>1476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170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68</v>
      </c>
      <c r="X224" s="663">
        <v>19.2</v>
      </c>
      <c r="Y224" s="664">
        <f>IFERROR(IF(X224="",0,CEILING((X224/$H224),1)*$H224),"")</f>
        <v>19.2</v>
      </c>
      <c r="Z224" s="36">
        <f>IFERROR(IF(Y224=0,"",ROUNDUP(Y224/H224,0)*0.00651),"")</f>
        <v>5.2080000000000001E-2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21.216000000000001</v>
      </c>
      <c r="BN224" s="64">
        <f>IFERROR(Y224*I224/H224,"0")</f>
        <v>21.216000000000001</v>
      </c>
      <c r="BO224" s="64">
        <f>IFERROR(1/J224*(X224/H224),"0")</f>
        <v>4.3956043956043959E-2</v>
      </c>
      <c r="BP224" s="64">
        <f>IFERROR(1/J224*(Y224/H224),"0")</f>
        <v>4.3956043956043959E-2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68</v>
      </c>
      <c r="X225" s="663">
        <v>19.2</v>
      </c>
      <c r="Y225" s="664">
        <f>IFERROR(IF(X225="",0,CEILING((X225/$H225),1)*$H225),"")</f>
        <v>19.2</v>
      </c>
      <c r="Z225" s="36">
        <f>IFERROR(IF(Y225=0,"",ROUNDUP(Y225/H225,0)*0.00651),"")</f>
        <v>5.2080000000000001E-2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21.216000000000001</v>
      </c>
      <c r="BN225" s="64">
        <f>IFERROR(Y225*I225/H225,"0")</f>
        <v>21.216000000000001</v>
      </c>
      <c r="BO225" s="64">
        <f>IFERROR(1/J225*(X225/H225),"0")</f>
        <v>4.3956043956043959E-2</v>
      </c>
      <c r="BP225" s="64">
        <f>IFERROR(1/J225*(Y225/H225),"0")</f>
        <v>4.3956043956043959E-2</v>
      </c>
    </row>
    <row r="226" spans="1:68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16</v>
      </c>
      <c r="Y226" s="665">
        <f>IFERROR(Y224/H224,"0")+IFERROR(Y225/H225,"0")</f>
        <v>16</v>
      </c>
      <c r="Z226" s="665">
        <f>IFERROR(IF(Z224="",0,Z224),"0")+IFERROR(IF(Z225="",0,Z225),"0")</f>
        <v>0.10416</v>
      </c>
      <c r="AA226" s="666"/>
      <c r="AB226" s="666"/>
      <c r="AC226" s="666"/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38.4</v>
      </c>
      <c r="Y227" s="665">
        <f>IFERROR(SUM(Y224:Y225),"0")</f>
        <v>38.4</v>
      </c>
      <c r="Z227" s="37"/>
      <c r="AA227" s="666"/>
      <c r="AB227" s="666"/>
      <c r="AC227" s="666"/>
    </row>
    <row r="228" spans="1:68" ht="16.5" hidden="1" customHeight="1" x14ac:dyDescent="0.25">
      <c r="A228" s="716" t="s">
        <v>380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97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381</v>
      </c>
      <c r="B231" s="54" t="s">
        <v>384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390</v>
      </c>
      <c r="B234" s="54" t="s">
        <v>393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394</v>
      </c>
      <c r="B235" s="54" t="s">
        <v>395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133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400</v>
      </c>
      <c r="B241" s="54" t="s">
        <v>401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5" t="s">
        <v>402</v>
      </c>
      <c r="Q241" s="668"/>
      <c r="R241" s="668"/>
      <c r="S241" s="668"/>
      <c r="T241" s="669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400</v>
      </c>
      <c r="B242" s="54" t="s">
        <v>404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405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406</v>
      </c>
      <c r="B246" s="54" t="s">
        <v>407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792" t="s">
        <v>408</v>
      </c>
      <c r="Q246" s="668"/>
      <c r="R246" s="668"/>
      <c r="S246" s="668"/>
      <c r="T246" s="669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410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411</v>
      </c>
      <c r="B250" s="54" t="s">
        <v>412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7" t="s">
        <v>413</v>
      </c>
      <c r="Q250" s="668"/>
      <c r="R250" s="668"/>
      <c r="S250" s="668"/>
      <c r="T250" s="669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415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97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416</v>
      </c>
      <c r="B255" s="54" t="s">
        <v>417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419</v>
      </c>
      <c r="B256" s="54" t="s">
        <v>420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419</v>
      </c>
      <c r="B257" s="54" t="s">
        <v>422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424</v>
      </c>
      <c r="B258" s="54" t="s">
        <v>425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427</v>
      </c>
      <c r="B259" s="54" t="s">
        <v>428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433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97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434</v>
      </c>
      <c r="B265" s="54" t="s">
        <v>435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437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97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438</v>
      </c>
      <c r="B270" s="54" t="s">
        <v>439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440</v>
      </c>
      <c r="B271" s="54" t="s">
        <v>441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443</v>
      </c>
      <c r="B272" s="54" t="s">
        <v>444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446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63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447</v>
      </c>
      <c r="B277" s="54" t="s">
        <v>448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450</v>
      </c>
      <c r="B278" s="54" t="s">
        <v>451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453</v>
      </c>
      <c r="B279" s="54" t="s">
        <v>454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68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455</v>
      </c>
      <c r="B280" s="54" t="s">
        <v>456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460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97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461</v>
      </c>
      <c r="B286" s="54" t="s">
        <v>462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144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464</v>
      </c>
      <c r="B290" s="54" t="s">
        <v>465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63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467</v>
      </c>
      <c r="B294" s="54" t="s">
        <v>468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470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63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471</v>
      </c>
      <c r="B299" s="54" t="s">
        <v>472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474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97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475</v>
      </c>
      <c r="B304" s="54" t="s">
        <v>476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144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477</v>
      </c>
      <c r="B308" s="54" t="s">
        <v>478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480</v>
      </c>
      <c r="B309" s="54" t="s">
        <v>481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482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97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483</v>
      </c>
      <c r="B314" s="54" t="s">
        <v>484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487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97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488</v>
      </c>
      <c r="B319" s="54" t="s">
        <v>489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491</v>
      </c>
      <c r="B321" s="54" t="s">
        <v>494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496</v>
      </c>
      <c r="B322" s="54" t="s">
        <v>497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499</v>
      </c>
      <c r="B323" s="54" t="s">
        <v>500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502</v>
      </c>
      <c r="B324" s="54" t="s">
        <v>503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hidden="1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144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68</v>
      </c>
      <c r="X328" s="663">
        <v>50</v>
      </c>
      <c r="Y328" s="664">
        <f>IFERROR(IF(X328="",0,CEILING((X328/$H328),1)*$H328),"")</f>
        <v>50.400000000000006</v>
      </c>
      <c r="Z328" s="36">
        <f>IFERROR(IF(Y328=0,"",ROUNDUP(Y328/H328,0)*0.00902),"")</f>
        <v>0.10824</v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53.214285714285715</v>
      </c>
      <c r="BN328" s="64">
        <f>IFERROR(Y328*I328/H328,"0")</f>
        <v>53.64</v>
      </c>
      <c r="BO328" s="64">
        <f>IFERROR(1/J328*(X328/H328),"0")</f>
        <v>9.0187590187590191E-2</v>
      </c>
      <c r="BP328" s="64">
        <f>IFERROR(1/J328*(Y328/H328),"0")</f>
        <v>9.0909090909090912E-2</v>
      </c>
    </row>
    <row r="329" spans="1:68" ht="27" hidden="1" customHeight="1" x14ac:dyDescent="0.25">
      <c r="A329" s="54" t="s">
        <v>507</v>
      </c>
      <c r="B329" s="54" t="s">
        <v>508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510</v>
      </c>
      <c r="B330" s="54" t="s">
        <v>511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513</v>
      </c>
      <c r="B331" s="54" t="s">
        <v>514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11.904761904761905</v>
      </c>
      <c r="Y332" s="665">
        <f>IFERROR(Y328/H328,"0")+IFERROR(Y329/H329,"0")+IFERROR(Y330/H330,"0")+IFERROR(Y331/H331,"0")</f>
        <v>12</v>
      </c>
      <c r="Z332" s="665">
        <f>IFERROR(IF(Z328="",0,Z328),"0")+IFERROR(IF(Z329="",0,Z329),"0")+IFERROR(IF(Z330="",0,Z330),"0")+IFERROR(IF(Z331="",0,Z331),"0")</f>
        <v>0.10824</v>
      </c>
      <c r="AA332" s="666"/>
      <c r="AB332" s="666"/>
      <c r="AC332" s="666"/>
    </row>
    <row r="333" spans="1:68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50</v>
      </c>
      <c r="Y333" s="665">
        <f>IFERROR(SUM(Y328:Y331),"0")</f>
        <v>50.400000000000006</v>
      </c>
      <c r="Z333" s="37"/>
      <c r="AA333" s="666"/>
      <c r="AB333" s="666"/>
      <c r="AC333" s="666"/>
    </row>
    <row r="334" spans="1:68" ht="14.25" hidden="1" customHeight="1" x14ac:dyDescent="0.25">
      <c r="A334" s="679" t="s">
        <v>63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hidden="1" customHeight="1" x14ac:dyDescent="0.25">
      <c r="A335" s="54" t="s">
        <v>515</v>
      </c>
      <c r="B335" s="54" t="s">
        <v>516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518</v>
      </c>
      <c r="B336" s="54" t="s">
        <v>519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521</v>
      </c>
      <c r="B337" s="54" t="s">
        <v>522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524</v>
      </c>
      <c r="B338" s="54" t="s">
        <v>525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527</v>
      </c>
      <c r="B339" s="54" t="s">
        <v>528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170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68</v>
      </c>
      <c r="X343" s="663">
        <v>120</v>
      </c>
      <c r="Y343" s="664">
        <f>IFERROR(IF(X343="",0,CEILING((X343/$H343),1)*$H343),"")</f>
        <v>126</v>
      </c>
      <c r="Z343" s="36">
        <f>IFERROR(IF(Y343=0,"",ROUNDUP(Y343/H343,0)*0.01898),"")</f>
        <v>0.28470000000000001</v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127.41428571428571</v>
      </c>
      <c r="BN343" s="64">
        <f>IFERROR(Y343*I343/H343,"0")</f>
        <v>133.785</v>
      </c>
      <c r="BO343" s="64">
        <f>IFERROR(1/J343*(X343/H343),"0")</f>
        <v>0.2232142857142857</v>
      </c>
      <c r="BP343" s="64">
        <f>IFERROR(1/J343*(Y343/H343),"0")</f>
        <v>0.234375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68</v>
      </c>
      <c r="X344" s="663">
        <v>80</v>
      </c>
      <c r="Y344" s="664">
        <f>IFERROR(IF(X344="",0,CEILING((X344/$H344),1)*$H344),"")</f>
        <v>85.8</v>
      </c>
      <c r="Z344" s="36">
        <f>IFERROR(IF(Y344=0,"",ROUNDUP(Y344/H344,0)*0.01898),"")</f>
        <v>0.20877999999999999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85.32307692307694</v>
      </c>
      <c r="BN344" s="64">
        <f>IFERROR(Y344*I344/H344,"0")</f>
        <v>91.509000000000015</v>
      </c>
      <c r="BO344" s="64">
        <f>IFERROR(1/J344*(X344/H344),"0")</f>
        <v>0.16025641025641027</v>
      </c>
      <c r="BP344" s="64">
        <f>IFERROR(1/J344*(Y344/H344),"0")</f>
        <v>0.171875</v>
      </c>
    </row>
    <row r="345" spans="1:68" ht="16.5" hidden="1" customHeight="1" x14ac:dyDescent="0.25">
      <c r="A345" s="54" t="s">
        <v>536</v>
      </c>
      <c r="B345" s="54" t="s">
        <v>537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24.54212454212454</v>
      </c>
      <c r="Y346" s="665">
        <f>IFERROR(Y343/H343,"0")+IFERROR(Y344/H344,"0")+IFERROR(Y345/H345,"0")</f>
        <v>26</v>
      </c>
      <c r="Z346" s="665">
        <f>IFERROR(IF(Z343="",0,Z343),"0")+IFERROR(IF(Z344="",0,Z344),"0")+IFERROR(IF(Z345="",0,Z345),"0")</f>
        <v>0.49348000000000003</v>
      </c>
      <c r="AA346" s="666"/>
      <c r="AB346" s="666"/>
      <c r="AC346" s="666"/>
    </row>
    <row r="347" spans="1:68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200</v>
      </c>
      <c r="Y347" s="665">
        <f>IFERROR(SUM(Y343:Y345),"0")</f>
        <v>211.8</v>
      </c>
      <c r="Z347" s="37"/>
      <c r="AA347" s="666"/>
      <c r="AB347" s="666"/>
      <c r="AC347" s="666"/>
    </row>
    <row r="348" spans="1:68" ht="14.25" hidden="1" customHeight="1" x14ac:dyDescent="0.25">
      <c r="A348" s="679" t="s">
        <v>89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539</v>
      </c>
      <c r="B349" s="54" t="s">
        <v>540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541</v>
      </c>
      <c r="Q349" s="668"/>
      <c r="R349" s="668"/>
      <c r="S349" s="668"/>
      <c r="T349" s="669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543</v>
      </c>
      <c r="B350" s="54" t="s">
        <v>544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802" t="s">
        <v>545</v>
      </c>
      <c r="Q350" s="668"/>
      <c r="R350" s="668"/>
      <c r="S350" s="668"/>
      <c r="T350" s="669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547</v>
      </c>
      <c r="B351" s="54" t="s">
        <v>548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550</v>
      </c>
      <c r="B352" s="54" t="s">
        <v>551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552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553</v>
      </c>
      <c r="B356" s="54" t="s">
        <v>554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557</v>
      </c>
      <c r="B357" s="54" t="s">
        <v>558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559</v>
      </c>
      <c r="B358" s="54" t="s">
        <v>560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561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144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562</v>
      </c>
      <c r="B363" s="54" t="s">
        <v>563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63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hidden="1" customHeight="1" x14ac:dyDescent="0.25">
      <c r="A367" s="54" t="s">
        <v>565</v>
      </c>
      <c r="B367" s="54" t="s">
        <v>566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568</v>
      </c>
      <c r="B368" s="54" t="s">
        <v>569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571</v>
      </c>
      <c r="B369" s="54" t="s">
        <v>572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hidden="1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hidden="1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575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97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68</v>
      </c>
      <c r="X375" s="663">
        <v>2430</v>
      </c>
      <c r="Y375" s="664">
        <f t="shared" ref="Y375:Y384" si="58">IFERROR(IF(X375="",0,CEILING((X375/$H375),1)*$H375),"")</f>
        <v>2430</v>
      </c>
      <c r="Z375" s="36">
        <f>IFERROR(IF(Y375=0,"",ROUNDUP(Y375/H375,0)*0.02175),"")</f>
        <v>3.5234999999999999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2507.7600000000002</v>
      </c>
      <c r="BN375" s="64">
        <f t="shared" ref="BN375:BN384" si="60">IFERROR(Y375*I375/H375,"0")</f>
        <v>2507.7600000000002</v>
      </c>
      <c r="BO375" s="64">
        <f t="shared" ref="BO375:BO384" si="61">IFERROR(1/J375*(X375/H375),"0")</f>
        <v>3.375</v>
      </c>
      <c r="BP375" s="64">
        <f t="shared" ref="BP375:BP384" si="62">IFERROR(1/J375*(Y375/H375),"0")</f>
        <v>3.375</v>
      </c>
    </row>
    <row r="376" spans="1:68" ht="27" hidden="1" customHeight="1" x14ac:dyDescent="0.25">
      <c r="A376" s="54" t="s">
        <v>576</v>
      </c>
      <c r="B376" s="54" t="s">
        <v>579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68</v>
      </c>
      <c r="X377" s="663">
        <v>2500</v>
      </c>
      <c r="Y377" s="664">
        <f t="shared" si="58"/>
        <v>2505</v>
      </c>
      <c r="Z377" s="36">
        <f>IFERROR(IF(Y377=0,"",ROUNDUP(Y377/H377,0)*0.02175),"")</f>
        <v>3.6322499999999995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2580</v>
      </c>
      <c r="BN377" s="64">
        <f t="shared" si="60"/>
        <v>2585.1600000000003</v>
      </c>
      <c r="BO377" s="64">
        <f t="shared" si="61"/>
        <v>3.4722222222222219</v>
      </c>
      <c r="BP377" s="64">
        <f t="shared" si="62"/>
        <v>3.4791666666666665</v>
      </c>
    </row>
    <row r="378" spans="1:68" ht="27" hidden="1" customHeight="1" x14ac:dyDescent="0.25">
      <c r="A378" s="54" t="s">
        <v>581</v>
      </c>
      <c r="B378" s="54" t="s">
        <v>584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5">
        <v>4680115884830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68"/>
      <c r="R379" s="668"/>
      <c r="S379" s="668"/>
      <c r="T379" s="669"/>
      <c r="U379" s="34"/>
      <c r="V379" s="34"/>
      <c r="W379" s="35" t="s">
        <v>68</v>
      </c>
      <c r="X379" s="663">
        <v>4500</v>
      </c>
      <c r="Y379" s="664">
        <f t="shared" si="58"/>
        <v>4500</v>
      </c>
      <c r="Z379" s="36">
        <f>IFERROR(IF(Y379=0,"",ROUNDUP(Y379/H379,0)*0.02175),"")</f>
        <v>6.5249999999999995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4644</v>
      </c>
      <c r="BN379" s="64">
        <f t="shared" si="60"/>
        <v>4644</v>
      </c>
      <c r="BO379" s="64">
        <f t="shared" si="61"/>
        <v>6.25</v>
      </c>
      <c r="BP379" s="64">
        <f t="shared" si="62"/>
        <v>6.25</v>
      </c>
    </row>
    <row r="380" spans="1:68" ht="27" hidden="1" customHeight="1" x14ac:dyDescent="0.25">
      <c r="A380" s="54" t="s">
        <v>588</v>
      </c>
      <c r="B380" s="54" t="s">
        <v>589</v>
      </c>
      <c r="C380" s="31">
        <v>4301011832</v>
      </c>
      <c r="D380" s="675">
        <v>4607091383997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68"/>
      <c r="R380" s="668"/>
      <c r="S380" s="668"/>
      <c r="T380" s="669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585</v>
      </c>
      <c r="B381" s="54" t="s">
        <v>591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592</v>
      </c>
      <c r="B382" s="54" t="s">
        <v>593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595</v>
      </c>
      <c r="B383" s="54" t="s">
        <v>596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597</v>
      </c>
      <c r="B384" s="54" t="s">
        <v>598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628.66666666666663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629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13.68075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9430</v>
      </c>
      <c r="Y386" s="665">
        <f>IFERROR(SUM(Y375:Y384),"0")</f>
        <v>9435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133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68</v>
      </c>
      <c r="X388" s="663">
        <v>4000</v>
      </c>
      <c r="Y388" s="664">
        <f>IFERROR(IF(X388="",0,CEILING((X388/$H388),1)*$H388),"")</f>
        <v>4005</v>
      </c>
      <c r="Z388" s="36">
        <f>IFERROR(IF(Y388=0,"",ROUNDUP(Y388/H388,0)*0.02175),"")</f>
        <v>5.8072499999999998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4128</v>
      </c>
      <c r="BN388" s="64">
        <f>IFERROR(Y388*I388/H388,"0")</f>
        <v>4133.16</v>
      </c>
      <c r="BO388" s="64">
        <f>IFERROR(1/J388*(X388/H388),"0")</f>
        <v>5.5555555555555554</v>
      </c>
      <c r="BP388" s="64">
        <f>IFERROR(1/J388*(Y388/H388),"0")</f>
        <v>5.5625</v>
      </c>
    </row>
    <row r="389" spans="1:68" ht="27" hidden="1" customHeight="1" x14ac:dyDescent="0.25">
      <c r="A389" s="54" t="s">
        <v>602</v>
      </c>
      <c r="B389" s="54" t="s">
        <v>603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266.66666666666669</v>
      </c>
      <c r="Y390" s="665">
        <f>IFERROR(Y388/H388,"0")+IFERROR(Y389/H389,"0")</f>
        <v>267</v>
      </c>
      <c r="Z390" s="665">
        <f>IFERROR(IF(Z388="",0,Z388),"0")+IFERROR(IF(Z389="",0,Z389),"0")</f>
        <v>5.8072499999999998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4000</v>
      </c>
      <c r="Y391" s="665">
        <f>IFERROR(SUM(Y388:Y389),"0")</f>
        <v>4005</v>
      </c>
      <c r="Z391" s="37"/>
      <c r="AA391" s="666"/>
      <c r="AB391" s="666"/>
      <c r="AC391" s="666"/>
    </row>
    <row r="392" spans="1:68" ht="14.25" hidden="1" customHeight="1" x14ac:dyDescent="0.25">
      <c r="A392" s="679" t="s">
        <v>63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604</v>
      </c>
      <c r="B393" s="54" t="s">
        <v>605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0" t="s">
        <v>606</v>
      </c>
      <c r="Q393" s="668"/>
      <c r="R393" s="668"/>
      <c r="S393" s="668"/>
      <c r="T393" s="669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6" t="s">
        <v>610</v>
      </c>
      <c r="Q394" s="668"/>
      <c r="R394" s="668"/>
      <c r="S394" s="668"/>
      <c r="T394" s="669"/>
      <c r="U394" s="34"/>
      <c r="V394" s="34"/>
      <c r="W394" s="35" t="s">
        <v>68</v>
      </c>
      <c r="X394" s="663">
        <v>130</v>
      </c>
      <c r="Y394" s="664">
        <f>IFERROR(IF(X394="",0,CEILING((X394/$H394),1)*$H394),"")</f>
        <v>135</v>
      </c>
      <c r="Z394" s="36">
        <f>IFERROR(IF(Y394=0,"",ROUNDUP(Y394/H394,0)*0.01898),"")</f>
        <v>0.28470000000000001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137.49666666666667</v>
      </c>
      <c r="BN394" s="64">
        <f>IFERROR(Y394*I394/H394,"0")</f>
        <v>142.785</v>
      </c>
      <c r="BO394" s="64">
        <f>IFERROR(1/J394*(X394/H394),"0")</f>
        <v>0.22569444444444445</v>
      </c>
      <c r="BP394" s="64">
        <f>IFERROR(1/J394*(Y394/H394),"0")</f>
        <v>0.234375</v>
      </c>
    </row>
    <row r="395" spans="1:68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14.444444444444445</v>
      </c>
      <c r="Y395" s="665">
        <f>IFERROR(Y393/H393,"0")+IFERROR(Y394/H394,"0")</f>
        <v>15</v>
      </c>
      <c r="Z395" s="665">
        <f>IFERROR(IF(Z393="",0,Z393),"0")+IFERROR(IF(Z394="",0,Z394),"0")</f>
        <v>0.28470000000000001</v>
      </c>
      <c r="AA395" s="666"/>
      <c r="AB395" s="666"/>
      <c r="AC395" s="666"/>
    </row>
    <row r="396" spans="1:68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130</v>
      </c>
      <c r="Y396" s="665">
        <f>IFERROR(SUM(Y393:Y394),"0")</f>
        <v>135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170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614</v>
      </c>
      <c r="Q398" s="668"/>
      <c r="R398" s="668"/>
      <c r="S398" s="668"/>
      <c r="T398" s="669"/>
      <c r="U398" s="34"/>
      <c r="V398" s="34"/>
      <c r="W398" s="35" t="s">
        <v>68</v>
      </c>
      <c r="X398" s="663">
        <v>600</v>
      </c>
      <c r="Y398" s="664">
        <f>IFERROR(IF(X398="",0,CEILING((X398/$H398),1)*$H398),"")</f>
        <v>603</v>
      </c>
      <c r="Z398" s="36">
        <f>IFERROR(IF(Y398=0,"",ROUNDUP(Y398/H398,0)*0.01898),"")</f>
        <v>1.27166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634.59999999999991</v>
      </c>
      <c r="BN398" s="64">
        <f>IFERROR(Y398*I398/H398,"0")</f>
        <v>637.77300000000002</v>
      </c>
      <c r="BO398" s="64">
        <f>IFERROR(1/J398*(X398/H398),"0")</f>
        <v>1.0416666666666667</v>
      </c>
      <c r="BP398" s="64">
        <f>IFERROR(1/J398*(Y398/H398),"0")</f>
        <v>1.046875</v>
      </c>
    </row>
    <row r="399" spans="1:68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66.666666666666671</v>
      </c>
      <c r="Y399" s="665">
        <f>IFERROR(Y398/H398,"0")</f>
        <v>67</v>
      </c>
      <c r="Z399" s="665">
        <f>IFERROR(IF(Z398="",0,Z398),"0")</f>
        <v>1.27166</v>
      </c>
      <c r="AA399" s="666"/>
      <c r="AB399" s="666"/>
      <c r="AC399" s="666"/>
    </row>
    <row r="400" spans="1:68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600</v>
      </c>
      <c r="Y400" s="665">
        <f>IFERROR(SUM(Y398:Y398),"0")</f>
        <v>603</v>
      </c>
      <c r="Z400" s="37"/>
      <c r="AA400" s="666"/>
      <c r="AB400" s="666"/>
      <c r="AC400" s="666"/>
    </row>
    <row r="401" spans="1:68" ht="16.5" hidden="1" customHeight="1" x14ac:dyDescent="0.25">
      <c r="A401" s="716" t="s">
        <v>616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97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617</v>
      </c>
      <c r="B403" s="54" t="s">
        <v>618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617</v>
      </c>
      <c r="B404" s="54" t="s">
        <v>620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622</v>
      </c>
      <c r="B405" s="54" t="s">
        <v>623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625</v>
      </c>
      <c r="B406" s="54" t="s">
        <v>626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627</v>
      </c>
      <c r="B407" s="54" t="s">
        <v>628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144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629</v>
      </c>
      <c r="B411" s="54" t="s">
        <v>630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632</v>
      </c>
      <c r="B412" s="54" t="s">
        <v>633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63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634</v>
      </c>
      <c r="B416" s="54" t="s">
        <v>635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637</v>
      </c>
      <c r="B417" s="54" t="s">
        <v>638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3" t="s">
        <v>639</v>
      </c>
      <c r="Q417" s="668"/>
      <c r="R417" s="668"/>
      <c r="S417" s="668"/>
      <c r="T417" s="669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641</v>
      </c>
      <c r="B418" s="54" t="s">
        <v>642</v>
      </c>
      <c r="C418" s="31">
        <v>4301051660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68"/>
      <c r="R418" s="668"/>
      <c r="S418" s="668"/>
      <c r="T418" s="669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641</v>
      </c>
      <c r="B419" s="54" t="s">
        <v>643</v>
      </c>
      <c r="C419" s="31">
        <v>4301051297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68"/>
      <c r="R419" s="668"/>
      <c r="S419" s="668"/>
      <c r="T419" s="669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645</v>
      </c>
      <c r="B420" s="54" t="s">
        <v>646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170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648</v>
      </c>
      <c r="B424" s="54" t="s">
        <v>649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52" t="s">
        <v>650</v>
      </c>
      <c r="Q424" s="668"/>
      <c r="R424" s="668"/>
      <c r="S424" s="668"/>
      <c r="T424" s="669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653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144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654</v>
      </c>
      <c r="B430" s="54" t="s">
        <v>655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9" t="s">
        <v>656</v>
      </c>
      <c r="Q430" s="668"/>
      <c r="R430" s="668"/>
      <c r="S430" s="668"/>
      <c r="T430" s="669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658</v>
      </c>
      <c r="B431" s="54" t="s">
        <v>659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4" t="s">
        <v>660</v>
      </c>
      <c r="Q431" s="668"/>
      <c r="R431" s="668"/>
      <c r="S431" s="668"/>
      <c r="T431" s="669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658</v>
      </c>
      <c r="B432" s="54" t="s">
        <v>662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10" t="s">
        <v>660</v>
      </c>
      <c r="Q432" s="668"/>
      <c r="R432" s="668"/>
      <c r="S432" s="668"/>
      <c r="T432" s="669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663</v>
      </c>
      <c r="B433" s="54" t="s">
        <v>664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3" t="s">
        <v>665</v>
      </c>
      <c r="Q433" s="668"/>
      <c r="R433" s="668"/>
      <c r="S433" s="668"/>
      <c r="T433" s="669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667</v>
      </c>
      <c r="B434" s="54" t="s">
        <v>668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667</v>
      </c>
      <c r="B435" s="54" t="s">
        <v>669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8" t="s">
        <v>670</v>
      </c>
      <c r="Q435" s="668"/>
      <c r="R435" s="668"/>
      <c r="S435" s="668"/>
      <c r="T435" s="669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671</v>
      </c>
      <c r="B436" s="54" t="s">
        <v>672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673</v>
      </c>
      <c r="B437" s="54" t="s">
        <v>674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676</v>
      </c>
      <c r="B438" s="54" t="s">
        <v>677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676</v>
      </c>
      <c r="B439" s="54" t="s">
        <v>679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2" t="s">
        <v>680</v>
      </c>
      <c r="Q439" s="668"/>
      <c r="R439" s="668"/>
      <c r="S439" s="668"/>
      <c r="T439" s="669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681</v>
      </c>
      <c r="B440" s="54" t="s">
        <v>682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684</v>
      </c>
      <c r="B441" s="54" t="s">
        <v>685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63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686</v>
      </c>
      <c r="B445" s="54" t="s">
        <v>687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689</v>
      </c>
      <c r="B446" s="54" t="s">
        <v>690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692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133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693</v>
      </c>
      <c r="B451" s="54" t="s">
        <v>694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144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hidden="1" customHeight="1" x14ac:dyDescent="0.25">
      <c r="A456" s="54" t="s">
        <v>699</v>
      </c>
      <c r="B456" s="54" t="s">
        <v>700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63" t="s">
        <v>701</v>
      </c>
      <c r="Q456" s="668"/>
      <c r="R456" s="668"/>
      <c r="S456" s="668"/>
      <c r="T456" s="669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703</v>
      </c>
      <c r="B457" s="54" t="s">
        <v>704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706</v>
      </c>
      <c r="B458" s="54" t="s">
        <v>707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68"/>
      <c r="R458" s="668"/>
      <c r="S458" s="668"/>
      <c r="T458" s="669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710</v>
      </c>
      <c r="B459" s="54" t="s">
        <v>711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hidden="1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hidden="1" customHeight="1" x14ac:dyDescent="0.25">
      <c r="A462" s="716" t="s">
        <v>712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144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713</v>
      </c>
      <c r="B464" s="54" t="s">
        <v>714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716</v>
      </c>
      <c r="B465" s="54" t="s">
        <v>717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6" t="s">
        <v>718</v>
      </c>
      <c r="Q465" s="668"/>
      <c r="R465" s="668"/>
      <c r="S465" s="668"/>
      <c r="T465" s="669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720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144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721</v>
      </c>
      <c r="B470" s="54" t="s">
        <v>722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170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724</v>
      </c>
      <c r="B474" s="54" t="s">
        <v>725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727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97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728</v>
      </c>
      <c r="B480" s="54" t="s">
        <v>729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731</v>
      </c>
      <c r="B481" s="54" t="s">
        <v>732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hidden="1" customHeight="1" x14ac:dyDescent="0.25">
      <c r="A482" s="54" t="s">
        <v>734</v>
      </c>
      <c r="B482" s="54" t="s">
        <v>735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68</v>
      </c>
      <c r="X483" s="663">
        <v>300</v>
      </c>
      <c r="Y483" s="664">
        <f t="shared" si="69"/>
        <v>300.96000000000004</v>
      </c>
      <c r="Z483" s="36">
        <f>IFERROR(IF(Y483=0,"",ROUNDUP(Y483/H483,0)*0.01196),"")</f>
        <v>0.68171999999999999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320.45454545454544</v>
      </c>
      <c r="BN483" s="64">
        <f t="shared" si="71"/>
        <v>321.48</v>
      </c>
      <c r="BO483" s="64">
        <f t="shared" si="72"/>
        <v>0.54632867132867136</v>
      </c>
      <c r="BP483" s="64">
        <f t="shared" si="73"/>
        <v>0.54807692307692313</v>
      </c>
    </row>
    <row r="484" spans="1:68" ht="16.5" hidden="1" customHeight="1" x14ac:dyDescent="0.25">
      <c r="A484" s="54" t="s">
        <v>740</v>
      </c>
      <c r="B484" s="54" t="s">
        <v>741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743</v>
      </c>
      <c r="B485" s="54" t="s">
        <v>744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20" t="s">
        <v>745</v>
      </c>
      <c r="Q485" s="668"/>
      <c r="R485" s="668"/>
      <c r="S485" s="668"/>
      <c r="T485" s="669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746</v>
      </c>
      <c r="B487" s="54" t="s">
        <v>748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749</v>
      </c>
      <c r="B488" s="54" t="s">
        <v>750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751</v>
      </c>
      <c r="B489" s="54" t="s">
        <v>752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56" t="s">
        <v>753</v>
      </c>
      <c r="Q489" s="668"/>
      <c r="R489" s="668"/>
      <c r="S489" s="668"/>
      <c r="T489" s="669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6" t="s">
        <v>756</v>
      </c>
      <c r="Q490" s="668"/>
      <c r="R490" s="668"/>
      <c r="S490" s="668"/>
      <c r="T490" s="669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758</v>
      </c>
      <c r="B491" s="54" t="s">
        <v>759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48" t="s">
        <v>760</v>
      </c>
      <c r="Q491" s="668"/>
      <c r="R491" s="668"/>
      <c r="S491" s="668"/>
      <c r="T491" s="669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761</v>
      </c>
      <c r="B492" s="54" t="s">
        <v>762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761</v>
      </c>
      <c r="B493" s="54" t="s">
        <v>763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764</v>
      </c>
      <c r="B494" s="54" t="s">
        <v>765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56.818181818181813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57.000000000000007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0.68171999999999999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300</v>
      </c>
      <c r="Y496" s="665">
        <f>IFERROR(SUM(Y480:Y494),"0")</f>
        <v>300.96000000000004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133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68</v>
      </c>
      <c r="X498" s="663">
        <v>200</v>
      </c>
      <c r="Y498" s="664">
        <f>IFERROR(IF(X498="",0,CEILING((X498/$H498),1)*$H498),"")</f>
        <v>200.64000000000001</v>
      </c>
      <c r="Z498" s="36">
        <f>IFERROR(IF(Y498=0,"",ROUNDUP(Y498/H498,0)*0.01196),"")</f>
        <v>0.45448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213.63636363636363</v>
      </c>
      <c r="BN498" s="64">
        <f>IFERROR(Y498*I498/H498,"0")</f>
        <v>214.32</v>
      </c>
      <c r="BO498" s="64">
        <f>IFERROR(1/J498*(X498/H498),"0")</f>
        <v>0.36421911421911418</v>
      </c>
      <c r="BP498" s="64">
        <f>IFERROR(1/J498*(Y498/H498),"0")</f>
        <v>0.36538461538461542</v>
      </c>
    </row>
    <row r="499" spans="1:68" ht="16.5" hidden="1" customHeight="1" x14ac:dyDescent="0.25">
      <c r="A499" s="54" t="s">
        <v>766</v>
      </c>
      <c r="B499" s="54" t="s">
        <v>769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32" t="s">
        <v>770</v>
      </c>
      <c r="Q499" s="668"/>
      <c r="R499" s="668"/>
      <c r="S499" s="668"/>
      <c r="T499" s="669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772</v>
      </c>
      <c r="B500" s="54" t="s">
        <v>773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5" t="s">
        <v>774</v>
      </c>
      <c r="Q500" s="668"/>
      <c r="R500" s="668"/>
      <c r="S500" s="668"/>
      <c r="T500" s="669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775</v>
      </c>
      <c r="B501" s="54" t="s">
        <v>776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30" t="s">
        <v>777</v>
      </c>
      <c r="Q501" s="668"/>
      <c r="R501" s="668"/>
      <c r="S501" s="668"/>
      <c r="T501" s="669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37.878787878787875</v>
      </c>
      <c r="Y502" s="665">
        <f>IFERROR(Y498/H498,"0")+IFERROR(Y499/H499,"0")+IFERROR(Y500/H500,"0")+IFERROR(Y501/H501,"0")</f>
        <v>38</v>
      </c>
      <c r="Z502" s="665">
        <f>IFERROR(IF(Z498="",0,Z498),"0")+IFERROR(IF(Z499="",0,Z499),"0")+IFERROR(IF(Z500="",0,Z500),"0")+IFERROR(IF(Z501="",0,Z501),"0")</f>
        <v>0.45448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200</v>
      </c>
      <c r="Y503" s="665">
        <f>IFERROR(SUM(Y498:Y501),"0")</f>
        <v>200.64000000000001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144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7" t="s">
        <v>780</v>
      </c>
      <c r="Q505" s="668"/>
      <c r="R505" s="668"/>
      <c r="S505" s="668"/>
      <c r="T505" s="669"/>
      <c r="U505" s="34"/>
      <c r="V505" s="34"/>
      <c r="W505" s="35" t="s">
        <v>68</v>
      </c>
      <c r="X505" s="663">
        <v>150</v>
      </c>
      <c r="Y505" s="664">
        <f t="shared" ref="Y505:Y516" si="74">IFERROR(IF(X505="",0,CEILING((X505/$H505),1)*$H505),"")</f>
        <v>153.12</v>
      </c>
      <c r="Z505" s="36">
        <f>IFERROR(IF(Y505=0,"",ROUNDUP(Y505/H505,0)*0.01196),"")</f>
        <v>0.34683999999999998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160.22727272727272</v>
      </c>
      <c r="BN505" s="64">
        <f t="shared" ref="BN505:BN516" si="76">IFERROR(Y505*I505/H505,"0")</f>
        <v>163.56</v>
      </c>
      <c r="BO505" s="64">
        <f t="shared" ref="BO505:BO516" si="77">IFERROR(1/J505*(X505/H505),"0")</f>
        <v>0.27316433566433568</v>
      </c>
      <c r="BP505" s="64">
        <f t="shared" ref="BP505:BP516" si="78">IFERROR(1/J505*(Y505/H505),"0")</f>
        <v>0.27884615384615385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901" t="s">
        <v>784</v>
      </c>
      <c r="Q506" s="668"/>
      <c r="R506" s="668"/>
      <c r="S506" s="668"/>
      <c r="T506" s="669"/>
      <c r="U506" s="34"/>
      <c r="V506" s="34"/>
      <c r="W506" s="35" t="s">
        <v>68</v>
      </c>
      <c r="X506" s="663">
        <v>50</v>
      </c>
      <c r="Y506" s="664">
        <f t="shared" si="74"/>
        <v>52.800000000000004</v>
      </c>
      <c r="Z506" s="36">
        <f>IFERROR(IF(Y506=0,"",ROUNDUP(Y506/H506,0)*0.01196),"")</f>
        <v>0.1196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53.409090909090907</v>
      </c>
      <c r="BN506" s="64">
        <f t="shared" si="76"/>
        <v>56.400000000000006</v>
      </c>
      <c r="BO506" s="64">
        <f t="shared" si="77"/>
        <v>9.1054778554778545E-2</v>
      </c>
      <c r="BP506" s="64">
        <f t="shared" si="78"/>
        <v>9.6153846153846159E-2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8" t="s">
        <v>788</v>
      </c>
      <c r="Q507" s="668"/>
      <c r="R507" s="668"/>
      <c r="S507" s="668"/>
      <c r="T507" s="669"/>
      <c r="U507" s="34"/>
      <c r="V507" s="34"/>
      <c r="W507" s="35" t="s">
        <v>68</v>
      </c>
      <c r="X507" s="663">
        <v>150</v>
      </c>
      <c r="Y507" s="664">
        <f t="shared" si="74"/>
        <v>153.12</v>
      </c>
      <c r="Z507" s="36">
        <f>IFERROR(IF(Y507=0,"",ROUNDUP(Y507/H507,0)*0.01196),"")</f>
        <v>0.34683999999999998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160.22727272727272</v>
      </c>
      <c r="BN507" s="64">
        <f t="shared" si="76"/>
        <v>163.56</v>
      </c>
      <c r="BO507" s="64">
        <f t="shared" si="77"/>
        <v>0.27316433566433568</v>
      </c>
      <c r="BP507" s="64">
        <f t="shared" si="78"/>
        <v>0.27884615384615385</v>
      </c>
    </row>
    <row r="508" spans="1:68" ht="27" hidden="1" customHeight="1" x14ac:dyDescent="0.25">
      <c r="A508" s="54" t="s">
        <v>790</v>
      </c>
      <c r="B508" s="54" t="s">
        <v>791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68"/>
      <c r="R508" s="668"/>
      <c r="S508" s="668"/>
      <c r="T508" s="669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793</v>
      </c>
      <c r="B509" s="54" t="s">
        <v>794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10" t="s">
        <v>795</v>
      </c>
      <c r="Q509" s="668"/>
      <c r="R509" s="668"/>
      <c r="S509" s="668"/>
      <c r="T509" s="669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793</v>
      </c>
      <c r="B510" s="54" t="s">
        <v>796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46" t="s">
        <v>797</v>
      </c>
      <c r="Q510" s="668"/>
      <c r="R510" s="668"/>
      <c r="S510" s="668"/>
      <c r="T510" s="669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793</v>
      </c>
      <c r="B511" s="54" t="s">
        <v>798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800</v>
      </c>
      <c r="B512" s="54" t="s">
        <v>801</v>
      </c>
      <c r="C512" s="31">
        <v>4301031418</v>
      </c>
      <c r="D512" s="675">
        <v>4680115882102</v>
      </c>
      <c r="E512" s="676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4" t="s">
        <v>802</v>
      </c>
      <c r="Q512" s="668"/>
      <c r="R512" s="668"/>
      <c r="S512" s="668"/>
      <c r="T512" s="669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800</v>
      </c>
      <c r="B513" s="54" t="s">
        <v>803</v>
      </c>
      <c r="C513" s="31">
        <v>4301031251</v>
      </c>
      <c r="D513" s="675">
        <v>4680115882102</v>
      </c>
      <c r="E513" s="676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68"/>
      <c r="R513" s="668"/>
      <c r="S513" s="668"/>
      <c r="T513" s="669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805</v>
      </c>
      <c r="B514" s="54" t="s">
        <v>806</v>
      </c>
      <c r="C514" s="31">
        <v>4301031417</v>
      </c>
      <c r="D514" s="675">
        <v>4680115882096</v>
      </c>
      <c r="E514" s="676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5" t="s">
        <v>807</v>
      </c>
      <c r="Q514" s="668"/>
      <c r="R514" s="668"/>
      <c r="S514" s="668"/>
      <c r="T514" s="669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805</v>
      </c>
      <c r="B515" s="54" t="s">
        <v>808</v>
      </c>
      <c r="C515" s="31">
        <v>4301031384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68"/>
      <c r="R515" s="668"/>
      <c r="S515" s="668"/>
      <c r="T515" s="669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805</v>
      </c>
      <c r="B516" s="54" t="s">
        <v>809</v>
      </c>
      <c r="C516" s="31">
        <v>4301031253</v>
      </c>
      <c r="D516" s="675">
        <v>4680115882096</v>
      </c>
      <c r="E516" s="676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37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68"/>
      <c r="R516" s="668"/>
      <c r="S516" s="668"/>
      <c r="T516" s="669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66.287878787878782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68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0.81328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350</v>
      </c>
      <c r="Y518" s="665">
        <f>IFERROR(SUM(Y505:Y516),"0")</f>
        <v>359.04</v>
      </c>
      <c r="Z518" s="37"/>
      <c r="AA518" s="666"/>
      <c r="AB518" s="666"/>
      <c r="AC518" s="666"/>
    </row>
    <row r="519" spans="1:68" ht="14.25" hidden="1" customHeight="1" x14ac:dyDescent="0.25">
      <c r="A519" s="679" t="s">
        <v>63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811</v>
      </c>
      <c r="B520" s="54" t="s">
        <v>812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814</v>
      </c>
      <c r="B521" s="54" t="s">
        <v>815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817</v>
      </c>
      <c r="B522" s="54" t="s">
        <v>818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170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820</v>
      </c>
      <c r="B526" s="54" t="s">
        <v>821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823</v>
      </c>
      <c r="B527" s="54" t="s">
        <v>824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20" t="s">
        <v>825</v>
      </c>
      <c r="Q527" s="668"/>
      <c r="R527" s="668"/>
      <c r="S527" s="668"/>
      <c r="T527" s="669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826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97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827</v>
      </c>
      <c r="B533" s="54" t="s">
        <v>828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902" t="s">
        <v>829</v>
      </c>
      <c r="Q533" s="668"/>
      <c r="R533" s="668"/>
      <c r="S533" s="668"/>
      <c r="T533" s="669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831</v>
      </c>
      <c r="B534" s="54" t="s">
        <v>832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9" t="s">
        <v>833</v>
      </c>
      <c r="Q534" s="668"/>
      <c r="R534" s="668"/>
      <c r="S534" s="668"/>
      <c r="T534" s="669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hidden="1" customHeight="1" x14ac:dyDescent="0.25">
      <c r="A535" s="54" t="s">
        <v>835</v>
      </c>
      <c r="B535" s="54" t="s">
        <v>836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6" t="s">
        <v>837</v>
      </c>
      <c r="Q535" s="668"/>
      <c r="R535" s="668"/>
      <c r="S535" s="668"/>
      <c r="T535" s="669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hidden="1" customHeight="1" x14ac:dyDescent="0.25">
      <c r="A536" s="54" t="s">
        <v>839</v>
      </c>
      <c r="B536" s="54" t="s">
        <v>840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910" t="s">
        <v>841</v>
      </c>
      <c r="Q536" s="668"/>
      <c r="R536" s="668"/>
      <c r="S536" s="668"/>
      <c r="T536" s="669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843</v>
      </c>
      <c r="B537" s="54" t="s">
        <v>844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61" t="s">
        <v>845</v>
      </c>
      <c r="Q537" s="668"/>
      <c r="R537" s="668"/>
      <c r="S537" s="668"/>
      <c r="T537" s="669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846</v>
      </c>
      <c r="B538" s="54" t="s">
        <v>847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92" t="s">
        <v>848</v>
      </c>
      <c r="Q538" s="668"/>
      <c r="R538" s="668"/>
      <c r="S538" s="668"/>
      <c r="T538" s="669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hidden="1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hidden="1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133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849</v>
      </c>
      <c r="B542" s="54" t="s">
        <v>850</v>
      </c>
      <c r="C542" s="31">
        <v>4301020400</v>
      </c>
      <c r="D542" s="675">
        <v>4640242180519</v>
      </c>
      <c r="E542" s="676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8" t="s">
        <v>851</v>
      </c>
      <c r="Q542" s="668"/>
      <c r="R542" s="668"/>
      <c r="S542" s="668"/>
      <c r="T542" s="669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849</v>
      </c>
      <c r="B543" s="54" t="s">
        <v>853</v>
      </c>
      <c r="C543" s="31">
        <v>4301020269</v>
      </c>
      <c r="D543" s="675">
        <v>4640242180519</v>
      </c>
      <c r="E543" s="676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46" t="s">
        <v>854</v>
      </c>
      <c r="Q543" s="668"/>
      <c r="R543" s="668"/>
      <c r="S543" s="668"/>
      <c r="T543" s="669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857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3" t="s">
        <v>858</v>
      </c>
      <c r="Q544" s="668"/>
      <c r="R544" s="668"/>
      <c r="S544" s="668"/>
      <c r="T544" s="669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859</v>
      </c>
      <c r="B545" s="54" t="s">
        <v>860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1" t="s">
        <v>861</v>
      </c>
      <c r="Q545" s="668"/>
      <c r="R545" s="668"/>
      <c r="S545" s="668"/>
      <c r="T545" s="669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863</v>
      </c>
      <c r="B546" s="54" t="s">
        <v>864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801" t="s">
        <v>865</v>
      </c>
      <c r="Q546" s="668"/>
      <c r="R546" s="668"/>
      <c r="S546" s="668"/>
      <c r="T546" s="669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144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8" t="s">
        <v>868</v>
      </c>
      <c r="Q550" s="668"/>
      <c r="R550" s="668"/>
      <c r="S550" s="668"/>
      <c r="T550" s="669"/>
      <c r="U550" s="34"/>
      <c r="V550" s="34"/>
      <c r="W550" s="35" t="s">
        <v>68</v>
      </c>
      <c r="X550" s="663">
        <v>50</v>
      </c>
      <c r="Y550" s="664">
        <f t="shared" ref="Y550:Y556" si="84">IFERROR(IF(X550="",0,CEILING((X550/$H550),1)*$H550),"")</f>
        <v>50.400000000000006</v>
      </c>
      <c r="Z550" s="36">
        <f>IFERROR(IF(Y550=0,"",ROUNDUP(Y550/H550,0)*0.00902),"")</f>
        <v>0.10824</v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53.214285714285715</v>
      </c>
      <c r="BN550" s="64">
        <f t="shared" ref="BN550:BN556" si="86">IFERROR(Y550*I550/H550,"0")</f>
        <v>53.64</v>
      </c>
      <c r="BO550" s="64">
        <f t="shared" ref="BO550:BO556" si="87">IFERROR(1/J550*(X550/H550),"0")</f>
        <v>9.0187590187590191E-2</v>
      </c>
      <c r="BP550" s="64">
        <f t="shared" ref="BP550:BP556" si="88">IFERROR(1/J550*(Y550/H550),"0")</f>
        <v>9.0909090909090912E-2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872</v>
      </c>
      <c r="Q551" s="668"/>
      <c r="R551" s="668"/>
      <c r="S551" s="668"/>
      <c r="T551" s="669"/>
      <c r="U551" s="34"/>
      <c r="V551" s="34"/>
      <c r="W551" s="35" t="s">
        <v>68</v>
      </c>
      <c r="X551" s="663">
        <v>50</v>
      </c>
      <c r="Y551" s="664">
        <f t="shared" si="84"/>
        <v>50.400000000000006</v>
      </c>
      <c r="Z551" s="36">
        <f>IFERROR(IF(Y551=0,"",ROUNDUP(Y551/H551,0)*0.00902),"")</f>
        <v>0.10824</v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53.214285714285715</v>
      </c>
      <c r="BN551" s="64">
        <f t="shared" si="86"/>
        <v>53.64</v>
      </c>
      <c r="BO551" s="64">
        <f t="shared" si="87"/>
        <v>9.0187590187590191E-2</v>
      </c>
      <c r="BP551" s="64">
        <f t="shared" si="88"/>
        <v>9.0909090909090912E-2</v>
      </c>
    </row>
    <row r="552" spans="1:68" ht="27" hidden="1" customHeight="1" x14ac:dyDescent="0.25">
      <c r="A552" s="54" t="s">
        <v>874</v>
      </c>
      <c r="B552" s="54" t="s">
        <v>875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688" t="s">
        <v>876</v>
      </c>
      <c r="Q552" s="668"/>
      <c r="R552" s="668"/>
      <c r="S552" s="668"/>
      <c r="T552" s="669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878</v>
      </c>
      <c r="B553" s="54" t="s">
        <v>879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68"/>
      <c r="R553" s="668"/>
      <c r="S553" s="668"/>
      <c r="T553" s="669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882</v>
      </c>
      <c r="B554" s="54" t="s">
        <v>883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5" t="s">
        <v>884</v>
      </c>
      <c r="Q554" s="668"/>
      <c r="R554" s="668"/>
      <c r="S554" s="668"/>
      <c r="T554" s="669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886</v>
      </c>
      <c r="B555" s="54" t="s">
        <v>887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5" t="s">
        <v>888</v>
      </c>
      <c r="Q555" s="668"/>
      <c r="R555" s="668"/>
      <c r="S555" s="668"/>
      <c r="T555" s="669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889</v>
      </c>
      <c r="B556" s="54" t="s">
        <v>890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814" t="s">
        <v>891</v>
      </c>
      <c r="Q556" s="668"/>
      <c r="R556" s="668"/>
      <c r="S556" s="668"/>
      <c r="T556" s="669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23.80952380952381</v>
      </c>
      <c r="Y557" s="665">
        <f>IFERROR(Y550/H550,"0")+IFERROR(Y551/H551,"0")+IFERROR(Y552/H552,"0")+IFERROR(Y553/H553,"0")+IFERROR(Y554/H554,"0")+IFERROR(Y555/H555,"0")+IFERROR(Y556/H556,"0")</f>
        <v>24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0.21648000000000001</v>
      </c>
      <c r="AA557" s="666"/>
      <c r="AB557" s="666"/>
      <c r="AC557" s="666"/>
    </row>
    <row r="558" spans="1:68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100</v>
      </c>
      <c r="Y558" s="665">
        <f>IFERROR(SUM(Y550:Y556),"0")</f>
        <v>100.80000000000001</v>
      </c>
      <c r="Z558" s="37"/>
      <c r="AA558" s="666"/>
      <c r="AB558" s="666"/>
      <c r="AC558" s="666"/>
    </row>
    <row r="559" spans="1:68" ht="14.25" hidden="1" customHeight="1" x14ac:dyDescent="0.25">
      <c r="A559" s="679" t="s">
        <v>63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892</v>
      </c>
      <c r="B560" s="54" t="s">
        <v>893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72" t="s">
        <v>894</v>
      </c>
      <c r="Q560" s="668"/>
      <c r="R560" s="668"/>
      <c r="S560" s="668"/>
      <c r="T560" s="669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892</v>
      </c>
      <c r="B561" s="54" t="s">
        <v>896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09" t="s">
        <v>894</v>
      </c>
      <c r="Q561" s="668"/>
      <c r="R561" s="668"/>
      <c r="S561" s="668"/>
      <c r="T561" s="669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897</v>
      </c>
      <c r="B562" s="54" t="s">
        <v>898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5" t="s">
        <v>899</v>
      </c>
      <c r="Q562" s="668"/>
      <c r="R562" s="668"/>
      <c r="S562" s="668"/>
      <c r="T562" s="669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901</v>
      </c>
      <c r="B563" s="54" t="s">
        <v>902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68"/>
      <c r="R563" s="668"/>
      <c r="S563" s="668"/>
      <c r="T563" s="669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904</v>
      </c>
      <c r="B564" s="54" t="s">
        <v>905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79" t="s">
        <v>906</v>
      </c>
      <c r="Q564" s="668"/>
      <c r="R564" s="668"/>
      <c r="S564" s="668"/>
      <c r="T564" s="669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170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907</v>
      </c>
      <c r="B568" s="54" t="s">
        <v>908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7" t="s">
        <v>909</v>
      </c>
      <c r="Q568" s="668"/>
      <c r="R568" s="668"/>
      <c r="S568" s="668"/>
      <c r="T568" s="669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907</v>
      </c>
      <c r="B569" s="54" t="s">
        <v>911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53" t="s">
        <v>912</v>
      </c>
      <c r="Q569" s="668"/>
      <c r="R569" s="668"/>
      <c r="S569" s="668"/>
      <c r="T569" s="669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913</v>
      </c>
      <c r="B570" s="54" t="s">
        <v>914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7" t="s">
        <v>915</v>
      </c>
      <c r="Q570" s="668"/>
      <c r="R570" s="668"/>
      <c r="S570" s="668"/>
      <c r="T570" s="669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913</v>
      </c>
      <c r="B571" s="54" t="s">
        <v>917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9" t="s">
        <v>918</v>
      </c>
      <c r="Q571" s="668"/>
      <c r="R571" s="668"/>
      <c r="S571" s="668"/>
      <c r="T571" s="669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919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97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920</v>
      </c>
      <c r="B576" s="54" t="s">
        <v>921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85" t="s">
        <v>922</v>
      </c>
      <c r="Q576" s="668"/>
      <c r="R576" s="668"/>
      <c r="S576" s="668"/>
      <c r="T576" s="669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133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924</v>
      </c>
      <c r="B580" s="54" t="s">
        <v>925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63" t="s">
        <v>926</v>
      </c>
      <c r="Q580" s="668"/>
      <c r="R580" s="668"/>
      <c r="S580" s="668"/>
      <c r="T580" s="669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144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928</v>
      </c>
      <c r="B584" s="54" t="s">
        <v>929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813" t="s">
        <v>930</v>
      </c>
      <c r="Q584" s="668"/>
      <c r="R584" s="668"/>
      <c r="S584" s="668"/>
      <c r="T584" s="669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63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932</v>
      </c>
      <c r="B588" s="54" t="s">
        <v>933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92" t="s">
        <v>934</v>
      </c>
      <c r="Q588" s="668"/>
      <c r="R588" s="668"/>
      <c r="S588" s="668"/>
      <c r="T588" s="669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936</v>
      </c>
      <c r="Q591" s="819"/>
      <c r="R591" s="819"/>
      <c r="S591" s="819"/>
      <c r="T591" s="819"/>
      <c r="U591" s="819"/>
      <c r="V591" s="820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17252.400000000001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17313.84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937</v>
      </c>
      <c r="Q592" s="819"/>
      <c r="R592" s="819"/>
      <c r="S592" s="819"/>
      <c r="T592" s="819"/>
      <c r="U592" s="819"/>
      <c r="V592" s="820"/>
      <c r="W592" s="37" t="s">
        <v>68</v>
      </c>
      <c r="X592" s="665">
        <f>IFERROR(SUM(BM22:BM588),"0")</f>
        <v>17971.950667807287</v>
      </c>
      <c r="Y592" s="665">
        <f>IFERROR(SUM(BN22:BN588),"0")</f>
        <v>18036.564000000002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938</v>
      </c>
      <c r="Q593" s="819"/>
      <c r="R593" s="819"/>
      <c r="S593" s="819"/>
      <c r="T593" s="819"/>
      <c r="U593" s="819"/>
      <c r="V593" s="820"/>
      <c r="W593" s="37" t="s">
        <v>939</v>
      </c>
      <c r="X593" s="38">
        <f>ROUNDUP(SUM(BO22:BO588),0)</f>
        <v>27</v>
      </c>
      <c r="Y593" s="38">
        <f>ROUNDUP(SUM(BP22:BP588),0)</f>
        <v>27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940</v>
      </c>
      <c r="Q594" s="819"/>
      <c r="R594" s="819"/>
      <c r="S594" s="819"/>
      <c r="T594" s="819"/>
      <c r="U594" s="819"/>
      <c r="V594" s="820"/>
      <c r="W594" s="37" t="s">
        <v>68</v>
      </c>
      <c r="X594" s="665">
        <f>GrossWeightTotal+PalletQtyTotal*25</f>
        <v>18646.950667807287</v>
      </c>
      <c r="Y594" s="665">
        <f>GrossWeightTotalR+PalletQtyTotalR*25</f>
        <v>18711.564000000002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941</v>
      </c>
      <c r="Q595" s="819"/>
      <c r="R595" s="819"/>
      <c r="S595" s="819"/>
      <c r="T595" s="819"/>
      <c r="U595" s="819"/>
      <c r="V595" s="820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1829.1044223975257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1838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942</v>
      </c>
      <c r="Q596" s="819"/>
      <c r="R596" s="819"/>
      <c r="S596" s="819"/>
      <c r="T596" s="819"/>
      <c r="U596" s="819"/>
      <c r="V596" s="820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28.518280000000001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3" t="s">
        <v>95</v>
      </c>
      <c r="D598" s="812"/>
      <c r="E598" s="812"/>
      <c r="F598" s="812"/>
      <c r="G598" s="812"/>
      <c r="H598" s="803"/>
      <c r="I598" s="693" t="s">
        <v>283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574</v>
      </c>
      <c r="X598" s="803"/>
      <c r="Y598" s="693" t="s">
        <v>652</v>
      </c>
      <c r="Z598" s="812"/>
      <c r="AA598" s="812"/>
      <c r="AB598" s="803"/>
      <c r="AC598" s="660" t="s">
        <v>727</v>
      </c>
      <c r="AD598" s="693" t="s">
        <v>826</v>
      </c>
      <c r="AE598" s="803"/>
      <c r="AF598" s="661"/>
    </row>
    <row r="599" spans="1:32" ht="14.25" customHeight="1" thickTop="1" x14ac:dyDescent="0.2">
      <c r="A599" s="831" t="s">
        <v>945</v>
      </c>
      <c r="B599" s="693" t="s">
        <v>62</v>
      </c>
      <c r="C599" s="693" t="s">
        <v>96</v>
      </c>
      <c r="D599" s="693" t="s">
        <v>115</v>
      </c>
      <c r="E599" s="693" t="s">
        <v>178</v>
      </c>
      <c r="F599" s="693" t="s">
        <v>209</v>
      </c>
      <c r="G599" s="693" t="s">
        <v>254</v>
      </c>
      <c r="H599" s="693" t="s">
        <v>95</v>
      </c>
      <c r="I599" s="693" t="s">
        <v>284</v>
      </c>
      <c r="J599" s="693" t="s">
        <v>319</v>
      </c>
      <c r="K599" s="693" t="s">
        <v>380</v>
      </c>
      <c r="L599" s="693" t="s">
        <v>415</v>
      </c>
      <c r="M599" s="693" t="s">
        <v>433</v>
      </c>
      <c r="N599" s="661"/>
      <c r="O599" s="693" t="s">
        <v>437</v>
      </c>
      <c r="P599" s="693" t="s">
        <v>446</v>
      </c>
      <c r="Q599" s="693" t="s">
        <v>460</v>
      </c>
      <c r="R599" s="693" t="s">
        <v>470</v>
      </c>
      <c r="S599" s="693" t="s">
        <v>474</v>
      </c>
      <c r="T599" s="693" t="s">
        <v>482</v>
      </c>
      <c r="U599" s="693" t="s">
        <v>487</v>
      </c>
      <c r="V599" s="693" t="s">
        <v>561</v>
      </c>
      <c r="W599" s="693" t="s">
        <v>575</v>
      </c>
      <c r="X599" s="693" t="s">
        <v>616</v>
      </c>
      <c r="Y599" s="693" t="s">
        <v>653</v>
      </c>
      <c r="Z599" s="693" t="s">
        <v>692</v>
      </c>
      <c r="AA599" s="693" t="s">
        <v>712</v>
      </c>
      <c r="AB599" s="693" t="s">
        <v>720</v>
      </c>
      <c r="AC599" s="693" t="s">
        <v>727</v>
      </c>
      <c r="AD599" s="693" t="s">
        <v>826</v>
      </c>
      <c r="AE599" s="693" t="s">
        <v>919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100.80000000000001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1811.4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262.2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14178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860.64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100.80000000000001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74,00"/>
        <filter val="1 829,10"/>
        <filter val="100,00"/>
        <filter val="11,90"/>
        <filter val="120,00"/>
        <filter val="130,00"/>
        <filter val="14,44"/>
        <filter val="150,00"/>
        <filter val="16,00"/>
        <filter val="17 252,40"/>
        <filter val="17 971,95"/>
        <filter val="18 646,95"/>
        <filter val="19,20"/>
        <filter val="2 430,00"/>
        <filter val="2 500,00"/>
        <filter val="200,00"/>
        <filter val="216,00"/>
        <filter val="23,81"/>
        <filter val="24,54"/>
        <filter val="240,00"/>
        <filter val="266,67"/>
        <filter val="27"/>
        <filter val="280,00"/>
        <filter val="288,00"/>
        <filter val="300,00"/>
        <filter val="350,00"/>
        <filter val="37,88"/>
        <filter val="38,40"/>
        <filter val="4 000,00"/>
        <filter val="4 500,00"/>
        <filter val="50,00"/>
        <filter val="51,85"/>
        <filter val="539,76"/>
        <filter val="56,82"/>
        <filter val="60,00"/>
        <filter val="600,00"/>
        <filter val="628,67"/>
        <filter val="66,29"/>
        <filter val="66,67"/>
        <filter val="80,00"/>
        <filter val="9 430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2025-04-17T10:30:59Z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