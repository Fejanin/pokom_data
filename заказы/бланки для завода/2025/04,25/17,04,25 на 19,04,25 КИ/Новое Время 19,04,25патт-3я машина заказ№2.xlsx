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E916F7-4864-4B4C-B108-06E6508E2A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BM22" i="1"/>
  <c r="X592" i="1" s="1"/>
  <c r="Y22" i="1"/>
  <c r="P22" i="1"/>
  <c r="H10" i="1"/>
  <c r="A9" i="1"/>
  <c r="F10" i="1" s="1"/>
  <c r="D7" i="1"/>
  <c r="Q6" i="1"/>
  <c r="P2" i="1"/>
  <c r="BP99" i="1" l="1"/>
  <c r="BN99" i="1"/>
  <c r="Z99" i="1"/>
  <c r="BP119" i="1"/>
  <c r="BN119" i="1"/>
  <c r="Z119" i="1"/>
  <c r="BP160" i="1"/>
  <c r="BN160" i="1"/>
  <c r="Z160" i="1"/>
  <c r="Y166" i="1"/>
  <c r="Y165" i="1"/>
  <c r="BP164" i="1"/>
  <c r="BN164" i="1"/>
  <c r="Z164" i="1"/>
  <c r="Z165" i="1" s="1"/>
  <c r="Y171" i="1"/>
  <c r="BP170" i="1"/>
  <c r="BN170" i="1"/>
  <c r="Z170" i="1"/>
  <c r="Z171" i="1" s="1"/>
  <c r="BP174" i="1"/>
  <c r="BN174" i="1"/>
  <c r="Z174" i="1"/>
  <c r="BP215" i="1"/>
  <c r="BN215" i="1"/>
  <c r="Z215" i="1"/>
  <c r="BP260" i="1"/>
  <c r="BN260" i="1"/>
  <c r="Z260" i="1"/>
  <c r="BN314" i="1"/>
  <c r="Z314" i="1"/>
  <c r="Z315" i="1" s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31" i="1"/>
  <c r="Z32" i="1" s="1"/>
  <c r="BN31" i="1"/>
  <c r="BP31" i="1"/>
  <c r="Y32" i="1"/>
  <c r="Z37" i="1"/>
  <c r="BN37" i="1"/>
  <c r="Z54" i="1"/>
  <c r="BN54" i="1"/>
  <c r="Y62" i="1"/>
  <c r="Z72" i="1"/>
  <c r="BN72" i="1"/>
  <c r="Z82" i="1"/>
  <c r="BN82" i="1"/>
  <c r="BP94" i="1"/>
  <c r="BN94" i="1"/>
  <c r="Z94" i="1"/>
  <c r="BP114" i="1"/>
  <c r="BN114" i="1"/>
  <c r="Z114" i="1"/>
  <c r="BP138" i="1"/>
  <c r="BN138" i="1"/>
  <c r="Z138" i="1"/>
  <c r="BP203" i="1"/>
  <c r="BN203" i="1"/>
  <c r="Z203" i="1"/>
  <c r="BP230" i="1"/>
  <c r="BN230" i="1"/>
  <c r="Z230" i="1"/>
  <c r="BP277" i="1"/>
  <c r="BN277" i="1"/>
  <c r="Z277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BP241" i="1"/>
  <c r="BN241" i="1"/>
  <c r="Z241" i="1"/>
  <c r="M601" i="1"/>
  <c r="Y266" i="1"/>
  <c r="BP265" i="1"/>
  <c r="BN265" i="1"/>
  <c r="Z265" i="1"/>
  <c r="Z266" i="1" s="1"/>
  <c r="BP270" i="1"/>
  <c r="BN270" i="1"/>
  <c r="Z270" i="1"/>
  <c r="Z273" i="1" s="1"/>
  <c r="Q601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1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601" i="1"/>
  <c r="X593" i="1"/>
  <c r="X594" i="1" s="1"/>
  <c r="Z27" i="1"/>
  <c r="BN27" i="1"/>
  <c r="X591" i="1"/>
  <c r="Z39" i="1"/>
  <c r="BN39" i="1"/>
  <c r="D601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Y103" i="1"/>
  <c r="Z101" i="1"/>
  <c r="BN101" i="1"/>
  <c r="Z108" i="1"/>
  <c r="BN108" i="1"/>
  <c r="Y116" i="1"/>
  <c r="Y129" i="1"/>
  <c r="Z121" i="1"/>
  <c r="BN121" i="1"/>
  <c r="Z122" i="1"/>
  <c r="BN122" i="1"/>
  <c r="Z125" i="1"/>
  <c r="BN125" i="1"/>
  <c r="Z131" i="1"/>
  <c r="BN131" i="1"/>
  <c r="BP131" i="1"/>
  <c r="G601" i="1"/>
  <c r="Z142" i="1"/>
  <c r="BN142" i="1"/>
  <c r="Y149" i="1"/>
  <c r="Z158" i="1"/>
  <c r="BN158" i="1"/>
  <c r="BP181" i="1"/>
  <c r="BN181" i="1"/>
  <c r="Z181" i="1"/>
  <c r="Y209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Y248" i="1"/>
  <c r="Y247" i="1"/>
  <c r="BP246" i="1"/>
  <c r="BN246" i="1"/>
  <c r="Z246" i="1"/>
  <c r="Z247" i="1" s="1"/>
  <c r="BP258" i="1"/>
  <c r="BN258" i="1"/>
  <c r="Z258" i="1"/>
  <c r="Y273" i="1"/>
  <c r="BP279" i="1"/>
  <c r="BN279" i="1"/>
  <c r="Z279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I601" i="1"/>
  <c r="Y183" i="1"/>
  <c r="T601" i="1"/>
  <c r="Y315" i="1"/>
  <c r="BP314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Y443" i="1"/>
  <c r="BP437" i="1"/>
  <c r="BN437" i="1"/>
  <c r="Z437" i="1"/>
  <c r="AA601" i="1"/>
  <c r="Y466" i="1"/>
  <c r="BP464" i="1"/>
  <c r="BN464" i="1"/>
  <c r="Z464" i="1"/>
  <c r="Z466" i="1" s="1"/>
  <c r="BP484" i="1"/>
  <c r="BN484" i="1"/>
  <c r="Z484" i="1"/>
  <c r="BP494" i="1"/>
  <c r="BN494" i="1"/>
  <c r="Z494" i="1"/>
  <c r="Y346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Y282" i="1"/>
  <c r="BP309" i="1"/>
  <c r="BN309" i="1"/>
  <c r="Z309" i="1"/>
  <c r="Z310" i="1" s="1"/>
  <c r="BP320" i="1"/>
  <c r="BN320" i="1"/>
  <c r="Z320" i="1"/>
  <c r="Y326" i="1"/>
  <c r="BP324" i="1"/>
  <c r="BN324" i="1"/>
  <c r="Z324" i="1"/>
  <c r="F9" i="1"/>
  <c r="J9" i="1"/>
  <c r="Z22" i="1"/>
  <c r="BN22" i="1"/>
  <c r="BP22" i="1"/>
  <c r="Z26" i="1"/>
  <c r="BN26" i="1"/>
  <c r="X595" i="1"/>
  <c r="Y29" i="1"/>
  <c r="C601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1" i="1"/>
  <c r="Z88" i="1"/>
  <c r="Z90" i="1" s="1"/>
  <c r="BN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Z109" i="1"/>
  <c r="BN109" i="1"/>
  <c r="Y110" i="1"/>
  <c r="Z113" i="1"/>
  <c r="BN113" i="1"/>
  <c r="BP113" i="1"/>
  <c r="Z115" i="1"/>
  <c r="BN115" i="1"/>
  <c r="Z120" i="1"/>
  <c r="BN120" i="1"/>
  <c r="Z123" i="1"/>
  <c r="BN123" i="1"/>
  <c r="Z124" i="1"/>
  <c r="BN124" i="1"/>
  <c r="Z126" i="1"/>
  <c r="BN126" i="1"/>
  <c r="Z132" i="1"/>
  <c r="BN132" i="1"/>
  <c r="Z137" i="1"/>
  <c r="Z139" i="1" s="1"/>
  <c r="BN137" i="1"/>
  <c r="BP137" i="1"/>
  <c r="Y140" i="1"/>
  <c r="Y145" i="1"/>
  <c r="Z143" i="1"/>
  <c r="Z144" i="1" s="1"/>
  <c r="BN143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Z161" i="1" s="1"/>
  <c r="Y161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Y243" i="1"/>
  <c r="BP257" i="1"/>
  <c r="BN257" i="1"/>
  <c r="Z257" i="1"/>
  <c r="Y261" i="1"/>
  <c r="BP271" i="1"/>
  <c r="BN271" i="1"/>
  <c r="Z271" i="1"/>
  <c r="BP280" i="1"/>
  <c r="BN280" i="1"/>
  <c r="Z280" i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33" i="1"/>
  <c r="BP328" i="1"/>
  <c r="BN328" i="1"/>
  <c r="Z328" i="1"/>
  <c r="Y332" i="1"/>
  <c r="BP336" i="1"/>
  <c r="BN336" i="1"/>
  <c r="Z336" i="1"/>
  <c r="Z340" i="1" s="1"/>
  <c r="Y340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23" i="1" l="1"/>
  <c r="Z370" i="1"/>
  <c r="Z332" i="1"/>
  <c r="Z502" i="1"/>
  <c r="Z325" i="1"/>
  <c r="Z495" i="1"/>
  <c r="Z408" i="1"/>
  <c r="Z346" i="1"/>
  <c r="Z282" i="1"/>
  <c r="Z209" i="1"/>
  <c r="Z133" i="1"/>
  <c r="Z128" i="1"/>
  <c r="Z110" i="1"/>
  <c r="Z83" i="1"/>
  <c r="Z62" i="1"/>
  <c r="Z41" i="1"/>
  <c r="Z28" i="1"/>
  <c r="Z193" i="1"/>
  <c r="Z395" i="1"/>
  <c r="Z565" i="1"/>
  <c r="Z528" i="1"/>
  <c r="Z442" i="1"/>
  <c r="Z421" i="1"/>
  <c r="Z238" i="1"/>
  <c r="Z183" i="1"/>
  <c r="Z116" i="1"/>
  <c r="Z77" i="1"/>
  <c r="Y592" i="1"/>
  <c r="Z547" i="1"/>
  <c r="Z517" i="1"/>
  <c r="Z385" i="1"/>
  <c r="Z359" i="1"/>
  <c r="Z353" i="1"/>
  <c r="Z102" i="1"/>
  <c r="Z68" i="1"/>
  <c r="Z55" i="1"/>
  <c r="Y591" i="1"/>
  <c r="Y593" i="1"/>
  <c r="Z261" i="1"/>
  <c r="Z221" i="1"/>
  <c r="Y595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<sst xmlns="http://schemas.openxmlformats.org/spreadsheetml/2006/main" count="2721" uniqueCount="976">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</sst>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5" sqref="AA375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0.45833333333333331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3570</v>
      </c>
      <c r="Y375" s="664">
        <f t="shared" ref="Y375:Y384" si="58">IFERROR(IF(X375="",0,CEILING((X375/$H375),1)*$H375),"")</f>
        <v>3570</v>
      </c>
      <c r="Z375" s="36">
        <f>IFERROR(IF(Y375=0,"",ROUNDUP(Y375/H375,0)*0.02175),"")</f>
        <v>5.1764999999999999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3684.24</v>
      </c>
      <c r="BN375" s="64">
        <f t="shared" ref="BN375:BN384" si="60">IFERROR(Y375*I375/H375,"0")</f>
        <v>3684.24</v>
      </c>
      <c r="BO375" s="64">
        <f t="shared" ref="BO375:BO384" si="61">IFERROR(1/J375*(X375/H375),"0")</f>
        <v>4.958333333333333</v>
      </c>
      <c r="BP375" s="64">
        <f t="shared" ref="BP375:BP384" si="62">IFERROR(1/J375*(Y375/H375),"0")</f>
        <v>4.958333333333333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238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238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5.1764999999999999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3570</v>
      </c>
      <c r="Y386" s="665">
        <f>IFERROR(SUM(Y375:Y384),"0")</f>
        <v>3570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hidden="1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3570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3570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3684.24</v>
      </c>
      <c r="Y592" s="665">
        <f>IFERROR(SUM(BN22:BN588),"0")</f>
        <v>3684.24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5</v>
      </c>
      <c r="Y593" s="38">
        <f>ROUNDUP(SUM(BP22:BP588),0)</f>
        <v>5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3809.24</v>
      </c>
      <c r="Y594" s="665">
        <f>GrossWeightTotalR+PalletQtyTotalR*25</f>
        <v>3809.24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238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238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5.1764999999999999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3570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38,00"/>
        <filter val="3 570,00"/>
        <filter val="3 684,24"/>
        <filter val="3 809,24"/>
        <filter val="5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