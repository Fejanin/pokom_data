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C6CFC95-E800-4AB4-8E71-5B6C17BBBB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X247" i="1"/>
  <c r="X246" i="1"/>
  <c r="BO245" i="1"/>
  <c r="BM245" i="1"/>
  <c r="Y245" i="1"/>
  <c r="P245" i="1"/>
  <c r="BO244" i="1"/>
  <c r="BM244" i="1"/>
  <c r="Y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P155" i="1"/>
  <c r="X153" i="1"/>
  <c r="X152" i="1"/>
  <c r="BO151" i="1"/>
  <c r="BM151" i="1"/>
  <c r="Y151" i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N135" i="1"/>
  <c r="BM135" i="1"/>
  <c r="Z135" i="1"/>
  <c r="Y135" i="1"/>
  <c r="BP135" i="1" s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J9" i="1"/>
  <c r="A9" i="1"/>
  <c r="A10" i="1" s="1"/>
  <c r="D7" i="1"/>
  <c r="Q6" i="1"/>
  <c r="P2" i="1"/>
  <c r="BP156" i="1" l="1"/>
  <c r="BN156" i="1"/>
  <c r="Z156" i="1"/>
  <c r="BP210" i="1"/>
  <c r="BN210" i="1"/>
  <c r="Z210" i="1"/>
  <c r="BP239" i="1"/>
  <c r="BN239" i="1"/>
  <c r="Z239" i="1"/>
  <c r="Y251" i="1"/>
  <c r="Y250" i="1"/>
  <c r="BP249" i="1"/>
  <c r="BN249" i="1"/>
  <c r="Z249" i="1"/>
  <c r="Z250" i="1" s="1"/>
  <c r="M606" i="1"/>
  <c r="Y273" i="1"/>
  <c r="BP272" i="1"/>
  <c r="BN272" i="1"/>
  <c r="Z272" i="1"/>
  <c r="Z273" i="1" s="1"/>
  <c r="BP277" i="1"/>
  <c r="BN277" i="1"/>
  <c r="Z27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0" i="1"/>
  <c r="BN440" i="1"/>
  <c r="Z440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E606" i="1"/>
  <c r="Z107" i="1"/>
  <c r="BN107" i="1"/>
  <c r="Z119" i="1"/>
  <c r="Z126" i="1" s="1"/>
  <c r="BN119" i="1"/>
  <c r="Z124" i="1"/>
  <c r="BN124" i="1"/>
  <c r="Y191" i="1"/>
  <c r="Y190" i="1"/>
  <c r="BP189" i="1"/>
  <c r="BN189" i="1"/>
  <c r="Z189" i="1"/>
  <c r="Z190" i="1" s="1"/>
  <c r="BP194" i="1"/>
  <c r="BN194" i="1"/>
  <c r="Z194" i="1"/>
  <c r="BP222" i="1"/>
  <c r="BN222" i="1"/>
  <c r="Z222" i="1"/>
  <c r="BP244" i="1"/>
  <c r="BN244" i="1"/>
  <c r="Z244" i="1"/>
  <c r="BP285" i="1"/>
  <c r="BN285" i="1"/>
  <c r="Z285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BP179" i="1"/>
  <c r="BN179" i="1"/>
  <c r="Z179" i="1"/>
  <c r="BP208" i="1"/>
  <c r="BN208" i="1"/>
  <c r="Z208" i="1"/>
  <c r="BP220" i="1"/>
  <c r="BN220" i="1"/>
  <c r="Z220" i="1"/>
  <c r="BP237" i="1"/>
  <c r="BN237" i="1"/>
  <c r="Z237" i="1"/>
  <c r="BP267" i="1"/>
  <c r="BN267" i="1"/>
  <c r="Z267" i="1"/>
  <c r="BP280" i="1"/>
  <c r="BN280" i="1"/>
  <c r="Z280" i="1"/>
  <c r="Q606" i="1"/>
  <c r="Y295" i="1"/>
  <c r="BP294" i="1"/>
  <c r="BN294" i="1"/>
  <c r="Z294" i="1"/>
  <c r="Z295" i="1" s="1"/>
  <c r="Y300" i="1"/>
  <c r="Y299" i="1"/>
  <c r="BP298" i="1"/>
  <c r="BN298" i="1"/>
  <c r="Z298" i="1"/>
  <c r="Z299" i="1" s="1"/>
  <c r="Y304" i="1"/>
  <c r="Y303" i="1"/>
  <c r="BP302" i="1"/>
  <c r="BN302" i="1"/>
  <c r="Z302" i="1"/>
  <c r="Z303" i="1" s="1"/>
  <c r="R606" i="1"/>
  <c r="Y308" i="1"/>
  <c r="BP307" i="1"/>
  <c r="BN307" i="1"/>
  <c r="Z307" i="1"/>
  <c r="Z308" i="1" s="1"/>
  <c r="S606" i="1"/>
  <c r="Y313" i="1"/>
  <c r="BP312" i="1"/>
  <c r="BN312" i="1"/>
  <c r="Z312" i="1"/>
  <c r="Z313" i="1" s="1"/>
  <c r="Y318" i="1"/>
  <c r="BN316" i="1"/>
  <c r="Z316" i="1"/>
  <c r="Z318" i="1" s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X59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BP172" i="1"/>
  <c r="BN172" i="1"/>
  <c r="Z172" i="1"/>
  <c r="BP200" i="1"/>
  <c r="BN200" i="1"/>
  <c r="Z200" i="1"/>
  <c r="BP204" i="1"/>
  <c r="BN204" i="1"/>
  <c r="Z204" i="1"/>
  <c r="BP216" i="1"/>
  <c r="BN216" i="1"/>
  <c r="Z216" i="1"/>
  <c r="BP228" i="1"/>
  <c r="BN228" i="1"/>
  <c r="Z228" i="1"/>
  <c r="BP233" i="1"/>
  <c r="BN233" i="1"/>
  <c r="Z233" i="1"/>
  <c r="BP263" i="1"/>
  <c r="BN263" i="1"/>
  <c r="Z263" i="1"/>
  <c r="BP279" i="1"/>
  <c r="BN279" i="1"/>
  <c r="Z279" i="1"/>
  <c r="BP287" i="1"/>
  <c r="BN287" i="1"/>
  <c r="Z28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2" i="1"/>
  <c r="BN442" i="1"/>
  <c r="Z442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H606" i="1"/>
  <c r="Y158" i="1"/>
  <c r="Y246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Z403" i="1" s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F10" i="1"/>
  <c r="F9" i="1"/>
  <c r="Z246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Z41" i="1" s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Z186" i="1" s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BP236" i="1"/>
  <c r="BN236" i="1"/>
  <c r="Z236" i="1"/>
  <c r="Z241" i="1" s="1"/>
  <c r="BP240" i="1"/>
  <c r="BN240" i="1"/>
  <c r="Z240" i="1"/>
  <c r="Y242" i="1"/>
  <c r="BP245" i="1"/>
  <c r="BN245" i="1"/>
  <c r="Z245" i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Z268" i="1" s="1"/>
  <c r="BP266" i="1"/>
  <c r="BN266" i="1"/>
  <c r="Z266" i="1"/>
  <c r="Y281" i="1"/>
  <c r="BP286" i="1"/>
  <c r="BN286" i="1"/>
  <c r="Z286" i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354" i="1" l="1"/>
  <c r="Z77" i="1"/>
  <c r="Z55" i="1"/>
  <c r="Y598" i="1"/>
  <c r="Y597" i="1"/>
  <c r="Z448" i="1"/>
  <c r="Z367" i="1"/>
  <c r="Z333" i="1"/>
  <c r="Z290" i="1"/>
  <c r="Z229" i="1"/>
  <c r="Z116" i="1"/>
  <c r="Z68" i="1"/>
  <c r="Z28" i="1"/>
  <c r="Z416" i="1"/>
  <c r="Z281" i="1"/>
  <c r="Z212" i="1"/>
  <c r="Z509" i="1"/>
  <c r="Z552" i="1"/>
  <c r="Z523" i="1"/>
  <c r="Z340" i="1"/>
  <c r="Z258" i="1"/>
  <c r="Z224" i="1"/>
  <c r="Z378" i="1"/>
  <c r="Z570" i="1"/>
  <c r="Z502" i="1"/>
  <c r="Z466" i="1"/>
  <c r="Z393" i="1"/>
  <c r="Z361" i="1"/>
  <c r="Z472" i="1"/>
  <c r="Z158" i="1"/>
  <c r="Z110" i="1"/>
  <c r="Z83" i="1"/>
  <c r="Y600" i="1"/>
  <c r="Z427" i="1"/>
  <c r="Z180" i="1"/>
  <c r="Y596" i="1"/>
  <c r="Z601" i="1" l="1"/>
  <c r="Y599" i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<sst xmlns="http://schemas.openxmlformats.org/spreadsheetml/2006/main" count="2761" uniqueCount="999">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</sst>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45775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975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Понедельник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5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0.41666666666666669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108</v>
      </c>
      <c r="Y37" s="668">
        <f>IFERROR(IF(X37="",0,CEILING((X37/$H37),1)*$H37),"")</f>
        <v>108</v>
      </c>
      <c r="Z37" s="36">
        <f>IFERROR(IF(Y37=0,"",ROUNDUP(Y37/H37,0)*0.01898),"")</f>
        <v>0.1898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112.34999999999998</v>
      </c>
      <c r="BN37" s="64">
        <f>IFERROR(Y37*I37/H37,"0")</f>
        <v>112.34999999999998</v>
      </c>
      <c r="BO37" s="64">
        <f>IFERROR(1/J37*(X37/H37),"0")</f>
        <v>0.15625</v>
      </c>
      <c r="BP37" s="64">
        <f>IFERROR(1/J37*(Y37/H37),"0")</f>
        <v>0.15625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10</v>
      </c>
      <c r="Y41" s="669">
        <f>IFERROR(Y37/H37,"0")+IFERROR(Y38/H38,"0")+IFERROR(Y39/H39,"0")+IFERROR(Y40/H40,"0")</f>
        <v>10</v>
      </c>
      <c r="Z41" s="669">
        <f>IFERROR(IF(Z37="",0,Z37),"0")+IFERROR(IF(Z38="",0,Z38),"0")+IFERROR(IF(Z39="",0,Z39),"0")+IFERROR(IF(Z40="",0,Z40),"0")</f>
        <v>0.1898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108</v>
      </c>
      <c r="Y42" s="669">
        <f>IFERROR(SUM(Y37:Y40),"0")</f>
        <v>108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10</v>
      </c>
      <c r="Y49" s="668">
        <f t="shared" ref="Y49:Y54" si="6">IFERROR(IF(X49="",0,CEILING((X49/$H49),1)*$H49),"")</f>
        <v>11.2</v>
      </c>
      <c r="Z49" s="36">
        <f>IFERROR(IF(Y49=0,"",ROUNDUP(Y49/H49,0)*0.01898),"")</f>
        <v>1.898E-2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10.388392857142858</v>
      </c>
      <c r="BN49" s="64">
        <f t="shared" ref="BN49:BN54" si="8">IFERROR(Y49*I49/H49,"0")</f>
        <v>11.635</v>
      </c>
      <c r="BO49" s="64">
        <f t="shared" ref="BO49:BO54" si="9">IFERROR(1/J49*(X49/H49),"0")</f>
        <v>1.3950892857142858E-2</v>
      </c>
      <c r="BP49" s="64">
        <f t="shared" ref="BP49:BP54" si="10">IFERROR(1/J49*(Y49/H49),"0")</f>
        <v>1.5625E-2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22</v>
      </c>
      <c r="Y52" s="668">
        <f t="shared" si="6"/>
        <v>24</v>
      </c>
      <c r="Z52" s="36">
        <f>IFERROR(IF(Y52=0,"",ROUNDUP(Y52/H52,0)*0.00902),"")</f>
        <v>5.4120000000000001E-2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23.155000000000001</v>
      </c>
      <c r="BN52" s="64">
        <f t="shared" si="8"/>
        <v>25.259999999999998</v>
      </c>
      <c r="BO52" s="64">
        <f t="shared" si="9"/>
        <v>4.1666666666666671E-2</v>
      </c>
      <c r="BP52" s="64">
        <f t="shared" si="10"/>
        <v>4.5454545454545456E-2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6.3928571428571432</v>
      </c>
      <c r="Y55" s="669">
        <f>IFERROR(Y49/H49,"0")+IFERROR(Y50/H50,"0")+IFERROR(Y51/H51,"0")+IFERROR(Y52/H52,"0")+IFERROR(Y53/H53,"0")+IFERROR(Y54/H54,"0")</f>
        <v>7</v>
      </c>
      <c r="Z55" s="669">
        <f>IFERROR(IF(Z49="",0,Z49),"0")+IFERROR(IF(Z50="",0,Z50),"0")+IFERROR(IF(Z51="",0,Z51),"0")+IFERROR(IF(Z52="",0,Z52),"0")+IFERROR(IF(Z53="",0,Z53),"0")+IFERROR(IF(Z54="",0,Z54),"0")</f>
        <v>7.3099999999999998E-2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32</v>
      </c>
      <c r="Y56" s="669">
        <f>IFERROR(SUM(Y49:Y54),"0")</f>
        <v>35.200000000000003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2</v>
      </c>
      <c r="Y66" s="668">
        <f>IFERROR(IF(X66="",0,CEILING((X66/$H66),1)*$H66),"")</f>
        <v>3.6</v>
      </c>
      <c r="Z66" s="36">
        <f>IFERROR(IF(Y66=0,"",ROUNDUP(Y66/H66,0)*0.00502),"")</f>
        <v>1.004E-2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2.1111111111111112</v>
      </c>
      <c r="BN66" s="64">
        <f>IFERROR(Y66*I66/H66,"0")</f>
        <v>3.8</v>
      </c>
      <c r="BO66" s="64">
        <f>IFERROR(1/J66*(X66/H66),"0")</f>
        <v>4.7483380816714157E-3</v>
      </c>
      <c r="BP66" s="64">
        <f>IFERROR(1/J66*(Y66/H66),"0")</f>
        <v>8.5470085470085479E-3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1.1111111111111112</v>
      </c>
      <c r="Y68" s="669">
        <f>IFERROR(Y65/H65,"0")+IFERROR(Y66/H66,"0")+IFERROR(Y67/H67,"0")</f>
        <v>2</v>
      </c>
      <c r="Z68" s="669">
        <f>IFERROR(IF(Z65="",0,Z65),"0")+IFERROR(IF(Z66="",0,Z66),"0")+IFERROR(IF(Z67="",0,Z67),"0")</f>
        <v>1.004E-2</v>
      </c>
      <c r="AA68" s="670"/>
      <c r="AB68" s="670"/>
      <c r="AC68" s="670"/>
    </row>
    <row r="69" spans="1:68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2</v>
      </c>
      <c r="Y69" s="669">
        <f>IFERROR(SUM(Y65:Y67),"0")</f>
        <v>3.6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14</v>
      </c>
      <c r="Y81" s="668">
        <f>IFERROR(IF(X81="",0,CEILING((X81/$H81),1)*$H81),"")</f>
        <v>16.8</v>
      </c>
      <c r="Z81" s="36">
        <f>IFERROR(IF(Y81=0,"",ROUNDUP(Y81/H81,0)*0.01898),"")</f>
        <v>3.7960000000000001E-2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14.865</v>
      </c>
      <c r="BN81" s="64">
        <f>IFERROR(Y81*I81/H81,"0")</f>
        <v>17.838000000000001</v>
      </c>
      <c r="BO81" s="64">
        <f>IFERROR(1/J81*(X81/H81),"0")</f>
        <v>2.6041666666666664E-2</v>
      </c>
      <c r="BP81" s="64">
        <f>IFERROR(1/J81*(Y81/H81),"0")</f>
        <v>3.125E-2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1.6666666666666665</v>
      </c>
      <c r="Y83" s="669">
        <f>IFERROR(Y80/H80,"0")+IFERROR(Y81/H81,"0")+IFERROR(Y82/H82,"0")</f>
        <v>2</v>
      </c>
      <c r="Z83" s="669">
        <f>IFERROR(IF(Z80="",0,Z80),"0")+IFERROR(IF(Z81="",0,Z81),"0")+IFERROR(IF(Z82="",0,Z82),"0")</f>
        <v>3.7960000000000001E-2</v>
      </c>
      <c r="AA83" s="670"/>
      <c r="AB83" s="670"/>
      <c r="AC83" s="670"/>
    </row>
    <row r="84" spans="1:68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14</v>
      </c>
      <c r="Y84" s="669">
        <f>IFERROR(SUM(Y80:Y82),"0")</f>
        <v>16.8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65</v>
      </c>
      <c r="Y87" s="668">
        <f>IFERROR(IF(X87="",0,CEILING((X87/$H87),1)*$H87),"")</f>
        <v>75.600000000000009</v>
      </c>
      <c r="Z87" s="36">
        <f>IFERROR(IF(Y87=0,"",ROUNDUP(Y87/H87,0)*0.01898),"")</f>
        <v>0.13286000000000001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67.618055555555543</v>
      </c>
      <c r="BN87" s="64">
        <f>IFERROR(Y87*I87/H87,"0")</f>
        <v>78.64500000000001</v>
      </c>
      <c r="BO87" s="64">
        <f>IFERROR(1/J87*(X87/H87),"0")</f>
        <v>9.4039351851851846E-2</v>
      </c>
      <c r="BP87" s="64">
        <f>IFERROR(1/J87*(Y87/H87),"0")</f>
        <v>0.109375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16</v>
      </c>
      <c r="Y89" s="668">
        <f>IFERROR(IF(X89="",0,CEILING((X89/$H89),1)*$H89),"")</f>
        <v>18</v>
      </c>
      <c r="Z89" s="36">
        <f>IFERROR(IF(Y89=0,"",ROUNDUP(Y89/H89,0)*0.00902),"")</f>
        <v>3.6080000000000001E-2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16.746666666666666</v>
      </c>
      <c r="BN89" s="64">
        <f>IFERROR(Y89*I89/H89,"0")</f>
        <v>18.84</v>
      </c>
      <c r="BO89" s="64">
        <f>IFERROR(1/J89*(X89/H89),"0")</f>
        <v>2.6936026936026935E-2</v>
      </c>
      <c r="BP89" s="64">
        <f>IFERROR(1/J89*(Y89/H89),"0")</f>
        <v>3.0303030303030304E-2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9.5740740740740726</v>
      </c>
      <c r="Y90" s="669">
        <f>IFERROR(Y87/H87,"0")+IFERROR(Y88/H88,"0")+IFERROR(Y89/H89,"0")</f>
        <v>11</v>
      </c>
      <c r="Z90" s="669">
        <f>IFERROR(IF(Z87="",0,Z87),"0")+IFERROR(IF(Z88="",0,Z88),"0")+IFERROR(IF(Z89="",0,Z89),"0")</f>
        <v>0.16894000000000001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81</v>
      </c>
      <c r="Y91" s="669">
        <f>IFERROR(SUM(Y87:Y89),"0")</f>
        <v>93.600000000000009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53</v>
      </c>
      <c r="Y93" s="668">
        <f t="shared" ref="Y93:Y101" si="16">IFERROR(IF(X93="",0,CEILING((X93/$H93),1)*$H93),"")</f>
        <v>58.800000000000004</v>
      </c>
      <c r="Z93" s="36">
        <f>IFERROR(IF(Y93=0,"",ROUNDUP(Y93/H93,0)*0.01898),"")</f>
        <v>0.13286000000000001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56.274642857142858</v>
      </c>
      <c r="BN93" s="64">
        <f t="shared" ref="BN93:BN101" si="18">IFERROR(Y93*I93/H93,"0")</f>
        <v>62.433000000000007</v>
      </c>
      <c r="BO93" s="64">
        <f t="shared" ref="BO93:BO101" si="19">IFERROR(1/J93*(X93/H93),"0")</f>
        <v>9.8586309523809521E-2</v>
      </c>
      <c r="BP93" s="64">
        <f t="shared" ref="BP93:BP101" si="20">IFERROR(1/J93*(Y93/H93),"0")</f>
        <v>0.109375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6.3095238095238093</v>
      </c>
      <c r="Y102" s="669">
        <f>IFERROR(Y93/H93,"0")+IFERROR(Y94/H94,"0")+IFERROR(Y95/H95,"0")+IFERROR(Y96/H96,"0")+IFERROR(Y97/H97,"0")+IFERROR(Y98/H98,"0")+IFERROR(Y99/H99,"0")+IFERROR(Y100/H100,"0")+IFERROR(Y101/H101,"0")</f>
        <v>7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0.13286000000000001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53</v>
      </c>
      <c r="Y103" s="669">
        <f>IFERROR(SUM(Y93:Y101),"0")</f>
        <v>58.800000000000004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47</v>
      </c>
      <c r="Y108" s="668">
        <f>IFERROR(IF(X108="",0,CEILING((X108/$H108),1)*$H108),"")</f>
        <v>49.5</v>
      </c>
      <c r="Z108" s="36">
        <f>IFERROR(IF(Y108=0,"",ROUNDUP(Y108/H108,0)*0.00902),"")</f>
        <v>9.9220000000000003E-2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49.193333333333335</v>
      </c>
      <c r="BN108" s="64">
        <f>IFERROR(Y108*I108/H108,"0")</f>
        <v>51.81</v>
      </c>
      <c r="BO108" s="64">
        <f>IFERROR(1/J108*(X108/H108),"0")</f>
        <v>7.9124579124579125E-2</v>
      </c>
      <c r="BP108" s="64">
        <f>IFERROR(1/J108*(Y108/H108),"0")</f>
        <v>8.3333333333333343E-2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10.444444444444445</v>
      </c>
      <c r="Y110" s="669">
        <f>IFERROR(Y106/H106,"0")+IFERROR(Y107/H107,"0")+IFERROR(Y108/H108,"0")+IFERROR(Y109/H109,"0")</f>
        <v>11</v>
      </c>
      <c r="Z110" s="669">
        <f>IFERROR(IF(Z106="",0,Z106),"0")+IFERROR(IF(Z107="",0,Z107),"0")+IFERROR(IF(Z108="",0,Z108),"0")+IFERROR(IF(Z109="",0,Z109),"0")</f>
        <v>9.9220000000000003E-2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47</v>
      </c>
      <c r="Y111" s="669">
        <f>IFERROR(SUM(Y106:Y109),"0")</f>
        <v>49.5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44</v>
      </c>
      <c r="Y113" s="668">
        <f>IFERROR(IF(X113="",0,CEILING((X113/$H113),1)*$H113),"")</f>
        <v>54</v>
      </c>
      <c r="Z113" s="36">
        <f>IFERROR(IF(Y113=0,"",ROUNDUP(Y113/H113,0)*0.01898),"")</f>
        <v>9.4899999999999998E-2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45.772222222222219</v>
      </c>
      <c r="BN113" s="64">
        <f>IFERROR(Y113*I113/H113,"0")</f>
        <v>56.17499999999999</v>
      </c>
      <c r="BO113" s="64">
        <f>IFERROR(1/J113*(X113/H113),"0")</f>
        <v>6.3657407407407399E-2</v>
      </c>
      <c r="BP113" s="64">
        <f>IFERROR(1/J113*(Y113/H113),"0")</f>
        <v>7.8125E-2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4.0740740740740735</v>
      </c>
      <c r="Y116" s="669">
        <f>IFERROR(Y113/H113,"0")+IFERROR(Y114/H114,"0")+IFERROR(Y115/H115,"0")</f>
        <v>5</v>
      </c>
      <c r="Z116" s="669">
        <f>IFERROR(IF(Z113="",0,Z113),"0")+IFERROR(IF(Z114="",0,Z114),"0")+IFERROR(IF(Z115="",0,Z115),"0")</f>
        <v>9.4899999999999998E-2</v>
      </c>
      <c r="AA116" s="670"/>
      <c r="AB116" s="670"/>
      <c r="AC116" s="670"/>
    </row>
    <row r="117" spans="1:68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44</v>
      </c>
      <c r="Y117" s="669">
        <f>IFERROR(SUM(Y113:Y115),"0")</f>
        <v>54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108</v>
      </c>
      <c r="Y120" s="668">
        <f t="shared" si="21"/>
        <v>109.2</v>
      </c>
      <c r="Z120" s="36">
        <f>IFERROR(IF(Y120=0,"",ROUNDUP(Y120/H120,0)*0.01898),"")</f>
        <v>0.24674000000000001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114.59571428571428</v>
      </c>
      <c r="BN120" s="64">
        <f t="shared" si="23"/>
        <v>115.869</v>
      </c>
      <c r="BO120" s="64">
        <f t="shared" si="24"/>
        <v>0.20089285714285712</v>
      </c>
      <c r="BP120" s="64">
        <f t="shared" si="25"/>
        <v>0.203125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180</v>
      </c>
      <c r="Y123" s="668">
        <f t="shared" si="21"/>
        <v>180.9</v>
      </c>
      <c r="Z123" s="36">
        <f>IFERROR(IF(Y123=0,"",ROUNDUP(Y123/H123,0)*0.00651),"")</f>
        <v>0.43617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196.79999999999998</v>
      </c>
      <c r="BN123" s="64">
        <f t="shared" si="23"/>
        <v>197.78399999999999</v>
      </c>
      <c r="BO123" s="64">
        <f t="shared" si="24"/>
        <v>0.36630036630036628</v>
      </c>
      <c r="BP123" s="64">
        <f t="shared" si="25"/>
        <v>0.36813186813186816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79.523809523809518</v>
      </c>
      <c r="Y126" s="669">
        <f>IFERROR(Y119/H119,"0")+IFERROR(Y120/H120,"0")+IFERROR(Y121/H121,"0")+IFERROR(Y122/H122,"0")+IFERROR(Y123/H123,"0")+IFERROR(Y124/H124,"0")+IFERROR(Y125/H125,"0")</f>
        <v>80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0.68291000000000002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288</v>
      </c>
      <c r="Y127" s="669">
        <f>IFERROR(SUM(Y119:Y125),"0")</f>
        <v>290.10000000000002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5</v>
      </c>
      <c r="Y173" s="668">
        <f t="shared" si="26"/>
        <v>8.4</v>
      </c>
      <c r="Z173" s="36">
        <f>IFERROR(IF(Y173=0,"",ROUNDUP(Y173/H173,0)*0.00902),"")</f>
        <v>1.804E-2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5.25</v>
      </c>
      <c r="BN173" s="64">
        <f t="shared" si="28"/>
        <v>8.82</v>
      </c>
      <c r="BO173" s="64">
        <f t="shared" si="29"/>
        <v>9.0187590187590181E-3</v>
      </c>
      <c r="BP173" s="64">
        <f t="shared" si="30"/>
        <v>1.5151515151515152E-2</v>
      </c>
    </row>
    <row r="174" spans="1:68" ht="27" hidden="1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47</v>
      </c>
      <c r="Y177" s="668">
        <f t="shared" si="26"/>
        <v>48.300000000000004</v>
      </c>
      <c r="Z177" s="36">
        <f>IFERROR(IF(Y177=0,"",ROUNDUP(Y177/H177,0)*0.00502),"")</f>
        <v>0.11546000000000001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49.238095238095241</v>
      </c>
      <c r="BN177" s="64">
        <f t="shared" si="28"/>
        <v>50.600000000000009</v>
      </c>
      <c r="BO177" s="64">
        <f t="shared" si="29"/>
        <v>9.5645095645095643E-2</v>
      </c>
      <c r="BP177" s="64">
        <f t="shared" si="30"/>
        <v>9.8290598290598302E-2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23.571428571428569</v>
      </c>
      <c r="Y180" s="669">
        <f>IFERROR(Y171/H171,"0")+IFERROR(Y172/H172,"0")+IFERROR(Y173/H173,"0")+IFERROR(Y174/H174,"0")+IFERROR(Y175/H175,"0")+IFERROR(Y176/H176,"0")+IFERROR(Y177/H177,"0")+IFERROR(Y178/H178,"0")+IFERROR(Y179/H179,"0")</f>
        <v>25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0.13350000000000001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52</v>
      </c>
      <c r="Y181" s="669">
        <f>IFERROR(SUM(Y171:Y179),"0")</f>
        <v>56.7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12</v>
      </c>
      <c r="Y209" s="668">
        <f t="shared" si="31"/>
        <v>12.6</v>
      </c>
      <c r="Z209" s="36">
        <f>IFERROR(IF(Y209=0,"",ROUNDUP(Y209/H209,0)*0.00502),"")</f>
        <v>3.5140000000000005E-2</v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12.666666666666664</v>
      </c>
      <c r="BN209" s="64">
        <f t="shared" si="33"/>
        <v>13.299999999999999</v>
      </c>
      <c r="BO209" s="64">
        <f t="shared" si="34"/>
        <v>2.8490028490028491E-2</v>
      </c>
      <c r="BP209" s="64">
        <f t="shared" si="35"/>
        <v>2.9914529914529919E-2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6.6666666666666661</v>
      </c>
      <c r="Y212" s="669">
        <f>IFERROR(Y204/H204,"0")+IFERROR(Y205/H205,"0")+IFERROR(Y206/H206,"0")+IFERROR(Y207/H207,"0")+IFERROR(Y208/H208,"0")+IFERROR(Y209/H209,"0")+IFERROR(Y210/H210,"0")+IFERROR(Y211/H211,"0")</f>
        <v>7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3.5140000000000005E-2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12</v>
      </c>
      <c r="Y213" s="669">
        <f>IFERROR(SUM(Y204:Y211),"0")</f>
        <v>12.6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5</v>
      </c>
      <c r="Y217" s="668">
        <f t="shared" si="36"/>
        <v>8.6999999999999993</v>
      </c>
      <c r="Z217" s="36">
        <f>IFERROR(IF(Y217=0,"",ROUNDUP(Y217/H217,0)*0.01898),"")</f>
        <v>1.898E-2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5.2982758620689658</v>
      </c>
      <c r="BN217" s="64">
        <f t="shared" si="38"/>
        <v>9.2189999999999994</v>
      </c>
      <c r="BO217" s="64">
        <f t="shared" si="39"/>
        <v>8.9798850574712655E-3</v>
      </c>
      <c r="BP217" s="64">
        <f t="shared" si="40"/>
        <v>1.5625E-2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180</v>
      </c>
      <c r="Y220" s="668">
        <f t="shared" si="36"/>
        <v>180</v>
      </c>
      <c r="Z220" s="36">
        <f t="shared" si="41"/>
        <v>0.48825000000000002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198.9</v>
      </c>
      <c r="BN220" s="64">
        <f t="shared" si="38"/>
        <v>198.9</v>
      </c>
      <c r="BO220" s="64">
        <f t="shared" si="39"/>
        <v>0.41208791208791212</v>
      </c>
      <c r="BP220" s="64">
        <f t="shared" si="40"/>
        <v>0.41208791208791212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160</v>
      </c>
      <c r="Y221" s="668">
        <f t="shared" si="36"/>
        <v>160.79999999999998</v>
      </c>
      <c r="Z221" s="36">
        <f t="shared" si="41"/>
        <v>0.43617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176.80000000000004</v>
      </c>
      <c r="BN221" s="64">
        <f t="shared" si="38"/>
        <v>177.684</v>
      </c>
      <c r="BO221" s="64">
        <f t="shared" si="39"/>
        <v>0.36630036630036633</v>
      </c>
      <c r="BP221" s="64">
        <f t="shared" si="40"/>
        <v>0.36813186813186816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162</v>
      </c>
      <c r="Y222" s="668">
        <f t="shared" si="36"/>
        <v>163.19999999999999</v>
      </c>
      <c r="Z222" s="36">
        <f t="shared" si="41"/>
        <v>0.44268000000000002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179.01000000000002</v>
      </c>
      <c r="BN222" s="64">
        <f t="shared" si="38"/>
        <v>180.33600000000001</v>
      </c>
      <c r="BO222" s="64">
        <f t="shared" si="39"/>
        <v>0.37087912087912089</v>
      </c>
      <c r="BP222" s="64">
        <f t="shared" si="40"/>
        <v>0.37362637362637363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209.74137931034483</v>
      </c>
      <c r="Y224" s="669">
        <f>IFERROR(Y215/H215,"0")+IFERROR(Y216/H216,"0")+IFERROR(Y217/H217,"0")+IFERROR(Y218/H218,"0")+IFERROR(Y219/H219,"0")+IFERROR(Y220/H220,"0")+IFERROR(Y221/H221,"0")+IFERROR(Y222/H222,"0")+IFERROR(Y223/H223,"0")</f>
        <v>211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1.38608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507</v>
      </c>
      <c r="Y225" s="669">
        <f>IFERROR(SUM(Y215:Y223),"0")</f>
        <v>512.70000000000005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18</v>
      </c>
      <c r="Y227" s="668">
        <f>IFERROR(IF(X227="",0,CEILING((X227/$H227),1)*$H227),"")</f>
        <v>19.2</v>
      </c>
      <c r="Z227" s="36">
        <f>IFERROR(IF(Y227=0,"",ROUNDUP(Y227/H227,0)*0.00651),"")</f>
        <v>5.2080000000000001E-2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19.890000000000004</v>
      </c>
      <c r="BN227" s="64">
        <f>IFERROR(Y227*I227/H227,"0")</f>
        <v>21.216000000000001</v>
      </c>
      <c r="BO227" s="64">
        <f>IFERROR(1/J227*(X227/H227),"0")</f>
        <v>4.1208791208791215E-2</v>
      </c>
      <c r="BP227" s="64">
        <f>IFERROR(1/J227*(Y227/H227),"0")</f>
        <v>4.3956043956043959E-2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7.5</v>
      </c>
      <c r="Y229" s="669">
        <f>IFERROR(Y227/H227,"0")+IFERROR(Y228/H228,"0")</f>
        <v>8</v>
      </c>
      <c r="Z229" s="669">
        <f>IFERROR(IF(Z227="",0,Z227),"0")+IFERROR(IF(Z228="",0,Z228),"0")</f>
        <v>5.2080000000000001E-2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18</v>
      </c>
      <c r="Y230" s="669">
        <f>IFERROR(SUM(Y227:Y228),"0")</f>
        <v>19.2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28</v>
      </c>
      <c r="Y287" s="668">
        <f>IFERROR(IF(X287="",0,CEILING((X287/$H287),1)*$H287),"")</f>
        <v>28.799999999999997</v>
      </c>
      <c r="Z287" s="36">
        <f>IFERROR(IF(Y287=0,"",ROUNDUP(Y287/H287,0)*0.00651),"")</f>
        <v>7.8119999999999995E-2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30.94</v>
      </c>
      <c r="BN287" s="64">
        <f>IFERROR(Y287*I287/H287,"0")</f>
        <v>31.824000000000002</v>
      </c>
      <c r="BO287" s="64">
        <f>IFERROR(1/J287*(X287/H287),"0")</f>
        <v>6.4102564102564111E-2</v>
      </c>
      <c r="BP287" s="64">
        <f>IFERROR(1/J287*(Y287/H287),"0")</f>
        <v>6.5934065934065936E-2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83</v>
      </c>
      <c r="Y288" s="668">
        <f>IFERROR(IF(X288="",0,CEILING((X288/$H288),1)*$H288),"")</f>
        <v>84</v>
      </c>
      <c r="Z288" s="36">
        <f>IFERROR(IF(Y288=0,"",ROUNDUP(Y288/H288,0)*0.00651),"")</f>
        <v>0.22785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89.225000000000009</v>
      </c>
      <c r="BN288" s="64">
        <f>IFERROR(Y288*I288/H288,"0")</f>
        <v>90.3</v>
      </c>
      <c r="BO288" s="64">
        <f>IFERROR(1/J288*(X288/H288),"0")</f>
        <v>0.19001831501831504</v>
      </c>
      <c r="BP288" s="64">
        <f>IFERROR(1/J288*(Y288/H288),"0")</f>
        <v>0.19230769230769232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46.25</v>
      </c>
      <c r="Y290" s="669">
        <f>IFERROR(Y285/H285,"0")+IFERROR(Y286/H286,"0")+IFERROR(Y287/H287,"0")+IFERROR(Y288/H288,"0")+IFERROR(Y289/H289,"0")</f>
        <v>47</v>
      </c>
      <c r="Z290" s="669">
        <f>IFERROR(IF(Z285="",0,Z285),"0")+IFERROR(IF(Z286="",0,Z286),"0")+IFERROR(IF(Z287="",0,Z287),"0")+IFERROR(IF(Z288="",0,Z288),"0")+IFERROR(IF(Z289="",0,Z289),"0")</f>
        <v>0.30596999999999996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111</v>
      </c>
      <c r="Y291" s="669">
        <f>IFERROR(SUM(Y285:Y289),"0")</f>
        <v>112.8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hidden="1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5</v>
      </c>
      <c r="Y359" s="668">
        <f>IFERROR(IF(X359="",0,CEILING((X359/$H359),1)*$H359),"")</f>
        <v>5.0999999999999996</v>
      </c>
      <c r="Z359" s="36">
        <f>IFERROR(IF(Y359=0,"",ROUNDUP(Y359/H359,0)*0.00651),"")</f>
        <v>1.302E-2</v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5.7941176470588243</v>
      </c>
      <c r="BN359" s="64">
        <f>IFERROR(Y359*I359/H359,"0")</f>
        <v>5.91</v>
      </c>
      <c r="BO359" s="64">
        <f>IFERROR(1/J359*(X359/H359),"0")</f>
        <v>1.0773540185304893E-2</v>
      </c>
      <c r="BP359" s="64">
        <f>IFERROR(1/J359*(Y359/H359),"0")</f>
        <v>1.098901098901099E-2</v>
      </c>
    </row>
    <row r="360" spans="1:68" ht="27" hidden="1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1.9607843137254903</v>
      </c>
      <c r="Y361" s="669">
        <f>IFERROR(Y357/H357,"0")+IFERROR(Y358/H358,"0")+IFERROR(Y359/H359,"0")+IFERROR(Y360/H360,"0")</f>
        <v>2</v>
      </c>
      <c r="Z361" s="669">
        <f>IFERROR(IF(Z357="",0,Z357),"0")+IFERROR(IF(Z358="",0,Z358),"0")+IFERROR(IF(Z359="",0,Z359),"0")+IFERROR(IF(Z360="",0,Z360),"0")</f>
        <v>1.302E-2</v>
      </c>
      <c r="AA361" s="670"/>
      <c r="AB361" s="670"/>
      <c r="AC361" s="670"/>
    </row>
    <row r="362" spans="1:68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5</v>
      </c>
      <c r="Y362" s="669">
        <f>IFERROR(SUM(Y357:Y360),"0")</f>
        <v>5.0999999999999996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800</v>
      </c>
      <c r="Y383" s="668">
        <f t="shared" ref="Y383:Y392" si="57">IFERROR(IF(X383="",0,CEILING((X383/$H383),1)*$H383),"")</f>
        <v>810</v>
      </c>
      <c r="Z383" s="36">
        <f>IFERROR(IF(Y383=0,"",ROUNDUP(Y383/H383,0)*0.02175),"")</f>
        <v>1.1744999999999999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825.6</v>
      </c>
      <c r="BN383" s="64">
        <f t="shared" ref="BN383:BN392" si="59">IFERROR(Y383*I383/H383,"0")</f>
        <v>835.92000000000007</v>
      </c>
      <c r="BO383" s="64">
        <f t="shared" ref="BO383:BO392" si="60">IFERROR(1/J383*(X383/H383),"0")</f>
        <v>1.1111111111111112</v>
      </c>
      <c r="BP383" s="64">
        <f t="shared" ref="BP383:BP392" si="61">IFERROR(1/J383*(Y383/H383),"0")</f>
        <v>1.125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hidden="1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53.333333333333336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54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1.1744999999999999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800</v>
      </c>
      <c r="Y394" s="669">
        <f>IFERROR(SUM(Y383:Y392),"0")</f>
        <v>810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200</v>
      </c>
      <c r="Y396" s="668">
        <f>IFERROR(IF(X396="",0,CEILING((X396/$H396),1)*$H396),"")</f>
        <v>210</v>
      </c>
      <c r="Z396" s="36">
        <f>IFERROR(IF(Y396=0,"",ROUNDUP(Y396/H396,0)*0.02175),"")</f>
        <v>0.30449999999999999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206.4</v>
      </c>
      <c r="BN396" s="64">
        <f>IFERROR(Y396*I396/H396,"0")</f>
        <v>216.72</v>
      </c>
      <c r="BO396" s="64">
        <f>IFERROR(1/J396*(X396/H396),"0")</f>
        <v>0.27777777777777779</v>
      </c>
      <c r="BP396" s="64">
        <f>IFERROR(1/J396*(Y396/H396),"0")</f>
        <v>0.29166666666666663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13.333333333333334</v>
      </c>
      <c r="Y398" s="669">
        <f>IFERROR(Y396/H396,"0")+IFERROR(Y397/H397,"0")</f>
        <v>14</v>
      </c>
      <c r="Z398" s="669">
        <f>IFERROR(IF(Z396="",0,Z396),"0")+IFERROR(IF(Z397="",0,Z397),"0")</f>
        <v>0.30449999999999999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200</v>
      </c>
      <c r="Y399" s="669">
        <f>IFERROR(SUM(Y396:Y397),"0")</f>
        <v>210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5</v>
      </c>
      <c r="Y436" s="668">
        <f t="shared" ref="Y436:Y447" si="62">IFERROR(IF(X436="",0,CEILING((X436/$H436),1)*$H436),"")</f>
        <v>5.4</v>
      </c>
      <c r="Z436" s="36">
        <f>IFERROR(IF(Y436=0,"",ROUNDUP(Y436/H436,0)*0.00902),"")</f>
        <v>9.0200000000000002E-3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5.1944444444444446</v>
      </c>
      <c r="BN436" s="64">
        <f t="shared" ref="BN436:BN447" si="64">IFERROR(Y436*I436/H436,"0")</f>
        <v>5.61</v>
      </c>
      <c r="BO436" s="64">
        <f t="shared" ref="BO436:BO447" si="65">IFERROR(1/J436*(X436/H436),"0")</f>
        <v>7.0145903479236806E-3</v>
      </c>
      <c r="BP436" s="64">
        <f t="shared" ref="BP436:BP447" si="66">IFERROR(1/J436*(Y436/H436),"0")</f>
        <v>7.575757575757576E-3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14</v>
      </c>
      <c r="Y446" s="668">
        <f t="shared" si="62"/>
        <v>14.700000000000001</v>
      </c>
      <c r="Z446" s="36">
        <f t="shared" si="67"/>
        <v>3.5140000000000005E-2</v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14.866666666666665</v>
      </c>
      <c r="BN446" s="64">
        <f t="shared" si="64"/>
        <v>15.61</v>
      </c>
      <c r="BO446" s="64">
        <f t="shared" si="65"/>
        <v>2.8490028490028491E-2</v>
      </c>
      <c r="BP446" s="64">
        <f t="shared" si="66"/>
        <v>2.9914529914529919E-2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7.5925925925925917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8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4.4160000000000005E-2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19</v>
      </c>
      <c r="Y449" s="669">
        <f>IFERROR(SUM(Y436:Y447),"0")</f>
        <v>20.100000000000001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40</v>
      </c>
      <c r="Y490" s="668">
        <f t="shared" si="68"/>
        <v>42.24</v>
      </c>
      <c r="Z490" s="36">
        <f t="shared" si="69"/>
        <v>9.5680000000000001E-2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42.727272727272727</v>
      </c>
      <c r="BN490" s="64">
        <f t="shared" si="71"/>
        <v>45.12</v>
      </c>
      <c r="BO490" s="64">
        <f t="shared" si="72"/>
        <v>7.2843822843822847E-2</v>
      </c>
      <c r="BP490" s="64">
        <f t="shared" si="73"/>
        <v>7.6923076923076927E-2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65</v>
      </c>
      <c r="Y493" s="668">
        <f t="shared" si="68"/>
        <v>68.400000000000006</v>
      </c>
      <c r="Z493" s="36">
        <f>IFERROR(IF(Y493=0,"",ROUNDUP(Y493/H493,0)*0.00902),"")</f>
        <v>0.17138</v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68.791666666666671</v>
      </c>
      <c r="BN493" s="64">
        <f t="shared" si="71"/>
        <v>72.390000000000015</v>
      </c>
      <c r="BO493" s="64">
        <f t="shared" si="72"/>
        <v>0.13678451178451179</v>
      </c>
      <c r="BP493" s="64">
        <f t="shared" si="73"/>
        <v>0.14393939393939395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25.631313131313128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27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0.26706000000000002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105</v>
      </c>
      <c r="Y503" s="669">
        <f>IFERROR(SUM(Y486:Y501),"0")</f>
        <v>110.64000000000001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12</v>
      </c>
      <c r="Y508" s="668">
        <f>IFERROR(IF(X508="",0,CEILING((X508/$H508),1)*$H508),"")</f>
        <v>14.399999999999999</v>
      </c>
      <c r="Z508" s="36">
        <f>IFERROR(IF(Y508=0,"",ROUNDUP(Y508/H508,0)*0.00902),"")</f>
        <v>2.7060000000000001E-2</v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17.324999999999999</v>
      </c>
      <c r="BN508" s="64">
        <f>IFERROR(Y508*I508/H508,"0")</f>
        <v>20.79</v>
      </c>
      <c r="BO508" s="64">
        <f>IFERROR(1/J508*(X508/H508),"0")</f>
        <v>1.893939393939394E-2</v>
      </c>
      <c r="BP508" s="64">
        <f>IFERROR(1/J508*(Y508/H508),"0")</f>
        <v>2.2727272727272728E-2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2.5</v>
      </c>
      <c r="Y509" s="669">
        <f>IFERROR(Y505/H505,"0")+IFERROR(Y506/H506,"0")+IFERROR(Y507/H507,"0")+IFERROR(Y508/H508,"0")</f>
        <v>3</v>
      </c>
      <c r="Z509" s="669">
        <f>IFERROR(IF(Z505="",0,Z505),"0")+IFERROR(IF(Z506="",0,Z506),"0")+IFERROR(IF(Z507="",0,Z507),"0")+IFERROR(IF(Z508="",0,Z508),"0")</f>
        <v>2.7060000000000001E-2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12</v>
      </c>
      <c r="Y510" s="669">
        <f>IFERROR(SUM(Y505:Y508),"0")</f>
        <v>14.399999999999999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idden="1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hidden="1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2510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2593.8399999999997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2663.7873448078285</v>
      </c>
      <c r="Y597" s="669">
        <f>IFERROR(SUM(BN22:BN593),"0")</f>
        <v>2752.7079999999996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5</v>
      </c>
      <c r="Y598" s="38">
        <f>ROUNDUP(SUM(BP22:BP593),0)</f>
        <v>5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2788.7873448078285</v>
      </c>
      <c r="Y599" s="669">
        <f>GrossWeightTotalR+PalletQtyTotalR*25</f>
        <v>2877.7079999999996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527.17739209929869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541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5.2327999999999992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108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55.600000000000009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152.4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393.6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56.7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544.5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112.8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5.0999999999999996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1020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20.100000000000001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125.04000000000002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11"/>
        <filter val="1,67"/>
        <filter val="1,96"/>
        <filter val="10,00"/>
        <filter val="10,44"/>
        <filter val="105,00"/>
        <filter val="108,00"/>
        <filter val="111,00"/>
        <filter val="12,00"/>
        <filter val="13,33"/>
        <filter val="14,00"/>
        <filter val="16,00"/>
        <filter val="160,00"/>
        <filter val="162,00"/>
        <filter val="18,00"/>
        <filter val="180,00"/>
        <filter val="19,00"/>
        <filter val="2 510,00"/>
        <filter val="2 663,79"/>
        <filter val="2 788,79"/>
        <filter val="2,00"/>
        <filter val="2,50"/>
        <filter val="200,00"/>
        <filter val="209,74"/>
        <filter val="22,00"/>
        <filter val="23,57"/>
        <filter val="25,63"/>
        <filter val="28,00"/>
        <filter val="288,00"/>
        <filter val="32,00"/>
        <filter val="4,07"/>
        <filter val="40,00"/>
        <filter val="44,00"/>
        <filter val="46,25"/>
        <filter val="47,00"/>
        <filter val="5"/>
        <filter val="5,00"/>
        <filter val="507,00"/>
        <filter val="52,00"/>
        <filter val="527,18"/>
        <filter val="53,00"/>
        <filter val="53,33"/>
        <filter val="6,31"/>
        <filter val="6,39"/>
        <filter val="6,67"/>
        <filter val="65,00"/>
        <filter val="7,50"/>
        <filter val="7,59"/>
        <filter val="79,52"/>
        <filter val="800,00"/>
        <filter val="81,00"/>
        <filter val="83,00"/>
        <filter val="9,57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