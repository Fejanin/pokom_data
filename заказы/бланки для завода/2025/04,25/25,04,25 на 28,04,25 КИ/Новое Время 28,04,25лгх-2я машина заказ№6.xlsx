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FC56DDA-5CA4-4034-BAB6-5E03791A36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P245" i="1"/>
  <c r="BO244" i="1"/>
  <c r="BM244" i="1"/>
  <c r="Y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N135" i="1"/>
  <c r="BM135" i="1"/>
  <c r="Z135" i="1"/>
  <c r="Y135" i="1"/>
  <c r="BP135" i="1" s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J9" i="1"/>
  <c r="A9" i="1"/>
  <c r="A10" i="1" s="1"/>
  <c r="D7" i="1"/>
  <c r="Q6" i="1"/>
  <c r="P2" i="1"/>
  <c r="BP156" i="1" l="1"/>
  <c r="BN156" i="1"/>
  <c r="Z156" i="1"/>
  <c r="BP210" i="1"/>
  <c r="BN210" i="1"/>
  <c r="Z210" i="1"/>
  <c r="BP239" i="1"/>
  <c r="BN239" i="1"/>
  <c r="Z239" i="1"/>
  <c r="Y251" i="1"/>
  <c r="Y250" i="1"/>
  <c r="BP249" i="1"/>
  <c r="BN249" i="1"/>
  <c r="Z249" i="1"/>
  <c r="Z250" i="1" s="1"/>
  <c r="M606" i="1"/>
  <c r="Y273" i="1"/>
  <c r="BP272" i="1"/>
  <c r="BN272" i="1"/>
  <c r="Z272" i="1"/>
  <c r="Z273" i="1" s="1"/>
  <c r="BP277" i="1"/>
  <c r="BN277" i="1"/>
  <c r="Z27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0" i="1"/>
  <c r="BN440" i="1"/>
  <c r="Z440" i="1"/>
  <c r="BP491" i="1"/>
  <c r="BN491" i="1"/>
  <c r="Z491" i="1"/>
  <c r="BP501" i="1"/>
  <c r="BN501" i="1"/>
  <c r="Z501" i="1"/>
  <c r="X600" i="1"/>
  <c r="Z38" i="1"/>
  <c r="BN38" i="1"/>
  <c r="Z53" i="1"/>
  <c r="BN53" i="1"/>
  <c r="Z67" i="1"/>
  <c r="BN67" i="1"/>
  <c r="Y77" i="1"/>
  <c r="Z81" i="1"/>
  <c r="BN81" i="1"/>
  <c r="E606" i="1"/>
  <c r="Z107" i="1"/>
  <c r="BN107" i="1"/>
  <c r="Z119" i="1"/>
  <c r="BN119" i="1"/>
  <c r="Z124" i="1"/>
  <c r="BN124" i="1"/>
  <c r="Y191" i="1"/>
  <c r="Y190" i="1"/>
  <c r="BP189" i="1"/>
  <c r="BN189" i="1"/>
  <c r="Z189" i="1"/>
  <c r="Z190" i="1" s="1"/>
  <c r="BP194" i="1"/>
  <c r="BN194" i="1"/>
  <c r="Z194" i="1"/>
  <c r="BP222" i="1"/>
  <c r="BN222" i="1"/>
  <c r="Z222" i="1"/>
  <c r="BP244" i="1"/>
  <c r="BN244" i="1"/>
  <c r="Z244" i="1"/>
  <c r="BP285" i="1"/>
  <c r="BN285" i="1"/>
  <c r="Z285" i="1"/>
  <c r="Z290" i="1" s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BP179" i="1"/>
  <c r="BN179" i="1"/>
  <c r="Z179" i="1"/>
  <c r="BP208" i="1"/>
  <c r="BN208" i="1"/>
  <c r="Z208" i="1"/>
  <c r="BP220" i="1"/>
  <c r="BN220" i="1"/>
  <c r="Z220" i="1"/>
  <c r="BP237" i="1"/>
  <c r="BN237" i="1"/>
  <c r="Z237" i="1"/>
  <c r="BP267" i="1"/>
  <c r="BN267" i="1"/>
  <c r="Z267" i="1"/>
  <c r="BP280" i="1"/>
  <c r="BN280" i="1"/>
  <c r="Z280" i="1"/>
  <c r="Q606" i="1"/>
  <c r="Y295" i="1"/>
  <c r="BP294" i="1"/>
  <c r="BN294" i="1"/>
  <c r="Z294" i="1"/>
  <c r="Z295" i="1" s="1"/>
  <c r="Y300" i="1"/>
  <c r="Y299" i="1"/>
  <c r="BP298" i="1"/>
  <c r="BN298" i="1"/>
  <c r="Z298" i="1"/>
  <c r="Z299" i="1" s="1"/>
  <c r="Y304" i="1"/>
  <c r="Y303" i="1"/>
  <c r="BP302" i="1"/>
  <c r="BN302" i="1"/>
  <c r="Z302" i="1"/>
  <c r="Z303" i="1" s="1"/>
  <c r="R606" i="1"/>
  <c r="Y308" i="1"/>
  <c r="BP307" i="1"/>
  <c r="BN307" i="1"/>
  <c r="Z307" i="1"/>
  <c r="Z308" i="1" s="1"/>
  <c r="S606" i="1"/>
  <c r="Y313" i="1"/>
  <c r="BP312" i="1"/>
  <c r="BN312" i="1"/>
  <c r="Z312" i="1"/>
  <c r="Z313" i="1" s="1"/>
  <c r="Y318" i="1"/>
  <c r="BN316" i="1"/>
  <c r="Z316" i="1"/>
  <c r="Z318" i="1" s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X59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BP172" i="1"/>
  <c r="BN172" i="1"/>
  <c r="Z172" i="1"/>
  <c r="BP200" i="1"/>
  <c r="BN200" i="1"/>
  <c r="Z200" i="1"/>
  <c r="BP204" i="1"/>
  <c r="BN204" i="1"/>
  <c r="Z204" i="1"/>
  <c r="BP216" i="1"/>
  <c r="BN216" i="1"/>
  <c r="Z216" i="1"/>
  <c r="BP228" i="1"/>
  <c r="BN228" i="1"/>
  <c r="Z228" i="1"/>
  <c r="BP233" i="1"/>
  <c r="BN233" i="1"/>
  <c r="Z233" i="1"/>
  <c r="BP263" i="1"/>
  <c r="BN263" i="1"/>
  <c r="Z263" i="1"/>
  <c r="BP279" i="1"/>
  <c r="BN279" i="1"/>
  <c r="Z279" i="1"/>
  <c r="BP287" i="1"/>
  <c r="BN287" i="1"/>
  <c r="Z287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2" i="1"/>
  <c r="BN442" i="1"/>
  <c r="Z442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H606" i="1"/>
  <c r="Y158" i="1"/>
  <c r="Y246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Z403" i="1" s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F10" i="1"/>
  <c r="F9" i="1"/>
  <c r="Y56" i="1"/>
  <c r="Y68" i="1"/>
  <c r="Y84" i="1"/>
  <c r="Y103" i="1"/>
  <c r="Y127" i="1"/>
  <c r="Y131" i="1"/>
  <c r="Y142" i="1"/>
  <c r="Y148" i="1"/>
  <c r="Y159" i="1"/>
  <c r="Y168" i="1"/>
  <c r="BP167" i="1"/>
  <c r="BN167" i="1"/>
  <c r="Z167" i="1"/>
  <c r="Z168" i="1" s="1"/>
  <c r="Y169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34" i="1"/>
  <c r="BN234" i="1"/>
  <c r="Z234" i="1"/>
  <c r="BP254" i="1"/>
  <c r="BN254" i="1"/>
  <c r="Z254" i="1"/>
  <c r="BP278" i="1"/>
  <c r="BN278" i="1"/>
  <c r="Z278" i="1"/>
  <c r="BP288" i="1"/>
  <c r="BN288" i="1"/>
  <c r="Z288" i="1"/>
  <c r="BP366" i="1"/>
  <c r="BN366" i="1"/>
  <c r="Z366" i="1"/>
  <c r="V606" i="1"/>
  <c r="Y372" i="1"/>
  <c r="BP371" i="1"/>
  <c r="BN371" i="1"/>
  <c r="Z371" i="1"/>
  <c r="Z372" i="1" s="1"/>
  <c r="Y29" i="1"/>
  <c r="Y33" i="1"/>
  <c r="Y41" i="1"/>
  <c r="Y62" i="1"/>
  <c r="Y78" i="1"/>
  <c r="Y91" i="1"/>
  <c r="Y110" i="1"/>
  <c r="Y116" i="1"/>
  <c r="Y138" i="1"/>
  <c r="Y153" i="1"/>
  <c r="Y162" i="1"/>
  <c r="BP161" i="1"/>
  <c r="Y163" i="1"/>
  <c r="Y181" i="1"/>
  <c r="BP171" i="1"/>
  <c r="BN171" i="1"/>
  <c r="Z171" i="1"/>
  <c r="BP217" i="1"/>
  <c r="BN217" i="1"/>
  <c r="Z217" i="1"/>
  <c r="BP221" i="1"/>
  <c r="BN221" i="1"/>
  <c r="Z221" i="1"/>
  <c r="BP238" i="1"/>
  <c r="BN238" i="1"/>
  <c r="Z238" i="1"/>
  <c r="BP256" i="1"/>
  <c r="BN256" i="1"/>
  <c r="Z256" i="1"/>
  <c r="BP264" i="1"/>
  <c r="BN264" i="1"/>
  <c r="Z264" i="1"/>
  <c r="Y268" i="1"/>
  <c r="BP358" i="1"/>
  <c r="BN358" i="1"/>
  <c r="Z358" i="1"/>
  <c r="Y368" i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BP286" i="1"/>
  <c r="BN286" i="1"/>
  <c r="Z286" i="1"/>
  <c r="Y290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X599" i="1" l="1"/>
  <c r="Z529" i="1"/>
  <c r="Z241" i="1"/>
  <c r="Z229" i="1"/>
  <c r="Z158" i="1"/>
  <c r="Z116" i="1"/>
  <c r="Z110" i="1"/>
  <c r="Z83" i="1"/>
  <c r="Z68" i="1"/>
  <c r="Z126" i="1"/>
  <c r="Z77" i="1"/>
  <c r="Z55" i="1"/>
  <c r="Y597" i="1"/>
  <c r="Y598" i="1"/>
  <c r="Z28" i="1"/>
  <c r="Z448" i="1"/>
  <c r="Z466" i="1"/>
  <c r="Z361" i="1"/>
  <c r="Z472" i="1"/>
  <c r="Z348" i="1"/>
  <c r="Z333" i="1"/>
  <c r="Z427" i="1"/>
  <c r="Z281" i="1"/>
  <c r="Z212" i="1"/>
  <c r="Z509" i="1"/>
  <c r="Z570" i="1"/>
  <c r="Z502" i="1"/>
  <c r="Z393" i="1"/>
  <c r="Y600" i="1"/>
  <c r="Z180" i="1"/>
  <c r="Y596" i="1"/>
  <c r="Z552" i="1"/>
  <c r="Z523" i="1"/>
  <c r="Z340" i="1"/>
  <c r="Z268" i="1"/>
  <c r="Z258" i="1"/>
  <c r="Z224" i="1"/>
  <c r="Z186" i="1"/>
  <c r="Z102" i="1"/>
  <c r="Z90" i="1"/>
  <c r="Z62" i="1"/>
  <c r="Z41" i="1"/>
  <c r="Z416" i="1"/>
  <c r="Z378" i="1"/>
  <c r="Y599" i="1" l="1"/>
  <c r="Z601" i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<sst xmlns="http://schemas.openxmlformats.org/spreadsheetml/2006/main" count="2761" uniqueCount="999">
  <si>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</si>
  <si>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</si>
  <si>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</si>
  <si>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</si>
  <si>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</si>
  <si>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</si>
  <si>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</si>
  <si>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</si>
  <si>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</si>
  <si>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</si>
  <si>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</si>
  <si>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</si>
  <si>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</si>
  <si>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</si>
  <si>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</si>
  <si>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</si>
  <si>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</si>
  <si>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</si>
  <si>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</si>
  <si>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</si>
  <si>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</si>
  <si>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</si>
  <si>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</si>
  <si>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</si>
  <si>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</si>
  <si>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</si>
  <si>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</si>
  <si>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</si>
  <si>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</si>
  <si>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</si>
  <si>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</si>
  <si>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</si>
  <si>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</si>
  <si>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</si>
  <si>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</si>
  <si>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</si>
  <si>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</si>
  <si>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</si>
  <si>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</si>
  <si>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</si>
  <si>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</si>
  <si>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</si>
  <si>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</si>
  <si>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</si>
  <si>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</si>
  <si>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</si>
  <si>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</si>
  <si>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</si>
  <si>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</si>
  <si>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</si>
  <si>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</si>
  <si>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</si>
  <si>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</si>
  <si>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</si>
  <si>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</si>
  <si>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</si>
  <si>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</si>
  <si>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</si>
  <si>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</si>
  <si>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</si>
  <si>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</si>
  <si>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</si>
  <si>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</si>
  <si>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</si>
  <si>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</si>
  <si>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</si>
  <si>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</si>
  <si>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</si>
  <si>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</si>
  <si>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</si>
  <si>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</si>
  <si>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</si>
  <si>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</si>
  <si>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</si>
  <si>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</si>
  <si>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</si>
  <si>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</si>
  <si>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</si>
  <si>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</si>
  <si>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</si>
  <si>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</si>
  <si>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</si>
  <si>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</si>
  <si>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</si>
  <si>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</si>
  <si>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</si>
  <si>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</si>
  <si>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</si>
  <si>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</si>
  <si>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</si>
  <si>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</si>
  <si>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</si>
  <si>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</si>
  <si>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</si>
  <si>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</si>
  <si>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</si>
  <si>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</si>
  <si>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</si>
  <si>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</si>
  <si>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</si>
  <si>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</si>
  <si>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</si>
  <si>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</si>
  <si>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</si>
  <si>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</si>
  <si>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</si>
  <si>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</si>
  <si>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</si>
  <si>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</si>
  <si>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</si>
  <si>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</si>
  <si>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</si>
  <si>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</si>
  <si>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</si>
  <si>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</si>
  <si>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</si>
  <si>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</si>
  <si>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</si>
  <si>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</si>
  <si>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</si>
  <si>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</si>
  <si>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</si>
  <si>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</si>
  <si>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</si>
  <si>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</si>
  <si>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</si>
  <si>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</si>
  <si>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</si>
  <si>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</si>
  <si>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</si>
  <si>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</si>
  <si>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</si>
  <si>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</si>
  <si>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</si>
  <si>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</si>
  <si>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</si>
  <si>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</si>
  <si>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</si>
  <si>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</si>
  <si>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</si>
  <si>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</si>
  <si>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</si>
  <si>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</si>
  <si>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</si>
  <si>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</si>
  <si>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</si>
  <si>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</si>
  <si>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</si>
  <si>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</si>
  <si>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</si>
  <si>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</si>
  <si>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</si>
  <si>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</si>
  <si>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</si>
  <si>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</si>
  <si>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</si>
  <si>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</si>
  <si>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</si>
  <si>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</si>
  <si>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</si>
  <si>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</si>
  <si>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</si>
  <si>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</si>
  <si>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</si>
  <si>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</si>
  <si>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</si>
  <si>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</si>
  <si>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</si>
  <si>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</si>
  <si>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</si>
  <si>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</si>
  <si>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</si>
  <si>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</si>
  <si>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</si>
  <si>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</si>
  <si>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</si>
  <si>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</si>
  <si>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</si>
  <si>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</si>
  <si>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</si>
  <si>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</si>
  <si>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</si>
  <si>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</si>
  <si>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</si>
  <si>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</si>
  <si>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</si>
  <si>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</si>
  <si>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</si>
  <si>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</si>
  <si>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</si>
  <si>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</si>
  <si>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</si>
  <si>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</si>
  <si>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</si>
  <si>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</si>
  <si>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</si>
  <si>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</si>
  <si>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</si>
  <si>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</si>
  <si>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</si>
  <si>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</si>
  <si>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</si>
  <si>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</si>
  <si>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</si>
  <si>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</si>
  <si>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</si>
  <si>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</si>
  <si>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</si>
  <si>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</si>
  <si>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</si>
  <si>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</si>
  <si>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</si>
  <si>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</si>
  <si>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</si>
  <si>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</si>
  <si>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</si>
  <si>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</si>
  <si>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</si>
  <si>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</si>
  <si>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</si>
  <si>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</si>
  <si>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</si>
  <si>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</si>
  <si>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</si>
  <si>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</si>
  <si>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</si>
  <si>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</si>
  <si>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</si>
  <si>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</si>
  <si>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</si>
  <si>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</si>
  <si>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</si>
  <si>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</si>
  <si>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</si>
  <si>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</si>
  <si>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</si>
  <si>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</si>
  <si>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</si>
  <si>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</si>
  <si>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</si>
  <si>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</si>
  <si>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</si>
  <si>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</si>
  <si>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</si>
  <si>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</si>
  <si>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</si>
  <si>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</si>
  <si>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</si>
  <si>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</si>
  <si>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</si>
  <si>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</si>
  <si>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</si>
  <si>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</si>
  <si>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</si>
  <si>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</si>
  <si>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</si>
  <si>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</si>
  <si>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</si>
  <si>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</si>
  <si>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</si>
  <si>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</si>
  <si>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</si>
  <si>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</si>
  <si>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</si>
  <si>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</si>
  <si>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</si>
  <si>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</si>
  <si>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</si>
  <si>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</si>
  <si>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</si>
  <si>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</si>
  <si>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</si>
  <si>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</si>
  <si>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</si>
  <si>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</si>
  <si>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</si>
  <si>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</si>
  <si>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</si>
  <si>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</si>
  <si>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</si>
  <si>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</si>
  <si>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</si>
  <si>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</si>
  <si>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</si>
  <si>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</si>
  <si>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</si>
  <si>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</si>
  <si>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</si>
  <si>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</si>
  <si>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</si>
  <si>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</si>
  <si>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</si>
  <si>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</si>
  <si>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</si>
  <si>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</si>
  <si>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</si>
  <si>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</si>
  <si>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</si>
  <si>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</si>
  <si>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</si>
  <si>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</si>
  <si>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</si>
  <si>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</si>
  <si>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</si>
  <si>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</si>
  <si>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</si>
  <si>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</si>
  <si>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</si>
  <si>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</si>
  <si>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</si>
  <si>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</si>
  <si>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</si>
  <si>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</si>
  <si>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</si>
  <si>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</si>
  <si>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</si>
  <si>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</si>
  <si>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</si>
  <si>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</si>
  <si>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</si>
  <si>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</si>
  <si>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</si>
  <si>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</si>
  <si>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</si>
  <si>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</si>
  <si>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</si>
  <si>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</si>
  <si>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</si>
  <si>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</si>
  <si>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</si>
  <si>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</si>
  <si>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</si>
  <si>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</si>
  <si>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</si>
  <si>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</si>
  <si>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</si>
  <si>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</si>
  <si>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</si>
  <si>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</si>
  <si>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</si>
  <si>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</si>
  <si>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</si>
  <si>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</si>
  <si>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</si>
  <si>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</si>
  <si>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</si>
  <si>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</si>
  <si>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</si>
  <si>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</si>
  <si>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</si>
  <si>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</si>
  <si>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</si>
  <si>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</si>
  <si>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</si>
  <si>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</si>
  <si>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</si>
  <si>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</si>
  <si>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</si>
  <si>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</si>
  <si>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</si>
  <si>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</si>
  <si>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</si>
  <si>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</si>
  <si>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</si>
  <si>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</si>
  <si>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</si>
  <si>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</si>
  <si>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</si>
  <si>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</si>
  <si>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</si>
  <si>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</si>
  <si>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</si>
  <si>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</si>
  <si>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</si>
  <si>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</si>
  <si>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</si>
  <si>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</si>
  <si>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</si>
  <si>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</si>
  <si>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</si>
  <si>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</si>
  <si>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</si>
  <si>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</si>
  <si>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</si>
  <si>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</si>
  <si>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</si>
  <si>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</si>
  <si>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</si>
  <si>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</si>
  <si>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</si>
  <si>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</si>
  <si>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</si>
  <si>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</si>
  <si>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</si>
  <si>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</si>
  <si>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</si>
  <si>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</si>
  <si>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</si>
  <si>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</si>
  <si>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</si>
  <si>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</si>
  <si>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</si>
  <si>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</si>
  <si>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</si>
  <si>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</si>
  <si>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</si>
  <si>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</si>
  <si>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</si>
  <si>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</si>
  <si>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</si>
  <si>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</si>
  <si>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</si>
  <si>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</si>
  <si>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</si>
  <si>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</si>
  <si>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</si>
  <si>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</si>
  <si>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</si>
  <si>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</si>
  <si>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</si>
  <si>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</si>
  <si>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</si>
  <si>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</si>
  <si>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</si>
  <si>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</si>
  <si>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</si>
  <si>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</si>
  <si>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</si>
  <si>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</si>
  <si>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</si>
  <si>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</si>
  <si>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</si>
  <si>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</si>
  <si>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</si>
  <si>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</si>
  <si>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</si>
  <si>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</si>
  <si>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</si>
  <si>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</si>
  <si>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</si>
  <si>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</si>
  <si>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</si>
  <si>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</si>
  <si>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</si>
  <si>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</si>
  <si>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</si>
  <si>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</si>
  <si>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</si>
  <si>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</si>
  <si>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</si>
  <si>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</si>
  <si>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</si>
  <si>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</si>
  <si>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</si>
  <si>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</si>
  <si>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</si>
  <si>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</si>
  <si>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</si>
  <si>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</si>
  <si>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</si>
  <si>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</si>
  <si>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</si>
  <si>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</si>
  <si>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</si>
  <si>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</si>
  <si>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</si>
  <si>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</si>
  <si>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</si>
  <si>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</si>
  <si>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</si>
  <si>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</si>
  <si>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</si>
  <si>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</si>
  <si>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</si>
  <si>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</si>
  <si>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</si>
  <si>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</si>
  <si>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</si>
  <si>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</si>
  <si>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</si>
  <si>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</si>
  <si>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</si>
  <si>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</si>
  <si>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</si>
  <si>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</si>
  <si>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</si>
  <si>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</si>
  <si>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</si>
  <si>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</si>
  <si>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</si>
  <si>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</si>
  <si>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</si>
  <si>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</si>
  <si>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</si>
  <si>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</si>
  <si>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</si>
  <si>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</si>
  <si>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</si>
  <si>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</si>
  <si>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</si>
  <si>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</si>
  <si>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</si>
  <si>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</si>
  <si>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</si>
  <si>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</si>
  <si>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</si>
  <si>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</si>
  <si>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</si>
  <si>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</si>
  <si>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</si>
  <si>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</si>
  <si>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</si>
  <si>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</si>
  <si>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</si>
  <si>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</si>
  <si>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</si>
  <si>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</si>
  <si>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</si>
  <si>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</si>
  <si>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</si>
  <si>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</si>
  <si>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</si>
  <si>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</si>
  <si>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</si>
  <si>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</si>
  <si>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</si>
  <si>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</si>
  <si>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</si>
  <si>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</si>
  <si>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</si>
  <si>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</si>
  <si>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</si>
  <si>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</si>
  <si>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</si>
  <si>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</si>
  <si>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</si>
  <si>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</si>
  <si>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</si>
  <si>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</si>
  <si>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</si>
  <si>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</si>
  <si>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</si>
  <si>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</si>
  <si>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</si>
  <si>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</si>
  <si>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</si>
  <si>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</si>
  <si>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</si>
  <si>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</si>
  <si>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</si>
  <si>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</si>
  <si>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</si>
  <si>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</si>
  <si>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</si>
  <si>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</si>
  <si>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</si>
  <si>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</si>
  <si>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</si>
  <si>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</si>
  <si>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</si>
  <si>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</si>
  <si>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</si>
  <si>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</si>
  <si>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</si>
  <si>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</si>
  <si>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</si>
  <si>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</si>
  <si>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</si>
  <si>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</si>
  <si>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</si>
  <si>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</si>
  <si>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</si>
  <si>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</si>
  <si>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</si>
  <si>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</si>
  <si>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</si>
  <si>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</si>
  <si>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</si>
  <si>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</si>
  <si>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</si>
  <si>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</si>
  <si>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</si>
  <si>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</si>
  <si>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</si>
  <si>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</si>
  <si>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</si>
  <si>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</si>
  <si>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</si>
  <si>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</si>
  <si>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</si>
  <si>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</si>
  <si>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</si>
  <si>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</si>
  <si>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</si>
  <si>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</si>
  <si>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</si>
  <si>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</si>
  <si>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</si>
  <si>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</si>
  <si>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</si>
  <si>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</si>
  <si>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</si>
  <si>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</si>
  <si>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</si>
  <si>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</si>
  <si>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</si>
  <si>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</si>
  <si>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</si>
  <si>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</si>
  <si>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</si>
  <si>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</si>
  <si>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</si>
  <si>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</si>
  <si>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</si>
  <si>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</si>
  <si>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</si>
  <si>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</si>
  <si>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</si>
  <si>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</si>
  <si>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</si>
  <si>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</si>
  <si>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</si>
  <si>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</si>
  <si>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</si>
  <si>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</si>
  <si>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</si>
  <si>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</si>
  <si>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</si>
  <si>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</si>
  <si>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</si>
  <si>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</si>
  <si>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</si>
  <si>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</si>
  <si>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</si>
  <si>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</si>
  <si>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</si>
  <si>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</si>
  <si>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</si>
  <si>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</si>
  <si>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</si>
  <si>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</si>
  <si>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</si>
  <si>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</si>
  <si>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</si>
  <si>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</si>
  <si>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</si>
  <si>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</si>
  <si>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</si>
  <si>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</si>
  <si>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</si>
  <si>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</si>
  <si>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</si>
  <si>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</si>
  <si>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</si>
  <si>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</si>
  <si>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</si>
  <si>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</si>
  <si>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</si>
  <si>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</si>
  <si>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</si>
  <si>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</si>
  <si>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</si>
  <si>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</si>
  <si>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</si>
  <si>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</si>
  <si>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</si>
  <si>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</si>
  <si>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</si>
  <si>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</si>
  <si>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</si>
  <si>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</si>
  <si>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</si>
  <si>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</si>
  <si>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</si>
  <si>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</si>
  <si>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</si>
  <si>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</si>
  <si>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</si>
  <si>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</si>
  <si>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</si>
  <si>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</si>
  <si>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</si>
  <si>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</si>
  <si>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</si>
  <si>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</si>
  <si>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</si>
  <si>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</si>
  <si>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</si>
  <si>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</si>
  <si>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</si>
  <si>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</si>
  <si>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</si>
  <si>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</si>
  <si>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</si>
  <si>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</si>
  <si>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</si>
  <si>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</si>
  <si>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</si>
  <si>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</si>
  <si>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</si>
  <si>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</si>
  <si>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</si>
  <si>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</si>
  <si>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</si>
  <si>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</si>
  <si>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</si>
  <si>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</si>
  <si>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</si>
  <si>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</si>
  <si>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</si>
  <si>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</si>
  <si>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</si>
  <si>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</si>
  <si>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</si>
  <si>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</si>
  <si>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</si>
  <si>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</si>
  <si>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</si>
  <si>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</si>
  <si>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</si>
  <si>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</si>
  <si>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</si>
  <si>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</si>
  <si>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</si>
  <si>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</si>
  <si>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</si>
  <si>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</si>
  <si>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</si>
  <si>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</si>
  <si>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</si>
  <si>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</si>
  <si>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</si>
  <si>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</si>
  <si>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</si>
  <si>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</si>
  <si>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</si>
  <si>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</si>
  <si>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</si>
  <si>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</si>
  <si>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</si>
  <si>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</si>
  <si>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</si>
  <si>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</si>
  <si>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</si>
  <si>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</si>
  <si>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</si>
  <si>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</si>
  <si>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</si>
  <si>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</si>
  <si>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</si>
  <si>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</si>
  <si>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</si>
  <si>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</si>
  <si>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</si>
  <si>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</si>
  <si>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</si>
  <si>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</si>
  <si>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</si>
  <si>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</si>
  <si>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</si>
  <si>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</si>
  <si>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</si>
  <si>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</si>
  <si>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</si>
  <si>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</si>
  <si>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</si>
  <si>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</si>
  <si>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</si>
  <si>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</si>
  <si>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</si>
  <si>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</si>
  <si>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</si>
  <si>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</si>
  <si>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</si>
  <si>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</si>
  <si>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</si>
  <si>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</si>
  <si>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</si>
  <si>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</si>
  <si>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</si>
  <si>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</si>
  <si>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</si>
  <si>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</si>
  <si>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</si>
  <si>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</si>
  <si>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</si>
  <si>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</si>
  <si>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</si>
  <si>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</si>
  <si>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</si>
  <si>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</si>
  <si>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</si>
  <si>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</si>
  <si>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</si>
  <si>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</si>
  <si>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</si>
  <si>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</si>
  <si>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</si>
  <si>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</si>
  <si>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</si>
  <si>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</si>
  <si>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</si>
  <si>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</si>
  <si>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</si>
  <si>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</si>
  <si>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</si>
  <si>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</si>
  <si>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</si>
  <si>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</si>
  <si>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</si>
  <si>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</si>
  <si>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</si>
  <si>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</si>
  <si>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</si>
  <si>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</si>
  <si>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</si>
  <si>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</si>
  <si>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</si>
  <si>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</si>
  <si>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</si>
  <si>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</si>
  <si>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</si>
  <si>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</si>
  <si>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</si>
  <si>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</si>
  <si>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</si>
  <si>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</si>
  <si>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</si>
  <si>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</si>
  <si>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</si>
  <si>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</si>
  <si>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</si>
  <si>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</si>
  <si>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</si>
  <si>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</si>
  <si>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</si>
  <si>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</si>
  <si>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</si>
  <si>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</si>
  <si>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</si>
  <si>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</si>
  <si>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</si>
  <si>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</si>
  <si>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</si>
  <si>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</si>
  <si>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</si>
  <si>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</si>
  <si>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</si>
  <si>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</si>
  <si>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</si>
  <si>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</si>
  <si>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</si>
  <si>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</si>
  <si>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</si>
  <si>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</si>
  <si>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</si>
  <si>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</si>
  <si>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</si>
  <si>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</si>
  <si>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</si>
  <si>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</si>
  <si>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</si>
  <si>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</si>
  <si>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</si>
  <si>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</si>
  <si>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</si>
  <si>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</si>
  <si>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</si>
  <si>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</si>
  <si>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</si>
  <si>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</si>
  <si>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</si>
  <si>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</si>
  <si>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</si>
  <si>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</si>
  <si>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</si>
  <si>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</si>
  <si>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</si>
  <si>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</si>
  <si>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</si>
  <si>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</si>
  <si>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</si>
  <si>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</si>
  <si>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</si>
  <si>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</si>
  <si>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</si>
  <si>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</si>
  <si>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</si>
  <si>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</si>
  <si>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</si>
  <si>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</si>
  <si>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</si>
  <si>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</si>
  <si>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</si>
  <si>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</si>
  <si>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</si>
  <si>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</si>
  <si>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</si>
  <si>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</si>
  <si>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</si>
  <si>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</si>
  <si>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</si>
  <si>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</si>
  <si>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</si>
  <si>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</si>
  <si>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</si>
  <si>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</si>
  <si>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</si>
  <si>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</si>
  <si>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</si>
  <si>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</si>
  <si>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</si>
  <si>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</si>
  <si>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</si>
  <si>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</si>
  <si>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</si>
  <si>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</si>
  <si>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</si>
  <si>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</si>
  <si>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</si>
  <si>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</si>
  <si>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</si>
  <si>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</si>
  <si>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</si>
  <si>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</si>
  <si>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</si>
  <si>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</si>
  <si>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</si>
  <si>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</si>
  <si>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</si>
  <si>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</si>
  <si>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</si>
  <si>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</si>
  <si>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</si>
  <si>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</si>
  <si>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</si>
  <si>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</si>
  <si>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</si>
  <si>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</si>
  <si>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</si>
  <si>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</si>
  <si>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</si>
  <si>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</si>
  <si>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</si>
  <si>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</si>
  <si>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</si>
  <si>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</si>
  <si>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</si>
  <si>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</si>
  <si>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</si>
  <si>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</si>
  <si>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</si>
  <si>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</si>
  <si>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</si>
  <si>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</si>
  <si>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</si>
  <si>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</si>
  <si>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</si>
  <si>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</si>
  <si>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</si>
  <si>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</si>
  <si>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</si>
  <si>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</si>
  <si>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</si>
  <si>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</si>
  <si>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</si>
  <si>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</si>
  <si>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</si>
  <si>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</si>
  <si>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</si>
  <si>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</si>
  <si>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</si>
  <si>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</si>
  <si>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</si>
  <si>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</si>
  <si>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</si>
  <si>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</si>
  <si>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</si>
  <si>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</si>
  <si>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</si>
  <si>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</si>
  <si>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</si>
  <si>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</si>
  <si>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</si>
  <si>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</si>
  <si>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</si>
  <si>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</si>
  <si>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</si>
  <si>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</si>
  <si>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</si>
  <si>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</si>
  <si>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</si>
  <si>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</si>
  <si>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</si>
  <si>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</si>
  <si>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</si>
  <si>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</si>
  <si>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</si>
  <si>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Луганск,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</si>
</sst>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45775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978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Понедельник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6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0.41666666666666669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41</v>
      </c>
      <c r="Y39" s="668">
        <f>IFERROR(IF(X39="",0,CEILING((X39/$H39),1)*$H39),"")</f>
        <v>44.400000000000006</v>
      </c>
      <c r="Z39" s="36">
        <f>IFERROR(IF(Y39=0,"",ROUNDUP(Y39/H39,0)*0.00902),"")</f>
        <v>0.10824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43.327027027027029</v>
      </c>
      <c r="BN39" s="64">
        <f>IFERROR(Y39*I39/H39,"0")</f>
        <v>46.920000000000009</v>
      </c>
      <c r="BO39" s="64">
        <f>IFERROR(1/J39*(X39/H39),"0")</f>
        <v>8.3947583947583948E-2</v>
      </c>
      <c r="BP39" s="64">
        <f>IFERROR(1/J39*(Y39/H39),"0")</f>
        <v>9.0909090909090925E-2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11.081081081081081</v>
      </c>
      <c r="Y41" s="669">
        <f>IFERROR(Y37/H37,"0")+IFERROR(Y38/H38,"0")+IFERROR(Y39/H39,"0")+IFERROR(Y40/H40,"0")</f>
        <v>12.000000000000002</v>
      </c>
      <c r="Z41" s="669">
        <f>IFERROR(IF(Z37="",0,Z37),"0")+IFERROR(IF(Z38="",0,Z38),"0")+IFERROR(IF(Z39="",0,Z39),"0")+IFERROR(IF(Z40="",0,Z40),"0")</f>
        <v>0.10824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41</v>
      </c>
      <c r="Y42" s="669">
        <f>IFERROR(SUM(Y37:Y40),"0")</f>
        <v>44.400000000000006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133</v>
      </c>
      <c r="Y49" s="668">
        <f t="shared" ref="Y49:Y54" si="6">IFERROR(IF(X49="",0,CEILING((X49/$H49),1)*$H49),"")</f>
        <v>134.39999999999998</v>
      </c>
      <c r="Z49" s="36">
        <f>IFERROR(IF(Y49=0,"",ROUNDUP(Y49/H49,0)*0.01898),"")</f>
        <v>0.22776000000000002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138.16562500000001</v>
      </c>
      <c r="BN49" s="64">
        <f t="shared" ref="BN49:BN54" si="8">IFERROR(Y49*I49/H49,"0")</f>
        <v>139.61999999999998</v>
      </c>
      <c r="BO49" s="64">
        <f t="shared" ref="BO49:BO54" si="9">IFERROR(1/J49*(X49/H49),"0")</f>
        <v>0.185546875</v>
      </c>
      <c r="BP49" s="64">
        <f t="shared" ref="BP49:BP54" si="10">IFERROR(1/J49*(Y49/H49),"0")</f>
        <v>0.18749999999999997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47</v>
      </c>
      <c r="Y52" s="668">
        <f t="shared" si="6"/>
        <v>48</v>
      </c>
      <c r="Z52" s="36">
        <f>IFERROR(IF(Y52=0,"",ROUNDUP(Y52/H52,0)*0.00902),"")</f>
        <v>0.10824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49.467500000000001</v>
      </c>
      <c r="BN52" s="64">
        <f t="shared" si="8"/>
        <v>50.519999999999996</v>
      </c>
      <c r="BO52" s="64">
        <f t="shared" si="9"/>
        <v>8.9015151515151519E-2</v>
      </c>
      <c r="BP52" s="64">
        <f t="shared" si="10"/>
        <v>9.0909090909090912E-2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23.625</v>
      </c>
      <c r="Y55" s="669">
        <f>IFERROR(Y49/H49,"0")+IFERROR(Y50/H50,"0")+IFERROR(Y51/H51,"0")+IFERROR(Y52/H52,"0")+IFERROR(Y53/H53,"0")+IFERROR(Y54/H54,"0")</f>
        <v>24</v>
      </c>
      <c r="Z55" s="669">
        <f>IFERROR(IF(Z49="",0,Z49),"0")+IFERROR(IF(Z50="",0,Z50),"0")+IFERROR(IF(Z51="",0,Z51),"0")+IFERROR(IF(Z52="",0,Z52),"0")+IFERROR(IF(Z53="",0,Z53),"0")+IFERROR(IF(Z54="",0,Z54),"0")</f>
        <v>0.33600000000000002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180</v>
      </c>
      <c r="Y56" s="669">
        <f>IFERROR(SUM(Y49:Y54),"0")</f>
        <v>182.39999999999998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33</v>
      </c>
      <c r="Y81" s="668">
        <f>IFERROR(IF(X81="",0,CEILING((X81/$H81),1)*$H81),"")</f>
        <v>33.6</v>
      </c>
      <c r="Z81" s="36">
        <f>IFERROR(IF(Y81=0,"",ROUNDUP(Y81/H81,0)*0.01898),"")</f>
        <v>7.5920000000000001E-2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35.038928571428571</v>
      </c>
      <c r="BN81" s="64">
        <f>IFERROR(Y81*I81/H81,"0")</f>
        <v>35.676000000000002</v>
      </c>
      <c r="BO81" s="64">
        <f>IFERROR(1/J81*(X81/H81),"0")</f>
        <v>6.1383928571428568E-2</v>
      </c>
      <c r="BP81" s="64">
        <f>IFERROR(1/J81*(Y81/H81),"0")</f>
        <v>6.25E-2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12</v>
      </c>
      <c r="Y82" s="668">
        <f>IFERROR(IF(X82="",0,CEILING((X82/$H82),1)*$H82),"")</f>
        <v>12</v>
      </c>
      <c r="Z82" s="36">
        <f>IFERROR(IF(Y82=0,"",ROUNDUP(Y82/H82,0)*0.00902),"")</f>
        <v>4.5100000000000001E-2</v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13.05</v>
      </c>
      <c r="BN82" s="64">
        <f>IFERROR(Y82*I82/H82,"0")</f>
        <v>13.05</v>
      </c>
      <c r="BO82" s="64">
        <f>IFERROR(1/J82*(X82/H82),"0")</f>
        <v>3.787878787878788E-2</v>
      </c>
      <c r="BP82" s="64">
        <f>IFERROR(1/J82*(Y82/H82),"0")</f>
        <v>3.787878787878788E-2</v>
      </c>
    </row>
    <row r="83" spans="1:68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8.9285714285714288</v>
      </c>
      <c r="Y83" s="669">
        <f>IFERROR(Y80/H80,"0")+IFERROR(Y81/H81,"0")+IFERROR(Y82/H82,"0")</f>
        <v>9</v>
      </c>
      <c r="Z83" s="669">
        <f>IFERROR(IF(Z80="",0,Z80),"0")+IFERROR(IF(Z81="",0,Z81),"0")+IFERROR(IF(Z82="",0,Z82),"0")</f>
        <v>0.12102</v>
      </c>
      <c r="AA83" s="670"/>
      <c r="AB83" s="670"/>
      <c r="AC83" s="670"/>
    </row>
    <row r="84" spans="1:68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45</v>
      </c>
      <c r="Y84" s="669">
        <f>IFERROR(SUM(Y80:Y82),"0")</f>
        <v>45.6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92</v>
      </c>
      <c r="Y100" s="668">
        <f t="shared" si="16"/>
        <v>94.5</v>
      </c>
      <c r="Z100" s="36">
        <f>IFERROR(IF(Y100=0,"",ROUNDUP(Y100/H100,0)*0.00902),"")</f>
        <v>0.31569999999999998</v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101.81333333333333</v>
      </c>
      <c r="BN100" s="64">
        <f t="shared" si="18"/>
        <v>104.57999999999998</v>
      </c>
      <c r="BO100" s="64">
        <f t="shared" si="19"/>
        <v>0.25813692480359146</v>
      </c>
      <c r="BP100" s="64">
        <f t="shared" si="20"/>
        <v>0.26515151515151514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34.074074074074069</v>
      </c>
      <c r="Y102" s="669">
        <f>IFERROR(Y93/H93,"0")+IFERROR(Y94/H94,"0")+IFERROR(Y95/H95,"0")+IFERROR(Y96/H96,"0")+IFERROR(Y97/H97,"0")+IFERROR(Y98/H98,"0")+IFERROR(Y99/H99,"0")+IFERROR(Y100/H100,"0")+IFERROR(Y101/H101,"0")</f>
        <v>35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0.31569999999999998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92</v>
      </c>
      <c r="Y103" s="669">
        <f>IFERROR(SUM(Y93:Y101),"0")</f>
        <v>94.5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28</v>
      </c>
      <c r="Y108" s="668">
        <f>IFERROR(IF(X108="",0,CEILING((X108/$H108),1)*$H108),"")</f>
        <v>31.5</v>
      </c>
      <c r="Z108" s="36">
        <f>IFERROR(IF(Y108=0,"",ROUNDUP(Y108/H108,0)*0.00902),"")</f>
        <v>6.3140000000000002E-2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29.306666666666665</v>
      </c>
      <c r="BN108" s="64">
        <f>IFERROR(Y108*I108/H108,"0")</f>
        <v>32.97</v>
      </c>
      <c r="BO108" s="64">
        <f>IFERROR(1/J108*(X108/H108),"0")</f>
        <v>4.7138047138047139E-2</v>
      </c>
      <c r="BP108" s="64">
        <f>IFERROR(1/J108*(Y108/H108),"0")</f>
        <v>5.3030303030303032E-2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6.2222222222222223</v>
      </c>
      <c r="Y110" s="669">
        <f>IFERROR(Y106/H106,"0")+IFERROR(Y107/H107,"0")+IFERROR(Y108/H108,"0")+IFERROR(Y109/H109,"0")</f>
        <v>7</v>
      </c>
      <c r="Z110" s="669">
        <f>IFERROR(IF(Z106="",0,Z106),"0")+IFERROR(IF(Z107="",0,Z107),"0")+IFERROR(IF(Z108="",0,Z108),"0")+IFERROR(IF(Z109="",0,Z109),"0")</f>
        <v>6.3140000000000002E-2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28</v>
      </c>
      <c r="Y111" s="669">
        <f>IFERROR(SUM(Y106:Y109),"0")</f>
        <v>31.5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254</v>
      </c>
      <c r="Y113" s="668">
        <f>IFERROR(IF(X113="",0,CEILING((X113/$H113),1)*$H113),"")</f>
        <v>259.20000000000005</v>
      </c>
      <c r="Z113" s="36">
        <f>IFERROR(IF(Y113=0,"",ROUNDUP(Y113/H113,0)*0.01898),"")</f>
        <v>0.45552000000000004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264.23055555555555</v>
      </c>
      <c r="BN113" s="64">
        <f>IFERROR(Y113*I113/H113,"0")</f>
        <v>269.64000000000004</v>
      </c>
      <c r="BO113" s="64">
        <f>IFERROR(1/J113*(X113/H113),"0")</f>
        <v>0.3674768518518518</v>
      </c>
      <c r="BP113" s="64">
        <f>IFERROR(1/J113*(Y113/H113),"0")</f>
        <v>0.37500000000000006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23.518518518518515</v>
      </c>
      <c r="Y116" s="669">
        <f>IFERROR(Y113/H113,"0")+IFERROR(Y114/H114,"0")+IFERROR(Y115/H115,"0")</f>
        <v>24.000000000000004</v>
      </c>
      <c r="Z116" s="669">
        <f>IFERROR(IF(Z113="",0,Z113),"0")+IFERROR(IF(Z114="",0,Z114),"0")+IFERROR(IF(Z115="",0,Z115),"0")</f>
        <v>0.45552000000000004</v>
      </c>
      <c r="AA116" s="670"/>
      <c r="AB116" s="670"/>
      <c r="AC116" s="670"/>
    </row>
    <row r="117" spans="1:68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254</v>
      </c>
      <c r="Y117" s="669">
        <f>IFERROR(SUM(Y113:Y115),"0")</f>
        <v>259.20000000000005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113</v>
      </c>
      <c r="Y123" s="668">
        <f t="shared" si="21"/>
        <v>113.4</v>
      </c>
      <c r="Z123" s="36">
        <f>IFERROR(IF(Y123=0,"",ROUNDUP(Y123/H123,0)*0.00651),"")</f>
        <v>0.27342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123.54666666666667</v>
      </c>
      <c r="BN123" s="64">
        <f t="shared" si="23"/>
        <v>123.98399999999999</v>
      </c>
      <c r="BO123" s="64">
        <f t="shared" si="24"/>
        <v>0.22995522995522996</v>
      </c>
      <c r="BP123" s="64">
        <f t="shared" si="25"/>
        <v>0.23076923076923078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41.851851851851848</v>
      </c>
      <c r="Y126" s="669">
        <f>IFERROR(Y119/H119,"0")+IFERROR(Y120/H120,"0")+IFERROR(Y121/H121,"0")+IFERROR(Y122/H122,"0")+IFERROR(Y123/H123,"0")+IFERROR(Y124/H124,"0")+IFERROR(Y125/H125,"0")</f>
        <v>42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0.27342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113</v>
      </c>
      <c r="Y127" s="669">
        <f>IFERROR(SUM(Y119:Y125),"0")</f>
        <v>113.4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21</v>
      </c>
      <c r="Y176" s="668">
        <f t="shared" si="26"/>
        <v>21.6</v>
      </c>
      <c r="Z176" s="36">
        <f>IFERROR(IF(Y176=0,"",ROUNDUP(Y176/H176,0)*0.00502),"")</f>
        <v>6.0240000000000002E-2</v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22.516666666666666</v>
      </c>
      <c r="BN176" s="64">
        <f t="shared" si="28"/>
        <v>23.16</v>
      </c>
      <c r="BO176" s="64">
        <f t="shared" si="29"/>
        <v>4.9857549857549859E-2</v>
      </c>
      <c r="BP176" s="64">
        <f t="shared" si="30"/>
        <v>5.1282051282051287E-2</v>
      </c>
    </row>
    <row r="177" spans="1:68" ht="37.5" hidden="1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11.666666666666666</v>
      </c>
      <c r="Y180" s="669">
        <f>IFERROR(Y171/H171,"0")+IFERROR(Y172/H172,"0")+IFERROR(Y173/H173,"0")+IFERROR(Y174/H174,"0")+IFERROR(Y175/H175,"0")+IFERROR(Y176/H176,"0")+IFERROR(Y177/H177,"0")+IFERROR(Y178/H178,"0")+IFERROR(Y179/H179,"0")</f>
        <v>12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6.0240000000000002E-2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21</v>
      </c>
      <c r="Y181" s="669">
        <f>IFERROR(SUM(Y171:Y179),"0")</f>
        <v>21.6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8</v>
      </c>
      <c r="Y209" s="668">
        <f t="shared" si="31"/>
        <v>9</v>
      </c>
      <c r="Z209" s="36">
        <f>IFERROR(IF(Y209=0,"",ROUNDUP(Y209/H209,0)*0.00502),"")</f>
        <v>2.5100000000000001E-2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8.4444444444444446</v>
      </c>
      <c r="BN209" s="64">
        <f t="shared" si="33"/>
        <v>9.4999999999999982</v>
      </c>
      <c r="BO209" s="64">
        <f t="shared" si="34"/>
        <v>1.8993352326685663E-2</v>
      </c>
      <c r="BP209" s="64">
        <f t="shared" si="35"/>
        <v>2.1367521367521368E-2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4.4444444444444446</v>
      </c>
      <c r="Y212" s="669">
        <f>IFERROR(Y204/H204,"0")+IFERROR(Y205/H205,"0")+IFERROR(Y206/H206,"0")+IFERROR(Y207/H207,"0")+IFERROR(Y208/H208,"0")+IFERROR(Y209/H209,"0")+IFERROR(Y210/H210,"0")+IFERROR(Y211/H211,"0")</f>
        <v>5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2.5100000000000001E-2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8</v>
      </c>
      <c r="Y213" s="669">
        <f>IFERROR(SUM(Y204:Y211),"0")</f>
        <v>9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67</v>
      </c>
      <c r="Y218" s="668">
        <f t="shared" si="36"/>
        <v>67.2</v>
      </c>
      <c r="Z218" s="36">
        <f t="shared" ref="Z218:Z223" si="41">IFERROR(IF(Y218=0,"",ROUNDUP(Y218/H218,0)*0.00651),"")</f>
        <v>0.18228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74.537499999999994</v>
      </c>
      <c r="BN218" s="64">
        <f t="shared" si="38"/>
        <v>74.760000000000005</v>
      </c>
      <c r="BO218" s="64">
        <f t="shared" si="39"/>
        <v>0.1533882783882784</v>
      </c>
      <c r="BP218" s="64">
        <f t="shared" si="40"/>
        <v>0.15384615384615388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160</v>
      </c>
      <c r="Y220" s="668">
        <f t="shared" si="36"/>
        <v>160.79999999999998</v>
      </c>
      <c r="Z220" s="36">
        <f t="shared" si="41"/>
        <v>0.43617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176.80000000000004</v>
      </c>
      <c r="BN220" s="64">
        <f t="shared" si="38"/>
        <v>177.684</v>
      </c>
      <c r="BO220" s="64">
        <f t="shared" si="39"/>
        <v>0.36630036630036633</v>
      </c>
      <c r="BP220" s="64">
        <f t="shared" si="40"/>
        <v>0.36813186813186816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100</v>
      </c>
      <c r="Y221" s="668">
        <f t="shared" si="36"/>
        <v>100.8</v>
      </c>
      <c r="Z221" s="36">
        <f t="shared" si="41"/>
        <v>0.27342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110.5</v>
      </c>
      <c r="BN221" s="64">
        <f t="shared" si="38"/>
        <v>111.384</v>
      </c>
      <c r="BO221" s="64">
        <f t="shared" si="39"/>
        <v>0.22893772893772898</v>
      </c>
      <c r="BP221" s="64">
        <f t="shared" si="40"/>
        <v>0.23076923076923078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56</v>
      </c>
      <c r="Y223" s="668">
        <f t="shared" si="36"/>
        <v>57.599999999999994</v>
      </c>
      <c r="Z223" s="36">
        <f t="shared" si="41"/>
        <v>0.15623999999999999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62.019999999999996</v>
      </c>
      <c r="BN223" s="64">
        <f t="shared" si="38"/>
        <v>63.792000000000002</v>
      </c>
      <c r="BO223" s="64">
        <f t="shared" si="39"/>
        <v>0.12820512820512822</v>
      </c>
      <c r="BP223" s="64">
        <f t="shared" si="40"/>
        <v>0.13186813186813187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159.58333333333334</v>
      </c>
      <c r="Y224" s="669">
        <f>IFERROR(Y215/H215,"0")+IFERROR(Y216/H216,"0")+IFERROR(Y217/H217,"0")+IFERROR(Y218/H218,"0")+IFERROR(Y219/H219,"0")+IFERROR(Y220/H220,"0")+IFERROR(Y221/H221,"0")+IFERROR(Y222/H222,"0")+IFERROR(Y223/H223,"0")</f>
        <v>161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1.0481099999999999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383</v>
      </c>
      <c r="Y225" s="669">
        <f>IFERROR(SUM(Y215:Y223),"0")</f>
        <v>386.4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12</v>
      </c>
      <c r="Y227" s="668">
        <f>IFERROR(IF(X227="",0,CEILING((X227/$H227),1)*$H227),"")</f>
        <v>12</v>
      </c>
      <c r="Z227" s="36">
        <f>IFERROR(IF(Y227=0,"",ROUNDUP(Y227/H227,0)*0.00651),"")</f>
        <v>3.2550000000000003E-2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13.260000000000002</v>
      </c>
      <c r="BN227" s="64">
        <f>IFERROR(Y227*I227/H227,"0")</f>
        <v>13.260000000000002</v>
      </c>
      <c r="BO227" s="64">
        <f>IFERROR(1/J227*(X227/H227),"0")</f>
        <v>2.7472527472527476E-2</v>
      </c>
      <c r="BP227" s="64">
        <f>IFERROR(1/J227*(Y227/H227),"0")</f>
        <v>2.7472527472527476E-2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20</v>
      </c>
      <c r="Y228" s="668">
        <f>IFERROR(IF(X228="",0,CEILING((X228/$H228),1)*$H228),"")</f>
        <v>21.599999999999998</v>
      </c>
      <c r="Z228" s="36">
        <f>IFERROR(IF(Y228=0,"",ROUNDUP(Y228/H228,0)*0.00651),"")</f>
        <v>5.8590000000000003E-2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22.100000000000005</v>
      </c>
      <c r="BN228" s="64">
        <f>IFERROR(Y228*I228/H228,"0")</f>
        <v>23.868000000000002</v>
      </c>
      <c r="BO228" s="64">
        <f>IFERROR(1/J228*(X228/H228),"0")</f>
        <v>4.5787545787545791E-2</v>
      </c>
      <c r="BP228" s="64">
        <f>IFERROR(1/J228*(Y228/H228),"0")</f>
        <v>4.9450549450549455E-2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13.333333333333334</v>
      </c>
      <c r="Y229" s="669">
        <f>IFERROR(Y227/H227,"0")+IFERROR(Y228/H228,"0")</f>
        <v>14</v>
      </c>
      <c r="Z229" s="669">
        <f>IFERROR(IF(Z227="",0,Z227),"0")+IFERROR(IF(Z228="",0,Z228),"0")</f>
        <v>9.1139999999999999E-2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32</v>
      </c>
      <c r="Y230" s="669">
        <f>IFERROR(SUM(Y227:Y228),"0")</f>
        <v>33.599999999999994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50</v>
      </c>
      <c r="Y233" s="668">
        <f t="shared" ref="Y233:Y240" si="42">IFERROR(IF(X233="",0,CEILING((X233/$H233),1)*$H233),"")</f>
        <v>58</v>
      </c>
      <c r="Z233" s="36">
        <f>IFERROR(IF(Y233=0,"",ROUNDUP(Y233/H233,0)*0.01898),"")</f>
        <v>9.4899999999999998E-2</v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51.875</v>
      </c>
      <c r="BN233" s="64">
        <f t="shared" ref="BN233:BN240" si="44">IFERROR(Y233*I233/H233,"0")</f>
        <v>60.174999999999997</v>
      </c>
      <c r="BO233" s="64">
        <f t="shared" ref="BO233:BO240" si="45">IFERROR(1/J233*(X233/H233),"0")</f>
        <v>6.7349137931034489E-2</v>
      </c>
      <c r="BP233" s="64">
        <f t="shared" ref="BP233:BP240" si="46">IFERROR(1/J233*(Y233/H233),"0")</f>
        <v>7.8125E-2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4.3103448275862073</v>
      </c>
      <c r="Y241" s="669">
        <f>IFERROR(Y233/H233,"0")+IFERROR(Y234/H234,"0")+IFERROR(Y235/H235,"0")+IFERROR(Y236/H236,"0")+IFERROR(Y237/H237,"0")+IFERROR(Y238/H238,"0")+IFERROR(Y239/H239,"0")+IFERROR(Y240/H240,"0")</f>
        <v>5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9.4899999999999998E-2</v>
      </c>
      <c r="AA241" s="670"/>
      <c r="AB241" s="670"/>
      <c r="AC241" s="670"/>
    </row>
    <row r="242" spans="1:68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50</v>
      </c>
      <c r="Y242" s="669">
        <f>IFERROR(SUM(Y233:Y240),"0")</f>
        <v>58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41</v>
      </c>
      <c r="Y287" s="668">
        <f>IFERROR(IF(X287="",0,CEILING((X287/$H287),1)*$H287),"")</f>
        <v>43.199999999999996</v>
      </c>
      <c r="Z287" s="36">
        <f>IFERROR(IF(Y287=0,"",ROUNDUP(Y287/H287,0)*0.00651),"")</f>
        <v>0.11718000000000001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45.305</v>
      </c>
      <c r="BN287" s="64">
        <f>IFERROR(Y287*I287/H287,"0")</f>
        <v>47.736000000000004</v>
      </c>
      <c r="BO287" s="64">
        <f>IFERROR(1/J287*(X287/H287),"0")</f>
        <v>9.3864468864468878E-2</v>
      </c>
      <c r="BP287" s="64">
        <f>IFERROR(1/J287*(Y287/H287),"0")</f>
        <v>9.8901098901098911E-2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123</v>
      </c>
      <c r="Y288" s="668">
        <f>IFERROR(IF(X288="",0,CEILING((X288/$H288),1)*$H288),"")</f>
        <v>124.8</v>
      </c>
      <c r="Z288" s="36">
        <f>IFERROR(IF(Y288=0,"",ROUNDUP(Y288/H288,0)*0.00651),"")</f>
        <v>0.33851999999999999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132.22500000000002</v>
      </c>
      <c r="BN288" s="64">
        <f>IFERROR(Y288*I288/H288,"0")</f>
        <v>134.16</v>
      </c>
      <c r="BO288" s="64">
        <f>IFERROR(1/J288*(X288/H288),"0")</f>
        <v>0.28159340659340659</v>
      </c>
      <c r="BP288" s="64">
        <f>IFERROR(1/J288*(Y288/H288),"0")</f>
        <v>0.28571428571428575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68.333333333333343</v>
      </c>
      <c r="Y290" s="669">
        <f>IFERROR(Y285/H285,"0")+IFERROR(Y286/H286,"0")+IFERROR(Y287/H287,"0")+IFERROR(Y288/H288,"0")+IFERROR(Y289/H289,"0")</f>
        <v>70</v>
      </c>
      <c r="Z290" s="669">
        <f>IFERROR(IF(Z285="",0,Z285),"0")+IFERROR(IF(Z286="",0,Z286),"0")+IFERROR(IF(Z287="",0,Z287),"0")+IFERROR(IF(Z288="",0,Z288),"0")+IFERROR(IF(Z289="",0,Z289),"0")</f>
        <v>0.45569999999999999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164</v>
      </c>
      <c r="Y291" s="669">
        <f>IFERROR(SUM(Y285:Y289),"0")</f>
        <v>168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51</v>
      </c>
      <c r="Y351" s="668">
        <f>IFERROR(IF(X351="",0,CEILING((X351/$H351),1)*$H351),"")</f>
        <v>58.800000000000004</v>
      </c>
      <c r="Z351" s="36">
        <f>IFERROR(IF(Y351=0,"",ROUNDUP(Y351/H351,0)*0.01898),"")</f>
        <v>0.13286000000000001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54.151071428571427</v>
      </c>
      <c r="BN351" s="64">
        <f>IFERROR(Y351*I351/H351,"0")</f>
        <v>62.433000000000007</v>
      </c>
      <c r="BO351" s="64">
        <f>IFERROR(1/J351*(X351/H351),"0")</f>
        <v>9.4866071428571425E-2</v>
      </c>
      <c r="BP351" s="64">
        <f>IFERROR(1/J351*(Y351/H351),"0")</f>
        <v>0.109375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100</v>
      </c>
      <c r="Y352" s="668">
        <f>IFERROR(IF(X352="",0,CEILING((X352/$H352),1)*$H352),"")</f>
        <v>101.39999999999999</v>
      </c>
      <c r="Z352" s="36">
        <f>IFERROR(IF(Y352=0,"",ROUNDUP(Y352/H352,0)*0.01898),"")</f>
        <v>0.24674000000000001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106.65384615384617</v>
      </c>
      <c r="BN352" s="64">
        <f>IFERROR(Y352*I352/H352,"0")</f>
        <v>108.14700000000001</v>
      </c>
      <c r="BO352" s="64">
        <f>IFERROR(1/J352*(X352/H352),"0")</f>
        <v>0.20032051282051283</v>
      </c>
      <c r="BP352" s="64">
        <f>IFERROR(1/J352*(Y352/H352),"0")</f>
        <v>0.203125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36</v>
      </c>
      <c r="Y353" s="668">
        <f>IFERROR(IF(X353="",0,CEILING((X353/$H353),1)*$H353),"")</f>
        <v>42</v>
      </c>
      <c r="Z353" s="36">
        <f>IFERROR(IF(Y353=0,"",ROUNDUP(Y353/H353,0)*0.01898),"")</f>
        <v>9.4899999999999998E-2</v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38.224285714285713</v>
      </c>
      <c r="BN353" s="64">
        <f>IFERROR(Y353*I353/H353,"0")</f>
        <v>44.594999999999999</v>
      </c>
      <c r="BO353" s="64">
        <f>IFERROR(1/J353*(X353/H353),"0")</f>
        <v>6.6964285714285712E-2</v>
      </c>
      <c r="BP353" s="64">
        <f>IFERROR(1/J353*(Y353/H353),"0")</f>
        <v>7.8125E-2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23.177655677655679</v>
      </c>
      <c r="Y354" s="669">
        <f>IFERROR(Y351/H351,"0")+IFERROR(Y352/H352,"0")+IFERROR(Y353/H353,"0")</f>
        <v>25</v>
      </c>
      <c r="Z354" s="669">
        <f>IFERROR(IF(Z351="",0,Z351),"0")+IFERROR(IF(Z352="",0,Z352),"0")+IFERROR(IF(Z353="",0,Z353),"0")</f>
        <v>0.47450000000000003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187</v>
      </c>
      <c r="Y355" s="669">
        <f>IFERROR(SUM(Y351:Y353),"0")</f>
        <v>202.2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1200</v>
      </c>
      <c r="Y383" s="668">
        <f t="shared" ref="Y383:Y392" si="57">IFERROR(IF(X383="",0,CEILING((X383/$H383),1)*$H383),"")</f>
        <v>1200</v>
      </c>
      <c r="Z383" s="36">
        <f>IFERROR(IF(Y383=0,"",ROUNDUP(Y383/H383,0)*0.02175),"")</f>
        <v>1.7399999999999998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1238.4000000000001</v>
      </c>
      <c r="BN383" s="64">
        <f t="shared" ref="BN383:BN392" si="59">IFERROR(Y383*I383/H383,"0")</f>
        <v>1238.4000000000001</v>
      </c>
      <c r="BO383" s="64">
        <f t="shared" ref="BO383:BO392" si="60">IFERROR(1/J383*(X383/H383),"0")</f>
        <v>1.6666666666666665</v>
      </c>
      <c r="BP383" s="64">
        <f t="shared" ref="BP383:BP392" si="61">IFERROR(1/J383*(Y383/H383),"0")</f>
        <v>1.6666666666666665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400</v>
      </c>
      <c r="Y385" s="668">
        <f t="shared" si="57"/>
        <v>405</v>
      </c>
      <c r="Z385" s="36">
        <f>IFERROR(IF(Y385=0,"",ROUNDUP(Y385/H385,0)*0.02175),"")</f>
        <v>0.58724999999999994</v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412.8</v>
      </c>
      <c r="BN385" s="64">
        <f t="shared" si="59"/>
        <v>417.96000000000004</v>
      </c>
      <c r="BO385" s="64">
        <f t="shared" si="60"/>
        <v>0.55555555555555558</v>
      </c>
      <c r="BP385" s="64">
        <f t="shared" si="61"/>
        <v>0.5625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145</v>
      </c>
      <c r="Y387" s="668">
        <f t="shared" si="57"/>
        <v>150</v>
      </c>
      <c r="Z387" s="36">
        <f>IFERROR(IF(Y387=0,"",ROUNDUP(Y387/H387,0)*0.02175),"")</f>
        <v>0.21749999999999997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149.63999999999999</v>
      </c>
      <c r="BN387" s="64">
        <f t="shared" si="59"/>
        <v>154.80000000000001</v>
      </c>
      <c r="BO387" s="64">
        <f t="shared" si="60"/>
        <v>0.20138888888888887</v>
      </c>
      <c r="BP387" s="64">
        <f t="shared" si="61"/>
        <v>0.20833333333333331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450</v>
      </c>
      <c r="Y388" s="668">
        <f t="shared" si="57"/>
        <v>450</v>
      </c>
      <c r="Z388" s="36">
        <f>IFERROR(IF(Y388=0,"",ROUNDUP(Y388/H388,0)*0.02175),"")</f>
        <v>0.65249999999999997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464.4</v>
      </c>
      <c r="BN388" s="64">
        <f t="shared" si="59"/>
        <v>464.4</v>
      </c>
      <c r="BO388" s="64">
        <f t="shared" si="60"/>
        <v>0.625</v>
      </c>
      <c r="BP388" s="64">
        <f t="shared" si="61"/>
        <v>0.625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146.33333333333334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147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3.1972499999999995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2195</v>
      </c>
      <c r="Y394" s="669">
        <f>IFERROR(SUM(Y383:Y392),"0")</f>
        <v>2205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hidden="1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hidden="1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25</v>
      </c>
      <c r="Y406" s="668">
        <f>IFERROR(IF(X406="",0,CEILING((X406/$H406),1)*$H406),"")</f>
        <v>27</v>
      </c>
      <c r="Z406" s="36">
        <f>IFERROR(IF(Y406=0,"",ROUNDUP(Y406/H406,0)*0.01898),"")</f>
        <v>5.6940000000000004E-2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26.441666666666666</v>
      </c>
      <c r="BN406" s="64">
        <f>IFERROR(Y406*I406/H406,"0")</f>
        <v>28.556999999999999</v>
      </c>
      <c r="BO406" s="64">
        <f>IFERROR(1/J406*(X406/H406),"0")</f>
        <v>4.3402777777777776E-2</v>
      </c>
      <c r="BP406" s="64">
        <f>IFERROR(1/J406*(Y406/H406),"0")</f>
        <v>4.6875E-2</v>
      </c>
    </row>
    <row r="407" spans="1:68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2.7777777777777777</v>
      </c>
      <c r="Y407" s="669">
        <f>IFERROR(Y406/H406,"0")</f>
        <v>3</v>
      </c>
      <c r="Z407" s="669">
        <f>IFERROR(IF(Z406="",0,Z406),"0")</f>
        <v>5.6940000000000004E-2</v>
      </c>
      <c r="AA407" s="670"/>
      <c r="AB407" s="670"/>
      <c r="AC407" s="670"/>
    </row>
    <row r="408" spans="1:68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25</v>
      </c>
      <c r="Y408" s="669">
        <f>IFERROR(SUM(Y406:Y406),"0")</f>
        <v>27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4</v>
      </c>
      <c r="Y436" s="668">
        <f t="shared" ref="Y436:Y447" si="62">IFERROR(IF(X436="",0,CEILING((X436/$H436),1)*$H436),"")</f>
        <v>5.4</v>
      </c>
      <c r="Z436" s="36">
        <f>IFERROR(IF(Y436=0,"",ROUNDUP(Y436/H436,0)*0.00902),"")</f>
        <v>9.0200000000000002E-3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4.1555555555555559</v>
      </c>
      <c r="BN436" s="64">
        <f t="shared" ref="BN436:BN447" si="64">IFERROR(Y436*I436/H436,"0")</f>
        <v>5.61</v>
      </c>
      <c r="BO436" s="64">
        <f t="shared" ref="BO436:BO447" si="65">IFERROR(1/J436*(X436/H436),"0")</f>
        <v>5.6116722783389446E-3</v>
      </c>
      <c r="BP436" s="64">
        <f t="shared" ref="BP436:BP447" si="66">IFERROR(1/J436*(Y436/H436),"0")</f>
        <v>7.575757575757576E-3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0.7407407407407407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1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9.0200000000000002E-3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4</v>
      </c>
      <c r="Y449" s="669">
        <f>IFERROR(SUM(Y436:Y447),"0")</f>
        <v>5.4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9</v>
      </c>
      <c r="Y493" s="668">
        <f t="shared" si="68"/>
        <v>10.8</v>
      </c>
      <c r="Z493" s="36">
        <f>IFERROR(IF(Y493=0,"",ROUNDUP(Y493/H493,0)*0.00902),"")</f>
        <v>2.7060000000000001E-2</v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9.5250000000000004</v>
      </c>
      <c r="BN493" s="64">
        <f t="shared" si="71"/>
        <v>11.430000000000001</v>
      </c>
      <c r="BO493" s="64">
        <f t="shared" si="72"/>
        <v>1.893939393939394E-2</v>
      </c>
      <c r="BP493" s="64">
        <f t="shared" si="73"/>
        <v>2.2727272727272728E-2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2.5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3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2.7060000000000001E-2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9</v>
      </c>
      <c r="Y503" s="669">
        <f>IFERROR(SUM(Y486:Y501),"0")</f>
        <v>10.8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16</v>
      </c>
      <c r="Y508" s="668">
        <f>IFERROR(IF(X508="",0,CEILING((X508/$H508),1)*$H508),"")</f>
        <v>19.2</v>
      </c>
      <c r="Z508" s="36">
        <f>IFERROR(IF(Y508=0,"",ROUNDUP(Y508/H508,0)*0.00902),"")</f>
        <v>3.6080000000000001E-2</v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23.1</v>
      </c>
      <c r="BN508" s="64">
        <f>IFERROR(Y508*I508/H508,"0")</f>
        <v>27.72</v>
      </c>
      <c r="BO508" s="64">
        <f>IFERROR(1/J508*(X508/H508),"0")</f>
        <v>2.5252525252525256E-2</v>
      </c>
      <c r="BP508" s="64">
        <f>IFERROR(1/J508*(Y508/H508),"0")</f>
        <v>3.0303030303030304E-2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3.3333333333333335</v>
      </c>
      <c r="Y509" s="669">
        <f>IFERROR(Y505/H505,"0")+IFERROR(Y506/H506,"0")+IFERROR(Y507/H507,"0")+IFERROR(Y508/H508,"0")</f>
        <v>4</v>
      </c>
      <c r="Z509" s="669">
        <f>IFERROR(IF(Z505="",0,Z505),"0")+IFERROR(IF(Z506="",0,Z506),"0")+IFERROR(IF(Z507="",0,Z507),"0")+IFERROR(IF(Z508="",0,Z508),"0")</f>
        <v>3.6080000000000001E-2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16</v>
      </c>
      <c r="Y510" s="669">
        <f>IFERROR(SUM(Y505:Y508),"0")</f>
        <v>19.2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hidden="1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hidden="1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hidden="1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hidden="1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3847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3917.2000000000003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4045.021339450715</v>
      </c>
      <c r="Y597" s="669">
        <f>IFERROR(SUM(BN22:BN593),"0")</f>
        <v>4120.491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4220.0213394507155</v>
      </c>
      <c r="Y599" s="669">
        <f>GrossWeightTotalR+PalletQtyTotalR*25</f>
        <v>4295.491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589.83561597785751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603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7.2490799999999993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44.400000000000006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227.99999999999997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94.5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404.1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21.6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429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58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168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202.2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2232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5.4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30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4"/>
        <filter val="1 200,00"/>
        <filter val="100,00"/>
        <filter val="11,08"/>
        <filter val="11,67"/>
        <filter val="113,00"/>
        <filter val="12,00"/>
        <filter val="123,00"/>
        <filter val="13,33"/>
        <filter val="133,00"/>
        <filter val="145,00"/>
        <filter val="146,33"/>
        <filter val="159,58"/>
        <filter val="16,00"/>
        <filter val="160,00"/>
        <filter val="164,00"/>
        <filter val="180,00"/>
        <filter val="187,00"/>
        <filter val="2 195,00"/>
        <filter val="2,50"/>
        <filter val="2,78"/>
        <filter val="20,00"/>
        <filter val="21,00"/>
        <filter val="23,18"/>
        <filter val="23,52"/>
        <filter val="23,63"/>
        <filter val="25,00"/>
        <filter val="254,00"/>
        <filter val="28,00"/>
        <filter val="3 847,00"/>
        <filter val="3,33"/>
        <filter val="32,00"/>
        <filter val="33,00"/>
        <filter val="34,07"/>
        <filter val="36,00"/>
        <filter val="383,00"/>
        <filter val="4 045,02"/>
        <filter val="4 220,02"/>
        <filter val="4,00"/>
        <filter val="4,31"/>
        <filter val="4,44"/>
        <filter val="400,00"/>
        <filter val="41,00"/>
        <filter val="41,85"/>
        <filter val="45,00"/>
        <filter val="450,00"/>
        <filter val="47,00"/>
        <filter val="50,00"/>
        <filter val="51,00"/>
        <filter val="56,00"/>
        <filter val="589,84"/>
        <filter val="6,22"/>
        <filter val="67,00"/>
        <filter val="68,33"/>
        <filter val="7"/>
        <filter val="8,00"/>
        <filter val="8,93"/>
        <filter val="9,00"/>
        <filter val="92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