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4D28CD-6360-4FB3-8C8F-98B02B84F8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O434" i="1"/>
  <c r="BM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BP388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BP335" i="1" s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BN294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73" i="1" l="1"/>
  <c r="BN73" i="1"/>
  <c r="Z202" i="1"/>
  <c r="BN202" i="1"/>
  <c r="Z335" i="1"/>
  <c r="BN335" i="1"/>
  <c r="Y396" i="1"/>
  <c r="Z22" i="1"/>
  <c r="BN22" i="1"/>
  <c r="Y29" i="1"/>
  <c r="Z61" i="1"/>
  <c r="BN61" i="1"/>
  <c r="Z94" i="1"/>
  <c r="BN94" i="1"/>
  <c r="Z95" i="1"/>
  <c r="BN95" i="1"/>
  <c r="Z96" i="1"/>
  <c r="BN96" i="1"/>
  <c r="Z97" i="1"/>
  <c r="BN97" i="1"/>
  <c r="Z98" i="1"/>
  <c r="BN98" i="1"/>
  <c r="Z153" i="1"/>
  <c r="Z154" i="1" s="1"/>
  <c r="BN153" i="1"/>
  <c r="BP153" i="1"/>
  <c r="Z157" i="1"/>
  <c r="BN157" i="1"/>
  <c r="Y162" i="1"/>
  <c r="Z212" i="1"/>
  <c r="BN212" i="1"/>
  <c r="Y221" i="1"/>
  <c r="Z235" i="1"/>
  <c r="BN235" i="1"/>
  <c r="Z250" i="1"/>
  <c r="Z251" i="1" s="1"/>
  <c r="BN250" i="1"/>
  <c r="BP250" i="1"/>
  <c r="Y251" i="1"/>
  <c r="Z255" i="1"/>
  <c r="BN255" i="1"/>
  <c r="Z321" i="1"/>
  <c r="BN321" i="1"/>
  <c r="Z345" i="1"/>
  <c r="BN345" i="1"/>
  <c r="Z388" i="1"/>
  <c r="BN388" i="1"/>
  <c r="Z393" i="1"/>
  <c r="BN393" i="1"/>
  <c r="BP393" i="1"/>
  <c r="Z394" i="1"/>
  <c r="BN394" i="1"/>
  <c r="Y395" i="1"/>
  <c r="Y262" i="1"/>
  <c r="BP81" i="1"/>
  <c r="BN81" i="1"/>
  <c r="Z81" i="1"/>
  <c r="BP119" i="1"/>
  <c r="BN119" i="1"/>
  <c r="Z119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BP309" i="1"/>
  <c r="BN309" i="1"/>
  <c r="Z309" i="1"/>
  <c r="BP339" i="1"/>
  <c r="BN339" i="1"/>
  <c r="Z339" i="1"/>
  <c r="BP382" i="1"/>
  <c r="BN382" i="1"/>
  <c r="Z382" i="1"/>
  <c r="BP437" i="1"/>
  <c r="BN437" i="1"/>
  <c r="Z437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X596" i="1"/>
  <c r="Z38" i="1"/>
  <c r="BN38" i="1"/>
  <c r="Z53" i="1"/>
  <c r="BN53" i="1"/>
  <c r="Z67" i="1"/>
  <c r="BN67" i="1"/>
  <c r="Y77" i="1"/>
  <c r="BP107" i="1"/>
  <c r="BN107" i="1"/>
  <c r="Z107" i="1"/>
  <c r="BP120" i="1"/>
  <c r="BN120" i="1"/>
  <c r="Z120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29" i="1"/>
  <c r="BN329" i="1"/>
  <c r="Z329" i="1"/>
  <c r="BP368" i="1"/>
  <c r="BN368" i="1"/>
  <c r="Z368" i="1"/>
  <c r="BP406" i="1"/>
  <c r="BN406" i="1"/>
  <c r="Z406" i="1"/>
  <c r="BP440" i="1"/>
  <c r="BN440" i="1"/>
  <c r="Z440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E602" i="1"/>
  <c r="BP319" i="1"/>
  <c r="BN319" i="1"/>
  <c r="BP323" i="1"/>
  <c r="BN323" i="1"/>
  <c r="Z323" i="1"/>
  <c r="BP337" i="1"/>
  <c r="BN337" i="1"/>
  <c r="Z337" i="1"/>
  <c r="BP351" i="1"/>
  <c r="Z351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AA602" i="1"/>
  <c r="Y466" i="1"/>
  <c r="BP464" i="1"/>
  <c r="BN464" i="1"/>
  <c r="Z464" i="1"/>
  <c r="BP484" i="1"/>
  <c r="BN484" i="1"/>
  <c r="Z484" i="1"/>
  <c r="BP494" i="1"/>
  <c r="BN494" i="1"/>
  <c r="Z494" i="1"/>
  <c r="Z26" i="1"/>
  <c r="BN26" i="1"/>
  <c r="C602" i="1"/>
  <c r="Z40" i="1"/>
  <c r="BN40" i="1"/>
  <c r="Z51" i="1"/>
  <c r="BN51" i="1"/>
  <c r="Z59" i="1"/>
  <c r="BN59" i="1"/>
  <c r="Z65" i="1"/>
  <c r="BN65" i="1"/>
  <c r="BP65" i="1"/>
  <c r="Y68" i="1"/>
  <c r="Z71" i="1"/>
  <c r="BN71" i="1"/>
  <c r="BP71" i="1"/>
  <c r="Y78" i="1"/>
  <c r="Z75" i="1"/>
  <c r="BN75" i="1"/>
  <c r="Y84" i="1"/>
  <c r="Z88" i="1"/>
  <c r="BN88" i="1"/>
  <c r="Y103" i="1"/>
  <c r="Z100" i="1"/>
  <c r="BN100" i="1"/>
  <c r="F602" i="1"/>
  <c r="Z109" i="1"/>
  <c r="BN109" i="1"/>
  <c r="Y117" i="1"/>
  <c r="Z115" i="1"/>
  <c r="BN115" i="1"/>
  <c r="Z122" i="1"/>
  <c r="BN122" i="1"/>
  <c r="Z123" i="1"/>
  <c r="BN123" i="1"/>
  <c r="Z126" i="1"/>
  <c r="BN126" i="1"/>
  <c r="Z127" i="1"/>
  <c r="BN127" i="1"/>
  <c r="Z138" i="1"/>
  <c r="BN138" i="1"/>
  <c r="Y144" i="1"/>
  <c r="Z148" i="1"/>
  <c r="BN148" i="1"/>
  <c r="Y161" i="1"/>
  <c r="Z159" i="1"/>
  <c r="BN159" i="1"/>
  <c r="I602" i="1"/>
  <c r="Y183" i="1"/>
  <c r="Z177" i="1"/>
  <c r="BN177" i="1"/>
  <c r="Z180" i="1"/>
  <c r="BN180" i="1"/>
  <c r="J602" i="1"/>
  <c r="Z196" i="1"/>
  <c r="BN196" i="1"/>
  <c r="BP196" i="1"/>
  <c r="Y199" i="1"/>
  <c r="Y209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Y227" i="1"/>
  <c r="K602" i="1"/>
  <c r="Z233" i="1"/>
  <c r="BN233" i="1"/>
  <c r="Z237" i="1"/>
  <c r="BN237" i="1"/>
  <c r="Z242" i="1"/>
  <c r="BN242" i="1"/>
  <c r="Z257" i="1"/>
  <c r="BN257" i="1"/>
  <c r="Z271" i="1"/>
  <c r="BN271" i="1"/>
  <c r="P602" i="1"/>
  <c r="Z280" i="1"/>
  <c r="BN280" i="1"/>
  <c r="Z314" i="1"/>
  <c r="Z315" i="1" s="1"/>
  <c r="BN314" i="1"/>
  <c r="BP314" i="1"/>
  <c r="Y315" i="1"/>
  <c r="Z319" i="1"/>
  <c r="BP331" i="1"/>
  <c r="BN331" i="1"/>
  <c r="Z331" i="1"/>
  <c r="Y346" i="1"/>
  <c r="BP343" i="1"/>
  <c r="BN343" i="1"/>
  <c r="Z343" i="1"/>
  <c r="Y38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65" i="1"/>
  <c r="BN465" i="1"/>
  <c r="Z465" i="1"/>
  <c r="Y47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22" i="1"/>
  <c r="BN522" i="1"/>
  <c r="Z522" i="1"/>
  <c r="Y332" i="1"/>
  <c r="Y340" i="1"/>
  <c r="Y354" i="1"/>
  <c r="Y390" i="1"/>
  <c r="Y421" i="1"/>
  <c r="Y602" i="1"/>
  <c r="Z602" i="1"/>
  <c r="Y461" i="1"/>
  <c r="Y503" i="1"/>
  <c r="H9" i="1"/>
  <c r="A10" i="1"/>
  <c r="B602" i="1"/>
  <c r="X593" i="1"/>
  <c r="X594" i="1"/>
  <c r="Z23" i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Z116" i="1" s="1"/>
  <c r="BN114" i="1"/>
  <c r="BP114" i="1"/>
  <c r="Y129" i="1"/>
  <c r="Z121" i="1"/>
  <c r="BN121" i="1"/>
  <c r="Z124" i="1"/>
  <c r="BN124" i="1"/>
  <c r="Z125" i="1"/>
  <c r="BN125" i="1"/>
  <c r="Y133" i="1"/>
  <c r="BP143" i="1"/>
  <c r="BN143" i="1"/>
  <c r="Z143" i="1"/>
  <c r="Z144" i="1" s="1"/>
  <c r="Y145" i="1"/>
  <c r="Y149" i="1"/>
  <c r="Y150" i="1"/>
  <c r="BP147" i="1"/>
  <c r="BN147" i="1"/>
  <c r="Z147" i="1"/>
  <c r="Z149" i="1" s="1"/>
  <c r="F9" i="1"/>
  <c r="J9" i="1"/>
  <c r="Y41" i="1"/>
  <c r="Y91" i="1"/>
  <c r="Y110" i="1"/>
  <c r="Y128" i="1"/>
  <c r="BP132" i="1"/>
  <c r="BN132" i="1"/>
  <c r="Z132" i="1"/>
  <c r="Z133" i="1" s="1"/>
  <c r="Y134" i="1"/>
  <c r="G602" i="1"/>
  <c r="Y140" i="1"/>
  <c r="BP137" i="1"/>
  <c r="BN137" i="1"/>
  <c r="Z137" i="1"/>
  <c r="H602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Y244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Y172" i="1"/>
  <c r="Y193" i="1"/>
  <c r="Y238" i="1"/>
  <c r="Y267" i="1"/>
  <c r="Y274" i="1"/>
  <c r="Y283" i="1"/>
  <c r="Y288" i="1"/>
  <c r="Y295" i="1"/>
  <c r="BP294" i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Y311" i="1"/>
  <c r="BP308" i="1"/>
  <c r="BN308" i="1"/>
  <c r="Z308" i="1"/>
  <c r="Z310" i="1" s="1"/>
  <c r="Y316" i="1"/>
  <c r="U602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Z338" i="1"/>
  <c r="BN338" i="1"/>
  <c r="Y341" i="1"/>
  <c r="Z344" i="1"/>
  <c r="BN344" i="1"/>
  <c r="Y347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Y413" i="1"/>
  <c r="Y326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Y422" i="1"/>
  <c r="Y443" i="1"/>
  <c r="Y447" i="1"/>
  <c r="Y454" i="1"/>
  <c r="Y460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AB602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BN445" i="1"/>
  <c r="BP445" i="1"/>
  <c r="Z452" i="1"/>
  <c r="Z453" i="1" s="1"/>
  <c r="BN452" i="1"/>
  <c r="Y453" i="1"/>
  <c r="Z457" i="1"/>
  <c r="BN457" i="1"/>
  <c r="Z458" i="1"/>
  <c r="BN458" i="1"/>
  <c r="Y467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18" i="1"/>
  <c r="Z511" i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413" i="1" l="1"/>
  <c r="Z243" i="1"/>
  <c r="Z226" i="1"/>
  <c r="Z198" i="1"/>
  <c r="Z128" i="1"/>
  <c r="Z395" i="1"/>
  <c r="Z346" i="1"/>
  <c r="Z282" i="1"/>
  <c r="Z273" i="1"/>
  <c r="Z261" i="1"/>
  <c r="Z193" i="1"/>
  <c r="Z183" i="1"/>
  <c r="Z161" i="1"/>
  <c r="Z139" i="1"/>
  <c r="Z77" i="1"/>
  <c r="Z518" i="1"/>
  <c r="Z325" i="1"/>
  <c r="Y594" i="1"/>
  <c r="Z496" i="1"/>
  <c r="Z460" i="1"/>
  <c r="Z447" i="1"/>
  <c r="Z442" i="1"/>
  <c r="Z421" i="1"/>
  <c r="Z340" i="1"/>
  <c r="Z221" i="1"/>
  <c r="Z110" i="1"/>
  <c r="Z102" i="1"/>
  <c r="Y593" i="1"/>
  <c r="Y595" i="1" s="1"/>
  <c r="Z90" i="1"/>
  <c r="Z83" i="1"/>
  <c r="Z62" i="1"/>
  <c r="Z55" i="1"/>
  <c r="Y592" i="1"/>
  <c r="Z28" i="1"/>
  <c r="X595" i="1"/>
  <c r="Z466" i="1"/>
  <c r="Z566" i="1"/>
  <c r="Z408" i="1"/>
  <c r="Z503" i="1"/>
  <c r="Z548" i="1"/>
  <c r="Z524" i="1"/>
  <c r="Z385" i="1"/>
  <c r="Z370" i="1"/>
  <c r="Z359" i="1"/>
  <c r="Z353" i="1"/>
  <c r="Z332" i="1"/>
  <c r="Z238" i="1"/>
  <c r="Z209" i="1"/>
  <c r="Z41" i="1"/>
  <c r="Y596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<sst xmlns="http://schemas.openxmlformats.org/spreadsheetml/2006/main" count="2738" uniqueCount="970">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</sst>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45770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Среда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30</v>
      </c>
      <c r="Y37" s="666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12</v>
      </c>
      <c r="Y38" s="666">
        <f>IFERROR(IF(X38="",0,CEILING((X38/$H38),1)*$H38),"")</f>
        <v>12</v>
      </c>
      <c r="Z38" s="36">
        <f>IFERROR(IF(Y38=0,"",ROUNDUP(Y38/H38,0)*0.00902),"")</f>
        <v>2.7060000000000001E-2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12.629999999999999</v>
      </c>
      <c r="BN38" s="64">
        <f>IFERROR(Y38*I38/H38,"0")</f>
        <v>12.629999999999999</v>
      </c>
      <c r="BO38" s="64">
        <f>IFERROR(1/J38*(X38/H38),"0")</f>
        <v>2.2727272727272728E-2</v>
      </c>
      <c r="BP38" s="64">
        <f>IFERROR(1/J38*(Y38/H38),"0")</f>
        <v>2.2727272727272728E-2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5.7777777777777777</v>
      </c>
      <c r="Y41" s="667">
        <f>IFERROR(Y37/H37,"0")+IFERROR(Y38/H38,"0")+IFERROR(Y39/H39,"0")+IFERROR(Y40/H40,"0")</f>
        <v>6</v>
      </c>
      <c r="Z41" s="667">
        <f>IFERROR(IF(Z37="",0,Z37),"0")+IFERROR(IF(Z38="",0,Z38),"0")+IFERROR(IF(Z39="",0,Z39),"0")+IFERROR(IF(Z40="",0,Z40),"0")</f>
        <v>8.4000000000000005E-2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42</v>
      </c>
      <c r="Y42" s="667">
        <f>IFERROR(SUM(Y37:Y40),"0")</f>
        <v>44.400000000000006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45</v>
      </c>
      <c r="Y54" s="666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14.62962962962963</v>
      </c>
      <c r="Y55" s="667">
        <f>IFERROR(Y49/H49,"0")+IFERROR(Y50/H50,"0")+IFERROR(Y51/H51,"0")+IFERROR(Y52/H52,"0")+IFERROR(Y53/H53,"0")+IFERROR(Y54/H54,"0")</f>
        <v>15</v>
      </c>
      <c r="Z55" s="667">
        <f>IFERROR(IF(Z49="",0,Z49),"0")+IFERROR(IF(Z50="",0,Z50),"0")+IFERROR(IF(Z51="",0,Z51),"0")+IFERROR(IF(Z52="",0,Z52),"0")+IFERROR(IF(Z53="",0,Z53),"0")+IFERROR(IF(Z54="",0,Z54),"0")</f>
        <v>0.18509999999999999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95</v>
      </c>
      <c r="Y56" s="667">
        <f>IFERROR(SUM(Y49:Y54),"0")</f>
        <v>99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50</v>
      </c>
      <c r="Y58" s="666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13.5</v>
      </c>
      <c r="Y61" s="666">
        <f>IFERROR(IF(X61="",0,CEILING((X61/$H61),1)*$H61),"")</f>
        <v>13.5</v>
      </c>
      <c r="Z61" s="36">
        <f>IFERROR(IF(Y61=0,"",ROUNDUP(Y61/H61,0)*0.00651),"")</f>
        <v>3.2550000000000003E-2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14.399999999999997</v>
      </c>
      <c r="BN61" s="64">
        <f>IFERROR(Y61*I61/H61,"0")</f>
        <v>14.399999999999997</v>
      </c>
      <c r="BO61" s="64">
        <f>IFERROR(1/J61*(X61/H61),"0")</f>
        <v>2.7472527472527476E-2</v>
      </c>
      <c r="BP61" s="64">
        <f>IFERROR(1/J61*(Y61/H61),"0")</f>
        <v>2.7472527472527476E-2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9.6296296296296298</v>
      </c>
      <c r="Y62" s="667">
        <f>IFERROR(Y58/H58,"0")+IFERROR(Y59/H59,"0")+IFERROR(Y60/H60,"0")+IFERROR(Y61/H61,"0")</f>
        <v>10</v>
      </c>
      <c r="Z62" s="667">
        <f>IFERROR(IF(Z58="",0,Z58),"0")+IFERROR(IF(Z59="",0,Z59),"0")+IFERROR(IF(Z60="",0,Z60),"0")+IFERROR(IF(Z61="",0,Z61),"0")</f>
        <v>0.12745000000000001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63.5</v>
      </c>
      <c r="Y63" s="667">
        <f>IFERROR(SUM(Y58:Y61),"0")</f>
        <v>67.5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40</v>
      </c>
      <c r="Y73" s="666">
        <f t="shared" si="11"/>
        <v>42</v>
      </c>
      <c r="Z73" s="36">
        <f>IFERROR(IF(Y73=0,"",ROUNDUP(Y73/H73,0)*0.01898),"")</f>
        <v>9.4899999999999998E-2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42.414285714285711</v>
      </c>
      <c r="BN73" s="64">
        <f t="shared" si="13"/>
        <v>44.534999999999997</v>
      </c>
      <c r="BO73" s="64">
        <f t="shared" si="14"/>
        <v>7.4404761904761904E-2</v>
      </c>
      <c r="BP73" s="64">
        <f t="shared" si="15"/>
        <v>7.8125E-2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4.7619047619047619</v>
      </c>
      <c r="Y77" s="667">
        <f>IFERROR(Y71/H71,"0")+IFERROR(Y72/H72,"0")+IFERROR(Y73/H73,"0")+IFERROR(Y74/H74,"0")+IFERROR(Y75/H75,"0")+IFERROR(Y76/H76,"0")</f>
        <v>5</v>
      </c>
      <c r="Z77" s="667">
        <f>IFERROR(IF(Z71="",0,Z71),"0")+IFERROR(IF(Z72="",0,Z72),"0")+IFERROR(IF(Z73="",0,Z73),"0")+IFERROR(IF(Z74="",0,Z74),"0")+IFERROR(IF(Z75="",0,Z75),"0")+IFERROR(IF(Z76="",0,Z76),"0")</f>
        <v>9.4899999999999998E-2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40</v>
      </c>
      <c r="Y78" s="667">
        <f>IFERROR(SUM(Y71:Y76),"0")</f>
        <v>42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16</v>
      </c>
      <c r="Y121" s="666">
        <f t="shared" si="21"/>
        <v>16.8</v>
      </c>
      <c r="Z121" s="36">
        <f>IFERROR(IF(Y121=0,"",ROUNDUP(Y121/H121,0)*0.01898),"")</f>
        <v>3.7960000000000001E-2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16.977142857142859</v>
      </c>
      <c r="BN121" s="64">
        <f t="shared" si="23"/>
        <v>17.826000000000001</v>
      </c>
      <c r="BO121" s="64">
        <f t="shared" si="24"/>
        <v>2.976190476190476E-2</v>
      </c>
      <c r="BP121" s="64">
        <f t="shared" si="25"/>
        <v>3.125E-2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5.4</v>
      </c>
      <c r="Y124" s="666">
        <f t="shared" si="21"/>
        <v>5.4</v>
      </c>
      <c r="Z124" s="36">
        <f t="shared" si="26"/>
        <v>1.302E-2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5.9039999999999999</v>
      </c>
      <c r="BN124" s="64">
        <f t="shared" si="23"/>
        <v>5.9039999999999999</v>
      </c>
      <c r="BO124" s="64">
        <f t="shared" si="24"/>
        <v>1.098901098901099E-2</v>
      </c>
      <c r="BP124" s="64">
        <f t="shared" si="25"/>
        <v>1.098901098901099E-2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3.9047619047619047</v>
      </c>
      <c r="Y128" s="667">
        <f>IFERROR(Y119/H119,"0")+IFERROR(Y120/H120,"0")+IFERROR(Y121/H121,"0")+IFERROR(Y122/H122,"0")+IFERROR(Y123/H123,"0")+IFERROR(Y124/H124,"0")+IFERROR(Y125/H125,"0")+IFERROR(Y126/H126,"0")+IFERROR(Y127/H127,"0")</f>
        <v>4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5.0979999999999998E-2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21.4</v>
      </c>
      <c r="Y129" s="667">
        <f>IFERROR(SUM(Y119:Y127),"0")</f>
        <v>22.200000000000003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15</v>
      </c>
      <c r="Y157" s="666">
        <f>IFERROR(IF(X157="",0,CEILING((X157/$H157),1)*$H157),"")</f>
        <v>18</v>
      </c>
      <c r="Z157" s="36">
        <f>IFERROR(IF(Y157=0,"",ROUNDUP(Y157/H157,0)*0.01898),"")</f>
        <v>3.7960000000000001E-2</v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15.975000000000001</v>
      </c>
      <c r="BN157" s="64">
        <f>IFERROR(Y157*I157/H157,"0")</f>
        <v>19.170000000000002</v>
      </c>
      <c r="BO157" s="64">
        <f>IFERROR(1/J157*(X157/H157),"0")</f>
        <v>2.6041666666666668E-2</v>
      </c>
      <c r="BP157" s="64">
        <f>IFERROR(1/J157*(Y157/H157),"0")</f>
        <v>3.125E-2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1.6666666666666667</v>
      </c>
      <c r="Y161" s="667">
        <f>IFERROR(Y157/H157,"0")+IFERROR(Y158/H158,"0")+IFERROR(Y159/H159,"0")+IFERROR(Y160/H160,"0")</f>
        <v>2</v>
      </c>
      <c r="Z161" s="667">
        <f>IFERROR(IF(Z157="",0,Z157),"0")+IFERROR(IF(Z158="",0,Z158),"0")+IFERROR(IF(Z159="",0,Z159),"0")+IFERROR(IF(Z160="",0,Z160),"0")</f>
        <v>3.7960000000000001E-2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15</v>
      </c>
      <c r="Y162" s="667">
        <f>IFERROR(SUM(Y157:Y160),"0")</f>
        <v>18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5.4</v>
      </c>
      <c r="Y217" s="666">
        <f t="shared" si="37"/>
        <v>7.1999999999999993</v>
      </c>
      <c r="Z217" s="36">
        <f t="shared" si="42"/>
        <v>1.9529999999999999E-2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5.9670000000000014</v>
      </c>
      <c r="BN217" s="64">
        <f t="shared" si="39"/>
        <v>7.9560000000000004</v>
      </c>
      <c r="BO217" s="64">
        <f t="shared" si="40"/>
        <v>1.2362637362637366E-2</v>
      </c>
      <c r="BP217" s="64">
        <f t="shared" si="41"/>
        <v>1.6483516483516484E-2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2.2500000000000004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1.9529999999999999E-2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5.4</v>
      </c>
      <c r="Y222" s="667">
        <f>IFERROR(SUM(Y212:Y220),"0")</f>
        <v>7.1999999999999993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30</v>
      </c>
      <c r="Y255" s="666">
        <f t="shared" ref="Y255:Y260" si="48">IFERROR(IF(X255="",0,CEILING((X255/$H255),1)*$H255),"")</f>
        <v>32.400000000000006</v>
      </c>
      <c r="Z255" s="36">
        <f>IFERROR(IF(Y255=0,"",ROUNDUP(Y255/H255,0)*0.01898),"")</f>
        <v>5.6940000000000004E-2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31.208333333333329</v>
      </c>
      <c r="BN255" s="64">
        <f t="shared" ref="BN255:BN260" si="50">IFERROR(Y255*I255/H255,"0")</f>
        <v>33.705000000000005</v>
      </c>
      <c r="BO255" s="64">
        <f t="shared" ref="BO255:BO260" si="51">IFERROR(1/J255*(X255/H255),"0")</f>
        <v>4.3402777777777776E-2</v>
      </c>
      <c r="BP255" s="64">
        <f t="shared" ref="BP255:BP260" si="52">IFERROR(1/J255*(Y255/H255),"0")</f>
        <v>4.6875000000000007E-2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80</v>
      </c>
      <c r="Y256" s="666">
        <f t="shared" si="48"/>
        <v>86.4</v>
      </c>
      <c r="Z256" s="36">
        <f>IFERROR(IF(Y256=0,"",ROUNDUP(Y256/H256,0)*0.01898),"")</f>
        <v>0.15184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83.222222222222214</v>
      </c>
      <c r="BN256" s="64">
        <f t="shared" si="50"/>
        <v>89.88</v>
      </c>
      <c r="BO256" s="64">
        <f t="shared" si="51"/>
        <v>0.11574074074074073</v>
      </c>
      <c r="BP256" s="64">
        <f t="shared" si="52"/>
        <v>0.125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16</v>
      </c>
      <c r="Y260" s="666">
        <f t="shared" si="48"/>
        <v>16</v>
      </c>
      <c r="Z260" s="36">
        <f>IFERROR(IF(Y260=0,"",ROUNDUP(Y260/H260,0)*0.00902),"")</f>
        <v>3.6080000000000001E-2</v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16.84</v>
      </c>
      <c r="BN260" s="64">
        <f t="shared" si="50"/>
        <v>16.84</v>
      </c>
      <c r="BO260" s="64">
        <f t="shared" si="51"/>
        <v>3.0303030303030304E-2</v>
      </c>
      <c r="BP260" s="64">
        <f t="shared" si="52"/>
        <v>3.0303030303030304E-2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14.185185185185183</v>
      </c>
      <c r="Y261" s="667">
        <f>IFERROR(Y255/H255,"0")+IFERROR(Y256/H256,"0")+IFERROR(Y257/H257,"0")+IFERROR(Y258/H258,"0")+IFERROR(Y259/H259,"0")+IFERROR(Y260/H260,"0")</f>
        <v>15</v>
      </c>
      <c r="Z261" s="667">
        <f>IFERROR(IF(Z255="",0,Z255),"0")+IFERROR(IF(Z256="",0,Z256),"0")+IFERROR(IF(Z257="",0,Z257),"0")+IFERROR(IF(Z258="",0,Z258),"0")+IFERROR(IF(Z259="",0,Z259),"0")+IFERROR(IF(Z260="",0,Z260),"0")</f>
        <v>0.24486000000000002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126</v>
      </c>
      <c r="Y262" s="667">
        <f>IFERROR(SUM(Y255:Y260),"0")</f>
        <v>134.80000000000001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20</v>
      </c>
      <c r="Y319" s="666">
        <f t="shared" ref="Y319:Y324" si="53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20.805555555555554</v>
      </c>
      <c r="BN319" s="64">
        <f t="shared" ref="BN319:BN324" si="55">IFERROR(Y319*I319/H319,"0")</f>
        <v>22.47</v>
      </c>
      <c r="BO319" s="64">
        <f t="shared" ref="BO319:BO324" si="56">IFERROR(1/J319*(X319/H319),"0")</f>
        <v>2.8935185185185182E-2</v>
      </c>
      <c r="BP319" s="64">
        <f t="shared" ref="BP319:BP324" si="57">IFERROR(1/J319*(Y319/H319),"0")</f>
        <v>3.125E-2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100</v>
      </c>
      <c r="Y320" s="666">
        <f t="shared" si="53"/>
        <v>108</v>
      </c>
      <c r="Z320" s="36">
        <f>IFERROR(IF(Y320=0,"",ROUNDUP(Y320/H320,0)*0.01898),"")</f>
        <v>0.1898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104.02777777777777</v>
      </c>
      <c r="BN320" s="64">
        <f t="shared" si="55"/>
        <v>112.34999999999998</v>
      </c>
      <c r="BO320" s="64">
        <f t="shared" si="56"/>
        <v>0.14467592592592593</v>
      </c>
      <c r="BP320" s="64">
        <f t="shared" si="57"/>
        <v>0.15625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20</v>
      </c>
      <c r="Y322" s="666">
        <f t="shared" si="53"/>
        <v>21.6</v>
      </c>
      <c r="Z322" s="36">
        <f>IFERROR(IF(Y322=0,"",ROUNDUP(Y322/H322,0)*0.01898),"")</f>
        <v>3.7960000000000001E-2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20.805555555555554</v>
      </c>
      <c r="BN322" s="64">
        <f t="shared" si="55"/>
        <v>22.47</v>
      </c>
      <c r="BO322" s="64">
        <f t="shared" si="56"/>
        <v>2.8935185185185182E-2</v>
      </c>
      <c r="BP322" s="64">
        <f t="shared" si="57"/>
        <v>3.125E-2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52</v>
      </c>
      <c r="Y324" s="666">
        <f t="shared" si="53"/>
        <v>52</v>
      </c>
      <c r="Z324" s="36">
        <f>IFERROR(IF(Y324=0,"",ROUNDUP(Y324/H324,0)*0.00902),"")</f>
        <v>0.11726</v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54.73</v>
      </c>
      <c r="BN324" s="64">
        <f t="shared" si="55"/>
        <v>54.73</v>
      </c>
      <c r="BO324" s="64">
        <f t="shared" si="56"/>
        <v>9.8484848484848481E-2</v>
      </c>
      <c r="BP324" s="64">
        <f t="shared" si="57"/>
        <v>9.8484848484848481E-2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25.962962962962962</v>
      </c>
      <c r="Y325" s="667">
        <f>IFERROR(Y319/H319,"0")+IFERROR(Y320/H320,"0")+IFERROR(Y321/H321,"0")+IFERROR(Y322/H322,"0")+IFERROR(Y323/H323,"0")+IFERROR(Y324/H324,"0")</f>
        <v>27</v>
      </c>
      <c r="Z325" s="667">
        <f>IFERROR(IF(Z319="",0,Z319),"0")+IFERROR(IF(Z320="",0,Z320),"0")+IFERROR(IF(Z321="",0,Z321),"0")+IFERROR(IF(Z322="",0,Z322),"0")+IFERROR(IF(Z323="",0,Z323),"0")+IFERROR(IF(Z324="",0,Z324),"0")</f>
        <v>0.38297999999999999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192</v>
      </c>
      <c r="Y326" s="667">
        <f>IFERROR(SUM(Y319:Y324),"0")</f>
        <v>203.2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20</v>
      </c>
      <c r="Y328" s="666">
        <f>IFERROR(IF(X328="",0,CEILING((X328/$H328),1)*$H328),"")</f>
        <v>21</v>
      </c>
      <c r="Z328" s="36">
        <f>IFERROR(IF(Y328=0,"",ROUNDUP(Y328/H328,0)*0.00902),"")</f>
        <v>4.5100000000000001E-2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21.285714285714281</v>
      </c>
      <c r="BN328" s="64">
        <f>IFERROR(Y328*I328/H328,"0")</f>
        <v>22.349999999999998</v>
      </c>
      <c r="BO328" s="64">
        <f>IFERROR(1/J328*(X328/H328),"0")</f>
        <v>3.6075036075036072E-2</v>
      </c>
      <c r="BP328" s="64">
        <f>IFERROR(1/J328*(Y328/H328),"0")</f>
        <v>3.787878787878788E-2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16.666666666666668</v>
      </c>
      <c r="Y332" s="667">
        <f>IFERROR(Y328/H328,"0")+IFERROR(Y329/H329,"0")+IFERROR(Y330/H330,"0")+IFERROR(Y331/H331,"0")</f>
        <v>17</v>
      </c>
      <c r="Z332" s="667">
        <f>IFERROR(IF(Z328="",0,Z328),"0")+IFERROR(IF(Z329="",0,Z329),"0")+IFERROR(IF(Z330="",0,Z330),"0")+IFERROR(IF(Z331="",0,Z331),"0")</f>
        <v>0.15334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70</v>
      </c>
      <c r="Y333" s="667">
        <f>IFERROR(SUM(Y328:Y331),"0")</f>
        <v>71.400000000000006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800</v>
      </c>
      <c r="Y335" s="666">
        <f>IFERROR(IF(X335="",0,CEILING((X335/$H335),1)*$H335),"")</f>
        <v>803.4</v>
      </c>
      <c r="Z335" s="36">
        <f>IFERROR(IF(Y335=0,"",ROUNDUP(Y335/H335,0)*0.01898),"")</f>
        <v>1.9549400000000001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852.61538461538476</v>
      </c>
      <c r="BN335" s="64">
        <f>IFERROR(Y335*I335/H335,"0")</f>
        <v>856.23900000000003</v>
      </c>
      <c r="BO335" s="64">
        <f>IFERROR(1/J335*(X335/H335),"0")</f>
        <v>1.6025641025641026</v>
      </c>
      <c r="BP335" s="64">
        <f>IFERROR(1/J335*(Y335/H335),"0")</f>
        <v>1.609375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102.56410256410257</v>
      </c>
      <c r="Y340" s="667">
        <f>IFERROR(Y335/H335,"0")+IFERROR(Y336/H336,"0")+IFERROR(Y337/H337,"0")+IFERROR(Y338/H338,"0")+IFERROR(Y339/H339,"0")</f>
        <v>103</v>
      </c>
      <c r="Z340" s="667">
        <f>IFERROR(IF(Z335="",0,Z335),"0")+IFERROR(IF(Z336="",0,Z336),"0")+IFERROR(IF(Z337="",0,Z337),"0")+IFERROR(IF(Z338="",0,Z338),"0")+IFERROR(IF(Z339="",0,Z339),"0")</f>
        <v>1.9549400000000001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800</v>
      </c>
      <c r="Y341" s="667">
        <f>IFERROR(SUM(Y335:Y339),"0")</f>
        <v>803.4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48</v>
      </c>
      <c r="Y344" s="666">
        <f>IFERROR(IF(X344="",0,CEILING((X344/$H344),1)*$H344),"")</f>
        <v>54.6</v>
      </c>
      <c r="Z344" s="36">
        <f>IFERROR(IF(Y344=0,"",ROUNDUP(Y344/H344,0)*0.01898),"")</f>
        <v>0.13286000000000001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51.19384615384616</v>
      </c>
      <c r="BN344" s="64">
        <f>IFERROR(Y344*I344/H344,"0")</f>
        <v>58.233000000000011</v>
      </c>
      <c r="BO344" s="64">
        <f>IFERROR(1/J344*(X344/H344),"0")</f>
        <v>9.6153846153846159E-2</v>
      </c>
      <c r="BP344" s="64">
        <f>IFERROR(1/J344*(Y344/H344),"0")</f>
        <v>0.109375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30</v>
      </c>
      <c r="Y345" s="666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31.853571428571428</v>
      </c>
      <c r="BN345" s="64">
        <f>IFERROR(Y345*I345/H345,"0")</f>
        <v>35.676000000000002</v>
      </c>
      <c r="BO345" s="64">
        <f>IFERROR(1/J345*(X345/H345),"0")</f>
        <v>5.5803571428571425E-2</v>
      </c>
      <c r="BP345" s="64">
        <f>IFERROR(1/J345*(Y345/H345),"0")</f>
        <v>6.25E-2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9.7252747252747263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0.20878000000000002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78</v>
      </c>
      <c r="Y347" s="667">
        <f>IFERROR(SUM(Y343:Y345),"0")</f>
        <v>88.2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16</v>
      </c>
      <c r="Y367" s="666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17.025185185185187</v>
      </c>
      <c r="BN367" s="64">
        <f>IFERROR(Y367*I367/H367,"0")</f>
        <v>17.238</v>
      </c>
      <c r="BO367" s="64">
        <f>IFERROR(1/J367*(X367/H367),"0")</f>
        <v>3.0864197530864199E-2</v>
      </c>
      <c r="BP367" s="64">
        <f>IFERROR(1/J367*(Y367/H367),"0")</f>
        <v>3.125E-2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1.9753086419753088</v>
      </c>
      <c r="Y370" s="667">
        <f>IFERROR(Y367/H367,"0")+IFERROR(Y368/H368,"0")+IFERROR(Y369/H369,"0")</f>
        <v>2</v>
      </c>
      <c r="Z370" s="667">
        <f>IFERROR(IF(Z367="",0,Z367),"0")+IFERROR(IF(Z368="",0,Z368),"0")+IFERROR(IF(Z369="",0,Z369),"0")</f>
        <v>3.7960000000000001E-2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16</v>
      </c>
      <c r="Y371" s="667">
        <f>IFERROR(SUM(Y367:Y369),"0")</f>
        <v>16.2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30</v>
      </c>
      <c r="Y375" s="666">
        <f t="shared" ref="Y375:Y384" si="58">IFERROR(IF(X375="",0,CEILING((X375/$H375),1)*$H375),"")</f>
        <v>30</v>
      </c>
      <c r="Z375" s="36">
        <f>IFERROR(IF(Y375=0,"",ROUNDUP(Y375/H375,0)*0.02175),"")</f>
        <v>4.3499999999999997E-2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30.96</v>
      </c>
      <c r="BN375" s="64">
        <f t="shared" ref="BN375:BN384" si="60">IFERROR(Y375*I375/H375,"0")</f>
        <v>30.96</v>
      </c>
      <c r="BO375" s="64">
        <f t="shared" ref="BO375:BO384" si="61">IFERROR(1/J375*(X375/H375),"0")</f>
        <v>4.1666666666666664E-2</v>
      </c>
      <c r="BP375" s="64">
        <f t="shared" ref="BP375:BP384" si="62">IFERROR(1/J375*(Y375/H375),"0")</f>
        <v>4.1666666666666664E-2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200</v>
      </c>
      <c r="Y377" s="666">
        <f t="shared" si="58"/>
        <v>210</v>
      </c>
      <c r="Z377" s="36">
        <f>IFERROR(IF(Y377=0,"",ROUNDUP(Y377/H377,0)*0.02175),"")</f>
        <v>0.30449999999999999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206.4</v>
      </c>
      <c r="BN377" s="64">
        <f t="shared" si="60"/>
        <v>216.72</v>
      </c>
      <c r="BO377" s="64">
        <f t="shared" si="61"/>
        <v>0.27777777777777779</v>
      </c>
      <c r="BP377" s="64">
        <f t="shared" si="62"/>
        <v>0.29166666666666663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200</v>
      </c>
      <c r="Y379" s="666">
        <f t="shared" si="58"/>
        <v>210</v>
      </c>
      <c r="Z379" s="36">
        <f>IFERROR(IF(Y379=0,"",ROUNDUP(Y379/H379,0)*0.02175),"")</f>
        <v>0.30449999999999999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206.4</v>
      </c>
      <c r="BN379" s="64">
        <f t="shared" si="60"/>
        <v>216.72</v>
      </c>
      <c r="BO379" s="64">
        <f t="shared" si="61"/>
        <v>0.27777777777777779</v>
      </c>
      <c r="BP379" s="64">
        <f t="shared" si="62"/>
        <v>0.29166666666666663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28.666666666666668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0.65249999999999997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430</v>
      </c>
      <c r="Y386" s="667">
        <f>IFERROR(SUM(Y375:Y384),"0")</f>
        <v>450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15</v>
      </c>
      <c r="Y480" s="666">
        <f t="shared" ref="Y480:Y495" si="69">IFERROR(IF(X480="",0,CEILING((X480/$H480),1)*$H480),"")</f>
        <v>15.84</v>
      </c>
      <c r="Z480" s="36">
        <f t="shared" ref="Z480:Z485" si="70">IFERROR(IF(Y480=0,"",ROUNDUP(Y480/H480,0)*0.01196),"")</f>
        <v>3.5880000000000002E-2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16.02272727272727</v>
      </c>
      <c r="BN480" s="64">
        <f t="shared" ref="BN480:BN495" si="72">IFERROR(Y480*I480/H480,"0")</f>
        <v>16.919999999999998</v>
      </c>
      <c r="BO480" s="64">
        <f t="shared" ref="BO480:BO495" si="73">IFERROR(1/J480*(X480/H480),"0")</f>
        <v>2.7316433566433568E-2</v>
      </c>
      <c r="BP480" s="64">
        <f t="shared" ref="BP480:BP495" si="74">IFERROR(1/J480*(Y480/H480),"0")</f>
        <v>2.8846153846153848E-2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2.8409090909090908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3.5880000000000002E-2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15</v>
      </c>
      <c r="Y497" s="667">
        <f>IFERROR(SUM(Y480:Y495),"0")</f>
        <v>15.84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15</v>
      </c>
      <c r="Y499" s="666">
        <f>IFERROR(IF(X499="",0,CEILING((X499/$H499),1)*$H499),"")</f>
        <v>15.84</v>
      </c>
      <c r="Z499" s="36">
        <f>IFERROR(IF(Y499=0,"",ROUNDUP(Y499/H499,0)*0.01196),"")</f>
        <v>3.5880000000000002E-2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16.02272727272727</v>
      </c>
      <c r="BN499" s="64">
        <f>IFERROR(Y499*I499/H499,"0")</f>
        <v>16.919999999999998</v>
      </c>
      <c r="BO499" s="64">
        <f>IFERROR(1/J499*(X499/H499),"0")</f>
        <v>2.7316433566433568E-2</v>
      </c>
      <c r="BP499" s="64">
        <f>IFERROR(1/J499*(Y499/H499),"0")</f>
        <v>2.8846153846153848E-2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2.8409090909090908</v>
      </c>
      <c r="Y503" s="667">
        <f>IFERROR(Y499/H499,"0")+IFERROR(Y500/H500,"0")+IFERROR(Y501/H501,"0")+IFERROR(Y502/H502,"0")</f>
        <v>3</v>
      </c>
      <c r="Z503" s="667">
        <f>IFERROR(IF(Z499="",0,Z499),"0")+IFERROR(IF(Z500="",0,Z500),"0")+IFERROR(IF(Z501="",0,Z501),"0")+IFERROR(IF(Z502="",0,Z502),"0")</f>
        <v>3.5880000000000002E-2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15</v>
      </c>
      <c r="Y504" s="667">
        <f>IFERROR(SUM(Y499:Y502),"0")</f>
        <v>15.84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10</v>
      </c>
      <c r="Y508" s="666">
        <f t="shared" si="75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10.681818181818182</v>
      </c>
      <c r="BN508" s="64">
        <f t="shared" si="77"/>
        <v>11.28</v>
      </c>
      <c r="BO508" s="64">
        <f t="shared" si="78"/>
        <v>1.8210955710955712E-2</v>
      </c>
      <c r="BP508" s="64">
        <f t="shared" si="79"/>
        <v>1.9230769230769232E-2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1.8939393939393938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2.392E-2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10</v>
      </c>
      <c r="Y519" s="667">
        <f>IFERROR(SUM(Y506:Y517),"0")</f>
        <v>10.56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30</v>
      </c>
      <c r="Y536" s="666">
        <f t="shared" si="80"/>
        <v>36</v>
      </c>
      <c r="Z536" s="36">
        <f>IFERROR(IF(Y536=0,"",ROUNDUP(Y536/H536,0)*0.01898),"")</f>
        <v>5.6940000000000004E-2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31.087500000000002</v>
      </c>
      <c r="BN536" s="64">
        <f t="shared" si="82"/>
        <v>37.305</v>
      </c>
      <c r="BO536" s="64">
        <f t="shared" si="83"/>
        <v>3.90625E-2</v>
      </c>
      <c r="BP536" s="64">
        <f t="shared" si="84"/>
        <v>4.6875E-2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2.5</v>
      </c>
      <c r="Y540" s="667">
        <f>IFERROR(Y534/H534,"0")+IFERROR(Y535/H535,"0")+IFERROR(Y536/H536,"0")+IFERROR(Y537/H537,"0")+IFERROR(Y538/H538,"0")+IFERROR(Y539/H539,"0")</f>
        <v>3</v>
      </c>
      <c r="Z540" s="667">
        <f>IFERROR(IF(Z534="",0,Z534),"0")+IFERROR(IF(Z535="",0,Z535),"0")+IFERROR(IF(Z536="",0,Z536),"0")+IFERROR(IF(Z537="",0,Z537),"0")+IFERROR(IF(Z538="",0,Z538),"0")+IFERROR(IF(Z539="",0,Z539),"0")</f>
        <v>5.6940000000000004E-2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30</v>
      </c>
      <c r="Y541" s="667">
        <f>IFERROR(SUM(Y534:Y539),"0")</f>
        <v>36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70</v>
      </c>
      <c r="Y551" s="666">
        <f t="shared" ref="Y551:Y557" si="85">IFERROR(IF(X551="",0,CEILING((X551/$H551),1)*$H551),"")</f>
        <v>71.400000000000006</v>
      </c>
      <c r="Z551" s="36">
        <f>IFERROR(IF(Y551=0,"",ROUNDUP(Y551/H551,0)*0.00902),"")</f>
        <v>0.15334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74.499999999999986</v>
      </c>
      <c r="BN551" s="64">
        <f t="shared" ref="BN551:BN557" si="87">IFERROR(Y551*I551/H551,"0")</f>
        <v>75.989999999999995</v>
      </c>
      <c r="BO551" s="64">
        <f t="shared" ref="BO551:BO557" si="88">IFERROR(1/J551*(X551/H551),"0")</f>
        <v>0.12626262626262624</v>
      </c>
      <c r="BP551" s="64">
        <f t="shared" ref="BP551:BP557" si="89">IFERROR(1/J551*(Y551/H551),"0")</f>
        <v>0.12878787878787878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70</v>
      </c>
      <c r="Y552" s="666">
        <f t="shared" si="85"/>
        <v>71.400000000000006</v>
      </c>
      <c r="Z552" s="36">
        <f>IFERROR(IF(Y552=0,"",ROUNDUP(Y552/H552,0)*0.00902),"")</f>
        <v>0.15334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74.499999999999986</v>
      </c>
      <c r="BN552" s="64">
        <f t="shared" si="87"/>
        <v>75.989999999999995</v>
      </c>
      <c r="BO552" s="64">
        <f t="shared" si="88"/>
        <v>0.12626262626262624</v>
      </c>
      <c r="BP552" s="64">
        <f t="shared" si="89"/>
        <v>0.12878787878787878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33.333333333333329</v>
      </c>
      <c r="Y558" s="667">
        <f>IFERROR(Y551/H551,"0")+IFERROR(Y552/H552,"0")+IFERROR(Y553/H553,"0")+IFERROR(Y554/H554,"0")+IFERROR(Y555/H555,"0")+IFERROR(Y556/H556,"0")+IFERROR(Y557/H557,"0")</f>
        <v>34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0.30668000000000001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140</v>
      </c>
      <c r="Y559" s="667">
        <f>IFERROR(SUM(Y551:Y557),"0")</f>
        <v>142.80000000000001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25</v>
      </c>
      <c r="Y562" s="666">
        <f>IFERROR(IF(X562="",0,CEILING((X562/$H562),1)*$H562),"")</f>
        <v>27</v>
      </c>
      <c r="Z562" s="36">
        <f>IFERROR(IF(Y562=0,"",ROUNDUP(Y562/H562,0)*0.01898),"")</f>
        <v>5.6940000000000004E-2</v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26.441666666666666</v>
      </c>
      <c r="BN562" s="64">
        <f>IFERROR(Y562*I562/H562,"0")</f>
        <v>28.556999999999999</v>
      </c>
      <c r="BO562" s="64">
        <f>IFERROR(1/J562*(X562/H562),"0")</f>
        <v>4.3402777777777776E-2</v>
      </c>
      <c r="BP562" s="64">
        <f>IFERROR(1/J562*(Y562/H562),"0")</f>
        <v>4.6875E-2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2.7777777777777777</v>
      </c>
      <c r="Y566" s="667">
        <f>IFERROR(Y561/H561,"0")+IFERROR(Y562/H562,"0")+IFERROR(Y563/H563,"0")+IFERROR(Y564/H564,"0")+IFERROR(Y565/H565,"0")</f>
        <v>3</v>
      </c>
      <c r="Z566" s="667">
        <f>IFERROR(IF(Z561="",0,Z561),"0")+IFERROR(IF(Z562="",0,Z562),"0")+IFERROR(IF(Z563="",0,Z563),"0")+IFERROR(IF(Z564="",0,Z564),"0")+IFERROR(IF(Z565="",0,Z565),"0")</f>
        <v>5.6940000000000004E-2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25</v>
      </c>
      <c r="Y567" s="667">
        <f>IFERROR(SUM(Y561:Y565),"0")</f>
        <v>27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2729.3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2825.5400000000004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2864.4474109039115</v>
      </c>
      <c r="Y593" s="667">
        <f>IFERROR(SUM(BN22:BN589),"0")</f>
        <v>2965.0789999999997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5</v>
      </c>
      <c r="Y594" s="38">
        <f>ROUNDUP(SUM(BP22:BP589),0)</f>
        <v>5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2989.4474109039115</v>
      </c>
      <c r="Y595" s="667">
        <f>GrossWeightTotalR+PalletQtyTotalR*25</f>
        <v>3090.0789999999997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321.88673980340639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332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5.4910199999999998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44.400000000000006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208.5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22.200000000000003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18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7.1999999999999993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134.80000000000001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1166.1999999999998</v>
      </c>
      <c r="V602" s="46">
        <f>IFERROR(Y363*1,"0")+IFERROR(Y367*1,"0")+IFERROR(Y368*1,"0")+IFERROR(Y369*1,"0")</f>
        <v>16.2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960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42.24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205.8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67"/>
        <filter val="1,89"/>
        <filter val="1,98"/>
        <filter val="10,00"/>
        <filter val="100,00"/>
        <filter val="102,56"/>
        <filter val="12,00"/>
        <filter val="126,00"/>
        <filter val="13,50"/>
        <filter val="14,19"/>
        <filter val="14,63"/>
        <filter val="140,00"/>
        <filter val="15,00"/>
        <filter val="16,00"/>
        <filter val="16,67"/>
        <filter val="192,00"/>
        <filter val="2 729,30"/>
        <filter val="2 864,45"/>
        <filter val="2 989,45"/>
        <filter val="2,25"/>
        <filter val="2,50"/>
        <filter val="2,78"/>
        <filter val="2,84"/>
        <filter val="20,00"/>
        <filter val="200,00"/>
        <filter val="21,40"/>
        <filter val="25,00"/>
        <filter val="25,96"/>
        <filter val="28,67"/>
        <filter val="3,90"/>
        <filter val="30,00"/>
        <filter val="321,89"/>
        <filter val="33,33"/>
        <filter val="4,76"/>
        <filter val="40,00"/>
        <filter val="42,00"/>
        <filter val="430,00"/>
        <filter val="45,00"/>
        <filter val="48,00"/>
        <filter val="5"/>
        <filter val="5,40"/>
        <filter val="5,78"/>
        <filter val="50,00"/>
        <filter val="500,00"/>
        <filter val="52,00"/>
        <filter val="63,50"/>
        <filter val="70,00"/>
        <filter val="78,00"/>
        <filter val="80,00"/>
        <filter val="800,00"/>
        <filter val="9,63"/>
        <filter val="9,73"/>
        <filter val="95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2025-04-21T12:09:16Z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