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78E0830-74FF-403F-ABB4-8BE5CCFB0F0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X590" i="1"/>
  <c r="BO589" i="1"/>
  <c r="BM589" i="1"/>
  <c r="Y589" i="1"/>
  <c r="Y591" i="1" s="1"/>
  <c r="X587" i="1"/>
  <c r="X586" i="1"/>
  <c r="BO585" i="1"/>
  <c r="BM585" i="1"/>
  <c r="Y585" i="1"/>
  <c r="X583" i="1"/>
  <c r="X582" i="1"/>
  <c r="BO581" i="1"/>
  <c r="BM581" i="1"/>
  <c r="Y581" i="1"/>
  <c r="X579" i="1"/>
  <c r="X578" i="1"/>
  <c r="BO577" i="1"/>
  <c r="BM577" i="1"/>
  <c r="Y577" i="1"/>
  <c r="X574" i="1"/>
  <c r="X573" i="1"/>
  <c r="BO572" i="1"/>
  <c r="BM572" i="1"/>
  <c r="Y572" i="1"/>
  <c r="BO571" i="1"/>
  <c r="BM571" i="1"/>
  <c r="Y571" i="1"/>
  <c r="BO570" i="1"/>
  <c r="BM570" i="1"/>
  <c r="Y570" i="1"/>
  <c r="BO569" i="1"/>
  <c r="BM569" i="1"/>
  <c r="Y569" i="1"/>
  <c r="X567" i="1"/>
  <c r="Y566" i="1"/>
  <c r="X566" i="1"/>
  <c r="BP565" i="1"/>
  <c r="BO565" i="1"/>
  <c r="BN565" i="1"/>
  <c r="BM565" i="1"/>
  <c r="Z565" i="1"/>
  <c r="Y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Z566" i="1" s="1"/>
  <c r="Y561" i="1"/>
  <c r="Y567" i="1" s="1"/>
  <c r="X559" i="1"/>
  <c r="X558" i="1"/>
  <c r="BO557" i="1"/>
  <c r="BM557" i="1"/>
  <c r="Y557" i="1"/>
  <c r="BO556" i="1"/>
  <c r="BM556" i="1"/>
  <c r="Y556" i="1"/>
  <c r="BO555" i="1"/>
  <c r="BM555" i="1"/>
  <c r="Y555" i="1"/>
  <c r="BO554" i="1"/>
  <c r="BM554" i="1"/>
  <c r="Y554" i="1"/>
  <c r="BO553" i="1"/>
  <c r="BM553" i="1"/>
  <c r="Y553" i="1"/>
  <c r="BO552" i="1"/>
  <c r="BM552" i="1"/>
  <c r="Y552" i="1"/>
  <c r="BO551" i="1"/>
  <c r="BM551" i="1"/>
  <c r="Y551" i="1"/>
  <c r="X549" i="1"/>
  <c r="Y548" i="1"/>
  <c r="X548" i="1"/>
  <c r="BP547" i="1"/>
  <c r="BO547" i="1"/>
  <c r="BN547" i="1"/>
  <c r="BM547" i="1"/>
  <c r="Z547" i="1"/>
  <c r="Y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Z548" i="1" s="1"/>
  <c r="Y543" i="1"/>
  <c r="Y549" i="1" s="1"/>
  <c r="X541" i="1"/>
  <c r="X540" i="1"/>
  <c r="BO539" i="1"/>
  <c r="BM539" i="1"/>
  <c r="Y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X530" i="1"/>
  <c r="X529" i="1"/>
  <c r="BO528" i="1"/>
  <c r="BM528" i="1"/>
  <c r="Y528" i="1"/>
  <c r="BP528" i="1" s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P516" i="1"/>
  <c r="BO515" i="1"/>
  <c r="BM515" i="1"/>
  <c r="Y515" i="1"/>
  <c r="BO514" i="1"/>
  <c r="BM514" i="1"/>
  <c r="Y514" i="1"/>
  <c r="P514" i="1"/>
  <c r="BO513" i="1"/>
  <c r="BM513" i="1"/>
  <c r="Y513" i="1"/>
  <c r="BO512" i="1"/>
  <c r="BM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BO485" i="1"/>
  <c r="BM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Y467" i="1" s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Y453" i="1" s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Y396" i="1" s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P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V602" i="1" s="1"/>
  <c r="P363" i="1"/>
  <c r="X360" i="1"/>
  <c r="X359" i="1"/>
  <c r="BO358" i="1"/>
  <c r="BM358" i="1"/>
  <c r="Y358" i="1"/>
  <c r="BP358" i="1" s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BP337" i="1" s="1"/>
  <c r="P337" i="1"/>
  <c r="BO336" i="1"/>
  <c r="BM336" i="1"/>
  <c r="Y336" i="1"/>
  <c r="Y340" i="1" s="1"/>
  <c r="P336" i="1"/>
  <c r="BP335" i="1"/>
  <c r="BO335" i="1"/>
  <c r="BN335" i="1"/>
  <c r="BM335" i="1"/>
  <c r="Z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BP323" i="1" s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BP319" i="1" s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S602" i="1" s="1"/>
  <c r="P304" i="1"/>
  <c r="X301" i="1"/>
  <c r="X300" i="1"/>
  <c r="BO299" i="1"/>
  <c r="BM299" i="1"/>
  <c r="Y299" i="1"/>
  <c r="R602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O602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Y262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P242" i="1"/>
  <c r="BO241" i="1"/>
  <c r="BM241" i="1"/>
  <c r="Y241" i="1"/>
  <c r="Y243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Y221" i="1" s="1"/>
  <c r="P213" i="1"/>
  <c r="BP212" i="1"/>
  <c r="BO212" i="1"/>
  <c r="BN212" i="1"/>
  <c r="BM212" i="1"/>
  <c r="Z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G602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BO123" i="1"/>
  <c r="BM123" i="1"/>
  <c r="Y123" i="1"/>
  <c r="P123" i="1"/>
  <c r="BO122" i="1"/>
  <c r="BM122" i="1"/>
  <c r="Y122" i="1"/>
  <c r="BO121" i="1"/>
  <c r="BM121" i="1"/>
  <c r="Y121" i="1"/>
  <c r="P121" i="1"/>
  <c r="BO120" i="1"/>
  <c r="BM120" i="1"/>
  <c r="Y120" i="1"/>
  <c r="P120" i="1"/>
  <c r="BO119" i="1"/>
  <c r="BM119" i="1"/>
  <c r="Y119" i="1"/>
  <c r="BP119" i="1" s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Z108" i="1"/>
  <c r="Y108" i="1"/>
  <c r="P108" i="1"/>
  <c r="BO107" i="1"/>
  <c r="BM107" i="1"/>
  <c r="Y107" i="1"/>
  <c r="P107" i="1"/>
  <c r="BO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BO97" i="1"/>
  <c r="BM97" i="1"/>
  <c r="Y97" i="1"/>
  <c r="BO96" i="1"/>
  <c r="BM96" i="1"/>
  <c r="Y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P87" i="1" s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602" i="1" s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122" i="1" l="1"/>
  <c r="BN122" i="1"/>
  <c r="Z122" i="1"/>
  <c r="BP142" i="1"/>
  <c r="BN142" i="1"/>
  <c r="Z142" i="1"/>
  <c r="BP182" i="1"/>
  <c r="BN182" i="1"/>
  <c r="Z182" i="1"/>
  <c r="BP206" i="1"/>
  <c r="BN206" i="1"/>
  <c r="Z206" i="1"/>
  <c r="BP231" i="1"/>
  <c r="BN231" i="1"/>
  <c r="Z231" i="1"/>
  <c r="BP309" i="1"/>
  <c r="BN309" i="1"/>
  <c r="Z309" i="1"/>
  <c r="BP339" i="1"/>
  <c r="BN339" i="1"/>
  <c r="Z339" i="1"/>
  <c r="BP380" i="1"/>
  <c r="BN380" i="1"/>
  <c r="Z380" i="1"/>
  <c r="BP430" i="1"/>
  <c r="BN430" i="1"/>
  <c r="Z430" i="1"/>
  <c r="BP432" i="1"/>
  <c r="BN432" i="1"/>
  <c r="Z432" i="1"/>
  <c r="BP434" i="1"/>
  <c r="BN434" i="1"/>
  <c r="Z434" i="1"/>
  <c r="BP485" i="1"/>
  <c r="BN485" i="1"/>
  <c r="Z485" i="1"/>
  <c r="BP495" i="1"/>
  <c r="BN495" i="1"/>
  <c r="Z495" i="1"/>
  <c r="Z40" i="1"/>
  <c r="BN40" i="1"/>
  <c r="Z59" i="1"/>
  <c r="BN59" i="1"/>
  <c r="Z71" i="1"/>
  <c r="BN71" i="1"/>
  <c r="Z82" i="1"/>
  <c r="BN82" i="1"/>
  <c r="Z101" i="1"/>
  <c r="BN101" i="1"/>
  <c r="BP108" i="1"/>
  <c r="BN108" i="1"/>
  <c r="BP121" i="1"/>
  <c r="BN121" i="1"/>
  <c r="Z121" i="1"/>
  <c r="BP125" i="1"/>
  <c r="BN125" i="1"/>
  <c r="Z125" i="1"/>
  <c r="BP175" i="1"/>
  <c r="BN175" i="1"/>
  <c r="Z175" i="1"/>
  <c r="BP192" i="1"/>
  <c r="BN192" i="1"/>
  <c r="Z192" i="1"/>
  <c r="BP216" i="1"/>
  <c r="BN216" i="1"/>
  <c r="Z216" i="1"/>
  <c r="BP259" i="1"/>
  <c r="BN259" i="1"/>
  <c r="Z259" i="1"/>
  <c r="BP329" i="1"/>
  <c r="BN329" i="1"/>
  <c r="Z329" i="1"/>
  <c r="BP357" i="1"/>
  <c r="BN357" i="1"/>
  <c r="Z357" i="1"/>
  <c r="BP405" i="1"/>
  <c r="BN405" i="1"/>
  <c r="Z405" i="1"/>
  <c r="BP431" i="1"/>
  <c r="BN431" i="1"/>
  <c r="Z431" i="1"/>
  <c r="BP433" i="1"/>
  <c r="BN433" i="1"/>
  <c r="Z433" i="1"/>
  <c r="BP441" i="1"/>
  <c r="BN441" i="1"/>
  <c r="Z441" i="1"/>
  <c r="BP486" i="1"/>
  <c r="BN486" i="1"/>
  <c r="Z486" i="1"/>
  <c r="BP523" i="1"/>
  <c r="BN523" i="1"/>
  <c r="Z523" i="1"/>
  <c r="Y145" i="1"/>
  <c r="Y530" i="1"/>
  <c r="Y90" i="1"/>
  <c r="Y347" i="1"/>
  <c r="BP343" i="1"/>
  <c r="BN343" i="1"/>
  <c r="BP351" i="1"/>
  <c r="BN351" i="1"/>
  <c r="Z351" i="1"/>
  <c r="BP378" i="1"/>
  <c r="BN378" i="1"/>
  <c r="Z378" i="1"/>
  <c r="Y400" i="1"/>
  <c r="Y399" i="1"/>
  <c r="BP398" i="1"/>
  <c r="BN398" i="1"/>
  <c r="Z398" i="1"/>
  <c r="Z399" i="1" s="1"/>
  <c r="BP403" i="1"/>
  <c r="BN403" i="1"/>
  <c r="Z403" i="1"/>
  <c r="BP420" i="1"/>
  <c r="BN420" i="1"/>
  <c r="Z420" i="1"/>
  <c r="BP439" i="1"/>
  <c r="BN439" i="1"/>
  <c r="Z439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12" i="1"/>
  <c r="BN512" i="1"/>
  <c r="Z512" i="1"/>
  <c r="BP516" i="1"/>
  <c r="BN516" i="1"/>
  <c r="Z516" i="1"/>
  <c r="BP535" i="1"/>
  <c r="BN535" i="1"/>
  <c r="Z535" i="1"/>
  <c r="Y578" i="1"/>
  <c r="BP577" i="1"/>
  <c r="BN577" i="1"/>
  <c r="Z577" i="1"/>
  <c r="Z578" i="1" s="1"/>
  <c r="Y587" i="1"/>
  <c r="Y586" i="1"/>
  <c r="BP585" i="1"/>
  <c r="BN585" i="1"/>
  <c r="Z585" i="1"/>
  <c r="Z586" i="1" s="1"/>
  <c r="Z22" i="1"/>
  <c r="BN22" i="1"/>
  <c r="Y29" i="1"/>
  <c r="X596" i="1"/>
  <c r="Z38" i="1"/>
  <c r="BN38" i="1"/>
  <c r="Z44" i="1"/>
  <c r="Z45" i="1" s="1"/>
  <c r="BN44" i="1"/>
  <c r="BP44" i="1"/>
  <c r="Y45" i="1"/>
  <c r="Z49" i="1"/>
  <c r="BN49" i="1"/>
  <c r="Y56" i="1"/>
  <c r="Z53" i="1"/>
  <c r="BN53" i="1"/>
  <c r="Y62" i="1"/>
  <c r="Z61" i="1"/>
  <c r="BN61" i="1"/>
  <c r="Y69" i="1"/>
  <c r="Z67" i="1"/>
  <c r="BN67" i="1"/>
  <c r="Z73" i="1"/>
  <c r="BN73" i="1"/>
  <c r="Z80" i="1"/>
  <c r="BN80" i="1"/>
  <c r="Y83" i="1"/>
  <c r="Z87" i="1"/>
  <c r="Z90" i="1" s="1"/>
  <c r="BN87" i="1"/>
  <c r="Z94" i="1"/>
  <c r="BN94" i="1"/>
  <c r="Z99" i="1"/>
  <c r="BN99" i="1"/>
  <c r="Z106" i="1"/>
  <c r="BN106" i="1"/>
  <c r="Y111" i="1"/>
  <c r="Z114" i="1"/>
  <c r="BN114" i="1"/>
  <c r="Z119" i="1"/>
  <c r="BN119" i="1"/>
  <c r="Z127" i="1"/>
  <c r="BN127" i="1"/>
  <c r="Y133" i="1"/>
  <c r="Z138" i="1"/>
  <c r="BN138" i="1"/>
  <c r="Y144" i="1"/>
  <c r="Z148" i="1"/>
  <c r="BN148" i="1"/>
  <c r="Y161" i="1"/>
  <c r="Z159" i="1"/>
  <c r="BN159" i="1"/>
  <c r="I602" i="1"/>
  <c r="Y183" i="1"/>
  <c r="Z177" i="1"/>
  <c r="BN177" i="1"/>
  <c r="Z180" i="1"/>
  <c r="BN180" i="1"/>
  <c r="J602" i="1"/>
  <c r="Z196" i="1"/>
  <c r="BN196" i="1"/>
  <c r="BP196" i="1"/>
  <c r="Y199" i="1"/>
  <c r="Y209" i="1"/>
  <c r="Z204" i="1"/>
  <c r="BN204" i="1"/>
  <c r="Z208" i="1"/>
  <c r="BN208" i="1"/>
  <c r="Y222" i="1"/>
  <c r="Z214" i="1"/>
  <c r="BN214" i="1"/>
  <c r="Z218" i="1"/>
  <c r="BN218" i="1"/>
  <c r="Z224" i="1"/>
  <c r="BN224" i="1"/>
  <c r="BP224" i="1"/>
  <c r="Y227" i="1"/>
  <c r="K602" i="1"/>
  <c r="Z233" i="1"/>
  <c r="BN233" i="1"/>
  <c r="Z237" i="1"/>
  <c r="BN237" i="1"/>
  <c r="Z242" i="1"/>
  <c r="BN242" i="1"/>
  <c r="Z257" i="1"/>
  <c r="BN257" i="1"/>
  <c r="Z271" i="1"/>
  <c r="BN271" i="1"/>
  <c r="P602" i="1"/>
  <c r="Z280" i="1"/>
  <c r="BN280" i="1"/>
  <c r="Z314" i="1"/>
  <c r="Z315" i="1" s="1"/>
  <c r="BN314" i="1"/>
  <c r="BP314" i="1"/>
  <c r="Y315" i="1"/>
  <c r="Z319" i="1"/>
  <c r="BN319" i="1"/>
  <c r="Y326" i="1"/>
  <c r="Z323" i="1"/>
  <c r="BN323" i="1"/>
  <c r="Y332" i="1"/>
  <c r="Z331" i="1"/>
  <c r="BN331" i="1"/>
  <c r="Y341" i="1"/>
  <c r="Z337" i="1"/>
  <c r="BN337" i="1"/>
  <c r="Z343" i="1"/>
  <c r="BP368" i="1"/>
  <c r="BN368" i="1"/>
  <c r="Z368" i="1"/>
  <c r="BP382" i="1"/>
  <c r="BN382" i="1"/>
  <c r="Z382" i="1"/>
  <c r="BP407" i="1"/>
  <c r="BN407" i="1"/>
  <c r="Z407" i="1"/>
  <c r="BP436" i="1"/>
  <c r="BN436" i="1"/>
  <c r="Z436" i="1"/>
  <c r="BP445" i="1"/>
  <c r="BN445" i="1"/>
  <c r="Z445" i="1"/>
  <c r="BP488" i="1"/>
  <c r="BN488" i="1"/>
  <c r="Z488" i="1"/>
  <c r="Y504" i="1"/>
  <c r="Y503" i="1"/>
  <c r="BP499" i="1"/>
  <c r="BN499" i="1"/>
  <c r="Z499" i="1"/>
  <c r="BP501" i="1"/>
  <c r="BN501" i="1"/>
  <c r="Z501" i="1"/>
  <c r="BP513" i="1"/>
  <c r="BN513" i="1"/>
  <c r="Z513" i="1"/>
  <c r="BP534" i="1"/>
  <c r="BN534" i="1"/>
  <c r="Z534" i="1"/>
  <c r="Y346" i="1"/>
  <c r="Y354" i="1"/>
  <c r="Y360" i="1"/>
  <c r="Y386" i="1"/>
  <c r="Y413" i="1"/>
  <c r="H9" i="1"/>
  <c r="A10" i="1"/>
  <c r="B602" i="1"/>
  <c r="X593" i="1"/>
  <c r="X594" i="1"/>
  <c r="Z23" i="1"/>
  <c r="BN23" i="1"/>
  <c r="BP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Y32" i="1"/>
  <c r="Z37" i="1"/>
  <c r="BN37" i="1"/>
  <c r="BP37" i="1"/>
  <c r="Z39" i="1"/>
  <c r="BN39" i="1"/>
  <c r="Y42" i="1"/>
  <c r="D602" i="1"/>
  <c r="Z50" i="1"/>
  <c r="BN50" i="1"/>
  <c r="BP50" i="1"/>
  <c r="Z52" i="1"/>
  <c r="BN52" i="1"/>
  <c r="Z54" i="1"/>
  <c r="BN54" i="1"/>
  <c r="Y55" i="1"/>
  <c r="Z58" i="1"/>
  <c r="BN58" i="1"/>
  <c r="BP58" i="1"/>
  <c r="Z60" i="1"/>
  <c r="BN60" i="1"/>
  <c r="Y63" i="1"/>
  <c r="Z66" i="1"/>
  <c r="Z68" i="1" s="1"/>
  <c r="BN66" i="1"/>
  <c r="BP66" i="1"/>
  <c r="Y78" i="1"/>
  <c r="Z72" i="1"/>
  <c r="BN72" i="1"/>
  <c r="Z74" i="1"/>
  <c r="BN74" i="1"/>
  <c r="Z76" i="1"/>
  <c r="BN76" i="1"/>
  <c r="Y77" i="1"/>
  <c r="Y84" i="1"/>
  <c r="BP88" i="1"/>
  <c r="BN88" i="1"/>
  <c r="Z88" i="1"/>
  <c r="BP95" i="1"/>
  <c r="BN95" i="1"/>
  <c r="Z95" i="1"/>
  <c r="BP97" i="1"/>
  <c r="BN97" i="1"/>
  <c r="Z97" i="1"/>
  <c r="BP100" i="1"/>
  <c r="BN100" i="1"/>
  <c r="Z100" i="1"/>
  <c r="BP109" i="1"/>
  <c r="BN109" i="1"/>
  <c r="Z109" i="1"/>
  <c r="Y116" i="1"/>
  <c r="BP113" i="1"/>
  <c r="BN113" i="1"/>
  <c r="Z113" i="1"/>
  <c r="Y129" i="1"/>
  <c r="BP123" i="1"/>
  <c r="BN123" i="1"/>
  <c r="Z123" i="1"/>
  <c r="F9" i="1"/>
  <c r="J9" i="1"/>
  <c r="Y41" i="1"/>
  <c r="BP81" i="1"/>
  <c r="BN81" i="1"/>
  <c r="Z81" i="1"/>
  <c r="Y103" i="1"/>
  <c r="BP93" i="1"/>
  <c r="BN93" i="1"/>
  <c r="Z93" i="1"/>
  <c r="BP96" i="1"/>
  <c r="BN96" i="1"/>
  <c r="Z96" i="1"/>
  <c r="BP98" i="1"/>
  <c r="BN98" i="1"/>
  <c r="Z98" i="1"/>
  <c r="Y102" i="1"/>
  <c r="BP107" i="1"/>
  <c r="BN107" i="1"/>
  <c r="Z107" i="1"/>
  <c r="Z110" i="1" s="1"/>
  <c r="BP115" i="1"/>
  <c r="BN115" i="1"/>
  <c r="Z115" i="1"/>
  <c r="Y117" i="1"/>
  <c r="Y128" i="1"/>
  <c r="BP120" i="1"/>
  <c r="BN120" i="1"/>
  <c r="Z120" i="1"/>
  <c r="BP124" i="1"/>
  <c r="BN124" i="1"/>
  <c r="Z124" i="1"/>
  <c r="E602" i="1"/>
  <c r="Y91" i="1"/>
  <c r="F602" i="1"/>
  <c r="Y110" i="1"/>
  <c r="Z126" i="1"/>
  <c r="BN126" i="1"/>
  <c r="Z132" i="1"/>
  <c r="Z133" i="1" s="1"/>
  <c r="BN132" i="1"/>
  <c r="BP132" i="1"/>
  <c r="Z137" i="1"/>
  <c r="BN137" i="1"/>
  <c r="BP137" i="1"/>
  <c r="Y140" i="1"/>
  <c r="Z143" i="1"/>
  <c r="BN143" i="1"/>
  <c r="BP143" i="1"/>
  <c r="Z147" i="1"/>
  <c r="Z149" i="1" s="1"/>
  <c r="BN147" i="1"/>
  <c r="BP147" i="1"/>
  <c r="Y150" i="1"/>
  <c r="H602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BP213" i="1"/>
  <c r="Z215" i="1"/>
  <c r="BN215" i="1"/>
  <c r="Z217" i="1"/>
  <c r="BN217" i="1"/>
  <c r="Z219" i="1"/>
  <c r="BN219" i="1"/>
  <c r="Z225" i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2" i="1"/>
  <c r="Z256" i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05" i="1"/>
  <c r="Z308" i="1"/>
  <c r="BN308" i="1"/>
  <c r="BP308" i="1"/>
  <c r="Y311" i="1"/>
  <c r="Y316" i="1"/>
  <c r="U602" i="1"/>
  <c r="Z320" i="1"/>
  <c r="BN320" i="1"/>
  <c r="BP320" i="1"/>
  <c r="Z322" i="1"/>
  <c r="BN322" i="1"/>
  <c r="Z324" i="1"/>
  <c r="BN324" i="1"/>
  <c r="Y325" i="1"/>
  <c r="Z328" i="1"/>
  <c r="BN328" i="1"/>
  <c r="BP328" i="1"/>
  <c r="Z330" i="1"/>
  <c r="BN330" i="1"/>
  <c r="Y333" i="1"/>
  <c r="Z336" i="1"/>
  <c r="BN336" i="1"/>
  <c r="BP336" i="1"/>
  <c r="Z338" i="1"/>
  <c r="BN338" i="1"/>
  <c r="Z344" i="1"/>
  <c r="Z346" i="1" s="1"/>
  <c r="BN344" i="1"/>
  <c r="BP344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Z363" i="1"/>
  <c r="Z364" i="1" s="1"/>
  <c r="BN363" i="1"/>
  <c r="BP363" i="1"/>
  <c r="Y364" i="1"/>
  <c r="Z367" i="1"/>
  <c r="BN367" i="1"/>
  <c r="BP367" i="1"/>
  <c r="Z369" i="1"/>
  <c r="BN369" i="1"/>
  <c r="Y370" i="1"/>
  <c r="Z375" i="1"/>
  <c r="BN375" i="1"/>
  <c r="BP375" i="1"/>
  <c r="Z377" i="1"/>
  <c r="BN377" i="1"/>
  <c r="Z379" i="1"/>
  <c r="BN379" i="1"/>
  <c r="Z381" i="1"/>
  <c r="BN381" i="1"/>
  <c r="Z383" i="1"/>
  <c r="BN383" i="1"/>
  <c r="BP384" i="1"/>
  <c r="BN384" i="1"/>
  <c r="Z384" i="1"/>
  <c r="Y391" i="1"/>
  <c r="BP388" i="1"/>
  <c r="BN388" i="1"/>
  <c r="Z388" i="1"/>
  <c r="Z390" i="1" s="1"/>
  <c r="BP394" i="1"/>
  <c r="BN394" i="1"/>
  <c r="Z394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7" i="1"/>
  <c r="BN437" i="1"/>
  <c r="Z437" i="1"/>
  <c r="BP440" i="1"/>
  <c r="BN440" i="1"/>
  <c r="Z440" i="1"/>
  <c r="Y447" i="1"/>
  <c r="Y460" i="1"/>
  <c r="BP456" i="1"/>
  <c r="BN456" i="1"/>
  <c r="Z456" i="1"/>
  <c r="BP465" i="1"/>
  <c r="BN465" i="1"/>
  <c r="Z465" i="1"/>
  <c r="AB602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Y139" i="1"/>
  <c r="Y172" i="1"/>
  <c r="Y193" i="1"/>
  <c r="Y238" i="1"/>
  <c r="Y267" i="1"/>
  <c r="Y274" i="1"/>
  <c r="Y283" i="1"/>
  <c r="Y288" i="1"/>
  <c r="Y301" i="1"/>
  <c r="Y306" i="1"/>
  <c r="Y365" i="1"/>
  <c r="W602" i="1"/>
  <c r="Y385" i="1"/>
  <c r="Y395" i="1"/>
  <c r="BP393" i="1"/>
  <c r="BN393" i="1"/>
  <c r="Z393" i="1"/>
  <c r="Z395" i="1" s="1"/>
  <c r="BP406" i="1"/>
  <c r="BN406" i="1"/>
  <c r="Z406" i="1"/>
  <c r="BP417" i="1"/>
  <c r="BN417" i="1"/>
  <c r="Z417" i="1"/>
  <c r="Y421" i="1"/>
  <c r="Y425" i="1"/>
  <c r="BP424" i="1"/>
  <c r="BN424" i="1"/>
  <c r="Z424" i="1"/>
  <c r="Z425" i="1" s="1"/>
  <c r="Y426" i="1"/>
  <c r="BP435" i="1"/>
  <c r="BN435" i="1"/>
  <c r="Z435" i="1"/>
  <c r="BP438" i="1"/>
  <c r="BN438" i="1"/>
  <c r="Z438" i="1"/>
  <c r="Y442" i="1"/>
  <c r="BP446" i="1"/>
  <c r="BN446" i="1"/>
  <c r="Z446" i="1"/>
  <c r="Y448" i="1"/>
  <c r="Z602" i="1"/>
  <c r="Y454" i="1"/>
  <c r="BP451" i="1"/>
  <c r="BN451" i="1"/>
  <c r="Z451" i="1"/>
  <c r="Z453" i="1" s="1"/>
  <c r="BP459" i="1"/>
  <c r="BN459" i="1"/>
  <c r="Z459" i="1"/>
  <c r="Y461" i="1"/>
  <c r="AA602" i="1"/>
  <c r="Y466" i="1"/>
  <c r="BP464" i="1"/>
  <c r="BN464" i="1"/>
  <c r="Z464" i="1"/>
  <c r="Z466" i="1" s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Y519" i="1"/>
  <c r="Y525" i="1"/>
  <c r="Y524" i="1"/>
  <c r="BP521" i="1"/>
  <c r="BN521" i="1"/>
  <c r="Z521" i="1"/>
  <c r="X602" i="1"/>
  <c r="Y409" i="1"/>
  <c r="Y602" i="1"/>
  <c r="Y443" i="1"/>
  <c r="Z527" i="1"/>
  <c r="Z529" i="1" s="1"/>
  <c r="BN527" i="1"/>
  <c r="BP527" i="1"/>
  <c r="Z528" i="1"/>
  <c r="BN528" i="1"/>
  <c r="Y529" i="1"/>
  <c r="AD602" i="1"/>
  <c r="Y540" i="1"/>
  <c r="BP537" i="1"/>
  <c r="BN537" i="1"/>
  <c r="Z537" i="1"/>
  <c r="BP539" i="1"/>
  <c r="BN539" i="1"/>
  <c r="Z539" i="1"/>
  <c r="Y541" i="1"/>
  <c r="Y558" i="1"/>
  <c r="BP551" i="1"/>
  <c r="BN551" i="1"/>
  <c r="Z551" i="1"/>
  <c r="BP553" i="1"/>
  <c r="BN553" i="1"/>
  <c r="Z553" i="1"/>
  <c r="BP555" i="1"/>
  <c r="BN555" i="1"/>
  <c r="Z555" i="1"/>
  <c r="BP557" i="1"/>
  <c r="BN557" i="1"/>
  <c r="Z557" i="1"/>
  <c r="Y559" i="1"/>
  <c r="Y573" i="1"/>
  <c r="BP569" i="1"/>
  <c r="BN569" i="1"/>
  <c r="Z569" i="1"/>
  <c r="BP571" i="1"/>
  <c r="BN571" i="1"/>
  <c r="Z571" i="1"/>
  <c r="AE602" i="1"/>
  <c r="Z522" i="1"/>
  <c r="BN522" i="1"/>
  <c r="BP536" i="1"/>
  <c r="BN536" i="1"/>
  <c r="Z536" i="1"/>
  <c r="BP538" i="1"/>
  <c r="BN538" i="1"/>
  <c r="Z538" i="1"/>
  <c r="BP552" i="1"/>
  <c r="BN552" i="1"/>
  <c r="Z552" i="1"/>
  <c r="BP554" i="1"/>
  <c r="BN554" i="1"/>
  <c r="Z554" i="1"/>
  <c r="BP556" i="1"/>
  <c r="BN556" i="1"/>
  <c r="Z556" i="1"/>
  <c r="BP570" i="1"/>
  <c r="BN570" i="1"/>
  <c r="Z570" i="1"/>
  <c r="BP572" i="1"/>
  <c r="BN572" i="1"/>
  <c r="Z572" i="1"/>
  <c r="Y574" i="1"/>
  <c r="Y582" i="1"/>
  <c r="BP581" i="1"/>
  <c r="BN581" i="1"/>
  <c r="Z581" i="1"/>
  <c r="Z582" i="1" s="1"/>
  <c r="Y583" i="1"/>
  <c r="Y579" i="1"/>
  <c r="Z589" i="1"/>
  <c r="Z590" i="1" s="1"/>
  <c r="BN589" i="1"/>
  <c r="BP589" i="1"/>
  <c r="Y590" i="1"/>
  <c r="Z310" i="1" l="1"/>
  <c r="Z144" i="1"/>
  <c r="Z139" i="1"/>
  <c r="Z62" i="1"/>
  <c r="Z55" i="1"/>
  <c r="Z28" i="1"/>
  <c r="Z503" i="1"/>
  <c r="Z83" i="1"/>
  <c r="Z408" i="1"/>
  <c r="Z128" i="1"/>
  <c r="Z77" i="1"/>
  <c r="Y592" i="1"/>
  <c r="Z540" i="1"/>
  <c r="Z524" i="1"/>
  <c r="Z447" i="1"/>
  <c r="Z442" i="1"/>
  <c r="Z385" i="1"/>
  <c r="Z370" i="1"/>
  <c r="Z359" i="1"/>
  <c r="Z353" i="1"/>
  <c r="Z340" i="1"/>
  <c r="Z332" i="1"/>
  <c r="Z325" i="1"/>
  <c r="Z282" i="1"/>
  <c r="Z273" i="1"/>
  <c r="Z261" i="1"/>
  <c r="Z226" i="1"/>
  <c r="Z198" i="1"/>
  <c r="Z183" i="1"/>
  <c r="Y594" i="1"/>
  <c r="Y593" i="1"/>
  <c r="Y595" i="1"/>
  <c r="Z573" i="1"/>
  <c r="Z518" i="1"/>
  <c r="Z496" i="1"/>
  <c r="X595" i="1"/>
  <c r="Z558" i="1"/>
  <c r="Z460" i="1"/>
  <c r="Z421" i="1"/>
  <c r="Z238" i="1"/>
  <c r="Z209" i="1"/>
  <c r="Z102" i="1"/>
  <c r="Z116" i="1"/>
  <c r="Z41" i="1"/>
  <c r="Z597" i="1" s="1"/>
  <c r="Y596" i="1"/>
</calcChain>
</file>

<file path=xl/sharedStrings.xml><?xml version="1.0" encoding="utf-8"?>
<sst xmlns="http://schemas.openxmlformats.org/spreadsheetml/2006/main" count="2726" uniqueCount="978">
  <si>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</si>
  <si>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</si>
  <si>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</si>
  <si>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</si>
  <si>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</si>
  <si>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</si>
  <si>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</si>
  <si>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</si>
  <si>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</si>
  <si>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</si>
  <si>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</si>
  <si>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</si>
  <si>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</si>
  <si>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</si>
  <si>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</si>
  <si>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</si>
  <si>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</si>
  <si>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</si>
  <si>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</si>
  <si>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</si>
  <si>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</si>
  <si>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</si>
  <si>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</si>
  <si>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</si>
  <si>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</si>
  <si>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</si>
  <si>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</si>
  <si>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</si>
  <si>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</si>
  <si>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</si>
  <si>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</si>
  <si>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</si>
  <si>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</si>
  <si>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</si>
  <si>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</si>
  <si>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</si>
  <si>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</si>
  <si>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</si>
  <si>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</si>
  <si>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</si>
  <si>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</si>
  <si>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</si>
  <si>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</si>
  <si>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</si>
  <si>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</si>
  <si>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</si>
  <si>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</si>
  <si>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</si>
  <si>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</si>
  <si>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</si>
  <si>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</si>
  <si>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</si>
  <si>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</si>
  <si>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</si>
  <si>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</si>
  <si>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</si>
  <si>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</si>
  <si>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</si>
  <si>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</si>
  <si>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</si>
  <si>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</si>
  <si>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</si>
  <si>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</si>
  <si>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</si>
  <si>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</si>
  <si>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</si>
  <si>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</si>
  <si>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</si>
  <si>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</si>
  <si>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</si>
  <si>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</si>
  <si>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</si>
  <si>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</si>
  <si>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</si>
  <si>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</si>
  <si>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</si>
  <si>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</si>
  <si>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</si>
  <si>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</si>
  <si>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</si>
  <si>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</si>
  <si>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</si>
  <si>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</si>
  <si>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</si>
  <si>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</si>
  <si>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</si>
  <si>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</si>
  <si>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</si>
  <si>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</si>
  <si>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</si>
  <si>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</si>
  <si>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</si>
  <si>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</si>
  <si>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</si>
  <si>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</si>
  <si>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</si>
  <si>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</si>
  <si>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</si>
  <si>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</si>
  <si>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</si>
  <si>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</si>
  <si>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</si>
  <si>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</si>
  <si>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</si>
  <si>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</si>
  <si>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</si>
  <si>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</si>
  <si>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</si>
  <si>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</si>
  <si>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</si>
  <si>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</si>
  <si>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</si>
  <si>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</si>
  <si>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</si>
  <si>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</si>
  <si>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</si>
  <si>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</si>
  <si>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</si>
  <si>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</si>
  <si>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</si>
  <si>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</si>
  <si>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</si>
  <si>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</si>
  <si>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</si>
  <si>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</si>
  <si>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</si>
  <si>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</si>
  <si>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</si>
  <si>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</si>
  <si>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</si>
  <si>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</si>
  <si>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</si>
  <si>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</si>
  <si>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</si>
  <si>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</si>
  <si>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</si>
  <si>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</si>
  <si>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</si>
  <si>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</si>
  <si>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</si>
  <si>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</si>
  <si>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</si>
  <si>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</si>
  <si>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</si>
  <si>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</si>
  <si>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</si>
  <si>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</si>
  <si>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</si>
  <si>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</si>
  <si>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</si>
  <si>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</si>
  <si>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</si>
  <si>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</si>
  <si>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</si>
  <si>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</si>
  <si>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</si>
  <si>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</si>
  <si>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</si>
  <si>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</si>
  <si>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</si>
  <si>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</si>
  <si>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</si>
  <si>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</si>
  <si>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</si>
  <si>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</si>
  <si>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</si>
  <si>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</si>
  <si>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</si>
  <si>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</si>
  <si>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</si>
  <si>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</si>
  <si>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</si>
  <si>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</si>
  <si>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</si>
  <si>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</si>
  <si>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</si>
  <si>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</si>
  <si>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</si>
  <si>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</si>
  <si>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</si>
  <si>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</si>
  <si>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</si>
  <si>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</si>
  <si>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</si>
  <si>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</si>
  <si>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</si>
  <si>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</si>
  <si>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</si>
  <si>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</si>
  <si>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</si>
  <si>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</si>
  <si>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</si>
  <si>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</si>
  <si>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</si>
  <si>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</si>
  <si>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</si>
  <si>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</si>
  <si>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</si>
  <si>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</si>
  <si>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</si>
  <si>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</si>
  <si>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</si>
  <si>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</si>
  <si>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</si>
  <si>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</si>
  <si>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</si>
  <si>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</si>
  <si>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</si>
  <si>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</si>
  <si>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</si>
  <si>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</si>
  <si>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</si>
  <si>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</si>
  <si>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</si>
  <si>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</si>
  <si>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</si>
  <si>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</si>
  <si>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</si>
  <si>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</si>
  <si>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</si>
  <si>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</si>
  <si>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</si>
  <si>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</si>
  <si>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</si>
  <si>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</si>
  <si>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</si>
  <si>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</si>
  <si>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</si>
  <si>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</si>
  <si>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</si>
  <si>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</si>
  <si>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</si>
  <si>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</si>
  <si>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</si>
  <si>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</si>
  <si>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</si>
  <si>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</si>
  <si>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</si>
  <si>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</si>
  <si>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</si>
  <si>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</si>
  <si>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</si>
  <si>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</si>
  <si>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</si>
  <si>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</si>
  <si>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</si>
  <si>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</si>
  <si>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</si>
  <si>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</si>
  <si>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</si>
  <si>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</si>
  <si>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</si>
  <si>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</si>
  <si>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</si>
  <si>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</si>
  <si>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</si>
  <si>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</si>
  <si>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</si>
  <si>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</si>
  <si>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</si>
  <si>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</si>
  <si>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</si>
  <si>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</si>
  <si>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</si>
  <si>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</si>
  <si>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</si>
  <si>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</si>
  <si>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</si>
  <si>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</si>
  <si>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</si>
  <si>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</si>
  <si>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</si>
  <si>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</si>
  <si>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</si>
  <si>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</si>
  <si>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</si>
  <si>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</si>
  <si>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</si>
  <si>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</si>
  <si>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</si>
  <si>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</si>
  <si>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</si>
  <si>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</si>
  <si>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</si>
  <si>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</si>
  <si>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</si>
  <si>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</si>
  <si>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</si>
  <si>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</si>
  <si>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</si>
  <si>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</si>
  <si>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</si>
  <si>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</si>
  <si>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</si>
  <si>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</si>
  <si>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</si>
  <si>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</si>
  <si>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</si>
  <si>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</si>
  <si>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</si>
  <si>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</si>
  <si>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</si>
  <si>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</si>
  <si>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</si>
  <si>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</si>
  <si>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</si>
  <si>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</si>
  <si>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</si>
  <si>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</si>
  <si>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</si>
  <si>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</si>
  <si>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</si>
  <si>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</si>
  <si>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</si>
  <si>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</si>
  <si>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</si>
  <si>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</si>
  <si>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</si>
  <si>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</si>
  <si>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</si>
  <si>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</si>
  <si>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</si>
  <si>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</si>
  <si>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</si>
  <si>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</si>
  <si>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</si>
  <si>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</si>
  <si>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</si>
  <si>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</si>
  <si>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</si>
  <si>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</si>
  <si>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</si>
  <si>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</si>
  <si>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</si>
  <si>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</si>
  <si>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</si>
  <si>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</si>
  <si>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</si>
  <si>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</si>
  <si>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</si>
  <si>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</si>
  <si>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</si>
  <si>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</si>
  <si>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</si>
  <si>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</si>
  <si>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</si>
  <si>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</si>
  <si>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</si>
  <si>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</si>
  <si>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</si>
  <si>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</si>
  <si>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</si>
  <si>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</si>
  <si>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</si>
  <si>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</si>
  <si>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</si>
  <si>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</si>
  <si>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</si>
  <si>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</si>
  <si>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</si>
  <si>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</si>
  <si>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</si>
  <si>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</si>
  <si>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</si>
  <si>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</si>
  <si>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</si>
  <si>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</si>
  <si>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</si>
  <si>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</si>
  <si>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</si>
  <si>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</si>
  <si>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</si>
  <si>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</si>
  <si>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</si>
  <si>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</si>
  <si>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</si>
  <si>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</si>
  <si>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</si>
  <si>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</si>
  <si>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</si>
  <si>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</si>
  <si>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</si>
  <si>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</si>
  <si>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</si>
  <si>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</si>
  <si>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</si>
  <si>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</si>
  <si>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</si>
  <si>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</si>
  <si>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</si>
  <si>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</si>
  <si>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</si>
  <si>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</si>
  <si>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</si>
  <si>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</si>
  <si>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</si>
  <si>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</si>
  <si>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</si>
  <si>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</si>
  <si>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</si>
  <si>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</si>
  <si>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</si>
  <si>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</si>
  <si>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</si>
  <si>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</si>
  <si>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</si>
  <si>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</si>
  <si>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</si>
  <si>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</si>
  <si>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</si>
  <si>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</si>
  <si>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</si>
  <si>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</si>
  <si>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</si>
  <si>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</si>
  <si>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</si>
  <si>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</si>
  <si>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</si>
  <si>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</si>
  <si>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</si>
  <si>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</si>
  <si>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</si>
  <si>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</si>
  <si>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</si>
  <si>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</si>
  <si>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</si>
  <si>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</si>
  <si>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</si>
  <si>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</si>
  <si>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</si>
  <si>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</si>
  <si>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</si>
  <si>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</si>
  <si>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</si>
  <si>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</si>
  <si>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</si>
  <si>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</si>
  <si>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</si>
  <si>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</si>
  <si>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</si>
  <si>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</si>
  <si>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</si>
  <si>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</si>
  <si>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</si>
  <si>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</si>
  <si>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</si>
  <si>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</si>
  <si>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</si>
  <si>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</si>
  <si>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</si>
  <si>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</si>
  <si>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</si>
  <si>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</si>
  <si>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</si>
  <si>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</si>
  <si>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</si>
  <si>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</si>
  <si>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</si>
  <si>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</si>
  <si>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</si>
  <si>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</si>
  <si>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</si>
  <si>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</si>
  <si>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</si>
  <si>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</si>
  <si>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</si>
  <si>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</si>
  <si>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</si>
  <si>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</si>
  <si>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</si>
  <si>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</si>
  <si>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</si>
  <si>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</si>
  <si>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</si>
  <si>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</si>
  <si>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</si>
  <si>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</si>
  <si>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</si>
  <si>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</si>
  <si>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</si>
  <si>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</si>
  <si>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</si>
  <si>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</si>
  <si>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</si>
  <si>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</si>
  <si>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</si>
  <si>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</si>
  <si>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</si>
  <si>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</si>
  <si>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</si>
  <si>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</si>
  <si>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</si>
  <si>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</si>
  <si>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</si>
  <si>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</si>
  <si>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</si>
  <si>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</si>
  <si>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</si>
  <si>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</si>
  <si>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</si>
  <si>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</si>
  <si>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</si>
  <si>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</si>
  <si>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</si>
  <si>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</si>
  <si>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</si>
  <si>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</si>
  <si>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</si>
  <si>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</si>
  <si>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</si>
  <si>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</si>
  <si>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</si>
  <si>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</si>
  <si>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</si>
  <si>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</si>
  <si>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</si>
  <si>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</si>
  <si>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</si>
  <si>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</si>
  <si>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</si>
  <si>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</si>
  <si>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</si>
  <si>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</si>
  <si>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</si>
  <si>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</si>
  <si>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</si>
  <si>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</si>
  <si>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</si>
  <si>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</si>
  <si>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</si>
  <si>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</si>
  <si>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</si>
  <si>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</si>
  <si>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</si>
  <si>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</si>
  <si>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</si>
  <si>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</si>
  <si>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</si>
  <si>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</si>
  <si>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</si>
  <si>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</si>
  <si>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</si>
  <si>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</si>
  <si>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</si>
  <si>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</si>
  <si>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</si>
  <si>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</si>
  <si>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</si>
  <si>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</si>
  <si>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</si>
  <si>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</si>
  <si>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</si>
  <si>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</si>
  <si>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</si>
  <si>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</si>
  <si>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</si>
  <si>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</si>
  <si>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</si>
  <si>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</si>
  <si>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</si>
  <si>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</si>
  <si>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</si>
  <si>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</si>
  <si>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</si>
  <si>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</si>
  <si>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</si>
  <si>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</si>
  <si>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</si>
  <si>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</si>
  <si>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</si>
  <si>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</si>
  <si>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</si>
  <si>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</si>
  <si>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</si>
  <si>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</si>
  <si>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</si>
  <si>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</si>
  <si>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</si>
  <si>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</si>
  <si>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</si>
  <si>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</si>
  <si>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</si>
  <si>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</si>
  <si>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</si>
  <si>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</si>
  <si>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</si>
  <si>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</si>
  <si>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</si>
  <si>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</si>
  <si>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</si>
  <si>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</si>
  <si>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</si>
  <si>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</si>
  <si>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</si>
  <si>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</si>
  <si>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</si>
  <si>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</si>
  <si>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</si>
  <si>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</si>
  <si>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</si>
  <si>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</si>
  <si>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</si>
  <si>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</si>
  <si>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</si>
  <si>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</si>
  <si>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</si>
  <si>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</si>
  <si>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</si>
  <si>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</si>
  <si>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</si>
  <si>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</si>
  <si>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</si>
  <si>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</si>
  <si>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</si>
  <si>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</si>
  <si>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</si>
  <si>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</si>
  <si>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</si>
  <si>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</si>
  <si>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</si>
  <si>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</si>
  <si>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</si>
  <si>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</si>
  <si>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</si>
  <si>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</si>
  <si>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</si>
  <si>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</si>
  <si>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</si>
  <si>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</si>
  <si>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</si>
  <si>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</si>
  <si>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</si>
  <si>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</si>
  <si>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</si>
  <si>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</si>
  <si>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</si>
  <si>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</si>
  <si>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</si>
  <si>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</si>
  <si>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</si>
  <si>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</si>
  <si>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</si>
  <si>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</si>
  <si>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</si>
  <si>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</si>
  <si>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</si>
  <si>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</si>
  <si>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</si>
  <si>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</si>
  <si>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</si>
  <si>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</si>
  <si>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</si>
  <si>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</si>
  <si>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</si>
  <si>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</si>
  <si>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</si>
  <si>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</si>
  <si>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</si>
  <si>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</si>
  <si>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</si>
  <si>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</si>
  <si>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</si>
  <si>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</si>
  <si>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</si>
  <si>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</si>
  <si>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</si>
  <si>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</si>
  <si>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</si>
  <si>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</si>
  <si>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</si>
  <si>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</si>
  <si>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</si>
  <si>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</si>
  <si>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</si>
  <si>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</si>
  <si>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</si>
  <si>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</si>
  <si>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</si>
  <si>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</si>
  <si>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</si>
  <si>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</si>
  <si>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</si>
  <si>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</si>
  <si>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</si>
  <si>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</si>
  <si>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</si>
  <si>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</si>
  <si>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</si>
  <si>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</si>
  <si>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</si>
  <si>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</si>
  <si>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</si>
  <si>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</si>
  <si>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</si>
  <si>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</si>
  <si>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</si>
  <si>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</si>
  <si>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</si>
  <si>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</si>
  <si>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</si>
  <si>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</si>
  <si>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</si>
  <si>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</si>
  <si>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</si>
  <si>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</si>
  <si>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</si>
  <si>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</si>
  <si>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</si>
  <si>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</si>
  <si>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</si>
  <si>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</si>
  <si>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</si>
  <si>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</si>
  <si>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</si>
  <si>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</si>
  <si>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</si>
  <si>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</si>
  <si>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</si>
  <si>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</si>
  <si>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</si>
  <si>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</si>
  <si>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</si>
  <si>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</si>
  <si>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</si>
  <si>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</si>
  <si>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</si>
  <si>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</si>
  <si>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</si>
  <si>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</si>
  <si>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</si>
  <si>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</si>
  <si>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</si>
  <si>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</si>
  <si>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</si>
  <si>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</si>
  <si>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</si>
  <si>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</si>
  <si>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</si>
  <si>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</si>
  <si>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</si>
  <si>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</si>
  <si>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</si>
  <si>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</si>
  <si>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</si>
  <si>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</si>
  <si>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</si>
  <si>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</si>
  <si>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</si>
  <si>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</si>
  <si>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</si>
  <si>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</si>
  <si>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</si>
  <si>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</si>
  <si>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</si>
  <si>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</si>
  <si>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</si>
  <si>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</si>
  <si>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</si>
  <si>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</si>
  <si>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</si>
  <si>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</si>
  <si>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</si>
  <si>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</si>
  <si>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</si>
  <si>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</si>
  <si>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</si>
  <si>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</si>
  <si>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</si>
  <si>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</si>
  <si>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</si>
  <si>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</si>
  <si>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</si>
  <si>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</si>
  <si>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</si>
  <si>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</si>
  <si>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</si>
  <si>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</si>
  <si>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</si>
  <si>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</si>
  <si>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</si>
  <si>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</si>
  <si>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</si>
  <si>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</si>
  <si>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</si>
  <si>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</si>
  <si>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</si>
  <si>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</si>
  <si>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</si>
  <si>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</si>
  <si>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</si>
  <si>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</si>
  <si>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</si>
  <si>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</si>
  <si>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</si>
  <si>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</si>
  <si>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</si>
  <si>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</si>
  <si>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</si>
  <si>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</si>
  <si>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</si>
  <si>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</si>
  <si>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</si>
  <si>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</si>
  <si>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</si>
  <si>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</si>
  <si>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</si>
  <si>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</si>
  <si>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</si>
  <si>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</si>
  <si>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</si>
  <si>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</si>
  <si>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</si>
  <si>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</si>
  <si>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</si>
  <si>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</si>
  <si>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</si>
  <si>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</si>
  <si>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</si>
  <si>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</si>
  <si>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</si>
  <si>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</si>
  <si>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</si>
  <si>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</si>
  <si>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</si>
  <si>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</si>
  <si>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</si>
  <si>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</si>
  <si>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</si>
  <si>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</si>
  <si>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</si>
  <si>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</si>
  <si>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</si>
  <si>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</si>
  <si>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</si>
  <si>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</si>
  <si>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</si>
  <si>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</si>
  <si>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</si>
  <si>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</si>
  <si>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</si>
  <si>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</si>
  <si>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</si>
  <si>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</si>
  <si>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</si>
  <si>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</si>
  <si>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</si>
  <si>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</si>
  <si>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</si>
  <si>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</si>
  <si>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</si>
  <si>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</si>
  <si>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</si>
  <si>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</si>
  <si>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</si>
  <si>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</si>
  <si>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</si>
  <si>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</si>
  <si>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</si>
  <si>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</si>
  <si>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</si>
  <si>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</si>
  <si>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</si>
  <si>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</si>
  <si>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</si>
  <si>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</si>
  <si>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</si>
  <si>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</si>
  <si>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</si>
  <si>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</si>
  <si>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</si>
  <si>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</si>
  <si>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</si>
  <si>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</si>
  <si>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</si>
  <si>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</si>
  <si>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</si>
  <si>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</si>
  <si>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</si>
  <si>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</si>
  <si>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</si>
  <si>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</si>
  <si>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</si>
  <si>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</si>
  <si>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</si>
  <si>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</si>
  <si>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</si>
  <si>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</si>
  <si>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</si>
  <si>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</si>
  <si>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</si>
  <si>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</si>
  <si>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</si>
  <si>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</si>
  <si>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</si>
  <si>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</si>
  <si>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</si>
  <si>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</si>
  <si>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</si>
  <si>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</si>
  <si>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</si>
  <si>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</si>
  <si>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</si>
  <si>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</si>
  <si>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</si>
  <si>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</si>
  <si>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</si>
  <si>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</si>
  <si>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</si>
  <si>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</si>
  <si>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</si>
  <si>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</si>
  <si>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</si>
  <si>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</si>
  <si>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</si>
  <si>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</si>
  <si>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</si>
  <si>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</si>
  <si>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</si>
  <si>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</si>
  <si>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</si>
  <si>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</si>
  <si>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</si>
  <si>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</si>
  <si>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</si>
  <si>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</si>
  <si>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</si>
  <si>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</si>
  <si>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</si>
  <si>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</si>
  <si>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</si>
  <si>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</si>
  <si>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</si>
  <si>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</si>
  <si>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</si>
  <si>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</si>
  <si>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</si>
  <si>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</si>
  <si>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</si>
  <si>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</si>
  <si>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</si>
  <si>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</si>
  <si>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</si>
  <si>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</si>
  <si>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</si>
  <si>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</si>
  <si>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</si>
  <si>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</si>
  <si>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</si>
  <si>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</si>
  <si>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</si>
  <si>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</si>
  <si>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</si>
  <si>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</si>
  <si>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</si>
  <si>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</si>
  <si>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</si>
  <si>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</si>
  <si>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</si>
  <si>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</si>
  <si>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</si>
  <si>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</si>
  <si>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</si>
  <si>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</si>
  <si>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</si>
  <si>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</si>
  <si>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</si>
  <si>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</si>
  <si>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</si>
  <si>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</si>
  <si>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</si>
  <si>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</si>
  <si>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</si>
  <si>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</si>
  <si>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</si>
  <si>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</si>
  <si>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</si>
  <si>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</si>
  <si>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7 европалет,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</si>
</sst>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977</v>
      </c>
      <c r="I5" s="947"/>
      <c r="J5" s="947"/>
      <c r="K5" s="947"/>
      <c r="L5" s="947"/>
      <c r="M5" s="756"/>
      <c r="N5" s="58"/>
      <c r="P5" s="24" t="s">
        <v>10</v>
      </c>
      <c r="Q5" s="1023">
        <v>45770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Среда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4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/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19</v>
      </c>
      <c r="Q8" s="818">
        <v>0.41666666666666669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60"/>
      <c r="R10" s="861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5"/>
      <c r="R11" s="806"/>
      <c r="U11" s="24" t="s">
        <v>26</v>
      </c>
      <c r="V11" s="968" t="s">
        <v>27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29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31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34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35</v>
      </c>
      <c r="B17" s="692" t="s">
        <v>36</v>
      </c>
      <c r="C17" s="831" t="s">
        <v>37</v>
      </c>
      <c r="D17" s="692" t="s">
        <v>38</v>
      </c>
      <c r="E17" s="782"/>
      <c r="F17" s="692" t="s">
        <v>39</v>
      </c>
      <c r="G17" s="692" t="s">
        <v>40</v>
      </c>
      <c r="H17" s="692" t="s">
        <v>41</v>
      </c>
      <c r="I17" s="692" t="s">
        <v>42</v>
      </c>
      <c r="J17" s="692" t="s">
        <v>43</v>
      </c>
      <c r="K17" s="692" t="s">
        <v>44</v>
      </c>
      <c r="L17" s="692" t="s">
        <v>45</v>
      </c>
      <c r="M17" s="692" t="s">
        <v>46</v>
      </c>
      <c r="N17" s="692" t="s">
        <v>47</v>
      </c>
      <c r="O17" s="692" t="s">
        <v>48</v>
      </c>
      <c r="P17" s="692" t="s">
        <v>49</v>
      </c>
      <c r="Q17" s="781"/>
      <c r="R17" s="781"/>
      <c r="S17" s="781"/>
      <c r="T17" s="782"/>
      <c r="U17" s="1040" t="s">
        <v>50</v>
      </c>
      <c r="V17" s="809"/>
      <c r="W17" s="692" t="s">
        <v>51</v>
      </c>
      <c r="X17" s="692" t="s">
        <v>52</v>
      </c>
      <c r="Y17" s="1041" t="s">
        <v>53</v>
      </c>
      <c r="Z17" s="944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4"/>
      <c r="AF17" s="1005"/>
      <c r="AG17" s="66"/>
      <c r="BD17" s="65" t="s">
        <v>59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357</v>
      </c>
      <c r="Y37" s="666">
        <f>IFERROR(IF(X37="",0,CEILING((X37/$H37),1)*$H37),"")</f>
        <v>367.20000000000005</v>
      </c>
      <c r="Z37" s="36">
        <f>IFERROR(IF(Y37=0,"",ROUNDUP(Y37/H37,0)*0.01898),"")</f>
        <v>0.64532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371.37916666666666</v>
      </c>
      <c r="BN37" s="64">
        <f>IFERROR(Y37*I37/H37,"0")</f>
        <v>381.99</v>
      </c>
      <c r="BO37" s="64">
        <f>IFERROR(1/J37*(X37/H37),"0")</f>
        <v>0.51649305555555547</v>
      </c>
      <c r="BP37" s="64">
        <f>IFERROR(1/J37*(Y37/H37),"0")</f>
        <v>0.53125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33.05555555555555</v>
      </c>
      <c r="Y41" s="667">
        <f>IFERROR(Y37/H37,"0")+IFERROR(Y38/H38,"0")+IFERROR(Y39/H39,"0")+IFERROR(Y40/H40,"0")</f>
        <v>34</v>
      </c>
      <c r="Z41" s="667">
        <f>IFERROR(IF(Z37="",0,Z37),"0")+IFERROR(IF(Z38="",0,Z38),"0")+IFERROR(IF(Z39="",0,Z39),"0")+IFERROR(IF(Z40="",0,Z40),"0")</f>
        <v>0.64532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357</v>
      </c>
      <c r="Y42" s="667">
        <f>IFERROR(SUM(Y37:Y40),"0")</f>
        <v>367.20000000000005</v>
      </c>
      <c r="Z42" s="37"/>
      <c r="AA42" s="668"/>
      <c r="AB42" s="668"/>
      <c r="AC42" s="668"/>
    </row>
    <row r="43" spans="1:68" ht="14.25" hidden="1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200</v>
      </c>
      <c r="Y50" s="666">
        <f t="shared" si="6"/>
        <v>205.20000000000002</v>
      </c>
      <c r="Z50" s="36">
        <f>IFERROR(IF(Y50=0,"",ROUNDUP(Y50/H50,0)*0.01898),"")</f>
        <v>0.36062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208.05555555555554</v>
      </c>
      <c r="BN50" s="64">
        <f t="shared" si="8"/>
        <v>213.46499999999997</v>
      </c>
      <c r="BO50" s="64">
        <f t="shared" si="9"/>
        <v>0.28935185185185186</v>
      </c>
      <c r="BP50" s="64">
        <f t="shared" si="10"/>
        <v>0.296875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18.518518518518519</v>
      </c>
      <c r="Y55" s="667">
        <f>IFERROR(Y49/H49,"0")+IFERROR(Y50/H50,"0")+IFERROR(Y51/H51,"0")+IFERROR(Y52/H52,"0")+IFERROR(Y53/H53,"0")+IFERROR(Y54/H54,"0")</f>
        <v>19</v>
      </c>
      <c r="Z55" s="667">
        <f>IFERROR(IF(Z49="",0,Z49),"0")+IFERROR(IF(Z50="",0,Z50),"0")+IFERROR(IF(Z51="",0,Z51),"0")+IFERROR(IF(Z52="",0,Z52),"0")+IFERROR(IF(Z53="",0,Z53),"0")+IFERROR(IF(Z54="",0,Z54),"0")</f>
        <v>0.36062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200</v>
      </c>
      <c r="Y56" s="667">
        <f>IFERROR(SUM(Y49:Y54),"0")</f>
        <v>205.20000000000002</v>
      </c>
      <c r="Z56" s="37"/>
      <c r="AA56" s="668"/>
      <c r="AB56" s="668"/>
      <c r="AC56" s="668"/>
    </row>
    <row r="57" spans="1:68" ht="14.25" hidden="1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197</v>
      </c>
      <c r="Y58" s="666">
        <f>IFERROR(IF(X58="",0,CEILING((X58/$H58),1)*$H58),"")</f>
        <v>205.20000000000002</v>
      </c>
      <c r="Z58" s="36">
        <f>IFERROR(IF(Y58=0,"",ROUNDUP(Y58/H58,0)*0.01898),"")</f>
        <v>0.36062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204.93472222222221</v>
      </c>
      <c r="BN58" s="64">
        <f>IFERROR(Y58*I58/H58,"0")</f>
        <v>213.46499999999997</v>
      </c>
      <c r="BO58" s="64">
        <f>IFERROR(1/J58*(X58/H58),"0")</f>
        <v>0.28501157407407407</v>
      </c>
      <c r="BP58" s="64">
        <f>IFERROR(1/J58*(Y58/H58),"0")</f>
        <v>0.296875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18.24074074074074</v>
      </c>
      <c r="Y62" s="667">
        <f>IFERROR(Y58/H58,"0")+IFERROR(Y59/H59,"0")+IFERROR(Y60/H60,"0")+IFERROR(Y61/H61,"0")</f>
        <v>19</v>
      </c>
      <c r="Z62" s="667">
        <f>IFERROR(IF(Z58="",0,Z58),"0")+IFERROR(IF(Z59="",0,Z59),"0")+IFERROR(IF(Z60="",0,Z60),"0")+IFERROR(IF(Z61="",0,Z61),"0")</f>
        <v>0.36062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197</v>
      </c>
      <c r="Y63" s="667">
        <f>IFERROR(SUM(Y58:Y61),"0")</f>
        <v>205.20000000000002</v>
      </c>
      <c r="Z63" s="37"/>
      <c r="AA63" s="668"/>
      <c r="AB63" s="668"/>
      <c r="AC63" s="668"/>
    </row>
    <row r="64" spans="1:68" ht="14.25" hidden="1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335</v>
      </c>
      <c r="Y87" s="666">
        <f>IFERROR(IF(X87="",0,CEILING((X87/$H87),1)*$H87),"")</f>
        <v>345.6</v>
      </c>
      <c r="Z87" s="36">
        <f>IFERROR(IF(Y87=0,"",ROUNDUP(Y87/H87,0)*0.01898),"")</f>
        <v>0.60736000000000001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348.49305555555554</v>
      </c>
      <c r="BN87" s="64">
        <f>IFERROR(Y87*I87/H87,"0")</f>
        <v>359.52</v>
      </c>
      <c r="BO87" s="64">
        <f>IFERROR(1/J87*(X87/H87),"0")</f>
        <v>0.4846643518518518</v>
      </c>
      <c r="BP87" s="64">
        <f>IFERROR(1/J87*(Y87/H87),"0")</f>
        <v>0.5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31.018518518518515</v>
      </c>
      <c r="Y90" s="667">
        <f>IFERROR(Y87/H87,"0")+IFERROR(Y88/H88,"0")+IFERROR(Y89/H89,"0")</f>
        <v>32</v>
      </c>
      <c r="Z90" s="667">
        <f>IFERROR(IF(Z87="",0,Z87),"0")+IFERROR(IF(Z88="",0,Z88),"0")+IFERROR(IF(Z89="",0,Z89),"0")</f>
        <v>0.60736000000000001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335</v>
      </c>
      <c r="Y91" s="667">
        <f>IFERROR(SUM(Y87:Y89),"0")</f>
        <v>345.6</v>
      </c>
      <c r="Z91" s="37"/>
      <c r="AA91" s="668"/>
      <c r="AB91" s="668"/>
      <c r="AC91" s="668"/>
    </row>
    <row r="92" spans="1:68" ht="14.25" hidden="1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7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7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4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8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hidden="1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hidden="1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335</v>
      </c>
      <c r="Y106" s="666">
        <f>IFERROR(IF(X106="",0,CEILING((X106/$H106),1)*$H106),"")</f>
        <v>345.6</v>
      </c>
      <c r="Z106" s="36">
        <f>IFERROR(IF(Y106=0,"",ROUNDUP(Y106/H106,0)*0.01898),"")</f>
        <v>0.60736000000000001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348.49305555555554</v>
      </c>
      <c r="BN106" s="64">
        <f>IFERROR(Y106*I106/H106,"0")</f>
        <v>359.52</v>
      </c>
      <c r="BO106" s="64">
        <f>IFERROR(1/J106*(X106/H106),"0")</f>
        <v>0.4846643518518518</v>
      </c>
      <c r="BP106" s="64">
        <f>IFERROR(1/J106*(Y106/H106),"0")</f>
        <v>0.5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31.018518518518515</v>
      </c>
      <c r="Y110" s="667">
        <f>IFERROR(Y106/H106,"0")+IFERROR(Y107/H107,"0")+IFERROR(Y108/H108,"0")+IFERROR(Y109/H109,"0")</f>
        <v>32</v>
      </c>
      <c r="Z110" s="667">
        <f>IFERROR(IF(Z106="",0,Z106),"0")+IFERROR(IF(Z107="",0,Z107),"0")+IFERROR(IF(Z108="",0,Z108),"0")+IFERROR(IF(Z109="",0,Z109),"0")</f>
        <v>0.60736000000000001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335</v>
      </c>
      <c r="Y111" s="667">
        <f>IFERROR(SUM(Y106:Y109),"0")</f>
        <v>345.6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20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97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799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7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0</v>
      </c>
      <c r="Y128" s="667">
        <f>IFERROR(Y119/H119,"0")+IFERROR(Y120/H120,"0")+IFERROR(Y121/H121,"0")+IFERROR(Y122/H122,"0")+IFERROR(Y123/H123,"0")+IFERROR(Y124/H124,"0")+IFERROR(Y125/H125,"0")+IFERROR(Y126/H126,"0")+IFERROR(Y127/H127,"0")</f>
        <v>0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8"/>
      <c r="AB128" s="668"/>
      <c r="AC128" s="668"/>
    </row>
    <row r="129" spans="1:68" hidden="1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0</v>
      </c>
      <c r="Y129" s="667">
        <f>IFERROR(SUM(Y119:Y127),"0")</f>
        <v>0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2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hidden="1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2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21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6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hidden="1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486</v>
      </c>
      <c r="Y375" s="666">
        <f t="shared" ref="Y375:Y384" si="58">IFERROR(IF(X375="",0,CEILING((X375/$H375),1)*$H375),"")</f>
        <v>495</v>
      </c>
      <c r="Z375" s="36">
        <f>IFERROR(IF(Y375=0,"",ROUNDUP(Y375/H375,0)*0.02175),"")</f>
        <v>0.71775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501.55200000000002</v>
      </c>
      <c r="BN375" s="64">
        <f t="shared" ref="BN375:BN384" si="60">IFERROR(Y375*I375/H375,"0")</f>
        <v>510.84000000000003</v>
      </c>
      <c r="BO375" s="64">
        <f t="shared" ref="BO375:BO384" si="61">IFERROR(1/J375*(X375/H375),"0")</f>
        <v>0.67499999999999993</v>
      </c>
      <c r="BP375" s="64">
        <f t="shared" ref="BP375:BP384" si="62">IFERROR(1/J375*(Y375/H375),"0")</f>
        <v>0.6875</v>
      </c>
    </row>
    <row r="376" spans="1:68" ht="27" hidden="1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0</v>
      </c>
      <c r="Y377" s="666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hidden="1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0</v>
      </c>
      <c r="Y379" s="666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hidden="1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32.4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33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0.71775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486</v>
      </c>
      <c r="Y386" s="667">
        <f>IFERROR(SUM(Y375:Y384),"0")</f>
        <v>495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716</v>
      </c>
      <c r="Y388" s="666">
        <f>IFERROR(IF(X388="",0,CEILING((X388/$H388),1)*$H388),"")</f>
        <v>720</v>
      </c>
      <c r="Z388" s="36">
        <f>IFERROR(IF(Y388=0,"",ROUNDUP(Y388/H388,0)*0.02175),"")</f>
        <v>1.044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738.91200000000003</v>
      </c>
      <c r="BN388" s="64">
        <f>IFERROR(Y388*I388/H388,"0")</f>
        <v>743.04000000000008</v>
      </c>
      <c r="BO388" s="64">
        <f>IFERROR(1/J388*(X388/H388),"0")</f>
        <v>0.99444444444444446</v>
      </c>
      <c r="BP388" s="64">
        <f>IFERROR(1/J388*(Y388/H388),"0")</f>
        <v>1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47.733333333333334</v>
      </c>
      <c r="Y390" s="667">
        <f>IFERROR(Y388/H388,"0")+IFERROR(Y389/H389,"0")</f>
        <v>48</v>
      </c>
      <c r="Z390" s="667">
        <f>IFERROR(IF(Z388="",0,Z388),"0")+IFERROR(IF(Z389="",0,Z389),"0")</f>
        <v>1.044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716</v>
      </c>
      <c r="Y391" s="667">
        <f>IFERROR(SUM(Y388:Y389),"0")</f>
        <v>720</v>
      </c>
      <c r="Z391" s="37"/>
      <c r="AA391" s="668"/>
      <c r="AB391" s="668"/>
      <c r="AC391" s="668"/>
    </row>
    <row r="392" spans="1:68" ht="14.25" hidden="1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9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hidden="1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1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hidden="1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90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3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3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1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8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8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0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hidden="1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hidden="1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6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hidden="1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hidden="1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8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hidden="1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366</v>
      </c>
      <c r="Y482" s="666">
        <f t="shared" si="69"/>
        <v>369.6</v>
      </c>
      <c r="Z482" s="36">
        <f t="shared" si="70"/>
        <v>0.83720000000000006</v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390.95454545454538</v>
      </c>
      <c r="BN482" s="64">
        <f t="shared" si="72"/>
        <v>394.79999999999995</v>
      </c>
      <c r="BO482" s="64">
        <f t="shared" si="73"/>
        <v>0.66652097902097895</v>
      </c>
      <c r="BP482" s="64">
        <f t="shared" si="74"/>
        <v>0.67307692307692313</v>
      </c>
    </row>
    <row r="483" spans="1:68" ht="16.5" hidden="1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562</v>
      </c>
      <c r="Y484" s="666">
        <f t="shared" si="69"/>
        <v>564.96</v>
      </c>
      <c r="Z484" s="36">
        <f t="shared" si="70"/>
        <v>1.27972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600.31818181818176</v>
      </c>
      <c r="BN484" s="64">
        <f t="shared" si="72"/>
        <v>603.48</v>
      </c>
      <c r="BO484" s="64">
        <f t="shared" si="73"/>
        <v>1.023455710955711</v>
      </c>
      <c r="BP484" s="64">
        <f t="shared" si="74"/>
        <v>1.028846153846154</v>
      </c>
    </row>
    <row r="485" spans="1:68" ht="16.5" hidden="1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5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5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8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175.75757575757575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177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2.1169199999999999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928</v>
      </c>
      <c r="Y497" s="667">
        <f>IFERROR(SUM(Y480:Y495),"0")</f>
        <v>934.56000000000006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hidden="1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00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9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9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234</v>
      </c>
      <c r="Y506" s="666">
        <f t="shared" ref="Y506:Y517" si="75">IFERROR(IF(X506="",0,CEILING((X506/$H506),1)*$H506),"")</f>
        <v>237.60000000000002</v>
      </c>
      <c r="Z506" s="36">
        <f>IFERROR(IF(Y506=0,"",ROUNDUP(Y506/H506,0)*0.01196),"")</f>
        <v>0.53820000000000001</v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249.95454545454544</v>
      </c>
      <c r="BN506" s="64">
        <f t="shared" ref="BN506:BN517" si="77">IFERROR(Y506*I506/H506,"0")</f>
        <v>253.8</v>
      </c>
      <c r="BO506" s="64">
        <f t="shared" ref="BO506:BO517" si="78">IFERROR(1/J506*(X506/H506),"0")</f>
        <v>0.42613636363636359</v>
      </c>
      <c r="BP506" s="64">
        <f t="shared" ref="BP506:BP517" si="79">IFERROR(1/J506*(Y506/H506),"0")</f>
        <v>0.43269230769230771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51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219</v>
      </c>
      <c r="Y507" s="666">
        <f t="shared" si="75"/>
        <v>221.76000000000002</v>
      </c>
      <c r="Z507" s="36">
        <f>IFERROR(IF(Y507=0,"",ROUNDUP(Y507/H507,0)*0.01196),"")</f>
        <v>0.50231999999999999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233.93181818181813</v>
      </c>
      <c r="BN507" s="64">
        <f t="shared" si="77"/>
        <v>236.88</v>
      </c>
      <c r="BO507" s="64">
        <f t="shared" si="78"/>
        <v>0.39881993006993011</v>
      </c>
      <c r="BP507" s="64">
        <f t="shared" si="79"/>
        <v>0.40384615384615385</v>
      </c>
    </row>
    <row r="508" spans="1:68" ht="27" hidden="1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7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hidden="1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11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17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42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5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7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85.795454545454533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87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1.0405199999999999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453</v>
      </c>
      <c r="Y519" s="667">
        <f>IFERROR(SUM(Y506:Y517),"0")</f>
        <v>459.36</v>
      </c>
      <c r="Z519" s="37"/>
      <c r="AA519" s="668"/>
      <c r="AB519" s="668"/>
      <c r="AC519" s="668"/>
    </row>
    <row r="520" spans="1:68" ht="14.25" hidden="1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2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52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45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6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90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52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27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24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6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7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4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4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7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46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7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9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20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53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30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4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71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83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797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6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938</v>
      </c>
      <c r="Q592" s="808"/>
      <c r="R592" s="808"/>
      <c r="S592" s="808"/>
      <c r="T592" s="808"/>
      <c r="U592" s="808"/>
      <c r="V592" s="809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4007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4077.7200000000003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939</v>
      </c>
      <c r="Q593" s="808"/>
      <c r="R593" s="808"/>
      <c r="S593" s="808"/>
      <c r="T593" s="808"/>
      <c r="U593" s="808"/>
      <c r="V593" s="809"/>
      <c r="W593" s="37" t="s">
        <v>68</v>
      </c>
      <c r="X593" s="667">
        <f>IFERROR(SUM(BM22:BM589),"0")</f>
        <v>4196.9786464646468</v>
      </c>
      <c r="Y593" s="667">
        <f>IFERROR(SUM(BN22:BN589),"0")</f>
        <v>4270.7999999999993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940</v>
      </c>
      <c r="Q594" s="808"/>
      <c r="R594" s="808"/>
      <c r="S594" s="808"/>
      <c r="T594" s="808"/>
      <c r="U594" s="808"/>
      <c r="V594" s="809"/>
      <c r="W594" s="37" t="s">
        <v>941</v>
      </c>
      <c r="X594" s="38">
        <f>ROUNDUP(SUM(BO22:BO589),0)</f>
        <v>7</v>
      </c>
      <c r="Y594" s="38">
        <f>ROUNDUP(SUM(BP22:BP589),0)</f>
        <v>7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942</v>
      </c>
      <c r="Q595" s="808"/>
      <c r="R595" s="808"/>
      <c r="S595" s="808"/>
      <c r="T595" s="808"/>
      <c r="U595" s="808"/>
      <c r="V595" s="809"/>
      <c r="W595" s="37" t="s">
        <v>68</v>
      </c>
      <c r="X595" s="667">
        <f>GrossWeightTotal+PalletQtyTotal*25</f>
        <v>4371.9786464646468</v>
      </c>
      <c r="Y595" s="667">
        <f>GrossWeightTotalR+PalletQtyTotalR*25</f>
        <v>4445.7999999999993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943</v>
      </c>
      <c r="Q596" s="808"/>
      <c r="R596" s="808"/>
      <c r="S596" s="808"/>
      <c r="T596" s="808"/>
      <c r="U596" s="808"/>
      <c r="V596" s="809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473.53821548821543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481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944</v>
      </c>
      <c r="Q597" s="808"/>
      <c r="R597" s="808"/>
      <c r="S597" s="808"/>
      <c r="T597" s="808"/>
      <c r="U597" s="808"/>
      <c r="V597" s="809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7.5004700000000009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700"/>
      <c r="E599" s="700"/>
      <c r="F599" s="700"/>
      <c r="G599" s="700"/>
      <c r="H599" s="701"/>
      <c r="I599" s="675" t="s">
        <v>283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573</v>
      </c>
      <c r="X599" s="701"/>
      <c r="Y599" s="675" t="s">
        <v>651</v>
      </c>
      <c r="Z599" s="700"/>
      <c r="AA599" s="700"/>
      <c r="AB599" s="701"/>
      <c r="AC599" s="662" t="s">
        <v>726</v>
      </c>
      <c r="AD599" s="675" t="s">
        <v>828</v>
      </c>
      <c r="AE599" s="701"/>
      <c r="AF599" s="663"/>
    </row>
    <row r="600" spans="1:32" ht="14.25" customHeight="1" thickTop="1" x14ac:dyDescent="0.2">
      <c r="A600" s="992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367.20000000000005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410.40000000000003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345.6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345.6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1215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1393.92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5,76"/>
        <filter val="18,24"/>
        <filter val="18,52"/>
        <filter val="197,00"/>
        <filter val="200,00"/>
        <filter val="219,00"/>
        <filter val="234,00"/>
        <filter val="31,02"/>
        <filter val="32,40"/>
        <filter val="33,06"/>
        <filter val="335,00"/>
        <filter val="357,00"/>
        <filter val="366,00"/>
        <filter val="4 007,00"/>
        <filter val="4 196,98"/>
        <filter val="4 371,98"/>
        <filter val="453,00"/>
        <filter val="47,73"/>
        <filter val="473,54"/>
        <filter val="486,00"/>
        <filter val="562,00"/>
        <filter val="7"/>
        <filter val="716,00"/>
        <filter val="85,80"/>
        <filter val="928,00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2025-04-21T12:05:41Z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